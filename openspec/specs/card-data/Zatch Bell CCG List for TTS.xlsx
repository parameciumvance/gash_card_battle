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lterable" sheetId="1" r:id="rId5"/>
    <sheet state="visible" name="The Table" sheetId="2" r:id="rId6"/>
  </sheets>
  <definedNames/>
  <calcPr/>
</workbook>
</file>

<file path=xl/sharedStrings.xml><?xml version="1.0" encoding="utf-8"?>
<sst xmlns="http://schemas.openxmlformats.org/spreadsheetml/2006/main" count="22975" uniqueCount="6940">
  <si>
    <t>Card #</t>
  </si>
  <si>
    <t>Card Type</t>
  </si>
  <si>
    <t>Name</t>
  </si>
  <si>
    <t>Related Mamodo</t>
  </si>
  <si>
    <t>Cost</t>
  </si>
  <si>
    <t>A/D</t>
  </si>
  <si>
    <t>Class</t>
  </si>
  <si>
    <t>Attribute / Effect Name</t>
  </si>
  <si>
    <t>Effect</t>
  </si>
  <si>
    <t>Power</t>
  </si>
  <si>
    <t>Dam</t>
  </si>
  <si>
    <t>Sets</t>
  </si>
  <si>
    <t>Rarity</t>
  </si>
  <si>
    <t>Flavor text</t>
  </si>
  <si>
    <t>Event</t>
  </si>
  <si>
    <t>The Will to Protect</t>
  </si>
  <si>
    <t>-</t>
  </si>
  <si>
    <t>A</t>
  </si>
  <si>
    <t>Do not edit info in this page, edit in "The Table" sheet</t>
  </si>
  <si>
    <t>None</t>
  </si>
  <si>
    <t>Add 3000 Power to 1 of your in-play MAMODO cards during the next turn. This effect is [STANDBY] until the START PHASE of the next turn, and [STAY] during the next turn.</t>
  </si>
  <si>
    <t>Series 1, Level 1</t>
  </si>
  <si>
    <t>[C]</t>
  </si>
  <si>
    <t>“Power grows stronger and stronger as we think of the people we want to protect.”</t>
  </si>
  <si>
    <t>To use this spreadsheet, click File -&gt; Make a copy</t>
  </si>
  <si>
    <t>Tina</t>
  </si>
  <si>
    <t>[STAY] Both players cannot play any SPELL cards until the END PHASE of the next turn.</t>
  </si>
  <si>
    <t>The doll that Lori made for Kolulu.</t>
  </si>
  <si>
    <t>To use filters</t>
  </si>
  <si>
    <t>In the gold boxes, type what is you're looking for to filter the spreadsheet</t>
  </si>
  <si>
    <t>Yellowtail</t>
  </si>
  <si>
    <t>Get 2 MP.</t>
  </si>
  <si>
    <t>Hint: For effect searching, try to keep it to singular words</t>
  </si>
  <si>
    <t>Zatch’s favorite food.</t>
  </si>
  <si>
    <t>Friendship Curry</t>
  </si>
  <si>
    <t>Reduce both players' MP to 0. ※ When either player has 1 or more MP, this effect is considered to be reducing a player's MP.</t>
  </si>
  <si>
    <t>[U]</t>
  </si>
  <si>
    <t>Kiyo made the best(?) curry with help from his friends!</t>
  </si>
  <si>
    <t>E-005</t>
  </si>
  <si>
    <t>EX: "Reduce", "power", "opponent"</t>
  </si>
  <si>
    <t>Suzy's Lucky Fruit</t>
  </si>
  <si>
    <t>Flip a coin twice; • If you get heads twice, turn back 2 pages of your Spell Book. • If you get heads and tails, there is no effect. • If you get tails twice, turn 2 pages of your Spell Book.</t>
  </si>
  <si>
    <t>Series 1, Level 1, The Best Booster 1</t>
  </si>
  <si>
    <t>“A crybaby tangerine, smiley-face orange, and delighted grapefruit for you!”</t>
  </si>
  <si>
    <t>E-006</t>
  </si>
  <si>
    <t>Yuta Akiyama</t>
  </si>
  <si>
    <t>Select 1 of your in-play MAMODO cards and flip a coin; if it's heads, turn the selected MAMODO card to Normal Status. If it's tails, add 1000 Power to the selected MAMODO card during this turn ([STAY]).</t>
  </si>
  <si>
    <t>He is Kiyo's roommate during Kiyo's hospital stay. Yuta is worried that is recovery is too slow.</t>
  </si>
  <si>
    <t>E-007e</t>
  </si>
  <si>
    <t>Ivy Kinoyama</t>
  </si>
  <si>
    <t>Turn 1 of your MAMODO cards to Normal Status.</t>
  </si>
  <si>
    <t>Manager of the Mochinoki Botanical Garden.</t>
  </si>
  <si>
    <t>E-007j</t>
  </si>
  <si>
    <t>Turn 1 of your Injured MAMODO cards to Normal Status.</t>
  </si>
  <si>
    <t>E-008</t>
  </si>
  <si>
    <t>Suzy Mizuno</t>
  </si>
  <si>
    <t>[STAY] Both players cannot apply the effects of their in-play PARTNER cards during this turn.</t>
  </si>
  <si>
    <t>Kiyo's classmate, she understands him well.</t>
  </si>
  <si>
    <t>E-009</t>
  </si>
  <si>
    <t>Kind King</t>
  </si>
  <si>
    <t>[STAY] Add 3000 Power to 1 of your in-play MAMODO cards during this turn.</t>
  </si>
  <si>
    <t>"I was so upset when I saw Kolulu disappear back to the mamodo world."</t>
  </si>
  <si>
    <t>E-010e</t>
  </si>
  <si>
    <t>Kind Kiyo</t>
  </si>
  <si>
    <t>[STANDBY] Select 1 of your opponent's in-play PARTNER cards. You can apply the effects of the selected PARTNER card as your own once during this turn (any PARTNER cards used through this effect with [Send this card to the Discard Pile] remain in play after applying their effects).</t>
  </si>
  <si>
    <t>Today, Kiyo is suddenly kind and is eating raw yellowtail head fisrt. Something seems different...</t>
  </si>
  <si>
    <t>E-010j</t>
  </si>
  <si>
    <t>[STANDBY] Select 1 of your opponent's in-play PARTNER cards without [In Play]. You can apply the effects of the selected PARTNER card as your own once during this turn (any PARTNER cards used through this effect with [Send this card to the Discard Pile] remain in play after applying their effects).</t>
  </si>
  <si>
    <t>E-011</t>
  </si>
  <si>
    <t>Iron Man Folgore</t>
  </si>
  <si>
    <t>Flip a coin; if it's heads, move 1 PARTNER card from your Discard Pile into play. If it's tails, you may pay 2 MP to re-do the coin toss until you get heads.</t>
  </si>
  <si>
    <t>"Invincible Folgore~, Iron Man Folgore~!"</t>
  </si>
  <si>
    <t>E-012</t>
  </si>
  <si>
    <t>Here Comes Zatch Bell!</t>
  </si>
  <si>
    <t>Select 1 MAMODO card from any page of your Spell Book and put it in play.</t>
  </si>
  <si>
    <t>[R]</t>
  </si>
  <si>
    <t>Zatch flew on a big eagle from England.</t>
  </si>
  <si>
    <t>E-013e</t>
  </si>
  <si>
    <t>Naomi</t>
  </si>
  <si>
    <t>[STANDBY] Your opponent can neither SACRIFICE nor PROTECT their Spell Book from Damage during this turn.</t>
  </si>
  <si>
    <t>Series 1, Level 1, The Best Booster 1, Revised Edition</t>
  </si>
  <si>
    <t>She keeps bullying Zatch. Her toy car's name is "Je t'aime".</t>
  </si>
  <si>
    <t>E-013j</t>
  </si>
  <si>
    <t>[STANDBY] Your opponent can neither SACRIFICE nor PROTECT their Spell Book from Damage during the next Battle this turn.</t>
  </si>
  <si>
    <t>E-014</t>
  </si>
  <si>
    <t>Ponygon</t>
  </si>
  <si>
    <t>Turn 1 page of your opponent's Spell Book. Then, look at the currently open pages of your opponent's Spell Book.</t>
  </si>
  <si>
    <t>Series 1, Level 1, The Best Booster 1, Revised Edition, File 1: Zatch Bell &amp; Ponygon</t>
  </si>
  <si>
    <t>[SR]</t>
  </si>
  <si>
    <t>His real name is Schneider.</t>
  </si>
  <si>
    <t>E-015</t>
  </si>
  <si>
    <t>Volcan 300</t>
  </si>
  <si>
    <t>[STAY] Add 2000 Power to 1 of your in-play MAMODO cards until the END PHASE of the next turn.</t>
  </si>
  <si>
    <t>Zatch's "super-powered" friend that is made from an empty snack box and chopsticks.</t>
  </si>
  <si>
    <t>E-016</t>
  </si>
  <si>
    <t>Mr. Takamine (Seitaro Takamine)</t>
  </si>
  <si>
    <t>Look at your opponent's Spell Book. Select 1 SPELL card from any page (except the last page) and send it to the Discard Pile. Then, reduce your MP equal to the MP cost of the selected SPELL card (if you have less MP than that card's cost, reduce your MP to 0).</t>
  </si>
  <si>
    <t>Series 1, Level 2, The Best Booster 2</t>
  </si>
  <si>
    <t>Kiyo's father. He found and rescued Zatch in a forest in England.</t>
  </si>
  <si>
    <t>E-017</t>
  </si>
  <si>
    <t>Mrs. Takamine (Hana Takamine)</t>
  </si>
  <si>
    <t>Look at your opponent's Spell Book. Select 1 EVENT card from any page and send it to the Discard Pile. Then, reduce your MP equal to the MP cost of the selected EVENT card (if you have less MP than that EVENT card's cost, reduce your MP to 0).</t>
  </si>
  <si>
    <t>Kiyo's mother. She is aways concerned about Kiyo and Zatch.</t>
  </si>
  <si>
    <t>E-018e</t>
  </si>
  <si>
    <t>Folgore's Dance</t>
  </si>
  <si>
    <t>AD</t>
  </si>
  <si>
    <t>Reduce your opponent's MP by 4.</t>
  </si>
  <si>
    <t>Series 1, Level 2, The Best Booster 1, Revised Edition</t>
  </si>
  <si>
    <t>"Hey, Hey, Let's Dance all Day. Boing Boing, Boogie, Boogie, Boogie."</t>
  </si>
  <si>
    <t>E-018j</t>
  </si>
  <si>
    <t>Reduce your opponent's MP by 4. If you applied an effect that reduced your opponent's MP on the previous turn, no MP is reduced.</t>
  </si>
  <si>
    <t>E-019</t>
  </si>
  <si>
    <t>Kiyo's Anger</t>
  </si>
  <si>
    <t>Send 1 of your in-play MAMODO cards to the Discard Pile.</t>
  </si>
  <si>
    <t>"Guys...that's enough."</t>
  </si>
  <si>
    <t>E-020</t>
  </si>
  <si>
    <t>Megumi's Concert</t>
  </si>
  <si>
    <t>Apply the following effects in order: ● Get 3 MP ● Your opponent flips a coin; if it's heads, your opponent gets 3 MP.</t>
  </si>
  <si>
    <t>Series 1, Level 2, The Best Booster 1</t>
  </si>
  <si>
    <t>"I sing because I want to make people happy."</t>
  </si>
  <si>
    <t>E-021e</t>
  </si>
  <si>
    <t>Big Relief!</t>
  </si>
  <si>
    <t>This EVENT card can be played only when there are than 2 MAMODO cards in play. Apply 1 or both of the following effects: ● Turn 1 of your MAMODO cards to Normal Status. ● Get 2 MP.</t>
  </si>
  <si>
    <t>"Finally, there is someone I can trust in this battle..."</t>
  </si>
  <si>
    <t>E-021j</t>
  </si>
  <si>
    <t>This EVENT card can be played only when you have 2 or more MAMODO cards in play. Apply 1 or both of the following effects: ● Turn 1 of your Injured MAMODO cards to Normal Status. ● Get 2 MP.</t>
  </si>
  <si>
    <t>E-022e</t>
  </si>
  <si>
    <t>Kory</t>
  </si>
  <si>
    <t>Flip a coin; if it's heads, select 1 PARTNER card in your Discard Pile and put it in play.</t>
  </si>
  <si>
    <t>"Hey, you wanna be my friend?"</t>
  </si>
  <si>
    <t>E-022j</t>
  </si>
  <si>
    <t>Flip a coin; if it's heads, select 1 PARTNER card in your Discard Pile that was sent to the Discard Pile on this turn and put it in play.</t>
  </si>
  <si>
    <t>E-023</t>
  </si>
  <si>
    <t>Purpose of the Battle</t>
  </si>
  <si>
    <t>[STAY] Add 2000 Power to all of your MAMODO cards with a PARTNER card attached until the END PHASE of the next turn.</t>
  </si>
  <si>
    <t>Series 1, Level 2</t>
  </si>
  <si>
    <t>"Why do I have to team with such weak humans in battle?"</t>
  </si>
  <si>
    <t>E-024</t>
  </si>
  <si>
    <t>Professor Dartagnan</t>
  </si>
  <si>
    <t>[STAY] Select 1 of your opponent's in-play MAMODO cards. Your opponent can neither play SPELL cards for nor apply the effects of the selected MAMODO card during this turn.</t>
  </si>
  <si>
    <t>Series 1, Level 2, Level S, The Best Booster 1, Revised Edition</t>
  </si>
  <si>
    <t>Forest Spirit?</t>
  </si>
  <si>
    <t>E-025</t>
  </si>
  <si>
    <t>Yopopo's Dance</t>
  </si>
  <si>
    <t>[STAY] Your opponent cannot apply the effects of their MAMODO cards during this turn.</t>
  </si>
  <si>
    <t>Yopopo's mysterious song and dance somehow attracts other mamodo.</t>
  </si>
  <si>
    <t>E-026</t>
  </si>
  <si>
    <t>I Asked For Fish!</t>
  </si>
  <si>
    <t>Flip a coin twice; get MP equal to the number of heads you get times 2.</t>
  </si>
  <si>
    <t>"Eat it raw, it's better for you..."</t>
  </si>
  <si>
    <t>E-027</t>
  </si>
  <si>
    <t>Best Friends</t>
  </si>
  <si>
    <t>Apply both of the following effects in order: ● Your opponent sends all but 1 of their in-play PARTNER cards to the Discard Pile. If they have no PARTNER cards in play, they select 1 PARTNER card from any page of their Spell Book and put it in play. ● Send all but 1 of your in-play PARTNER cards to the Discard Pile. If you have none in play, select 1 PARTNER card from any page of your Spell Book and put it in play.</t>
  </si>
  <si>
    <t>"Together you and I will find a way to happiness. There's always a light at the end of the tunnel."</t>
  </si>
  <si>
    <t>E-028</t>
  </si>
  <si>
    <t>Nana Baba</t>
  </si>
  <si>
    <t>This EVENT card can be played only if your MP was reduced by your opponent's card effects during this turn. Get MP equal to the number of MP reduced by your opponent's card effects this turn.</t>
  </si>
  <si>
    <t>Supreme Power of the Golden Spell, Series 2, Level 3</t>
  </si>
  <si>
    <t>"My son is Tadashi, his wife is Hiromi."</t>
  </si>
  <si>
    <t>E-029</t>
  </si>
  <si>
    <t>Kiyo's Summer Vacation</t>
  </si>
  <si>
    <t>[STAY] You can play up to 3 EVENT cards (including this card) during this turn.</t>
  </si>
  <si>
    <t>"I promised my friend we'd go out together..."</t>
  </si>
  <si>
    <t>E-030e</t>
  </si>
  <si>
    <t>Double – 0 Folgore! Super Spy!</t>
  </si>
  <si>
    <t>Send 1 of your opponent's in-play PARTNER cards to the Discard Pile.</t>
  </si>
  <si>
    <t>Supreme Power of the Golden Spell, Series 2, Level 3, The Best Booster 1</t>
  </si>
  <si>
    <t>"You fell for me."</t>
  </si>
  <si>
    <t>E-030j</t>
  </si>
  <si>
    <t>"Bang! Bang!"</t>
  </si>
  <si>
    <t>E-031</t>
  </si>
  <si>
    <t>Naomi's Help</t>
  </si>
  <si>
    <t>D</t>
  </si>
  <si>
    <t>[STAY] You can SACRIFICE and PROTECT your Spell Book from Damage during this turn even when you are prohibited to do so.</t>
  </si>
  <si>
    <t>Supreme Power of the Golden Spell, Series 2, Level 3, The Best Booster 2</t>
  </si>
  <si>
    <t>"Nuaaaaaaaaaaaaaaa!"</t>
  </si>
  <si>
    <t>E-032</t>
  </si>
  <si>
    <t>Prime Yellowtail</t>
  </si>
  <si>
    <t>Get 5 MP.</t>
  </si>
  <si>
    <t>"Dig in Zatch! I'm all yours!"</t>
  </si>
  <si>
    <t>E-033</t>
  </si>
  <si>
    <t>Completed Job</t>
  </si>
  <si>
    <t>Move 1 MAMODO card from your Discard Pile to an empty page of your Spell Book.</t>
  </si>
  <si>
    <t>"I owe you one my boy..."</t>
  </si>
  <si>
    <t>E-034</t>
  </si>
  <si>
    <t>Princess Marie</t>
  </si>
  <si>
    <t>Select 1 Tia MAMODO card and 1 Megumi PARTNER card from any page of your Spell Book and put them in play.</t>
  </si>
  <si>
    <t>"The pride flowing in my blood cannot be disgraced by anyone!"</t>
  </si>
  <si>
    <t>E-035</t>
  </si>
  <si>
    <t>Praying Mantis Joe</t>
  </si>
  <si>
    <t>This EVENT card can be played only if your MP was reduced by your opponent's card effects during this turn. Turn 2 pages of your opponent's Spell Book.</t>
  </si>
  <si>
    <t>Supreme Power of the Golden Spell, Series 2, Level 3, The Best Booster 1, Revised Edition</t>
  </si>
  <si>
    <t>A popular children's TV show hero.</t>
  </si>
  <si>
    <t>E-036</t>
  </si>
  <si>
    <t>Volunlun</t>
  </si>
  <si>
    <t>Negate all [Stay] and [Standby] effects that prohibit players from playing SPELL cards, SACRIFICING or PROTECTING their Spell Book from Damage, or applying the effects of their MAMODO cards.</t>
  </si>
  <si>
    <t>Volunlun was victorious in the fight with Volcan 300.</t>
  </si>
  <si>
    <t>E-037</t>
  </si>
  <si>
    <t>The Phantom Thief Doronma</t>
  </si>
  <si>
    <t>Look at your opponent's Spell Book. Switch 1 card in the pages immediately before the currently open pages with 1 card in the pages immediately after the currently open pages (except the card in the last page).</t>
  </si>
  <si>
    <t>The Gathering Storm, Series 3, Level 3, The Best Booster 1, File 1: Zatch Bell &amp; Ponygon</t>
  </si>
  <si>
    <t>"My name is Kotaro Doronma."</t>
  </si>
  <si>
    <t>E-038</t>
  </si>
  <si>
    <t>Tia's Homemade Dish</t>
  </si>
  <si>
    <t>[STANDBY] Get 4 MP at the END PHASE of this turn.</t>
  </si>
  <si>
    <t>Supreme Power of the Golden Spell, Series 2, Zatch Bell and His Friends</t>
  </si>
  <si>
    <t>"I cooked it with all my heart. Enjoy it."</t>
  </si>
  <si>
    <t>E-039e</t>
  </si>
  <si>
    <t>Rushka</t>
  </si>
  <si>
    <t>Turn 1 page of your Spell Book and get 3 MP. In addition, you cannot play SPELL cards during this turn (this effect cannot be negated). Effects that turn pages of your Spell Book can be applied only once per turn (per player).</t>
  </si>
  <si>
    <t>Supreme Power of the Golden Spell, Series 2, Zatch Bell and His Friends, Revised Edition</t>
  </si>
  <si>
    <t>"My brother... I'm so happy."</t>
  </si>
  <si>
    <t>E-039j</t>
  </si>
  <si>
    <t>Turn 1 page of your Spell Book and get 3 MP. In addition, you cannot Attack during this turn (this effect cannot be negated). Effects that turn pages of your Spell Book can be applied only once per turn (per player).</t>
  </si>
  <si>
    <t>E-040</t>
  </si>
  <si>
    <t>Friends</t>
  </si>
  <si>
    <t>This EVENT card can be played only when you have 2 or more MAMODO cards in play. Turn all of your in-play MAMODO cards to Normal Status.</t>
  </si>
  <si>
    <t>1+1 can be 10... it's real friendship.</t>
  </si>
  <si>
    <t>E-041</t>
  </si>
  <si>
    <t>My Irritation Isn't Going Away!</t>
  </si>
  <si>
    <t>This EVENT card can be played only if you inflicted Damage or Injury during this turn. [STANDBY] Turn 1 page of your opponent's Spell Book at the END PHASE of this turn.</t>
  </si>
  <si>
    <t>The Gathering Storm, Series 3, Zeno and the Most Powerful Mamodo</t>
  </si>
  <si>
    <t>"How boring. That's it, you guys?"</t>
  </si>
  <si>
    <t>E-042</t>
  </si>
  <si>
    <t>Light and Darkness</t>
  </si>
  <si>
    <t>[STANDBY] Both players select 1 of their own in-play MAMODO cards at the END PHASE of this turn. All other in-play MAMODO cards are sent to the Discard Pile.</t>
  </si>
  <si>
    <t>Supreme Power of the Golden Spell, Series 2, Zeno and the Most Powerful Mamodo</t>
  </si>
  <si>
    <t>They look so alike. What is their relationship?</t>
  </si>
  <si>
    <t>E-043</t>
  </si>
  <si>
    <t>The Most Powerful Mamodo</t>
  </si>
  <si>
    <t>[STAY] Your opponent selects 1 of their in-play MAMODO cards. During this turn, your opponent cannot apply the effects of, nor can they SACRIFICE or PROTECT their Spell Book from Damage, with any other MAMODO cards they have in play except the selected MAMODO card.</t>
  </si>
  <si>
    <t>The lonely quest for each mamodo to become king continues.</t>
  </si>
  <si>
    <t>E-044</t>
  </si>
  <si>
    <t>Express Train</t>
  </si>
  <si>
    <t>Select 1 MAMODO or PARTNER card from the currently open pages of your Spell Book and put it in play.</t>
  </si>
  <si>
    <t>The Gathering Storm, Series 3, Special Box, The Best Booster 2, File 1: Zatch Bell &amp; Ponygon</t>
  </si>
  <si>
    <t>“Zatch, wait a minute!”</t>
  </si>
  <si>
    <t>E-045</t>
  </si>
  <si>
    <t>King of Freedom</t>
  </si>
  <si>
    <t>Look at your opponent's Spell Book. Select 1 card that prohibits you from applying MAMODO card effects, playing SPELL cards, OR SACRIFICING or PROTECTING your Spell Book from Damage, and send it to the Discard Pile.</t>
  </si>
  <si>
    <t>The Gathering Storm, Series 3, Special Box</t>
  </si>
  <si>
    <t>“I just want to travel freely.”</t>
  </si>
  <si>
    <t>E-046</t>
  </si>
  <si>
    <t>I'm Energized!</t>
  </si>
  <si>
    <t>Flip a coin a number of times equal to the number of your in-play MAMODO and PARTNER cards; get MP equal to the number of heads you get times 1.</t>
  </si>
  <si>
    <t>“Let’s go, everybody!”</t>
  </si>
  <si>
    <t>E-047</t>
  </si>
  <si>
    <t>Brutal Tia</t>
  </si>
  <si>
    <t>[STAY] Select 1 of your opponent's MAMODO cards. Your opponent cannot play SPELL cards for the selected MAMODO card during this turn.</t>
  </si>
  <si>
    <t>“Give me a break!”</t>
  </si>
  <si>
    <t>E-048</t>
  </si>
  <si>
    <t>Trust</t>
  </si>
  <si>
    <t>[STAY] Add 1000 Power times the number of your in-play MAMODO cards to all of your in-play MAMODO cards until the END PHASE of the next turn.</t>
  </si>
  <si>
    <t>The Gathering Storm, Series 3, Special Box, File 1: Zatch Bell &amp; Ponygon</t>
  </si>
  <si>
    <t>The trust between everybody makes them grow stronger.</t>
  </si>
  <si>
    <t>E-049</t>
  </si>
  <si>
    <t>Folgore's Radio-Controlled Car</t>
  </si>
  <si>
    <t>Apply 1 of the following effects: ● Both players get 2 MP. ● Reduce both players' MP by 2.</t>
  </si>
  <si>
    <t>The Gathering Storm, Series 3, Special Box, The Best Booster 2</t>
  </si>
  <si>
    <t>“Oh, cool!”</t>
  </si>
  <si>
    <t>E-050</t>
  </si>
  <si>
    <t>Wife</t>
  </si>
  <si>
    <t>Look at your opponent's Spell Book and their Discard Pile. Select 1 card from any of the pages that shares a card name with a card in their Discard Pile and send it to the Discard Pile.</t>
  </si>
  <si>
    <t>Supreme Power of the Golden Spell, Series 2, Level 4, The Best Booster 1</t>
  </si>
  <si>
    <t>"Oh, happy day! Oh, wonderful day!"</t>
  </si>
  <si>
    <t>E-051</t>
  </si>
  <si>
    <t>Will You Help Me Fight?</t>
  </si>
  <si>
    <t>Select as many PARTNER cards as you desire from any page of your Spell Book and put them in play (only 1 PARTNER card can be attached to each MAMODO card unless stated otherwise).</t>
  </si>
  <si>
    <t>Supreme Power of the Golden Spell, Series 2, Level 4, The Best Booster 2</t>
  </si>
  <si>
    <t>"Folgore, will you help me fight?" "Why not, Kanchome?"</t>
  </si>
  <si>
    <t>E-052</t>
  </si>
  <si>
    <t>Lying</t>
  </si>
  <si>
    <t>Select 1 card's effects that were negated by your opponent during this turn. That card and/or its effects are considered to be unused, and any MP costs paid and cards that were sent to the Discard Pile to apply the effects are restored.</t>
  </si>
  <si>
    <t>The Gathering Storm, Series 3, Level 4, The Best Booster 1</t>
  </si>
  <si>
    <t>"Hahahaha... I told you a lie."</t>
  </si>
  <si>
    <t>E-053</t>
  </si>
  <si>
    <t>I Won't Let You Pass!</t>
  </si>
  <si>
    <t>Injure 1 of your in-play MAMODO cards and negate your opponent's Attack, regardless of whether the Attack would inflict Damage or not.</t>
  </si>
  <si>
    <t>The Gathering Storm, Series 3, Level 4, File 1: Zatch Bell &amp; Ponygon, Revised Edition</t>
  </si>
  <si>
    <t>Bari's fist froze when he saw the strong will in Zatch's eyes.</t>
  </si>
  <si>
    <t>E-054</t>
  </si>
  <si>
    <t>Mysterious Stone Tablets</t>
  </si>
  <si>
    <t>Send 1 of your opponent's in-play MAMODO cards with [Send this card to the Discard Pile] to the Discard Pile.</t>
  </si>
  <si>
    <t>The Gathering Storm, Series 3, Level 4</t>
  </si>
  <si>
    <t>Kiyo decided to explore the mysterious stone tablet with an open mind.</t>
  </si>
  <si>
    <t>E-055</t>
  </si>
  <si>
    <t>Kane</t>
  </si>
  <si>
    <t>[STAY] Select 1 of your opponent's in-play MAMODO cards with no PARTNER card attached. The selected MAMODO card cannot have any PARTNER cards attached to it during this game.</t>
  </si>
  <si>
    <t>Dawn of the Ancients, Series 4, Level 5</t>
  </si>
  <si>
    <t>A bully in Kiyo's class who becomes his friend before he knows it.</t>
  </si>
  <si>
    <t>E-056</t>
  </si>
  <si>
    <t>Please Don't, My Lord</t>
  </si>
  <si>
    <t>[STAY] Your opponent cannot apply the effects of their in-play cards during this turn.</t>
  </si>
  <si>
    <t>Dawn of the Ancients, Series 4, Level 5, Level S, Revised Edition</t>
  </si>
  <si>
    <t>"Please don't~ my lord~"</t>
  </si>
  <si>
    <t>E-056 alt</t>
  </si>
  <si>
    <t>E-057</t>
  </si>
  <si>
    <t>Cook</t>
  </si>
  <si>
    <t>Select 1 of your opponent's MAMODO cards with 2 or more cards on it. Leave the bottom card and send the rest to the Discard Pile. [STAY] Your opponent cannot apply the effects of the selected MAMODO card during this turn.</t>
  </si>
  <si>
    <t>Dawn of the Ancients, Series 4 Level 5</t>
  </si>
  <si>
    <t>A cook who had been trapped in an old castle. He told Zatch Baltro's weak point.</t>
  </si>
  <si>
    <t>E-058</t>
  </si>
  <si>
    <t>This Must Be Love</t>
  </si>
  <si>
    <t>Flip a coin until you get tails; get the same number of MP as heads you get during the flip(s) times 2. If you get 5 or more heads during your flips, turn 1 page of your Spell Book instead.</t>
  </si>
  <si>
    <t>"My heart flew right out of my chest... It felt like it was going to burst!"</t>
  </si>
  <si>
    <t>E-059</t>
  </si>
  <si>
    <t>Present</t>
  </si>
  <si>
    <t>Reduce your MP by 1 to give your opponent 1 MP. [STANDBY] Your opponent reduces their MP by 3 to give you 3 MP at the END PHASE of the next turn. If your opponent has less than 3 MP at the END PHASE of the next turn, turn 1 page of their Spell Book instead.</t>
  </si>
  <si>
    <t>"This is for you, Zatch. It was true love... True love!"</t>
  </si>
  <si>
    <t>E-060e</t>
  </si>
  <si>
    <t>Wake Up Mamodo from a Thousand Years Ago</t>
  </si>
  <si>
    <t>Select as many Stone Tablet MAMODO cards as you desire from any pages of your Spell Book and put them in play (maximum 3 MAMODO cards in play per player).</t>
  </si>
  <si>
    <t>Dawn of the Ancients, Series 4, Level 5, Revised Edition</t>
  </si>
  <si>
    <t>"Now, wake up!"</t>
  </si>
  <si>
    <t>E-060j</t>
  </si>
  <si>
    <t>Apply 1 or both of the following effects in any order: ● Select as many Stone Tablet MAMODO cards as you desire from any pages of your Spell Book and put them in play (maximum 3 MAMODO cards in play per player). ● Turn all of your Petrified MAMODO cards to Normal Status.</t>
  </si>
  <si>
    <t>E-061</t>
  </si>
  <si>
    <t>I Told You I'd Be Back!</t>
  </si>
  <si>
    <t>Move 1 MAMODO card from your Discard Pile into play.</t>
  </si>
  <si>
    <t>"I'm back for you, Zaaaaaaatch!!"</t>
  </si>
  <si>
    <t>E-062</t>
  </si>
  <si>
    <t>I Can See The Light...</t>
  </si>
  <si>
    <t>This EVENT card can be played only if you have 1 MP or less. Adjust your MP until you have 5 MP. This effect can be applied even when you are prohibited to get MP.</t>
  </si>
  <si>
    <t>"Thank you... Tia, Megumi. We'll fight, together..."</t>
  </si>
  <si>
    <t>E-063</t>
  </si>
  <si>
    <t>We'll Win No Matter What!</t>
  </si>
  <si>
    <t>Superior</t>
  </si>
  <si>
    <t>This EVENT card can be played only if you have fewer remaining pages in your Spell Book than your opponent. Turn 2 pages of your opponent's Spell Book.</t>
  </si>
  <si>
    <t>"Zatch and Kiyo and everyone else are putting up a good fight, so I have to do my part!"</t>
  </si>
  <si>
    <t>E-064</t>
  </si>
  <si>
    <t>Don't Underestimate Us</t>
  </si>
  <si>
    <t>[STAY] Your opponent cannot play EVENT cards during this turn.</t>
  </si>
  <si>
    <t>"A good warrior would know better than to take my shield lightly!"</t>
  </si>
  <si>
    <t>E-065</t>
  </si>
  <si>
    <t>Relaxation</t>
  </si>
  <si>
    <t>[STANDBY] At the END PHASE of this turn, you do not turn 1 page of your Spell Book, nor do you get 2 MP.</t>
  </si>
  <si>
    <t>"You're contaminating our drinking water!"</t>
  </si>
  <si>
    <t>E-066</t>
  </si>
  <si>
    <t>Assume The "V" Position!</t>
  </si>
  <si>
    <t>Select 1 of your in-play MAMODO cards. During the next turn, SPELL cards can be played for the selected MAMODO card, and its effects can be applied, even when you are prohibited to do so. This effect is [STANDBY] during this turn, and [STAY] during the next turn.</t>
  </si>
  <si>
    <t>"So... So cool!!"</t>
  </si>
  <si>
    <t>E-067</t>
  </si>
  <si>
    <t>Dawn of the Ancients, Series 4, Level 0</t>
  </si>
  <si>
    <t>"Gogogogogogo..."</t>
  </si>
  <si>
    <t>E-068</t>
  </si>
  <si>
    <t>His Name is Zeno</t>
  </si>
  <si>
    <t>Injure 1 of your opponent's in-play MAMODO cards.</t>
  </si>
  <si>
    <t>Zeno. He resembles Zatch, but his true character is...</t>
  </si>
  <si>
    <t>E-069</t>
  </si>
  <si>
    <t>Following in their Footsteps</t>
  </si>
  <si>
    <t>[STANDBY] Select 1 MAMODO card from your Discard Pile. Only once during this turn (per player), the selected card's effects with [X MP], [Declare to use], and [Send this card to the Discard Pile] can be applied (for [X MP], pay the MP cost as normal, for [Send this card to the Discard Pile], declare the effect without discarding).</t>
  </si>
  <si>
    <t>Secrets of the Ruins, Level 0</t>
  </si>
  <si>
    <t>Carrying each of their feelings within his heart, Zatch continues to grow big and strong.</t>
  </si>
  <si>
    <t>E-070</t>
  </si>
  <si>
    <t>The Dark Road to Supremacy</t>
  </si>
  <si>
    <t>Send 1 of your opponent's in-play cards (except MAMODO cards) to the Discard Pile.</t>
  </si>
  <si>
    <t>"Those two... are the tremendous wall that we'll have to scale someday."</t>
  </si>
  <si>
    <t>E-071</t>
  </si>
  <si>
    <t>The Entrusted Book</t>
  </si>
  <si>
    <t>Apply both of the following effects: ● [STAY] During this turn, your Spell Book does not receive Damage and your opponent cannot turn pages of your Spell Book with their effects. ● [STAY] You cannot play SPELL and EVENT cards until the END PHASE of the next turn (this effect cannot be negated).</t>
  </si>
  <si>
    <t>"As long as Zatch's book is here, he can't disappear."</t>
  </si>
  <si>
    <t>E-072</t>
  </si>
  <si>
    <t>Lend Us Your Power</t>
  </si>
  <si>
    <t>1 effect that targets a specific MAMODO card or the MAMODO card of a PARTNER card you have in play can be applied for any of your in-play MAMODO cards.</t>
  </si>
  <si>
    <t>"Energy is flowing through our hearts. I feel new power... from our friends!"</t>
  </si>
  <si>
    <t>E-073</t>
  </si>
  <si>
    <t>Combination Dance</t>
  </si>
  <si>
    <t>Reduce your opponent's MP by 6. If you applied an effect that reduced your opponent's MP on the previous turn, no MP is reduced.</t>
  </si>
  <si>
    <t>"If he thinks this is boring, we're done for!"</t>
  </si>
  <si>
    <t>E-074</t>
  </si>
  <si>
    <t>Punish Directly with the Chair</t>
  </si>
  <si>
    <t>This EVENT card can be played if you or your MAMODO cards received Damage or Injury during this turn. Injure 1 of your opponent's MAMODO cards. This Injury can neither be SACRIFICED nor PROTECTED against.</t>
  </si>
  <si>
    <t>"You're... you're able to stand?!"</t>
  </si>
  <si>
    <t>E-075</t>
  </si>
  <si>
    <t>The Bad Omen Force</t>
  </si>
  <si>
    <t>This EVENT card is put in play by the "Animuto" effect (as many times as you desire). The following effects can be applied when this EVENT card is in play. Applying these effects is not considered to be playing an EVENT card. ● [1 MP] This card may Attack without using a SPELL card (Total Power=6000, Damage=1). ● [IN PLAY] This EVENT card can SACRIFICE or PROTECT your Spell Book from 1 infliction of Damage. When this card receives Damage or Injury, send it to the Discard Pile.</t>
  </si>
  <si>
    <t>A group of evil fortune-tellers who appear in the popular manga, "Soldiers of Destiny: The Good Omen Force."</t>
  </si>
  <si>
    <t>E-076</t>
  </si>
  <si>
    <t>Stone of Moonlight Fragment</t>
  </si>
  <si>
    <t>Apply 1 or both of the following effects in any order: ● Get 4 MP. ● Turn all your Petrified MAMODO cards to Normal Status.</t>
  </si>
  <si>
    <t>"This is the moonlight that released us from the stone tablets."</t>
  </si>
  <si>
    <t>E-077</t>
  </si>
  <si>
    <t>My King</t>
  </si>
  <si>
    <t>[STANDBY] Select 1 EVENT card from any page of your Spell Book. The selected EVENT card can be played with a 0 MP cost during this turn (the number of EVENT cards you can play during this turn will then be 2, including this card).</t>
  </si>
  <si>
    <t>“I want to tell you, Dr. Riddles... that you’ll always be my king.”</t>
  </si>
  <si>
    <t>E-078</t>
  </si>
  <si>
    <t>Groovy!</t>
  </si>
  <si>
    <t>This EVENT card can be played only if you inflicted Damage or Injury during this turn. Turn back 1 page of your Spell Book. Effects that turn back pages of your Spell Book can be applied only once per turn (per player).</t>
  </si>
  <si>
    <t>"Ponygon... that was groovy."</t>
  </si>
  <si>
    <t>E-079</t>
  </si>
  <si>
    <t>Might x Blight</t>
  </si>
  <si>
    <t>Apply 1 or both of the following effects in order: ● Select 1 MAMODO card you have in play with the highest Power and send all of your other in-play MAMODO cards to the Discard Pile. ● When you only have 1 MAMODO card in play, select 1 MAMODO card your opponent has in play with the highest Power (if it's a tie, they choose which one) and send all of their other in-play MAMODO cards to the Discard Pile.</t>
  </si>
  <si>
    <t>To turn back the gears of fate, the final battle begins.</t>
  </si>
  <si>
    <t>E-080</t>
  </si>
  <si>
    <t>Skydiving</t>
  </si>
  <si>
    <t>Select up to 3 MAMODO cards (except Stone Tablet MAMODO cards) or PARTNER cards (that are not attached to Stone Tablet MAMODO cards) from any page of your Spell Book and put them in play.</t>
  </si>
  <si>
    <t>Kiyo and his friends decided to camp by the shores of Mt. Fuji during their summer vacation.</t>
  </si>
  <si>
    <t>E-081</t>
  </si>
  <si>
    <t>Gateway to the Mamodo World</t>
  </si>
  <si>
    <t>Select each of your opponent's in-play MAMODO cards and send them to the Discard Pile if the selected MAMODO's card name matches the name of any cards in your opponent's Discard Pile.</t>
  </si>
  <si>
    <t>Any mamodo who fails to return to the human world within 24 hours will forcibly have their spell book sapped of all its magical energy.</t>
  </si>
  <si>
    <t>E-082</t>
  </si>
  <si>
    <t>Believing in Zatch</t>
  </si>
  <si>
    <t>[STAY] Until the END PHASE of the next turn, you are considered to have 1 each of Kanchomé, Tia, and Ponygon Token MAMODO cards in play (they are exempt from the 3 MAMODO card limit and the duplicate card names limit). • Send all 3 Token MAMODO cards to the Discard Pile when this effect expires. • Their attached PARTNER cards are sent to the Discard Pile when this effect expires. • DUAL / VS MAMODO put in play are not discarded when this effect expires.</t>
  </si>
  <si>
    <t>“When Zatch gets back, he’ll break your nose! I just know he will!”</t>
  </si>
  <si>
    <t>E-082-TM1</t>
  </si>
  <si>
    <t>Kanchomé</t>
  </si>
  <si>
    <t>Token</t>
  </si>
  <si>
    <t>This card is put in play in Injured Status by the effect of the Believing in Zatch EVENT card and is removed from the game when it is sent to the Discard Pile. SPELL cards can be played for this MAMODO card and a Parco Folgore PARTNER card can be attached to this MAMODO card. This MAMODO card can also be discarded to put DUAL and VS MAMODO in play.</t>
  </si>
  <si>
    <t>Kanchomé... Tia... Ponygon... The faith they all have in Zatch has pushed them to great new heights.</t>
  </si>
  <si>
    <t>E-082-TM2</t>
  </si>
  <si>
    <t>Tia</t>
  </si>
  <si>
    <t>This card is put in play in Injured Status by the effect of the Believing in Zatch EVENT card and is removed from the game when it is sent to the Discard Pile. SPELL cards can be played for this MAMODO card and a Megumi PARTNER card can be attached to this MAMODO card. This MAMODO card can also be discarded to put DUAL and VS MAMODO in play.</t>
  </si>
  <si>
    <t>E-082-TM3</t>
  </si>
  <si>
    <t>This card is put in play in Injured Status by the effect of the Believing in Zatch EVENT card and is removed from the game when it is sent to the Discard Pile. SPELL cards can be played for this MAMODO card and a Kafk Sunbeam PARTNER card can be attached to this MAMODO card. This MAMODO card can also be discarded to put DUAL and VS MAMODO in play.</t>
  </si>
  <si>
    <t>E-083</t>
  </si>
  <si>
    <t>Beating Up My Body?!</t>
  </si>
  <si>
    <t>This EVENT card can be played only if your opponent Attacked more than once during this turn. Turn pages of your opponent's Spell Book equal to the number of times your opponent Attacked during this turn times 1.</t>
  </si>
  <si>
    <t>"What is happening?! My body is receiving a pounding!"</t>
  </si>
  <si>
    <t>E-084</t>
  </si>
  <si>
    <t>Don't Bully My Beautiful Body!</t>
  </si>
  <si>
    <t>[STAY] Select 1 of the following card types: MAMODO, PARTNER, MJ12, or EVENT cards. Neither player can apply the effects of the selected card type during this turn (this card's effects are still applied regardless).</t>
  </si>
  <si>
    <t>"Ow, oww!!"</t>
  </si>
  <si>
    <t>E-085</t>
  </si>
  <si>
    <t>Eve of a Decisive Battle</t>
  </si>
  <si>
    <t>[STANDBY] At the END PHASE of this turn, apply 1 or both of the following effects in any order: ● Negate all of your opponent's [Stay] and [Standby] effects. ● Turn all of your Petrified MAMODO cards to Normal Status.</t>
  </si>
  <si>
    <t>Victoream and Laila. They share various things in common with their assigned human partners.</t>
  </si>
  <si>
    <t>E-086</t>
  </si>
  <si>
    <t>Nurse</t>
  </si>
  <si>
    <t>Move 1 MAMODO, PARTNER, or MJ12 card from your Discard Pile into play.</t>
  </si>
  <si>
    <t>"Now, now... We can't have this, Kiyo."</t>
  </si>
  <si>
    <t>E-087</t>
  </si>
  <si>
    <t>Lady Susan Chop</t>
  </si>
  <si>
    <t>This EVENT card can be played only if you have a Lady Susan MJ12 card in play. [STAY] Your opponent can neither Attack nor Defend during this turn.</t>
  </si>
  <si>
    <t>"Yeaaah!"</t>
  </si>
  <si>
    <t>E-088</t>
  </si>
  <si>
    <t>My Voice Is Reaching You</t>
  </si>
  <si>
    <t>Select 1 of your in-play MAMODO or Stone Tablet MAMODO cards and apply 1 or both of the following effects in any order: ● Turn the selected MAMODO card to Normal Status. ● Negate all [Stay] and [Standby] effects that prohibit the selected MAMODO card from playing SPELL cards, applying its effects, and/or applying the effects of its attached PARTNER card (any unselected cards remain as targets for these effects).</t>
  </si>
  <si>
    <t>"Albert...? You're listening... My voice is reaching you!"</t>
  </si>
  <si>
    <t>E-089</t>
  </si>
  <si>
    <t>Marriage</t>
  </si>
  <si>
    <t>Select 1 of your in-play MAMODO cards and 1 of your opponent's in-play MAMODO cards. Then, apply 1 of of the following effects: ● If your opponent accepts, both players move their selected MAMODO card to an empty page of their Spell Book. ● If your opponent does not accept, turn 1 page of their Spell Book.</t>
  </si>
  <si>
    <t>"If I marry her... the next thing you know, she’ll wanna have a little baby mamodo..."</t>
  </si>
  <si>
    <t>E-090</t>
  </si>
  <si>
    <t>The Stone of Moonlight</t>
  </si>
  <si>
    <t>Apply both of the following effects: ● [STAY] At each player's END PHASE during this game, both players turn their Injured and Petrified MAMODO to Normal Status. ● [STAY] Get 1 MP at each player's END PHASE during this game (this effect cannot be duplicated).</t>
  </si>
  <si>
    <t>A huge stone of moonlight is kept in a room on the top floor of the Devolo Ruins.</t>
  </si>
  <si>
    <t>E-091</t>
  </si>
  <si>
    <t>Open Your Eyes</t>
  </si>
  <si>
    <t>Turn 1 of your Injured or Petrified MAMODO cards to Normal Status. Then, get 2 MP. This effect cannot be negated by your opponent's cut-in effects.</t>
  </si>
  <si>
    <t>"Please... open your eyes... Wonrei... please..."</t>
  </si>
  <si>
    <t>E-092</t>
  </si>
  <si>
    <t>I'm Sorry</t>
  </si>
  <si>
    <t>Move up to 2 MAMODO cards without [Send this card to the Discard Pile] from your Discard Pile into play.</t>
  </si>
  <si>
    <t>"I'm so sorry, Zatch... My love..."</t>
  </si>
  <si>
    <t>E-093</t>
  </si>
  <si>
    <t>A Dark Hope</t>
  </si>
  <si>
    <t>[STANDBY] After applying this effect, only once during this game (per player), you may select 1 MAMODO card from any page of your Spell Book and put it in play during either player's BATTLE PHASE.</t>
  </si>
  <si>
    <t>In the throes of a desperate situation... Brago and Sherry appeared.</t>
  </si>
  <si>
    <t>E-094</t>
  </si>
  <si>
    <t>Bonjour</t>
  </si>
  <si>
    <t>Intermediate</t>
  </si>
  <si>
    <t>This EVENT card can be played only when both players each have exactly 1 MAMODO card in play. [STAY] Neither player can put any more MAMODO cards in play during this game. This effect is negated when either player no longer has any MAMODO cards in play.</t>
  </si>
  <si>
    <t>"Bonjour, Sherry."</t>
  </si>
  <si>
    <t>E-095</t>
  </si>
  <si>
    <t>The Strongest Will</t>
  </si>
  <si>
    <t>Injure 1 of your MAMODO cards. Then, your opponent cannot declare an Attack during this turn ([STAY]).</t>
  </si>
  <si>
    <t>Brago was forced to take Zofis' strongest attack spell head-on.</t>
  </si>
  <si>
    <t>E-096</t>
  </si>
  <si>
    <t>The Sun and The Moon</t>
  </si>
  <si>
    <t>Negate 1 [Stay] or [Standby] effect that remains active for the duration of the game.</t>
  </si>
  <si>
    <t>“Put these rings on and wear them during bad times. In the daytime, the sun… at night, the moon. Their light will protect us from harm.”</t>
  </si>
  <si>
    <t>E-097</t>
  </si>
  <si>
    <t>Plan E (Emergency)</t>
  </si>
  <si>
    <t>[STANDBY] After applying this effect, only once during this game (per player), you may negate 1 of your opponent's card effects that target 2 or more of your in-play MAMODO cards.</t>
  </si>
  <si>
    <t>"Take the hand of the one next to you and fight together as two teams!"</t>
  </si>
  <si>
    <t>E-098</t>
  </si>
  <si>
    <t>I Will Be Your Friend!</t>
  </si>
  <si>
    <t>[STAY] Select 1 of your opponent's MAMODO cards and move it to your side of play until the END PHASE of your next turn. This effect can be applied only once per game (per player). MAMODO card area rules still apply for the selected card. ● The selected MAMODO card can be used as if it were your own. ● At the END PHASE of your next turn, your opponent can either send the selected MAMODO card to the Discard Pile (even when prohibited), or return it to their side of play.</t>
  </si>
  <si>
    <t>I won't let them turn you back into stone, no matter what..."</t>
  </si>
  <si>
    <t>E-099</t>
  </si>
  <si>
    <t>Holding Hands</t>
  </si>
  <si>
    <t>Apply 1 of the following effects: ● Move all cards in your Discard Pile to empty pages of your Spell Book. ● Your opponent moves all cards in their Discard Pile to empty pages of their Spell Book.</t>
  </si>
  <si>
    <t>"I can't wait to play with you all... in the mamodo world..."</t>
  </si>
  <si>
    <t>E-100</t>
  </si>
  <si>
    <t>Something Inside, Welling Up</t>
  </si>
  <si>
    <t>[STANDBY] You can play 1 SPELL card from any page of your Spell Book. In addition, reduce the MP cost of the SPELL card by 5. This effect can be applied only once per game (per player).</t>
  </si>
  <si>
    <t>The spell book glows, and a new spell appears. "Become the key to finishing this battle!"</t>
  </si>
  <si>
    <t>E-101</t>
  </si>
  <si>
    <t>Very Melon</t>
  </si>
  <si>
    <t>Apply 1 or both of the following effects in order: ● Negate either all active [Stay] OR [Standby] card effects. ● [STAY] Your opponent cannot apply the effects of their EVENT cards during this turn.</t>
  </si>
  <si>
    <t>"Melting in your mouth, Very Melon! One-two, one-two... Very Melon!"</t>
  </si>
  <si>
    <t>E-102</t>
  </si>
  <si>
    <t>Let's Sing Together</t>
  </si>
  <si>
    <t>Apply both of the following effects in order: ● Get 3 MP. ● Your opponent flips a coin; if it's heads, they get 3 MP; if it's tails, reduce their MP by 3.</t>
  </si>
  <si>
    <t>"Can I sing along with you guys too? I wanna sing along!"</t>
  </si>
  <si>
    <t>E-103</t>
  </si>
  <si>
    <t>Decisive Battle</t>
  </si>
  <si>
    <t>Apply 1 or both of the following effects in order: ● Send any number of your in-play MAMODO cards to the Discard Pile. ● Select any number of Stone Tablet MAMODO cards from any page of your Spell Book or your Discard Pile and put them in play (except MAMODO cards sent to the Discard Pile by this card's effect).</t>
  </si>
  <si>
    <t>"You may come out now, my ancient warriors!"</t>
  </si>
  <si>
    <t>E-104</t>
  </si>
  <si>
    <t>The Stone Curse</t>
  </si>
  <si>
    <t>[STANDBY] After applying this effect, only once during this game (per player), you may perform 1 of the following Actions: ● Petrify 1 of either player's in-play MAMODO cards. ● Turn 1 of either player's Petrified MAMODO cards to Normal Status.</t>
  </si>
  <si>
    <t>"If this light ceases to shine on you... you will turn back into stone!"</t>
  </si>
  <si>
    <t>E-105</t>
  </si>
  <si>
    <t>You Fool!</t>
  </si>
  <si>
    <t>Apply 1 or both of the following effects in order: ● Send any number of your in-play PARTNER cards to the Discard Pile. ● Select a number of PARTNER cards from any page of your Spell Book or Discard Pile equal to the amount you sent to the Discard Pile by the previous effect and put them in play (except PARTNER cards that were sent to the Discard Pile by the previous effect).</t>
  </si>
  <si>
    <t>"What the heck are you doing? Why can't you use the spell?!"</t>
  </si>
  <si>
    <t>E-106</t>
  </si>
  <si>
    <t>I've Got You, Koko...</t>
  </si>
  <si>
    <t>[STAY] Select 1 of your opponent's in-play PARTNER cards. Your opponent cannot apply the effects of any PARTNER cards with the same card name as the selected PARTNER card during this game.</t>
  </si>
  <si>
    <t>"I've got you, Koko... Finally... finally..."</t>
  </si>
  <si>
    <t>E-107</t>
  </si>
  <si>
    <t>The Last Kiss</t>
  </si>
  <si>
    <t>Move 1 PARTNER card from your Discard Pile into play, even if you don't have the respective MAMODO card in play to attach it to. This effect can be applied only once per game (per player). ● Regardless of whether you have a MAMODO card to attach it to or not, the selected PARTNER card remains in play after this turn. ● The effects of a PARTNER card in play that is not attached to a MAMODO card can be applied.</t>
  </si>
  <si>
    <t>“You were the best partner a mamodo could ever have. Thank you.”</t>
  </si>
  <si>
    <t>E-108</t>
  </si>
  <si>
    <t>Welcome Back!</t>
  </si>
  <si>
    <t>This EVENT card can be played only when you are on the 22nd page or higher of your Spell Book and you have no MAMODO cards in your Discard Pile. Turn 2 pages of your opponent's Spell Book. This effect can be applied only once per game (per player).</t>
  </si>
  <si>
    <t>"Zatch and Kiyo are coming back today! I don't know how I know, but I just do!"</t>
  </si>
  <si>
    <t>E-109</t>
  </si>
  <si>
    <t>I Will Make You King!</t>
  </si>
  <si>
    <t>[STAY] Select 1 of your in-play MAMODO cards. The selected MAMODO card can neither be sent to the Discard Pile by your opponent's card effects, nor can it receive Damage or Injury by your opponent, during this game (except when it SACRIFICES or PROTECTS your Spell Book from Damage).</t>
  </si>
  <si>
    <t>"I will make you king even if it costs me my life! I swear... I swear!"</t>
  </si>
  <si>
    <t>E-110</t>
  </si>
  <si>
    <t>Mr. Nakata (Hidetoshi Nakata)</t>
  </si>
  <si>
    <t>Count the total number of [Stay] and [Standby] effects that are currently in effect for this game (effects that are unable to be confirmed when you declare the play of this card are excluded). If there are 3 or more, all of those effects are negated.</t>
  </si>
  <si>
    <t>Kiyo's math teacher. He loves his wife very much.</t>
  </si>
  <si>
    <t>E-111</t>
  </si>
  <si>
    <t>Mr. Toyama</t>
  </si>
  <si>
    <t>This EVENT card can be played only when your opponent has 0 MP. [STAY] Your opponent cannot get MP during this turn (including at their END PHASE).</t>
  </si>
  <si>
    <t>"Fine! Maybe I am the worst teacher in the whole world!"</t>
  </si>
  <si>
    <t>E-112</t>
  </si>
  <si>
    <t>Miss Wriggle</t>
  </si>
  <si>
    <t>This EVENT card can be played only when you are on the 11th page or lower of your Spell Book. [STAY] Your Spell Book and all of your MAMODO cards can neither receive Damage or Injury, nor can your MAMODO cards be sent to the Discard Pile by your opponent's card effects, during this turn.</t>
  </si>
  <si>
    <t>"Oh ho ho. Come on, bring on the lovesickness. More lovesickness! ♡"</t>
  </si>
  <si>
    <t>E-113</t>
  </si>
  <si>
    <t>Searching For A Gift!</t>
  </si>
  <si>
    <t>Declare 1 card name without looking at your opponent’s Spell Book. Your opponent sends 1 card of the same card name from any page of their Spell Book to the Discard Pile. If your opponent does not have a card of that name, you can look through their Spell Book to check (this is not considered to be looking at your opponent’s Spell Book). This effect can be applied only once per game (per player).</t>
  </si>
  <si>
    <t>"Let's all look for a housewarming gift for Mr. Sunbeam!"</t>
  </si>
  <si>
    <t>E-114</t>
  </si>
  <si>
    <t>An Awkward Friendship</t>
  </si>
  <si>
    <t>[STAY] Add 2000 Power to 2 of of your in-play MAMODO cards during this game. This effect is negated when either of those MAMODO cards leave play. This effect can be applied only once per game (per player).</t>
  </si>
  <si>
    <t>"Hey, hold your hand out. I'm gonna give you my last gumball."</t>
  </si>
  <si>
    <t>E-115</t>
  </si>
  <si>
    <t>Speaking to the Wind</t>
  </si>
  <si>
    <t>This EVENT card can be played only when you have 2 MAMODO and PARTNER cards in play. Get 4 MP.</t>
  </si>
  <si>
    <t>"I think this town is fine. The ocean is close, and the way the wind blows isn't bad either."</t>
  </si>
  <si>
    <t>E-116</t>
  </si>
  <si>
    <t>Secret Base</t>
  </si>
  <si>
    <t>"Who are you?! You've walked in on my secret base!"</t>
  </si>
  <si>
    <t>E-117</t>
  </si>
  <si>
    <t>Strategic Retreat!</t>
  </si>
  <si>
    <t>Move as many of your in-play cards as you desire to any of the empty pages of your Spell Book.</t>
  </si>
  <si>
    <t>"We'll withdraw, Arth. Drop your sword."</t>
  </si>
  <si>
    <t>E-118</t>
  </si>
  <si>
    <t>The Two Menaces</t>
  </si>
  <si>
    <t>Look at your opponent's Spell Book. Select 1 SPELL and 1 EVENT card from any of the pages (except the currently open pages) and send them to the Discard Pile.</t>
  </si>
  <si>
    <t>One is Bao, and the other is Faudo. What are the two threats?</t>
  </si>
  <si>
    <t>E-119</t>
  </si>
  <si>
    <t>Promise to Become the King</t>
  </si>
  <si>
    <t>[STANDBY] Select 3 of your in-play MAMODO cards. After applying this effect, if you have only 1 MAMODO card in play at any time during the game, and it is one of the 3 selected MAMODO cards, turn 2 pages of your opponent's Spell Book (this effect cannot be duplicated).</t>
  </si>
  <si>
    <t>"One of you standing here... will surely become the king of the mamodo world!"</t>
  </si>
  <si>
    <t>E-120</t>
  </si>
  <si>
    <t>Volcan VS Volunlun</t>
  </si>
  <si>
    <t>Apply both of the following effects in order: ● Negate all [Stay] and [Standby] effects that prohibit either player from playing SPELL cards, applying MAMODO card effects, and SACRIFICING or PROTECTING their Spell Book from Damage. ● [STAY] Add 3000 Power to all of your in-play MAMODO during this turn.</t>
  </si>
  <si>
    <t>Volcan 300 and Volunlun. It's boys versus girls in the ultimate showdown!</t>
  </si>
  <si>
    <t>E-121</t>
  </si>
  <si>
    <t>Ponygon's Mama</t>
  </si>
  <si>
    <t>[STAY] Any cards you have in play and in your Spell Book with the card name "Ponygon" cannot be sent to the Discard Pile by card effects during this game. ● Cards named Ponygon with parentheses "()" are named "Ponygon". ● In-play Dual and VS MAMODO cards with Ponygon in the card name are considered to be named "Ponygon". ● Dual and VS MAMODO cards in your Spell Book with Ponygon in the card name are not considered to be named "Ponygon".</t>
  </si>
  <si>
    <t>“Schneider, are you still worried about who the owner of your book is going to be?”</t>
  </si>
  <si>
    <t>E-122</t>
  </si>
  <si>
    <t>Follow the Light</t>
  </si>
  <si>
    <t>[STAY] Select 1 of your in-play MAMODO cards with a PARTNER card attached. SPELL cards can be played for the selected MAMODO, and the effects of the selected MAMODO and attached PARTNER can be applied, even when you are prohibited to do so, until the END PHASE of the next turn.</t>
  </si>
  <si>
    <t>"Follow the light, and it will guide us through the night~ Believe in me as I believe in you~"</t>
  </si>
  <si>
    <t>E-123</t>
  </si>
  <si>
    <t>[STAY] Your opponent can neither play SPELL or EVENT cards with a 0 MP cost, nor can they apply the effects of MAMODO cards with [Declare to use], during this turn.</t>
  </si>
  <si>
    <t>“Whenever I find something perfectly round, it really puts me in the mood to draw on it!”</t>
  </si>
  <si>
    <t>E-124</t>
  </si>
  <si>
    <t>Chain Reaction</t>
  </si>
  <si>
    <t>This EVENT card can be played only when you have already played a SPELL card during this turn. If there are 2 SPELL cards in the pages immediately following your currently open pages, turn 1 page of your Spell Book.</t>
  </si>
  <si>
    <t>"You've noticed, huh? But it's too late now! We've already set up the chain reaction!"</t>
  </si>
  <si>
    <t>E-125</t>
  </si>
  <si>
    <t>Fight With Your Heart</t>
  </si>
  <si>
    <t>[STAY] Both players can only apply the effects of MAMODO cards once per turn (per player) during this game (except effects with [In Play]).</t>
  </si>
  <si>
    <t>"Our battles aren't about technique... it's about what's in here."</t>
  </si>
  <si>
    <t>E-126</t>
  </si>
  <si>
    <t>Just Don't Call Me "Susie"</t>
  </si>
  <si>
    <t>You can play up to 2 EVENT cards during the next turn. This effect is [STANDBY] until the START PHASE of the next turn, and [STAY] during the next turn.</t>
  </si>
  <si>
    <t>"My name's Lady Susan, and I'm here to stay... Just don't call me 'Susie', okay?"</t>
  </si>
  <si>
    <t>E-127</t>
  </si>
  <si>
    <t>Mary Lou Nakamura</t>
  </si>
  <si>
    <t>[STAY] Your opponent cannot play cards or put cards in play from any pages of their Spell Book that are not the currently open pages during this turn. This EVENT card cannot be negated by a cut-in effect.</t>
  </si>
  <si>
    <t>"I even rented a figure skating uniform..."</t>
  </si>
  <si>
    <t>E-128</t>
  </si>
  <si>
    <t>Hiroshi Yamanaka</t>
  </si>
  <si>
    <t>[STAY] Your opponent cannot apply card effects that would reduce or adjust your MP to 0 during this game.</t>
  </si>
  <si>
    <t>"My new secret weapon! I'm gonna keep throwing this pitch to you until my 'Flaming Vanishing Ball' is perfect."</t>
  </si>
  <si>
    <t>E-129</t>
  </si>
  <si>
    <t>Mamoru Iwashima</t>
  </si>
  <si>
    <t xml:space="preserve">Select up to 2 MJ12 cards from any page of your Spell Book or Discard Pile and put them in play. </t>
  </si>
  <si>
    <t>HEINY HEINY HO~~!"</t>
  </si>
  <si>
    <t>E-130</t>
  </si>
  <si>
    <t>Falling Flat</t>
  </si>
  <si>
    <t>Turn all of your opponent's MAMODO cards to Injured Status.</t>
  </si>
  <si>
    <t>"Let's go already! Start! GAAAAAAAAAAH!"</t>
  </si>
  <si>
    <t>E-131</t>
  </si>
  <si>
    <t>Into the In-Between World</t>
  </si>
  <si>
    <t>Select as many cards in your opponent's Discard Pile as you desire and flip them face-down. ● Unless stated otherwise, cards in the Discard Pile that are flipped face-down are not considered to be in the Discard Pile.</t>
  </si>
  <si>
    <t>"This is the in-between world, the gap between the human world and the mamodo world."</t>
  </si>
  <si>
    <t>E-132</t>
  </si>
  <si>
    <t>The Rematch</t>
  </si>
  <si>
    <t>Select 1 effect with "This effect can be applied only once per game (per player)" that you already applied during this game and re-apply it (it cannot be applied a third time). Your opponent then selects 1 effect with "This effect can be applied only once per game (per player)" that they already applied during this game and re-applies it (it cannot be applied a third time).</t>
  </si>
  <si>
    <t>"Boy of the red book, you've become storng. But, next time..."</t>
  </si>
  <si>
    <t>E-133</t>
  </si>
  <si>
    <t>Omelet Breakfast</t>
  </si>
  <si>
    <t>[STANDBY] Get 4 MP at the START PHASE of the next turn.</t>
  </si>
  <si>
    <t>"YUMMY! You're like an expert at making omelets, lady!"</t>
  </si>
  <si>
    <t>E-134</t>
  </si>
  <si>
    <t>A Distant Memory</t>
  </si>
  <si>
    <t>Select 2 cards from any of the previous pages of your Spell Book, and switch them with 2 cards in your currently open pages (2 cards must be selected, including this card).</t>
  </si>
  <si>
    <t>"No... it's not a recent memory... That's right, it was in the king's library of the mamodo world... the forbidden bookshelves!"</t>
  </si>
  <si>
    <t>E-135</t>
  </si>
  <si>
    <t>A Letter To Zatch</t>
  </si>
  <si>
    <t>Select up to 2 MAMODO and PARTNER cards in any of the previous pages of your Spell Book and put them in play.</t>
  </si>
  <si>
    <t>"Hey, Kiyo! Kiyo! I got a letter. I got a letter addressed to me!"</t>
  </si>
  <si>
    <t>E-136</t>
  </si>
  <si>
    <t>A Terrifying Appearance</t>
  </si>
  <si>
    <t>Select 1 of your in-play MAMODO cards and apply 1 or both of the following effects in any order: ● The selected MAMODO card and the attached PARTNER card are no longer a target of any [Stay] or [Standby] effects that prohibit them from playing SPELL cards and/or applying their effects (any unselected cards remain as targets for these effects). ● Flip a coin; if it's heads, send 1 of your opponent's in-play PARTNER cards to the Discard Pile. If it's tails, send the attached PARTNER card of the selected MAMODO card to the Discard Pile.</t>
  </si>
  <si>
    <t>"When somebody gets really serious, they look scary. Especially when they're trying to protect somebody they love."</t>
  </si>
  <si>
    <t>E-137</t>
  </si>
  <si>
    <t>Together!</t>
  </si>
  <si>
    <t>[STAY] During this game, your MAMODO cards can SACRIFICE or PROTECT your Spell Book from Damage even when prohibited to do so when they have a PARTNER card attached.</t>
  </si>
  <si>
    <t>"Very good! Let's save him together!!"</t>
  </si>
  <si>
    <t>E-138</t>
  </si>
  <si>
    <t>Transformation</t>
  </si>
  <si>
    <t>Send 1 of your in-play MAMODO cards to the Discard Pile. Then, select 1 MAMODO card with the same card name as the MAMODO card you sent to the Discard Pile from any page of your Spell Book or Discard Pile and put it in play. The PARTNER card attached to the selected MAMODO card remains in play and is attached to the new MAMODO card.</t>
  </si>
  <si>
    <t>"So that's it... He can disguise himself as a human..."</t>
  </si>
  <si>
    <t>E-139</t>
  </si>
  <si>
    <t>Tia's Underwear</t>
  </si>
  <si>
    <t>Negate the effect your opponent just applied that allows them to look at your Spell Book. Then, turn 2 pages of their Spell Book.</t>
  </si>
  <si>
    <t>"HOW DARE YOU LOOK!!"</t>
  </si>
  <si>
    <t>E-140</t>
  </si>
  <si>
    <t>Front Row Seat</t>
  </si>
  <si>
    <t>Look at your opponent's Spell Book and count the number of cards in all the pages that have effects that turn pages of a Spell Book. Turn a number of pages of your opponent's Spell Book equal to the number of cards counted times 1. Momon has a front row seat to... Tia's underwear...</t>
  </si>
  <si>
    <t>"Momon! Stop that at once!"</t>
  </si>
  <si>
    <t>E-141</t>
  </si>
  <si>
    <t>Awakening</t>
  </si>
  <si>
    <t>This EVENT card can be played only once during this game (per player) when your opponent has turned pages of your Spell Book with their card effects during this game (except from Damage). Apply both of the following effects in order: ● Reduce your opponent's MP by 5. ● Get 5 MP.</t>
  </si>
  <si>
    <t>"I feel it coming from the bottom of my heart!!! The new... AWAKENING!!!"</t>
  </si>
  <si>
    <t>E-142</t>
  </si>
  <si>
    <t>You'll Come Back, Right?</t>
  </si>
  <si>
    <t>[STANDBY] Select 1 of your in-play cards. After applying this effect, only once during this game (per player), you can move the selected card from your Discard Pile into play.</t>
  </si>
  <si>
    <t>"You'll come back, right? You're gonna help me study again, right?"</t>
  </si>
  <si>
    <t>E-143</t>
  </si>
  <si>
    <t>The Hurricane Test Battle</t>
  </si>
  <si>
    <t>[STANDBY] Select 1 EVENT card from any page of your Spell Book with "Hidetoshi Nakata", "Mr. Toyama", or "Miss Wriggle" in its card name. You can play the selected card with its MP cost considered to be 0 during this turn, regardless of Icons or the range of pages you are currently on. In addition, you can play up to 2 EVENT cards (including this card) during this turn.</t>
  </si>
  <si>
    <t>"Oh ho ho ho! Are you feeling a little lovesick? Are you getting lovesick?"</t>
  </si>
  <si>
    <t>E-144</t>
  </si>
  <si>
    <t>Electromagnetic Field</t>
  </si>
  <si>
    <t>[STAY] After applying this effect, only once during this game (per player), reduce the Damage your opponent would inflict to your Spell Book by 1 (this effect can be duplicated).</t>
  </si>
  <si>
    <t>Maestro amplifies his own power several times over with the magnetic energy of the coils, which absorbs the excess energy of enemy spells.</t>
  </si>
  <si>
    <t>E-145</t>
  </si>
  <si>
    <t>Black and White Harmony</t>
  </si>
  <si>
    <t xml:space="preserve">Select 1 PARTNER card from any page of your Spell Book and put it in play. Then, get 4 MP. </t>
  </si>
  <si>
    <t>"I've been thinking this whole time about something Brago said. Thinking about what his words mean to me..."</t>
  </si>
  <si>
    <t>E-146</t>
  </si>
  <si>
    <t>United Front</t>
  </si>
  <si>
    <t>This EVENT card can be played only when there are 2 SPELL cards with different MAMODO names in the pages immediately following the currently open pages of your Spell Book, and the conditions are met for you to play them both. Apply both of the following effects in order: ● Turn 1 page of your opponent's Spell Book. ● [STAY] Increase the Damage of the 2 SPELL cards in those pages by 1 during this turn.</t>
  </si>
  <si>
    <t>"Yeah? Same to you."</t>
  </si>
  <si>
    <t>E-147</t>
  </si>
  <si>
    <t>Scarfing Down Yellowtail</t>
  </si>
  <si>
    <t>Apply 1 of the following effects: ● Get 3 MP. ● Select 1 of your in-play MAMODO cards (including Petrified MAMODO cards) and turn it to Normal Status.</t>
  </si>
  <si>
    <t>Yellowtail is Zatch's favorite food. He prefers to bite into them headfirst.</t>
  </si>
  <si>
    <t>E-148</t>
  </si>
  <si>
    <t>Leveling Up!</t>
  </si>
  <si>
    <t>This EVENT card can be played only when you are on the 12th page or higher of your Spell Book. Select 1 S-MAMODO card from any page of your Spell Book and place it on its appropriate MAMODO card. This effect cannot be negated by a cut-in effect.</t>
  </si>
  <si>
    <t>Each wound he incurs, and every tear he sheds... becomes fuel for the fire of Zatch's extraordinary potential.</t>
  </si>
  <si>
    <t>E-149</t>
  </si>
  <si>
    <t>New Battles Ahead</t>
  </si>
  <si>
    <t>Apply 1 or both of the following effects in order: ● Send any number of your in-play MAMODO cards (including Petrified MAMODO cards) to the Discard Pile. ● Select up to 2 cards from any page of your Spell Book and put them in play.</t>
  </si>
  <si>
    <t>Not long after Zofis' ambitions were foiled, a series of battles against new mamodo is about to unfold.</t>
  </si>
  <si>
    <t>E-150</t>
  </si>
  <si>
    <t>Everybody, Very Melon</t>
  </si>
  <si>
    <t>Apply both of the following effects in order: ● Negate either all active [Stay] OR [Standby] effects. ● [STAY] During this game, neither player can apply [Stay] effects that remain active for the duration of the game (except this effect).</t>
  </si>
  <si>
    <t>"Very Melon!!"</t>
  </si>
  <si>
    <t>E-151</t>
  </si>
  <si>
    <t>Faudo's True Form</t>
  </si>
  <si>
    <t>This EVENT card can be played only by paying its original MP cost. Turn 4 pages of your opponent's Spell Book.</t>
  </si>
  <si>
    <t>"No way... They're planning to break the lock... so that they can set loose that giant mamodo on Earth?"</t>
  </si>
  <si>
    <t>E-152</t>
  </si>
  <si>
    <t>Zatch Bell VS Naomi</t>
  </si>
  <si>
    <t>Look at your opponent's Spell Book. Select 1 card with effects that prohibit you from SACRIFICING or PROTECTING your Spell Book from Damage and send it to the Discard Pile.</t>
  </si>
  <si>
    <t>"WAAHH! Somebody help me!"</t>
  </si>
  <si>
    <t>E-153</t>
  </si>
  <si>
    <t>The Carrot Fiasco</t>
  </si>
  <si>
    <t>Look at your opponent's Spell Book. Select 1 card with effects that allow your opponent to get MP and send it to the Discard Pile. Most horses enjoy the taste of carrots. But for Ponygon...</t>
  </si>
  <si>
    <t>"BLECH!!!"</t>
  </si>
  <si>
    <t>E-154</t>
  </si>
  <si>
    <t>Kyle's Shout</t>
  </si>
  <si>
    <t>This EVENT card can be played only once during this game when your MP has been reduced by your opponent's card effects during this game. Swap your MP total with your opponent's MP total.</t>
  </si>
  <si>
    <t>"If you don't stop being bad...I'm gonna tell everybody! You got that?!"</t>
  </si>
  <si>
    <t>E-155</t>
  </si>
  <si>
    <t>Faudo's Seal</t>
  </si>
  <si>
    <t>[STANDBY] During the next turn onward, only once during this game, the first player to successfully play a "Superior" Class SPELL card (except "Command" SPELL cards) turns back 2 pages of their Spell Book after the Battle.</t>
  </si>
  <si>
    <t>"As you know, we need massive power so that we can break the seal...and set him free. Faudo..."</t>
  </si>
  <si>
    <t>E-156</t>
  </si>
  <si>
    <t>An Unreadable Spell</t>
  </si>
  <si>
    <t>[STAY] During this game, your opponent cannot reduce the cost of “Superior” Class SPELL cards (except “Command” SPELL cards), and the Last Page Bonus no longer applies to the SPELL card in the last page of your opponent’s Spell Book.</t>
  </si>
  <si>
    <t>"Huh? That's weird... I don't get it... I can't read this new spell... What could that mean?"</t>
  </si>
  <si>
    <t>E-157</t>
  </si>
  <si>
    <t>The Mysterious Messenger</t>
  </si>
  <si>
    <t>[STAY] During this turn, you can look at your opponent's Spell Book regardless of their card effect. In addition, your opponent's effects that trigger by looking at pages of their Spell Book cannot be applied in response to this card's effect.</t>
  </si>
  <si>
    <t>"Hey, tell us who you are!" "No, wait! This is strange, but...I don't think he wants to fight."</t>
  </si>
  <si>
    <t>E-158</t>
  </si>
  <si>
    <t>Mark of the Curse</t>
  </si>
  <si>
    <t>[STANDBY] Select 1 of your opponent's in-play PARTNER cards. When the selected PARTNER card is sent to the Discard Pile during this game, the MAMODO card it is attached to is sent to the Discard Pile as well.</t>
  </si>
  <si>
    <t>"When Riou casts his spell on you...you are placed under a curse."</t>
  </si>
  <si>
    <t>E-159</t>
  </si>
  <si>
    <t>Let Go Of That Bra</t>
  </si>
  <si>
    <t>Turn back 2 pages of your Spell Book. This effect can be applied only once per game (per player). Effects that allow you to turn back pages of your Spell Book can be applied only once per turn (per player).</t>
  </si>
  <si>
    <t>"Why are you holding my bra? How'd you get that? Let go at once!"</t>
  </si>
  <si>
    <t>E-160</t>
  </si>
  <si>
    <t>Kanchomé's Theory</t>
  </si>
  <si>
    <t>Place any number of MP counters from 1 to 5 in your hand. Then, your opponent guesses how many MP counters are in your hand. If they guess right, your opponent gets MP equal to the amount of MP counters in yhour hand. If they guess wrong, get MP equal to the amount of MP counters in your hand.</t>
  </si>
  <si>
    <t>"I don't think this is a big building. I think it's a really, REALLY big mamodo."</t>
  </si>
  <si>
    <t>TTS</t>
  </si>
  <si>
    <t>Your opponent puts on their blindfold (they press the B key). Then, place any number of MP counters from 1 to 5 into your hidden zone area (inside the box that is covering your player name on the table). Your opponent guesses how many MP counters you chose. If they guess right, your opponent gets MP equal to the amount in the zone. If they guess wrong, you get MP equal to the amount in the zone.</t>
  </si>
  <si>
    <t>E-161</t>
  </si>
  <si>
    <t>Let's Speak to the Wind</t>
  </si>
  <si>
    <t>Apply both of the following effects in order (this effect cannot be negated by a cut-in effect): ● Get 3 MP. ● [STAY] Your MP cannot be reduced by your opponent's card effects during this turn.</t>
  </si>
  <si>
    <t>"Hold on tight, Tia."</t>
  </si>
  <si>
    <t>E-162</t>
  </si>
  <si>
    <t>Fighting with Songs</t>
  </si>
  <si>
    <t>[STAY] Neither player may apply the effects of cards with [In Play] during this game (effects that have already been resolved are not negated).</t>
  </si>
  <si>
    <t>"Iron Man Folgore~ Invincible Folgore~" "TENDON, KATSUDON, OYAKODON~"</t>
  </si>
  <si>
    <t>E-163</t>
  </si>
  <si>
    <t>I'm Gonna Save Everybody!</t>
  </si>
  <si>
    <t>[STAY] All [Stay] and [Standby] effects (except this effect) cannot be negated during this game. ● If a player applies an effect that negates all [Stay] effects while this effect is active, only this effect is negated.</t>
  </si>
  <si>
    <t>"I can't stand it! I don't want someone else to disappear because I didn't do anything!"</t>
  </si>
  <si>
    <t>E-164</t>
  </si>
  <si>
    <t>Thanks to Potato Tempura</t>
  </si>
  <si>
    <t>[STAY] Neither player may play cards or apply effects that allow them to Attack or inflict Damage during this turn.</t>
  </si>
  <si>
    <t>"Berun...I'm in the mood for potato tempura." "...Yeah, that sounds great!"</t>
  </si>
  <si>
    <t>E-165</t>
  </si>
  <si>
    <t>Conflict</t>
  </si>
  <si>
    <t>Send 1 of your opponent's in-play VS MAMODO cards to the Discard Pile.</t>
  </si>
  <si>
    <t>"I saw Wonrei look at us when he left. He...had a really cold look in his eyes...like we were his enemies."</t>
  </si>
  <si>
    <t>E-166</t>
  </si>
  <si>
    <t>Reunited</t>
  </si>
  <si>
    <t>[STANDBY] Apply both of the following effects in any order at the END PHASE of this turn: ● Turn all of your in-play MAMODO cards to Normal Status ● Move 1 MAMODO card from your Discard Pile into play.</t>
  </si>
  <si>
    <t>With the conclusion of a fierce battle...comes a long-awaited reunion.</t>
  </si>
  <si>
    <t>E-167</t>
  </si>
  <si>
    <t>A Cruel Choice</t>
  </si>
  <si>
    <t>[STANDBY] Your opponent selects 1 of your in-play MAMODO cards and 1 of their in-play MAMODO cards. At the END PHASE of this turn, you may choose to send all in-play cards (except the selected cards) to the Discard Pile.</t>
  </si>
  <si>
    <t>"You have to make the ultimate choice. Doom the life of your friend Li-en...or doom the lives of everyone on the face of the planet."</t>
  </si>
  <si>
    <t>E-168</t>
  </si>
  <si>
    <t>I Won't Let Anyone Be Destroyed!</t>
  </si>
  <si>
    <t>[STAY] Your opponent cannot apply card effects with [Send this card to the Discard Pile] during this game.</t>
  </si>
  <si>
    <t>"I...I won't let anyone be destroyed! I'm gonna save Li-en and everybody on Earth!"</t>
  </si>
  <si>
    <t>E-169</t>
  </si>
  <si>
    <t>Supporter</t>
  </si>
  <si>
    <t>Select 1 PARTNER card from any page of your Spell Book that you do not have the respective MAMODO card in play for and put the selected PARTNER card in play. This effect can be applied only once per game (per player). - The PARTNER is discarded at the END PHASE of this turn, even when prohibited. - The effects of the PARTNER card put in play by this effect can be applied even without the MAMODO.</t>
  </si>
  <si>
    <t>Apollo and Dr. Riddles. Even through their respective mamodo have since been eliminated, Kiyo can always count on them to lend a hand.</t>
  </si>
  <si>
    <t>E-170</t>
  </si>
  <si>
    <t>Professor Dartagnan (Busted)</t>
  </si>
  <si>
    <t>[STAY] Your opponent cannot play cards that include "Dartagnan", "Bust", "Susan", or "Susie" in their card names during this game.</t>
  </si>
  <si>
    <t>"The diabolical mastermind behind the great bust caper was none other than I, Professor Dartagnan! The man with the golden bosoms!"</t>
  </si>
  <si>
    <t>E-171</t>
  </si>
  <si>
    <t>Double – 0 Folgore! The Man with the Golden Bust!</t>
  </si>
  <si>
    <t>Look at your opponent's Spell Book and count the number of cards in all the pages that have effects that reduce your MP. Turn an amount of pages of your opponent's Spell Book equal to the number of cards counted times 1.</t>
  </si>
  <si>
    <t>"Busts are being stolen around the world by an unknown culprit! It's up to Double – 0 operatives: Folgore, Zatch, and Kiyo to crack the case!"</t>
  </si>
  <si>
    <t>E-172</t>
  </si>
  <si>
    <t>Together with Volcan</t>
  </si>
  <si>
    <t>Select 1 VOLCAN card from any page of your Spell Book and put it in play.</t>
  </si>
  <si>
    <t>"You're Volcan's savior! It's amazing! Volcan's savior is...Volcan!"</t>
  </si>
  <si>
    <t>E-173</t>
  </si>
  <si>
    <t>Naomi VS Volcan</t>
  </si>
  <si>
    <t>[STAY] Each time you put a VOLCAN card in play during this game, send 1 of your opponent's in-play cards (except MAMODO cards) to the Discard Pile.</t>
  </si>
  <si>
    <t>"My special Naomi Robo is awesome, isn't it?"</t>
  </si>
  <si>
    <t>E-174</t>
  </si>
  <si>
    <t>Combining The Elements</t>
  </si>
  <si>
    <t>Select as many Zatch Bell, Kanchomé, Tia, and Ponygon MAMODO cards (including Dual and VS MAMODO cards) as you desire from any page of your Spell Book and put them in play.</t>
  </si>
  <si>
    <t>"Listen up, everyone! We're the only ones who can save the world!"</t>
  </si>
  <si>
    <t>E-175</t>
  </si>
  <si>
    <t>Friends Forever</t>
  </si>
  <si>
    <t>Select 1 MAMODO card and 1 of its respective PARTNER cards (you must choose both) from any page of your Spell Book or Discard Pile and put them in play.</t>
  </si>
  <si>
    <t>"A message from Volcan Mark IV..." "WE'LL BE...FRIENDS...FOREVER...THANK YOU..."</t>
  </si>
  <si>
    <t>E-176</t>
  </si>
  <si>
    <t>FIRE...ZATCH...</t>
  </si>
  <si>
    <t>This EVENT card can be played only if a Bao Zakeruga or Bao Zakeruga of Friendship SPELL card is in the next page of your Spell Book. Apply both of the following effects in any order: ● Turn 1 page of your Spell Book. ● [STAY] Add 3000 Power to that Bao Zakeruga SPELL card this turn.</t>
  </si>
  <si>
    <t>"You can do this, right, Zatch?" "I'm not just going to do it...I'm going to put all of my heart and soul into it!"</t>
  </si>
  <si>
    <t>E-177</t>
  </si>
  <si>
    <t>Beethoven's 9th Symphony</t>
  </si>
  <si>
    <t>Apply 1 of the following effects: ● [STAY] Your MP cannot be reduced by your opponent's card effects during this game. ● Reduce your opponent's MP by 2, even when prohibited to do so.</t>
  </si>
  <si>
    <t>"Th-The lyrics are completely wrong, but...this is...Beethoven's 9th Symphony!"</t>
  </si>
  <si>
    <t>E-178</t>
  </si>
  <si>
    <t>The Last Cigar</t>
  </si>
  <si>
    <t>[STANDBY] After applying this effect, only once during this game (per player), turn 2 pages of your opponent's Spell Book when you are on the last page of your Spell Book.</t>
  </si>
  <si>
    <t>"I'll finish you off...in the time it takes me to smoke my last cigar."</t>
  </si>
  <si>
    <t>E-179</t>
  </si>
  <si>
    <t>I Won't Let Anyone Disappear!</t>
  </si>
  <si>
    <t>[STAY] None of the cards you have in play can be sent to the Discard Pile by your opponent's card effects (or as a result of Damage or Injury) until the END PHASE of the next turn.</t>
  </si>
  <si>
    <t>"I won't run away...I'm not gonna let anyone else disappear!"</t>
  </si>
  <si>
    <t>E-180</t>
  </si>
  <si>
    <t>One Down</t>
  </si>
  <si>
    <t>This EVENT card can be played only when you have 3 or more MAMODO cards in play. Your opponent sends 1 of their in-play MAMODO cards to the Discard Pile.</t>
  </si>
  <si>
    <t>"Hee hee...that takes care of one of 'em." "AAAAAHHHHH! KANCHOMÉ!"</t>
  </si>
  <si>
    <t>E-181</t>
  </si>
  <si>
    <t>Deep Desires</t>
  </si>
  <si>
    <t>This EVENT card can be played only when you have 3 or more MAMODO cards in play. Apply 1 or both of the following effects in any order: ● Turn all of your in-play MAMODO cards to Normal Status. ● Negate as many [Stay] OR [Standby] effects as you desire.</t>
  </si>
  <si>
    <t>"Instead of shouting out orders, I'll control them using my deep desires! Let's get 'em, everybody!"</t>
  </si>
  <si>
    <t>E-182</t>
  </si>
  <si>
    <t>Unexpected Ambush</t>
  </si>
  <si>
    <t>Move 1 MAMODO card from your Discard Pile into play. If the MAMODO card is Kanchomé (Double), it can be put in play without using a Dima Buruk SPELL card.</t>
  </si>
  <si>
    <t>"He's right behind you, Keith! When all my multiple bodies ran away...there was one guy who hid behind a rock!"</t>
  </si>
  <si>
    <t>E-183</t>
  </si>
  <si>
    <t>Playing Torture Chamber</t>
  </si>
  <si>
    <t>Apply 1 or both of the following effects in any order: ● Turn 1 page of your Spell Book. Effects that turn pages of your Spell Book can be applied only once per turn (per player). ● Send 1 of your in-play cards to the Discard Pile.</t>
  </si>
  <si>
    <t>"WAAAAAHHH! Stop it! Please stop! It was all my fault!"</t>
  </si>
  <si>
    <t>E-184</t>
  </si>
  <si>
    <t>Poosophagus</t>
  </si>
  <si>
    <t>Internal Faudo Event</t>
  </si>
  <si>
    <t>When you declare the play of this EVENT card, all currently active {Internal Faudo Event} [Stay] effects are negated. Ask your opponent to solve 829,735 x 961,527. If they do not answer correctly within 30 seconds (without using any outside help), apply the effect below: [STAY] Your opponent cannot play EVENT cards with {Internal Faudo Event} during this game.</t>
  </si>
  <si>
    <t>"You must all answer my question." (Answer: 797,812,605,345)</t>
  </si>
  <si>
    <t>When you declare the play of this EVENT card, all currently active {Internal Faudo Event} [Stay] effects are negated. Ask your opponent to solve 829,735 x 961,527. Once per game, they must show their work by doing the math out on the table by writing it out using the Draw tool (F2). Going into Options and turning on the table Grid is also recommended. If they do not completely and correctly solve the equation within 15 minutes, apply the effect below: [STAY] Your opponent cannot play EVENT cards with {Internal Faudo Event} during this game.</t>
  </si>
  <si>
    <t>E-185</t>
  </si>
  <si>
    <t>A Popstar's Tribulation</t>
  </si>
  <si>
    <t>Negate the PARTNER card effect your opponent just applied.</t>
  </si>
  <si>
    <t>"That's right! There's no way a popstar like her can say such an embarrassing thing in public!"</t>
  </si>
  <si>
    <t>E-186</t>
  </si>
  <si>
    <t>For The Underwear</t>
  </si>
  <si>
    <t>Your opponent selects 1 card containing "Underwear" in its card name or effect name from their Spell Book and sends it to the Discard Pile. If your opponent has no applicable cards, reduce your opponent's MP by 2 instead.</t>
  </si>
  <si>
    <t>"Momon, you'd really risk your life for a pair of underwear?"</t>
  </si>
  <si>
    <t>E-187</t>
  </si>
  <si>
    <t>Small Intestine Trap</t>
  </si>
  <si>
    <t>When you declare the play of this EVENT card, all active {Internal Faudo Event} [Stay] effects are negated. [STAY] Neither player may apply effects that prohibit any player from sending cards to the Discard Pile during this game.</t>
  </si>
  <si>
    <t>"Could that be a machine that's gonna try to 'break us down'? R-Run, everyone! Run as fast as you can!"</t>
  </si>
  <si>
    <t>E-188</t>
  </si>
  <si>
    <t>A Pure Heart</t>
  </si>
  <si>
    <t>Negate all [Stay] effects, except [Stay] effects that remain in effect for the duration of the game.</t>
  </si>
  <si>
    <t>"I know he was acting with a pure heart... He's got real faith... He's a real man!"</t>
  </si>
  <si>
    <t>E-189</t>
  </si>
  <si>
    <t>Liver Tank</t>
  </si>
  <si>
    <t>When you declare the play of this EVENT card, all currently active {Internal Faudo Event} [Stay] effects are negated. [STAY] Your opponent can neither reduce your MP nor can they get MP with their card effects during this game.</t>
  </si>
  <si>
    <t>"If they manage to escape that trap, they'll end up in this room."</t>
  </si>
  <si>
    <t>E-190</t>
  </si>
  <si>
    <t>We're All Scared</t>
  </si>
  <si>
    <t>Turn 1 page of your opponent's Spell Book. Then, turn 1 page of your Spell Book. Effects that turn pages of your Spell Book can be applied only once per turn (per player).</t>
  </si>
  <si>
    <t>"You're not the only one who's scared, you know! But it doesn't matter whether you're scared or not. You have to move forward, Momon..."</t>
  </si>
  <si>
    <t>E-191</t>
  </si>
  <si>
    <t>Lying in Wait</t>
  </si>
  <si>
    <t>[STAY] Get 1 MP each time your opponent sends a card to the Discard Pile during this game.</t>
  </si>
  <si>
    <t>"Hey, Lupa. There's nobody coming down..." "Are they really coming down here?"</t>
  </si>
  <si>
    <t>E-192</t>
  </si>
  <si>
    <t>Blood Vessel Tunnels</t>
  </si>
  <si>
    <t>When you declare the play of this EVENT card, all currently active {Internal Faudo Event} [Stay] effects are negated. [STAY] During this game, your opponent cannot put cards in play from their Spell Book during their BATTLE PHASE without the use of a card effect.</t>
  </si>
  <si>
    <t>"This place is like a maze... It's hard to keep your sense of direction."</t>
  </si>
  <si>
    <t>E-193</t>
  </si>
  <si>
    <t>I'm Scared, But...</t>
  </si>
  <si>
    <t>Move as many PARTNER cards as you desire from your Discard Pile into play. You cannot apply the effects of those PARTNER cards during this turn.</t>
  </si>
  <si>
    <t>"When they find out I carried them this far... I wonder if Sister Elle will smile. If she smiles, then..."</t>
  </si>
  <si>
    <t>E-194</t>
  </si>
  <si>
    <t>Faudo's Heart</t>
  </si>
  <si>
    <t>When you declare the play of this EVENT card, all currently active {Internal Faudo Event} [Stay] effects are negated. [STAY] Neither player can play SPELL cards with a 3 MP cost or less during this game.</t>
  </si>
  <si>
    <t>"Faudo's vital organs are protected by a magic shield. Not all of the rooms, but the important ones like the heart and brain."</t>
  </si>
  <si>
    <t>E-195</t>
  </si>
  <si>
    <t>Ellie's Intentions</t>
  </si>
  <si>
    <t>Look at your opponent's Spell Book. Select 1 card with "Faudo" in its card name or effect name and send it to the Discard Pile. If your opponent has no applicable cards, get 2 MP instead.</t>
  </si>
  <si>
    <t>"She's the one who wanted to take Faudo back to the mamodo world before he's set free!'</t>
  </si>
  <si>
    <t>E-196</t>
  </si>
  <si>
    <t>Don't You Dare!</t>
  </si>
  <si>
    <t>Negate the MAMODO card effect your opponent just applied.</t>
  </si>
  <si>
    <t>"'Do as she says'?! Don't you dare, Arth!"</t>
  </si>
  <si>
    <t>E-197</t>
  </si>
  <si>
    <t>The Cursed Ones</t>
  </si>
  <si>
    <t>[STAY] The red text "you(r)" in the card effects of your Ellie, Nicole, Li-en, and Alishie PARTNER cards is considered to be "your opponent('s)" during this turn.</t>
  </si>
  <si>
    <t>"No, you've got to live... even if it means putting ourselves on the road to despair. Eternal rest is the only real ending."</t>
  </si>
  <si>
    <t>E-198</t>
  </si>
  <si>
    <t>Breaking The Seal</t>
  </si>
  <si>
    <t>[STANDBY] Select 1 SPELL card with [Seal Breaker] from any page of your Spell Book. The selected SPELL card can be played during this turn with its MP cost reduced by 4. In addition, the selected SPELL card's entire effect is considered to be "Damage your opponent's Spell Book when you win the Battle as an Attacker."</t>
  </si>
  <si>
    <t>"Everyone! Gather your strength from within and prepare to cast your most powerful spell!"</t>
  </si>
  <si>
    <t>E-199</t>
  </si>
  <si>
    <t>The Light of Hope</t>
  </si>
  <si>
    <t>Select 1 MAMODO card from any page of your Spell Book and put it in play. Then, get 4 MP.</t>
  </si>
  <si>
    <t>"Open your eyes... See what's in front of you... See the light!"</t>
  </si>
  <si>
    <t>E-200</t>
  </si>
  <si>
    <t>The Resurrection of Faudo</t>
  </si>
  <si>
    <t>This EVENT card can be played only if you have successfully played a [Seal Breaker] SPELL card 3 or more times during this game. Select both M-396a and M-396b Faudo MAMODO cards from any page of your Spell Book and put them in play. "Waaaaaah!? It's really a mamodo!"</t>
  </si>
  <si>
    <t>"It's huge..."</t>
  </si>
  <si>
    <t>E-201</t>
  </si>
  <si>
    <t>Suzy's Premonition</t>
  </si>
  <si>
    <t>Immediately after playing this EVENT card, you can declare an Attack without the consent of your opponent. Your opponent cannot take any action other than using a cut-in effect immediately after playing this EVENT card.</t>
  </si>
  <si>
    <t>"I wonder if Kiyo just woke up too."</t>
  </si>
  <si>
    <t>E-202</t>
  </si>
  <si>
    <t>Mrs. Takamine &amp; Mother</t>
  </si>
  <si>
    <t>[STAY] Your opponent cannot apply effects with [In Play] during this turn.</t>
  </si>
  <si>
    <t>"It's all right, Zatch. There's nothing wrong with having two mothers."</t>
  </si>
  <si>
    <t>E-203</t>
  </si>
  <si>
    <t>Don't Order Me Around!</t>
  </si>
  <si>
    <t>Negate the MAMODO or PARTNER card effect your opponent just applied OR the EVENT card your opponent just played.</t>
  </si>
  <si>
    <t>"I'm the one who gives the orders here! Don't you realize your life is in my hands?!"</t>
  </si>
  <si>
    <t>E-204</t>
  </si>
  <si>
    <t>Faudo's Nutrient Fluid</t>
  </si>
  <si>
    <t>Get 3 MP.</t>
  </si>
  <si>
    <t>"This is Faudo's nurients in liquid form. A shot of this will boost my strength both mentally and physically."</t>
  </si>
  <si>
    <t>E-205</t>
  </si>
  <si>
    <t>No Matter What Happens</t>
  </si>
  <si>
    <t>[STAY] Your opponent cannot apply the effects of cards that negate other cards or effects (except SPELL cards) during this turn.</t>
  </si>
  <si>
    <t>"From now on, no matter what happens to me, don't get distracted."</t>
  </si>
  <si>
    <t>E-206</t>
  </si>
  <si>
    <t>Goodbye</t>
  </si>
  <si>
    <t>Apply 1 or both of the following effects in any order: ● Negate all [Stay] effects that prohibit a player from sending cards to the Discard Pile. ● [STAY] Neither player can apply effects that prohibit a player from sending cards to the Discard Pile during this turn.</t>
  </si>
  <si>
    <t>"Thanks for everything, Zatch... It's time to say goodbye..."</t>
  </si>
  <si>
    <t>E-207</t>
  </si>
  <si>
    <t>Faudo's Spine</t>
  </si>
  <si>
    <t>When you declare the play of this EVENT card, all currently active {Internal Faudo Event} [Stay] effects are negated. [STAY] Reduce the MP cost of both player's EVENT cards by 2 during this game.</t>
  </si>
  <si>
    <t>"This is a much more detailed map than the one we found near Faudo's mouth."</t>
  </si>
  <si>
    <t>E-208</t>
  </si>
  <si>
    <t>Faudo's Transporter</t>
  </si>
  <si>
    <t>When you declare the play of this EVENT card, all currently active {Internal Faudo Event} [Stay] effects are negated. Apply 1 or both of the following effects in order: ● Send both players' in-play Faudo MAMODO cards to the Discard Pile even when prohibited to do so. ● [STAY] Neither player can put a Faudo MAMODO card in play during this game.</t>
  </si>
  <si>
    <t>"This is it... The device that'll send Faudo back to the mamodo world."</t>
  </si>
  <si>
    <t>E-209</t>
  </si>
  <si>
    <t>Faudo's Brain</t>
  </si>
  <si>
    <t>When you declare the play of this EVENT card, all currently active {Internal Faudo Event} [Stay] effects are negated. [STAY] During this game, you can look at the currently open pages of your opponent's Spell Book at any time, even when prohibited to do so. Your opponent cannot apply effects that are triggered when their Spell Book is being looked at.</t>
  </si>
  <si>
    <t>"From now on, I, Zeno, am your master! You must follow my commands and fight for me."</t>
  </si>
  <si>
    <t>E-210</t>
  </si>
  <si>
    <t>Kiyo's Gambit</t>
  </si>
  <si>
    <t>Select 1 card from any page of your opponent's Spell Book without looking (except the card in the last page). Your opponent selects 1 card from any page of their Spell Book (except the currently open pages) and switches that card with the card you selected.</t>
  </si>
  <si>
    <t>"Li-en, Alishie, Ellie! I'm not gonna let the curse take anyone's life!"</t>
  </si>
  <si>
    <t>E-211ab</t>
  </si>
  <si>
    <t>Leave No One Behind</t>
  </si>
  <si>
    <t>This EVENT card can be played only when both E-211a and E-211b are in the currently open pages of your Spell Book. [STAY] Apply both of the following effects during this game: ● The pages of your Spell Book cannot be turned by effects (except from Damage). ● You can SACRIFICE or PROTECT your Spell Book from the Damage of your opponent's Attacks even when prohibited to do so by your opponent's card effects. "Guys... I told you to split up..." "Don't be stupid, Kiyo! How could we leave you behind?" "Yeah! What're we gonna do without you and Zatch?" "You saved Ellie's life! It's my responsibility to save you in turn!"</t>
  </si>
  <si>
    <t>"We've got less than two minutes! We're all in this together!"</t>
  </si>
  <si>
    <t>E-212</t>
  </si>
  <si>
    <t>We'll Be Safe Here!</t>
  </si>
  <si>
    <t>Negate your opponent's Attack in the Battle.</t>
  </si>
  <si>
    <t>"Hey, Megumi... Why don't you guys come over here too? It's really warm here!"</t>
  </si>
  <si>
    <t>E-213</t>
  </si>
  <si>
    <t>Banzai</t>
  </si>
  <si>
    <t>Negate 1 effect of the EVENT card your opponent just played.</t>
  </si>
  <si>
    <t>"I actually panicked just now... I really thought...I was done for..."</t>
  </si>
  <si>
    <t>E-214</t>
  </si>
  <si>
    <t>Precious People...</t>
  </si>
  <si>
    <t>[STAY] During this game, your opponent can neither apply effects that turn pages of your Spell Book, nor can they apply effects that send cards from the pages of your Spell Book to the Discard Pile.</t>
  </si>
  <si>
    <t>"I won't let...Riou destroy Japan. I won't let him...doom all of the precious people who live there.</t>
  </si>
  <si>
    <t>E-215</t>
  </si>
  <si>
    <t>A Voice Unheard</t>
  </si>
  <si>
    <t>[STAY] Your opponent cannot move cards from their Discard Pile into play or into empty pages of their Spell Book during this game.</t>
  </si>
  <si>
    <t>"You said you'd fight by my side until I became the king! What are you, a liar?! I know you don't want to be called a liar, so please...wake up now!"</t>
  </si>
  <si>
    <t>E-216</t>
  </si>
  <si>
    <t>Mouth-to-Mouth</t>
  </si>
  <si>
    <t>Move 1 MAMODO or PARTNER card from your Discard Pile into play. Then, reduce both players' MP by 2.</t>
  </si>
  <si>
    <t>"This is your chance, Megumi! A big chance has came!"</t>
  </si>
  <si>
    <t>E-217</t>
  </si>
  <si>
    <t>Faudo's Recovery Fluid</t>
  </si>
  <si>
    <t>This EVENT card can be played only if either player has successfully played E-189 Liver Tank during this game. Apply both of the following effects in any order: ● Turn 1 of your in-play MAMODO cards to Normal Status ● Get 3 MP.</t>
  </si>
  <si>
    <t>"Hmph...all my wounds can finally heal..."</t>
  </si>
  <si>
    <t>E-218</t>
  </si>
  <si>
    <t>Faudo's Key</t>
  </si>
  <si>
    <t>[STAY] During this game, "Internal Faudo Event" EVENT card [Stay] effects are not negated when "Internal Faudo Event" EVENT cards are played.</t>
  </si>
  <si>
    <t>"Hmm, how convenient. This keystone sends signals into my brain, and gives me instructions on how to control Faudo."</t>
  </si>
  <si>
    <t>E-219</t>
  </si>
  <si>
    <t>Poosophagus (Powered-Up)</t>
  </si>
  <si>
    <t>This EVENT card can be played only if your opponent has 8 MP or more. Reduce your opponent's MP to 0.</t>
  </si>
  <si>
    <t>"We already know who's chasing after us! He's the guy who made us suffer at the back of Faudo's throat: Poosophagus, Faudo's Gatekeeper!"</t>
  </si>
  <si>
    <t>E-220</t>
  </si>
  <si>
    <t>The Last Smile</t>
  </si>
  <si>
    <t>Negate the MAMODO or PARTNER card effect your opponent just applied, OR the EVENT card your opponent just played. Your opponent may negate this EVENT card by sending 1 of their in-play MAMODO cards to the Discard Pile.</t>
  </si>
  <si>
    <t>"I'm...so...glad."</t>
  </si>
  <si>
    <t>E-221</t>
  </si>
  <si>
    <t>The Last Defense</t>
  </si>
  <si>
    <t>[STANDBY] Only once during this game (per player), when you are turning pages as a result of Damage or your opponent's card effects and are about to pass the last page, stop turning pages once you've reached the last page.</t>
  </si>
  <si>
    <t>"He went away, but...I know this for sure...Wonrei protected us..."</t>
  </si>
  <si>
    <t>E-222</t>
  </si>
  <si>
    <t>We Finally Meet...</t>
  </si>
  <si>
    <t>Select 1 MAMODO card from any page of your Spell Book and put it in play (it cannot share a card name with any of the MAMODO cards that either player have put in play during this game). Then, get 2 MP.</t>
  </si>
  <si>
    <t>"Hmph...I'm flattered that you remember...my name."</t>
  </si>
  <si>
    <t>E-223</t>
  </si>
  <si>
    <t>A Turn for the Worse</t>
  </si>
  <si>
    <t>When your opponent declares an Attack, apply 1 of the following effects (effects that turn pages can be applied only once per turn (per player)): ● Pay 2 MP to turn back 1 page of your Spell Book. ● Turn 1 page of your Spell Book. Then, get 2 MP. ● Turn 2 pages of your Spell Book. Then, get 4 MP.</t>
  </si>
  <si>
    <t>"Oh no... Oh no... Oh no!!! He's moving his hand so fast! I can't dodge–"</t>
  </si>
  <si>
    <t>E-224</t>
  </si>
  <si>
    <t>Outclassed</t>
  </si>
  <si>
    <t>Select "MAMODO card effects", "SPELL cards", OR "EVENT cards". During the next turn, you can play/apply the selected card/effect even when prohibited to do so. This effect is [STANDBY] until the START PHASE of the next turn, and [STAY] during the next turn.</t>
  </si>
  <si>
    <t>"Even if it was just pretending...I couldn't stand the idea of taking orders from a moron like you."</t>
  </si>
  <si>
    <t>E-225</t>
  </si>
  <si>
    <t>In 30 Seconds</t>
  </si>
  <si>
    <t>If your opponent has only 1 MAMODO card in play, select that MAMODO card and apply the following effect: [STANDBY] If your opponent does not put a new card in play by the END PHASE of the next turn, send the selected MAMODO card to the Discard Pile at the END PHASE of the next turn.</t>
  </si>
  <si>
    <t>"Riou... What makes you think you'll last another 30 seconds in the human world?"</t>
  </si>
  <si>
    <t>E-226</t>
  </si>
  <si>
    <t>The Family's Expectations</t>
  </si>
  <si>
    <t>[STAY] Add 2000 Power to 1 of your in-play MAMODO cards during this game. This effect can be applied only once per game (per player).</t>
  </si>
  <si>
    <t>"Take care of yourself, Riou. Don't ever forget that you're representing our family."</t>
  </si>
  <si>
    <t>E-227</t>
  </si>
  <si>
    <t>Last Stand</t>
  </si>
  <si>
    <t>Apply both of the following effects in order: ● Turn 1 page of your Spell Book. Effects that turn pages of your Spell Book can be applied only once per turn (per player). ● [STAY] The MP cost of all SPELL cards in the pages you've turned to is considered to be 0 during this turn if their original MP cost is 3 or less.</t>
  </si>
  <si>
    <t>"Rrggh...CURSE YOU!!!"</t>
  </si>
  <si>
    <t>E-228</t>
  </si>
  <si>
    <t>The Theft Of Faudo</t>
  </si>
  <si>
    <t>Reduce your opponent's MP to 0 to get the same amount of MP reduced by this effect. This effect can be applied only once per game (per player).</t>
  </si>
  <si>
    <t>"Attention, former underlings of Riou: You now belong to me."</t>
  </si>
  <si>
    <t>E-229</t>
  </si>
  <si>
    <t>Controlling Time Itself</t>
  </si>
  <si>
    <t>If this card is played during your turn, it is now your opponent’s BATTLE PHASE. If this card is played during your opponent’s turn, it is now your BATTLE PHASE. This effect can be applied only once per game (per player).</t>
  </si>
  <si>
    <t>"The ocean keeps shooting past us like an arrow, yet the stars are moving slowly... It almost feels as if we're controlling time itself..."</t>
  </si>
  <si>
    <t>E-230</t>
  </si>
  <si>
    <t>We're in This Together</t>
  </si>
  <si>
    <t>[STAY] Apply both of the following effects during this game: ● Your DUAL MAMODO cards cannot be sent to the Discard Pile by your opponent's card effects (except from Damage or Injury). ● Add 2000 Power to all of your in-play DUAL MAMODO cards.</t>
  </si>
  <si>
    <t>"We're in this together. Let's take advantage of each other's strengths, and work together as a team."</t>
  </si>
  <si>
    <t>E-231</t>
  </si>
  <si>
    <t>You've Gotta Protect Everyone!</t>
  </si>
  <si>
    <t>Select the effect of 1 MAMODO that was sent to your Discard Pile during this turn as a result of your opponent's card effects, Damage, or Injury (if the card cannot apply its effects, then it cannot be selected). Then, select 1 of your in-play MAMODO cards: [STAY] The selected MAMODO card is considered to have the effect of the selected discarded MAMODO card during this game.</t>
  </si>
  <si>
    <t>"You've gotta protect everyone for me, because I won't be here to do it! But if you ever make Alishie cry, I'll never forgive you!"</t>
  </si>
  <si>
    <t>E-232</t>
  </si>
  <si>
    <t>Trap of the Iron Doors</t>
  </si>
  <si>
    <t>When playing this EVENT card, all active [Stay] "Inner Faudo Event" effects are negated. [STAY] During this game, your opponent cannot turn pages of their Spell Book during their START PHASE.</t>
  </si>
  <si>
    <t>"Only one door leads upstairs. The others are dead ends. But there are 800 doors in this room."</t>
  </si>
  <si>
    <t>E-233</t>
  </si>
  <si>
    <t>Voyage into Faudo!</t>
  </si>
  <si>
    <t>Select 1 MAMODO card from your card collection that is not in your Spell Book (any MAMODO card you own that is not in your Spell Book at the start of the game), show it to your opponent, and move it to an empty page of your Spell Book (the rules for Spell Book deck construction do not apply). Once this game is over, remove any cards added by this effect from your Spell Book. This effect can be applied only once per game (per player).</t>
  </si>
  <si>
    <t>"AGGGGGHHHH! What the?! A plane?" "Looks like we made it inside, Ted!"</t>
  </si>
  <si>
    <t>E-234</t>
  </si>
  <si>
    <t>Sorry We're Late</t>
  </si>
  <si>
    <t>Select up to 2 MAMODO or PARTNER cards in total and from any page of your Spell Book and put them in play. Then, negate your opponent's Attack regardless of Power (this effect does not negate your opponent's Defense).</t>
  </si>
  <si>
    <t>"Sorry we're late. We got here as fast as we could..."</t>
  </si>
  <si>
    <t>E-235</t>
  </si>
  <si>
    <t>The Reunion</t>
  </si>
  <si>
    <t>Move 1 DUAL MAMODO or VS MAMODO card from your Discard Pile into play. No in-play MAMODO cards are sent to the Discard Pile to move the selected DUAL MAMODO or VS MAMODO card into play.</t>
  </si>
  <si>
    <t>"Hey, Cherish... You used to be so strong... What are you crying for?"</t>
  </si>
  <si>
    <t>E-236</t>
  </si>
  <si>
    <t>Kiyo's Voice</t>
  </si>
  <si>
    <t>[STANDBY] After applying this effect, only once during this game (per player), you may move as many MAMODO cards as you desire from your Discard Pile into play during your BATTLE PHASE.</t>
  </si>
  <si>
    <t>"You're going to become the King, right? You're going to become a Kind King, aren't you?"</t>
  </si>
  <si>
    <t>E-237</t>
  </si>
  <si>
    <t>Godufa</t>
  </si>
  <si>
    <t>[STAY] Apply both of the following effects during this game: ● Add 3000 Power to all of your MAMODO cards with [Godufa]. ● Your MAMODO cards with [Godufa] cannot receive Damage or Injury from an infliction of 2 Damage or less.</t>
  </si>
  <si>
    <t>"If you want this power, put your hand on any part of Faudo's body. Repeat after me... 'Godufa'."</t>
  </si>
  <si>
    <t>E-238</t>
  </si>
  <si>
    <t>I'm So Happy</t>
  </si>
  <si>
    <t>This EVENT card can be played only when any of your MAMODO cards are sent to the Discard Pile as a result of your opponent's effects, Damage, or Injury. Apply both of the following effects in any order: ● Turn 1 of your in-play MAMODO cards to Normal Status. ● [STAY] Your Spell Book can neither receive Damage, nor can the pages of your Spell Book be turned by your opponent's card effects, during this turn.</t>
  </si>
  <si>
    <t>Heh... Heh heh... I'm so happy..."</t>
  </si>
  <si>
    <t>E-239</t>
  </si>
  <si>
    <t>Barrier Wall</t>
  </si>
  <si>
    <t>When playing this EVENT card, all active [Stay] "Inner Faudo Event" effects are negated. Your opponent selects 2 of their in-play MAMODO cards (or 1 if they only have 1 in-play). [STAY] The Damage of the selected MAMODO cards' Attacks are considered to be 0 during this game.</t>
  </si>
  <si>
    <t>"Urgh... The spell won't go through!" "You mean YOUR spells won't go through!" "Wha? His attacks go right through the wall!"</t>
  </si>
  <si>
    <t>E-240</t>
  </si>
  <si>
    <t>A Man Who Can Strike The King</t>
  </si>
  <si>
    <t>Apply both of the following effects in order: ● [STAY] During this turn, your opponent's MAMODO cards can receive Damage or Injury, and can be sent to the Discard Pile, even when prohibited to do so by your opponent's card effects. ● Injure 1 of your opponent's MAMODO cards.</t>
  </si>
  <si>
    <t>"Just because somebody is King, that doesn't mean that person is perfect. When he falls out of line... you can knock some sense into him."</t>
  </si>
  <si>
    <t>E-241</t>
  </si>
  <si>
    <t>A Promise to Each Other</t>
  </si>
  <si>
    <t>Apply both of the following effects in order: ● [STAY] Your DUAL MAMODO cards do not receive Damage or Injury, and cannot be sent to the Discard Pile by your opponent's card effects, until the END PHASE of the next turn. ● [STAY] Your [Stay] effects cannot be negated by your opponent's card effects until the END PHASE of the next turn (except this effect).</t>
  </si>
  <si>
    <t>"Let's make a promise to each other! Let's promise to survive, and protect the machine together! Make a promise to me and Arth!"</t>
  </si>
  <si>
    <t>E-242</t>
  </si>
  <si>
    <t>Light Among the Shadows</t>
  </si>
  <si>
    <t>Both players select all of their in-play cards except 1 MAMODO card (and its attached PARTNER card(s), if any) on their respective sides of play. [STAY] Neither player may apply the effects of the selected cards, and none of the selected MAMODO cards can SACRIFICE or PROTECT their Spell Book from Damage, until the END PHASE of the next turn.</t>
  </si>
  <si>
    <t>"Dufort, if only you'd met someone like Zatch... Your eyes could have been opened to a brand new world."</t>
  </si>
  <si>
    <t>E-243</t>
  </si>
  <si>
    <t>To Be Continued...</t>
  </si>
  <si>
    <t>Apply both of the following effects in order. This effect can be applied only once per game (per player): ● Turn back 2 pages of your Spell Book. Effects that turn back pages of your Spell Book can be applied only once per turn (per player). ● Turn back 2 pages of your opponent's Spell Book. "You look well, Zatch and Kiyo."</t>
  </si>
  <si>
    <t>"Hey, you called me by my name this time!"</t>
  </si>
  <si>
    <t>EX-000</t>
  </si>
  <si>
    <t>A Battle Once Every Thousand Years</t>
  </si>
  <si>
    <t>Apply 1 of the following effects: ● If you have no Stone Tablet MAMODO cards in play, Injure 1 of your opponent's Stone Tablet MAMODO cards. ● If the only MAMODO you have in play are Stone Tablet MAMODO, Injure 1 of your opponent's MAMODO cards (except Stone Tablet MAMODO).</t>
  </si>
  <si>
    <t>Once every thousand years, a battles takes place in the human world to determine who will be the mamodo king.</t>
  </si>
  <si>
    <t>EX-001</t>
  </si>
  <si>
    <t>Mamodo</t>
  </si>
  <si>
    <t>Zatch Bell</t>
  </si>
  <si>
    <t>Strong Resolve</t>
  </si>
  <si>
    <t>The Gathering Storm, Series 3, Expansion Sheet 1</t>
  </si>
  <si>
    <t>Zatch is pure of heart and courageous.</t>
  </si>
  <si>
    <t>EX-002</t>
  </si>
  <si>
    <t>Nya</t>
  </si>
  <si>
    <t>Meow</t>
  </si>
  <si>
    <t>[2 MP] [STAY] Reduce the Power of 1 of your opponent's in-play MAMODO cards by 2000.</t>
  </si>
  <si>
    <t>Supreme Power of the Golden Spell, Series 2, Expansion Sheet 1, The Best Booster 1</t>
  </si>
  <si>
    <t>“Meow~~!”</t>
  </si>
  <si>
    <t>EX-003</t>
  </si>
  <si>
    <t>Cut N' Paste</t>
  </si>
  <si>
    <t>Crafty Mamodo</t>
  </si>
  <si>
    <t>[DECLARE TO USE] Look at the currently open pages of your opponent's Spell Book. Select 1 of either card and send it to the Discard Pile. This effect can be applied only once per game (per player).</t>
  </si>
  <si>
    <t>The Gathering Storm, Series 3, Expansion Sheet 1, The Best Booster 1</t>
  </si>
  <si>
    <t>A mamodo who uses paste and scissors as weapons.</t>
  </si>
  <si>
    <t>EX-004</t>
  </si>
  <si>
    <t>Hyde</t>
  </si>
  <si>
    <t>Child of the Wind</t>
  </si>
  <si>
    <t>Hyde is able to control wind.</t>
  </si>
  <si>
    <t>EX-005</t>
  </si>
  <si>
    <t>Unyielding Defense</t>
  </si>
  <si>
    <t>Tia has strong defensive skills.</t>
  </si>
  <si>
    <t>EX-006</t>
  </si>
  <si>
    <t>Fein</t>
  </si>
  <si>
    <t>High Speed Movement</t>
  </si>
  <si>
    <t>Fein’s speed enables him to confuse opponents.</t>
  </si>
  <si>
    <t>EX-007</t>
  </si>
  <si>
    <t>Partner</t>
  </si>
  <si>
    <t>Kiyo Takamine</t>
  </si>
  <si>
    <t>Kiyo's Wish</t>
  </si>
  <si>
    <t>[SEND THIS CARD TO THE DISCARD PILE] [STANDBY] The MP cost of the next SPELL card you play for your Zatch Bell MAMODO card during this turn is considered to be 0.</t>
  </si>
  <si>
    <t>The Gathering Storm, Series 3, Expansion Sheet 1, The Best Booster 1, Revised Edition</t>
  </si>
  <si>
    <t>Kiyo is a genius Junior High School student. When he meets Zatch, his destiny changes.</t>
  </si>
  <si>
    <t>EX-008</t>
  </si>
  <si>
    <t>Shion</t>
  </si>
  <si>
    <t>Bonding</t>
  </si>
  <si>
    <t>[SEND THIS CARD TO THE DISCARD PILE] Get 4 MP. This effect can be applied only once per turn (per player).</t>
  </si>
  <si>
    <t>“Kiyo, let’s walk home together.”</t>
  </si>
  <si>
    <t>EX-009</t>
  </si>
  <si>
    <t>Kiichiro</t>
  </si>
  <si>
    <t>Wielding Scissors</t>
  </si>
  <si>
    <t>[SEND THIS CARD TO THE DISCARD PILE] Reduce your opponent's MP by 4. This effect can be applied only once per turn (per player).</t>
  </si>
  <si>
    <t>He is able to use scissors very well, and looks intimidating.</t>
  </si>
  <si>
    <t>EX-010</t>
  </si>
  <si>
    <t>Eido</t>
  </si>
  <si>
    <t>Wind Wielder</t>
  </si>
  <si>
    <t>[SEND THIS CARD TO THE DISCARD PILE] [STANDBY] The MP cost of the next SPELL card you play for your Hyde MAMODO card during this turn is considered to be 0.</t>
  </si>
  <si>
    <t>He is more concerned with girls and skateboarding than the battle to decide the mamodo king.</t>
  </si>
  <si>
    <t>EX-011</t>
  </si>
  <si>
    <t>Megumi</t>
  </si>
  <si>
    <t>Didn't I Tell You?</t>
  </si>
  <si>
    <t>[SEND THIS CARD TO THE DISCARD PILE] [STANDBY] The MP cost of the next SPELL card you play for your Tia MAMODO card during this turn is considered to be 0.</t>
  </si>
  <si>
    <t>She is a popstar who cares for Tia very much.</t>
  </si>
  <si>
    <t>EX-012</t>
  </si>
  <si>
    <t>Sebe</t>
  </si>
  <si>
    <t>At Fein's Command</t>
  </si>
  <si>
    <t>[SEND THIS CARD TO THE DISCARD PILE] [STANDBY] The MP cost of the next SPELL card you play for your Fein MAMODO card during this turn is considered to be 0.</t>
  </si>
  <si>
    <t>Fein’s coldhearted human partner.</t>
  </si>
  <si>
    <t>EX-013</t>
  </si>
  <si>
    <t>Spell</t>
  </si>
  <si>
    <t>Zaker</t>
  </si>
  <si>
    <t>Thunder</t>
  </si>
  <si>
    <t>Damage your opponent's Spell Book when you win the Battle as an Attacker.</t>
  </si>
  <si>
    <t>+3000</t>
  </si>
  <si>
    <t>Zatch’s 1st spell. An electric shock that shoots out of Zatch’s mouth.</t>
  </si>
  <si>
    <t>EX-014</t>
  </si>
  <si>
    <t>Rashield</t>
  </si>
  <si>
    <t>[COUNTER] Damage your opponent's Spell Book when you win the Battle as a Defender.</t>
  </si>
  <si>
    <t>+4000</t>
  </si>
  <si>
    <t>Zatch’s 2nd spell. It activates a shield that reflects an opponent’s spell back at them.</t>
  </si>
  <si>
    <t>EX-015</t>
  </si>
  <si>
    <t>Poreidoruk</t>
  </si>
  <si>
    <t>[STAY] When you win the Battle as an Attacker, your opponent can neither play SPELL cards nor apply the effect of their in-play MAMODO cards until the END PHASE of the next turn.</t>
  </si>
  <si>
    <t>Cut n’ Paste’s 2nd spell.</t>
  </si>
  <si>
    <t>EX-016</t>
  </si>
  <si>
    <t>Wirudo</t>
  </si>
  <si>
    <t>Wind</t>
  </si>
  <si>
    <t>+5000</t>
  </si>
  <si>
    <t>Hyde’s 3rd spell.</t>
  </si>
  <si>
    <t>EX-017</t>
  </si>
  <si>
    <t>Saisu</t>
  </si>
  <si>
    <t>Tia’s 2nd spell. A golden boomerang-shaped attack.</t>
  </si>
  <si>
    <t>EX-018</t>
  </si>
  <si>
    <t>Ma Seshield</t>
  </si>
  <si>
    <t>Negate your opponent's Attack when you win the Battle as a Defender.</t>
  </si>
  <si>
    <t>+6000</t>
  </si>
  <si>
    <t>Tia’s 3rd spell. A shield that repels head-on attacks.</t>
  </si>
  <si>
    <t>EX-019</t>
  </si>
  <si>
    <t>Yuruk</t>
  </si>
  <si>
    <t>Fein’s 2nd spell. Enables Fein to move at super high speeds.</t>
  </si>
  <si>
    <t>EX-020</t>
  </si>
  <si>
    <t>Bao Zakeruga</t>
  </si>
  <si>
    <t>+7000</t>
  </si>
  <si>
    <t>Zatch’s 4th spell. As Zatch and Kiyo battle, more power accumulates and Zatch is able to launch a powerful lightning dragon.</t>
  </si>
  <si>
    <t>EX-021</t>
  </si>
  <si>
    <t>Danny's Real Power</t>
  </si>
  <si>
    <t>Select 1 of your in-play MAMODO cards and apply both of the following effects: ● [STAY] Add 5000 Power to the selected card during this turn. ● [STANDBY] Send the selected MAMODO card to the Discard Pile at the END PHASE of this turn.</t>
  </si>
  <si>
    <t>The Gathering Storm, Series 3, Expansion Sheet 1, The Best Booster 2</t>
  </si>
  <si>
    <t>Danny’s power from within enables him to defend.</t>
  </si>
  <si>
    <t>EX-022</t>
  </si>
  <si>
    <t>The Gathering Storm, Series 3, Expansion Sheet 1, The Best Booster 2, Revised Edition</t>
  </si>
  <si>
    <t>Yopopo’s dance attracts other mamodo to him.</t>
  </si>
  <si>
    <t>EX-023</t>
  </si>
  <si>
    <t>Zatch’s friend. Kiyo made him in 5 minutes.</t>
  </si>
  <si>
    <t>EX-024</t>
  </si>
  <si>
    <t>The Magic Mirror</t>
  </si>
  <si>
    <t>This EVENT card can be played only when your opponent has 2 or more MAMODO cards in play. Injure 1 of your opponent's MAMODO cards.</t>
  </si>
  <si>
    <t>A mysterious mirror.</t>
  </si>
  <si>
    <t>EX-025</t>
  </si>
  <si>
    <t>I Love Yellowtail!</t>
  </si>
  <si>
    <t>[DECLARE TO USE] Get MP equal to the amount of MP your opponent gets by using a card effect. This effect can only be applied immediately after your opponent applies a card effect that increases their MP.</t>
  </si>
  <si>
    <t>The Gathering Storm, Series 3, Expansion Sheet 2, The Best Booster 2</t>
  </si>
  <si>
    <t>“Kiyo! Let’s eat it together.”</t>
  </si>
  <si>
    <t>EX-026</t>
  </si>
  <si>
    <t>Kanchome</t>
  </si>
  <si>
    <t>A Funny Mamodo</t>
  </si>
  <si>
    <t>[1 MP] Re-do the coin toss you just did. This effect can be applied up to twice per turn (per player).</t>
  </si>
  <si>
    <t>The Gathering Storm, Series 3, Expansion Sheet 2, The Best Booster 1</t>
  </si>
  <si>
    <t>"No attack can hurt Folgore!"</t>
  </si>
  <si>
    <t>EX-027</t>
  </si>
  <si>
    <t>Grisor</t>
  </si>
  <si>
    <t>Collector of the Magic Mirror</t>
  </si>
  <si>
    <t>[DECLARE TO USE] During your BATTLE PHASE, Reduce your opponent's MP by 1 to get 1 MP.</t>
  </si>
  <si>
    <t>He tries to seize the magic mirror from Zatch.</t>
  </si>
  <si>
    <t>EX-028</t>
  </si>
  <si>
    <t>Brago</t>
  </si>
  <si>
    <t>Gravity Attack</t>
  </si>
  <si>
    <t>The Gathering Storm, Series 3, Expansion Sheet 2</t>
  </si>
  <si>
    <t>Brago has the ability to control gravity.</t>
  </si>
  <si>
    <t>EX-029</t>
  </si>
  <si>
    <t>Zeno</t>
  </si>
  <si>
    <t>Regal Lightning</t>
  </si>
  <si>
    <t>Zeno strongly resembles Zatch, but they differ in personality.</t>
  </si>
  <si>
    <t>EX-030</t>
  </si>
  <si>
    <t>Wonrei</t>
  </si>
  <si>
    <t>I Will Protect You Until the End</t>
  </si>
  <si>
    <t>Wonrei is a skilled kung fu master.</t>
  </si>
  <si>
    <t>EX-031</t>
  </si>
  <si>
    <t>Penny</t>
  </si>
  <si>
    <t>What a Weak Attack</t>
  </si>
  <si>
    <t>(Battle) [1 MP] [STAY] During the Battle when your opponent Attacks, reduce the Damage of your opponent's SPELL card by 1.</t>
  </si>
  <si>
    <t>The Gathering Storm, Series 3, Expansion Sheet 2, The Best Booster 2, Revised Edition</t>
  </si>
  <si>
    <t>Penny has had a big crush on Zatch for a long time.</t>
  </si>
  <si>
    <t>EX-032</t>
  </si>
  <si>
    <t>Kido</t>
  </si>
  <si>
    <t>Really?</t>
  </si>
  <si>
    <t>[2 MP] Select 1 Dr. Riddles PARTNER card from any page of your Spell Book and attach it to this MAMODO card.</t>
  </si>
  <si>
    <t>“See, the doctor knows everything.”</t>
  </si>
  <si>
    <t>EX-033</t>
  </si>
  <si>
    <t>Parco Folgore</t>
  </si>
  <si>
    <t>Italian Hero</t>
  </si>
  <si>
    <t>[SEND THIS CARD TO THE DISCARD PILE] Apply 1 of the following effects: ● Get 3 MP. ● Reduce your opponent's MP by 3.</t>
  </si>
  <si>
    <t>“I am the Italian hero, Parco Folgore!”</t>
  </si>
  <si>
    <t>EX-034</t>
  </si>
  <si>
    <t>Dr. Hakase</t>
  </si>
  <si>
    <t>Mad Scientist</t>
  </si>
  <si>
    <t>(Cut-In) [SEND THIS CARD TO THE DISCARD PILE] Increase the MP cost of an EVENT card your opponent just played by 3. If your opponent refuses to, or is unable to pay the MP cost, negate the EVENT card.</t>
  </si>
  <si>
    <t>He helps Grisor with his great knowledge of science.</t>
  </si>
  <si>
    <t>EX-035</t>
  </si>
  <si>
    <t>Sherry</t>
  </si>
  <si>
    <t>Let's Go</t>
  </si>
  <si>
    <t>[SEND THIS CARD TO THE DISCARD PILE] [STANDBY] Reduce the MP cost of the next SPELL card you play for your Brago MAMODO card during this turn by 5.</t>
  </si>
  <si>
    <t>The Gathering Storm, Series 3, Expansion Sheet 2, The Best Booster 1, Revised Edition</t>
  </si>
  <si>
    <t>Sherry never gives up hope to save her best friend.</t>
  </si>
  <si>
    <t>EX-036</t>
  </si>
  <si>
    <t>Li-en</t>
  </si>
  <si>
    <t>Belief in Strength</t>
  </si>
  <si>
    <t>[IN PLAY] Add 2000 Power to the Total Power of your Wonrei MAMODO card when it Attacks or Defends. ※ With 1 Action, you can send this card to the Discard Pile at any time.</t>
  </si>
  <si>
    <t>“I believe in Wonrei.”</t>
  </si>
  <si>
    <t>EX-037</t>
  </si>
  <si>
    <t>Dr. Riddles</t>
  </si>
  <si>
    <t>A Wise Man's Strategy</t>
  </si>
  <si>
    <t>[SEND THIS CARD TO THE DISCARD PILE] [STANDBY] Select 1 EVENT card from any page of your Spell Book. The selected EVENT card can be played during this turn if you pay 1 MP higher than the EVENT card's current MP cost.</t>
  </si>
  <si>
    <t>“Ha ha ha... Can you solve my riddle?”</t>
  </si>
  <si>
    <t>EX-038</t>
  </si>
  <si>
    <t>Poruk</t>
  </si>
  <si>
    <t>Kanchomé’s 1st spell. Enables Kanchomé to transform his appearance.</t>
  </si>
  <si>
    <t>EX-039</t>
  </si>
  <si>
    <t>Dikaporuk</t>
  </si>
  <si>
    <t>Kanchomé’s 3rd spell. Enables Kanchomé to make a gigantic replica of himself.</t>
  </si>
  <si>
    <t>EX-040</t>
  </si>
  <si>
    <t>Giganoreis</t>
  </si>
  <si>
    <t>Brago’s 3rd spell. A more powerful, reinforced version of Reis.</t>
  </si>
  <si>
    <t>EX-041</t>
  </si>
  <si>
    <t>Zakeruga</t>
  </si>
  <si>
    <t>Zatch’s 5th spell. A reinforced Zaker that can pierce through armor.</t>
  </si>
  <si>
    <t>EX-042</t>
  </si>
  <si>
    <t>Go Boren</t>
  </si>
  <si>
    <t>Wonrei’s 4th spell. A powerful kung fu punch.</t>
  </si>
  <si>
    <t>EX-043</t>
  </si>
  <si>
    <t>Ak Spreid</t>
  </si>
  <si>
    <t>Damage your opponent's Spell Book when you win the Battle as an Attacker. Add 2000 Power and 2 Damage to this SPELL card if your opponent played a "Thunder" Attribute SPELL card during the previous turn.</t>
  </si>
  <si>
    <t>+2000</t>
  </si>
  <si>
    <t>Penny’s 3rd spell. It fires back the opponent’s energy that was absorbed by Penny’s Ashield spell.</t>
  </si>
  <si>
    <t>EX-044</t>
  </si>
  <si>
    <t>Koburuk</t>
  </si>
  <si>
    <t>[STAY] Flip a coin for each of your opponent's in-play MAMODO cards; if it's heads, your opponent can neither play SPELL cards for that MAMODO nor apply the effects of that MAMODO until the END PHASE of the next turn.</t>
  </si>
  <si>
    <t>Special</t>
  </si>
  <si>
    <t>Kido’s 6th spell. A number of mini-Kidos appear and attack the opponent.</t>
  </si>
  <si>
    <t>EX-045</t>
  </si>
  <si>
    <t>Look at the currently open pages of your opponent's Spell Book. If there is an EVENT card in any of the pages, turn 1 page of your opponent's Spell Book.</t>
  </si>
  <si>
    <t>Ponygon left on his journey to seek his partner, but he still had difficult decisions to make.</t>
  </si>
  <si>
    <t>EX-046</t>
  </si>
  <si>
    <t>The Best Combination?</t>
  </si>
  <si>
    <t>Select 2 MAMODO cards from any page of your Spell Book and put them in play (2 must be selected).</t>
  </si>
  <si>
    <t>Purio, Lupa, Zoboron, and Hige combine their powers to become a tag team.</t>
  </si>
  <si>
    <t>EX-047</t>
  </si>
  <si>
    <t>[STAY] Select 1 of your opponent's MAMODO cards. During the Battle when you inflict Damage or Injury this turn, your opponent must SACRIFICE or PROTECT their Spell Book from Damage with the selected MAMODO card.</t>
  </si>
  <si>
    <t>A girl who is always bullying Zatch. Can they ever be friends?</t>
  </si>
  <si>
    <t>EX-048</t>
  </si>
  <si>
    <t>Mochinoki Amusement Park</t>
  </si>
  <si>
    <t>Adjust both players' MP until they have 4 MP. This effect is considered to be reducing a player's MP when either player has 5 MP or more.</t>
  </si>
  <si>
    <t>An amusement park in Mochinoki City.</t>
  </si>
  <si>
    <t>EX-049</t>
  </si>
  <si>
    <t>Goren Of The Stone</t>
  </si>
  <si>
    <t>Terror of the Past</t>
  </si>
  <si>
    <t>[1 MP] [STAY] Your opponent cannot apply the effects of their Stone Tablet MAMODO cards during this turn.</t>
  </si>
  <si>
    <t>He turned many mamodo into stone tablets in the battle a thousand years ago. And now, those stone tablets...!</t>
  </si>
  <si>
    <t>EX-050</t>
  </si>
  <si>
    <t>5-Strike Super Attack</t>
  </si>
  <si>
    <t>Command: All</t>
  </si>
  <si>
    <t>Damage your opponent's Spell Book when you win the Battle as an Attacker. Flip a coin 5 times; the Power of this SPELL card is considered to be the same as the number of heads you get times 1000, and its Damage is considered to be equal to the number of heads you get times 1.</t>
  </si>
  <si>
    <t>1000x</t>
  </si>
  <si>
    <t>"As long as we have our power from within, we'll keep casting spells!"</t>
  </si>
  <si>
    <t>EX-051</t>
  </si>
  <si>
    <t>Unyielding Fighting Spirit</t>
  </si>
  <si>
    <t>[IN PLAY] When you are on the last page of your Spell Book, your opponent cannot apply the effects of their EVENT and PARTNER cards.</t>
  </si>
  <si>
    <t>"We'll show you that we can stand back up as many times as we need to... Whatever it takes!"</t>
  </si>
  <si>
    <t>EX-052</t>
  </si>
  <si>
    <t>Strength of the Iron Fist</t>
  </si>
  <si>
    <t>[1 MP] This card may Attack without using a SPELL card (Total Power=7000, Damage=1). This effect can be applied only when a Li-en PARTNER card is attached to this MAMODO card.</t>
  </si>
  <si>
    <t>Spell Book, Expansion Sheet 3</t>
  </si>
  <si>
    <t>“Behind me, stands someone I need to protect.”</t>
  </si>
  <si>
    <t>EX-053</t>
  </si>
  <si>
    <t>A Maiden's Prayer</t>
  </si>
  <si>
    <t>[IN PLAY] Your opponent cannot put cards in play that are of the same card name as cards that were sent to their Discard Pile during the same turn.</t>
  </si>
  <si>
    <t>"I wonder if my darling Zatch remembers me."</t>
  </si>
  <si>
    <t>EX-054</t>
  </si>
  <si>
    <t>Onward, Kido!</t>
  </si>
  <si>
    <t>[IN PLAY] [STAY] During the BATTLE PHASE of the turn this MAMODO card is put in play, your opponent cannot apply the effects of any of their in-play cards.</t>
  </si>
  <si>
    <t>"I'm really excited! So, this is what you call hope!"</t>
  </si>
  <si>
    <t>EX-055</t>
  </si>
  <si>
    <t>Danny</t>
  </si>
  <si>
    <t>Don't Call Me Danny Boy!</t>
  </si>
  <si>
    <t>(Attack) [1 MP] This card may Attack without using a SPELL card (Total Power=6500, Damage=2). This effect can be applied only when a Mr. Goldo PARTNER card is attached to this MAMODO card.</t>
  </si>
  <si>
    <t>"It's 'Danny'! For the last time, just 'Danny'!"</t>
  </si>
  <si>
    <t>EX-056</t>
  </si>
  <si>
    <t>Stone Tablet Mamodo</t>
  </si>
  <si>
    <t>Borubora</t>
  </si>
  <si>
    <t>Garon</t>
  </si>
  <si>
    <t>[IN PLAY] Any SPELL cards with Maruss as their MAMODO name can be played for this MAMODO card.</t>
  </si>
  <si>
    <t>A mamodo from a thousand years ago that uses metal spells like Maruss.</t>
  </si>
  <si>
    <t>EX-057</t>
  </si>
  <si>
    <t>Dogmos</t>
  </si>
  <si>
    <t>Grandsen</t>
  </si>
  <si>
    <t>[IN PLAY] Any SPELL cards with Eshros as their MAMODO name can be played for this MAMODO card.</t>
  </si>
  <si>
    <t>A mamodo from a thousand years ago that uses ground spells like Eshros.</t>
  </si>
  <si>
    <t>EX-058</t>
  </si>
  <si>
    <t>Erujo</t>
  </si>
  <si>
    <t>Biraitsu</t>
  </si>
  <si>
    <t>[IN PLAY] Any Biraitsu SPELL cards can be played for this MAMODO card.</t>
  </si>
  <si>
    <t>A mamodo from a thousand years ago that wields the same Biraitsu spell as Robnos.</t>
  </si>
  <si>
    <t>EX-059</t>
  </si>
  <si>
    <t>Believe in Me!</t>
  </si>
  <si>
    <t>[SEND THIS CARD TO THE DISCARD PILE] [STANDBY] During the next Battle when your Zatch Bell MAMODO card Attacks, your opponent cannot apply the effects of their PARTNER and EVENT cards.</t>
  </si>
  <si>
    <t>"Believe in me, Zatch! I'll guide you!"</t>
  </si>
  <si>
    <t>EX-060</t>
  </si>
  <si>
    <t>Apollo</t>
  </si>
  <si>
    <t>Rops</t>
  </si>
  <si>
    <t>A Free Man</t>
  </si>
  <si>
    <t>[IN PLAY] Your opponent cannot apply card effects that allow them to do the following from any page of their Spell Book (except the currently open pages): Play cards, put cards in play, send cards to the Discard Pile, and/or move cards from any page of their Spell Book.</t>
  </si>
  <si>
    <t>"I'd rather not have to worry about who becomes king of the mamodo world, but Rops hates it when I say stuff like that."</t>
  </si>
  <si>
    <t>EX-061</t>
  </si>
  <si>
    <t>Mr. Goldo</t>
  </si>
  <si>
    <t>Kids These Days...</t>
  </si>
  <si>
    <t>[SEND THIS CARD TO THE DISCARD PILE] [STANDBY] You can apply the effect of a Danny MAMODO card you already applied during this turn, and the MP cost of that effect is considered to be 0.</t>
  </si>
  <si>
    <t>"Hmph... You're not even half a man."</t>
  </si>
  <si>
    <t>EX-062</t>
  </si>
  <si>
    <t>Zatch's 5th spell. A reinforced Zaker, improved with a more impactful focused electric shot.</t>
  </si>
  <si>
    <t>EX-063</t>
  </si>
  <si>
    <t>Rerudo</t>
  </si>
  <si>
    <t>Negate your opponent's Attack regardless of their Power if the Damage of their Attack is 1. You may pay an additional 2 MP when you declare the play of this SPELL card; if you do, negate your opponent's Attack regardless of their Power if the Damage of their Attack is 2.</t>
  </si>
  <si>
    <t>Wonrei's 1st spell. A glass-like barrier materializes in front of his palms.</t>
  </si>
  <si>
    <t>EX-064</t>
  </si>
  <si>
    <t>Water</t>
  </si>
  <si>
    <t>Reduce the Damage of your opponent's Attack by 1 regardless of their Power.</t>
  </si>
  <si>
    <t>Penny's 3rd spell. It weakens an opponent's attack by washing energy away.</t>
  </si>
  <si>
    <t>EX-065</t>
  </si>
  <si>
    <t>Zeburuk</t>
  </si>
  <si>
    <t>Flip a coin twice; if you get heads at least once, negate your opponent's Attack regardless of their Power.</t>
  </si>
  <si>
    <t>Kido's 3rd spell. "What?! He split in two?!"</t>
  </si>
  <si>
    <t>EX-066</t>
  </si>
  <si>
    <t>Borubora's 1st spell. A large, iron battering ram extends from beneath his cape.</t>
  </si>
  <si>
    <t>EX-067</t>
  </si>
  <si>
    <t>Ground</t>
  </si>
  <si>
    <t>Dogmos' 1st spell. A huge, earthen cannon emerges from the ground to fire boulders at the opponent.</t>
  </si>
  <si>
    <t>EX-068</t>
  </si>
  <si>
    <t>Bireiorudo</t>
  </si>
  <si>
    <t>Damage your opponent's Spell Book when you win the Battle as an Attacker. When Defending, add 2000 Power to this SPELL card.</t>
  </si>
  <si>
    <t>Erujo's 2nd spell. Attacks and defends by conjuring tremendous rings of light.</t>
  </si>
  <si>
    <t>EX-069</t>
  </si>
  <si>
    <t>The Devolo Ruins</t>
  </si>
  <si>
    <t>[STAY] Add 2000 Power to all of your Stone Tablet MAMODO cards until the END PHASE of your next turn.</t>
  </si>
  <si>
    <t>[EX-]</t>
  </si>
  <si>
    <t>Milordo-Z and the mamodo from a thousand years ago are located within the ancient Devolo Ruins in a South American mountain range.</t>
  </si>
  <si>
    <t>EX-070</t>
  </si>
  <si>
    <t>Volcan's Close Call</t>
  </si>
  <si>
    <t>Negate all [Stay] and [Standby] card effects that increase the Power or Total Power of MAMODO and SPELL cards.</t>
  </si>
  <si>
    <t>"Waaaah! Volcan... Volcan!"</t>
  </si>
  <si>
    <t>EX-071e</t>
  </si>
  <si>
    <t>[STAY] Select 1 of your opponent's MAMODO cards. Your opponent can neither apply the effects of the selected MAMODO card, nor can they apply the effects of that MAMODO card's attached PARTNER, during this turn.</t>
  </si>
  <si>
    <t>"A free trip to Hong Kong? Suh-weet!"</t>
  </si>
  <si>
    <t>EX-071j</t>
  </si>
  <si>
    <t>"I'm the Drunken Master, see?" A charming Hong Kong joke.</t>
  </si>
  <si>
    <t>EX-072</t>
  </si>
  <si>
    <t>The Fish Professor</t>
  </si>
  <si>
    <t>Look at your opponent's Spell Book. Select up to 2 Professor Dartagnan EVENT cards from any of the pages and send them to the Discard Pile.</t>
  </si>
  <si>
    <t>"Is that really Professor Dartagnan?"</t>
  </si>
  <si>
    <t>EX-073</t>
  </si>
  <si>
    <t>Thank You</t>
  </si>
  <si>
    <t>Get MP equal to the number of MAMODO cards in your Discard Pile times 1.</t>
  </si>
  <si>
    <t>Zatch aspires to become a kind king as he meets and makes many new friends along the way.</t>
  </si>
  <si>
    <t>EX-074</t>
  </si>
  <si>
    <t>Who's The Odd One Out?</t>
  </si>
  <si>
    <t>Send 1 of your opponent's in-play MJ12 cards to the Discard Pile.</t>
  </si>
  <si>
    <t>"So, tell me... Amongst them all, who's the odd one out?"</t>
  </si>
  <si>
    <t>EX-075</t>
  </si>
  <si>
    <t>[1 MP] (Battle) Negate an Attack your opponent declared during the Battle that isn't a SPELL card.</t>
  </si>
  <si>
    <t>"I won't... let you come through here!"</t>
  </si>
  <si>
    <t>EX-076</t>
  </si>
  <si>
    <t>Zofis (Milordo-Z)</t>
  </si>
  <si>
    <t>Zofis</t>
  </si>
  <si>
    <t>Irritation</t>
  </si>
  <si>
    <t>[DECLARE TO USE] If you received 3 Damage or more during this turn, inflict 2 Damage on your opponent.</t>
  </si>
  <si>
    <t>"It's time for you to disappear in despair..."</t>
  </si>
  <si>
    <t>EX-077</t>
  </si>
  <si>
    <t>Ponygon (Shudoruk Form)</t>
  </si>
  <si>
    <t>Mane of Gold</t>
  </si>
  <si>
    <t>This card is placed on a regular Ponygon MAMODO card when a Shudoruk SPELL card is played for the Ponygon MAMODO card. You can send this card to the Discard Pile at any time (the regular Ponygon card remains in play). (Cut-In) [1 MP] Negate the card effect your opponent just applied that would reduce your MP.</t>
  </si>
  <si>
    <t>Ponygon gains armor with a razor-sharp mane when taking on his Shudoruk form.</t>
  </si>
  <si>
    <t>EX-078</t>
  </si>
  <si>
    <t>Alm</t>
  </si>
  <si>
    <t>Sentry</t>
  </si>
  <si>
    <t>[1 MP] Apply both of the following effects in order: ● [STAY] Reduce the Power of all of your opponent's in-play MAMODO cards by 1000 during this turn. ● Injure all of your opponent's MAMODO with 0 Power.</t>
  </si>
  <si>
    <t>"Fools... You're underestimating me!"</t>
  </si>
  <si>
    <t>EX-079</t>
  </si>
  <si>
    <t>Gelios</t>
  </si>
  <si>
    <t>A dragon mamodo who guards the ruins alongside Alm. He is able to shoot water from his mouth.</t>
  </si>
  <si>
    <t>EX-080</t>
  </si>
  <si>
    <t>Gantz</t>
  </si>
  <si>
    <t>After getting separated from the others, Kanchomé and Folgore are approached by a huge shadow!</t>
  </si>
  <si>
    <t>EX-081</t>
  </si>
  <si>
    <t>Victoream</t>
  </si>
  <si>
    <t>Foolish But Strong!</t>
  </si>
  <si>
    <t>[3 MP] [STAY] Neither player can play EVENT cards during this turn.</t>
  </si>
  <si>
    <t>"Futile, just futile! How pitiful! Ah ha ha ha!"</t>
  </si>
  <si>
    <t>EX-082</t>
  </si>
  <si>
    <t>Laila</t>
  </si>
  <si>
    <t>Faint Smile</t>
  </si>
  <si>
    <t>[IN PLAY] Get 2 MP at the END PHASE of this turn if you played a SPELL card for any of your MAMODO cards during this turn (except "Command" SPELL cards).</t>
  </si>
  <si>
    <t>"Albert... Please try to break free of your spell."</t>
  </si>
  <si>
    <t>EX-083</t>
  </si>
  <si>
    <t>Kafk Sunbeam</t>
  </si>
  <si>
    <t>Bonds in the Making</t>
  </si>
  <si>
    <t>[SEND THIS CARD TO THE DISCARD PILE] [STANDBY] A Shudoruk or Go Shudoruk SPELL card can be played from any page of your Spell Book during this turn.</t>
  </si>
  <si>
    <t>"That was groovy, Ponygon."</t>
  </si>
  <si>
    <t>EX-084</t>
  </si>
  <si>
    <t>Koko</t>
  </si>
  <si>
    <t>True Character</t>
  </si>
  <si>
    <t>[IN PLAY] Your opponent cannot apply effects that allow them to re-do coin tosses and/or guarantee the outcome of a coin toss as heads or tails.</t>
  </si>
  <si>
    <t>"Ha ha... This is the real me."</t>
  </si>
  <si>
    <t>EX-085</t>
  </si>
  <si>
    <t>Mohawk Ace</t>
  </si>
  <si>
    <t>Unleashing the Power</t>
  </si>
  <si>
    <t>[SEND THIS CARD TO THE DISCARD PILE] Turn 2 pages of your opponent's Spell Book if your opponent turned pages of your Spell Book with their card effects this turn.</t>
  </si>
  <si>
    <t>"Show them our number one power that never fails to destroy our enemies, Mohawk Ace!"</t>
  </si>
  <si>
    <t>EX-086</t>
  </si>
  <si>
    <t>Rauzaruk</t>
  </si>
  <si>
    <t>Regardless of their Power, any of your opponent's Attacks with a Total Power of 8000 or less are negated during this turn ([STAY]).</t>
  </si>
  <si>
    <t>Zatch's 6th spell. "I won't let you lay a hand on Kiyo!"</t>
  </si>
  <si>
    <t>EX-087</t>
  </si>
  <si>
    <t>Shudoruk</t>
  </si>
  <si>
    <t>Ponygon's 1st spell. His strong determination to protect his friends keeps him steady in the face of battle.</t>
  </si>
  <si>
    <t>EX-088</t>
  </si>
  <si>
    <t>Radom</t>
  </si>
  <si>
    <t>Zofis' 1st spell. "Too bad you didn't have time for a counterattack."</t>
  </si>
  <si>
    <t>EX-089</t>
  </si>
  <si>
    <t>Neshir</t>
  </si>
  <si>
    <t>Alm's 1st spell. A highly destructive ball of energy is shot toward the opponent.</t>
  </si>
  <si>
    <t>EX-090</t>
  </si>
  <si>
    <t>Degaruk</t>
  </si>
  <si>
    <t>Gelios' 1st spell. Powers up the horns on his head to ram intruders into the ground.</t>
  </si>
  <si>
    <t>EX-091</t>
  </si>
  <si>
    <t>Amuruk</t>
  </si>
  <si>
    <t>Gantz's 1st spell. His fist grows in size and delivers a devastating punch.</t>
  </si>
  <si>
    <t>EX-092</t>
  </si>
  <si>
    <t>Magurga</t>
  </si>
  <si>
    <t>Flip a coin; if it's heads, Damage your opponent's Spell Book when you win the Battle as an Attacker.</t>
  </si>
  <si>
    <t>Victoream's 1st spell. "Watch as I wreck the walls! Now the terrace!"</t>
  </si>
  <si>
    <t>EX-093</t>
  </si>
  <si>
    <t>Megumi's CD</t>
  </si>
  <si>
    <t>Apply both of the following effects in any order: ● Both players turn all of their Injured MAMODO to Normal Status ● Both players get 2 MP.</t>
  </si>
  <si>
    <t>"It's perfect for a housewarming gift, no home's complete without it!"</t>
  </si>
  <si>
    <t>EX-094</t>
  </si>
  <si>
    <t>Hero Show</t>
  </si>
  <si>
    <t>"I'll punish this little scoundrel! Justice will prevail without fail!"</t>
  </si>
  <si>
    <t>EX-095</t>
  </si>
  <si>
    <t>Warriors From A Thousand Years Ago</t>
  </si>
  <si>
    <t>This effect can be applied only when you have 3 Stone Tablet MAMODO cards in play. [STAY] Reduce the Power of 1 of your opponent's in-play MAMODO cards to 0 during this turn.</t>
  </si>
  <si>
    <t>The mamodo from a thousand years ago, who fight in a group, have cornered the hunter Baransha.</t>
  </si>
  <si>
    <t>EX-096</t>
  </si>
  <si>
    <t>Someone Important</t>
  </si>
  <si>
    <t>Negate the card effect your opponent just applied that would send any of your in-play cards to the Discard Pile. If your opponent was applying a card effect that sends 2 or more of your in-play cards to the Discard Pile, select 1 of the targeted cards to keep in play, and send the rest to the Discard Pile instead.</t>
  </si>
  <si>
    <t>"Let me ask you this... Even if Wonrei and I separate... what do you think will be left behind?"</t>
  </si>
  <si>
    <t>EX-097</t>
  </si>
  <si>
    <t>Petrify 1 of your opponent's Stone Tablet MAMODO cards.</t>
  </si>
  <si>
    <t>Over 40 mamodo from a thousand years ago were awakened from within these stone tablets.</t>
  </si>
  <si>
    <t>EX-098</t>
  </si>
  <si>
    <t>Folgore's CD</t>
  </si>
  <si>
    <t>Reduce your MP by any amount. Then, reduce your opponent's MP by an equal amount.</t>
  </si>
  <si>
    <t>"Here you go, have a copy of my latest hit song!" "Hey, Hey, Let's Dance All Day?"</t>
  </si>
  <si>
    <t>EX-099</t>
  </si>
  <si>
    <t>Crybaby Zatch</t>
  </si>
  <si>
    <t>[IN PLAY] This MAMODO card cannot be a target of any card effects when it is the only MAMODO card you have in play.</t>
  </si>
  <si>
    <t>"Waaaah! Enough already! Kiyo, why do you have to be so mean?!"</t>
  </si>
  <si>
    <t>EX-100</t>
  </si>
  <si>
    <t>Treasure Map</t>
  </si>
  <si>
    <t>Flip a coin twice; if you get heads twice, get 5 MP.</t>
  </si>
  <si>
    <t>It was supposed to be a fun search for a secret hot spring, but...</t>
  </si>
  <si>
    <t>EX-101</t>
  </si>
  <si>
    <t>Mileage Card</t>
  </si>
  <si>
    <t>[STANDBY] At the END PHASE of this turn, get MP equal to half of the MP you spent or lost (rounded down) during this turn's BATTLE PHASE.</t>
  </si>
  <si>
    <t>"Aren't I the greatest person who ever lived? Hee hee hee hee! I'm great, I'm great, I'm great! I'm great, I'm great, I'm great!"</t>
  </si>
  <si>
    <t>KIRE-001</t>
  </si>
  <si>
    <t>Kiremaro</t>
  </si>
  <si>
    <t>A KIREMARO card can be put in play from the currently open pages of your Spell Book during either player's BATTLE PHASE. You can apply the effects of a KIREMARO card on your side of play. [SEND THIS CARD TO THE DISCARD PILE] Send all of your in-play PARTNER cards to the Discard Pile.</t>
  </si>
  <si>
    <t>"The Card Battle Master, Kiremaro, has arrived!"</t>
  </si>
  <si>
    <t>KIRE-002</t>
  </si>
  <si>
    <t>S Kiremaro</t>
  </si>
  <si>
    <t>This card is placed on a regular Kiremaro card. A KIREMARO card can be put in play from the currently open pages of your Spell Book during either player's BATTLE PHASE. You can apply the effects of a KIREMARO card on your side of play. [DECLARE TO USE] Send any number of your in-play MAMODO cards to the Discard Pile.</t>
  </si>
  <si>
    <t>Kiremaro's burning passion for cards has powered him up.</t>
  </si>
  <si>
    <t>M-001</t>
  </si>
  <si>
    <t>[1 MP] [STAY] Add 1000 Power to this MAMODO card during the Battle when it Attacks.</t>
  </si>
  <si>
    <t>He was found and saved by Kiyo's father in a forest in England.</t>
  </si>
  <si>
    <t>M-002</t>
  </si>
  <si>
    <t>Dropout Zatch</t>
  </si>
  <si>
    <t>[IN PLAY] If you have 2 MP or less at your START PHASE, get 1 MP.</t>
  </si>
  <si>
    <t>He was an outcast among the other kids in his world.</t>
  </si>
  <si>
    <t>M-003</t>
  </si>
  <si>
    <t>Injured Hero</t>
  </si>
  <si>
    <t>[IN PLAY] Add 1000 Power to this MAMODO card when it is in Injured Status.</t>
  </si>
  <si>
    <t>His strong will to win makes him even stronger.</t>
  </si>
  <si>
    <t>M-004</t>
  </si>
  <si>
    <t>Reycom</t>
  </si>
  <si>
    <t>Evil Tool</t>
  </si>
  <si>
    <t>[IN PLAY] Add 1000 Power to this MAMODO card when it has a PARTNER card attached.</t>
  </si>
  <si>
    <t>He controls ice spells, and does not care if his evil human partner uses him.</t>
  </si>
  <si>
    <t>M-005</t>
  </si>
  <si>
    <t>Self-Possessed Warrior</t>
  </si>
  <si>
    <t>[2 MP] [STAY] Increase the Damage of this MAMODO card's Attack by 1 during the Battle when it Attacks.</t>
  </si>
  <si>
    <t>He is a strong mamodo who looks for opponents day and night.</t>
  </si>
  <si>
    <t>M-006</t>
  </si>
  <si>
    <t>Gofure</t>
  </si>
  <si>
    <t>Imitated Friend</t>
  </si>
  <si>
    <t>[IN PLAY] [STAY] Your opponent cannot play SPELL cards during the turn this MAMODO card is put in play.</t>
  </si>
  <si>
    <t>Zatch met a puppy when he was feeling sad, but the puppy was actually...</t>
  </si>
  <si>
    <t>M-007</t>
  </si>
  <si>
    <t>Gofure (Transformed)</t>
  </si>
  <si>
    <t>Real Self</t>
  </si>
  <si>
    <t>This card is placed on a regular Gofure MAMODO card. [IN PLAY] Turn 1 page of your opponent's Spell Book when this MAMODO card is put in play.</t>
  </si>
  <si>
    <t>...not a puppy but a vicious mamodo transformed by a spell.</t>
  </si>
  <si>
    <t>M-008</t>
  </si>
  <si>
    <t>Sugino</t>
  </si>
  <si>
    <t>Tactician</t>
  </si>
  <si>
    <t>[DECLARE TO USE] [STANDBY] Reduce the MP cost of a SPELL card played for this MAMODO card by 1. In addition, reduce the Power of that SPELL card by 1000.</t>
  </si>
  <si>
    <t>He can control plants.</t>
  </si>
  <si>
    <t>M-009</t>
  </si>
  <si>
    <t>Kolulu</t>
  </si>
  <si>
    <t>Kind Girl</t>
  </si>
  <si>
    <t>[IN PLAY] When this MAMODO card is sent to the Discard Pile, get 4 MP.</t>
  </si>
  <si>
    <t>She is a gentle mamodo that doesn't normaly have the will to fight.</t>
  </si>
  <si>
    <t>M-010</t>
  </si>
  <si>
    <t>Kolulu (Transformed)</t>
  </si>
  <si>
    <t>Mad Warrior</t>
  </si>
  <si>
    <t>This card is placed on a regular Kolulu MAMODO card. [1 MP] [STAY] Add 1000 Power to this MAMODO card during the Battle when it Defends.</t>
  </si>
  <si>
    <t>This is how Kolulu transforms when she is forced to battle.</t>
  </si>
  <si>
    <t>M-011</t>
  </si>
  <si>
    <t>Tactical Enemy</t>
  </si>
  <si>
    <t>[DECLARE TO USE] Look at your opponent's Spell Book. Select 1 MAMODO card from any of the pages and send it to the Discard Pile. This effect can be applied only once per game (per player).</t>
  </si>
  <si>
    <t>"I will be the King. I will have more power, and nobody will disobey me."</t>
  </si>
  <si>
    <t>M-012</t>
  </si>
  <si>
    <t>Lucky Guy</t>
  </si>
  <si>
    <t>[DECLARE TO USE] Re-do your coin toss.</t>
  </si>
  <si>
    <t>"Iron Man Kanchome! Invincible Kanchome!"</t>
  </si>
  <si>
    <t>M-013</t>
  </si>
  <si>
    <t>Invincible Fellow</t>
  </si>
  <si>
    <t>[2 MP] [STAY] This MAMODO card does not receive Damage or Injury during the Battle. This effect can be applied only when this MAMODO card is in Injured Status.</t>
  </si>
  <si>
    <t>"I've got lots of sweets in my pocket."</t>
  </si>
  <si>
    <t>M-014e</t>
  </si>
  <si>
    <t>Reliable Partner</t>
  </si>
  <si>
    <t>[IN PLAY] Add 1000 Power to all of your in-play MAMODO cards when more than 2 MAMODO cards (including this card) are in play.</t>
  </si>
  <si>
    <t>She used to bully Zatch back in the mamodo world.</t>
  </si>
  <si>
    <t>M-014j</t>
  </si>
  <si>
    <t>[IN PLAY] Add 1000 Power to all of your in-play MAMODO cards when you have 2 or more MAMODO cards (including this card) in play.</t>
  </si>
  <si>
    <t>M-015</t>
  </si>
  <si>
    <t>Obstinacy</t>
  </si>
  <si>
    <t>[5 MP] [STAY] This MAMODO card does not receive Damage or Injury during the Battle.</t>
  </si>
  <si>
    <t>"I'll also try to become a kind ruler of the mamodo world."</t>
  </si>
  <si>
    <t>M-016</t>
  </si>
  <si>
    <t>Lost Memory</t>
  </si>
  <si>
    <t>[DECLARE TO USE] Switch 1 card in the currently open pages of your Spell Book with a card in any of the previous pages. This effect can be applied only once per game (per player).</t>
  </si>
  <si>
    <t>Series 1, Level 2, The Best Booster 2, File 1: Zatch Bell &amp; Ponygon</t>
  </si>
  <si>
    <t>"Let's go, Kiyo!"</t>
  </si>
  <si>
    <t>M-017</t>
  </si>
  <si>
    <t>Dark Mamodo</t>
  </si>
  <si>
    <t>[2 MP] [STAY] Add 2000 Power to this MAMODO card during the Battle when it Attacks.</t>
  </si>
  <si>
    <t>"I'm positive there are many mamodo that don't want to go against me."</t>
  </si>
  <si>
    <t>M-018</t>
  </si>
  <si>
    <t>Self-Possession</t>
  </si>
  <si>
    <t>[1 MP] Look at the currently open pages of your opponent's Spell Book during your BATTLE PHASE; if there are no SPELL cards with a "Defend" Icon, get 2 MP.</t>
  </si>
  <si>
    <t>Series 1 Level 2, The Best Booster 1</t>
  </si>
  <si>
    <t>"Do you want me to end your life now?"</t>
  </si>
  <si>
    <t>M-019</t>
  </si>
  <si>
    <t>Odd Animal</t>
  </si>
  <si>
    <t>[DECLARE TO USE] Your opponent re-does their coin toss.</t>
  </si>
  <si>
    <t>"Munch, munch, munch..."</t>
  </si>
  <si>
    <t>M-020</t>
  </si>
  <si>
    <t>Along With Megumi</t>
  </si>
  <si>
    <t>[1 MP] Select 1 Megumi PARTNER card from any page of your Spell Book and attach it to this MAMODO card.</t>
  </si>
  <si>
    <t>"I will protect Megumi!"</t>
  </si>
  <si>
    <t>M-021</t>
  </si>
  <si>
    <t>Rider on the Wind</t>
  </si>
  <si>
    <t>[1 MP] Select 1 Eido PARTNER card from any page of your Spell Book and attach it to this MAMODO card.</t>
  </si>
  <si>
    <t>He is a cool mamodo with the power to control the wind.</t>
  </si>
  <si>
    <t>M-022</t>
  </si>
  <si>
    <t>Mental Controller</t>
  </si>
  <si>
    <t>[5 MP] Send 1 of your opponent's in-play PARTNER cards to the Discard Pile.</t>
  </si>
  <si>
    <t>He is a cold-hearted mamodo that manipulates people's minds.</t>
  </si>
  <si>
    <t>M-023</t>
  </si>
  <si>
    <t>Pokkerio</t>
  </si>
  <si>
    <t>Vegetation Mamodo</t>
  </si>
  <si>
    <t>[IN PLAY] Any SPELL cards with a "Wood" Attribute can be played for this MAMODO card.</t>
  </si>
  <si>
    <t>He is a mamodo that encounters Brago in the jungle, and has the power to control trees.</t>
  </si>
  <si>
    <t>M-024</t>
  </si>
  <si>
    <t>Robnos (Double)</t>
  </si>
  <si>
    <t>Robnos</t>
  </si>
  <si>
    <t>Two in One</t>
  </si>
  <si>
    <t>Up to 2 Robnos (Double) MAMODO cards can be in play (per player). [IN PLAY] When you have 2 Robnos (Double) MAMODO cards in play, a Biraitsu SPELL card can be played up to twice per turn (per player).</t>
  </si>
  <si>
    <t>I am the invincible Robnos and I love to sculpt!</t>
  </si>
  <si>
    <t>M-025</t>
  </si>
  <si>
    <t>Robnos (Complete)</t>
  </si>
  <si>
    <t>Maximum Power</t>
  </si>
  <si>
    <t>[IN PLAY] Apply both of the following effects in order when this MAMODO card is put in play: ● Move 1 Robnos (Double) or Robnos (Complete) MAMODO card from your Discard Pile to an empty page of your Spell Book. ● Get 2 MP.</t>
  </si>
  <si>
    <t>You were only fighting against half of our power!</t>
  </si>
  <si>
    <t>M-026</t>
  </si>
  <si>
    <t>Maruss</t>
  </si>
  <si>
    <t>Betrayer</t>
  </si>
  <si>
    <t>[2 MP] Negate a MAMODO card's effect your opponent just applied.</t>
  </si>
  <si>
    <t>You're weaker than me...how can I forget it?</t>
  </si>
  <si>
    <t>M-027</t>
  </si>
  <si>
    <t>Baltro (Armored)</t>
  </si>
  <si>
    <t>Baltro</t>
  </si>
  <si>
    <t>Emulated Armor</t>
  </si>
  <si>
    <t>This card is placed on a regular Baltro MAMODO card when a Zeberu SPELL card is played for the Baltro MAMODO card. The regular Baltro MAMODO card remains in play when this card is sent to the Discard Pile. [1 MP] This card may Attack without using a SPELL card (Total Power=5000, Damage=2).</t>
  </si>
  <si>
    <t>He descends upon his opponents with his big, powerful, destructive body.</t>
  </si>
  <si>
    <t>M-028</t>
  </si>
  <si>
    <t>Brutal Real Form</t>
  </si>
  <si>
    <t>[IN PLAY] When the Baltro (Armored) MAMODO card placed over this MAMODO card is sent to the Discard Pile, turn 2 pages of your opponent's Spell Book.</t>
  </si>
  <si>
    <t>This guy is so weak that he has to hide himself in a big metal body!</t>
  </si>
  <si>
    <t>M-029</t>
  </si>
  <si>
    <t>Enmity</t>
  </si>
  <si>
    <t>Any Zaker SPELL cards with Zatch Bell as their MAMODO name can be played for this MAMODO card. [7 MP] Send 1 of your opponent's Injured MAMODO cards to the Discard Pile.</t>
  </si>
  <si>
    <t>He is a mysterious mamodo that hates Zatch and has deleted Zatch's memory of the mamodo world.</t>
  </si>
  <si>
    <t>M-030</t>
  </si>
  <si>
    <t>Yopopo</t>
  </si>
  <si>
    <t>Topopoi</t>
  </si>
  <si>
    <t>[DECLARE TO USE] This effect can be applied only when you are on the last page of your Spell Book. [STANDBY] End the turn without turning a page of the Spell Book at the END PHASE of this turn. This effect can be applied only once per game (per player).</t>
  </si>
  <si>
    <t>He is a warm-hearted mamodo who loves to sing and dance.</t>
  </si>
  <si>
    <t>M-031</t>
  </si>
  <si>
    <t>Kikuropu</t>
  </si>
  <si>
    <t>Kikuropu's Armor</t>
  </si>
  <si>
    <t>[IN PLAY] This MAMODO card does not receive Damage or Injury from a SPELL card with a Total Power of 6000 or less.</t>
  </si>
  <si>
    <t>He is a mamodo whose body is protected by hard volcanic rocks for best defensive performance.</t>
  </si>
  <si>
    <t>M-032</t>
  </si>
  <si>
    <t>Going Out</t>
  </si>
  <si>
    <t>[SEND THIS CARD TO THE DISCARD PILE] (Cut-In) Negate the EVENT card your opponent just played.</t>
  </si>
  <si>
    <t>Spell Book</t>
  </si>
  <si>
    <t>"Kiyo! You're taking me with you!"</t>
  </si>
  <si>
    <t>M-033e</t>
  </si>
  <si>
    <t>Scornful Laughter</t>
  </si>
  <si>
    <t>[SEND THIS CARD TO THE DISCARD PILE] [STAY] Increase Damage by 1 when this MAMODO card inflicts Damage or Injury during this turn.</t>
  </si>
  <si>
    <t>"Huh, don't bare your fangs at me, you pathetic creature!"</t>
  </si>
  <si>
    <t>M-033j</t>
  </si>
  <si>
    <t>[SEND THIS CARD TO THE DISCARD PILE] [STAY] Increase the Damage of SPELL cards and MAMODO card effects that allow you to Attack without using a SPELL card by 1 during this turn.</t>
  </si>
  <si>
    <t>M-034</t>
  </si>
  <si>
    <t>Circus Training</t>
  </si>
  <si>
    <t>[SEND THIS CARD TO THE DISCARD PILE] A coin you just flipped is considered to be "heads".</t>
  </si>
  <si>
    <t>The lost Kanchomé was picked up by a circus troupe and...</t>
  </si>
  <si>
    <t>M-035</t>
  </si>
  <si>
    <t>Unafraid Heart</t>
  </si>
  <si>
    <t>[1 MP] [STAY] The Power of this MAMODO card is equal to the Power of 1 of your opponent's in-play MAMODO cards during this turn.</t>
  </si>
  <si>
    <t>"I want to be a kind king! That's the only thing I want to be!"</t>
  </si>
  <si>
    <t>M-036</t>
  </si>
  <si>
    <t>Furigaro</t>
  </si>
  <si>
    <t>Mamodo of Ice</t>
  </si>
  <si>
    <t>[IN PLAY] Any SPELL cards with an "Ice" Attribute can be played for this MAMODO card.</t>
  </si>
  <si>
    <t>The Gathering Storm, Series 3, Level 3</t>
  </si>
  <si>
    <t>An atrocious mamodo who uses ice as a weapon.</t>
  </si>
  <si>
    <t>M-037</t>
  </si>
  <si>
    <t>Eshros</t>
  </si>
  <si>
    <t>Elite</t>
  </si>
  <si>
    <t>[2 MP] [STANDBY] 1 SPELL card with Eshros as its MAMODO name can be played for this MAMODO card from any of the previous 2 pages of your Spell Book during this turn.</t>
  </si>
  <si>
    <t>"I'm the elite among the mamodo."</t>
  </si>
  <si>
    <t>M-038</t>
  </si>
  <si>
    <t>A King for Freedom</t>
  </si>
  <si>
    <t>[IN PLAY] SPELL cards can be played for this MAMODO card and this MAMODO card's effects can be applied even when you are prohibited to do so.</t>
  </si>
  <si>
    <t>A mamodo who fights to become a king for freedom.</t>
  </si>
  <si>
    <t>M-039</t>
  </si>
  <si>
    <t>Combat</t>
  </si>
  <si>
    <t>[1 MP] This card may Attack without using a SPELL card (Total Power=6500, Damage=1). [1 MP] This card may Defend without using a SPELL card (Total Power=6500).</t>
  </si>
  <si>
    <t>"Don't call me Danny Boy!"</t>
  </si>
  <si>
    <t>M-040</t>
  </si>
  <si>
    <t>Purio</t>
  </si>
  <si>
    <t>A Difficult Child</t>
  </si>
  <si>
    <t>[IN PLAY] Increase the MP costs of your opponent's EVENT cards by 1.</t>
  </si>
  <si>
    <t>He likes to make fun of people.</t>
  </si>
  <si>
    <t>M-041</t>
  </si>
  <si>
    <t>Zoboron</t>
  </si>
  <si>
    <t>A Strange Pet</t>
  </si>
  <si>
    <t>[2 MP] Select 1 Hige PARTNER card from any page of your Spell Book and put it in play.</t>
  </si>
  <si>
    <t>He is 7 years old, loves fish, and hates bugs.</t>
  </si>
  <si>
    <t>M-042</t>
  </si>
  <si>
    <t>Protective King</t>
  </si>
  <si>
    <t>[1 MP] [STAY] This MAMODO card can SACRIFICE or PROTECT your Spell Book from Damage during this turn even when it is prohibited to do so.</t>
  </si>
  <si>
    <t>Supreme Power of the Golden Spell, Series 2, Level 3, Revised Edition</t>
  </si>
  <si>
    <t>"I won't let you touch Li-en!"</t>
  </si>
  <si>
    <t>M-043</t>
  </si>
  <si>
    <t>Zabas</t>
  </si>
  <si>
    <t>Armored Wing</t>
  </si>
  <si>
    <t>[1 MP] Negate 1 Attack your opponent declared in the Battle that would inflict 1 Damage.</t>
  </si>
  <si>
    <t>"Once a loser, always a loser."</t>
  </si>
  <si>
    <t>M-044</t>
  </si>
  <si>
    <t>Bago</t>
  </si>
  <si>
    <t>Robber</t>
  </si>
  <si>
    <t>[DECLARE TO USE] Apply both of the following effects in order when your opponent has 8 MP or more: ● Reduce your opponent's MP by 3. ● Get 3 MP.</t>
  </si>
  <si>
    <t>A gluttonous mamodo who stole Rushka's sheep.</t>
  </si>
  <si>
    <t>M-045</t>
  </si>
  <si>
    <t>Who's His Owner?</t>
  </si>
  <si>
    <t>[1 MP] Look at the currently open pages of your opponent's Spell Book during your BATTLE PHASE. If there are PARTNER cards in any of the pages, send 1 of them to the Discard Pile.</t>
  </si>
  <si>
    <t>"Meru meru me~~"</t>
  </si>
  <si>
    <t>M-046</t>
  </si>
  <si>
    <t>Accelerate</t>
  </si>
  <si>
    <t>This card is placed on a regular Ponygon MAMODO card when a Shudoruk SPELL card is played for the Ponygon MAMODO card. You can send this card to the Discard Pile at any time (the regular Ponygon card remains in play). (Attack)[1 MP] This card may Attack without using a SPELL card (Total Power=7000, Damage=2).</t>
  </si>
  <si>
    <t>Dawn of the Ancients, Series 4, Level 3</t>
  </si>
  <si>
    <t>His strong will to fight changed his form!</t>
  </si>
  <si>
    <t>M-047e</t>
  </si>
  <si>
    <t>Shining Body</t>
  </si>
  <si>
    <t>This card is placed on a regular Zatch Bell MAMODO card. Send this card to the Discard Pile at the END PHASE of your next turn (the regular Zatch Bell MAMODO card remains in play). This card is considered to be the same as the Zatch Bell MAMODO card. [IN PLAY] This MAMODO card does not receive Damage or Injury.</t>
  </si>
  <si>
    <t>"No power can feel as good as this!"</t>
  </si>
  <si>
    <t>M-047j</t>
  </si>
  <si>
    <t>M-048</t>
  </si>
  <si>
    <t>All Strength</t>
  </si>
  <si>
    <t>[DECLARE TO USE] [STANDBY] During the next Battle this turn, an Attack declared by this MAMODO card with 10000 or more Total Power cannot be Defended.</t>
  </si>
  <si>
    <t>Supreme Power of the Golden Spell, Series 2, Zatch Bell and his Friends, File 1: Zatch Bell &amp; Ponygon</t>
  </si>
  <si>
    <t>"I'll pursue my goal to be a kind king step by step."</t>
  </si>
  <si>
    <t>M-049</t>
  </si>
  <si>
    <t>Noble Soul</t>
  </si>
  <si>
    <t>[IN PLAY] The PARTNER card attached to this MAMODO card cannot be sent to the Discard Pile by your opponent's card effects.</t>
  </si>
  <si>
    <t>Supreme Power of the Golden Spell, Series 2, Zatch Bell and his Friends</t>
  </si>
  <si>
    <t>"Remember that I promised to always protect you."</t>
  </si>
  <si>
    <t>M-050</t>
  </si>
  <si>
    <t>We Are Not Alone</t>
  </si>
  <si>
    <t>[DECLARE TO USE][STAY] Add 2000 Power to 1 of your in-play MAMODO cards (except this MAMODO card) during this turn.</t>
  </si>
  <si>
    <t>"Don't forget... none of us is alone.</t>
  </si>
  <si>
    <t>M-051</t>
  </si>
  <si>
    <t>Invincible</t>
  </si>
  <si>
    <t>This MAMODO card can neither SACRIFICE nor PROTECT your Spell Book from Damage (even when effects would not prohibit it from doing so). [IN PLAY] This MAMODO card does not receive Damage or Injury.</t>
  </si>
  <si>
    <t>"Who mistook me for that idiot?"</t>
  </si>
  <si>
    <t>M-052</t>
  </si>
  <si>
    <t>Bari</t>
  </si>
  <si>
    <t>A Strong King</t>
  </si>
  <si>
    <t>[1 MP] [STAY] During the Battle when this MAMODO card Attacks during this turn, add 1000 Power and 1 Damage to this MAMODO card's Attack.</t>
  </si>
  <si>
    <t>"The strongest king, who will never give in to anything!"</t>
  </si>
  <si>
    <t>M-053e</t>
  </si>
  <si>
    <t>A Regal Presence</t>
  </si>
  <si>
    <t>[IN PLAY] This MAMODO card does not receive Damage or Injury when it SACRIFICES or PROTECTS your Spell Book from an infliction of 1 Damage.</t>
  </si>
  <si>
    <t>"You will know how foolish it is to fight me!"</t>
  </si>
  <si>
    <t>M-053j</t>
  </si>
  <si>
    <t>[IN PLAY] This MAMODO card does not receive Damage or Injury from an infliction of 1 Damage.</t>
  </si>
  <si>
    <t>M-054</t>
  </si>
  <si>
    <t>Go For It!</t>
  </si>
  <si>
    <t>[1 MP] [STANDBY] Flip a coin; if it's heads, the SPELL card this MAMODO card Attacks with in the next Battle this turn cannot be Defended.</t>
  </si>
  <si>
    <t>The Gathering Storm, Series 3, Limited Edition I</t>
  </si>
  <si>
    <t>"Even in times of difficulty, Zatch never gives up and pushes ahead."</t>
  </si>
  <si>
    <t>M-055</t>
  </si>
  <si>
    <t>Preparing to Destroy</t>
  </si>
  <si>
    <t>[1 MP] [STANDBY] In the next Battle this turn when you Attack with a SPELL card that Damages your opponent's Spell Book when you win the Battle as an Attacker, flip a coin; if it's heads, that SPELL card Injures 1 of your opponent's MAMODO cards instead of Damaging their Spell Book. If it's tails, the SPELL card is negated.</t>
  </si>
  <si>
    <t>"This is going to be the end."</t>
  </si>
  <si>
    <t>M-056</t>
  </si>
  <si>
    <t>Trembling With Excitement</t>
  </si>
  <si>
    <t>[1 MP] Flip a coin during your BATTLE PHASE; if it's heads, get 3 MP.</t>
  </si>
  <si>
    <t>"Oh... what am I going to do?"</t>
  </si>
  <si>
    <t>M-057</t>
  </si>
  <si>
    <t>Guardian Goddess</t>
  </si>
  <si>
    <t>(Battle) [2 MP] Flip a coin; if it's heads, negate 1 of your opponent's Attacks in the Battle.</t>
  </si>
  <si>
    <t>The Gathering Storm, Series 3, Limited Edition I, Revised Edition</t>
  </si>
  <si>
    <t>"I won't run away from you!"</t>
  </si>
  <si>
    <t>M-058</t>
  </si>
  <si>
    <t>Clup Clup Clup</t>
  </si>
  <si>
    <t>No SPELL cards can be played for this MAMODO card. [3 MP] Select 1 PARTNER card from your opponent's Discard Pile and attach it to this MAMODO card. ● The PARTNER card can be attached even if it is not a Kafk Sunbeam PARTNER card. ● The PARTNER card's effect can be applied as if it were your own.</t>
  </si>
  <si>
    <t>Ponygon has overcome his difficulties and left on his journey to find his partner.</t>
  </si>
  <si>
    <t>M-059e</t>
  </si>
  <si>
    <t>Road to Destruction</t>
  </si>
  <si>
    <t>[SEND THIS CARD TO THE DISCARD PILE] Injure 1 of your opponent's MAMODO cards.</t>
  </si>
  <si>
    <t>"You're so naïve."</t>
  </si>
  <si>
    <t>M-059j</t>
  </si>
  <si>
    <t>[SEND THIS CARD TO THE DISCARD PILE] Turn 1 of your opponent's in-play Normal Status MAMODO cards to Injured Status (this is not considered to be inflicting Damage or Injury).</t>
  </si>
  <si>
    <t>M-060</t>
  </si>
  <si>
    <t>Meru Meru Me</t>
  </si>
  <si>
    <t>[SEND THIS CARD TO THE DISCARD PILE] Turn 1 page of your opponent's Spell Book. This effect can be applied only once per turn (per player).</t>
  </si>
  <si>
    <t>"Meru meru me..."</t>
  </si>
  <si>
    <t>M-061</t>
  </si>
  <si>
    <t>Mind Release</t>
  </si>
  <si>
    <t>[SEND THIS CARD TO THE DISCARD PILE] [STANDBY] Both players send all of their in-play PARTNER cards to the Discard Pile at the END PHASE of this turn.</t>
  </si>
  <si>
    <t>"Now, it's time to enjoy becoming king."</t>
  </si>
  <si>
    <t>M-062</t>
  </si>
  <si>
    <t>Encounter</t>
  </si>
  <si>
    <t>[2 MP] Apply 1 or both of the following effects in order during your BATTLE PHASE: ● Send 1 of your in-play MAMODO cards to the Discard Pile. ● Select 1 MAMODO card from any pages of your Spell Book and put it in play.</t>
  </si>
  <si>
    <t>Special Box, The Best Booster 1, Revised Edition</t>
  </si>
  <si>
    <t>Zatch wishes for a strong heart and body so that he can protect Kiyo in future battles.</t>
  </si>
  <si>
    <t>M-063</t>
  </si>
  <si>
    <t>Unemotional Victory</t>
  </si>
  <si>
    <t>[DECLARE TO USE] Turn 1 page of your opponent's Spell Book. This effect can be applied only when your opponent is on the last page of their Spell Book. (If your opponent cannot negate this card's effect or otherwise avoid turning the last page, you win the game.)</t>
  </si>
  <si>
    <t>The Gathering Storm, Series 3, Special Box, The Best Booster 1</t>
  </si>
  <si>
    <t>“Let go of your weak thoughts! Don’t be so optimistic.”</t>
  </si>
  <si>
    <t>M-064</t>
  </si>
  <si>
    <t>Please</t>
  </si>
  <si>
    <t>[SEND THIS CARD TO THE DISCARD PILE] [STAY] Add 2000 Power to 1 of your MAMODO cards during this game. This effect can be applied only once per game (per player).</t>
  </si>
  <si>
    <t>Kind Kolulu hates to fight, but turns into a fierce mamodo when her spell is read.</t>
  </si>
  <si>
    <t>M-065</t>
  </si>
  <si>
    <t>I Won't Give You Any</t>
  </si>
  <si>
    <t>(Cut-In) [DECLARE TO USE] If your MP is about to be reduced by a card effect your opponent is about to apply, flip a coin; if it's heads, negate that effect. This effect can be applied as many times as you desire per turn.</t>
  </si>
  <si>
    <t>The Gathering Storm, Series 3, Special Box, The Best Booster 1, Revised Edition</t>
  </si>
  <si>
    <t>"I can be your friend, you know..."</t>
  </si>
  <si>
    <t>M-066</t>
  </si>
  <si>
    <t>I'll Protect Megumi</t>
  </si>
  <si>
    <t>She is an unyielding and obstinate girl.</t>
  </si>
  <si>
    <t>M-067</t>
  </si>
  <si>
    <t>Carrying Presents</t>
  </si>
  <si>
    <t>[SEND THIS CARD TO THE DISCARD PILE] [STANDBY] Get 4 MP at the START PHASE of your next turn. This effect can be applied only once per turn (per player).</t>
  </si>
  <si>
    <t>Special Box, The Best Booster 2, File 1: Zatch Bell &amp; Ponygon</t>
  </si>
  <si>
    <t>Ponygon decides to fight in order to help his friends.</t>
  </si>
  <si>
    <t>M-068</t>
  </si>
  <si>
    <t>Continuous Punch</t>
  </si>
  <si>
    <t>(Attack) [1 MP] This card may Attack without using a SPELL card (Total Power=6000, Damage=1). The effect can be applied up to twice per turn (per player).</t>
  </si>
  <si>
    <t>A mamodo who moves quickly and has outstanding strength.</t>
  </si>
  <si>
    <t>M-069e</t>
  </si>
  <si>
    <t>Kung Fu</t>
  </si>
  <si>
    <t>(Attack) [2 MP] This card may Attack without using a SPELL card (Total Power=6000, Damage=1).</t>
  </si>
  <si>
    <t>“My goal is to become a king who will protect everybody.”</t>
  </si>
  <si>
    <t>M-069j</t>
  </si>
  <si>
    <t>(Attack) [2 MP] This card may Attack without using a SPELL card (Total Power=6000, Damage=2).</t>
  </si>
  <si>
    <t>M-070</t>
  </si>
  <si>
    <t>Iron Will</t>
  </si>
  <si>
    <t>[DECLARE TO USE] [STANDBY] During the Battle when this MAMODO card Attacks this turn, your opponent cannot apply the effects of their MAMODO and PARTNER cards.</t>
  </si>
  <si>
    <t>Supreme Power of the Golden Spell, Series 2, Level 4, The Best Booster 1, Revised Edition</t>
  </si>
  <si>
    <t>"I won't let you win!"</t>
  </si>
  <si>
    <t>M-071</t>
  </si>
  <si>
    <t>Lofty Ideal</t>
  </si>
  <si>
    <t>[IN PLAY] Get 3 MP when this MAMODO card loses the Battle as an Attacker.</t>
  </si>
  <si>
    <t>Supreme Power of the Golden Spell, Series 2, Level 4</t>
  </si>
  <si>
    <t>"Crying accomplishes nothing."</t>
  </si>
  <si>
    <t>M-072</t>
  </si>
  <si>
    <t>I Love Candy!</t>
  </si>
  <si>
    <t>[IN PLAY] Get 1 MP for each time you flip a coin.</t>
  </si>
  <si>
    <t>"Candy? I won't give you any!"</t>
  </si>
  <si>
    <t>M-073</t>
  </si>
  <si>
    <t>Gotta Hurry!</t>
  </si>
  <si>
    <t>[DECLARE TO USE] [STANDBY] 1 SPELL card with Tia as its MAMODO name can be played from any page of your Spell Book (except the last page) for Defending during this turn. Then, send the SPELL card you played to the Discard Pile.</t>
  </si>
  <si>
    <t>"Megumi, hurry up! Everybody is in danger now."</t>
  </si>
  <si>
    <t>M-074</t>
  </si>
  <si>
    <t>Ponygon (Go Shudoruk Form)</t>
  </si>
  <si>
    <t>Evade</t>
  </si>
  <si>
    <t>This card is placed on a regular Ponygon MAMODO card when a Go Shudoruk SPELL card is played for the Ponygon MAMODO card. You can send this card to the Discard Pile at any time (the regular Ponygon card remains in play). [IN PLAY] The PARTNER card attached to this MAMODO card cannot be sent to the Discard Pile by your opponent's card effects.</t>
  </si>
  <si>
    <t>Dawn of the Ancients, Series 4, Level 4, The Best Booster 1</t>
  </si>
  <si>
    <t>Their partnership grew stronger and made Shudoruk evolve.</t>
  </si>
  <si>
    <t>M-075</t>
  </si>
  <si>
    <t>Hidden True Character</t>
  </si>
  <si>
    <t>[IN PLAY] Your opponent cannot target MAMODO cards with their effects that select a card to target. ● When a SPELL card is played for this MAMODO card, this effect cannot be applied during the next turn. This effect is [STANDBY] during this turn, and [STAY] during the next turn.</t>
  </si>
  <si>
    <t>"Let's destroy this city."</t>
  </si>
  <si>
    <t>M-076</t>
  </si>
  <si>
    <t>Baransha</t>
  </si>
  <si>
    <t>Hunter</t>
  </si>
  <si>
    <t>[IN PLAY] Your opponent cannot get more than 2 MP during their START PHASE.</t>
  </si>
  <si>
    <t>A mamodo who enjoys hunting and fights with quick movements.</t>
  </si>
  <si>
    <t>M-077</t>
  </si>
  <si>
    <t>Donpoccho</t>
  </si>
  <si>
    <t>Pleading for Life</t>
  </si>
  <si>
    <t>[DECLARE TO USE] End this BATTLE PHASE (only a cut-in effect can be applied on this effect). Effects are resolved at the END PHASE of this turn, but neither player turns 1 page to get 2 MP. This effect can be applied only once per game (per player).</t>
  </si>
  <si>
    <t>The Gathering Storm, Series 3, Level 4, The Best Booster 1, Revised Edition</t>
  </si>
  <si>
    <t>Defeated by Bari quickly, he used his spell only once.</t>
  </si>
  <si>
    <t>M-078</t>
  </si>
  <si>
    <t>Cool! Doctor!</t>
  </si>
  <si>
    <t>"Awesome, Doctor! It's a perfect strategy!"</t>
  </si>
  <si>
    <t>M-079</t>
  </si>
  <si>
    <t>A Maiden's Love</t>
  </si>
  <si>
    <t>[IN PLAY] Your opponent cannot look at the pages of your Spell Book, and your opponent cannot apply effects that involve looking at the pages of your Spell Book (such as looking at the pages to send a card to the Discard Pile).</t>
  </si>
  <si>
    <t>"My sweet darling Zatch will be mine!"</t>
  </si>
  <si>
    <t>M-080</t>
  </si>
  <si>
    <t>Byonko</t>
  </si>
  <si>
    <t>An Intrusion/Battle Intrusion</t>
  </si>
  <si>
    <t>[SEND THIS CARD TO THE DISCARD PILE] (Cut-In) Negate 1 EVENT card your opponent just played during your BATTLE PHASE. [SEND THIS CARD TO THE DISCARD PILE] (Battle) Negate 1 of your opponent's Attacks in the Battle.</t>
  </si>
  <si>
    <t>The Gathering Storm, Series 3, Level 4, Revised Edition</t>
  </si>
  <si>
    <t>"Ribbit! I won't let you do that, ribbit!"</t>
  </si>
  <si>
    <t>M-081</t>
  </si>
  <si>
    <t>Milordo-Z</t>
  </si>
  <si>
    <t>An Evil Power</t>
  </si>
  <si>
    <t>This card is considered to be the same as the Zofis MAMODO card. [DECLARE TO USE] [STAY] Select 1 of your opponent's in-play MAMODO cards. Your opponent cannot apply the effects of that card during this game. This effect can be applied only once per game (per player).</t>
  </si>
  <si>
    <t>An evil mamodo who is plotting to revive the mamodo from a thousand years ago.</t>
  </si>
  <si>
    <t>M-082</t>
  </si>
  <si>
    <t>Cutting Off The Space</t>
  </si>
  <si>
    <t>[2 MP] [STAY] Select 1 of your opponent's in-play MAMODO cards. The selected MAMODO card can neither SACRIFICE nor PROTECT its Spell Book from Damage during this turn.</t>
  </si>
  <si>
    <t>"Give me the magic mirror!"</t>
  </si>
  <si>
    <t>M-083</t>
  </si>
  <si>
    <t>Nya (Transformed)</t>
  </si>
  <si>
    <t>Ribbon of Bounds</t>
  </si>
  <si>
    <t>This card is placed on a regular Nya MAMODO card. [1 MP] Select 1 Shion PARTNER card from any page of your Spell Book and put it in play.</t>
  </si>
  <si>
    <t>Nya transforms into an aggressive cat-mamodo.</t>
  </si>
  <si>
    <t>M-084e</t>
  </si>
  <si>
    <t>You Scumbag!</t>
  </si>
  <si>
    <t>[DECLARE TO USE] When you turn more than 1 page of your Spell Book by your opponent's card effects during this turn (except as a result of Damage), turn the same number of pages of your opponent's Spell Book.</t>
  </si>
  <si>
    <t>"You scumbag!"</t>
  </si>
  <si>
    <t>M-084j</t>
  </si>
  <si>
    <t>[DECLARE TO USE] When you turn any pages of your Spell Book by your opponent's card effects during this turn (except as a result of Damage), turn the same number of pages of your opponent's Spell Book.</t>
  </si>
  <si>
    <t>M-085</t>
  </si>
  <si>
    <t>Goren of the Stone</t>
  </si>
  <si>
    <t>Goren</t>
  </si>
  <si>
    <t>Petrify</t>
  </si>
  <si>
    <t>The card name of this MAMODO card is considered to be "Goren". [IN PLAY] Your opponent cannot move cards from their Discard Pile into play or into empty pages of their Spell Book.</t>
  </si>
  <si>
    <t>Dawn of the Ancients, Series 4, Level 4</t>
  </si>
  <si>
    <t>The mamodo who won the most victories in the battle a thousand years ago.</t>
  </si>
  <si>
    <t>M-086</t>
  </si>
  <si>
    <t>There is no Turning Back</t>
  </si>
  <si>
    <t>[IN PLAY] Neither player can turn back any pages of their Spell Book with card effects during the BATTLE PHASE.</t>
  </si>
  <si>
    <t>The Gathering Storm, Series 3, Limited Edition II</t>
  </si>
  <si>
    <t>"A kind king - that's the only thing that I want to be."</t>
  </si>
  <si>
    <t>M-087</t>
  </si>
  <si>
    <t>Extermination</t>
  </si>
  <si>
    <t>[2 MP] If your opponent has 6 or more cards in play, send 1 of those cards to the Discard Pile.</t>
  </si>
  <si>
    <t>"Im sorry, but I won't let you go."</t>
  </si>
  <si>
    <t>M-088</t>
  </si>
  <si>
    <t>Attack &amp; Defend as One</t>
  </si>
  <si>
    <t>[DECLARE TO USE] This effect can be applied only if you Attacked with this MAMODO card during your previous turn. [STANDBY] The MP cost of 1 SPELL card played for this MAMODO card that is used for Defending during this turn is considered to be 0.</t>
  </si>
  <si>
    <t>"With Li-en, I'll pursue my goal to become King."</t>
  </si>
  <si>
    <t>M-089</t>
  </si>
  <si>
    <t>Stealing the Cake!</t>
  </si>
  <si>
    <t>[IN PLAY] When your opponent gets MP during the BATTLE PHASE, flip a coin; if it's heads, get the same number of MP instead of your opponent.</t>
  </si>
  <si>
    <t>"Hahahaha... I love sweets."</t>
  </si>
  <si>
    <t>M-090</t>
  </si>
  <si>
    <t>Fearless Grin</t>
  </si>
  <si>
    <t>This card is considered to be the same as the Zofis MAMODO card. (Cut-In) [2 MP] Flip a coin; if it's heads, negate the EVENT card your opponent just played.</t>
  </si>
  <si>
    <t>The Gathering Storm, Series 3, Limited Edition II, Revised Edition</t>
  </si>
  <si>
    <t>"I've already got the resolution for that."</t>
  </si>
  <si>
    <t>M-091</t>
  </si>
  <si>
    <t>Hidden Power</t>
  </si>
  <si>
    <t>Any Zaker SPELL cards with Zeno as their MAMODO name can be played for this MAMODO card. [2 MP] [STANDBY] During the next Battle this turn, your opponent can neither SACRIFICE nor PROTECT their Spell Book from the Damage of this MAMODO card's Attack.</t>
  </si>
  <si>
    <t>Secrets of the Ruins, Level 5</t>
  </si>
  <si>
    <t>"I can become stronger!!!"</t>
  </si>
  <si>
    <t>M-092</t>
  </si>
  <si>
    <t>The Invincible Kanchome</t>
  </si>
  <si>
    <t>[IN PLAY] Apply the following effect when this MAMODO card is sent to the Discard Pile: [STANDBY] At the END PHASE of this turn, move 1 Kanchomé MAMODO card and 1 Parco Folgore PARTNER card from your Discard Pile into play.</t>
  </si>
  <si>
    <t>"I'm no crybaby! I'm the invincible Kanchome!"</t>
  </si>
  <si>
    <t>M-093</t>
  </si>
  <si>
    <t>A Maiden's Will</t>
  </si>
  <si>
    <t>[1 MP] [STAY] Your opponent can only declare 1 Attack during this turn.</t>
  </si>
  <si>
    <t>"I can't forgive you for this!"</t>
  </si>
  <si>
    <t>M-094</t>
  </si>
  <si>
    <t>The Joy in Vice</t>
  </si>
  <si>
    <t>[IN PLAY] When your opponent's MP is reduced from 1 or more to 0 by your card effects, get 2 MP.</t>
  </si>
  <si>
    <t>Dawn of the Ancients, Series 4, Level 5, The Best Booster 2, Revised Edition</t>
  </si>
  <si>
    <t>"Being addicted to evil makes me very happy."</t>
  </si>
  <si>
    <t>M-095</t>
  </si>
  <si>
    <t>Manipulator of Plants</t>
  </si>
  <si>
    <t>(Battle) [1 MP] Apply 1 of the following effects: ● [STAY] Increase or reduce the Damage of a "Wood" Attribute SPELL card you played in the Battle by 1. ● [STAY] Increase or reduce the Damage of a "Wood" Attribute SPELL card your opponent played in the Battle by 1.</t>
  </si>
  <si>
    <t>His training, aimed at humans, has started in the botanical garden.</t>
  </si>
  <si>
    <t>M-096</t>
  </si>
  <si>
    <t>Kind Kolulu</t>
  </si>
  <si>
    <t>(Battle) [1 MP] Negate your own Attack. The MP cost paid for that Attack is restored.</t>
  </si>
  <si>
    <t>"You're such a kind person, Lori."</t>
  </si>
  <si>
    <t>M-097</t>
  </si>
  <si>
    <t>A Mamodo's Tears</t>
  </si>
  <si>
    <t>This card is placed on a regular Kolulu MAMODO card. [IN PLAY] Turn back 1 page of your Spell Book when this MAMODO card is sent to the Discard Pile (the regular Kolulu MAMODO card remains in play).</t>
  </si>
  <si>
    <t>"We can't run away... from our destiny."</t>
  </si>
  <si>
    <t>M-098</t>
  </si>
  <si>
    <t>Little Strategist</t>
  </si>
  <si>
    <t>[IN PLAY] The MP cost of your opponent's 0 MP cost EVENT cards is considered to be 2 MP.</t>
  </si>
  <si>
    <t>Dawn of the Ancients, Series 4, Level 5, The Best Booster 2</t>
  </si>
  <si>
    <t>Kido loves Dr. Riddles very much.</t>
  </si>
  <si>
    <t>M-099</t>
  </si>
  <si>
    <t>Maiden's Tactics</t>
  </si>
  <si>
    <t>[IN PLAY] Flip a coin when your opponent turns back any pages of their Spell Book; if it's heads, turn 3 pages of your opponent's Spell Book.</t>
  </si>
  <si>
    <t>Penny leads the mamodo from a thousand years ago,  who have been revived.</t>
  </si>
  <si>
    <t>M-100</t>
  </si>
  <si>
    <t>Revenge</t>
  </si>
  <si>
    <t>[DECLARE TO USE] If your MP is reduced by your opponent's card effects, flip a coin; if it's heads, send 1 of your opponent's in-play MAMODO cards to the Discard Pile.</t>
  </si>
  <si>
    <t>"Now, let's wipe out the left-overs!"</t>
  </si>
  <si>
    <t>M-101</t>
  </si>
  <si>
    <t>A Dismal Life</t>
  </si>
  <si>
    <t>[IN PLAY] When you have 0 MP, the MP cost of your 1 MP cost EVENT cards is considered to be 0.</t>
  </si>
  <si>
    <t>To compensate for being weak, Grisor stole the magic mirror from the mamodo world.</t>
  </si>
  <si>
    <t>M-102</t>
  </si>
  <si>
    <t>Grisor (Transformed)</t>
  </si>
  <si>
    <t>Scorching Inferno</t>
  </si>
  <si>
    <t>This card is placed on a regular Grisor MAMODO card when a Riapol SPELL card is played for the Grisor MAMODO card. [IN PLAY] If either player has 6 MP or more, adjust the MP until both players have 5 MP. In addition, neither player can have more than 5 MP.</t>
  </si>
  <si>
    <t>"This level of power is beyond my wildest imagination!"</t>
  </si>
  <si>
    <t>M-103</t>
  </si>
  <si>
    <t>Dual Mamodo</t>
  </si>
  <si>
    <t>Zatch Bell &amp; Kanchome</t>
  </si>
  <si>
    <t>Zatch Bell | Kanchome</t>
  </si>
  <si>
    <t>The Lucky One</t>
  </si>
  <si>
    <t>Send your in-play Zatch Bell or Kanchomé MAMODO card to the Discard Pile to put this MAMODO card in play. [DECLARE TO USE] Re-do a coin toss that was done by either player.</t>
  </si>
  <si>
    <t>"Ahh, Zatch! When you came, you saved me!"</t>
  </si>
  <si>
    <t>M-104</t>
  </si>
  <si>
    <t>Zatch Bell &amp; Ponygon</t>
  </si>
  <si>
    <t>Zatch Bell | Ponygon</t>
  </si>
  <si>
    <t>The Reason for His Attitude</t>
  </si>
  <si>
    <t>Send your in-play Zatch Bell or Ponygon MAMODO card to the Discard Pile to put this MAMODO card in play. [DECLARE TO USE] Send your opponent's in-play Kiyo Takamine or Kafk Sunbeam PARTNER card to the Discard Pile.</t>
  </si>
  <si>
    <t>The reason for Ponygon's attitude towards Kiyo is that...</t>
  </si>
  <si>
    <t>M-105</t>
  </si>
  <si>
    <t>Zatch Bell &amp; Wonrei</t>
  </si>
  <si>
    <t>Zatch Bell | Wonrei</t>
  </si>
  <si>
    <t>To Each Their Own King</t>
  </si>
  <si>
    <t>Send your in-play Zatch Bell or Wonrei MAMODO card to the Discard Pile to put this MAMODO card in play. [1 MP][STAY] During this turn, you can both play SPELL cards for and SACRIFICE or PROTECT your Spell Book from Damage with this MAMODO card, even when it is prohibited to do so.</t>
  </si>
  <si>
    <t>The "kind king" and the "king who protects"... They each strive toward their respective goals.</t>
  </si>
  <si>
    <t>M-106</t>
  </si>
  <si>
    <t>Assume the "V" Position!</t>
  </si>
  <si>
    <t>[1 MP] Inflict 5 Damage on your opponent (your opponent can PROTECT their Spell Book from this Damage). This effect can be applied only during your BATTLE PHASE when you are on the last page of your Spell Book.</t>
  </si>
  <si>
    <t>"My name is Victoream! The Gorgeous Sir Victoream!"</t>
  </si>
  <si>
    <t>M-107</t>
  </si>
  <si>
    <t>Bounds of Partnership</t>
  </si>
  <si>
    <t>[1 MP] [STAY] Neither player can send their in-play PARTNER cards to the Discard Pile during this turn (except when the PARTNER's MAMODO card is sent to the Discard Pile).</t>
  </si>
  <si>
    <t>"But we were wrong..."</t>
  </si>
  <si>
    <t>M-108</t>
  </si>
  <si>
    <t>Rescue</t>
  </si>
  <si>
    <t>[1 MP] [STAY] Select 1 of your other in-play MAMODO. SPELL cards can be played for the selected MAMODO card, and the effects of the selected MAMODO card can be applied, even when you are prohibited to do so.</t>
  </si>
  <si>
    <t>Level 6</t>
  </si>
  <si>
    <t>Are you okay? Hurry up and give me your hand!"</t>
  </si>
  <si>
    <t>M-109</t>
  </si>
  <si>
    <t>I'll Beat Those Guys!</t>
  </si>
  <si>
    <t>(Cut-In) [DECLARE TO USE] If your opponent applied an effect that allows them to select 1 of your in-play MAMODO cards, your opponent must select this MAMODO card to apply that effect.</t>
  </si>
  <si>
    <t>"I'm not gonna cry anymore!"</t>
  </si>
  <si>
    <t>M-110</t>
  </si>
  <si>
    <t>Defensive Position</t>
  </si>
  <si>
    <t>[IN PLAY] Your opponent cannot play EVENT cards with a 0 MP cost.</t>
  </si>
  <si>
    <t>"Get behind me, everyone!"</t>
  </si>
  <si>
    <t>M-111</t>
  </si>
  <si>
    <t>A King No One Can Oppose</t>
  </si>
  <si>
    <t>[IN PLAY] Increase the MP cost of EVENT cards your opponent plays during your BATTLE PHASE by 2.</t>
  </si>
  <si>
    <t>"When I am the king, I'll be the only one who matters!"</t>
  </si>
  <si>
    <t>M-112</t>
  </si>
  <si>
    <t>Treachery</t>
  </si>
  <si>
    <t>[1 MP] Select 1 of your opponent's in-play MAMODO cards. Your opponent cannot apply the effects of the selected MAMODO card during the next turn. This effect is [STANDBY] during this turn, and [STAY] during the next turn.</t>
  </si>
  <si>
    <t>"The moment you began to trust me... was the moment you lost the battle!"</t>
  </si>
  <si>
    <t>M-113</t>
  </si>
  <si>
    <t>Don't Leave Yet!</t>
  </si>
  <si>
    <t>[1 MP] Flip a coin; if it's heads, select 1 Dr. Riddles PARTNER card from your Discard Pile that was sent to the Discard Pile during this turn and attach it to this MAMODO card.</t>
  </si>
  <si>
    <t>I won't forgive you! You'll pay for doing those horrible things to Dr. Riddles!"</t>
  </si>
  <si>
    <t>M-114</t>
  </si>
  <si>
    <t>Fiendish Angel</t>
  </si>
  <si>
    <t>[DECLARE TO USE] [STAY] Add the text below to all of your in-play Stone Tablet MAMODO cards during this turn; ●(Attack)[1 MP] This card may Attack without using a SPELL card (Total Power=6000, Damage=2).</t>
  </si>
  <si>
    <t>"Try not to bully my little Zatchy-poo too much now."</t>
  </si>
  <si>
    <t>M-115</t>
  </si>
  <si>
    <t>Boruboruboru</t>
  </si>
  <si>
    <t>[IN PLAY] When you have 3 Stone Tablet MAMODO cards in play, your opponent cannot apply effects that reduce your MP.</t>
  </si>
  <si>
    <t>A mamodo from a thousand years ago who overwhelms Zatch with its strength and agility.</t>
  </si>
  <si>
    <t>M-116</t>
  </si>
  <si>
    <t>Jishaaaa!</t>
  </si>
  <si>
    <t>[IN PLAY] When you have 3 Stone Tablet MAMODO cards in play, your opponent cannot apply effects that allow them to turn pages of your Spell Book with their card effects (except from Damage).</t>
  </si>
  <si>
    <t>A mamodo from a thousand years ago who stands before Kiyo and Zatch alongside Borubora and Erujo.</t>
  </si>
  <si>
    <t>M-117</t>
  </si>
  <si>
    <t>Foooooh!</t>
  </si>
  <si>
    <t>[IN PLAY] When you have 3 Stone Tablet MAMODO cards in play, your opponent cannot apply effects that allow them to turn back pages of their Spell Book.</t>
  </si>
  <si>
    <t>A mamodo from a thousand years ago with wings on his back who can control light rays and rings of light.</t>
  </si>
  <si>
    <t>M-118</t>
  </si>
  <si>
    <t>Power Batteries</t>
  </si>
  <si>
    <t>[DECLARE TO USE] Send as many of your in-play PARTNER cards as you desire to the Discard Pile. Then, get MP equal to the number of PARTNER cards sent to the Discard Pile by this effect times 3.</t>
  </si>
  <si>
    <t>A mamodo from a thousand years ago who brings a millennium of bitterness and anger with him into battle.</t>
  </si>
  <si>
    <t>M-119</t>
  </si>
  <si>
    <t>Buryuooooh!</t>
  </si>
  <si>
    <t>[IN PLAY] When you have 3 Stone Tablet MAMODO cards in play, your MAMODO cards can SACRIFICE or PROTECT your Spell Book from Damage even when they are prohibited to do so.</t>
  </si>
  <si>
    <t>A giant dragon mamodo from a thousand years ago whose human partner is a baseball player.</t>
  </si>
  <si>
    <t>M-120</t>
  </si>
  <si>
    <t>Giruaaaa!</t>
  </si>
  <si>
    <t>[IN PLAY] When you have 3 Stone Tablet MAMODO cards in play, your opponent cannot apply effect that allow them to put cards from their Spell Book into play.</t>
  </si>
  <si>
    <t>A mamodo from a thousand years ago whose punches are weapons of overwhelmingly destructive power.</t>
  </si>
  <si>
    <t>M-121</t>
  </si>
  <si>
    <t>Very Bad!</t>
  </si>
  <si>
    <t>[IN PLAY] Inflict 1 Damage on your opponent immediately when this MAMODO card's Attack is negated by your opponent's card effects (except from losing the Battle as an Attacker). This effect is applied regardless of your opponent's card effects.</t>
  </si>
  <si>
    <t>"Very Bad! How impudent!"</t>
  </si>
  <si>
    <t>M-122</t>
  </si>
  <si>
    <t>Nightmare</t>
  </si>
  <si>
    <t>[SEND THIS CARD TO THE DISCARD PILE] Petrify 1 of your opponent's MAMODO cards during your BATTLE PHASE. This effect can be applied only once per turn (per player).</t>
  </si>
  <si>
    <t>Goren of the Stone. He possesses the power to turn his foes into stone, rendering them frozen but still alive.</t>
  </si>
  <si>
    <t>M-123</t>
  </si>
  <si>
    <t>Zatch Bell &amp; Tia</t>
  </si>
  <si>
    <t>Zatch Bell | Tia</t>
  </si>
  <si>
    <t>The Strongest Combination</t>
  </si>
  <si>
    <t>Send your in-play Zatch Bell or Tia MAMODO card to the Discard Pile to put this MAMODO card in play. [DECLARE TO USE][STANDBY] The MP cost of 1 SPELL card with Zatch Bell or Tia as its MAMODO name without an "Attack" Icon that you play in the next Battle during this turn is considered to be 0.</t>
  </si>
  <si>
    <t>The hope born out of friendship makes Zatch and his comrades stronger.</t>
  </si>
  <si>
    <t>M-124</t>
  </si>
  <si>
    <t>Kanchome &amp; Tia</t>
  </si>
  <si>
    <t>Kanchome | Tia</t>
  </si>
  <si>
    <t>Support</t>
  </si>
  <si>
    <t>Send your in-play Kanchome or Tia MAMODO card to the Discard Pile to put this MAMODO card in play. [1 MP] Select 1 of your other in-play MAMODO cards. Neither player may target the selected card with effects during your next turn. This effect is [STANDBY] during this turn, and [STAY] during the next turn.</t>
  </si>
  <si>
    <t>"Come and get me!" "I'm going to save everyone!"</t>
  </si>
  <si>
    <t>M-125</t>
  </si>
  <si>
    <t>Laila &amp; Victoream</t>
  </si>
  <si>
    <t>Laila | Victoream</t>
  </si>
  <si>
    <t>Very Melon!</t>
  </si>
  <si>
    <t>Send your in-play Laila or Victoream MAMODO card to the Discard Pile to put this MAMODO card in play. [IN PLAY] Negate all [Stay] and [Standby] effects at your START PHASE. In addition, your opponent cannot play EVENT cards during your BATTLE PHASE.</t>
  </si>
  <si>
    <t>"Very Melon~ Very Melon~"</t>
  </si>
  <si>
    <t>M-126</t>
  </si>
  <si>
    <t>Aura of Battle</t>
  </si>
  <si>
    <t>This MAMODO card can be put in play only when you have 2 MAMODO cards in play. (Attack) (Defend) [1 MP] This card may Attack without using a SPELL card (Total Power=7000, Damage=2) OR, Defend without using a SPELL card (Total Power=7000).</t>
  </si>
  <si>
    <t>"I must become a kind king!"</t>
  </si>
  <si>
    <t>M-127</t>
  </si>
  <si>
    <t>Power of Friendship</t>
  </si>
  <si>
    <t>[IN PLAY] When you have Kanchomé and Tia MAMODO cards in play at your START PHASE, get 2 MP.</t>
  </si>
  <si>
    <t>Zatch's friends make him even stronger.</t>
  </si>
  <si>
    <t>M-128e</t>
  </si>
  <si>
    <t>Determination</t>
  </si>
  <si>
    <t>[3 MP] [STANDBY] The coin you flip next is considered to be "heads" (this effect can be applied only before flipping the coin).</t>
  </si>
  <si>
    <t>"We have to bring Rushka's smile back!"</t>
  </si>
  <si>
    <t>M-128j</t>
  </si>
  <si>
    <t>[3 MP] [STANDBY] The coin you flip next during this turn is considered to be "heads" (this effect can be applied only before flipping the coin).</t>
  </si>
  <si>
    <t>M-129</t>
  </si>
  <si>
    <t>My Shield</t>
  </si>
  <si>
    <t>(Battle) [DECLARE TO USE] [STANDBY] If your Spell Book receives an infliction of 1 Damage this turn, negate that Damage. OR, when your opponent applies a card effect that turns 1 page of your Spell Book, no pages are turned.</t>
  </si>
  <si>
    <t>Dawn of the Ancients, Series 4, Level 0, Revised Edition</t>
  </si>
  <si>
    <t>"Leave it to me!"</t>
  </si>
  <si>
    <t>M-130</t>
  </si>
  <si>
    <t>Meru?</t>
  </si>
  <si>
    <t>[5 MP] Turn 1 page of your opponent's Spell Book during your BATTLE PHASE.</t>
  </si>
  <si>
    <t>M-131e</t>
  </si>
  <si>
    <t>Superstar &amp; Popstar</t>
  </si>
  <si>
    <t>Send your in-play Kanchomé or Tia MAMODO card to the Discard Pile to put this MAMODO card in play. [IN PLAY] The PARTNER card attached to this MAMODO card cannot be sent to the Discard Pile by your opponent's card effects.</t>
  </si>
  <si>
    <t>Both mamodo have a star as their partner.</t>
  </si>
  <si>
    <t>M-131j</t>
  </si>
  <si>
    <t>Send your in-play Kanchomé or Tia MAMODO card to the Discard Pile to put this MAMODO card in play. Up to 2 PARTNER cards can be attached to this MAMODO card. [IN PLAY] The PARTNER card(s) attached to this MAMODO card cannot be sent to the Discard Pile by your opponent's effects.</t>
  </si>
  <si>
    <t>M-132</t>
  </si>
  <si>
    <t>Golden Glow</t>
  </si>
  <si>
    <t>Send your in-play Zatch Bell MAMODO card to the Discard Pile to put this MAMODO card in play. [IN PLAY] This MAMODO card does not receive Damage or Injury from an infliction of 2 Damage.</t>
  </si>
  <si>
    <t>"I have to! I have to become a kind king!"</t>
  </si>
  <si>
    <t>M-133</t>
  </si>
  <si>
    <t>Eyes of Determination</t>
  </si>
  <si>
    <t>[IN PLAY] When you place a Ponygon (Shudoruk Form) or (Go Shudoruk Form) MAMODO card on this MAMODO card, get 4 MP.</t>
  </si>
  <si>
    <t>Ponygon has decided not to run away from the battle.</t>
  </si>
  <si>
    <t>M-134</t>
  </si>
  <si>
    <t>Like a Pegasus</t>
  </si>
  <si>
    <t>This card is placed on a regular Ponygon MAMODO card when a Shudoruk SPELL card is played for the Ponygon MAMODO card. [DECLARE TO USE] [STAY] During this turn, your opponent cannot apply the effects of their in-play MAMODO cards that target all of your in-play MAMODO cards.</t>
  </si>
  <si>
    <t>His appearance resembles that of a pegasus as he cuts through the air to strike foes.</t>
  </si>
  <si>
    <t>M-135</t>
  </si>
  <si>
    <t>Exended Horn</t>
  </si>
  <si>
    <t>This card is placed on a regular Ponygon MAMODO card when a Go Shudoruk SPELL card is played for the Ponygon MAMODO card. [DECLARE TO USE] If your opponent turned any pages of their Spell Book with their card effects during this turn, send 1 of their in-play MAMODO cards to the Discard Pile.</t>
  </si>
  <si>
    <t>Resembling a unicorn, this swift form surpasses the speed Ponygon gains from the Shudoruk spell.</t>
  </si>
  <si>
    <t>M-136</t>
  </si>
  <si>
    <t>Fist of Offense &amp; Defense</t>
  </si>
  <si>
    <t>(Attack)(Defend) [1 MP] This card may Attack without using a SPELL card (Total Power=6000, Damage=1) OR, Defend without using a SPELL card (Total Power=8000). When used for Defending, this effect can be applied up to twice per turn (per player).</t>
  </si>
  <si>
    <t>"Unlike you, who's just fighting for your own pleasure, we're determined to win this battle..."</t>
  </si>
  <si>
    <t>M-137</t>
  </si>
  <si>
    <t>Thank You For Everything</t>
  </si>
  <si>
    <t>"Maybe I've grown up. Hey... I think I turned out a lot like you, Dr. Riddles!""</t>
  </si>
  <si>
    <t>M-138</t>
  </si>
  <si>
    <t>Ibaris</t>
  </si>
  <si>
    <t>Shaaaaa!</t>
  </si>
  <si>
    <t>[IN PLAY] When you have 3 Stone Tablet MAMODO cards in play, increase the Damage inflicted by your Stone Tablet MAMODO cards by 1.</t>
  </si>
  <si>
    <t>One of the four warriors who defeated Baransha. His weakness is his tendency to run off on his own.</t>
  </si>
  <si>
    <t>M-139</t>
  </si>
  <si>
    <t>Denshin</t>
  </si>
  <si>
    <t>Guruooo!</t>
  </si>
  <si>
    <t>[IN PLAY] When you have 3 Stone Tablet MAMODO cards in play, your opponent cannot apply the effects of MAMODO cards with [Send this card to the Discard Pile].</t>
  </si>
  <si>
    <t>One of the four warriors who defeated Baransha. He attacks by firing powerful beams from his head.</t>
  </si>
  <si>
    <t>M-140</t>
  </si>
  <si>
    <t>Kalura</t>
  </si>
  <si>
    <t>Rose Warrior</t>
  </si>
  <si>
    <t>[IN PLAY] When you have 3 Stone Tablet MAMODO cards in play, your opponent cannot apply the effects of MAMODO cards with [In Play].</t>
  </si>
  <si>
    <t>One of the four warriors who defeated Baransha. She has the elegant ability to manipulate roses.</t>
  </si>
  <si>
    <t>M-141</t>
  </si>
  <si>
    <t>Babiru</t>
  </si>
  <si>
    <t>Super-powered Boy</t>
  </si>
  <si>
    <t>[IN PLAY] When you have 3 Stone Tablet MAMODO cards in play, your opponent cannot apply the effects of MAMODO cards with [Declare to use].</t>
  </si>
  <si>
    <t>One of the four warriors who defeated Baransha. He was tasked with guarding the ruins afterward.</t>
  </si>
  <si>
    <t>M-142</t>
  </si>
  <si>
    <t>Tsao-lon</t>
  </si>
  <si>
    <t>Bo Staff</t>
  </si>
  <si>
    <t>Only 1 SPELL card can be played for this MAMODO card per turn (per player). (Attack)(Defend) [1 MP] This card may Attack without using a SPELL card (Total Power=7000, Damage=2) OR, Defend without using a SPELL card (Total Power=7000).</t>
  </si>
  <si>
    <t>"Well, I guess we're the ones attacking first. This staring contest is getting annoying!"</t>
  </si>
  <si>
    <t>M-143</t>
  </si>
  <si>
    <t>Belgim E.O.</t>
  </si>
  <si>
    <t>Entolerant Overlord</t>
  </si>
  <si>
    <t>[DECLARE TO USE] If this MAMODO card received Damage or Injury during this turn, turn 2 pages of your opponent's Spell Book.</t>
  </si>
  <si>
    <t>"You will be destroyed, because the E.O. in Belgim E.O. stands for 'Entolerant Overlord'!"</t>
  </si>
  <si>
    <t>M-144</t>
  </si>
  <si>
    <t>Pamoon</t>
  </si>
  <si>
    <t>The One Controlling The Stars</t>
  </si>
  <si>
    <t>[2 MP] Place 1 MP counter on this MAMODO card during your BATTLE PHASE (any MP counters on this card can be spent as your own MP).</t>
  </si>
  <si>
    <t>"Now my strength is born out of fear. Let me show you what that strength is like!"</t>
  </si>
  <si>
    <t>M-145</t>
  </si>
  <si>
    <t>Demolt</t>
  </si>
  <si>
    <t>Roar</t>
  </si>
  <si>
    <t>[DECLARE TO USE] During the BATTLE PHASE of the turn you put this MAMODO card in play, send 1 of your opponent's in-play MAMODO cards to the Discard Pile. This effect can be applied only once per game (per player).</t>
  </si>
  <si>
    <t>His blood-curdling roar left Zatch and his allies frozen in fear.</t>
  </si>
  <si>
    <t>M-146</t>
  </si>
  <si>
    <t>Biblio</t>
  </si>
  <si>
    <t>Manga Manipulator</t>
  </si>
  <si>
    <t>[2 MP] Animuto : Select 1 The Bad Omen Force EVENT card from the currently open pages of your Spell Book and put it in play. [6 MP] Rigaro Animuk : Select 1 of your opponent's in-play MAMODO cards. Then, your opponent moves the selected card to an empty page (of their choice) of their Spell Book.</t>
  </si>
  <si>
    <t>An avid bookworm who has the power to manipulate manga at will.</t>
  </si>
  <si>
    <t>M-147</t>
  </si>
  <si>
    <t>Soma</t>
  </si>
  <si>
    <t>The Ultimate Bookmark</t>
  </si>
  <si>
    <t>[DECLARE TO USE] [STANDBY] Select 1 card from the previous page of your Spell Book. The selected card can be played during this turn (the card is put in play if applicable). This effect can be applied only once per game (per player).</t>
  </si>
  <si>
    <t>A mamodo whom Biblio transformed into a graphic novel. What could be his objective...?</t>
  </si>
  <si>
    <t>M-148</t>
  </si>
  <si>
    <t>Wonrei &amp; Tia</t>
  </si>
  <si>
    <t>Wonrei | Tia</t>
  </si>
  <si>
    <t>The Protecting King's Shield</t>
  </si>
  <si>
    <t>Send your in-play Wonrei or Tia MAMODO card to the Discard Pile to put this MAMODO card in play. [SEND THIS CARD TO THE DISCARD PILE] [STANDBY] After applying this effect, only once during this game, when your Spell Book or any of your in-play MAMODO cards receive Damage or Injury by your opponent's card effects, negate that Damage or Injury.</t>
  </si>
  <si>
    <t>"Wonrei, make me your apprentice! I'll learn kung fu and everything!"</t>
  </si>
  <si>
    <t>M-149</t>
  </si>
  <si>
    <t>Kanchomé &amp; Kido</t>
  </si>
  <si>
    <t>Kanchomé | Kido</t>
  </si>
  <si>
    <t>Waaaah!</t>
  </si>
  <si>
    <t>Send your in-play Kanchomé or Kido MAMODO card to the Discard Pile to put this MAMODO card in play. [1 MP] [STAY] During this turn, both players can play EVENT cards even when they are prohibited to do so, and neither player can negate EVENT cards with their cut-in effects.</t>
  </si>
  <si>
    <t>The team of Kanchomé &amp; Kido have their hands full in the battle with Belgim E.O....</t>
  </si>
  <si>
    <t>M-150</t>
  </si>
  <si>
    <t>As Much As It Takes</t>
  </si>
  <si>
    <t>(Defend) [1 MP] This card may Defend without using a SPELL card (Total Power=7000). This effect can be applied up to as many times as you desire per turn.</t>
  </si>
  <si>
    <t>M-151</t>
  </si>
  <si>
    <t>Wiseman</t>
  </si>
  <si>
    <t>Qualified To Be King</t>
  </si>
  <si>
    <t>[3 MP] Send 1 of your opponent's in-play cards (except MAMODO cards) to the Discard Pile during your BATTLE PHASE.</t>
  </si>
  <si>
    <t>"The battle to become king just seems right for me."</t>
  </si>
  <si>
    <t>M-152</t>
  </si>
  <si>
    <t>Wiseman (Complete)</t>
  </si>
  <si>
    <t>The 101st Spell Book</t>
  </si>
  <si>
    <t>Send your in-play Wiseman MAMODO card and Kotoha PARTNER card to the Discard Pile to put this MAMODO card in play. [3 MP] Select 1 SPELL card from the previous page of your opponent's Spell Book. [STANDBY] After applying this effect, only once during this turn (per player), the selected SPELL card can be played for this MAMODO card; its MP cost considered to be 0.</t>
  </si>
  <si>
    <t>The white spell book under Wiseman's control has the power to absorb any spell that is used against him.</t>
  </si>
  <si>
    <t>M-153</t>
  </si>
  <si>
    <t>Black Knight</t>
  </si>
  <si>
    <t>Battlekeeper</t>
  </si>
  <si>
    <t>[DECLARE TO USE] Send all of your opponent's in-play cards (except MAMODO and PARTNER cards) to the Discard Pile.</t>
  </si>
  <si>
    <t>He is a hero of the mamodo world who protects the peace, enforces the rules, and detests the wicked.</t>
  </si>
  <si>
    <t>M-154</t>
  </si>
  <si>
    <t>Principal Dozer</t>
  </si>
  <si>
    <t>Stamp of Approval</t>
  </si>
  <si>
    <t>[SEND THIS CARD TO THE DISCARD PILE] Apply 1 of the following effects only once per game (per player): ● Send 1 of your opponent's MAMODO cards that was put into play during this turn to the Discard Pile. ● Move 1 MAMODO card from your Discard Pile into play that was sent to the Discard Pile by a card effect during this turn (except from Damage).</t>
  </si>
  <si>
    <t>"It happened when I was stamping the applications of the 100 children who were chosen for the battle..."</t>
  </si>
  <si>
    <t>M-155</t>
  </si>
  <si>
    <t>Power of Anger to My Right Arm</t>
  </si>
  <si>
    <t>[DECLARE TO USE] This effect can be applied only when there are no MP counters on this MAMODO card. Place 1 MP counter on this MAMODO card.</t>
  </si>
  <si>
    <t>"Remember it will, because it's the name that will send you all to your ultimate demise!"</t>
  </si>
  <si>
    <t>M-156</t>
  </si>
  <si>
    <t>Cool</t>
  </si>
  <si>
    <t>[DECLARE TO USE] [STAY] Increase the MP cost of your opponent's MAMODO card effects with [X MP] by 2 during this turn (X=any number).</t>
  </si>
  <si>
    <t>PArtner:Albert</t>
  </si>
  <si>
    <t>M-157</t>
  </si>
  <si>
    <t>Dalmos</t>
  </si>
  <si>
    <t>[1 MP] Apply both of the following effects in order: ● [STAY] Reduce the Power of 1 of your opponent's in-play MAMODO cards by 2000 during this turn. ● Injure all of your opponent's MAMODO with 0 Power.</t>
  </si>
  <si>
    <t>"I'm gonna crush you... and drag you all in front of Milordo-Z!"</t>
  </si>
  <si>
    <t>M-158</t>
  </si>
  <si>
    <t>Dalmos (Battle Mode)</t>
  </si>
  <si>
    <t>Combat Form</t>
  </si>
  <si>
    <t>This card is placed on a regular Dalmos MAMODO card when a Begiruk SPELL card is played for the Dalmos MAMODO card. (Attack) (Defend) [1 MP] This card may Attack without using a SPELL card (Total Power=7000, Damage=1) OR, Defend without using a SPELL card (Total Power=7000).</t>
  </si>
  <si>
    <t>"You fools! Did you forget that I've transformed into battle mode?"</t>
  </si>
  <si>
    <t>M-159e</t>
  </si>
  <si>
    <t>Let's Go to the Mamodo World</t>
  </si>
  <si>
    <t>[SEND THIS CARD TO THE DISCARD PILE] Select 1 Zatch Bell MAMODO card in your Discard Pile during your BATTLE PHASE and put it in play. This effect can be applied only once per game (per player).</t>
  </si>
  <si>
    <t>Dawn of the Ancients, Series 4, Limited Edition III</t>
  </si>
  <si>
    <t>"Let's set out on a journey together to find the precious object."</t>
  </si>
  <si>
    <t>M-159j</t>
  </si>
  <si>
    <t>[SEND THIS CARD TO THE DISCARD PILE] [STANDBY] After applying this effect, only once during this game (per player), select 1 Zatch Bell MAMODO card in your Discard Pile during your BATTLE PHASE and put it in play.</t>
  </si>
  <si>
    <t>M-160</t>
  </si>
  <si>
    <t>You Have Stooped Low</t>
  </si>
  <si>
    <t>[IN PLAY] Your opponent cannot apply the effects of their Injured MAMODO cards.</t>
  </si>
  <si>
    <t>"Are you going to turn your back to the girl who knocked you down?"</t>
  </si>
  <si>
    <t>M-161</t>
  </si>
  <si>
    <t>Bring Me More!</t>
  </si>
  <si>
    <t>[DECLARE TO USE] [STANDBY] During this turn, you can play 1 SPELL or EVENT card, OR apply the effects of a MAMODO card, that you already played during this turn one more time. If the number of times is specified, it cannot be played more than that number, and all conditions must be met (such as playing a card from the open pages). This effect can be applied only once per game (per player).</t>
  </si>
  <si>
    <t>"Catch My Heart! Very Melon!"</t>
  </si>
  <si>
    <t>M-162</t>
  </si>
  <si>
    <t>Dignity of a King</t>
  </si>
  <si>
    <t>[IN PLAY] Your opponent cannot apply the effects of their MAMODO cards with "This effect can be applied only once per game (per player)".</t>
  </si>
  <si>
    <t>"I remember you ran away because you were afraid of me."</t>
  </si>
  <si>
    <t>M-163</t>
  </si>
  <si>
    <t>The Light of the Moon</t>
  </si>
  <si>
    <t>[SEND THIS CARD TO THE DISCARD PILE] [STAY] None of your MAMODO cards can be Petrified during this game.</t>
  </si>
  <si>
    <t>"I have completed the filter that generates the moon lights."</t>
  </si>
  <si>
    <t>M-164</t>
  </si>
  <si>
    <t>Level Up</t>
  </si>
  <si>
    <t>[IN PLAY] Increase the Damage of SPELL cards played for this MAMODO card by 1.</t>
  </si>
  <si>
    <t>"I'm strong! I got that way after I met Kiyo!"</t>
  </si>
  <si>
    <t>M-165</t>
  </si>
  <si>
    <t>I'll Bring You Down!</t>
  </si>
  <si>
    <t>[4 MP] Send 1 of your opponent's in-play MAMODO cards with a Power of 3000 or less to the Discard Pile.</t>
  </si>
  <si>
    <t>"Pathetic creature... Don't you ever bear your fangs at me."</t>
  </si>
  <si>
    <t>M-166</t>
  </si>
  <si>
    <t>A Forbidden Spell</t>
  </si>
  <si>
    <t>[IN PLAY] Increase the MP cost of your opponent's SPELL cards by 2.</t>
  </si>
  <si>
    <t>Set 7</t>
  </si>
  <si>
    <t>"No! You weren't supposed to read that!"</t>
  </si>
  <si>
    <t>M-167</t>
  </si>
  <si>
    <t>Waaah!</t>
  </si>
  <si>
    <t>[1 MP] [STAY] Reduce the Damage of all of your opponent's Attacks by 1 during this turn.</t>
  </si>
  <si>
    <t>"I was worried~~ I'm glad you guys came~~!"</t>
  </si>
  <si>
    <t>M-168</t>
  </si>
  <si>
    <t>Poised Tia</t>
  </si>
  <si>
    <t>[2 MP] Apply both of the following effects in order: ● [STAY] Reduce the Power of 1 of your opponent's in-play MAMODO cards by 3000 during this turn. ● Injure all of your opponent's MAMODO cards with 0 Power.</t>
  </si>
  <si>
    <t>Spell Book, The Best Booster 1</t>
  </si>
  <si>
    <t>"She is usually a cute girl, but when she gets mad..."</t>
  </si>
  <si>
    <t>M-169</t>
  </si>
  <si>
    <t>Level-Headed</t>
  </si>
  <si>
    <t>(Attack) [3 MP] This card may Attack without using a SPELL card (Total Power=8000, Injure 1 of your opponent's MAMODO cards).</t>
  </si>
  <si>
    <t>"Hmph... You're just a punk, don't mess with me."</t>
  </si>
  <si>
    <t>M-170</t>
  </si>
  <si>
    <t>A Warrior's Resolve</t>
  </si>
  <si>
    <t>[DECLARE TO USE] Turn 1 page of your Spell Book. Then, turn 2 pages of your opponent's Spell Book. This effect can be applied only once per game (per player). Effects that turn pages of your Spell Book can be applied only once per turn (per player).</t>
  </si>
  <si>
    <t>"You wanted to save Djem... That's why you were prepared to lose from the very beginning!"</t>
  </si>
  <si>
    <t>M-171</t>
  </si>
  <si>
    <t>Schneider</t>
  </si>
  <si>
    <t>Naming Ponygon</t>
  </si>
  <si>
    <t>This card is considered to be the same as the Ponygon MAMODO card. [2 MP] [STAY] Select 1 of your opponent's in-play MAMODO cards. During this turn, the selected MAMODO's card name is considered to be "Ponygon" (the opponent cannot play SPELL cards with the original MAMODO name for that MAMODO card, and cannot attach PARTNER cards with the original MAMODO name to that MAMODO card).</t>
  </si>
  <si>
    <t>"My real name is Schneider~~"</t>
  </si>
  <si>
    <t>M-172</t>
  </si>
  <si>
    <t>Commanding the Ancient Mamodo</t>
  </si>
  <si>
    <t>[SEND THIS CARD TO THE DISCARD PILE] [STAY] During this game, the effects of your in-play MAMODO cards with "When you have 3 Stone Table MAMODO cards in play" can now be applied when you have 2 or more Stone Tablet MAMODO cards in play.</t>
  </si>
  <si>
    <t>"Now, let's crush our remaining rivals."</t>
  </si>
  <si>
    <t>M-173</t>
  </si>
  <si>
    <t>Cau!</t>
  </si>
  <si>
    <t>[2 MP] Negate all of your opponent's [Stay] and [Standby] effects.</t>
  </si>
  <si>
    <t>"Cau! Cau! Caau!"</t>
  </si>
  <si>
    <t>M-174</t>
  </si>
  <si>
    <t>Super Recovery Ability</t>
  </si>
  <si>
    <t>(Attack) [1 MP] This card may Attack without using a SPELL card (Total Power=6000, Damage=1). [2 MP] Turn this MAMODO card to Normal Status.</t>
  </si>
  <si>
    <t>"As long as I've got the book, he's sure to make a comeback!"</t>
  </si>
  <si>
    <t>M-175</t>
  </si>
  <si>
    <t>Kazete Sosho</t>
  </si>
  <si>
    <t>(Battle) [1 MP] Negate the Attack your opponent declared in the Battle if an effect states that it cannot be Defended.</t>
  </si>
  <si>
    <t>"Kazete Sosho" Double palms that capture the wind!</t>
  </si>
  <si>
    <t>M-176</t>
  </si>
  <si>
    <t>Unyielding Strength</t>
  </si>
  <si>
    <t>[IN PLAY] Your opponent cannot play EVENT cards with an MP cost of 3 or more.</t>
  </si>
  <si>
    <t>"This battle is getting a little bit more exciting."</t>
  </si>
  <si>
    <t>M-177</t>
  </si>
  <si>
    <t>Emergency Mission</t>
  </si>
  <si>
    <t>[2 MP] Select 1 MJ12 card from any page of your Spell Book and put it in play.</t>
  </si>
  <si>
    <t>"Hurry! Spray sparkling orange juice out of your nose!"</t>
  </si>
  <si>
    <t>M-178</t>
  </si>
  <si>
    <t>Love for Zatch</t>
  </si>
  <si>
    <t>[IN PLAY] Your in-play Zatch Bell MAMODO card cannot be selected as a target for your opponent's card effects.</t>
  </si>
  <si>
    <t>"Zatch! Maybe now you'll understand how much I care for you, my precious love!"</t>
  </si>
  <si>
    <t>M-179</t>
  </si>
  <si>
    <t>The Glorious Victoream</t>
  </si>
  <si>
    <t>[IN PLAY] Your opponent can neither SACRIFICE nor PROTECT their Spell Book from an infliction of 5 or more Damage from this MAMODO card's Attack.</t>
  </si>
  <si>
    <t>"I am the Magnificent Victoream! Now I want you to try saying it."</t>
  </si>
  <si>
    <t>M-180</t>
  </si>
  <si>
    <t>[IN PLAY] None of your Stone Tablet MAMODO cards can be Petrified.</t>
  </si>
  <si>
    <t>"Please... calmly surrender and let me defeat you!"</t>
  </si>
  <si>
    <t>M-181</t>
  </si>
  <si>
    <t>Fear of Being Turned to Stone</t>
  </si>
  <si>
    <t>[1 MP] Inflict Damage on your opponent equal to the number of Petrified MAMODO cards your opponent has in play times 1 during your BATTLE PHASE (your opponent can PROTECT their Spell Book from this Damage).</t>
  </si>
  <si>
    <t>"Heh, heh, heh. You're so weak..."</t>
  </si>
  <si>
    <t>M-182</t>
  </si>
  <si>
    <t>Something Inside</t>
  </si>
  <si>
    <t>[1 MP] This effect can be applied only if you Attacked with any of your other in-play MAMODO cards during this turn. [STANDBY] During the next Battle this turn when this MAMODO card Attacks, your opponent can neither SACRIFICE nor PROTECT their Spell Book from Damage.</t>
  </si>
  <si>
    <t>"I've never felt anything like this before... I can beat them! I know it! I can feel it!"</t>
  </si>
  <si>
    <t>M-183</t>
  </si>
  <si>
    <t>For This Very Moment</t>
  </si>
  <si>
    <t>[IN PLAY] The text "[In Play]" on the effects of the Sherry PARTNER card attached to this MAMODO card is considered to be "[1 MP]" instead.</t>
  </si>
  <si>
    <t>"The thought of losing only brings out fear! Proceed as if you don't have anything to lose!"</t>
  </si>
  <si>
    <t>M-184</t>
  </si>
  <si>
    <t>Zatch?!</t>
  </si>
  <si>
    <t>[IN PLAY] During the Battle when your Zatch Bell MAMODO card Attacks, your opponent can neither play EVENT cards nor can they apply the effects of their in-play MAMODO cards.</t>
  </si>
  <si>
    <t>This is the person that Demolt mistook for Zatch?!</t>
  </si>
  <si>
    <t>M-185</t>
  </si>
  <si>
    <t>Telling Lies</t>
  </si>
  <si>
    <t>[2 MP] Select 1 of your opponent's in-play PARTNER cards and attach it to this MAMODO card. ● 1 additional PARTNER card can be attached separate from the Koko card. ● The PARTNER card's effect can be applied as if it were your own. ● When it is dicarded, move it to an empty page of its owner's Book.</t>
  </si>
  <si>
    <t>"The destruction of a human's heart always makes me smile."</t>
  </si>
  <si>
    <t>M-186</t>
  </si>
  <si>
    <t>One Last Move</t>
  </si>
  <si>
    <t>[SEND THIS CARD TO THE DISCARD PILE] Send the card from the last page of your opponent's Spell Book to the Discard Pile (this effect does not allow you to look at the pages of their Spell Book). This effect can be applied only once per game (per player).</t>
  </si>
  <si>
    <t>"I'm gonna make one last move! Please, do exactly as I say!"</t>
  </si>
  <si>
    <t>M-187</t>
  </si>
  <si>
    <t>Cool Byonko</t>
  </si>
  <si>
    <t>[SEND THIS CARD TO THE DISCARD PILE] [STAY] Select 1 of your opponent's in-play cards. They cannot apply the effects of the selected card during this turn.</t>
  </si>
  <si>
    <t>"I am Byonko! The super cool Byonko!"</t>
  </si>
  <si>
    <t>M-188</t>
  </si>
  <si>
    <t>Badios</t>
  </si>
  <si>
    <t>Withdraw</t>
  </si>
  <si>
    <t>[IN PLAY] Put all of your in-play MAMODO cards in Flight Status. [1 MP] Move 1 of your in-play MAMODO cards (this card may be selected) to an empty page of your Spell Book.</t>
  </si>
  <si>
    <t>A flying beast that Penny and her assigned group of mamodo ride on for aerial transportation.</t>
  </si>
  <si>
    <t>M-189</t>
  </si>
  <si>
    <t>Ferius</t>
  </si>
  <si>
    <t>Capture</t>
  </si>
  <si>
    <t>[IN PLAY] Put all of your in-play MAMODO cards in Flight Status. [2 MP] [STAY] Select 1 of your opponent's in-play MAMODO cards. The selected MAMODO card cannot be selected as a target for your opponent's card effects during this turn.</t>
  </si>
  <si>
    <t>He tried to apprehend Tia on Byonko's order, but...</t>
  </si>
  <si>
    <t>M-190</t>
  </si>
  <si>
    <t>Bamu</t>
  </si>
  <si>
    <t>Don't Underestimate Me!</t>
  </si>
  <si>
    <t>[IN PLAY] When you have 3 Stone Tablet MAMODO cards in play, your opponent cannot apply effects that send your in-play MAMODO cards to the Discard Pile (except from Damage or Injury).</t>
  </si>
  <si>
    <t>"He battled against Brago in the mountains of France..."</t>
  </si>
  <si>
    <t>M-191</t>
  </si>
  <si>
    <t>Faust</t>
  </si>
  <si>
    <t>Silent Ruler</t>
  </si>
  <si>
    <t>[IN PLAY] When you have 3 Stone Tablet MAMODO cards in play, your opponent cannot play SPELL cards with a 1 MP cost.</t>
  </si>
  <si>
    <t>One of the Silent Rulers. He carries a sword with him into battle and excels at close combat.</t>
  </si>
  <si>
    <t>M-192</t>
  </si>
  <si>
    <t>Zwei</t>
  </si>
  <si>
    <t>[IN PLAY] When you have 3 Stone Tablet MAMODO cards in play, your opponent cannot play SPELL cards with a 2 MP cost.</t>
  </si>
  <si>
    <t>One of the Silent Rulers. He specializes in mid-range attacks that make use of the ground.</t>
  </si>
  <si>
    <t>M-193</t>
  </si>
  <si>
    <t>Trois</t>
  </si>
  <si>
    <t>[IN PLAY] When you have 3 Stone Tablet MAMODO cards in play, your opponent cannot play SPELL cards with a 3 MP cost. [DECLARE TO USE] [STAY] Put this MAMODO card in Flight Status during this turn.</t>
  </si>
  <si>
    <t>One of the Silent Rulers. He is capable of flight and adept at attacking from a long distance away.</t>
  </si>
  <si>
    <t>M-194</t>
  </si>
  <si>
    <t>I'm Baaack!</t>
  </si>
  <si>
    <t>[DECLARE TO USE] [STANDBY] After applying this effect, only once during this game (per player), you can move both this card and up to 1 other MAMODO card from your Discard Pile into play during your START PHASE.</t>
  </si>
  <si>
    <t>"Big wheelie! Come on!"</t>
  </si>
  <si>
    <t>M-195</t>
  </si>
  <si>
    <t>120% Power</t>
  </si>
  <si>
    <t>[? MP] [STAY] Add Power to all of your in-play MAMODO cards equal to the amount of MP paid for this effect times 1000 during this turn (maximum 5 MP).</t>
  </si>
  <si>
    <t>"We'll all have to use 120% of our power if we're to have any chance at all against him!"</t>
  </si>
  <si>
    <t>M-196</t>
  </si>
  <si>
    <t>A Humiliating Memory</t>
  </si>
  <si>
    <t>Place 2 MP counters on this MAMODO card when it is put in play (any MP counters on this card can be spent as your own MP). [DECLARE TO USE] Turn 2 pages of your opponent's Spell Book. This effect can be applied any time when your opponent sends any of your in-play MAMODO cards to the Discard Pile with their card effects during this game (except from Damage or Injury).</t>
  </si>
  <si>
    <t>"So you're the one who did those strange things to me while I was sealed in the stone! It was plain humiliation!"</t>
  </si>
  <si>
    <t>M-197</t>
  </si>
  <si>
    <t>Grappling</t>
  </si>
  <si>
    <t>(Attack) (Defend) [1 MP] This card may Attack without using a SPELL card (Total Power=10000, Damage=2) OR, Defend without using a SPELL card (Total Power=10000).</t>
  </si>
  <si>
    <t>"Is that... an attack without a spell? This is no joke..."</t>
  </si>
  <si>
    <t>M-198</t>
  </si>
  <si>
    <t>Demolt (Berserker)</t>
  </si>
  <si>
    <t>Crazed Warrior</t>
  </si>
  <si>
    <t>This card is placed on a regular Demolt MAMODO card when a Girgadom Barsuruk SPELL card is played for the Demolt MAMODO. (Attack) [3 MP] This card may Attack without using a SPELL card (Total Power=11000, Damage=3).</t>
  </si>
  <si>
    <t>Demolt gains fearsome new strength through the power of his forbidden spell.</t>
  </si>
  <si>
    <t>M-199</t>
  </si>
  <si>
    <t>Zatch Bell &amp; Pamoon</t>
  </si>
  <si>
    <t>Zatch Bell | Pamoon</t>
  </si>
  <si>
    <t>A New Friend</t>
  </si>
  <si>
    <t>Send your in-play Zatch Bell or Pamoon MAMODO card to the Discard Pile to put this MAMODO card in play (any MP counters on that Pamoon MAMODO card are moved onto this MAMODO card and can be spent as your own MP). [IN PLAY] Up to 2 PARTNER cards can be attached to any of your in-play Dual MAMODO cards at the same time.</t>
  </si>
  <si>
    <t>"Were you serious before when you told me you'd become my friend?"</t>
  </si>
  <si>
    <t>M-200</t>
  </si>
  <si>
    <t>Penny &amp; Byonko</t>
  </si>
  <si>
    <t>Penny | Byonko</t>
  </si>
  <si>
    <t>The Last of Her Selfishness</t>
  </si>
  <si>
    <t>Send your in-play Penny or Byonko MAMODO card to the Discard Pile to put this MAMODO card in play. [IN PLAY] Your opponent cannot apply the effects of their in-play PARTNER cards who share a card name with any PARTNER cards in their Discard Pile.</t>
  </si>
  <si>
    <t>"I'm about to be careless, but I'm asking you all to back me..."</t>
  </si>
  <si>
    <t>M-201</t>
  </si>
  <si>
    <t>VS Mamodo</t>
  </si>
  <si>
    <t>Brago VS Zofis</t>
  </si>
  <si>
    <t>Brago | Zofis</t>
  </si>
  <si>
    <t>Might VS Blight</t>
  </si>
  <si>
    <t>Send either player's in-play Brago or Zofis MAMODO card to the Discard Pile to put this MAMODO card in play. [2 MP] [STAY] Neither player can apply the effects of MAMODO cards except Brago and Zofis MAMODO cards during this turn.</t>
  </si>
  <si>
    <t>Brago finally has Zofis cornered, as the curtain rises on an unbelievably fierce battle.</t>
  </si>
  <si>
    <t>M-202</t>
  </si>
  <si>
    <t>Hand In Front!</t>
  </si>
  <si>
    <t>(Battle) [2 MP] [STAY] During the Battle, when you win the Battle as a Defender with a SPELL card with Brago as its MAMODO name (and the SPELL card has both "Attack" AND "Defend" Icons), proceed as if you won the Battle as an Attacker instead. This effect can be applied only when a Sherry PARTNER card is attached to this MAMODO card.</t>
  </si>
  <si>
    <t>"Are you really going to throw away all that you believed in? Are your dreams that easily crushed?!"</t>
  </si>
  <si>
    <t>M-203</t>
  </si>
  <si>
    <t>You'll Regret This</t>
  </si>
  <si>
    <t>[IN PLAY] This MAMODO card cannot be selected as a target for either player's card effects when it is the only MAMODO card you have in play.</t>
  </si>
  <si>
    <t>"How dare you... I'll show you not to mess with me!"</t>
  </si>
  <si>
    <t>M-204</t>
  </si>
  <si>
    <t>Hot Heartbeat</t>
  </si>
  <si>
    <t>[3 MP] Move 1 MAMODO card with [Send this card to the Discard Pile] from your Discard Pile into play. Power : 4500</t>
  </si>
  <si>
    <t>"All their hard work... it can't be for nothing!"</t>
  </si>
  <si>
    <t>M-205</t>
  </si>
  <si>
    <t>Intimidate</t>
  </si>
  <si>
    <t>[SEND THIS CARD TO THE DISCARD PILE] Send 1 of your opponent's in-play PARTNER cards to the Discard Pile. Power : 3500</t>
  </si>
  <si>
    <t>"You're making a big mistake if you think I'm weak!"</t>
  </si>
  <si>
    <t>M-206</t>
  </si>
  <si>
    <t>We Won't Lose</t>
  </si>
  <si>
    <t>(Battle) [SEND THIS CARD TO THE DISCARD PILE] Negate 1 of your opponent's Attacks in the Battle. Power : 4000</t>
  </si>
  <si>
    <t>"If my shield breaks, I'll make another! I don't care how many times!"</t>
  </si>
  <si>
    <t>M-207</t>
  </si>
  <si>
    <t>Disruption</t>
  </si>
  <si>
    <t>A Go Shudoruk SPELL card does not need to be played to put this MAMODO card in play. [SEND THIS CARD TO THE DISCARD PILE] [STAY] Your opponent cannot apply the effects of their MAMODO cards during this turn. Power : 5000</t>
  </si>
  <si>
    <t>"Go, Ponygon! Go Shudoruk!"</t>
  </si>
  <si>
    <t>M-208</t>
  </si>
  <si>
    <t>Kung Fu Kick</t>
  </si>
  <si>
    <t>[DECLARE TO USE] Select 1 of your opponent's in-play MAMODO cards with an "Attack" Icon and send it to the Discard Pile.</t>
  </si>
  <si>
    <t>"I'll have Li-en watch me fighting to protect everyone."</t>
  </si>
  <si>
    <t>M-209</t>
  </si>
  <si>
    <t>Formulating Strategies</t>
  </si>
  <si>
    <t>[SEND THIS CARD TO THE DISCARD PILE] [STAY] During this turn, both players can play EVENT cards even when prohibited to do so, and EVENT cards cannot be negated by cut-in effects.</t>
  </si>
  <si>
    <t>Suddenly, he's able to come up with all sorts of incredible strategies... just like Dr. Riddles.</t>
  </si>
  <si>
    <t>M-210</t>
  </si>
  <si>
    <t>Tears of Regret</t>
  </si>
  <si>
    <t>[SEND THIS CARD TO THE DISCARD PILE] [STAY] Your opponent can neither SACRIFICE nor PROTECT their Spell Book from Damage during this turn.</t>
  </si>
  <si>
    <t>"Now, Uri, go! Attack!"</t>
  </si>
  <si>
    <t>M-211</t>
  </si>
  <si>
    <t>Ribbit!</t>
  </si>
  <si>
    <t>(Cut-In) [SEND THIS CARD TO THE DISCARD PILE] Negate the EVENT card your opponent just played during your BATTLE PHASE.</t>
  </si>
  <si>
    <t>"Quickly, Alvin, we'll attack them too!"</t>
  </si>
  <si>
    <t>M-212</t>
  </si>
  <si>
    <t>Pawns in his Game</t>
  </si>
  <si>
    <t>[2 MP] Send 1 of your in-play MAMODO cards to the Discard Pile. Then select 1 MAMODO card from any page of your Spell Book or your Discard Pile and put it in play.</t>
  </si>
  <si>
    <t>"I've won this battle!"</t>
  </si>
  <si>
    <t>M-213</t>
  </si>
  <si>
    <t>Haaah!</t>
  </si>
  <si>
    <t>[SEND THIS CARD TO THE DISCARD PILE] Reduce your opponent's MP by 2 to get 2 MP.</t>
  </si>
  <si>
    <t>"Bite into it in the 'V' formation! Launch melon!"</t>
  </si>
  <si>
    <t>M-214</t>
  </si>
  <si>
    <t>True Power</t>
  </si>
  <si>
    <t>[IN PLAY] You can apply the effects of your MAMODO cards with a PARTNER card attached even when you are prohibited to do so. In addition, the effects of your MAMODO cards with a PARTNER card attached cannot be negated by cut-in effects.</t>
  </si>
  <si>
    <t>"I'll show you how strong a mamodo can be with a true partner!"</t>
  </si>
  <si>
    <t>M-215</t>
  </si>
  <si>
    <t>Whirlwind Staff</t>
  </si>
  <si>
    <t>(Attack) (Defense) [1 MP] This card may Attack without using a SPELL card (Total Power=6000, Damage=1) OR, Defend without using a SPELL card (Total Power=6000).</t>
  </si>
  <si>
    <t>"Heh. So, you're not stupid enough to jump in without thinking."</t>
  </si>
  <si>
    <t>M-216</t>
  </si>
  <si>
    <t>Deep-Seated Punishment</t>
  </si>
  <si>
    <t>[SEND THIS CARD TO THE DISCARD PILE] If your Spell Book received Damage or had its pages turned by your opponent's card effects during this turn, turn 2 pages of your opponent's Spell Book.</t>
  </si>
  <si>
    <t>"What are you doing with my book?!"</t>
  </si>
  <si>
    <t>M-217</t>
  </si>
  <si>
    <t>Eyes of Fear</t>
  </si>
  <si>
    <t>[SEND THIS CARD TO THE DISCARD PILE] [STANDBY] When you put a Pamoon MAMODO card in play during the next turn onward, place 2 MP counters on that Pamoon MAMODO card (MP counters on this card can be spent as your own MP).</t>
  </si>
  <si>
    <t>"You're about to learn... that there is a special kind of power that is born from fear."</t>
  </si>
  <si>
    <t>M-218</t>
  </si>
  <si>
    <t>Escape</t>
  </si>
  <si>
    <t>[DECLARE TO USE] Select 1 card from any page of your Spell Book (except the open pages) and send it to the Discard Pile. Then, move this MAMODO card to the empty page. [DECLARE TO USE] [STAY] Put this MAMODO card in Flight Status during this turn.</t>
  </si>
  <si>
    <t>"RUOOOOOOOOOOOOOH!"</t>
  </si>
  <si>
    <t>M-219</t>
  </si>
  <si>
    <t>Zatch Bell VS Zofis</t>
  </si>
  <si>
    <t>Zatch Bell | Zofis</t>
  </si>
  <si>
    <t>Unforgivable</t>
  </si>
  <si>
    <t>Send either player's in-play Zatch Bell or Zofis MAMODO card to the Discard Pile to put this MAMODO card in play. [2 MP] [STAY] Neither player can apply the effects of MAMODO cards except Zatch Bell and Zofis MAMODO cards during this turn.</t>
  </si>
  <si>
    <t>"Zofis, I'll never forgive you for what you've done!"</t>
  </si>
  <si>
    <t>M-220</t>
  </si>
  <si>
    <t>Astonished</t>
  </si>
  <si>
    <t>[DECLARE TO USE] Look at your opponent's Spell Book. Select 2 EVENT cards with the same card name and send them to the Discard Pile. This effect can be applied only once per game (per player).</t>
  </si>
  <si>
    <t>"What... What is happening?"</t>
  </si>
  <si>
    <t>M-221</t>
  </si>
  <si>
    <t>Power Welling Up</t>
  </si>
  <si>
    <t>[DECLARE TO USE] [STAY] Reduce the MP cost of all SPELL cards you play during this turn with Zatch Bell as their MAMODO name until they reach a cost of 5 MP. This effect can be applied only once per game (per player).</t>
  </si>
  <si>
    <t>With sincere feelings for his friends, and a strong will to win... Zatch’s power knows no bounds.</t>
  </si>
  <si>
    <t>M-222</t>
  </si>
  <si>
    <t>Intimidation</t>
  </si>
  <si>
    <t>[IN PLAY] Your opponent can neither move MAMODO cards from their Discard Pile into play or into empty pages of their Spell Book, nor can they apply the effects of MAMODO cards in their Discard Pile.</t>
  </si>
  <si>
    <t>“Do you want to spend a lifetime in fear? Running away from me, even after returning to the mamodo world?”</t>
  </si>
  <si>
    <t>M-223</t>
  </si>
  <si>
    <t>A Tearful Reunion</t>
  </si>
  <si>
    <t>[DECLARE TO USE] Switch 1 card in the currently open pages of your Spell Book with 1 Kafk Sunbeam PARTNER card from any page of your Spell Book. This effect can be applied only once per game (per player).</t>
  </si>
  <si>
    <t>Ponygon's journey begins following Sunbeam, who went to work in Hokkaido.</t>
  </si>
  <si>
    <t>M-224</t>
  </si>
  <si>
    <t>Ponygon (Dioemur Shudoruk Form)</t>
  </si>
  <si>
    <t>Burning Soul</t>
  </si>
  <si>
    <t>This card is placed on a Ponygon MAMODO card. Send this card to the Discard Pile at the END PHASE of your next turn (the other Ponygon MAMODO card remains in play). (Attack) [DECLARE TO USE] This card may Attack without using a SPELL card (Total Power=10000, Damage=2).</t>
  </si>
  <si>
    <t>Flames emerge from Ponygon's body in the midst of a desperate situation!</t>
  </si>
  <si>
    <t>M-225</t>
  </si>
  <si>
    <t>But... I Won't!</t>
  </si>
  <si>
    <t>[SEND THIS CARD TO THE DISCARD PILE] (Cut-In) Negate the cut-in effect your opponent just applied.</t>
  </si>
  <si>
    <t>“Why should I do you any favors? This is my final revenge over you. Give it up.”</t>
  </si>
  <si>
    <t>M-226</t>
  </si>
  <si>
    <t>The Journey of Light</t>
  </si>
  <si>
    <t>[1 MP] Select 1 MAMODO card from any page of your Spell Book and put it in play during your BATTLE PHASE.</t>
  </si>
  <si>
    <t>"So, this is what you call hope! My fear has completely disappeared!"</t>
  </si>
  <si>
    <t>M-227</t>
  </si>
  <si>
    <t>Paramakiron</t>
  </si>
  <si>
    <t>Detection Antenna</t>
  </si>
  <si>
    <t>[IN PLAY] When you have 3 Stone Tablet MAMODO cards in play, your opponent cannot put MAMODO cards in play with their card effects.</t>
  </si>
  <si>
    <t>The antenna attached to his head allows him to sense the presence of other mamodo. Beep-beeeep~</t>
  </si>
  <si>
    <t>M-228</t>
  </si>
  <si>
    <t>Zami</t>
  </si>
  <si>
    <t>Protracting Claws</t>
  </si>
  <si>
    <t>[IN PLAY] When you have 3 Stone Tablet MAMODO cards in play, your opponent cannot apply the effects of their in-play cards (except MAMODO and PARTNER cards).</t>
  </si>
  <si>
    <t>He patrolled the ruins, but was quickly dispatched by Wonrei's Go Redoruk spell.</t>
  </si>
  <si>
    <t>M-229</t>
  </si>
  <si>
    <t>Baraho</t>
  </si>
  <si>
    <t>Arm Shield</t>
  </si>
  <si>
    <t>[IN PLAY] When you have 3 Stone Tablet MAMODO cards in play, your opponent cannot apply effects that send your MAMODO cards to the Discard Pile with their card effects (except from Damage or Injury).</t>
  </si>
  <si>
    <t>He utilizes spells that transform his entire body into the shape of a shield.</t>
  </si>
  <si>
    <t>M-230</t>
  </si>
  <si>
    <t>Ninnin</t>
  </si>
  <si>
    <t>To Be A Ninja</t>
  </si>
  <si>
    <t>[1 MP] When you have 3 Stone Tablet MAMODO cards in play, send 1 of your opponent's in-play PARTNER cards to the Discard Pile.</t>
  </si>
  <si>
    <t>He waged an attack on Sherry, only to receive a kick to the face.</t>
  </si>
  <si>
    <t>M-231</t>
  </si>
  <si>
    <t>Kamack</t>
  </si>
  <si>
    <t>On Recon</t>
  </si>
  <si>
    <t>[SEND THIS CARD TO THE DISCARD PILE] When you have 3 Stone Tablet MAMODO cards in play, select 1 card from any page of your opponent's Spell Book (except the open pages) and send it to the Discard Pile. This effect can be applied only once per game (per player).</t>
  </si>
  <si>
    <t>He took it upon himself to scout around the Devolo Ruins single-handedly.</t>
  </si>
  <si>
    <t>M-232</t>
  </si>
  <si>
    <t>Koral Q</t>
  </si>
  <si>
    <t>Data Collection</t>
  </si>
  <si>
    <t>[DECLARE TO USE] During your BATTLE PHASE, select 1 SPELL card from any page of your opponent's Spell Book (except the last page) and send it to the Discard Pile. This effect can be applied only once per game (per player).</t>
  </si>
  <si>
    <t>“I’ve got a special radar in my body. I can tell exactly where the other mamodo are, Piyo.”</t>
  </si>
  <si>
    <t>M-233</t>
  </si>
  <si>
    <t>Koral Q (Battle Form)</t>
  </si>
  <si>
    <t>Rickety Gymnastics</t>
  </si>
  <si>
    <t>This card is placed on a regular Koral Q MAMODO card when a Roboruk SPELL card is played for the Koral Q MAMODO card. [DECLARE TO USE] [STAY] The next time your opponent inflicts Damage from an Attack, Injure this MAMODO card once instead of inflicting Damage from the Attack’s original effect (this is not considered to be SACRIFICING or PROTECTING your Spell Book from Damage).</t>
  </si>
  <si>
    <t>"Chicken! Hey, chicken! Ready to give up yet?"</t>
  </si>
  <si>
    <t>M-234</t>
  </si>
  <si>
    <t>Koral Q (La Robogargu Form)</t>
  </si>
  <si>
    <t>Koral Q (La Robogargu Form) {</t>
  </si>
  <si>
    <t>This card is placed on a regular Koral Q MAMODO card when a La Robogargu SPELL card is played for the Koral Q MAMODO card. (Defend) [1 MP] This card may Defend without using a SPELL card (Total Power=8000, Damage=1) ([COUNTER]).</t>
  </si>
  <si>
    <t>Koral Q’s huge plate of armor is like a mirror that is even capable of repelling Zatch’s Zakeruga blasts.</t>
  </si>
  <si>
    <t>M-235</t>
  </si>
  <si>
    <t>Ted</t>
  </si>
  <si>
    <t>Knockout Blow</t>
  </si>
  <si>
    <t>Only 1 SPELL card can be played for this MAMODO card per turn (per player). (Attack) [1 MP] This card may Attack without using a SPELL card (Total Power=# of MP counters on this card times 1000+5000, Damage=# of MP counters on this card times 1).</t>
  </si>
  <si>
    <t>“You wanna tell me why you’re picking on my friend?”</t>
  </si>
  <si>
    <t>M-236</t>
  </si>
  <si>
    <t>Arth</t>
  </si>
  <si>
    <t>A Sword That Absorbs Energy</t>
  </si>
  <si>
    <t>(Attack) [1 MP] This card may Attack without using a SPELL card (Total Power=7000, Damage=1). When you inflict Damage or Injury, apply 1 of the following effects: ● Reduce your opponent’s MP by 1. ● Remove 2 MP counters from 1 of your opponent’s in-play MAMODO cards.</t>
  </si>
  <si>
    <t>"Do you have any idea of the crisis that is taking place right now?"</t>
  </si>
  <si>
    <t>M-237</t>
  </si>
  <si>
    <t>Encountering the Menace</t>
  </si>
  <si>
    <t>[SEND THIS CARD TO THE DISCARD PILE] Send 1 of your opponent's in-play MAMODO cards with a higher Power than this MAMODO card to the Discard Pile.</t>
  </si>
  <si>
    <t>"Impossible... What is happening?"</t>
  </si>
  <si>
    <t>M-238</t>
  </si>
  <si>
    <t>Take To The Skies!</t>
  </si>
  <si>
    <t>Send your in-play Zatch Bell or Ponygon MAMODO card to the Discard Pile to put this MAMODO card in play. [1 MP] Apply both of the following effects: ● [STAY] Put this MAMODO card in Flight Status during this turn. ● [STAY] Your opponent can neither SACRIFICE nor PROTECT their Book from this card’s Attack Damage with MAMODO that are not in Flight Status.</t>
  </si>
  <si>
    <t>Shouldering all of their friends’ hopes, Zatch and Ponygon soar high into the sky!</t>
  </si>
  <si>
    <t>M-239</t>
  </si>
  <si>
    <t>Zatch Bell &amp; Penny</t>
  </si>
  <si>
    <t>Zatch Bell | Penny</t>
  </si>
  <si>
    <t>How I Adore You!</t>
  </si>
  <si>
    <t>Send your in-play Zatch Bell or Penny MAMODO card to the Discard Pile to put this MAMODO card in play. [IN PLAY] Apply both of the following effects: ● Your MP cannot be reduced by your opponent's card effects. ● Get 1 MP at the END PHASE of each of your turns during this game.</t>
  </si>
  <si>
    <t>This card is an adorable love charm ~ ♡</t>
  </si>
  <si>
    <t>M-240</t>
  </si>
  <si>
    <t>Zatch Bell &amp; Ted</t>
  </si>
  <si>
    <t>Zatch Bell | Ted</t>
  </si>
  <si>
    <t>Send your in-play Zatch Bell or Ted MAMODO card to the Discard Pile to put this MAMODO card in play. [SEND THIS CARD TO THE DISCARD PILE] [STANDBY] After applying this effect, only once during this game (per player), when your Zatch Bell or Ted MAMODO card is sent to the Discard Pile as a result of Damage, Injury, or your opponent's card effects, it remains in play instead. Poer:4500</t>
  </si>
  <si>
    <t>What are truly the important things in life? These two people understand that quite well.</t>
  </si>
  <si>
    <t>M-241</t>
  </si>
  <si>
    <t>Pamoon VS Goren</t>
  </si>
  <si>
    <t>Pamoon | Goren</t>
  </si>
  <si>
    <t>A Thousand Years of Disgrace</t>
  </si>
  <si>
    <t>Send either player's in-play Pamoon or Goren MAMODO card to the Discard Pile to put this MAMODO card in play (any MP counters on that MAMODO card are moved onto this MAMODO card and can be spent as your own MP). [SEND THIS CARD TO THE DISCARD PILE] Apply 1 of the following effects: ● Petrify 1 of either player's MAMODO cards. ● Turn 1 of either player's Petrified MAMODO cards to Normal Status.</t>
  </si>
  <si>
    <t>"A thousand years ago, I lost because I was sweet."</t>
  </si>
  <si>
    <t>M-242</t>
  </si>
  <si>
    <t>Victoream VS Beast of Yubari</t>
  </si>
  <si>
    <t>Victoream | Beast of Yubari</t>
  </si>
  <si>
    <t>V's Adventure</t>
  </si>
  <si>
    <t>Send either player's in-play Victoream MAMODO card or Beast of Yūbari card to the Discard Pile to put this MAMODO card in play. [IN PLAY] Apply both of the following effects: ● Your opponent cannot get MP with their card effects. ● Your opponent must pay the original MP costs of their card effects, SPELL cards, and EVENT cards (the Last Page Bonus no longer applies to them).</t>
  </si>
  <si>
    <t>"Some kind of watch dog! Don't you get in my way!"</t>
  </si>
  <si>
    <t>M-243</t>
  </si>
  <si>
    <t>Brimming With Courage</t>
  </si>
  <si>
    <t>[IN PLAY] When your opponent inflicts 3 Damage or more, it is adjusted to a total of 2 Damage.</t>
  </si>
  <si>
    <t>Occasionally, the fire in his eyes burns brightly with a dignified aura. What could this mean...?</t>
  </si>
  <si>
    <t>M-244</t>
  </si>
  <si>
    <t>A Better Choice</t>
  </si>
  <si>
    <t>(Cut-In) [1 MP] When your opponent selects 1 of their in-play MAMODO cards as a target of a card effect, the selection is disregarded. Then, select 1 of their in-play MAMODO cards to apply the effect to instead.</t>
  </si>
  <si>
    <t>"Everyone knows girls have better taste!"</t>
  </si>
  <si>
    <t>M-245</t>
  </si>
  <si>
    <t>Iron Arm</t>
  </si>
  <si>
    <t>Only 1 SPELL card can be played for this MAMODO per turn (per player). When this MAMODO is put in play, a Dragner Nagur SPELL card is considered to have been played during this game. Then, place 1 MP counter on this card. (Attack) [1 MP] This card may Attack without using a SPELL card (Total Power=7500, Damage=number of MP counters on this card times 1).</t>
  </si>
  <si>
    <t>"I'm already warmed up from the spell!"</t>
  </si>
  <si>
    <t>M-246</t>
  </si>
  <si>
    <t>Gently...</t>
  </si>
  <si>
    <t>[IN PLAY] If your opponent did not Attack during the BATTLE PHASE of their turn, get 2 MP at the END PHASE of that turn.</t>
  </si>
  <si>
    <t>"Don't wake up, Kiyo... and don't you get up either, Mr. Dragonfly."</t>
  </si>
  <si>
    <t>M-247</t>
  </si>
  <si>
    <t>Peppy Ponygon</t>
  </si>
  <si>
    <t>[SEND THIS CARD TO THE DISCARD PILE] Look at your opponent's Spell Book. Select up to 2 Ponygon MAMODO or EVENT cards from any of the pages and send them to the Discard Pile.</t>
  </si>
  <si>
    <t>Ponygon is happy and healthy. It's all a natural part of being a horse.</t>
  </si>
  <si>
    <t>M-248</t>
  </si>
  <si>
    <t>Requiem</t>
  </si>
  <si>
    <t>[IN PLAY] When your opponent has only 1 MAMODO card in play, your opponent can neither SACRIFICE nor PROTECT their Spell Book from Damage.</t>
  </si>
  <si>
    <t>"Right now, you're an opponent that I can handle. I will put an end to this battle now!"</t>
  </si>
  <si>
    <t>M-249</t>
  </si>
  <si>
    <t>Melon Run</t>
  </si>
  <si>
    <t>[SEND THIS CARD TO THE DISCARD PILE] Negate 1 [Stay] or [Standby] effect.</t>
  </si>
  <si>
    <t>"Don't just stand there, hurry up and get me a melon!"</t>
  </si>
  <si>
    <t>M-250</t>
  </si>
  <si>
    <t>Innocence</t>
  </si>
  <si>
    <t>[IN PLAY] When your opponent reduces your MP with their card effects, get 2 MP at the END PHASE of that turn.</t>
  </si>
  <si>
    <t>"I'm gonna do my best to become a kind king!"</t>
  </si>
  <si>
    <t>M-251</t>
  </si>
  <si>
    <t>[IN PLAY] When this MAMODO card is sent to the Discard Pile, both players move any number of MAMODO cards from their Discard Piles to empty pages of their own Spell Books.</t>
  </si>
  <si>
    <t>"Thank you... my beloved Zatch."</t>
  </si>
  <si>
    <t>M-252</t>
  </si>
  <si>
    <t>Snack At 3 O'Clock</t>
  </si>
  <si>
    <t>[IN PLAY] When you have 0 MP at your END PHASE, get 3 MP.</t>
  </si>
  <si>
    <t>"It's 3 o'clock, ribbit! Give me a cookie, ribbit!"</t>
  </si>
  <si>
    <t>M-253</t>
  </si>
  <si>
    <t>Be Strong</t>
  </si>
  <si>
    <t>[IN PLAY] When this MAMODO card is sent to the Discard Pile, select 1 of your in-play MAMODO cards. [STAY] Increase the Damage inflicted by the selected MAMODO card by 1 until the END PHASE of your next turn.</t>
  </si>
  <si>
    <t>"Good... That's very good."</t>
  </si>
  <si>
    <t>M-254</t>
  </si>
  <si>
    <t>Baby &amp; V</t>
  </si>
  <si>
    <t>[IN PLAY] When this MAMODO card is put in play, negate 1 [Stay] or [Standby] effect.</t>
  </si>
  <si>
    <t>"The glorious V is born!"</t>
  </si>
  <si>
    <t>M-255</t>
  </si>
  <si>
    <t>Playing</t>
  </si>
  <si>
    <t>[IN PLAY] Your opponent cannot play Promo EVENT cards (EVENT cards that have a card number beginning with "PR").</t>
  </si>
  <si>
    <t>"I think I'd rather just stay here and play."</t>
  </si>
  <si>
    <t>M-256</t>
  </si>
  <si>
    <t>Reporting a Traitor</t>
  </si>
  <si>
    <t>[1 MP] Look at your opponent's Spell Book and select 1 MAMODO card from any of the pages. Then, your opponent puts the selected MAMODO card in play.</t>
  </si>
  <si>
    <t>"If you don't come out, I'll go report Laila's betrayal to Milordo-Z right now!"</t>
  </si>
  <si>
    <t>M-257</t>
  </si>
  <si>
    <t>Spinning Staff</t>
  </si>
  <si>
    <t>Only 1 SPELL card can be played for this MAMODO card per turn (per player). (Attack) [1 MP] This card may Attack without using a SPELL card (Total Power=7000, Damage=1). This effect can be applied up to twice per turn (per player).</t>
  </si>
  <si>
    <t>"That trick doesn't work... on us!"</t>
  </si>
  <si>
    <t>M-258</t>
  </si>
  <si>
    <t>Furious Blastoff</t>
  </si>
  <si>
    <t>[2 MP] A coin that either player just flipped is considered to be "tails".</t>
  </si>
  <si>
    <t>"Ouch! That hurts! That smarts! The light beam is burning my tongue!"</t>
  </si>
  <si>
    <t>M-259</t>
  </si>
  <si>
    <t>A Naive Mistake</t>
  </si>
  <si>
    <t>[DECLARE TO USE] Adjust the MP counters placed on this MAMODO until there are MP counters equal to the number of MAMODO cards in your Discard Pile times 1. This effect can be applied only once per game (per player).</t>
  </si>
  <si>
    <t>"I told you that you cannot win with that straightforward approach!"</t>
  </si>
  <si>
    <t>M-260</t>
  </si>
  <si>
    <t>Angry Demolt</t>
  </si>
  <si>
    <t>(Battle) [DECLARE TO USE] Negate 1 Attack your opponent declared in the Battle that would inflict 2 Damage or less.</t>
  </si>
  <si>
    <t>“It looks like we really got Demolt angry. We have to attack full-strength without cheap tricks!”</t>
  </si>
  <si>
    <t>M-261</t>
  </si>
  <si>
    <t>Zatch Bell &amp; Yopopo</t>
  </si>
  <si>
    <t>Zatch Bell | Yopopo</t>
  </si>
  <si>
    <t>Yopopoi</t>
  </si>
  <si>
    <t>Send your in-play Zatch Bell or Yopopo MAMODO card to the Discard Pile to put this MAMODO card in play. [DECLARE TO USE] [STAY] The effects of 1 Kiyo Takamine or Djem PARTNER card can be applied up to twice per turn each (per player) during this turn, even if their effect can be applied only once per turn. This effect can be applied only once per game (per player).</t>
  </si>
  <si>
    <t>"Looks like you know a really fun dance!"</t>
  </si>
  <si>
    <t>M-262</t>
  </si>
  <si>
    <t>Zoboron &amp; Purio</t>
  </si>
  <si>
    <t>Zoboron | Purio</t>
  </si>
  <si>
    <t>The Best Combination</t>
  </si>
  <si>
    <t>Send your in-play Zoboron or Purio MAMODO card to the Discard Pile to put this MAMODO card in play. [DECLARE TO USE] Send all in-play DUAL MAMODO cards (except this card) to the Discard Pile.</t>
  </si>
  <si>
    <t>"Bet you didn't expect two pairs of us to join forces!"</t>
  </si>
  <si>
    <t>M-263</t>
  </si>
  <si>
    <t>Dual Stone Tablet Mamodo</t>
  </si>
  <si>
    <t>An Unlikely Duo</t>
  </si>
  <si>
    <t>Send your in-play Laila or Victoream MAMODO card to the Discard Pile to put this MAMODO card in play. [IN PLAY] Each time you play a SPELL card with Laila as its MAMODO name, place 1 MP counter on this MAMODO card (maximum 5 MP counters).</t>
  </si>
  <si>
    <t>"One, two, three-hee!"</t>
  </si>
  <si>
    <t>M-264</t>
  </si>
  <si>
    <t>Zatch Bell VS Tia</t>
  </si>
  <si>
    <t>Beauty Is The Beast</t>
  </si>
  <si>
    <t>Send either player's in-play Zatch Bell or Tia MAMODO card to the Discard Pile to put this MAMODO card in play. [DECLARE TO USE] If your opponent has 6 MP or more, reduce your opponent's MP to 0.</t>
  </si>
  <si>
    <t>"You'd better watch what you say, or you’re gonna regret it!"</t>
  </si>
  <si>
    <t>M-265</t>
  </si>
  <si>
    <t>I Won't Lose</t>
  </si>
  <si>
    <t>[IN PLAY] When this MAMODO card is in Injured Status, SPELL cards can be played for this MAMODO card (and this effect can be applied) even when prohibited to do so.</t>
  </si>
  <si>
    <t>No matter how bruised and battered he becomes, Zatch continues to fight on... and never gives up!</t>
  </si>
  <si>
    <t>M-266</t>
  </si>
  <si>
    <t>Zatch Bell (Rauzaruk State)</t>
  </si>
  <si>
    <t>A Proud Power</t>
  </si>
  <si>
    <t>This card is placed on a Zatch Bell MAMODO card when a Rauzaruk SPELL card is played for the Zatch Bell MAMODO card. No SPELL cards can be played for this MAMODO card. (Cut-in) [DECLARE TO USE] Negate the card or effect your opponent just played or applied. Then, send this card to the Discard Pile (the other Zatch Bell MAMODO remains in play).</t>
  </si>
  <si>
    <t>The Rauzaruk spell temporarily enhances Zatch's strenth, speed, and defensive abilities!</t>
  </si>
  <si>
    <t>M-267</t>
  </si>
  <si>
    <t>No Mercy!</t>
  </si>
  <si>
    <t>[IN PLAY] When this MAMODO card inflicts Damage or Injury with a SPELL card that has a 5 MP cost or higher, your opponent can neither SACRIFICE nor PROTECT their Spell Book from Damage.</t>
  </si>
  <si>
    <t>"Tell me... have you completely forgotten? Forgotten what this battle is all about?!"</t>
  </si>
  <si>
    <t>M-268</t>
  </si>
  <si>
    <t>Unafraid</t>
  </si>
  <si>
    <t>[IN PLAY] When this MAMODO card is the only MAMODO card you have in play, your opponent cannot turn pages of your Spell Book with their card effects (except from Damage).</t>
  </si>
  <si>
    <t>Ponygon has always fought with friends by his side... but this time, he has no choice but to battle alone.</t>
  </si>
  <si>
    <t>M-269</t>
  </si>
  <si>
    <t>Pinpoint Attack</t>
  </si>
  <si>
    <t>This card is placed on a Ponygon MAMODO card when a Shudoruk SPELL card is played for the Ponygon MAMODO card. (Attack) [1 MP] This card may Attack without using a SPELL card (Total Power=7000, Damage=1). Your opponent can neither SACRIFICE nor PROTECT their Spell Book from Damage.</t>
  </si>
  <si>
    <t>Ponygon uses his sturdy body to charge toward his opponents with great force!</t>
  </si>
  <si>
    <t>M-270</t>
  </si>
  <si>
    <t>Disruptive Attack</t>
  </si>
  <si>
    <t>This card is placed on a Ponygon MAMODO card when a Go Shudoruk SPELL card is played for the Ponygon MAMODO card. (Attack) [1 MP] This card may Attack without using a SPELL card (Total Power=7500, Damage=1). Your opponent cannot play cards in their Spell Book during the Battle ([STAY]).</t>
  </si>
  <si>
    <t>He speeds up to confound his opponents.</t>
  </si>
  <si>
    <t>M-271</t>
  </si>
  <si>
    <t>Flame Attack</t>
  </si>
  <si>
    <t>This card is placed on a Ponygon MAMODO card when a Dioemur Shudoruk SPELL card is played for the Ponygon MAMODO. (Attack) [1 MP] This card may Attack without using a SPELL card (Total Power=8000, Attribute="Fire", Damage=2). Your opponent cannot apply the effects of their in-play cards during the Battle ([STAY]).</t>
  </si>
  <si>
    <t>Ponygon enwreathes his body in scorching flames!</t>
  </si>
  <si>
    <t>M-272</t>
  </si>
  <si>
    <t>Zofis (Shielded)</t>
  </si>
  <si>
    <t>Stone Of Moonlight System</t>
  </si>
  <si>
    <t>[DECLARE TO USE] [STAY] This MAMODO card does not receive Damage or Injury during this game. ● As long as this effect is active, reduce your MP by 2 at the END PHASE of each player's turn. If you are unable to do so, this effect is negated, and this effect cannot be applied during this game (per player).</t>
  </si>
  <si>
    <t>"As long as I wear this helmet, no harm can come to me from any of your attacks."</t>
  </si>
  <si>
    <t>M-273</t>
  </si>
  <si>
    <t>Fusion Transforming Robot</t>
  </si>
  <si>
    <t>[1 MP] Select 2 Koral Q MAMODO cards from any page of your Spell Book (except regular Koral Q) and place them on this MAMODO card. The effects of those MAMODO cards can be applied. This effect can be applied only once per game (per player).</t>
  </si>
  <si>
    <t>"I wish I were a fusion transforming robot..."</t>
  </si>
  <si>
    <t>M-274</t>
  </si>
  <si>
    <t>Koral Q (Murom Roboruk Form)</t>
  </si>
  <si>
    <t>Nonconductive</t>
  </si>
  <si>
    <t>This card is placed on a regular Koral Q MAMODO card when a Murom Roboruk SPELL is played for the Koral Q MAMODO card. [IN PLAY] Reduce the Damage of your opponent's "Thunder" Attribute SPELL cards by 2.</t>
  </si>
  <si>
    <t>"Beep boop bop! I'm made of rubber!"</t>
  </si>
  <si>
    <t>M-275</t>
  </si>
  <si>
    <t>Koral Q (Digo Roboruk Form)</t>
  </si>
  <si>
    <t>Full Throttle</t>
  </si>
  <si>
    <t>This card is placed on a regular Koral Q MAMODO card when a Digo Roboruk SPELL is played for the Koral Q MAMODO card. [IN PLAY] Your opponent cannot Attack with MAMODO card effects that allow them to Attack without using a SPELL card.</t>
  </si>
  <si>
    <t>The design may be absurd, but his speed is incredible!</t>
  </si>
  <si>
    <t>M-276</t>
  </si>
  <si>
    <t>Koral Q (Ganjido Roboron Form)</t>
  </si>
  <si>
    <t>Multiple Shields</t>
  </si>
  <si>
    <t>This card is placed on a regular Koral Q MAMODO card when a Ganjido Roboron SPELL is played for the Koral Q MAMODO. [IN PLAY] Only once during this game (per player), your Spell Book does not receive up to 4 Damage (any Damage over 4 is still inflicted).</t>
  </si>
  <si>
    <t>"We'll be able to block Bao Zakeruga with the power of these combined shields..."</t>
  </si>
  <si>
    <t>M-277</t>
  </si>
  <si>
    <t>Soul Of The Fist</t>
  </si>
  <si>
    <t>Only 1 SPELL card can be played for this MAMODO card per turn (per player). (Attack) [1 MP] This card may Attack without using a SPELL card (Total Power=7000, Damage=1). This effect can be applied as many times per turn (per player) equal to the number of MP counters placed on this MAMODO card times 1.</t>
  </si>
  <si>
    <t>"No one can stop his fists of fury."</t>
  </si>
  <si>
    <t>M-278</t>
  </si>
  <si>
    <t>Karudio</t>
  </si>
  <si>
    <t>Paru Paru Monn</t>
  </si>
  <si>
    <t>[DECLARE TO USE] Select 1 Sauza PARTNER card from any page of your Spell Book and put it in play.</t>
  </si>
  <si>
    <t>A mamodo that Ponygon encountered in Hokkaido. It seems to be an equine mamodo, just like him...</t>
  </si>
  <si>
    <t>M-279</t>
  </si>
  <si>
    <t>Karudio (Gidoruk Form)</t>
  </si>
  <si>
    <t>Black Beast</t>
  </si>
  <si>
    <t>This card is placed on a Karudio MAMODO card when a Gidoruk SPELL card is played for the Karudio MAMODO card. [1 MP] Look at your opponent's Spell Book. Select 1 Ponygon EVENT or MAMODO card from any of the pages and send it to the Discard Pile. Then, turn 1 page of your opponent's Spell Book.</t>
  </si>
  <si>
    <t>Karudio's battle form. He attacks by charging forward with great precision!</t>
  </si>
  <si>
    <t>M-280</t>
  </si>
  <si>
    <t>Karudio (Go Gidoruk Form)</t>
  </si>
  <si>
    <t>Dual Horns</t>
  </si>
  <si>
    <t>This card is placed on a Karudio MAMODO card when a Go Gidoruk SPELL card is played for the Karudio MAMODO card. (Attack) [1 MP] This card may Attack without using a SPELL card (Total Power=7000, Damage=1). Damage your opponent's Spell Book twice when you win the Battle as an Attacker.</t>
  </si>
  <si>
    <t>Karudio's twin horns extend forward as he lunges toward the enemy.</t>
  </si>
  <si>
    <t>M-281</t>
  </si>
  <si>
    <t>Karudio (Diogikor Gidoruk Form)</t>
  </si>
  <si>
    <t>Fierce Blizzard</t>
  </si>
  <si>
    <t>This card is placed on a Karudio MAMODO card when a Diogikor Gidoruk SPELL card is played for the Karudio MAMODO card. (Attack) [2 MP] This card may Attack without using a SPELL card (Total Power=8000, Attribute="Ice", Damage=1). Damage your opponent's Spell Book 3 times when you win the Battle as an Attacker.</t>
  </si>
  <si>
    <t>Karudio's entire body is enveloped in a chilling tempest of freezing wind.</t>
  </si>
  <si>
    <t>M-282</t>
  </si>
  <si>
    <t>Rein</t>
  </si>
  <si>
    <t>An Untapped Power</t>
  </si>
  <si>
    <t>[IN PLAY] This MAMODO card can PROTECT your Spell Book from Damage (and this effect can be applied) even when prohibited to do so.</t>
  </si>
  <si>
    <t>"I don't really care about becoming king. I'm more worried about Kyle."</t>
  </si>
  <si>
    <t>M-283</t>
  </si>
  <si>
    <t>Rein (Human Form)</t>
  </si>
  <si>
    <t>Managing Inheritance</t>
  </si>
  <si>
    <t>This card is placed on a Rein MAMODO card. No SPELL cards can be played for this MAMODO card. With 1 Action, you can send this card to the Discard Pile at any time (the other Rein MAMODO card remains in play). [IN PLAY] Your MP cannot be reduced by your opponent's card effects.</t>
  </si>
  <si>
    <t>"That money you have belongs to Kyle, doesn't it?!"</t>
  </si>
  <si>
    <t>M-284</t>
  </si>
  <si>
    <t>Gangs of New York</t>
  </si>
  <si>
    <t>(Battle) [2 MP] [STANDBY] Select 1 of your opponent's in-play MAMODO cards. The selected MAMODO card can be used to PROTECT your Spell Book from Damage during the Battle as if it were your own.</t>
  </si>
  <si>
    <t>"It's part of being evil... I'm singing about evil!"</t>
  </si>
  <si>
    <t>M-285</t>
  </si>
  <si>
    <t>Majiro</t>
  </si>
  <si>
    <t>Maji-majiro</t>
  </si>
  <si>
    <t>[IN PLAY] Your opponent cannot apply the effects of their MAMODO cards or EVENT cards that send their own MAMODO cards to the Discard Pile.</t>
  </si>
  <si>
    <t>A mamodo that Zatch met and befriended in Asuka. Sadly however, they parted ways before they knew it.</t>
  </si>
  <si>
    <t>M-286</t>
  </si>
  <si>
    <t>Majiro (Sakdoruk Form)</t>
  </si>
  <si>
    <t>Curl Up</t>
  </si>
  <si>
    <t>This card is placed on a Majiro MAMODO card when a Sakudoruk SPELL card is played for the Majiro MAMODO card. (Battle) [DECLARE TO USE] [STAY] Your Spell Book does not receive Damage from an infliction of 1 Damage. Flip a coin; if it's heads, your Spell Book also does not receive Damage from an infliction of 2 Damage.</t>
  </si>
  <si>
    <t>Majiro's battle form. His skin hardens and grows sharp thorns.</t>
  </si>
  <si>
    <t>M-287</t>
  </si>
  <si>
    <t>Maestro</t>
  </si>
  <si>
    <t>Into The In-Between World</t>
  </si>
  <si>
    <t>[4 MP] [STAY] Select 1 of your opponent's in-play MAMODO cards. Your opponent cannot attach any new PARTNER cards to the selected MAMODO card during this game.</t>
  </si>
  <si>
    <t>"When this door opens completely, the mamodo world will be mine for the taking!"</t>
  </si>
  <si>
    <t>M-288</t>
  </si>
  <si>
    <t>Zatch Bell VS Brago</t>
  </si>
  <si>
    <t>Zatch Bell | Brago</t>
  </si>
  <si>
    <t>Red VS Black</t>
  </si>
  <si>
    <t>Send either player's in-play Zatch Bell or Brago MAMODO card to the Discard Pile to put this MAMODO card in play. [2 MP] [STAY] Neither player can apply the effects of their MAMODO cards except Zatch Bell and Brago MAMODO cards during this turn.</t>
  </si>
  <si>
    <t>"Why did you destroy my friend's spell book?!" "Your 'friend'? You're as weak as ever."</t>
  </si>
  <si>
    <t>M-289</t>
  </si>
  <si>
    <t>Ponygon VS Karudio</t>
  </si>
  <si>
    <t>Ponygon | Karudio</t>
  </si>
  <si>
    <t>Wild Battle</t>
  </si>
  <si>
    <t>Send either player's in-play Ponygon or Karudio MAMODO card to the Discard Pile to put this MAMODO card in play. [DECLARE TO USE] [STAY] When you turn 1 page of your opponent's Spell Book as the result of a Ponygon MAMODO or EVENT card's effect, turn 2 pages of your opponent's Spell Book instead.</t>
  </si>
  <si>
    <t>"Meru meru me~~" "Paru paru mo~~nn"</t>
  </si>
  <si>
    <t>M-290</t>
  </si>
  <si>
    <t>Gold &amp; Silver</t>
  </si>
  <si>
    <t>You can flip over this MAMODO card at either player's START PHASE. This MAMODO card cannot be Petrified. [IN PLAY] Get 1 MP at each player's END PHASE.</t>
  </si>
  <si>
    <t>Zatch's memories of the mamodo world were cruelly erased by Zeno.</t>
  </si>
  <si>
    <t>Two Sides Of The Same Coin</t>
  </si>
  <si>
    <t>You can flip over this MAMODO card at either player's START PHASE. This MAMODO card cannot be Petrified. [IN PLAY] Reduce your opponent's MP by 1 at each player's END PHASE.</t>
  </si>
  <si>
    <t>Zatch and Zeno. What is the story behind the two?</t>
  </si>
  <si>
    <t>M-291</t>
  </si>
  <si>
    <t>A New Encounter</t>
  </si>
  <si>
    <t>[2 MP] [STAY] You can have a total of 4 MAMODO cards in play until the END PHASE of the next turn. If you have 4 MAMODO cards in play at the time this effect expires or is negated, send 1 of those MAMODO cards to the Discard Pile.</t>
  </si>
  <si>
    <t>Zatch continues to encounter new friends and foes alike.</t>
  </si>
  <si>
    <t>M-292</t>
  </si>
  <si>
    <t>Crimson Flames</t>
  </si>
  <si>
    <t>This card is placed on a Ponygon MAMODO card when a Dioemur Shudoruk SPELL card is played for the Ponygon MAMODO card. (Attack) [1 MP] This card may Attack without using a SPELL card (Total Power=8000, Attribute="Fire", Damage=2). When you inflict Injury, your opponent cannot apply the effects of the PARTNER card attached to the MAMODO card Injured by this Attack during this game ([STAY]).</t>
  </si>
  <si>
    <t>The red-hot flames blaze everything in their path... even his own human partner!</t>
  </si>
  <si>
    <t>M-293</t>
  </si>
  <si>
    <t>Preliminary Research</t>
  </si>
  <si>
    <t>[IN PLAY] When you put this MAMODO card in play during the PREPARATION PHASE of the game, apply the following effect: [STAY] Your Spell Book can neither receive Damage, nor can your Spell Book's pages be turned by your opponent's card effects, during the BATTLE PHASE of the first Attacker's first turn.</t>
  </si>
  <si>
    <t>"We'd better observe them a little longer – pigo~~"</t>
  </si>
  <si>
    <t>M-294</t>
  </si>
  <si>
    <t>Rock n' Roll</t>
  </si>
  <si>
    <t>(Attack) [2 MP] This card may Attack without using a SPELL card (Total Power=6000, Damage=1). You may remove 1 MP counter from this MAMODO card to adjust this Attack to (Total Power=8000, Damage=3) instead.</t>
  </si>
  <si>
    <t>"My entire fortune: two gumballs..."</t>
  </si>
  <si>
    <t>M-295</t>
  </si>
  <si>
    <t>The Power To Rectify</t>
  </si>
  <si>
    <t>[SEND THIS CARD TO THE DISCARD PILE] Negate all [STAY] and [STANDBY] effects that prohibit players from playing SPELL cards and/or applying the effects of MAMODO and PARTNER cards. This effect can be applied even when prohibited, and cannot be negated by a cut-in effect.</t>
  </si>
  <si>
    <t>"If that menace is allowed to roam free, the human world could be destroyed!"</t>
  </si>
  <si>
    <t>M-296</t>
  </si>
  <si>
    <t>Snowstorm</t>
  </si>
  <si>
    <t>This card is placed on a Karudio MAMODO card when a Diogikor Gidoruk SPELL card is played for the Karudio MAMODO card. (Attack) [1 MP] This card may Attack without using a SPELL card (Total Power=8000, Attribute="Ice", Damage=2). When you inflict Injury, your opponent cannot apply the effects of the Injured MAMODO card during this game ([STAY]).</t>
  </si>
  <si>
    <t>Karudio's ability to control freezing temperatures is a testament to the deep bond he shares with Sauza.</t>
  </si>
  <si>
    <t>M-297</t>
  </si>
  <si>
    <t>Crazed Power</t>
  </si>
  <si>
    <t>(Attack) [1 MP] This card may Attack without using a SPELL card (Total Power=9000, Damage=2). (Defend) [1 MP] This card may Defend without using a SPELL card (Total Power=9000). This effect can be applied as many times as you desire per turn (per player). If you apply this effect, the above effect cannot be applied during this game (per player) ([STAY]).</t>
  </si>
  <si>
    <t>"I'll tear you limb from limb!!!"</t>
  </si>
  <si>
    <t>M-298</t>
  </si>
  <si>
    <t>Battle in the North</t>
  </si>
  <si>
    <t>Send either player's in-play Ponygon or Karudio MAMODO card to the Discard Pile to put this MAMODO card in play. [IN PLAY] Get 2 MP each time you inflict Damage or Injury to your opponent's MAMODO cards.</t>
  </si>
  <si>
    <t>Ponygon and Karudio... two beasts locked in combat in the northern territory.</t>
  </si>
  <si>
    <t>M-299</t>
  </si>
  <si>
    <t>Onward To Faudo!</t>
  </si>
  <si>
    <t>[IN PLAY] When you put this MAMODO card in play during the PREPARATION PHASE of this game, apply the following effect: [STAY] Neither player can apply cut-in effects when a MAMODO card is being put in play without the use of a card effect during this game.</t>
  </si>
  <si>
    <t>"Yeah, I'm ready to go!"</t>
  </si>
  <si>
    <t>M-300</t>
  </si>
  <si>
    <t>Flame Runner</t>
  </si>
  <si>
    <t>This card is placed on a Ponygon MAMODO card when a Dioemur Shudoruk SPELL card is played for the Ponygon MAMODO card. (Attack) [1 MP] This card may Attack without using a SPELL (Total Power=8000, Attribute="Fire", Damage=1). When you inflict Damage or Injury, your opponent cannot play, nor put into play, cards from pages of their Book that are not their currently open pages until their next END PHASE ([STAY]).</t>
  </si>
  <si>
    <t>"Just look into their eyes. Focus on defeating them!"</t>
  </si>
  <si>
    <t>M-301</t>
  </si>
  <si>
    <t>Icy Smile</t>
  </si>
  <si>
    <t>This card is placed on a Karudio MAMODO card when a Diogikor Gidoruk SPELL card is played for the Karudio MAMODO card. (Attack) [1 MP] This card may Attack without using a SPELL (Total Power=8000, Attribute="Ice", Damage=1). When you inflict Damage or Injury, your opponent can neither turn, nor turn back, pages of their Spell Book during the BATTLE PHASE until their next END PHASE ([STAY]).</t>
  </si>
  <si>
    <t>"Hmph! Why don't you keel over from frost bite?!"</t>
  </si>
  <si>
    <t>M-302</t>
  </si>
  <si>
    <t>Facing Forward</t>
  </si>
  <si>
    <t>[IN PLAY] When you are on the last page of your Spell Book, apply both of the following effects: ● This MAMODO card can SACRIFICE or PROTECT your Spell Book from Damage even when it is prohibited to do so. ● This MAMODO card does not receive Damage or Injury.</t>
  </si>
  <si>
    <t>"I have no choice... I must show Kyle the truth..."</t>
  </si>
  <si>
    <t>M-303</t>
  </si>
  <si>
    <t>Rodeaux</t>
  </si>
  <si>
    <t>Wicked Temptation</t>
  </si>
  <si>
    <t>[3 MP] Select 1 of your opponent's in-play MAMODO cards that they put in play by using a card effect during this turn, and move it to your side of play. If your opponent refuses, send it to the Discard Pile instead. Card area rules still apply for the selected MAMODO card and the selected MAMODO card can be used as if it were your own.</t>
  </si>
  <si>
    <t>"Why is it taking you so long to get this mamodo to join us?"</t>
  </si>
  <si>
    <t>M-304</t>
  </si>
  <si>
    <t>Quietly Observing</t>
  </si>
  <si>
    <t>[IN PLAY] Your opponent cannot move in-play cards or cards from their Discard Pile into empty pages of their Spell Book.</t>
  </si>
  <si>
    <t>"Brand new sights make my heart race faster!"</t>
  </si>
  <si>
    <t>M-305</t>
  </si>
  <si>
    <t>The Dark Ruler</t>
  </si>
  <si>
    <t>[IN PLAY] When you are on the 30th and 31st pages of your Spell Book, the MP cost of 1 SPELL card with Brago as its MAMODO name in the 30th page of your Spell Book is considered to be 0.</t>
  </si>
  <si>
    <t>"I only show my true strength if my enemies return the favor..."</t>
  </si>
  <si>
    <t>M-306</t>
  </si>
  <si>
    <t>Tia (Wild)</t>
  </si>
  <si>
    <t>Jrarara!!</t>
  </si>
  <si>
    <t>Send your in-play Tia MAMODO card to the Discard Pile to put this MAMODO card in play. [SEND THIS CARD TO THE DISCARD PILE] Look at your opponent's Spell Book and count the number of cards in all the pages that have effects that turn pages of a Spell Book. Turn a number of pages of your opponent's Spell Book equal to the number of cards counted times 1.</t>
  </si>
  <si>
    <t>"Aaahhhh... I hate that monkey! I hate him! HATE! HATE!!"</t>
  </si>
  <si>
    <t>M-307</t>
  </si>
  <si>
    <t>Desperate Feelings</t>
  </si>
  <si>
    <t>[SEND THIS CARD TO THE DISCARD PILE] [STANDBY] After applying this effect, for 1 turn during this game (per player), your MAMODO cards can SACRIFICE or PROTECT your Spell Book from Damage even when they are prohibited to do so.</t>
  </si>
  <si>
    <t>When Brago attacks Kiyo with his Reis spell, Ponygon jumped in front to protect him.</t>
  </si>
  <si>
    <t>M-308</t>
  </si>
  <si>
    <t>Ugaah!</t>
  </si>
  <si>
    <t>[DECLARE TO USE] Injure 1 of your opponent's MAMODO cards with a higher Power than this MAMODO card during your BATTLE PHASE. Then, Injure this MAMODO card.</t>
  </si>
  <si>
    <t>"This may be... the last time you ever see me!"</t>
  </si>
  <si>
    <t>M-309</t>
  </si>
  <si>
    <t>You Fool</t>
  </si>
  <si>
    <t>[DECLARE TO USE] If your opponent has 8 MP or more, turn 1 page of your opponent's Spell Book.</t>
  </si>
  <si>
    <t>"You have the power to win, but don't want to use it. You're a fool..."</t>
  </si>
  <si>
    <t>M-310</t>
  </si>
  <si>
    <t>Riou</t>
  </si>
  <si>
    <t>Curse</t>
  </si>
  <si>
    <t>[SEND THIS CARD TO THE DISCARD PILE] Select 1 of your opponent's in-play cards during your BATTLE PHASE. [STANDBY] Send the selected card to the Discard Pile at the END PHASE of the next turn. This effect can be applied only once per turn (per player).</t>
  </si>
  <si>
    <t>"All those who've been cursed will lose their lives within four days."</t>
  </si>
  <si>
    <t>M-311</t>
  </si>
  <si>
    <t>Momon</t>
  </si>
  <si>
    <t>Escape Tactics</t>
  </si>
  <si>
    <t>This MAMODO card cannot be sent to the Discard Pile by your opponent's card effects when it is in a page of your Spell Book. [IN PLAY] Your opponent cannot send cards from your Spell Book to the Discard Pile with their card effects.</t>
  </si>
  <si>
    <t>"He can sense exactly where the other mamodo are located and... he just keeps running away from them."</t>
  </si>
  <si>
    <t>M-312</t>
  </si>
  <si>
    <t>Kurogane</t>
  </si>
  <si>
    <t>Battle Cry</t>
  </si>
  <si>
    <t>[1 MP] Negate 1 [Stay] or [Standby] effect that prohibits the play of SPELL cards and/or applying MAMODO and PARTNER card effects. This effect can be applied even when prohibited to do so, and cannot be negated by cut-in effects.</t>
  </si>
  <si>
    <t>"How dare you lump me together with these pathetic fools!"</t>
  </si>
  <si>
    <t>M-313</t>
  </si>
  <si>
    <t>Soldier of the In-Between World</t>
  </si>
  <si>
    <t>Mock Spells</t>
  </si>
  <si>
    <t>When you have a Kurogane MAMODO card in play, you can have as many Soldier of the In-Between World MAMODO cards in play as you desire, regardless of card name rules. (Attack) [1 MP] This card may Attack without using a SPELL card (Total Power=5000, Damage=1).</t>
  </si>
  <si>
    <t>They mimic real magic by attacking with iron weapons and shouting "Mock" prior to calling out a spell.</t>
  </si>
  <si>
    <t>M-314</t>
  </si>
  <si>
    <t>Revenge On The Mamodo World</t>
  </si>
  <si>
    <t>[DECLARE TO USE] Select any number of face-down cards in your opponent's Discard Pile and flip any number of them face-up (you may look at the front of the card(s) before doing so). Then, get MP equal to the number of cards you flipped face-up times 1.</t>
  </si>
  <si>
    <t>"Along with the others who were banished here, I will have my revenge on the mamodo world!"</t>
  </si>
  <si>
    <t>M-315</t>
  </si>
  <si>
    <t>Zatch Bell &amp; Rein</t>
  </si>
  <si>
    <t>Zatch Bell | Rein</t>
  </si>
  <si>
    <t>An Old Friend</t>
  </si>
  <si>
    <t>Send your in-play Zatch Bell or Rein MAMODO card to the Discard Pile to put this MAMODO card in play. [IN PLAY] You can move up to 1 card from your Discard Pile to an empty page of your Spell Book at the END PHASE of the turn this MAMODO card Attacked during your BATTLE PHASE.</t>
  </si>
  <si>
    <t>"Even though you lost your memories, your personality hasn't changed... You're still the same Zatch."</t>
  </si>
  <si>
    <t>M-316</t>
  </si>
  <si>
    <t>Ted VS Arth</t>
  </si>
  <si>
    <t>Ted | Arth</t>
  </si>
  <si>
    <t>Fist VS Sword</t>
  </si>
  <si>
    <t>Send either player's in-play Ted or Arth MAMODO card to the Discard Pile to put this MAMODO card in play. (Attack) [1 MP] This card may Attack without using a SPELL card (Total Power=8000, Damage=2). During the Battle, your opponent cannot apply MAMODO card effects without an "Attack" or "Defend" icon.</t>
  </si>
  <si>
    <t>Ted's fist and Arth's sword collide in a turbulent, physical battle.</t>
  </si>
  <si>
    <t>M-317</t>
  </si>
  <si>
    <t>Rodeaux VS Rein</t>
  </si>
  <si>
    <t>Rodeaux | Rein</t>
  </si>
  <si>
    <t>Fighting Seriously</t>
  </si>
  <si>
    <t>Send either player's in-play Rodeaux or Rein MAMODO card to the Discard Pile to put this MAMODO card in play. [IN PLAY] Your opponent cannot turn back pages of their Spell Book. This effect can be applied even when you are prohibited to do so.</t>
  </si>
  <si>
    <t>"Don't mess with me, you scum!"</t>
  </si>
  <si>
    <t>M-318</t>
  </si>
  <si>
    <t>Momon VS Tia</t>
  </si>
  <si>
    <t>Momon | Tia</t>
  </si>
  <si>
    <t>Underwear Battle</t>
  </si>
  <si>
    <t>Send either player's in-play Momon or Tia MAMODO card to the Discard Pile to put this MAMODO card in play. [DECLARE TO USE] [STAY] Neither player can apply effects that turn pages of a Spell Book during this game.</t>
  </si>
  <si>
    <t>"Aren't you gonna stop them, Kiyo?"</t>
  </si>
  <si>
    <t>M-319</t>
  </si>
  <si>
    <t>VS Stone Tablet Mamodo</t>
  </si>
  <si>
    <t>Belgim E.O. VS Victoream</t>
  </si>
  <si>
    <t>Belgim E.O. | Victoream</t>
  </si>
  <si>
    <t>Punished by the "V" Sign!</t>
  </si>
  <si>
    <t>Send either player's in-play Belgim E.O. or Victoream MAMODO card to the Discard Pile to put this MAMODO card in play. [DECLARE TO USE] If your opponent inflicted Damage to your Spell Book with a card effect during this game, inflict 5 Damage on your opponent (your opponent can PROTECT against this Damage). This effect can be applied only once per game (per player).</t>
  </si>
  <si>
    <t>"What? You... even have your own CD?!"</t>
  </si>
  <si>
    <t>M-320</t>
  </si>
  <si>
    <t>Zatch Bell &amp; Brago</t>
  </si>
  <si>
    <t>Conflicting Ideals</t>
  </si>
  <si>
    <t>Send your in-play Zatch Bell or Brago MAMODO card to the Discard Pile to put this MAMODO card in play. [IN PLAY] Your opponent cannot play EVENT cards that have both "Attack" AND "Defend" Icons.</t>
  </si>
  <si>
    <t>"I'm not saying we have to become friends! I'm just asking you to join forces with us for a common goal!"</t>
  </si>
  <si>
    <t>M-321</t>
  </si>
  <si>
    <t>S Mamodo</t>
  </si>
  <si>
    <t>Prepared Ant</t>
  </si>
  <si>
    <t>This card is placed on a regular Zatch Bell MAMODO card. [IN PLAY] Your opponent can neither SACRIFICE nor PROTECT their Spell Book from the Damage of SPELL cards played for this MAMODO card that have a 5 MP cost or more.</t>
  </si>
  <si>
    <t>As he works today to prevail tomorrow... with each new meeting and farewell he endures, Zatch grows ever stronger.</t>
  </si>
  <si>
    <t>M-322</t>
  </si>
  <si>
    <t>Cleansed</t>
  </si>
  <si>
    <t>This card is placed on a regular Tia MAMODO card. [IN PLAY] Reduce the Damage of your opponent's Attacks by 2 regardless of their Power when this MAMODO card Defends. This effect can be applied even when you are prohibited to do so.</t>
  </si>
  <si>
    <t>After launching Chajiru Saifodon, Tia beams like an angel as a refreshing sensation washes over her.</t>
  </si>
  <si>
    <t>M-323</t>
  </si>
  <si>
    <t>Start the Battle!</t>
  </si>
  <si>
    <t>[IN PLAY] When you put this MAMODO card in play during the PREPARATION PHASE of the game, apply the following effect: [STAY] Neither player can apply the effects of their in-play cards during the BATTLE PHASE of the first Attacker's first turn.</t>
  </si>
  <si>
    <t>"Ready? Let the battle begin!"</t>
  </si>
  <si>
    <t>M-324</t>
  </si>
  <si>
    <t>Follow That Yellowtail!</t>
  </si>
  <si>
    <t>[DECARE TO USE] [STANDBY] You can play 1 EVENT card with "Yellowtail" in its card name from any page of your Spell Book during this turn.</t>
  </si>
  <si>
    <t>"My yellowtail flew way up in the sky!"</t>
  </si>
  <si>
    <t>M-325</t>
  </si>
  <si>
    <t>Indomitable</t>
  </si>
  <si>
    <t>This card is placed on a regular Zatch Bell MAMODO card. (Attack) (Defend) [1 MP] This card may Attack without using a SPELL card (Total Power=7000, Damage=1) OR, Defend without using a SPELL card (Total Power=9000).</t>
  </si>
  <si>
    <t>No matter what kind of ordeal comes his way, Zatch always stands strong and never gives up.</t>
  </si>
  <si>
    <t>M-326</t>
  </si>
  <si>
    <t>With All His Might</t>
  </si>
  <si>
    <t>[1 MP] [STAY] Select 1 of your opponent's in-play cards (except MAMODO cards). Your opponent cannot apply the effects of the selected card during this turn.</t>
  </si>
  <si>
    <t>Kanchome's hard work and determination are enough to make a miracle occur.</t>
  </si>
  <si>
    <t>M-327</t>
  </si>
  <si>
    <t>An Incredible Comeback</t>
  </si>
  <si>
    <t>[IN PLAY] When you are turning pages of your Spell Book as a result of Damage and you are about to pass the last page, stop turning pages and immediately end the BATTLE PHASE.</t>
  </si>
  <si>
    <t>"If we're going to win this, we'll need everyone to give it their all!"</t>
  </si>
  <si>
    <t>M-328</t>
  </si>
  <si>
    <t>Reading the Book</t>
  </si>
  <si>
    <t>[2 MP] Look at the currently open pages of your opponent's Spell Book during your BATTE PHASE. If there are no SPELL cards, turn 1 page of your opponent's Spell Book.</t>
  </si>
  <si>
    <t>Ponygon continues his search for anyone who can read his spell book.</t>
  </si>
  <si>
    <t>M-329</t>
  </si>
  <si>
    <t>[IN PLAY] You can turn up to 4 pages of your Spell Book instead of 3 during your START PHASE.</t>
  </si>
  <si>
    <t>"Chugga chugga chugga chugga — look out for the Zatch Express!"</t>
  </si>
  <si>
    <t>M-330</t>
  </si>
  <si>
    <t>Leapfrogging Ponygon</t>
  </si>
  <si>
    <t>Send your in-play Zatch Bell or Ponygon MAMODO card to the Discard Pile to put this MAMODO card in play. [SEND THIS CARD TO THE DISCARD PILE] Turn 1 page of your opponent's Spell Book during their BATTLE PHASE.</t>
  </si>
  <si>
    <t>"Leapfrogging Ponygon! The only leapfrogging horse you'll ever see!"</t>
  </si>
  <si>
    <t>M-331</t>
  </si>
  <si>
    <t>Clad in Flames</t>
  </si>
  <si>
    <t>This card is placed on a Ponygon MAMODO card when a Dioemur Shudoruk SPELL card is played for the Ponygon MAMODO card. [IN PLAY] When this MAMODO card is prohibited from SACRIFICING or PROTECTING your Spell Book from Damage as a result of your opponent's card effects, turn 1 of your opponent's MAMODO cards to Injured Status (this is not considered to be inflicting Damage or Injury).</t>
  </si>
  <si>
    <t>Ponygon struggles to control the rampant flames that surround his body.</t>
  </si>
  <si>
    <t>M-332</t>
  </si>
  <si>
    <t>Surging with Valor</t>
  </si>
  <si>
    <t>[IN PLAY] Negate 1 [Stay] or [Standby] effect when this MAMODO card is put in play. Then, get 2 MP.</t>
  </si>
  <si>
    <t>“I’m gonna save everybody on Earth!” In his moment of decision, Zatch proves to everyone that he just might have what it takes to be King.</t>
  </si>
  <si>
    <t>M-333</t>
  </si>
  <si>
    <t>Overflowing with Hope</t>
  </si>
  <si>
    <t>[IN PLAY] Apply both of the following effects in any order when you put this MAMODO card in play: ● Turn 1 page of your Spell Book. Effects that turn pages of your Spell Book can be applied only once per turn (per player). ● Get 2 MP.</t>
  </si>
  <si>
    <t>"I told you, didn't I? I said I was gonna save everyone!"</t>
  </si>
  <si>
    <t>M-334</t>
  </si>
  <si>
    <t>Kanchomé (Double)</t>
  </si>
  <si>
    <t>This MAMODO card is put in play when you play a Dima Buruk SPELL card. No SPELL cards can be played for this MAMODO card (except "Command" SPELL cards with Kanchomé (Double) as their MAMODO name). [SEND THIS CARD TO THE DISCARD PILE] (Battle) Negate a card effect that inflicts Damage or Injury during the Battle. [SEND THIS CARD TO THE DISCARD PILE] (Cut-In) Negate the card effect your opponent just applied that sends any cards to the Discard Pile.</t>
  </si>
  <si>
    <t>"I'll stay here and keep an eye on the big guy!"</t>
  </si>
  <si>
    <t>M-335</t>
  </si>
  <si>
    <t>Protective Will</t>
  </si>
  <si>
    <t>This MAMODO card is put in play when you play a Dima Buruk SPELL card. No SPELL cards can be played for this MAMODO card (except "Command" SPELL cards with Kanchomé (Double) as their MAMODO name). [SEND THIS CARD TO THE DISCARD PILE] (Battle) Negate a card effect that inflicts Damage or Injury during the Battle. [SEND THIS CARD TO THE DISCARD PILE] (Cut-In) Negate the card effect your opponent just applied that turns pages of your Spell Book.</t>
  </si>
  <si>
    <t>"Well, I haven't gone to the bathroom this morning, so I don't think I'll be able to do much."</t>
  </si>
  <si>
    <t>M-336</t>
  </si>
  <si>
    <t>Shining Bond</t>
  </si>
  <si>
    <t>[IN PLAY] When this MAMODO card is put in play, select 1 MAMODO or PARTNER card from any page of your Spell Book and put it in play.</t>
  </si>
  <si>
    <t>"I've found a friend who I can trust." This is the reason for Tia's bright and cheerful smile.</t>
  </si>
  <si>
    <t>M-337</t>
  </si>
  <si>
    <t>Preemptive Strike</t>
  </si>
  <si>
    <t>(Attack) [1 MP] This card may Attack without using a SPELL card (Total Power=6000, Damage=1). When you inflict Damage or Injury, your opponent cannot play SPELL cards until the END PHASE of the next turn ([STAY]).</t>
  </si>
  <si>
    <t>"Ponygon! We'd better hit them now, before they launch an attack on us!"</t>
  </si>
  <si>
    <t>M-338</t>
  </si>
  <si>
    <t>Unrivaled Strength</t>
  </si>
  <si>
    <t>[DECLARE TO USE] If your opponent did not Defend against this MAMODO card's Attack during this turn, turn 1 page of your opponent's Spell Book.</t>
  </si>
  <si>
    <t>"A strong king...strong enough to destroy anyone who challenges me with just one strike from my mighty fist!"</t>
  </si>
  <si>
    <t>M-339</t>
  </si>
  <si>
    <t>Illusory Artifice</t>
  </si>
  <si>
    <t>[1 MP] [STAY] During the Battle when this MAMODO card Attacks, neither player can apply the effects of cards (except SPELL cards).</t>
  </si>
  <si>
    <t>"What?! An illusion?!" Arth's impending assault was nothing more than a mirage. His true target is...!</t>
  </si>
  <si>
    <t>M-340</t>
  </si>
  <si>
    <t>Naughty Monkey</t>
  </si>
  <si>
    <t>[DECLARE TO USE] [STANDBY] Turn 1 additional page of your opponent’s Spell Book with the next card effect you apply during this turn that turns pages of their Spell Book.</t>
  </si>
  <si>
    <t>"Wow, that's cool!"</t>
  </si>
  <si>
    <t>M-341</t>
  </si>
  <si>
    <t>A New Perspective</t>
  </si>
  <si>
    <t>[DECLARE TO USE] Look at the currently open pages of your opponent's Spell Book and select 1 EVENT card. Play the selected EVENT card with its MP cost considered to be 0, as if it were your own. This effect can be applied only once per game (per player).</t>
  </si>
  <si>
    <t>"You'll be able to see it soon enough."</t>
  </si>
  <si>
    <t>M-342</t>
  </si>
  <si>
    <t>Curse Ritual</t>
  </si>
  <si>
    <t>[3 MP] Select up to 4 of your opponent's PARTNER cards (they can be in-play and/or from any page of your opponent's Spell Book) and send them to the Discard Pile. This effect can be applied only once per game (per player).</t>
  </si>
  <si>
    <t>"I guess this is... my limit... if I keep going, my life will be in danger."</t>
  </si>
  <si>
    <t>M-343</t>
  </si>
  <si>
    <t>Luxurious Mansion</t>
  </si>
  <si>
    <t>[IN PLAY] Apply both of the following effects in order during each player's END PHASE: ● Turn this MAMODO card to Normal Status (even if Petrified). ● Negate 1 [Stay] or [Standby] effect.</t>
  </si>
  <si>
    <t>"We've gotta take the room with the best view on the top floor!"</t>
  </si>
  <si>
    <t>M-344</t>
  </si>
  <si>
    <t>No Bite To It!</t>
  </si>
  <si>
    <t>[2 MP] Turn pages of your opponent's Spell Book equal to the number of your opponent's in-play MAMODO cards with an "Attack" Icon times 1.</t>
  </si>
  <si>
    <t>"Hmph, a strength enhancement spell... but still... it's got no bite to it!"</t>
  </si>
  <si>
    <t>M-345</t>
  </si>
  <si>
    <t>Zaruchim</t>
  </si>
  <si>
    <t>Clairvoyance</t>
  </si>
  <si>
    <t>[IN PLAY] Your opponent cannot apply the effects of any cards in pages other than the currently open pages of their Spell Book (they can still put cards in play).</t>
  </si>
  <si>
    <t>"I don't know who it is, but there's someone who's been watching our every move."</t>
  </si>
  <si>
    <t>M-346</t>
  </si>
  <si>
    <t>Buzarai</t>
  </si>
  <si>
    <t>Blade Wielder</t>
  </si>
  <si>
    <t>[IN PLAY] If your opponent has no MAMODO cards in play at the END PHASE of their turn, and are unable to put a MAMODO card in play from within the following 4 pages of their Spell Book, you win the game.</t>
  </si>
  <si>
    <t>A silent warrior who manipulates gigantic bladed weaponry. Accompanied by Keith, he is dispatched by Riou to eliminate the intruders.</t>
  </si>
  <si>
    <t>M-347</t>
  </si>
  <si>
    <t>Keith</t>
  </si>
  <si>
    <t>Senseless But Powerful!</t>
  </si>
  <si>
    <t>(Battle) [1 MP] [STAY] Your opponent cannot play EVENT cards during the Battle.</t>
  </si>
  <si>
    <t>"You'd better take this battle seriously...otherwise, none of you will make it out of here alive."</t>
  </si>
  <si>
    <t>M-348</t>
  </si>
  <si>
    <t>Cherish</t>
  </si>
  <si>
    <t>[1 MP] Get 2 MP.</t>
  </si>
  <si>
    <t>"Isn't the spell ready yet, Nicole?"</t>
  </si>
  <si>
    <t>M-349</t>
  </si>
  <si>
    <t>For Love</t>
  </si>
  <si>
    <t>[IN PLAY] When a Li-en PARTNER card is attached to this MAMODO card, apply all of the following effects: ● Your MP cannot be reduced by your opponent's card effects. ● Your opponent cannot turn pages of your Spell Book with their card effects (except from Damage). ● Your opponent cannot discard your in-play cards with their card effects.</t>
  </si>
  <si>
    <t>"Don't worry, Li-en. I swear I'll protect you no matter what."</t>
  </si>
  <si>
    <t>M-350</t>
  </si>
  <si>
    <t>Riya</t>
  </si>
  <si>
    <t>Don't Be A Wimp!</t>
  </si>
  <si>
    <t>[3 MP] [STANDBY] Your opponent sends 1 of their in-play cards to the Discard Pile at the END PHASE of this turn. If your opponent has only 1 card in play, they can choose not to send that card to the Discard Pile.</t>
  </si>
  <si>
    <t>"Don't be such a wimp! Make your own decision!"</t>
  </si>
  <si>
    <t>M-351</t>
  </si>
  <si>
    <t>Ponygon &amp; Tia</t>
  </si>
  <si>
    <t>Ponygon | Tia</t>
  </si>
  <si>
    <t>Fast-Moving Targets</t>
  </si>
  <si>
    <t>Send your in-play Ponygon or Tia MAMODO card to the Discard Pile to put this MAMODO card in play. [IN PLAY] Your opponent can neither play SPELL cards, nor can they apply card effects, that are used more than once per turn.</t>
  </si>
  <si>
    <t>"Looks like our opponents don't have too much battle experience!"</t>
  </si>
  <si>
    <t>M-352</t>
  </si>
  <si>
    <t>Keith &amp; Buzarai</t>
  </si>
  <si>
    <t>Keith | Buzarai</t>
  </si>
  <si>
    <t>Divide &amp; Conquer</t>
  </si>
  <si>
    <t>Send your in-play Keith or Buzarai MAMODO card to the Discard Pile to put this MAMODO card in play. [IN PLAY] Your opponent selects 1 of their in-play MAMODO cards at the START PHASE of each player's turn. [STAY] Your opponent cannot apply the effects of their in-play MAMODO cards other than the selected MAMODO card during that turn.</t>
  </si>
  <si>
    <t>"There's no need to worry... Who do you think we are?"</t>
  </si>
  <si>
    <t>M-353</t>
  </si>
  <si>
    <t>Bari VS Keith</t>
  </si>
  <si>
    <t>Bari | Keith</t>
  </si>
  <si>
    <t>Strength VS Power</t>
  </si>
  <si>
    <t>Send either player's in-play Bari or Keith MAMODO card to the Discard Pile to put this MAMODO card in play. [2 MP] Look at the currently open pages of your opponent's Spell Book. Then, turn pages of their Spell Book until there is a MAMODO or SPELL card in the open pages (no pages are turned if this condition is already met).</t>
  </si>
  <si>
    <t>"We were rivals back in the mamodo world..."</t>
  </si>
  <si>
    <t>M-354</t>
  </si>
  <si>
    <t>Everyone's Power</t>
  </si>
  <si>
    <t>This card is placed on a regular Zatch Bell MAMODO card. [IN PLAY] When you have 3 or more MAMODO cards in play, the effects of your MAMODO and PARTNER cards cannot be negated by your opponent's cut-in effects.</t>
  </si>
  <si>
    <t>"Please help me! Alishie, Kiyo, all of you! I can't do this on my own."</t>
  </si>
  <si>
    <t>M-355</t>
  </si>
  <si>
    <t>Break!</t>
  </si>
  <si>
    <t>This card is placed on a regular Brago MAMODO card. [IN PLAY] Increase the Damage of this MAMODO card's Attacks by 1.</t>
  </si>
  <si>
    <t>Now that Zofis' curse has been lifted, Brago steadily marches forward on the path to kingship.</t>
  </si>
  <si>
    <t>M-356</t>
  </si>
  <si>
    <t>I'll Protect Everybody!</t>
  </si>
  <si>
    <t>This card is placed on a regular Kanchome MAMODO card. [IN PLAY] Your MAMODO cards can neither be Petrified, nor can your MAMODO and PARTNER cards be sent to the Discard Pile by your opponent's card effects (except from Damage).</t>
  </si>
  <si>
    <t>"Nobody's gonna disappear anymore... I'm gonna protect everybody!"</t>
  </si>
  <si>
    <t>M-357</t>
  </si>
  <si>
    <t>Losing's Not In Her Nature!</t>
  </si>
  <si>
    <t>This card is placed on a regular Tia MAMODO card. [IN PLAY] SPELL cards can be played for this MAMODO card even when prohibited to do so, and SPELL cards played for this MAMODO card cannot be negated (except by the effects of your opponent's SPELL cards).</t>
  </si>
  <si>
    <t>"We've come way too far to lose now!"</t>
  </si>
  <si>
    <t>M-358</t>
  </si>
  <si>
    <t>Burning Fighting Spirit</t>
  </si>
  <si>
    <t>This card is placed on a Ponygon MAMODO card. [IN PLAY] Increase the Damage of this MAMODO card's effects that allow it to Attack without using a SPELL card by 1.</t>
  </si>
  <si>
    <t>"Look deep into their eyes...focus all of your power on taking them down."</t>
  </si>
  <si>
    <t>M-359</t>
  </si>
  <si>
    <t>Seeking Strength</t>
  </si>
  <si>
    <t>This card is placed on a regular Bari MAMODO card. [IN PLAY] Your opponent cannot play EVENT cards during the Battle when this MAMODO card Attacks.</t>
  </si>
  <si>
    <t>"If I'm going to come face-to-face with Zatch...it will only be to put an end to our battle."</t>
  </si>
  <si>
    <t>M-360</t>
  </si>
  <si>
    <t>Pummeling Punches</t>
  </si>
  <si>
    <t>This card is placed on a regular Ted MAMODO card. Only 1 SPELL card can be played for this MAMODO card per turn (per player). (Attack) [1 MP] This card may Attack without using a SPELL card (Total Power=7500, Damage=number of MP counters on this MAMODO card times 1).</t>
  </si>
  <si>
    <t>"Seems like 'someone important to you' is in trouble."</t>
  </si>
  <si>
    <t>M-361</t>
  </si>
  <si>
    <t>The Four Supreme Mamodo</t>
  </si>
  <si>
    <t>Divine Prestige</t>
  </si>
  <si>
    <t>This card is placed on a Tsao-lon, Belgim E.O., Pamoon, or Demolt MAMODO card. While this MAMODO card is in play, it has the same card name as the MAMODO card under this card. [IN PLAY] Increase the Damage of this MAMODO card's Attacks by 1.</t>
  </si>
  <si>
    <t>"Now, I leave the rest to you. The deadliest of my mamodo servants from 1,000 years ago..."</t>
  </si>
  <si>
    <t>M-362</t>
  </si>
  <si>
    <t>The Conducting Element</t>
  </si>
  <si>
    <t>[IN PLAY] At the beginning of the START PHASE, negate all [Standby] effects that are triggered during the START PHASE. In addition, your opponent cannot turn pages of their Spell Book during their START PHASE.</t>
  </si>
  <si>
    <t>"The conducting element that gives light and energy..." This is the power that Zatch and Kiyo specialize in.</t>
  </si>
  <si>
    <t>M-363</t>
  </si>
  <si>
    <t>The Transformation Element</t>
  </si>
  <si>
    <t>[SEND THIS CARD TO THE DISCARD PILE] [STANDBY] After applying this effect, only once during this game (per player), you may negate 1 card effect your opponent applies that reduces your MP (this cannot be used as a cut-in effect).</t>
  </si>
  <si>
    <t>"Volcan? Come to think of it, it does really look like it..."</t>
  </si>
  <si>
    <t>M-364</t>
  </si>
  <si>
    <t>The Shield Element</t>
  </si>
  <si>
    <t>[SEND THIS CARD TO THE DISCARD PILE] [STANDBY] After applying this effect, only once during this game (per player), you may negate 1 card effect your opponent applies that sends your in-play cards to the Discard Pile (this cannot be used as a cut-in effect).</t>
  </si>
  <si>
    <t>"Huh? This is... for me? ...Thank you."</t>
  </si>
  <si>
    <t>M-365</t>
  </si>
  <si>
    <t>The Fire Element</t>
  </si>
  <si>
    <t>[SEND THIS CARD TO THE DISCARD PILE] [STANDBY] After applying this effect, only once during this game (per player), you may turn 1 additional page of your opponent's Spell Book when they are turning pages of their Spell Book as a result of your card effects or by inflicting Damage.</t>
  </si>
  <si>
    <t>"Ponygon, where are you taking that lunch to?"</t>
  </si>
  <si>
    <t>M-366</t>
  </si>
  <si>
    <t>Dr. M2</t>
  </si>
  <si>
    <t>Magic Scientist</t>
  </si>
  <si>
    <t>[1 MP] [STANDBY] 1 SPELL card can be played from the pages immediately before the currently open pages of your Spell Book during the next Battle this turn.</t>
  </si>
  <si>
    <t>"In the mamodo world, I'm the only person who does magical science research. Well, you could call me the one and only genius magical scientist!"</t>
  </si>
  <si>
    <t>M-367</t>
  </si>
  <si>
    <t>Run For It!</t>
  </si>
  <si>
    <t>[DECLARE TO USE] Move 1 of your in-play MAMODO cards (except this MAMODO card) and the attached PARTNER card (if any) to empty pages of your Spell Book.</t>
  </si>
  <si>
    <t>“Kanchomé, Folgore, you guys run away! If you don't, we'll all end up...!”</t>
  </si>
  <si>
    <t>M-368</t>
  </si>
  <si>
    <t>Determined Kanchomé</t>
  </si>
  <si>
    <t>[IN PLAY] Each time an opponent's in-play MAMODO card is sent to the Discard Pile, turn 1 page of your opponent's Spell Book.</t>
  </si>
  <si>
    <t>"All right, we're gonna get them all at once!"</t>
  </si>
  <si>
    <t>M-369</t>
  </si>
  <si>
    <t>Kanchome (Double)</t>
  </si>
  <si>
    <t>Fight As A Team!</t>
  </si>
  <si>
    <t>This MAMODO card is put in play when you play a Dima Buruk SPELL card. No SPELL cards can be played for this MAMODO card (except "Command" SPELL cards with "Kanchomé (Double)" as their MAMODO name). [SEND THIS CARD TO THE DISCARD PILE] (Battle) Negate a card effect that inflicts Damage or Injury during the Battle. [SEND THIS CARD TO THE DISCARD PILE] (Attack) This card may Attack without using a SPELL card (Total Power=5000, Damage=1).</t>
  </si>
  <si>
    <t>"I think it's better if I keep an eye on the book owner!"</t>
  </si>
  <si>
    <t>M-370</t>
  </si>
  <si>
    <t>Collaborating With Keith</t>
  </si>
  <si>
    <t>(Battle) [DECLARE TO USE] [STAY] Increase the Damage of this MAMODO card's SPELL cards by 1 during the Battle. This effect can be applied only when you have a Keith MAMODO card in play.</t>
  </si>
  <si>
    <t>He loyally invokes his spells at Keith's command.</t>
  </si>
  <si>
    <t>M-371</t>
  </si>
  <si>
    <t>Master Conductor</t>
  </si>
  <si>
    <t>[IN PLAY] Reduce the MP cost of SPELL cards you play for MAMODO cards (except this MAMODO card) by 1. In addition, add 2000 Power to those SPELL cards.</t>
  </si>
  <si>
    <t>"Faan-choon foon-feen, hyaan-hyoon foon-faan feer-ihoo!!"</t>
  </si>
  <si>
    <t>M-372</t>
  </si>
  <si>
    <t>Zatch Bell &amp; Kanchomé</t>
  </si>
  <si>
    <t>Zatch Bell | Kanchomé</t>
  </si>
  <si>
    <t>We Can't Lose!</t>
  </si>
  <si>
    <t>Send your in-play Zatch Bell or Kanchomé MAMODO card to the Discard Pile to put this MAMODO card in play. [IN PLAY] The SPELL card on the last page of your Spell Book cannot be negated by your opponent's card effects (except other SPELL cards). In addition, your opponent cannot play the SPELL card on the last page of their Spell Book.</t>
  </si>
  <si>
    <t>The best combination for helping each other out of a tight spot!</t>
  </si>
  <si>
    <t>M-373</t>
  </si>
  <si>
    <t>Keith VS Kanchomé</t>
  </si>
  <si>
    <t>Keith | Kanchomé</t>
  </si>
  <si>
    <t>Curse You!</t>
  </si>
  <si>
    <t>Send either player's in-play Keith or Kanchomé MAMODO card to the Discard Pile to put this MAMODO card in play. [IN PLAY] Your opponent can play only 1 SPELL card per turn.</t>
  </si>
  <si>
    <t>"I might manage to get one of them, but there's no way I can cast enough spells to fight off that many of them!"</t>
  </si>
  <si>
    <t>M-374</t>
  </si>
  <si>
    <t>You Lowly Worms!</t>
  </si>
  <si>
    <t>This card is placed on a regular Keith MAMODO card. This MAMODO card does not receive Damage or Injury from an infliction of 2 Damage or less.</t>
  </si>
  <si>
    <t>"If what he says is true...then that means he's got some extraordinary powers."</t>
  </si>
  <si>
    <t>M-375</t>
  </si>
  <si>
    <t>Catch My Heart</t>
  </si>
  <si>
    <t>[IN PLAY] Your opponent cannot apply the effects of MAMODO and EVENT cards containing "V" (as the entire word), "Beautiful Body", or "Melon" in their card names and/or effect names.</t>
  </si>
  <si>
    <t>M-376</t>
  </si>
  <si>
    <t>Limited V</t>
  </si>
  <si>
    <t>[5 MP] Look at your opponent's Spell Book. If there are 6 or more EVENT cards in the pages, select 5 of those cards. Then, send all of their other EVENT cards to the Discard Pile.</t>
  </si>
  <si>
    <t>"The succulent melon that captured my heart!"</t>
  </si>
  <si>
    <t>M-377</t>
  </si>
  <si>
    <t>Riou VS Keith</t>
  </si>
  <si>
    <t>Riou | Keith</t>
  </si>
  <si>
    <t>Predicting Treason</t>
  </si>
  <si>
    <t>Send either player's in-play Riou or Keith MAMODO card to the Discard Pile to put this MAMODO card in play. [DECLARE TO USE] Your opponent selects 1 card in their Spell Book with effects that turns pages of a player's Spell Book and sends it to the Discard Pile (you do not look at your opponent's Spell Book).</t>
  </si>
  <si>
    <t>"You pathetic traitors... How could you possibly think that you have a chance to take Faudo away from me?"</t>
  </si>
  <si>
    <t>M-378</t>
  </si>
  <si>
    <t>Stop Messing Around</t>
  </si>
  <si>
    <t>(Battle) (Cut-In) [2 MP] Negate the effect your opponent just applied during the Battle (except SPELL card effects).</t>
  </si>
  <si>
    <t>"YOU'RE the one who's in the way!"</t>
  </si>
  <si>
    <t>M-379</t>
  </si>
  <si>
    <t>Leave Nobody Behind</t>
  </si>
  <si>
    <t>(Cut-In) [2 MP] Negate the effect your opponent just played that would send any of your in-play cards to the Discard Pile (except from Damage or Injury).</t>
  </si>
  <si>
    <t>"Yeah! What would we do if we ever lost Zatch?"</t>
  </si>
  <si>
    <t>M-380</t>
  </si>
  <si>
    <t>Howling Ponygon</t>
  </si>
  <si>
    <t>(Cut-In) [2 MP] Negate the EVENT card your opponent just played during their BATTLE PHASE.</t>
  </si>
  <si>
    <t>Ponygon's exceptional agility has saved Kiyo and his friends numerous times in the past.</t>
  </si>
  <si>
    <t>M-381</t>
  </si>
  <si>
    <t>Sturdy Armor</t>
  </si>
  <si>
    <t>This card is placed on a Ponygon MAMODO card when a Shudoruk SPELL card is played for the Ponygon MAMODO card. The effects of the original Ponygon MAMODO can still be applied if its original Power is 1000 or less. (Battle) [1 MP] [STANDBY] Only once during the Battle when this card SACRIFICES or PROTECTS your Spell Book from Damage, this MAMODO card does not receive Damage or Injury.</t>
  </si>
  <si>
    <t>Ponygon's 1st transformation. His body becomes clad in silver armor.</t>
  </si>
  <si>
    <t>M-382</t>
  </si>
  <si>
    <t>Dexterity</t>
  </si>
  <si>
    <t>This card is placed on a Ponygon MAMODO card when a Go Shudoruk SPELL card is played for the Ponygon MAMODO card. The effects of the original Ponygon MAMODO can still be applied if its original Power is 2000 or less. (Battle) [1 MP] [STANDBY] During the Battle, this MAMODO card can SACRIFICE or PROTECT your Spell Book from Damage even when prohibited to do so.</t>
  </si>
  <si>
    <t>Ponygon's 2nd transformation. He grows out a horn and gains a tremendous boost in speed.</t>
  </si>
  <si>
    <t>M-383</t>
  </si>
  <si>
    <t>Scorching Flames</t>
  </si>
  <si>
    <t>This card is placed on a Ponygon MAMODO card when a Dioemur Shudoruk SPELL card is played for the Ponygon MAMODO. The effects of the original Ponygon MAMODO can still be applied if its original Power is 3000 or less. (Cut-In) [1 MP] Negate the MAMODO card effect your opponent just applied.</t>
  </si>
  <si>
    <t>Ponygon's 3rd transformation. Torrid flames cloak his entire body.</t>
  </si>
  <si>
    <t>M-384</t>
  </si>
  <si>
    <t>Hardened Hide</t>
  </si>
  <si>
    <t>This card is placed on a Karudio MAMODO card when a Gidoruk SPELL card is played for the Karudio MAMODO card. (Attack) (Defend) [1 MP] This card may Attack without using a SPELL card (Total Power=8000, Damage=1) OR, Defend without using a SPELL card (Total Power=8000). When used for Defending, reduce the Damage of your opponent's Attack by 1 regardless of their Power.</t>
  </si>
  <si>
    <t>Karudio's 1st transformation. It enhances all of his natural abilities.</t>
  </si>
  <si>
    <t>M-385</t>
  </si>
  <si>
    <t>Horn Thrust</t>
  </si>
  <si>
    <t>This card is placed on a Karudio MAMODO card when a Go Gidoruk SPELL card is played for the Karudio MAMODO card. (Attack) (Defend) [1 MP] This card may Attack without using a SPELL card (Total Power=8000, Damage=1) OR, Defend without using a SPELL card (Total Power=8000). When you inflict Damage or Injury, turn 1 page of your opponent's Spell Book.</t>
  </si>
  <si>
    <t>Karudio's 2nd transformation. Two long horns extend from the top of his head.</t>
  </si>
  <si>
    <t>M-386</t>
  </si>
  <si>
    <t>Freezing Breath</t>
  </si>
  <si>
    <t>This card is placed on a regular Karudio MAMODO card when a Diogikor Gidoruk SPELL card is played for the Karudio MAMODO card. (Attack) (Defend) [3 MP] This card may Attack without using a SPELL card (Total Power=8000, Attribute="Ice", Damage=2) OR, Defend without using a SPELL card (Total Power=8000). When you inflict Damage or Injury, reduce your opponent's MP by 4.</t>
  </si>
  <si>
    <t>Karudio's 3rd transformation. Frigid air cloaks his entire body.</t>
  </si>
  <si>
    <t>M-387</t>
  </si>
  <si>
    <t>Left To Their Doom</t>
  </si>
  <si>
    <t>(Cut-In) [DECLARE TO USE] Negate the effect your opponent just applied that would move cards into empty pages of their Spell Book. In addition, send all of those moved cards to the Discard Pile even when prohibited to do so.</t>
  </si>
  <si>
    <t>"There's nothing more fun than shooting some fool in the back as he runs away, leaving his friend behind."</t>
  </si>
  <si>
    <t>M-388</t>
  </si>
  <si>
    <t>Breaking the Seal</t>
  </si>
  <si>
    <t>(Cut-In) [1 MP] Negate the cut-in effect your opponent just applied that would negate the EVENT card you played.</t>
  </si>
  <si>
    <t>"This is it! Soon, Faudo will be ours!"</t>
  </si>
  <si>
    <t>M-389</t>
  </si>
  <si>
    <t>Walking the Road to Despair</t>
  </si>
  <si>
    <t>[1 MP] Negate 1 [Standby] effect. This effect can be applied regardless of your opponent's card effects.</t>
  </si>
  <si>
    <t>"Are you okay with that? Do you want to be defeated by despair?"</t>
  </si>
  <si>
    <t>M-390</t>
  </si>
  <si>
    <t>Karudio &amp; Arth</t>
  </si>
  <si>
    <t>Karudio | Arth</t>
  </si>
  <si>
    <t>For Ellie's Sake</t>
  </si>
  <si>
    <t>Send your in-play Karudio or Arth MAMODO card to the Discard Pile to put this MAMODO card in play. Up to 2 PARTNER cards can be attached to this MAMODO card at the same time. [2 MP] Select 1 Ellie PARTNER card from any page of your Spell Book or your Discard Pile and put it in play.</t>
  </si>
  <si>
    <t>"Of course I'm protecting her! I mean, how could I let her die?"</t>
  </si>
  <si>
    <t>M-391</t>
  </si>
  <si>
    <t>Tia VS Wonrei</t>
  </si>
  <si>
    <t>Tia | Wonrei</t>
  </si>
  <si>
    <t>Cold Glare</t>
  </si>
  <si>
    <t>Send either player's in-play Tia or Wonrei MAMODO card to the Discard Pile to put this MAMODO card in play. [2 MP] Send 1 of your opponent's in-play VS MAMODO cards to the Discard Pile.</t>
  </si>
  <si>
    <t>"He had a really cold look in his eyes. Like we were his enemies..."</t>
  </si>
  <si>
    <t>M-392</t>
  </si>
  <si>
    <t>Riya VS Zaruchim</t>
  </si>
  <si>
    <t>Riya | Zaruchim</t>
  </si>
  <si>
    <t>Betrayal of Beliefs</t>
  </si>
  <si>
    <t>Send either player's in-play Riya or Zaruchim MAMODO card to the Discard Pile to put this MAMODO card in play. [1 MP] Negate 1 [Stay] effect regardless of your opponent's card effects.</t>
  </si>
  <si>
    <t>"This is madness... The curse should have left you so weak you can barely move a finger."</t>
  </si>
  <si>
    <t>M-393</t>
  </si>
  <si>
    <t>Give It Your All</t>
  </si>
  <si>
    <t>This card is placed on a regular Zatch Bell MAMODO card. (Battle) [1 MP] [STANDBY] During the Battle, your opponent can neither SACRIFICE PROTECT their Spell Book from the Damage of an Attack declared by this MAMODO card with a Total Power of 10000 or more.</t>
  </si>
  <si>
    <t>"Zatch! Don't hesitate. We're gonna take them down! Use all the power you've got!"</t>
  </si>
  <si>
    <t>M-394</t>
  </si>
  <si>
    <t>Lust &amp; Peace</t>
  </si>
  <si>
    <t>This card is placed on a regular Momon MAMODO card. [IN PLAY] Reduce the Damage of your opponent's Attacks by 1.</t>
  </si>
  <si>
    <t>"I'm scared, but... I'm the only one who can save everyone..."</t>
  </si>
  <si>
    <t>M-395</t>
  </si>
  <si>
    <t>Suppressed Power</t>
  </si>
  <si>
    <t>This card is placed on a regular Keith MAMODO card. [DECLARE TO USE] [STANDBY] Reduce the MP cost of SPELL cards with Keith as their MAMODO name that you play in the next Battle during this turn by 2. In addition, reduce the Damage of those SPELL cards by 1.</t>
  </si>
  <si>
    <t>"Hmph, what's wrong? We haven't even used 80% of our power yet!"</t>
  </si>
  <si>
    <t>M-396ab</t>
  </si>
  <si>
    <t>Faudo</t>
  </si>
  <si>
    <t>Colossus</t>
  </si>
  <si>
    <t>This MAMODO card (both M-396a and M-396b) is put in play when you play an E-200 The Resurrection of Faudo EVENT card (both M-396a and M-396b are considered to be 1 card while in play). [IN PLAY] This MAMODO does not receive Damage or Injury and cannot be sent to the Discard Pile by your opponent's card effects. [10 MP] Turn 8 pages of your opponent's Spell Book during your BATTLE PHASE.</t>
  </si>
  <si>
    <t>"Hah, you lowly insects! Your puny attacks won't even scratch Faudo!" / "FAUDO! FIRE!"</t>
  </si>
  <si>
    <t>M-397</t>
  </si>
  <si>
    <t>Don't Look Back</t>
  </si>
  <si>
    <t>[IN PLAY] Your opponent can neither turn back pages of their Spell Book, nor can your opponent play or put cards in play from the previous pages of their Spell Book with their card effects.</t>
  </si>
  <si>
    <t>"AGGGH! Are we done yet? Kiyo! Can I look at you now?"</t>
  </si>
  <si>
    <t>M-398</t>
  </si>
  <si>
    <t>Brief Chance to Win</t>
  </si>
  <si>
    <t>This card is placed on a Zatch Bell MAMODO when a Rauzaruk SPELL is played for Zatch Bell. No SPELLS can be played for this card. Discard this card at the END PHASE of the turn you applied its effect (the original Zatch Bell remains in play). (Battle) [DECLARE TO USE] Negate your opponent's Attack in the Battle. [STANDBY] Then, turn 1 page of your opponent's Spell Book.</t>
  </si>
  <si>
    <t>"And now... get the book from his partner!"</t>
  </si>
  <si>
    <t>M-399</t>
  </si>
  <si>
    <t>Staff Protection</t>
  </si>
  <si>
    <t>(Defend) [1 MP] This card may Defend without using a SPELL card (Total Power=9000). Reduce the Damage of your opponent's Attack by 1 regardless of their Power.</t>
  </si>
  <si>
    <t>"Don't underestimate my strength!"</t>
  </si>
  <si>
    <t>M-400</t>
  </si>
  <si>
    <t>Thunder Emperor</t>
  </si>
  <si>
    <t>[4 MP] When your opponent is past the 22nd page of their Spell Book, turn 1 page of your opponent's Spell Book.</t>
  </si>
  <si>
    <t>"Purple eyes and silver hair... You're the heir of the mamodo royal family... Zeno, the Thunder Emperor!"</t>
  </si>
  <si>
    <t>M-401</t>
  </si>
  <si>
    <t>Pounding Fists</t>
  </si>
  <si>
    <t>[DECLARE TO USE] If your opponent sent any of your PARTNER cards to the Discard Pile with their card effects during this turn, turn 2 pages of your opponent's Spell Book.</t>
  </si>
  <si>
    <t>"What am I supposed to do from now on?! What am I gonna do without you...?"</t>
  </si>
  <si>
    <t>M-402</t>
  </si>
  <si>
    <t>Zatch Bell (Berserker)</t>
  </si>
  <si>
    <t>Physical Phenomenon</t>
  </si>
  <si>
    <t>This card can be placed on a Zatch Bell card only if your in-play Kiyo Takamine PARTNER was discarded by your opponent's effects during this game. No SPELLS with "Zatch Bell" as their MAMODO name can be played for this card. Discard this card at the END PHASE of your next turn (the card underneath remains in play). [DECLARE TO USE) Turn 1 page of your opponent's Spell Book.</t>
  </si>
  <si>
    <t>With the loss of Kiyo eating away at his heart, Zatch's book aggressively shines in a color never seen before.</t>
  </si>
  <si>
    <t>M-403</t>
  </si>
  <si>
    <t>Prepared to Protect</t>
  </si>
  <si>
    <t>[IN PLAY] When a Li-en PARTNER card is not attached to this MAMODO card, apply both of the following effects: ● Your opponent cannot turn pages of your Spell Book with their card effects (except from Damage). ● Your opponent cannot send cards from your Spell Book to the Discard Pile with their card effects.</t>
  </si>
  <si>
    <t>"I won't allow you to hurt any of the people behind me."</t>
  </si>
  <si>
    <t>M-404</t>
  </si>
  <si>
    <t>Obsession With Kingship</t>
  </si>
  <si>
    <t>[DECLARE TO USE] If your opponent inflicted Damage to your Spell Book or any of your MAMODO cards during the previous turn, get 4 MP.</t>
  </si>
  <si>
    <t>"I'm going to become king... no matter what... I'll do whatever it takes..."</t>
  </si>
  <si>
    <t>M-405</t>
  </si>
  <si>
    <t>Riou (Berserker)</t>
  </si>
  <si>
    <t>Rampaging Warrior</t>
  </si>
  <si>
    <t>This card is placed on a Riou MAMODO card when a Girfadom Barsuruk SPELL card is played for the Riou MAMODO card. (Attack) [3 MP] This card may Attack without using a SPELL card (Total Power=10000, Damage=3).</t>
  </si>
  <si>
    <t>Riou's forbidden spell has transformed him into a raging behemoth. His power has increased tenfold, and yet...</t>
  </si>
  <si>
    <t>M-406ab</t>
  </si>
  <si>
    <t>Faudo's Might</t>
  </si>
  <si>
    <t>This MAMODO card (both M-406a and M-406b) is put in play when you have played 3 or more [SEAL BREAKER] SPELL cards during this game and have a Riou MAMODO card in play (both M-406a and M-406b are considered to be 1 card while in play). [IN PLAY] This MAMODO card does not receive Damage or Injury and cannot be sent to the Discard Pile by your opponent's card effects. [6 MP] Send up to 2 of your opponent's in-play MAMODO cards to the Discard Pile.</t>
  </si>
  <si>
    <t>"Do not underestimate the power of Faudo!!! FAUDO, FIRE!!!"</t>
  </si>
  <si>
    <t>M-407</t>
  </si>
  <si>
    <t>Absolute Ruler</t>
  </si>
  <si>
    <t>(Cut-In) [DECLARE TO USE] Negate the Action your opponent just made that put a MAMODO card in play. Your opponent cannot put that card in play without the use of a card effect during this turn. This effect can be applied only once per game (per player).</t>
  </si>
  <si>
    <t>After defeating Riou in battle, Zeno procures the power to control Faudo.</t>
  </si>
  <si>
    <t>M-408</t>
  </si>
  <si>
    <t>Hide Mamodo</t>
  </si>
  <si>
    <t>Thunder Emperor Zeno</t>
  </si>
  <si>
    <t>[HIDE MAMODO] This card is put in play away face-down, away from your MAMODO card area. With 1 Action, you can flip this card face-up and put it in play. This card is considered to be the same as the Zeno MAMODO card. [IN PLAY] Turn 1 page of your opponent's Spell Book immediately when this MAMODO card is flipped face-up. You may pay 4 MP to turn 2 pages of your opponent's Spell Book instead.</t>
  </si>
  <si>
    <t>"Do you recognize me, Riou? Perhaps my eyes and hair will jog your memory."</t>
  </si>
  <si>
    <t>M-409</t>
  </si>
  <si>
    <t>Arth VS Karudio</t>
  </si>
  <si>
    <t>Why No Spells?!</t>
  </si>
  <si>
    <t>Send either player's in-play Arth or Karudio MAMODO card to the Discard Pile to put this MAMODO card in play. [DECLARE TO USE] If you are on or past the 22nd page of your Spell Book and your opponent has not played any SPELL cards during this game, turn 1 page of your opponent's Spell Book during your BATTLE PHASE.</t>
  </si>
  <si>
    <t>"Why don't you use any spells? Do you wanna lose that bad?"</t>
  </si>
  <si>
    <t>M-410</t>
  </si>
  <si>
    <t>Rops VS Zeno</t>
  </si>
  <si>
    <t>A Difference in Power</t>
  </si>
  <si>
    <t>Send either player's in-play Rops or Zeno MAMODO card to the Discard Pile to put this MAMODO card in play. [LAST VS] When this card is put in play, neither player can put a Rops MAMODO card in play during this game. [IN PLAY] Your opponent can apply effects or play SPELL cards that negate Attacks or Defenses only once per turn (per player).</t>
  </si>
  <si>
    <t>"I can't dodge his attacks! He's so much stronger than I am!"</t>
  </si>
  <si>
    <t>M-411</t>
  </si>
  <si>
    <t>Zatch Bell VS Victoream</t>
  </si>
  <si>
    <t>Mad For Melons</t>
  </si>
  <si>
    <t>Send either player's in-play Zatch Bell or Victoream MAMODO card to the Discard Pile to put this card in play. [LAST VS] When this card is put in play, neither player can put a Victoream MAMODO card in play during this game. [1 MP] Place 1 MP counter on 1 of your in-play MAMODO cards.</t>
  </si>
  <si>
    <t>"Don't just stand there, get me a melon!"</t>
  </si>
  <si>
    <t>M-412</t>
  </si>
  <si>
    <t>Kido VS Belgim E.O.</t>
  </si>
  <si>
    <t>Kido's Voice</t>
  </si>
  <si>
    <t>Send either player's in-play Kido or Belgim E.O. MAMODO card to the Discard Pile to put this MAMODO card in play. [LAST VS] When this MAMODO card is put in play, no player can put a Kido and/or a Belgim E.O. MAMODO card into play during this game. [1 MP] [STAY] Your opponent cannot play EVENT cards with a 1 MP cost or less until the END PHASE of the next turn.</t>
  </si>
  <si>
    <t>"Is that Kido's voice? Is he fighting alone?"</t>
  </si>
  <si>
    <t>M-413</t>
  </si>
  <si>
    <t>Zatch Bell VS Laila</t>
  </si>
  <si>
    <t>Break Free!</t>
  </si>
  <si>
    <t>Send either player's in-play Zatch Bell or Laila MAMODO card to the Discard Pile to put this MAMODO card in play. [IN PLAY] You can play "No Battle" SPELL cards with Zatch Bell or Laila as their MAMODO name that have only an "Attack" Icon during your opponent's BATTLE PHASE.</t>
  </si>
  <si>
    <t>"Please! Set aside your fear and break free from Zofis' control!"</t>
  </si>
  <si>
    <t>M-414</t>
  </si>
  <si>
    <t>Penny VS Demolt</t>
  </si>
  <si>
    <t>Realization</t>
  </si>
  <si>
    <t>Send either player's in-play Penny or Demolt MAMODO card to the Discard Pile to put this MAMODO card in play. [LAST VS] When this MAMODO card is put in play, neither player can put a Penny and/or a Demolt MAMODO card in play during this game. [SEND THIS CARD TO THE DISCARD PILE] [STAY] You can SACRIFICE or PROTECT your Spell Book from Damage during this game even when prohibited to do so.</t>
  </si>
  <si>
    <t>"I'm...so stupid! After everything I've done...I must...I have to..."</t>
  </si>
  <si>
    <t>M-415</t>
  </si>
  <si>
    <t>Ponygon VS Wonrei</t>
  </si>
  <si>
    <t>Unyielding Fist</t>
  </si>
  <si>
    <t>Send either player's in-play Ponygon or Wonrei MAMODO card to the Discard Pile to put this MAMODO card in play. [3 MP] Send 1 of your opponent's in-play MAMODO cards that share a card name with any of your in-play MAMODO cards to the Discard Pile.</t>
  </si>
  <si>
    <t>"Oh no! Wonrei has no hesitation about attacking us!"</t>
  </si>
  <si>
    <t>M-416</t>
  </si>
  <si>
    <t>Zatch Bell VS Riou</t>
  </si>
  <si>
    <t>Raw Strength</t>
  </si>
  <si>
    <t>Send either player's in-play Zatch Bell or Riou MAMODO card to the Discard Pile to put this MAMODO card in play. [IN PLAY] Add the text below to all of your in-play MAMODO: ● (Attack) (Defend) [DECLARE TO USE] This card may Attack without using a SPELL card (Power=+2000, Damage=1) OR, Defend without using a SPELL card (Power=+2000).</t>
  </si>
  <si>
    <t>"Don't underestimate my raw strength!"</t>
  </si>
  <si>
    <t>M-417</t>
  </si>
  <si>
    <t>Riou VS Zeno</t>
  </si>
  <si>
    <t>A One-Sided Game</t>
  </si>
  <si>
    <t>Send either player's in-play Riou or Zeno MAMODO card to the Discard Pile to put this MAMODO card in play. [LAST VS] When this MAMODO card is put in play, neither player can put a Riou MAMODO card in play during this game. [DECLARE TO USE] If the difference in remaining pages between both players' Spell Books is 5 or more, turn 2 pages of your opponent's Spell Book. This effect can be applied only once per game (per player).</t>
  </si>
  <si>
    <t>"I'm sick of hearing you babble."</t>
  </si>
  <si>
    <t>M-418</t>
  </si>
  <si>
    <t>Her Smile...</t>
  </si>
  <si>
    <t>This card is placed on a regular Wonrei MAMODO card. [IN PLAY] Apply all of the following effects: ● Your MP cannot be reduced by your opponent's card effects. ● Your opponent cannot turn pages fo your Spell Book with their card effects (except from Damage). ● Your opponent cannot discard your in-play cards with their card effects.</t>
  </si>
  <si>
    <t>"I've got to be strong... Stronger than ever... I've got to be a king who protects... A king who protects!!!"</t>
  </si>
  <si>
    <t>M-419</t>
  </si>
  <si>
    <t>I Love You, Doctor</t>
  </si>
  <si>
    <t>This card is placed on a regular Kido MAMODO card. [2 MP] Select 1 Dr. Riddles PARTNER card from any page of your Spell Book or your Discard Pile and put it in play.</t>
  </si>
  <si>
    <t>"Maybe I've grown up? I hope I turned out the way you wanted me to, Doctor."</t>
  </si>
  <si>
    <t>M-420</t>
  </si>
  <si>
    <t>Joining Hands</t>
  </si>
  <si>
    <t>This card is placed on a regular Penny MAMODO card. [IN PLAY] Your opponent can neither look at your Spell Book, nor can they apply effects that allow them to look at your Spell Book. They may still apply effects that select cards in your Spell Book as long as the effect specifies that you select the card(s).</t>
  </si>
  <si>
    <t>"Thank you, Zatch... Thank you, everyone..."</t>
  </si>
  <si>
    <t>M-421</t>
  </si>
  <si>
    <t>Four Leaf Clover</t>
  </si>
  <si>
    <t>This card is placed on a regular Byonko MAMODO card. [IN PLAY] Reduce the Damage of your opponent's Attacks by 2. In addition, if there are other effects that are currently reducing your opponent's Damage, this effect does not reduce any Damage.</t>
  </si>
  <si>
    <t>"Penny, let's do this togeher, ribbit! Don't worry, I'm with you, ribbit!"</t>
  </si>
  <si>
    <t>M-422</t>
  </si>
  <si>
    <t>Dream Melon</t>
  </si>
  <si>
    <t>This card is placed on a regular Victoream MAMODO card. [IN PLAY] At the start of the END PHASE, negate any of your opponent's [Standby] effects that are triggered during the END PHASE. In addition, your opponent can only get 1 MP at their END PHASE, even when turning a page of their Spell Book.</t>
  </si>
  <si>
    <t>"Huom, homomom, slurp slurp... It's even better than I imagined!"</t>
  </si>
  <si>
    <t>M-424</t>
  </si>
  <si>
    <t>Puppet Master</t>
  </si>
  <si>
    <t>This card is placed on a regular Zofis MAMODO card. [IN PLAY] The Damage from your Attacks cannot be reduced by your opponent's card effects.</t>
  </si>
  <si>
    <t>"How entertaining... This is so amusing."</t>
  </si>
  <si>
    <t>M-425</t>
  </si>
  <si>
    <t>Condescension</t>
  </si>
  <si>
    <t>This card is placed on a regular Riou MAMODO card. [IN PLAY] Increase the Damage of this MAMODO card's Attacks by 1.</t>
  </si>
  <si>
    <t>"You're going to regret making me look like a fool!"</t>
  </si>
  <si>
    <t>M-426</t>
  </si>
  <si>
    <t>Get Serious</t>
  </si>
  <si>
    <t>This card is placed on a regular Zeno MAMODO card. [IN PLAY] Inflict 1 Damage on your opponent when you win the Battle as a Defender.</t>
  </si>
  <si>
    <t>"Take this a little more seriously."</t>
  </si>
  <si>
    <t>M-427</t>
  </si>
  <si>
    <t>Serve Me Well!</t>
  </si>
  <si>
    <t>[2 MP] Your opponent selects 1 of their in-play MAMODO cards. [STAY] Your opponent can neither play SPELL cards for, nor can they apply the effects of the selected MAMODO card, during this game. This effect is negated before it can be applied again.</t>
  </si>
  <si>
    <t>"If you want to serve me...and live...get on this disc now!"</t>
  </si>
  <si>
    <t>M-428</t>
  </si>
  <si>
    <t>Ferocious Power</t>
  </si>
  <si>
    <t>This card is placed on a regular Riou MAMODO card when a Gigfadom Barsuruk SPELL card is played for the Riou MAMODO card. (Attack) (Defend) [2 MP] This card may Attack without using a SPELL card (Total Power=10000, Damage=2) OR, Defend without using a SPELL card (Total Power=10000).</t>
  </si>
  <si>
    <t>Riou gained a tremendous amount of forbidden power from the Girfadom Barsuruk spell.</t>
  </si>
  <si>
    <t>M-429</t>
  </si>
  <si>
    <t>Unfazed</t>
  </si>
  <si>
    <t>[2 MP] [STAY] Select 1 of your opponent's in-play MAMODO cards. Your opponent cannot apply the effects of the selected MAMODO card during this turn.</t>
  </si>
  <si>
    <t>Even when staring down Riou's most powerful spell, he calmly holds his hand out in front of him...</t>
  </si>
  <si>
    <t>M-430</t>
  </si>
  <si>
    <t>Zeno VS Riou</t>
  </si>
  <si>
    <t>Send either player's in-play Zeno or Riou MAMODO card to the Discard Pile to put this MAMODO card in play. [IN PLAY] During the Battle when this MAMODO card Attacks, your opponent can neither play SPELL cards for, nor can they SACRIFICE or PROTECT their Spell Book from Damage with, any of their MAMODO cards that have less than half the Power of this MAMODO card.</t>
  </si>
  <si>
    <t>"Is this just a bad dream? He's treating Riou like a child..."</t>
  </si>
  <si>
    <t>M-431</t>
  </si>
  <si>
    <t>Zeno VS Zatch Bell</t>
  </si>
  <si>
    <t>Send either player's in-play Zeno or Zatch Bell MAMODO card to the Discard Pile to put this MAMODO card in play. [IN PLAY] Apply 1 of the following effects at each player's END PHASE: ● Get 1 MP. ● Reduce your opponent's MP by 1.</t>
  </si>
  <si>
    <t>"Zeno... I have a feeling that...I'm gonna have to be the one to fight against him."</t>
  </si>
  <si>
    <t>M-432</t>
  </si>
  <si>
    <t>An Invitation to Faudo</t>
  </si>
  <si>
    <t>[HIDE MAMODO] This card is put in play away face-down, away from your MAMODO card area. With 1 Action, you can flip this card face-up and put it in play. [IN PLAY] When this card is flipped face-up, send 1 of your opponent's in-play MAMODO cards to the Discard Pile. Your opponent may select 1 MAMODO card from any page of their Spell Book and put it in play.</t>
  </si>
  <si>
    <t>"If it weren't for me, Zatch wouldn't be here...and you wouldn't have been able to revive Faudo using his power."</t>
  </si>
  <si>
    <t>M-433ab</t>
  </si>
  <si>
    <t>Triple Mamodo</t>
  </si>
  <si>
    <t>Zatch Bell &amp; Kanchomé &amp; Ponygon</t>
  </si>
  <si>
    <t>The Power Of Three</t>
  </si>
  <si>
    <t>[TRIPLE MAMODO] Send 2 of any combination of your in-play Zatch Bell, Kanchomé, and Ponygon DUAL MAMODO cards to the Discard Pile to put M-433a and M-433b in play (both are considered to be 1 card while in play). (Battle) [IN PLAY] These effects can be applied, and you can SACRIFICE or PROTECT your Spell Book from Damage, even when prohibited. [IN PLAY] This MAMODO card cannot be sent to the Discard Pile by your opponent's card effects (except from Damage). This effect can be applied even when prohibited to do so.</t>
  </si>
  <si>
    <t>"Let's go, Ponygon! Run as fast as you can!" "Meru meru me~" "Waaaah, wait! I'm gonna fall off!"</t>
  </si>
  <si>
    <t>M-434ab</t>
  </si>
  <si>
    <t>Zeno &amp; Faudo</t>
  </si>
  <si>
    <t>Faudo's Master</t>
  </si>
  <si>
    <t>Send your in-play Faudo MAMODO card to the Discard Pile, OR if either player has successfully played 3 or more [Seal Breaker] SPELLS during this game, send your in-play Zeno MAMODO card to the Discard Pile to put both M-434a and M-434b in play (both M-434a and M-434b are considered to be 1 card while in play). [IN PLAY] The MP cost of all your "Command" SPELL cards with Faudo as their MAMODO name is considered to be 0.</t>
  </si>
  <si>
    <t>"Attention, all mamodo inside Faudo. This is Zeno. From now on...Faudo is under my ownership."</t>
  </si>
  <si>
    <t>M-435</t>
  </si>
  <si>
    <t>All of Our Power</t>
  </si>
  <si>
    <t>[HIDE MAMODO] This card is put in play away face-down, away from your MAMODO card area. With 1 Action, you can flip this card face-up and put it in play. [IN PLAY] Turn 1 back page of your Spell Book immediately when this card is flipped face-up. You may reduce your MP by 4 to turn back 2 pages instead. This effect can be applied only once per game (per player).</t>
  </si>
  <si>
    <t>"Please! I want to help everybody!"</t>
  </si>
  <si>
    <t>M-436</t>
  </si>
  <si>
    <t>Flaming Pegasus</t>
  </si>
  <si>
    <t>This card is placed on a Ponygon MAMODO card when a Dioemur Shudoruk SPELL card is played for the Ponygon MAMODO card. [1 MP] [STANDBY] Only once during this turn (per player), you can play 1 "Command" SPELL card with Ponygon (Dioemur Shudoruk Form) as its MAMODO name from any page of your Spell Book.</t>
  </si>
  <si>
    <t>"We'll get them with our combination of speed and flame!"</t>
  </si>
  <si>
    <t>M-437</t>
  </si>
  <si>
    <t>I Came to Help</t>
  </si>
  <si>
    <t>[HIDE MAMODO] This card is put in play away face-down, away from your MAMODO card area. With 1 Action, you can flip this card face-up and put it in play. [IN PLAY] Turn 1 of your opponent's Normal Status MAMODO cards to Injured Status, OR send 1 of your opponent's Injured MAMODO cards to the Discard Pile, immediately when this MAMODO card is flipped face-up.</t>
  </si>
  <si>
    <t>"All right, Jido! Let's go help my friend Zatch!"</t>
  </si>
  <si>
    <t>M-438</t>
  </si>
  <si>
    <t>Blood of the Wild</t>
  </si>
  <si>
    <t>(Attack) (Defend) [1 MP] This card may Attack without using a SPELL card (Total Power=8000, Damage=2) OR, Defend without using a SPELL card (Total Power=8000). If you applied the effects of an Alishie PARTNER card during this turn, this effect can be applied up to twice per turn (per player).</t>
  </si>
  <si>
    <t>"I'm okay... Are you ready, Alishie? The attack we just got hit with has got my blood boiling."</t>
  </si>
  <si>
    <t>M-439</t>
  </si>
  <si>
    <t>Don't Avert Your Gaze</t>
  </si>
  <si>
    <t>[IN PLAY] Get MP equal to the number of pages of your Spell Book that you turn as a result of Damage times 2.</t>
  </si>
  <si>
    <t>"I hate that look... I'll teach you the humiliation of defeat!"</t>
  </si>
  <si>
    <t>M-440</t>
  </si>
  <si>
    <t>Fango</t>
  </si>
  <si>
    <t>Lost Determination</t>
  </si>
  <si>
    <t>[GODUFA] [SEND THIS CARD TO THE DISCARD PILE] (Cut-In) Negate the EVENT card your opponent just played. Then, turn 1 page of your opponent's Spell Book.</t>
  </si>
  <si>
    <t>4000-red</t>
  </si>
  <si>
    <t>"We all have the same goal... To become the king of the mamodo."</t>
  </si>
  <si>
    <t>M-441</t>
  </si>
  <si>
    <t>Lost Smile</t>
  </si>
  <si>
    <t>[1 MP] Negate 1 [Stay] effect. This effect can be applied regardless of your opponent's card effects.</t>
  </si>
  <si>
    <t>"She was strong... and beautiful... She never showed any sign of weakness."</t>
  </si>
  <si>
    <t>M-442</t>
  </si>
  <si>
    <t>Gas Discharge</t>
  </si>
  <si>
    <t>[HIDE MAMODO] This card is put in play away face-down, away from your MAMODO card area. With 1 Action, you can flip this card face-up and put it in play. [IN PLAY] Look at the currently open pages of your opponent's Spell Book immediately when this card is flipped face-up. Then, send 1 of either card to the Discard Pile. This effect can be applied only once per game (per player).</t>
  </si>
  <si>
    <t>"Urggh! What a horrible smell! That's got to be enough!"</t>
  </si>
  <si>
    <t>M-443</t>
  </si>
  <si>
    <t>Faudo's Internal Mamodo</t>
  </si>
  <si>
    <t>Eliminating Intruders</t>
  </si>
  <si>
    <t>You can put 1 of this MAMODO card in play once per turn (per player) when an "Internal Faudo Event" [Stay] effect is currently active, regardless of the number of MAMODO cards you have in play. (Attack) [1 MP] This card may Attack without using a SPELL card (Total Power=7000, Damage=1).</t>
  </si>
  <si>
    <t>"They'll be born where the lymph nodes are located in a human body, in order to seek out and capture the intruders."</t>
  </si>
  <si>
    <t>M-444</t>
  </si>
  <si>
    <t>Ponygon &amp; Riya</t>
  </si>
  <si>
    <t>Ponygon | Riya</t>
  </si>
  <si>
    <t>The Big Difference</t>
  </si>
  <si>
    <t>Send your in-play Ponygon or Riya MAMODO card to the Discard Pile to put this MAMODO card in play. [IN PLAY] Apply both of the following effects for your DUAL MAMODO: ● They cannot be sent to the Discard Pile by your opponent's effects (except as a result of Damage or Injury). ● They can SACRIFICE or PROTECT your Spell Book even when prohibited.</t>
  </si>
  <si>
    <t>"This is where the real battle begins! Let's show them just how powerful we are!"</t>
  </si>
  <si>
    <t>M-445</t>
  </si>
  <si>
    <t>Zaruchim &amp; Riou</t>
  </si>
  <si>
    <t>Zaruchim | Riou</t>
  </si>
  <si>
    <t>You Idiot</t>
  </si>
  <si>
    <t>Send your in-play Zaruchim or Riou MAMODO card to the Discard Pile to put this MAMODO card in play. [IN PLAY] Your "Superior" Class SPELL cards with an MP cost of 5 or more are considered to be [Seal Breaker] SPELL cards.</t>
  </si>
  <si>
    <t>"Riou... I wonder if it would've been different if we had fought against them together."</t>
  </si>
  <si>
    <t>M-446</t>
  </si>
  <si>
    <t>Zaruchim VS Alishie</t>
  </si>
  <si>
    <t>Tenacity</t>
  </si>
  <si>
    <t>Send either player's in-play Zaruchim or Riya MAMODO card to the Discard Pile to put this card in play. An Alishie PARTNER card can be attached to this MAMODO card. [LAST VS] When this card is put in play, neither player can put a Zaruchim MAMODO or Alishie PARTNER in play during this game. [IN PLAY] When you apply MAMODO effects to Attack without using a SPELL card, your opponent can only Defend by applying MAMODO effects to Defend without using a SPELL card.</t>
  </si>
  <si>
    <t>"Y-You fool! Are you deranged?! You were going to take me down along with you!"</t>
  </si>
  <si>
    <t>M-447</t>
  </si>
  <si>
    <t>Wonrei VS Rodeaux</t>
  </si>
  <si>
    <t>Wonrei | Rodeaux</t>
  </si>
  <si>
    <t>The Last Iron Fist</t>
  </si>
  <si>
    <t>Send either player's in-play Wonrei or Rodeaux MAMODO card to the Discard Pile to put this MAMODO card in play. [LAST VS] When this card is put in play, neither player can put a Wonrei MAMODO card in play during this game. [IN PLAY] Your opponent cannot put any VS MAMODO cards in play.</t>
  </si>
  <si>
    <t>"I'll protect her from everything bad. I'll protect our life together...and my sweet love...I'll protect her smile."</t>
  </si>
  <si>
    <t>M-448</t>
  </si>
  <si>
    <t>Won't Let Him Die</t>
  </si>
  <si>
    <t>This MAMODO card is placed on a regular Riya MAMODO card. [1 MP] Select 1 Alishie PARTNER card from any page of your Spell Book and put it in play.</t>
  </si>
  <si>
    <t>"I love Alishie! He's tough, fun and kind... All his life he's protected the people of his village!"</t>
  </si>
  <si>
    <t>M-449</t>
  </si>
  <si>
    <t>My Personal Shield</t>
  </si>
  <si>
    <t>This MAMODO card is placed on a regular Zaruchim MAMODO card. [IN PLAY] Your in-play MAMODO cards (except this MAMODO card) can SACRIFICE or PROTECT your Spell Book from Damage even when prohibited to do so.</t>
  </si>
  <si>
    <t>"He may be scum, but this fool served quite well as my personal shield!"</t>
  </si>
  <si>
    <t>M-450</t>
  </si>
  <si>
    <t>The Beginning of the End</t>
  </si>
  <si>
    <t>This MAMODO card is placed on a regular Zeno MAMODO card. [IN PLAY] Your opponent cannot apply effects that prohibit either player from sending cards to the Discard Pile.</t>
  </si>
  <si>
    <t>"Heh heh heh... Faudo! Get ready to switch into high gear!"</t>
  </si>
  <si>
    <t>M-451</t>
  </si>
  <si>
    <t>High-Speed Engines</t>
  </si>
  <si>
    <t>This MAMODO card is placed on a regular Faudo MAMODO card. [DECLARE TO USE] If you have a Faudo MAMODO card in play, go to any page between the 21st and 32nd pages of your Spell Book (this is not considered to be an effect that turns or turns back pages of your Spell Book). This effect can be applied only once per game (per player).</t>
  </si>
  <si>
    <t>"Route is confirmed. There are no obstacles. Countdown, 5 seconds before takeoff. 4...3...2...1... GO!"</t>
  </si>
  <si>
    <t>M-452</t>
  </si>
  <si>
    <t>Dual Mamodo S Mamodo</t>
  </si>
  <si>
    <t>Kanchomé &amp; Tia (Wild)</t>
  </si>
  <si>
    <t>Kanchomé | Tia</t>
  </si>
  <si>
    <t>Goddess of Anger</t>
  </si>
  <si>
    <t>This card is placed on a regular Kanchomé or Tia MAMODO card. This card is considered to be both a Dual MAMODO and S MAMODO card. [IN PLAY] Your opponent cannot apply effects that turn pages of a player's Spell Book.</t>
  </si>
  <si>
    <t>"Don't get sloppy! Gogogogogogogogogo..."</t>
  </si>
  <si>
    <t>M-453</t>
  </si>
  <si>
    <t>Light of Fellowship</t>
  </si>
  <si>
    <t>[HIDE MAMODO] This card is put in play face-down, away from your MAMODO card area. With 1 Action, you can flip this card face-up and put in play. [IN PLAY] Apply the following effect immediately when this MAMODO card is flipped face-up. This effect can be applied only once per game (per player): [STAY] Your opponent cannot Attack during this turn.</t>
  </si>
  <si>
    <t>"Kiyo had sent out S.O.S. messages from inside of Faudo's body. He called upon the light of friendship!"</t>
  </si>
  <si>
    <t>M-454</t>
  </si>
  <si>
    <t>Broad Back</t>
  </si>
  <si>
    <t>[HIDE MAMODO] This MAMODO card is put in play away from your MAMODO card area, face-down. With 1 Action, this MAMODO card can be flipped up and put in play. [IN PLAY] Negate 1 [Stay] effect immediately when this MAMODO card is flipped face-up. In addition, this MAMODO card can Attack, Defend, and apply this effect regardless of your opponent's card effects.</t>
  </si>
  <si>
    <t>"Fighting you is not my priority right now. We have to stop Faudo."</t>
  </si>
  <si>
    <t>M-455</t>
  </si>
  <si>
    <t>Keith (Faudo Form)</t>
  </si>
  <si>
    <t>Star Units</t>
  </si>
  <si>
    <t>This card is placed on a regular Keith MAMODO card when the [Stay] effect of an "Internal Faudo Event" EVENT card is active. The effects of the Keith MAMODO card underneath this card can still be applied. [GODUFA] [DECLARE TO USE] Turn 1 or 2 pages of your Spell Book during your opponent's BATTLE PHASE. Then, get MP equal to the number of pages turned by this effect times 2.</t>
  </si>
  <si>
    <t>"Thank you Faudo! You are my father!"</t>
  </si>
  <si>
    <t>M-456</t>
  </si>
  <si>
    <t>Gyaron</t>
  </si>
  <si>
    <t>Melee</t>
  </si>
  <si>
    <t>[GODUFA] (Attack) (Defend) [1 MP] This card may Attack without using a SPELL (Total Power=7000, Damage=1) OR, Defend without using a SPELL (Total Power=7000). When this card's Power is increased by effects, the Total Power of this effect is considered to be 9000).</t>
  </si>
  <si>
    <t>"You get to torture enemies who have no means of fighting back. Isn't that fun?"</t>
  </si>
  <si>
    <t>M-457</t>
  </si>
  <si>
    <t>Elzador</t>
  </si>
  <si>
    <t>Eyes of Nobility</t>
  </si>
  <si>
    <t>[IN PLAY] Your opponent cannot apply the effect of their MAMODO cards that have less than half the Power of this MAMODO card.</t>
  </si>
  <si>
    <t>"What the... I see absolute power in his eyes, but... I also see a noble fighter! The light of ambition!"</t>
  </si>
  <si>
    <t>M-458</t>
  </si>
  <si>
    <t>Jedun &amp; Escarlo Rune</t>
  </si>
  <si>
    <t>Jedun</t>
  </si>
  <si>
    <t>In a Capsule</t>
  </si>
  <si>
    <t>No PARTNER cards can be attached to this MAMODO card. This MAMODO card is considered to always have a PARTNER card attached. [GODUFA] [IN PLAY] Apply both of the following effects: ● Reduce the Damage of your opponent's Attack by 1. ● The pages of your Spell Book cannot be turned by effects (except Damage).</t>
  </si>
  <si>
    <t>"YANKO, YANKO, YANKO!"</t>
  </si>
  <si>
    <t>M-459</t>
  </si>
  <si>
    <t>Flames of Envy</t>
  </si>
  <si>
    <t>[1 MP] Look at your opponent's Spell Book during your BATTLE PHASE. Select 1 "Superior" Class SPELL card from any of the pages (except the last page) and send it to the Discard Pile. You may reduce your MP by 3; if you do, you may also send the card from the last page of your opponent's Spell Book to the Discard Pile.</t>
  </si>
  <si>
    <t>"I could never allow myself to lose to Zatch... who stole away the Bao that is rightfully mine."</t>
  </si>
  <si>
    <t>M-460</t>
  </si>
  <si>
    <t>Hogan</t>
  </si>
  <si>
    <t>Burning Axe</t>
  </si>
  <si>
    <t>(Attack) [1 MP] Emuraksu: This card may Attack without using a SPELL (Total Power=6000, Attribute="Fire", Damage=1). (Attack) [3 MP] Gigano Emuraksu: This card may Attack without using a SPELL (Total Power=8000, Attribute="Fire", Damage=3).</t>
  </si>
  <si>
    <t>"You punk! There's nobody alive who can survive my burning axe attack!"</t>
  </si>
  <si>
    <t>M-461</t>
  </si>
  <si>
    <t>Degosumia</t>
  </si>
  <si>
    <t>Brainless Brawn</t>
  </si>
  <si>
    <t>This MAMODO card can be put in play only when when the [Stay] effect of an "Internal Faudo Event" EVENT card is active. (Attack) [1 MP] This card may Attack without using a SPELL card (Total Power=8000, Damage=3). [IN PLAY] This card does not receive Damage or Injury. If this card receives a collective infliction of 3 Damage or more, it is sent to the Discard Pile.</t>
  </si>
  <si>
    <t>"Degosu is amazing! How unbelievably tough he is!"</t>
  </si>
  <si>
    <t>M-462</t>
  </si>
  <si>
    <t>Whips of Flame</t>
  </si>
  <si>
    <t>This MAMODO card can be put in play only when the [Stay] effect of an "Internal Faudo Event" EVENT card is active. (Attack) [4 MP] This card may Attack without using a SPELL card (Total Power=10000, Attribute="Fire", Damage=3). Negate 1 [Stay] effect when you win the Battle as an Attacker.</t>
  </si>
  <si>
    <t>"These flaming whips produced by my body's metamorphosis... will reduce all of you to ashes!"</t>
  </si>
  <si>
    <t>M-463</t>
  </si>
  <si>
    <t>Kanchomé &amp; Tia &amp; Ponygon</t>
  </si>
  <si>
    <t>Kanchomé | Tia | Ponygon</t>
  </si>
  <si>
    <t>Playtime Fever</t>
  </si>
  <si>
    <t>[TRIPLE MAMODO] Send 2 of any combination of your in-play Kanchomé, Tia, and Ponygon Dual MAMODO cards to the Discard Pile to put this card in play. Up to 3 PARTNER cards can be attached to this MAMODO card. [DECLARE TO USE] Select 1 effect of a Kanchomé, Tia, or Ponygon MAMODO card in your Discard Pile. [STAY] This MAMODO card is considered to have the selected effect of the selected card during this turn.</t>
  </si>
  <si>
    <t>"Jump, Dance, Laugh, Play, and fight a little ev~er~y day~~"</t>
  </si>
  <si>
    <t>M-464ab</t>
  </si>
  <si>
    <t>Zatch Bell VS Faudo</t>
  </si>
  <si>
    <t>Zatch Bell | Faudo</t>
  </si>
  <si>
    <t>The Last Hope</t>
  </si>
  <si>
    <t>Send either player's in-play Faudo MAMODO card to the Discard Pile, OR if either player has successfully played 3 or more [Seal Breaker] SPELL cards during this game, send either player's in-play Zatch Bell MAMODO card to the Discard Pile, to put both M-464a and M-464b in play (both M-464a and M-464b are considered to be 1 card while in play). [DECLARE TO USE] [STANDBY] Turn 3 pages of your opponent's Spell Book during the END PHASE of the next turn.</t>
  </si>
  <si>
    <t>"Zatch and I will put a stop to Faudo's rampage!"</t>
  </si>
  <si>
    <t>M-465</t>
  </si>
  <si>
    <t>Resolved Heart</t>
  </si>
  <si>
    <t>This card is placed on a regular Zatch Bell MAMODO card. [3 MP] Select the effect of 1 MAMODO card in your Discard Pile that is not a DUAL MAMODO, TRIPLE MAMODO, VS MAMODO, S-MAMODO, or a MAMODO that is comprised of 2 cards: [STAY] This MAMODO card is considered to have the selected effect of the selected card during this turn.</t>
  </si>
  <si>
    <t>"The hearts of so many people live on inside of me!"</t>
  </si>
  <si>
    <t>M-466</t>
  </si>
  <si>
    <t>This MAMODO card is placed on a regular Ted MAMODO card. Only 1 SPELL card can be played for this MAMODO card per turn (per player). Send this card to the Discard Pile at the END PHASE of the turn it is put in play, even when prohibited to do so. [DECLARE TO USE] Place 2 MP counters on this MAMODO card.</t>
  </si>
  <si>
    <t>"Yeah... All right... I get it, kid..."</t>
  </si>
  <si>
    <t>M-467</t>
  </si>
  <si>
    <t>A Jewel in the Dump</t>
  </si>
  <si>
    <t>This MAMODO card is placed on a regular Cherish MAMODO card. [IN PLAY] Get 1 MP each time you negate a [Stay] or [Standby] effect.</t>
  </si>
  <si>
    <t>"You have no right to call me by my name as if you're my friend!"</t>
  </si>
  <si>
    <t>M-468</t>
  </si>
  <si>
    <t>Karudio (Diogikor Gidoruk Form) &amp; Arth</t>
  </si>
  <si>
    <t>Faster!</t>
  </si>
  <si>
    <t>This card is considered to be both a DUAL MAMODO and S MAMODO card. Send your in-play Karudio or Arth MAMODO card to the Discard Pile to put this MAMODO card in play. [IN PLAY] You can play 1 SPELL card with Karudio as its MAMODO name, and/or 1 SPELL card with Arth as its MAMODO name, from the previous page of your Spell Book once per turn (per player).</t>
  </si>
  <si>
    <t>"Faster! Faster!! FASTER!!!"</t>
  </si>
  <si>
    <t>M-469</t>
  </si>
  <si>
    <t>VS Mamodo S Mamodo</t>
  </si>
  <si>
    <t>A New Level of Strength</t>
  </si>
  <si>
    <t>This card is considered to be both a VS MAMODO and S MAMODO card. This MAMODO card is placed on a regular Bari or Keith MAMODO card. You may immediately send your opponent's in-play Bari or Keith MAMODO card to the Discard Pile when this card is put in play. [IN PLAY] If your Total Power is higher than your opponent's Total Power by 5000 or more during the Battle when this card Attacks, your opponent cannot SACRIFICE or PROTECT their Spell Book from the Damage.</t>
  </si>
  <si>
    <t>"I'm gonna keep rising higher and higher."</t>
  </si>
  <si>
    <t>M-470</t>
  </si>
  <si>
    <t>Zeno | Zatch Bell</t>
  </si>
  <si>
    <t>This card is considered to be both a VS MAMODO and S MAMODO card. This MAMODO card is placed on a regular Zeno or Zatch Bell MAMODO card. You may immediately send your opponent's in-play Zeno or Zatch Bell MAMODO card to the Discard Pile when this card is put in play. [DECLARE TO USE] [STAY] Both players can play the SPELL card on the last page of their Spell Book during this turn with its MP cost considered to be 0. This effect can be applied only once per game (per player).</t>
  </si>
  <si>
    <t>"This last attack..."</t>
  </si>
  <si>
    <t>MJ-001</t>
  </si>
  <si>
    <t>Majestic 12</t>
  </si>
  <si>
    <t>Lightning Eye</t>
  </si>
  <si>
    <t>[SEND THIS CARD TO THE DISCARD PILE] Inflict 1 Damage on your opponent. This effect can be applied only once per turn (per player).</t>
  </si>
  <si>
    <t>The Gathering Storm, Series 3, Level 4, The Best Booster 2, Revised Edition</t>
  </si>
  <si>
    <t>Member of the Majestic 12. He can emit a ray from his eyes. His laser can cut through concrete.</t>
  </si>
  <si>
    <t>MJ-002</t>
  </si>
  <si>
    <t>Rocket Foot</t>
  </si>
  <si>
    <t>[SEND THIS CARD TO THE DISCARD PILE] [STAY] Each time you Defend during this turn, add 4000 Power to the Total Power of your Defense.</t>
  </si>
  <si>
    <t>Member of the Majestic 12. He can run at 300km/hour.</t>
  </si>
  <si>
    <t>MJ-003</t>
  </si>
  <si>
    <t>Flying Beat</t>
  </si>
  <si>
    <t>[SEND THIS CARD TO THE DISCARD PILE] Select 1 MAMODO or PARTNER card from any page of your Spell Book and put it in play.</t>
  </si>
  <si>
    <t>Member of the Majestic 12. He has the ability to fly.</t>
  </si>
  <si>
    <t>MJ-004</t>
  </si>
  <si>
    <t>Second Sight</t>
  </si>
  <si>
    <t>[1 MP] Look at the currently open pages of your opponent's Spell Book.</t>
  </si>
  <si>
    <t>Member of the Majestic 12. He has the ability to see through everything.</t>
  </si>
  <si>
    <t>MJ-005</t>
  </si>
  <si>
    <t>Dinosaur Arm</t>
  </si>
  <si>
    <t>[SEND THIS CARD TO THE DISCARD PILE] [STAY] Add 4000 Power to the Total Power of each of your Attacks during this turn. Member of the Majestic 12.</t>
  </si>
  <si>
    <t>The Gathering Storm</t>
  </si>
  <si>
    <t>He has the strength of a dinosaur.</t>
  </si>
  <si>
    <t>MJ-006</t>
  </si>
  <si>
    <t>Future Wonder</t>
  </si>
  <si>
    <t>[IN PLAY] Reduce your opponent's MP by an equal amount when your MP is reduced by your opponent's card effects. ※ If your opponent also has Future Wonder in play, this effect is applied once for each player.</t>
  </si>
  <si>
    <t>The Gathering Storm, Series 3, Level 4, The Best Booster 2</t>
  </si>
  <si>
    <t>Member of the Majestic 12. He can foretell the future.</t>
  </si>
  <si>
    <t>MJ-007</t>
  </si>
  <si>
    <t>Psychic Jungle</t>
  </si>
  <si>
    <t>[1 MP] Flip a coin; if it's heads, this card may Attack without using a SPELL card (Total Power=6000, Damage=1).</t>
  </si>
  <si>
    <t>The Gathering Storm, Series 3, Level 5, The Best Booster 2</t>
  </si>
  <si>
    <t>Member of the Majestic 12. He is a wild man who has psychic powers.</t>
  </si>
  <si>
    <t>MJ-008e</t>
  </si>
  <si>
    <t>Fire Elbow</t>
  </si>
  <si>
    <t>[IN PLAY] Add 2000 Power to all of your "Fire" Attribute SPELL cards (this effect cannot be duplicated).</t>
  </si>
  <si>
    <t>The Gathering Storm, Series 3, Level 5</t>
  </si>
  <si>
    <t>Member of the Majestic 12. He manipulates fire with his will.</t>
  </si>
  <si>
    <t>MJ-008j</t>
  </si>
  <si>
    <t>[IN PLAY] Add 2000 Power to all of your "Fire" Attribute SPELL cards.</t>
  </si>
  <si>
    <t>MJ-009</t>
  </si>
  <si>
    <t>Lady Susan</t>
  </si>
  <si>
    <t>[SEND THIS CARD TO THE DISCARD PILE] Both players send all of their in-play MJ12 cards to the Discard Pile.</t>
  </si>
  <si>
    <t>Member of the Majestic 12. She smells good.</t>
  </si>
  <si>
    <t>MJ-010e</t>
  </si>
  <si>
    <t>Blizzard Thing</t>
  </si>
  <si>
    <t>[IN PLAY] Add 2000 Power to all of your "Ice" Attribute SPELL cards (this effect cannot be duplicated).</t>
  </si>
  <si>
    <t>Member of the Majestic 12. He is a young man with the ability to freeze things.</t>
  </si>
  <si>
    <t>MJ-010j</t>
  </si>
  <si>
    <t>[IN PLAY] Add 2000 Power to all of your "Ice" Attribute SPELL cards.</t>
  </si>
  <si>
    <t>MJ-011e</t>
  </si>
  <si>
    <t>Tremor Mole</t>
  </si>
  <si>
    <t>[IN PLAY] Add 2000 Power to all of your "Ground" Attribute SPELL cards (this effect cannot be duplicated).</t>
  </si>
  <si>
    <t>Member of the Majestic 12. He can move quickly underground.</t>
  </si>
  <si>
    <t>MJ-011j</t>
  </si>
  <si>
    <t>[IN PLAY] Add 2000 Power to all of your "Ground" Attribute SPELL cards.</t>
  </si>
  <si>
    <t>MJ-012</t>
  </si>
  <si>
    <t>Telepathy Radar</t>
  </si>
  <si>
    <t>[SEND THIS CARD TO THE DISCARD PILE] Select 1 MJ12 card from any page of your Spell Book and put it in play.</t>
  </si>
  <si>
    <t>The Gathering Storm, Series 3, Level 5, The Best Booster 2, Revised Edition</t>
  </si>
  <si>
    <t>Member of the Majestic 12. He commands and unites all the members.</t>
  </si>
  <si>
    <t>MJ-013</t>
  </si>
  <si>
    <t>[IN PLAY] Your opponent cannot apply the effects of MJ12 cards other than Lady Susan MJ12 cards. Member of the Majestic 12. "Hey, big boy, won't you look at me?</t>
  </si>
  <si>
    <t>It's okay, you can look for free."</t>
  </si>
  <si>
    <t>P-001</t>
  </si>
  <si>
    <t>[SEND THIS CARD TO THE DISCARD PILE] [STANDBY] The SPELL card your Zatch Bell MAMODO card Attacks with in the next Battle this turn cannot be Defended.</t>
  </si>
  <si>
    <t>He is a genius, but bored with life...that is until he encounters Zatch.</t>
  </si>
  <si>
    <t>P-002</t>
  </si>
  <si>
    <t>Hosokawa</t>
  </si>
  <si>
    <t>[SEND THIS CARD TO THE DISCARD PILE] Reduce your opponent's MP by 3 to get MP equal to the number they reduced their MP by from this effect.</t>
  </si>
  <si>
    <t>He finds Reycom and used him as a means to get revenge.</t>
  </si>
  <si>
    <t>P-003e</t>
  </si>
  <si>
    <t>[SEND THIS CARD TO THE DISCARD PILE] [STAY] Increase the Damage inflicted by your Brago MAMODO card's Attack during this Battle by 2.</t>
  </si>
  <si>
    <t>Sherry warns Kiyo to drop out of the battle of 100 mamodo.</t>
  </si>
  <si>
    <t>P-003j</t>
  </si>
  <si>
    <t>[SEND THIS CARD TO THE DISCARD PILE] [STAY] Increase the Damage inflicted by your Brago MAMODO card's Attack during this Battle by 2 (this effect cannot be duplicated).</t>
  </si>
  <si>
    <t>P-004e</t>
  </si>
  <si>
    <t>Renji</t>
  </si>
  <si>
    <t>[SEND THIS CARD TO THE DISCARD PILE] [STAY] The Damage inflicted by your Gofure MAMODO card during this Battle is doubled.</t>
  </si>
  <si>
    <t>I wanna enjoy this a little longer...</t>
  </si>
  <si>
    <t>P-004j</t>
  </si>
  <si>
    <t>[SEND THIS CARD TO THE DISCARD PILE] [STAY] The Damage inflicted by your Gofure MAMODO card during this Battle is doubled (this effect cannot be duplicated).</t>
  </si>
  <si>
    <t>P-005</t>
  </si>
  <si>
    <t>Haru</t>
  </si>
  <si>
    <t>[SEND THIS CARD TO THE DISCARD PILE] [STAY] The MP cost of all of your SPELL cards with Sugino as their MAMODO name is considered to be 0 during this turn.</t>
  </si>
  <si>
    <t>A cold-hearted human that attacks a botanical garden to practice his mamodo spells.</t>
  </si>
  <si>
    <t>P-006e</t>
  </si>
  <si>
    <t>Lori</t>
  </si>
  <si>
    <t>[SEND THIS CARD TO THE DISCARD PILE] Send your in-play Kolulu (Transformed) MAMODO card to the Discard Pile (the regular Kolulu MAMODO card remains in play).</t>
  </si>
  <si>
    <t>Series 1, Level 1, Revised Edition</t>
  </si>
  <si>
    <t>Lori decides to become Kolulu's older sister and take care of her.</t>
  </si>
  <si>
    <t>P-006j</t>
  </si>
  <si>
    <t>[SEND THIS CARD TO THE DISCARD PILE] [STANDBY] Negate an infliction of Damage or Injury done to your Kolulu (Transformed) MAMODO card during the Battle. Then, send your Kolulu (Transformed) MAMODO card to the Discard Pile (the regular Kolulu MAMODO card remains in play).</t>
  </si>
  <si>
    <t>P-007</t>
  </si>
  <si>
    <t>[SEND THIS CARD TO THE DISCARD PILE] [STANDBY] Add 4000 Power to a SPELL card you play in the next Battle with Fein as its MAMODO name during this turn.</t>
  </si>
  <si>
    <t>"This power feels so great!"</t>
  </si>
  <si>
    <t>P-008</t>
  </si>
  <si>
    <t>[SEND THIS CARD TO THE DISCARD PILE] Send 1 of your opponent's in-play PARTNER cards to the Discard Pile.</t>
  </si>
  <si>
    <t>He is a world-famous superstar.</t>
  </si>
  <si>
    <t>P-009</t>
  </si>
  <si>
    <t>[SEND THIS CARD TO THE DISCARD PILE] Negate the SPELL card your opponent just played.</t>
  </si>
  <si>
    <t>She is a popular pop idol.</t>
  </si>
  <si>
    <t>P-010</t>
  </si>
  <si>
    <t>[SEND THIS CARD TO THE DISCARD PILE] Turn 1 page of your Spell Book. Effects that turn pages of your Spell Book can be applied only once per turn (per player).</t>
  </si>
  <si>
    <t>Series 1, Level 2, The Best Booster 2, Revised Edition</t>
  </si>
  <si>
    <t>"Become strong, Zatch – I will stand by you."</t>
  </si>
  <si>
    <t>P-011</t>
  </si>
  <si>
    <t>[SEND THIS CARD TO THE DISCARD PILE] [STAY] The Power of 1 of your opponent's in-play MAMODO cards is considered to be 0 during this turn.</t>
  </si>
  <si>
    <t>"You can be my girlfriend!"</t>
  </si>
  <si>
    <t>P-012e</t>
  </si>
  <si>
    <t>[SEND THIS CARD TO THE DISCARD PILE] [STAY] When a MAMODO cards SACRIFICES or PROTECTS against Damage inflicted by your Brago MAMODO card's Attack during this turn, it is sent to the Discard Pile.</t>
  </si>
  <si>
    <t>"My goal is to end this battle as soon as possible."</t>
  </si>
  <si>
    <t>P-012j</t>
  </si>
  <si>
    <t>[SEND THIS CARD TO THE DISCARD PILE] [STAY] Any MAMODO cards that SACRIFICE or PROTECT against Damage inflicted by your Brago MAMODO card's Attacks during this turn are sent to the Discard Pile.</t>
  </si>
  <si>
    <t>P-013</t>
  </si>
  <si>
    <t>[IN PLAY] Each time an opponent's MAMODO card is sent to the Discard Pile, turn 1 page of your opponent's Spell Book.</t>
  </si>
  <si>
    <t>She is Sherry's best friend before Zofis turns her into a cold-hearted puppet.</t>
  </si>
  <si>
    <t>P-014</t>
  </si>
  <si>
    <t>Periko</t>
  </si>
  <si>
    <t>[SEND THIS CARD TO THE DISCARD PILE] [STAY] Your opponent cannot play SPELL cards to Attack during this turn.</t>
  </si>
  <si>
    <t>He wants to use Pokkerio's powers to become a millionaire.</t>
  </si>
  <si>
    <t>P-015</t>
  </si>
  <si>
    <t>Ruku</t>
  </si>
  <si>
    <t>[SEND THIS CARD TO THE DISCARD PILE] [STANDBY] After applying this effect, only once during this turn (per player), you can play 1 Biraitsu SPELL card from any page of your Spell Book.</t>
  </si>
  <si>
    <t>He acts like a bully, but he's actually a wimp.</t>
  </si>
  <si>
    <t>P-016</t>
  </si>
  <si>
    <t>Rembrant</t>
  </si>
  <si>
    <t>[SEND THIS CARD TO THE DISCARD PILE] Negate the SPELL card your opponent Attacked with in the Battle.</t>
  </si>
  <si>
    <t>He enjoys the cruelty of battle just as much as Maruss.</t>
  </si>
  <si>
    <t>P-017</t>
  </si>
  <si>
    <t>Steng</t>
  </si>
  <si>
    <t>[SEND THIS CARD TO THE DISCARD PILE] Negate the SPELL card your opponent Defended with in the Battle.</t>
  </si>
  <si>
    <t>"Hahaha...this is a great snack to go with my drink."</t>
  </si>
  <si>
    <t>P-018</t>
  </si>
  <si>
    <t>Djem</t>
  </si>
  <si>
    <t>[SEND THIS CARD TO THE DISCARD PILE] Turn back 1 page of your Spell Book. Effects that turn back pages of your Spell Book can be applied only once per turn (per player).</t>
  </si>
  <si>
    <t>She is a tomboy that lives in a small village in England.</t>
  </si>
  <si>
    <t>P-019</t>
  </si>
  <si>
    <t>British Gentleman</t>
  </si>
  <si>
    <t>[IN PLAY] Each time your opponent turns back any pages of their Spell Book, reduce your opponent's MP by 2.</t>
  </si>
  <si>
    <t>"As a British gentleman, I will teach you some manners."</t>
  </si>
  <si>
    <t>P-020</t>
  </si>
  <si>
    <t>[IN PLAY] Apply both of the following effects: ● Your opponent cannot reduce your MP with their card effects during the BATTLE PHASE. ● You cannot get MP with your card effects during the BATTLE PHASE. ※ With 1 Action, you can send this card to the Discard Pile at any time.</t>
  </si>
  <si>
    <t>Supreme Power of the Golden Spell, Series 2, Level 3, The Best Booster 2, File 1: Zatch Bell &amp; Ponygon</t>
  </si>
  <si>
    <t>"My desire to make Zatch a King is unrivaled."</t>
  </si>
  <si>
    <t>P-021</t>
  </si>
  <si>
    <t>[SEND THIS CARD TO THE DISCARD PILE] [STAY] Your MP cannot be reduced by your opponent's card effects during this turn.</t>
  </si>
  <si>
    <t>"I can't be happy without you."</t>
  </si>
  <si>
    <t>P-022</t>
  </si>
  <si>
    <t>Gerhart</t>
  </si>
  <si>
    <t>[SEND THIS CARD TO THE DISCARD PILE] [STANDBY] Select 1 of your opponent’s MAMODO cards. During the next Battle this turn when your Furigaro MAMODO card Attacks with a SPELL card, Injure the selected MAMODO card when you win the Battle as an Attacker with that SPELL card.</t>
  </si>
  <si>
    <t>Furigaro's human partner from Germany, his spell is strong enough to injure Brago.</t>
  </si>
  <si>
    <t>P-023</t>
  </si>
  <si>
    <t>Shin</t>
  </si>
  <si>
    <t>[SEND THIS CARD TO THE DISCARD PILE] Apply both of the following effects in order: ● Get 2 MP. ● [STANDBY] In the next Battle this turn, add 2000 Power to 1 SPELL card played for your Eshros MAMODO card.</t>
  </si>
  <si>
    <t>"I want to be a strong man!"</t>
  </si>
  <si>
    <t>P-024</t>
  </si>
  <si>
    <t>[IN PLAY] Your opponent shows you the currently open pages of their Spell Book.</t>
  </si>
  <si>
    <t>"Rops, let's become king."</t>
  </si>
  <si>
    <t>P-025e</t>
  </si>
  <si>
    <t>[SEND THIS CARD TO THE DISCARD PILE] [STANDBY] 1 Jioruk SPELL card can be played from any page of your Spell Book during this turn.</t>
  </si>
  <si>
    <t>"Stupid, Danny Boy!"</t>
  </si>
  <si>
    <t>P-025j</t>
  </si>
  <si>
    <t>P-026</t>
  </si>
  <si>
    <t>Lupa</t>
  </si>
  <si>
    <t>[SEND THIS CARD TO THE DISCARD PILE] [STAY] Select 1 of your opponent's in-play MAMODO cards. During this turn, your opponent can neither SACRIFICE nor PROTECT their Spell Book from Damage with any other MAMODO cards they have in play except the selected MAMODO card.</t>
  </si>
  <si>
    <t>"Hirururururu............"</t>
  </si>
  <si>
    <t>P-027</t>
  </si>
  <si>
    <t>Hige</t>
  </si>
  <si>
    <t>[SEND THIS CARD TO THE DISCARD PILE] [STANDBY] Select 1 of your opponent's in-play MAMODO cards (except a Zoboron MAMODO card). When your Spell Book is about to receive Damage during the Battle, you can use the selected MAMODO card to SACRIFICE or PROTECT your Spell Book from Damage as it were your own.</t>
  </si>
  <si>
    <t>"Finally, we've achieved the best combination!"</t>
  </si>
  <si>
    <t>P-028</t>
  </si>
  <si>
    <t>[SEND THIS CARD TO THE DISCARD PILE] [STANDBY] Once during the Battle when your Wonrei MAMODO card would receive Damage or Injury, your Wonrei MAMODO card does not receive Damage or Injury.</t>
  </si>
  <si>
    <t>"I love Wonrei!"</t>
  </si>
  <si>
    <t>P-029</t>
  </si>
  <si>
    <t>Galliont</t>
  </si>
  <si>
    <t>[SEND THIS CARD TO THE DISCARD PILE] [STAY] Any SPELL cards with a "Wind" Attribute can be played for your Zabas MAMODO card during this turn.</t>
  </si>
  <si>
    <t>"Welcome to heaven."</t>
  </si>
  <si>
    <t>P-030</t>
  </si>
  <si>
    <t>Fredo</t>
  </si>
  <si>
    <t>[IN PLAY] Get 2 MP each time your opponent plays an EVENT card.</t>
  </si>
  <si>
    <t>"Ha? Are you going to turn on us?"</t>
  </si>
  <si>
    <t>P-031</t>
  </si>
  <si>
    <t>[IN PLAY] Apply both of the following effects: ● Your opponent cannot apply the effects of their in-play Ponygon MAMODO cards. ● Your opponent cannot play Ponygon EVENT cards.</t>
  </si>
  <si>
    <t>Dawn of the Ancients, Series 4, Level 3, The Best Booster 1, File 1: Zatch Bell &amp; Ponygon, Revised Edition</t>
  </si>
  <si>
    <t>"Groovy!"</t>
  </si>
  <si>
    <t>P-032</t>
  </si>
  <si>
    <t>[SEND THIS CARD TO THE DISCARD PILE] Your opponent cannot apply the effects of their in-play PARTNER cards during the next turn. This effect is [STANDBY] during this turn, and [STAY] during the next turn.</t>
  </si>
  <si>
    <t>"I'm the handsome Italian hero, Parco Folgore!"</t>
  </si>
  <si>
    <t>P-033</t>
  </si>
  <si>
    <t>[SEND THIS CARD TO THE DISCARD PILE] [STAY] Select 1 of your opponent's in-play MAMODO cards. Your opponent cannot play SPELL cards to Attack with the selected MAMODO card during this turn.</t>
  </si>
  <si>
    <t>"We are not fighting alone. We've got friendship on our side!"</t>
  </si>
  <si>
    <t>P-034</t>
  </si>
  <si>
    <t>Dufort</t>
  </si>
  <si>
    <t>[SEND THIS CARD TO THE DISCARD PILE] [STAY] Negate all [Stay] and [Standby] effects that prohibit you from playing SPELL cards.</t>
  </si>
  <si>
    <t>He conceals great hatred behind his cool exterior.</t>
  </si>
  <si>
    <t>P-035</t>
  </si>
  <si>
    <t>Gustav</t>
  </si>
  <si>
    <t>[SEND THIS CARD TO THE DISCARD PILE] Reduce your opponent's MP by the same number of MP they got in their START PHASE this turn times 2.</t>
  </si>
  <si>
    <t>"Smash them with your power!"</t>
  </si>
  <si>
    <t>P-036</t>
  </si>
  <si>
    <t>[SEND THIS CARD TO THE DISCARD PILE] Select 1 PARTNER card from any page of your Spell Book and put it in play.</t>
  </si>
  <si>
    <t>“Why don’t you believe in that possibility?”</t>
  </si>
  <si>
    <t>P-037e</t>
  </si>
  <si>
    <t>[SEND THIS CARD TO THE DISCARD PILE] This effect can be applied only when you are on the last page of your Spell Book. [STANDBY] Once during this turn, you can play either 1 SPELL card (except from the last page) OR 1 EVENT card from any page of your Spell Book.</t>
  </si>
  <si>
    <t>Sherry never gives up on her goal to save her best friend Koko.</t>
  </si>
  <si>
    <t>P-037j</t>
  </si>
  <si>
    <t>[SEND THIS CARD TO THE DISCARD PILE] This effect can be applied only when you are on the last page of your Spell Book. [STANDBY] Once during this turn, you can play either 1 SPELL card with Brago as its MAMODO name (except from the last page), OR 1 EVENT card from any page of your Spell Book.</t>
  </si>
  <si>
    <t>P-038</t>
  </si>
  <si>
    <t>[IN PLAY] Your opponent cannot play EVENT cards during your BATTLE PHASE. ※ With 1 Action, you can send this card to the Discard Pile at any time.</t>
  </si>
  <si>
    <t>A nice girl who cares about Kolulu like a sister.</t>
  </si>
  <si>
    <t>P-039</t>
  </si>
  <si>
    <t>[SEND THIS CARD TO THE DISCARD PILE} A coin you just flipped is considered to be "heads".</t>
  </si>
  <si>
    <t>"Yes, that's me. Iron Man Folgore!"</t>
  </si>
  <si>
    <t>P-040</t>
  </si>
  <si>
    <t>(Battle) [SEND THIS CARD TO THE DISCARD PILE] Negate the SPELL card your opponent just played.</t>
  </si>
  <si>
    <t>The Gathering Storm, Series 3, Special Box, Revised Edition</t>
  </si>
  <si>
    <t>"Come on, let's fight together."</t>
  </si>
  <si>
    <t>P-041</t>
  </si>
  <si>
    <t>[IN PLAY] Apply 1 of the following effects immediately after your opponent turns back pages of their Spell Book with their card effects: ● Inflict 1 Damage on your opponent. ● Injure 1 of your opponent's MAMODO cards. ※ With 1 Action, you can send this card to the Discard Pile at any time.</t>
  </si>
  <si>
    <t>The Gathering Storm, Series 3, Dawn of the Ancients, Series 4, Special Box, The Best Booster 2</t>
  </si>
  <si>
    <t>"It's not dumb at all. It's groovy."</t>
  </si>
  <si>
    <t>P-042</t>
  </si>
  <si>
    <t>[SEND THIS CARD TO THE DISCARD PILE] [STANDBY] Your opponent cannot apply the effects of their PARTNER and EVENT cards during the Battle when your Danny MAMODO card Attacks during this turn.</t>
  </si>
  <si>
    <t>"Good job, my son!"</t>
  </si>
  <si>
    <t>P-043</t>
  </si>
  <si>
    <t>[DECLARE TO USE] Select 1 of your opponent's MAMODO cards. During the next Battle this turn when your Wonrei MAMODO card attacks, apply 1 of the following effects: ● Your opponent cannot play "Defend" SPELL cards for that MAMODO. ● Your opponent can neither SACRIFICE nor PROTECT their Spell Book from Damage with the selected MAMODO.</t>
  </si>
  <si>
    <t>The Gathering Storm, Series 3, Special Box, The Best Booster 2, Revised Edition</t>
  </si>
  <si>
    <t>"Wonrei is precious to me."</t>
  </si>
  <si>
    <t>P-044</t>
  </si>
  <si>
    <t>Garza</t>
  </si>
  <si>
    <t>[SEND THIS CARD TO THE DISCARD PILE] Your opponent cannot get any MP during the next turn. This effect is [STANDBY] during this turn, and [STAY] during the next turn.</t>
  </si>
  <si>
    <t>"Weaken your prey and strike!"</t>
  </si>
  <si>
    <t>P-045</t>
  </si>
  <si>
    <t>Goman</t>
  </si>
  <si>
    <t>[SEND THIS CARD TO THE DISCARD PILE] The outcome of 1 coin you just flipped for 1 SPELL card played for your Donpoccho MAMODO card is considered to be "heads".</t>
  </si>
  <si>
    <t>"Wait... wait. Help me."</t>
  </si>
  <si>
    <t>P-046</t>
  </si>
  <si>
    <t>"My name is Dr. Riddles, the one who knows all!"</t>
  </si>
  <si>
    <t>P-047</t>
  </si>
  <si>
    <t>Uri</t>
  </si>
  <si>
    <t>[SEND THIS CARD TO THE DISCARD PILE] Send 1 of either player's in-play cards with [In Play] (except MAMODO cards) to the Discard Pile.</t>
  </si>
  <si>
    <t>"Good grief!"</t>
  </si>
  <si>
    <t>P-048</t>
  </si>
  <si>
    <t>[IN PLAY] Your opponent cannot send their in-play MAMODO cards to the Discard Pile (except from Damage or Injury).</t>
  </si>
  <si>
    <t>"As expected Zofis, you are the best."</t>
  </si>
  <si>
    <t>P-049</t>
  </si>
  <si>
    <t>[IN PLAY] Your opponent cannot turn back pages of their Spell Book during the BATTLE PHASE. ※ With 1 Action, you can send this card to the Discard Pile at any time.</t>
  </si>
  <si>
    <t>A transfer student to Kiyo's class. What's her story?</t>
  </si>
  <si>
    <t>P-050</t>
  </si>
  <si>
    <t>Supreme Power of the Golden Spell, Series 2, Level 4, the Best Booster 2</t>
  </si>
  <si>
    <t>On Grisor's order, he plots to steal Zatch's magic mirror.</t>
  </si>
  <si>
    <t>P-051</t>
  </si>
  <si>
    <t>[SEND THIS CARD TO THE DISCARD PILE] Reduce your opponent's MP by 4. This effect cannot be applied when you have already reduced your opponent's MP during this turn.</t>
  </si>
  <si>
    <t>"I stole money, jewelry, and everything!"</t>
  </si>
  <si>
    <t>P-052</t>
  </si>
  <si>
    <t>[IN PLAY] Reduce the MP cost of all "Wood" Attribute SPELL cards played for your Sugino MAMODO card by 1.</t>
  </si>
  <si>
    <t>"I still have enough power to use the spell...1, 2, 3, 4, 5. Yes, 5 times."</t>
  </si>
  <si>
    <t>P-053</t>
  </si>
  <si>
    <t>[IN PLAY] Your opponent cannot apply the effects of their in-play cards that inflict Damage (including effects that allow them to Attack without using a SPELL card).</t>
  </si>
  <si>
    <t>"Kolulu... It's me, Lori... don't you remember?"</t>
  </si>
  <si>
    <t>P-054</t>
  </si>
  <si>
    <t>[SEND THIS CARD TO THE DISCARD PILE] [STANDBY] When you have 12 MJ12 cards in play at the END PHASE of your opponent's next turn, turn 12 pages of your opponent's Spell Book.</t>
  </si>
  <si>
    <t>"From the USA, the mysterious Majestic 12!"</t>
  </si>
  <si>
    <t>P-055</t>
  </si>
  <si>
    <t>[SEND THIS CARD TO THE DISCARD PILE] [STAY] Your opponent cannot apply the effects of their MAMODO cards during this turn.</t>
  </si>
  <si>
    <t>"Do you envy my strength?"</t>
  </si>
  <si>
    <t>P-056</t>
  </si>
  <si>
    <t>[SEND THIS CARD TO THE DISCARD PILE] [STANDBY] Increase the MP cost of the next SPELL card your opponent plays during this turn by 3.</t>
  </si>
  <si>
    <t>"I will have my revenge on those fools at the institute!"</t>
  </si>
  <si>
    <t>P-057</t>
  </si>
  <si>
    <t>Bullying the Weak</t>
  </si>
  <si>
    <t>[IN PLAY] Your opponent cannot put MAMODO cards in play during the BATTLE PHASE unless they pay 1 MP for each MAMODO card.</t>
  </si>
  <si>
    <t>"The stronger I get, the better I feel."</t>
  </si>
  <si>
    <t>P-058</t>
  </si>
  <si>
    <t>Defense Spell Negation</t>
  </si>
  <si>
    <t>(Battle)[SEND THIS CARD TO THE DISCARD PILE] Negate the SPELL card your opponent Defended with in the Battle.</t>
  </si>
  <si>
    <t>Maruss' partner from Holland. He has a cruel and ruthless personality.</t>
  </si>
  <si>
    <t>P-059</t>
  </si>
  <si>
    <t>Paul Khan</t>
  </si>
  <si>
    <t>Manipulated Heart</t>
  </si>
  <si>
    <t>[SEND THIS CARD TO THE DISCARD PILE] If your opponent increased their MP with their card effects during this turn, inflict 3 Damage on your opponent.</t>
  </si>
  <si>
    <t>While his heart is being controlled, he is forced into battle without any memories.</t>
  </si>
  <si>
    <t>P-060</t>
  </si>
  <si>
    <t>Henryka Abott</t>
  </si>
  <si>
    <t>Sealed Heart</t>
  </si>
  <si>
    <t>[SEND THIS CARD TO THE DISCARD PILE] If your opponent turned back pages of their Spell Book with their card effects during this turn, inflict 3 Damage on your opponent.</t>
  </si>
  <si>
    <t>With his heart being manipulated, he participates in the mamodo battles against his will.</t>
  </si>
  <si>
    <t>P-061</t>
  </si>
  <si>
    <t>Francoise Cardan</t>
  </si>
  <si>
    <t>Lost Heart</t>
  </si>
  <si>
    <t>[SEND THIS CARD TO THE DISCARD PILE] If your opponent turned pages of your Spell Book with their card effects during this turn (except from Damage), inflict 3 Damage on your opponent.</t>
  </si>
  <si>
    <t>As his heart is being manipulated, he desperately protects the spell book with his life.</t>
  </si>
  <si>
    <t>P-062</t>
  </si>
  <si>
    <t>Mamiko Takahashi</t>
  </si>
  <si>
    <t>Esper Mamiko</t>
  </si>
  <si>
    <t>[IN PLAY] During the Battle when your Alm MAMODO card Attacks, your MP cannot be reduced by your opponent's card effects.</t>
  </si>
  <si>
    <t>As it turns out, she is actually a fan of Folgore.</t>
  </si>
  <si>
    <t>P-063</t>
  </si>
  <si>
    <t>John Owen</t>
  </si>
  <si>
    <t>Baseball Player</t>
  </si>
  <si>
    <t>[SEND THIS CARD TO THE DISCARD PILE] [STAY] Your opponent cannot apply the effects of their MAMODO cards (except Stone Tablet MAMODO cards) during this turn.</t>
  </si>
  <si>
    <t>A baseball player who wears the number 6 on his uniform.</t>
  </si>
  <si>
    <t>P-064</t>
  </si>
  <si>
    <t>Billy Ferris</t>
  </si>
  <si>
    <t>Controlled Heart</t>
  </si>
  <si>
    <t>(Battle)[SEND THIS CARD TO THE DISCARD PILE] Negate the Attack your opponent just declared with any of their MAMODO cards in the Battle (except Stone Tablet MAMODO cards).</t>
  </si>
  <si>
    <t>His heart was being manipulated... until he was saved by Folgore.</t>
  </si>
  <si>
    <t>P-065</t>
  </si>
  <si>
    <t>Obeying Victoream</t>
  </si>
  <si>
    <t>(Cut-In)[SEND THIS CARD TO THE DISCARD PILE] Negate the effect your opponent just applied that targeted your in-play Victoream MAMODO card.</t>
  </si>
  <si>
    <t>He followed Victoream's orders and tried his best to protect the spell book... but Victoream was deceived and kicked him away.</t>
  </si>
  <si>
    <t>P-066</t>
  </si>
  <si>
    <t>[SEND THIS CARD TO THE DISCARD PILE] [STANDBY] During the next Battle this turn when your Zatch Bell MAMODO card Attacks, your opponent can neither SACRIFICE nor PROTECT their Spell Book from Damage.</t>
  </si>
  <si>
    <t>Dawn of the Ancients, Series 4, Level 0, File 1: Zatch Bell &amp; Ponygon</t>
  </si>
  <si>
    <t>"I cannot let such a mamodo be a king!"</t>
  </si>
  <si>
    <t>P-067</t>
  </si>
  <si>
    <t>Desperate Folgore</t>
  </si>
  <si>
    <t>[SEND THIS CARD TO THE DISCARD PILE] [STAY] Select 1 of your opponent's in-play MAMODO cards. Your opponent can neither apply the effects of the selected MAMODO card, nor can they apply the effects of the attached PARTNER card, during this turn.</t>
  </si>
  <si>
    <t>"We're going to win this thing using only our own strength!"</t>
  </si>
  <si>
    <t>P-068</t>
  </si>
  <si>
    <t>[SEND THIS CARD TO THE DISCARD PILE] Apply 1 of the following effects: ● Reduce your opponent's MP by 2. ● Get 2 MP.</t>
  </si>
  <si>
    <t>"Taada!"</t>
  </si>
  <si>
    <t>P-069</t>
  </si>
  <si>
    <t>[SEND THIS CARD TO THE DISCARD PILE] (Battle) Negate 1 SPELL card your opponent played in the Battle. The SPELL card cannot be negated if it cannot be Defended.</t>
  </si>
  <si>
    <t>"Your opponent is here!"</t>
  </si>
  <si>
    <t>P-070</t>
  </si>
  <si>
    <t>[SEND THIS CARD TO THE DISCARD PILE] (Cut-In) Negate the EVENT card your opponent just played during your BATTLE PHASE.</t>
  </si>
  <si>
    <t>"I may not look it, but I can more than hold my own in a fight!"</t>
  </si>
  <si>
    <t>P-071</t>
  </si>
  <si>
    <t>Speaking through the Heart</t>
  </si>
  <si>
    <t>[IN PLAY] Reduce the MP cost of your SPELL cards with Ponygon as their MAMODO name, and your Ponygon EVENT cards, by 1.</t>
  </si>
  <si>
    <t>"I don't listen to Ponygon's voice... I listen to the 'feeling' inside his voice."</t>
  </si>
  <si>
    <t>P-072</t>
  </si>
  <si>
    <t>Kyle Picard</t>
  </si>
  <si>
    <t>Ibaris' Puppet</t>
  </si>
  <si>
    <t>[IN PLAY] When your Ibaris MAMODO card is the only MAMODO card you have in play, neither player may select your Ibaris MAMODO card with effects that select a card.</t>
  </si>
  <si>
    <t>"Ha, ha, ha! It's my turn to attack!"</t>
  </si>
  <si>
    <t>P-073</t>
  </si>
  <si>
    <t>Zorge Herrstein</t>
  </si>
  <si>
    <t>Denshin's Puppet</t>
  </si>
  <si>
    <t>[IN PLAY] Your opponent's Discard Pile is considered to be empty.</t>
  </si>
  <si>
    <t>Zofis manipulated him into becoming Denshin's human partner.</t>
  </si>
  <si>
    <t>P-074</t>
  </si>
  <si>
    <t>Marlene Janenz</t>
  </si>
  <si>
    <t>Kalura's Puppet</t>
  </si>
  <si>
    <t>[IN PLAY] The effects of your Kalura MAMODO card with "When you have 3 Stone Tablet MAMODO cards in play" can also be applied when you have 2 Stone Tablet MAMODO cards in play.</t>
  </si>
  <si>
    <t>Her hairpin she wears gives her a charming appearance.</t>
  </si>
  <si>
    <t>P-075</t>
  </si>
  <si>
    <t>Seiu Ou</t>
  </si>
  <si>
    <t>Chinese Boy</t>
  </si>
  <si>
    <t>[SEND THIS CARD TO THE DISCARD PILE] (Cut-In) Negate the MAMODO card effect your opponent just applied with [X MP] (X=any amount).</t>
  </si>
  <si>
    <t>A Chinese boy who joins Babiru in battle on Zofis' order.</t>
  </si>
  <si>
    <t>P-076</t>
  </si>
  <si>
    <t>Gensou</t>
  </si>
  <si>
    <t>Martial Arts Enthusiast</t>
  </si>
  <si>
    <t>[SEND THIS CARD TO THE DISCARD PILE] (Attack) This card may Attack without using a SPELL card (Total Power=7000, Damage=2).</t>
  </si>
  <si>
    <t>"I am Gensou, and I need stronger opponents... I am no longer satisfied with weak humans!"</t>
  </si>
  <si>
    <t>P-077</t>
  </si>
  <si>
    <t>Dalia Ange</t>
  </si>
  <si>
    <t>Mwa ha ha!</t>
  </si>
  <si>
    <t>[SEND THIS CARD TO THE DISCARD PILE] The coin you just flipped is considered to be "tails".</t>
  </si>
  <si>
    <t>"Mwa ha ha ha ha~!"</t>
  </si>
  <si>
    <t>P-078</t>
  </si>
  <si>
    <t>Lance</t>
  </si>
  <si>
    <t>Inherited Ancestry</t>
  </si>
  <si>
    <t>[SEND THIS CARD TO THE DISCARD PILE] [STAY] Your MP cannot be reduced by your opponent's card effects until the END PHASE of your next turn.</t>
  </si>
  <si>
    <t>He is a descendant of Shelby, who was Pamoon's original human partner in the battle a thousand years ago.</t>
  </si>
  <si>
    <t>P-079</t>
  </si>
  <si>
    <t>Nasuka Sakuma</t>
  </si>
  <si>
    <t>Aspiring Manga Writer</t>
  </si>
  <si>
    <t>[SEND THIS CARD TO THE DISCARD PILE] Move 1 The Bad Omen Force EVENT card from your Discard Pile into play.</t>
  </si>
  <si>
    <t>Her dream is to become a manga writer. She is a big fan of a manga series called "Soldiers of Destiny: The Good Omen Force."</t>
  </si>
  <si>
    <t>P-080</t>
  </si>
  <si>
    <t>Mitsuhiro Kunieda</t>
  </si>
  <si>
    <t>Indigent Rock Star</t>
  </si>
  <si>
    <t>[SEND THIS CARD TO THE DISCARD PILE] [STANDBY] After applying this effect, only once during this turn, the effect of your in-play Soma MAMODO card with "This effect can be applied only once per game (per player)" can be applied again if you already applied it once during this game. This effect can be applied only once per game (per player).</t>
  </si>
  <si>
    <t>He calls himself "Kunimitsu – The Rock Star of Naniwa," but he actually lives in poverty.</t>
  </si>
  <si>
    <t>P-081</t>
  </si>
  <si>
    <t>Future!</t>
  </si>
  <si>
    <t>[SEND THIS CARD TO THE DISCARD PILE] Negate all [Stay] and [Standby] effects that prohibit your in-play Zatch Bell MAMODO card and Kiyo Takamine (or Piyo Takamine) PARTNER card from playing SPELL cards with Zatch Bell as their MAMODO name and/or applying their card effects (any other cards remain as targets for these effects).</t>
  </si>
  <si>
    <t>"If any mamodo deserves to be king, it's Zatch!"</t>
  </si>
  <si>
    <t>P-082</t>
  </si>
  <si>
    <t>Kotoha</t>
  </si>
  <si>
    <t>A Fateful Encounter</t>
  </si>
  <si>
    <t>[IN PLAY] Get 1 MP during your END PHASE. ※ With 1 Action, you can send this card to the Discard Pile at any time.</t>
  </si>
  <si>
    <t>"A fateful encounter... Could this golden-haired boy really be my soulmate?!"</t>
  </si>
  <si>
    <t>P-083</t>
  </si>
  <si>
    <t>Protecting Victoream</t>
  </si>
  <si>
    <t>[SEND THIS CARD TO THE DISCARD PILE] [STAY] Your Victoream MAMODO card does not receive Damage or Injury, nor can it be sent to the Discard Pile, during this turn.</t>
  </si>
  <si>
    <t>Fortunately, Mohawk Ace was safe.</t>
  </si>
  <si>
    <t>P-084</t>
  </si>
  <si>
    <t>Albert</t>
  </si>
  <si>
    <t>The Voice That Reached Him</t>
  </si>
  <si>
    <t>[IN PLAY] The text [Declare to use] for the effects of your opponent's MAMODO cards is considered to be [1 MP] instead. ※With 1 Action, you can send this card to the Discard Pile at any time.</t>
  </si>
  <si>
    <t>Albert has finally been liberated from Zofis' control and regained his free will...!</t>
  </si>
  <si>
    <t>P-085</t>
  </si>
  <si>
    <t>Elizabeth</t>
  </si>
  <si>
    <t>Dalmos' Puppet</t>
  </si>
  <si>
    <t>[SEND THIS CARD TO THE DISCARD PILE] [STAY] Your Dalmos MAMODO card's effects can be applied once again during this turn; the MP cost of the effects is considered to be 0. This effect can be applied only once per turn (per player).</t>
  </si>
  <si>
    <t>Her spell book was snatched away by the combined efforts of Ponygon and Sunbeam.</t>
  </si>
  <si>
    <t>P-086</t>
  </si>
  <si>
    <t>Prism Of Light</t>
  </si>
  <si>
    <t>[SEND THIS CARD TO THE DISCARD PILE] [STAY] Select 1 of your opponent's in-play MAMODO cards. Your opponent cannot Attack with the selected MAMODO card during this turn.</t>
  </si>
  <si>
    <t>"Shalala~ I'm just a girl who is lost and alone~ I need a friend, I can't on my own~"</t>
  </si>
  <si>
    <t>P-087</t>
  </si>
  <si>
    <t>Maurice</t>
  </si>
  <si>
    <t>Cunning Liar</t>
  </si>
  <si>
    <t>He has a sly penchant for devising schemes in order to deceive his good-natured adversaries.</t>
  </si>
  <si>
    <t>P-088</t>
  </si>
  <si>
    <t>Hands Out in Front</t>
  </si>
  <si>
    <t>[IN PLAY] Your Penny MAMODO card's effects can be applied even when prohibited to do so. In addition, those effects cannot be negated by a cut-in effect.</t>
  </si>
  <si>
    <t>"Finally, Penny's doing something good... I can now be proud to be her partner."</t>
  </si>
  <si>
    <t>P-089</t>
  </si>
  <si>
    <t>Alvin</t>
  </si>
  <si>
    <t>Cool Alvin</t>
  </si>
  <si>
    <t>[SEND THIS CARD TO THE DISCARD PILE] [STAY] The text [Send this card to the Discard Pile] for the effects of your Byonko MAMODO card is considered to be [Declare to use] during this turn.</t>
  </si>
  <si>
    <t>"I was just waiting for you to go from uncool to super cool."</t>
  </si>
  <si>
    <t>P-090</t>
  </si>
  <si>
    <t>Let's Go, Laila</t>
  </si>
  <si>
    <t>[IN PLAY] Your opponent cannot apply the effects of MAMODO cards during the same turn they are put in play.</t>
  </si>
  <si>
    <t>"Just leave this to us... Let's go, Laila."</t>
  </si>
  <si>
    <t>P-091</t>
  </si>
  <si>
    <t>Roberto Vile</t>
  </si>
  <si>
    <t>[SEND THIS CARD TO THE DISCARD PILE] [STAY] Get 1 MP at the END PHASE of each of your turns during this game (this effect cannot be duplicated).</t>
  </si>
  <si>
    <t>"My name is Roberto Vile! I am the one who will succeed Zofis!"</t>
  </si>
  <si>
    <t>P-092</t>
  </si>
  <si>
    <t>Outcome of the Ordeal</t>
  </si>
  <si>
    <t>[SEND THIS CARD TO THE DISCARD PILE] (Battle) Negate your opponent's Attack. Then, turn the MAMODO card that Attacked in the Battle to Injured Status (this is not considered to be inflicting Damage or Injury).</t>
  </si>
  <si>
    <t>"Sherry... you've done everything you could to prepare for this very moment."</t>
  </si>
  <si>
    <t>P-093</t>
  </si>
  <si>
    <t>An Old Friend Crying Out</t>
  </si>
  <si>
    <t>[SEND THIS CARD TO THE DISCARD PILE] Send 1 of your opponent's in-play PARTNER cards to the Discard Pile, even when you are prohibited to do so.</t>
  </si>
  <si>
    <t>"Stop, Sherry! Don't take Zofis away from me!"</t>
  </si>
  <si>
    <t>P-094</t>
  </si>
  <si>
    <t>You Know Who's Got the Power</t>
  </si>
  <si>
    <t>[IN PLAY] Your Zatch Bell MAMODO card cannot be sent to the Discard Pile by your opponent's card effects (except from Damage or Injury).</t>
  </si>
  <si>
    <t>"Ready? Zaker!"</t>
  </si>
  <si>
    <t>P-095</t>
  </si>
  <si>
    <t>Happy Tomorrow</t>
  </si>
  <si>
    <t>[IN PLAY] Get 1 MP at the END PHASE of your turn. ※ With 1 Action, you can send this card to the Discard Pile at any time.</t>
  </si>
  <si>
    <t>"When tomorrow comes, we'll tell everyone... Yes we did it all. We did it together!"</t>
  </si>
  <si>
    <t>P-096</t>
  </si>
  <si>
    <t>The Man Called Invincible</t>
  </si>
  <si>
    <t>[IN PLAY] Apply the following effect when sent to the Discard Pile. [STANDBY] At the END PHASE of this turn, move 1 Kanchomé MAMODO card and 1 Parco Folgore PARTNER card (other than P-096 Parco Folgore) from your Discard Pile into play.</t>
  </si>
  <si>
    <t>"If you'd ever seen even one of my movies, you'd know it takes a lot more than this to stop me... the invincible Parco Folgore!"</t>
  </si>
  <si>
    <t>P-097</t>
  </si>
  <si>
    <t>My True Self</t>
  </si>
  <si>
    <t>[IN PLAY] Get 2 MP when any of your in-play MAMODO cards are sent to the Discard Pile.</t>
  </si>
  <si>
    <t>"This is who I really am."</t>
  </si>
  <si>
    <t>P-098</t>
  </si>
  <si>
    <t>Number One</t>
  </si>
  <si>
    <t>[IN PLAY] Apply the following effect when this card is sent to the Discard Pile. [STANDBY] At the END PHASE of this turn, move 1 Victoream MAMODO card and 1 Mohawk Ace PARTNER card (other than P-098 Mohawk Ace) from your Discard Pile into play. Mamodo : Victoream</t>
  </si>
  <si>
    <t>The number 1 tattooed on his forehead and chest is actually handwritten with magic marker...</t>
  </si>
  <si>
    <t>P-099</t>
  </si>
  <si>
    <t>Awakened Heart</t>
  </si>
  <si>
    <t>[IN PLAY] Your opponent can apply the effects of only 1 MAMODO card per turn (except MAMODO cards with [In Play]).</t>
  </si>
  <si>
    <t>"I can finally lend you my strength."</t>
  </si>
  <si>
    <t>P-100</t>
  </si>
  <si>
    <t>Combination</t>
  </si>
  <si>
    <t>[IN PLAY] Add the text below to your in-play Ponygon MAMODO card: ● (Attack) [1 MP] This card may Attack without using a SPELL card (Total Power=7000, Damage=1).</t>
  </si>
  <si>
    <t>"Don't underestimate our combination technique."</t>
  </si>
  <si>
    <t>P-101</t>
  </si>
  <si>
    <t>Kido's Homeworld</t>
  </si>
  <si>
    <t>[IN PLAY] Your Kido MAMODO card can neither be sent to the Discard Pile by your opponent's card effects, nor can your Kido MAMODO card's effects be negated by cut-in effects.</t>
  </si>
  <si>
    <t>“All I see is Kido’s world, which dazzles with light!”</t>
  </si>
  <si>
    <t>P-102</t>
  </si>
  <si>
    <t>Lyon</t>
  </si>
  <si>
    <t>Patrol</t>
  </si>
  <si>
    <t>[IN PLAY] The effects of your Kamack MAMODO card with "When you have 3 Stone Tablet MAMODO cards in play" can also be applied when you have 1 Stone Tablet MAMODO card in play.</t>
  </si>
  <si>
    <t>His heart and mind are being manipulated, which enables him to cast any spell that Kamack is thinking of at the time.</t>
  </si>
  <si>
    <t>P-103</t>
  </si>
  <si>
    <t>Grubb</t>
  </si>
  <si>
    <t>Transform!</t>
  </si>
  <si>
    <t>[SEND THIS CARD TO THE DISCARD PILE] [STANDBY] After applying this effect, only once during this turn (per player), you can play 1 SPELL card with Koral Q as its MAMODO name from any page of your Spell Book.</t>
  </si>
  <si>
    <t>"Koral Q, it's time to transform!"</t>
  </si>
  <si>
    <t>P-104</t>
  </si>
  <si>
    <t>Jido</t>
  </si>
  <si>
    <t>A Biker's True Spirit</t>
  </si>
  <si>
    <t>[SEND THIS CARD TO THE DISCARD PILE] [STANDBY] After applying this effect, only once during this turn (per player), you can play 1 SPELL card with Ted as its MAMODO name from any page of your Spell Book.</t>
  </si>
  <si>
    <t>"You're not nearly good enough to talk to the wind like I can."</t>
  </si>
  <si>
    <t>P-105</t>
  </si>
  <si>
    <t>Ellie</t>
  </si>
  <si>
    <t>[SEND THIS CARD TO THE DISCARD PILE] [STANDBY] After applying this effect, only once during this turn (per player), you can play 1 SPELL card with Arth as its MAMODO name from any page of your Spell Book.</t>
  </si>
  <si>
    <t>“I’m sorry. Because I underestimated them, it’s my fault you got hurt.”</t>
  </si>
  <si>
    <t>P-106</t>
  </si>
  <si>
    <t>Secon Nagur</t>
  </si>
  <si>
    <t>[SEND THIS CARD TO THE DISCARD PILE] A Secon Nagur SPELL card is considered to have been played during this game. Then, adjust the number of MP counters on your Ted MAMODO card until there are 2 MP counters.</t>
  </si>
  <si>
    <t>"I suppose, just maybe, that's why I go along with him."</t>
  </si>
  <si>
    <t>P-107</t>
  </si>
  <si>
    <t>Brilliant</t>
  </si>
  <si>
    <t>[IN PLAY] Each time your Arth MAMODO card inflicts Damage or Injury by playing a SPELL card or by Attacking without using a SPELL card, reduce your opponent's MP by 1 to get 1 MP.</t>
  </si>
  <si>
    <t>"Brilliant swordmanship, Arth. Finish them with the next strike."</t>
  </si>
  <si>
    <t>P-108</t>
  </si>
  <si>
    <t>A Secret With Kiyo</t>
  </si>
  <si>
    <t>[SEND THIS CARD TO THE DISCARD PILE] Select 1 Kiyo Takamine and 1 Megumi PARTNER card (except P-108 Megumi) from any page of your Spell Book or your Discard Pile and put them in play.</t>
  </si>
  <si>
    <t>"Do Kiyo and I share the same secret?"</t>
  </si>
  <si>
    <t>P-109</t>
  </si>
  <si>
    <t>Close Combat</t>
  </si>
  <si>
    <t>[SEND THIS CARD TO THE DISCARD PILE] (Attack) This card may Attack without using a SPELL card (Total Power=6000, Injure 1 of your opponent's MAMODO cards).</t>
  </si>
  <si>
    <t>“Interesting, I know those eyes. They’re saying that, even if I destroy you, you’re determined to defeat us...”</t>
  </si>
  <si>
    <t>P-110</t>
  </si>
  <si>
    <t>The Red Dress</t>
  </si>
  <si>
    <t>[IN PLAY] Each time either player gets tails on a coin flip, get 1 MP.</t>
  </si>
  <si>
    <t>“Mwa ha ha ha~~,” is the only thing she ever says.</t>
  </si>
  <si>
    <t>P-111</t>
  </si>
  <si>
    <t>Shelby</t>
  </si>
  <si>
    <t>Veteran Knight</t>
  </si>
  <si>
    <t>This PARTNER card can be attached to a Pamoon MAMODO card. [SEND THIS CARD TO THE DISCARD PILE] Place 1 MP counter on your Pamoon MAMODO card. This effect can be applied only once per turn (per player).</t>
  </si>
  <si>
    <t>Pamoon's original human partner from a thousand years ago.</t>
  </si>
  <si>
    <t>P-112</t>
  </si>
  <si>
    <t>Shattered Ambitions</t>
  </si>
  <si>
    <t>[SEND THIS CARD TO THE DISCARD PILE] If your opponent has a [Stay] or [Standby] effect that remains active for the duration of the game, turn 1 page of your opponent's Spell Book. This effect can be applied only once per turn (per player).</t>
  </si>
  <si>
    <t>"What... have... what have you... done?"</t>
  </si>
  <si>
    <t>P-113</t>
  </si>
  <si>
    <t>Upright Ponygon</t>
  </si>
  <si>
    <t>[SEND THIS CARD TO THE DISCARD PILE] [STANDBY] Only once during this turn (per player), the MP cost of a Ponygon EVENT card or a Ponygon MAMODO card's effect is considered to be 0 (and the text [Send this card to the Discard Pile] is considered to be [Declare to use]).</t>
  </si>
  <si>
    <t>"Ponygon is a fine, upright name! Don't make fun of the name his parents gave him!"</t>
  </si>
  <si>
    <t>P-114</t>
  </si>
  <si>
    <t>Scientific Student</t>
  </si>
  <si>
    <t>[IN PLAY] Your opponent cannot play SPELL cards in pages that are not the currently open pages of their Spell Book.</t>
  </si>
  <si>
    <t>"Heh heh heh, don't be too harsh, Koral Q... I mean, that's the only spell left for them."</t>
  </si>
  <si>
    <t>P-115</t>
  </si>
  <si>
    <t>Sauza</t>
  </si>
  <si>
    <t>Lone Wolf</t>
  </si>
  <si>
    <t>[SEND THIS CARD TO THE DISCARD PILE] If you only have 1 MAMODO card in play, and your opponent has 2 or more MAMODO cards in play, Injure 1 of your opponent's MAMODO cards.</t>
  </si>
  <si>
    <t>"You're a mamodo who can't fight when you're alone, eh? Karudio and I hate those kinds of mamodo..."</t>
  </si>
  <si>
    <t>P-116</t>
  </si>
  <si>
    <t>Kyle</t>
  </si>
  <si>
    <t>Mii</t>
  </si>
  <si>
    <t>[SEND THIS CARD TO THE DISCARD PILE] [STAY] Reduce the Power of 1 of your in-play MAMODO cards by 2000 during this turn.</t>
  </si>
  <si>
    <t>"Mii-miiii!!"</t>
  </si>
  <si>
    <t>P-117</t>
  </si>
  <si>
    <t>Love Song for Poory</t>
  </si>
  <si>
    <t>[IN PLAY] Increase the MP cost of your opponent's EVENT cards by 1.</t>
  </si>
  <si>
    <t>"What on earth are you singing about, Poory?"</t>
  </si>
  <si>
    <t>P-118</t>
  </si>
  <si>
    <t>Nicholas</t>
  </si>
  <si>
    <t>Bagpipes</t>
  </si>
  <si>
    <t>[IN PLAY] When your Majiro MAMODO card is sent to the Discard Pile, select 1 MAMODO card (except Majiro) from any page of your Spell Book and put it in play.</t>
  </si>
  <si>
    <t>"I've been on a trip around the globe to spread the joy of bagpipes to the whole world."</t>
  </si>
  <si>
    <t>P-119</t>
  </si>
  <si>
    <t>Piyo Takamine</t>
  </si>
  <si>
    <t>Don't Call Me Piyo!</t>
  </si>
  <si>
    <t>This card can be attached to your Zatch Bell MAMODO card separately from your Kiyo Takamine PARTNER card. [SEND THIS CARD TO THE DISCARD PILE] (Cut-In) Negate the MAMODO effect your opponent just applied.</t>
  </si>
  <si>
    <t>"Stop calling me 'Piyo'!"</t>
  </si>
  <si>
    <t>P-120</t>
  </si>
  <si>
    <t>A Brief Farewell</t>
  </si>
  <si>
    <t>"I'll be looking forward to fighting against you soon, mamodo of the red book.."</t>
  </si>
  <si>
    <t>P-121</t>
  </si>
  <si>
    <t>I'll Be Okay</t>
  </si>
  <si>
    <t>[IN PLAY] When you are on the 22nd page or higher of your Spell Book, SPELL cards can be played for your Rein MAMODO card, and the effects of both your Rein MAMODO and Kyle PARTNER cards can be applied, even when you are prohibited to do so.</t>
  </si>
  <si>
    <t>"You can stand on your own two feet now."</t>
  </si>
  <si>
    <t>P-122</t>
  </si>
  <si>
    <t>Chita</t>
  </si>
  <si>
    <t>Cost-Effective</t>
  </si>
  <si>
    <t>[IN PLAY] When a SPELL card you played is negated by your opponent's card effects (including losing the Battle), the MP cost paid for that SPELL card is restored.</t>
  </si>
  <si>
    <t>"I knew I wouldn't have made it in time. We can't expend our spells recklessly."</t>
  </si>
  <si>
    <t>P-123</t>
  </si>
  <si>
    <t>Elle Chivas</t>
  </si>
  <si>
    <t>Oh My, Oh My!</t>
  </si>
  <si>
    <t>[SEND THIS CARD TO THE DISCARD PILE] If a Battle has already resolved during this turn, end this BATTLE PHASE. This effect cannot be negated by a cut-in effect.</t>
  </si>
  <si>
    <t>"Oh my... oh my... We have to put an end to this right away!"</t>
  </si>
  <si>
    <t>P-124</t>
  </si>
  <si>
    <t>An Unexpected Strategy</t>
  </si>
  <si>
    <t>[IN PLAY] Your opponent can neither SACRIFICE nor PROTECT their Spell Book from the Damage of SPELL cards played for your Zatch Bell MAMODO card with their only effect being "Damage your opponent's Spell Book when you win the Battle as an Attacker."</t>
  </si>
  <si>
    <t>Kiyo's strategies push Zatch's potential past the 100% mark.</t>
  </si>
  <si>
    <t>P-125</t>
  </si>
  <si>
    <t>Eyes of a Genius</t>
  </si>
  <si>
    <t>[IN PLAY] Your opponent cannot apply the effects of their MAMODO cards during the same turn they are put in play. ※ With 1 Action, you can send this card to the Discard Pile at any time.</t>
  </si>
  <si>
    <t>Kiyo's keen eye for observation has led Zatch to victory many times in the past.</t>
  </si>
  <si>
    <t>P-126</t>
  </si>
  <si>
    <t>Worldwide Superstar</t>
  </si>
  <si>
    <t>[IN PLAY] Your opponent cannot apply the effects of their cards during the same turn they are put in play.</t>
  </si>
  <si>
    <t>Parco Folgore is a worldwide superstar. Even his soul is world-class.</t>
  </si>
  <si>
    <t>P-127</t>
  </si>
  <si>
    <t>The Power of Kindness</t>
  </si>
  <si>
    <t>[IN PLAY] Apply 1 of the following effects once per turn (per player): ● Reduce the Damage inflicted by your opponent by 1. ● Reduce the number of pages of your Spell Book turned by your opponent's card effects by 1.</t>
  </si>
  <si>
    <t>"Tia... we're gonna knock them out with this one attack!"</t>
  </si>
  <si>
    <t>P-128</t>
  </si>
  <si>
    <t>Treasure Fighter</t>
  </si>
  <si>
    <t>[SEND THIS CARD TO THE DISCARD PILE] [STAY] Flip a coin; if it's heads, increase the Damage of your SPELL cards with Zatch Bell as their MAMODO name by 1 during this turn. This effect does not duplicate with other effects that increase Damage.</t>
  </si>
  <si>
    <t>Kiyo is forever grateful to Zatch for becoming the friend he needed in order to change his outlook on life.</t>
  </si>
  <si>
    <t>P-129</t>
  </si>
  <si>
    <t>Dozing Off</t>
  </si>
  <si>
    <t>[SEND THIS CARD TO THE DISCARD PILE] Send 1 of your opponent's in-play Ponygon cards to the Discard Pile. This effect cannot be negated by a cut-in effect.</t>
  </si>
  <si>
    <t>"Oh, sorry, Ponygon. I guess I'm pretty tired..."</t>
  </si>
  <si>
    <t>P-130</t>
  </si>
  <si>
    <t>Invincible Man</t>
  </si>
  <si>
    <t>[IN PLAY] Your Kanchomé MAMODO card cannot be sent to the Discard Pile by your opponent's card effects, receive Damage or Injury (except by SACRIFICING or PROTECTING your Spell Book from Damage), and/or be Petrified.</t>
  </si>
  <si>
    <t>"Have you forgotten you're dealing with the invincible man?"</t>
  </si>
  <si>
    <t>P-131</t>
  </si>
  <si>
    <t>Crush Them!</t>
  </si>
  <si>
    <t>[IN PLAY] During the Battle when your Bari MAMODO card Attacks, your opponent cannot apply card effects that reduce your MP, turn pages of your Spell Book, and/or send your in-play cards to the Discard Pile.</t>
  </si>
  <si>
    <t>"Crush them into pieces, and prove to them how powerful you really are!"</t>
  </si>
  <si>
    <t>P-132</t>
  </si>
  <si>
    <t>[SEND THIS CARD TO THE DISCARD PILE] Send 1 of your opponent's in-play cards (except MAMODO cards) to the Discard Pile.</t>
  </si>
  <si>
    <t>"Will that power change the way I look at the world?"</t>
  </si>
  <si>
    <t>P-133</t>
  </si>
  <si>
    <t>A Man's Fellowship</t>
  </si>
  <si>
    <t>[SEND THIS CARD TO THE DISCARD PILE] When the currently open pages of your Spell Book are empty, select 1 SPELL card with Ted as its MAMODO name from any page of your Spell Book or Discard Pile and move it to 1 of the empty pages.</t>
  </si>
  <si>
    <t>"You're on your own, kid. But you know, I'll help you with the book when the times comes."</t>
  </si>
  <si>
    <t>P-134</t>
  </si>
  <si>
    <t>Ellie's Resolve</t>
  </si>
  <si>
    <t>[SEND THIS CARD TO THE DISCARD PILE] If at least 1 Battle that  Attacked in has been resolved during this turn, turn 1 page of  Spell Book. Effects that turn pages of your Spell Book can be applied only once per turn (per player).</t>
  </si>
  <si>
    <t>"We've gotta stop Faudo from coming to life, no matter what! We can't let them use our power for their evil plan."</t>
  </si>
  <si>
    <t>P-135</t>
  </si>
  <si>
    <t>Faithful Devotion</t>
  </si>
  <si>
    <t>[SEND THIS CARD TO THE DISCARD PILE] (Battle) Turn 1 page of your opponent's Spell Book during the Battle when your opponent Attacks (turning pages does not negate SPELL cards in the Battle).</t>
  </si>
  <si>
    <t>"God, please protect us!"</t>
  </si>
  <si>
    <t>P-136</t>
  </si>
  <si>
    <t>Kars</t>
  </si>
  <si>
    <t>Decisive Blow</t>
  </si>
  <si>
    <t>[SEND THIS CARD TO THE DISCARD PILE] [STANDBY] The MP cost of the next SPELL card you play for your Buzarai MAMODO card during this turn is considered to be 0.</t>
  </si>
  <si>
    <t>"I'm gonna shoot them down...with one last Dioga spell!"</t>
  </si>
  <si>
    <t>P-137</t>
  </si>
  <si>
    <t>Berun</t>
  </si>
  <si>
    <t>Film Director</t>
  </si>
  <si>
    <t>[IN PLAY] Your opponent cannot move cards from their Discard Pile into play or into empty pages of their Spell Book.</t>
  </si>
  <si>
    <t>"Sorry, Keith...force of habit as a film director..."</t>
  </si>
  <si>
    <t>P-138</t>
  </si>
  <si>
    <t>Nicole</t>
  </si>
  <si>
    <t>On The Road to Despair</t>
  </si>
  <si>
    <t>[SEND THIS CARD TO THE DISCARD PILE] Send as many of  in-play cards as you desire (except MAMODO cards) to the Discard Pile. Then, get MP equal to the number of cards sent to the Discard Pile by this effect (except this card) times 1.</t>
  </si>
  <si>
    <t>"Even if we do break the seal now...we'll only be putting ourselves on the road to despair..."</t>
  </si>
  <si>
    <t>P-139</t>
  </si>
  <si>
    <t>On Her Sickbed</t>
  </si>
  <si>
    <t>[IN PLAY] Your opponent cannot send  in-play MAMODO and PARTNER cards to the Discard Pile when they are attached to each other.</t>
  </si>
  <si>
    <t>"Don't do this, Wonrei. You can't follow their orders. If you do, something terrible will happen..."</t>
  </si>
  <si>
    <t>P-140</t>
  </si>
  <si>
    <t>Alishie</t>
  </si>
  <si>
    <t>Prepared To Make A Choice</t>
  </si>
  <si>
    <t>[SEND THIS CARD TO THE DISCARD PILE] (Battle) Negate the SPELL card your opponent just played in the Battle. Then, reduce  MP by an amount equal to the MP cost of the SPELL card you negated.</t>
  </si>
  <si>
    <t>"Hmm... "Not sure," did you say? Why don't you quit being so indecisive?"</t>
  </si>
  <si>
    <t>P-141</t>
  </si>
  <si>
    <t>My Seaside Camp</t>
  </si>
  <si>
    <t>[SEND THIS CARD TO THE DISCARD PILE] (Cut-In) Negate the EVENT card your opponent just played with an MP cost of 2 or less.</t>
  </si>
  <si>
    <t>"Give me back my time with them! Give me back the springtime of my life!"</t>
  </si>
  <si>
    <t>P-142</t>
  </si>
  <si>
    <t>Return Of The Hero</t>
  </si>
  <si>
    <t>[SEND THIS CARD TO THE DISCARD PILE] [STAY] Your opponent cannot apply cut-in effects that negate the effects of MAMODO cards during this turn.</t>
  </si>
  <si>
    <t>"I can't just sit on the sidelines while you're out here fighting with everything you've got, Kanchomé!"</t>
  </si>
  <si>
    <t>P-143</t>
  </si>
  <si>
    <t>Craving Potato Tempura</t>
  </si>
  <si>
    <t>[SEND THIS CARD TO THE DISCARD PILE] [STAY] When you have 0 MP, you can use your opponent's MP to pay the MP costs of your SPELL cards during this turn.</t>
  </si>
  <si>
    <t>"Agh... I'm all out of strength from within!"</t>
  </si>
  <si>
    <t>P-144</t>
  </si>
  <si>
    <t>We Have No Choice</t>
  </si>
  <si>
    <t>[SEND THIS CARD TO THE DISCARD PILE] Negate all [Stay] effects that are currently active during this turn.</t>
  </si>
  <si>
    <t>"We might not have enough time... but we have no choice... I won't let any of them perish..."</t>
  </si>
  <si>
    <t>P-145</t>
  </si>
  <si>
    <t>The Invincible Hero</t>
  </si>
  <si>
    <t>[SEND THIS CARD TO THE DISCARD PILE] (Cut-In) Negate the PARTNER card effect your opponent just applied.</t>
  </si>
  <si>
    <t>The hero of Italy known as the Iron Man Folgore has the star power to turn heads worldwide.</t>
  </si>
  <si>
    <t>P-146</t>
  </si>
  <si>
    <t>Survival</t>
  </si>
  <si>
    <t>[SEND THIS CARD TO THE DISCARD PILE] (Battle) During the Battle, your Spell Book can only receive a maximum of 2 Damage in total (any more inflicted Damage is negated).</t>
  </si>
  <si>
    <t>"Whatever it takes, we're gonna support each other... and live through the next two minutes!"</t>
  </si>
  <si>
    <t>P-147</t>
  </si>
  <si>
    <t>Gentleman</t>
  </si>
  <si>
    <t>[SEND THIS CARD TO THE DISCARD PILE] (Cut-In) Negate the effect your opponent just applied that would send any of your in-play cards to the Discard Pile (except from Damage or Injury).</t>
  </si>
  <si>
    <t>"Are you okay, Sister, Momon?"</t>
  </si>
  <si>
    <t>P-148</t>
  </si>
  <si>
    <t>Atonement</t>
  </si>
  <si>
    <t>[SEND THIS CARD TO THE DISCARD PILE] Move 1 card (except a Li-en PARTNER card) from your Discard Pile to an empty page of your Spell Book.</t>
  </si>
  <si>
    <t>Now that the curse has been broken, Li-en fights by Kiyo's side once again.</t>
  </si>
  <si>
    <t>P-149</t>
  </si>
  <si>
    <t>Shut... Up...</t>
  </si>
  <si>
    <t>[SEND THIS CARD TO THE DISCARD PILE] [STAY] Select 1 of your opponent's in-play MAMODO cards. Your opponent cannot apply the effects of the selected MAMODO card during this turn.</t>
  </si>
  <si>
    <t>"The world... will be saved... My life is nothing... compared to the lives of all the people in the world..."</t>
  </si>
  <si>
    <t>P-150</t>
  </si>
  <si>
    <t>A Short Truce</t>
  </si>
  <si>
    <t>[SEND THIS CARD TO THE DISCARD PILE] [STAY] Neither player may declare an Attack until the END PHASE of the next turn.</t>
  </si>
  <si>
    <t>"Hmph! I'll defeat you two as soon as we take care of Faudo! You'd better get ready!"</t>
  </si>
  <si>
    <t>P-151</t>
  </si>
  <si>
    <t>Love &amp; Peace</t>
  </si>
  <si>
    <t>[IN PLAY] Reduce the Damage of your opponent's Attacks by 1.</t>
  </si>
  <si>
    <t>"P-Please wait. Let's talk about this..."</t>
  </si>
  <si>
    <t>P-152</t>
  </si>
  <si>
    <t>A Real Man</t>
  </si>
  <si>
    <t>[SEND THIS CARD TO THE DISCARD PILE] [STAY] Select 1 of your opponent's in-play MAMODO cards. Your opponent can neither apply the effects of the selected MAMODO card, nor can they apply the effects of the attached PARTNER card, until the END PHASE of the next turn.</t>
  </si>
  <si>
    <t>"I won't let anyone's life be taken. That includes you too, Zatch and Kiyo."</t>
  </si>
  <si>
    <t>P-153</t>
  </si>
  <si>
    <t>Pacing</t>
  </si>
  <si>
    <t>[IN PLAY] Get 2 MP at the END PHASE of your turn if you did not Attack during your BATTLE PHASE.</t>
  </si>
  <si>
    <t>"What do you think, Chita? Do you think you can use our most powerful spell now?"</t>
  </si>
  <si>
    <t>P-154</t>
  </si>
  <si>
    <t>Banikis Gigo</t>
  </si>
  <si>
    <t>Hidden Within</t>
  </si>
  <si>
    <t>[SEND THIS CARD TO THE DISCARD PILE] (Battle) [STAY] Increase the Damage of your SPELL cards with Riou as their MAMODO name by 1 during the Battle.</t>
  </si>
  <si>
    <t>"You want me to come outside and fight? It looks like you found an enemy you really want to destroy."</t>
  </si>
  <si>
    <t>P-155</t>
  </si>
  <si>
    <t>In Strong Agreement</t>
  </si>
  <si>
    <t>[SEND THIS CARD TO THE DISCARD PILE] When your opponent applies an effect that turns pages of your Spell Book, turn pages of their Spell Book by an equal amount. When your opponent applies an effect that turns back pages of their Spell Book, turn back pages of your own Spell Book by an equal amount.</t>
  </si>
  <si>
    <t>"Yeah... That sounds great!"</t>
  </si>
  <si>
    <t>P-156</t>
  </si>
  <si>
    <t>Despair</t>
  </si>
  <si>
    <t>[SEND THIS CARD TO THE DISCARD PILE] Reduce your MP by 3 (it cannot be reduced to less than 1 as a result of this effect) to reduce your opponent's MP by 3.</t>
  </si>
  <si>
    <t>"You always cheer me up, Cherish..."</t>
  </si>
  <si>
    <t>P-157</t>
  </si>
  <si>
    <t>Raushin Mo</t>
  </si>
  <si>
    <t>Chrome Dome</t>
  </si>
  <si>
    <t>[SEND THIS CARD TO THE DISCARD PILE] (Cut-In) Negate the "No Battle" SPELL card your opponent just played.</t>
  </si>
  <si>
    <t>A silent, bald-headed man who willingly does Zaruchim's bidding.</t>
  </si>
  <si>
    <t>P-158</t>
  </si>
  <si>
    <t>"Use all the power you've got!"</t>
  </si>
  <si>
    <t>P-159</t>
  </si>
  <si>
    <t>Ridicule</t>
  </si>
  <si>
    <t>Ha ha ha ha! Bull's eye! I don't think he's moving!"</t>
  </si>
  <si>
    <t>P-160</t>
  </si>
  <si>
    <t>Become the King</t>
  </si>
  <si>
    <t>[IN DISCARD PILE] When this card is in your Discard Pile and you do not have a Kiyo Takamine or Piyo Takamine PARTNER card in play, apply all of the following effects. Your opponent cannot do the following: ● Move cards from their Discard Pile into play. ● Move cards from their Discard Pile into pages of their Spell Book. ● Apply the effects of cards in their Discard Pile.</t>
  </si>
  <si>
    <t>"Become King, Zatch... Become the King with your new book owner!"</t>
  </si>
  <si>
    <t>P-161</t>
  </si>
  <si>
    <t>Collaborator</t>
  </si>
  <si>
    <t>[SEND THIS CARD TO THE DISCARD PILE] [STANDBY] Select 1 EVENT card from any page of your Spell Book. The selected EVENT card can be played with a cost of 1 MP higher than its original MP cost during this turn.</t>
  </si>
  <si>
    <t>"Don't let a creep like that...become the king of the world where Rops is now!"</t>
  </si>
  <si>
    <t>P-162</t>
  </si>
  <si>
    <t>Even through Closed Eyes</t>
  </si>
  <si>
    <t>[IN PLAY] 1 SPELL card with Wonrei as its MAMODO name can be played from the previous page of your Spell Book once per turn (per player).</t>
  </si>
  <si>
    <t>"Even though my eyes are closed, I can see you clearly... I can see a true "king who protects"...</t>
  </si>
  <si>
    <t>P-163</t>
  </si>
  <si>
    <t>"Not just your physical strength, but your power from within will quickly recover."</t>
  </si>
  <si>
    <t>P-164</t>
  </si>
  <si>
    <t>Cold Outlook</t>
  </si>
  <si>
    <t>[IN PLAY] Your opponent cannot increase the Damage of their Attacks.</t>
  </si>
  <si>
    <t>"What an imbecile..."</t>
  </si>
  <si>
    <t>P-165</t>
  </si>
  <si>
    <t>Concern</t>
  </si>
  <si>
    <t>[SEND THIS CARD TO THE DISCARD PILE] Negate 1 [Stay] effect that does not remain active for the duration of the game.</t>
  </si>
  <si>
    <t>"R-Riou! Your face looks pale. The curse must be harming you..."</t>
  </si>
  <si>
    <t>P-166</t>
  </si>
  <si>
    <t>Casual Perception</t>
  </si>
  <si>
    <t>[SEND THIS CARD TO THE DISCARD PILE] (Cut-In) Negate the effect your opponent just applied (except [Stay] and/or [Standby] effects).</t>
  </si>
  <si>
    <t>"You're in such a good mood, Zeno. I haven't seen you really enjoy a battle in a while..."</t>
  </si>
  <si>
    <t>P-167</t>
  </si>
  <si>
    <t>All We Need</t>
  </si>
  <si>
    <t>[SEND THIS CARD TO THE DISCARD PILE] Turn 1 page of your opponent's Spell Book during your BATTLE PHASE. Effects that turn pages of your opponent's Spell Book can be applied only once per turn (per player).</t>
  </si>
  <si>
    <t>"I was only able to use my weakest spell, but... that's all we need to take down a human."</t>
  </si>
  <si>
    <t>P-168</t>
  </si>
  <si>
    <t>A True Warrior</t>
  </si>
  <si>
    <t>This card is placed on a regular Alishie PARTNER card. (Attack) (Defend) [DECLARE TO USE] This card may Attack without using a SPELL card (Total Power=8000, Damage=2) OR, Defend without using a SPELL card (Total Power=8000).</t>
  </si>
  <si>
    <t>"Yes... I will abandon all weakness and become a true warrior."</t>
  </si>
  <si>
    <t>P-169</t>
  </si>
  <si>
    <t>Holding Hostage</t>
  </si>
  <si>
    <t>[SEND THIS CARD TO THE DISCARD PILE] [STAY] Your opponent cannot apply card effects with [In Play] until the END PHASE of the next turn.</t>
  </si>
  <si>
    <t>"I didn't think we'd have to use a hostage... Good thing we captured him just in case..."</t>
  </si>
  <si>
    <t>P-170</t>
  </si>
  <si>
    <t>Adler</t>
  </si>
  <si>
    <t>Nutrient Fluid</t>
  </si>
  <si>
    <t>"Adler, you've taken the nutrient fluid, right?"</t>
  </si>
  <si>
    <t>P-171</t>
  </si>
  <si>
    <t>Male Disguise</t>
  </si>
  <si>
    <t>[DECLARE TO USE] Select 1 PARTNER card from any page of your Spell Book and put it in play away face-down, away from your PARTNER card area. ● With 1 Action, you can flip the selected card face-up and put it in play. ● With 1 Action, you cna move the card to an empty page of your Book. ● Only 1 face-down PARTNER card can be in play at a time (per player). ● The selected card is not considered to be in play while it is face-down.</t>
  </si>
  <si>
    <t>"You silly... Nicole is a girl."</t>
  </si>
  <si>
    <t>PR-001</t>
  </si>
  <si>
    <t>Majestic</t>
  </si>
  <si>
    <t>[DECLARE TO USE] [STANDBY] The MP cost of a SPELL card played for this MAMODO card with an MP cost of 3 or less during this turn is considered to be 0. This effect can be applied only once per game (per player).</t>
  </si>
  <si>
    <t>Promo</t>
  </si>
  <si>
    <t>"My name is Zatch Bell!"</t>
  </si>
  <si>
    <t>PR-002</t>
  </si>
  <si>
    <t>Best Friend</t>
  </si>
  <si>
    <t>[3 MP] [STAY] Add 2000 Power to this MAMODO card during this turn.</t>
  </si>
  <si>
    <t>"Zatch, you are my friend!"</t>
  </si>
  <si>
    <t>PR-003</t>
  </si>
  <si>
    <t>Run! Ponygon</t>
  </si>
  <si>
    <t>[IN PLAY] Add 2000 Power to your in-play Zatch Bell MAMODO card.</t>
  </si>
  <si>
    <t>"Go, Ponygon!" "Meru meru me~~"</t>
  </si>
  <si>
    <t>PR-004</t>
  </si>
  <si>
    <t>The Lightning Boy</t>
  </si>
  <si>
    <t>[IN PLAY] Add 1000 Power to all of your Zaker SPELL cards with Zatch Bell as their MAMODO name.</t>
  </si>
  <si>
    <t>PR-005</t>
  </si>
  <si>
    <t>A Period of Rest</t>
  </si>
  <si>
    <t>This card can be played only at the start of your BATTLE PHASE. Apply all of the following effects in any order: ● Turn all of your Injured MAMODO cards to Normal Status. ● Get 2 MP. ● [STAY] Neither player can apply the effects of their MAMODO cards, nor can they play SPELL cards, during this turn.</t>
  </si>
  <si>
    <t>In the midst of a brutal battle, fighting alongside friends makes up unstoppable.</t>
  </si>
  <si>
    <t>PR-006</t>
  </si>
  <si>
    <t>Golden Supreme Spell</t>
  </si>
  <si>
    <t>[STANDBY] During the next Battle this turn, you can play 1 SPELL card from any page of your Spell Book. Add 3000 Power and 1 Damage to that SPELL card when you play it during the Battle ([STAY]).</t>
  </si>
  <si>
    <t>"Bring all the power that you have!"</t>
  </si>
  <si>
    <t>PR-007</t>
  </si>
  <si>
    <t>Send this EVENT card to the Discard Pile. Then, turn back 2 pages of your Spell Book. Effects that turn back pages of your Spell Book can be applied only once per turn (per player).</t>
  </si>
  <si>
    <t>Zatch keeps fighting with an oath to be a kind king.</t>
  </si>
  <si>
    <t>PR-008</t>
  </si>
  <si>
    <t>Cheerful!</t>
  </si>
  <si>
    <t>[1 MP] Flip a coin; if it's heads, turn 1 of your Injured MAMODO cards to Normal Status.</t>
  </si>
  <si>
    <t>"Let's go, Tia!" "OK!"</t>
  </si>
  <si>
    <t>PR-009e</t>
  </si>
  <si>
    <t>[STAY] Apply both of the following effects until the END PHASE of your next turn: ● No SPELL cards can be played for your Zatch Bell MAMODO card. ● Your Zatch Bell MAMODO card does not receive Damage or Injury.</t>
  </si>
  <si>
    <t>Zatch's 6th spell. The power awakens when a mamodo has mentally grown.</t>
  </si>
  <si>
    <t>PR-009j</t>
  </si>
  <si>
    <t>[STAY] Apply both of the following effects until the END PHASE of your next turn: ● No SPELL cards can be played for your Zatch Bell MAMODO card. ● Your Zatch Bell MAMODO card and your Spell Book do not receive Damage or Injury.</t>
  </si>
  <si>
    <t>PR-010e</t>
  </si>
  <si>
    <t>Electric Arena!</t>
  </si>
  <si>
    <t>[STAY] Add 2000 Power to 1 Zaker SPELL card played for your Zatch Bell MAMODO card, and reduce its MP cost by 1.</t>
  </si>
  <si>
    <t>PR-010j</t>
  </si>
  <si>
    <t>[STAY] During this turn, Add 2000 Power to all Zaker SPELL cards played for your Zatch Bell MAMODO card, and reduce their MP cost by 1.</t>
  </si>
  <si>
    <t>PR-011</t>
  </si>
  <si>
    <t>In High Spirits</t>
  </si>
  <si>
    <t>[IN PLAY] If you have 1 MP or less at your END PHASE, get 2 MP.</t>
  </si>
  <si>
    <t>"Let's play!!!"</t>
  </si>
  <si>
    <t>PR-012</t>
  </si>
  <si>
    <t>Guardian of the Book</t>
  </si>
  <si>
    <t>[IN PLAY] Neither player can turn pages of their Spell Book during the BATTLE PHASE (except from Damage).</t>
  </si>
  <si>
    <t>He oversees the battle to decide the king from the mamodo world as it transpires in the human world.</t>
  </si>
  <si>
    <t>PR-013</t>
  </si>
  <si>
    <t>The White 101st Spell Book</t>
  </si>
  <si>
    <t>Your opponent looks at your Spell Book. Then, they select 1 EVENT card in a page immediately following the currently open pages and send it to the Discard Pile. Then, you look at your opponent's Spell Book. Select 1 EVENT card in a page immediately following their currently open pages and send it to the Discard Pile.</t>
  </si>
  <si>
    <t>On the pages of the white spell book, accurate predictions continue to appear one after another.</t>
  </si>
  <si>
    <t>PR-014</t>
  </si>
  <si>
    <t>Mamodo Battles!</t>
  </si>
  <si>
    <t>[STAY] Select 1 of your in-play PARTNER cards. The selected PARTNER card cannot be sent to the Discard Pile by your opponent's card effects during this game.</t>
  </si>
  <si>
    <t>PR-015</t>
  </si>
  <si>
    <t>Red and Black</t>
  </si>
  <si>
    <t>Send your in-play Zatch Bell or Brago MAMODO card to the Discard Pile to put this MAMODO card in play. [IN PLAY] Reduce the MP cost of all SPELL cards with Zatch Bell or Brago as their MAMODO name by 1 when used for Attacking.</t>
  </si>
  <si>
    <t>The children of the red and black spell books are destined to meet.</t>
  </si>
  <si>
    <t>PR-016</t>
  </si>
  <si>
    <t>The 6 Hopes</t>
  </si>
  <si>
    <t>Apply both of the following effects in order: ● Select 1 of your in-play MAMODO cards and move it to an empty page of your Spell Book.● Select 1 MAMODO card from any page of your Spell Book and put it in play.</t>
  </si>
  <si>
    <t>PR-017</t>
  </si>
  <si>
    <t>Rhapsody of Life</t>
  </si>
  <si>
    <t>[2 MP] Send the MAMODO card that SACRIFICED or PROTECTED their Spell Book from the Damage of this MAMODO card's Attack to the Discard Pile. This effect can be applied only when a Sherry PARTNER card is attached to this MAMODO card.</t>
  </si>
  <si>
    <t>Their destinies changed when Brago and Sherry met.</t>
  </si>
  <si>
    <t>PR-018</t>
  </si>
  <si>
    <t>Strange Operation</t>
  </si>
  <si>
    <t>(Cut-In) [DECLARE TO USE] Flip a coin; if it's heads, negate the effect of a MAMODO card your opponent just applied.</t>
  </si>
  <si>
    <t>"It's a big mistake if you think I'm strong!!!"</t>
  </si>
  <si>
    <t>PR-019</t>
  </si>
  <si>
    <t>Bookmarks of the Mamodo World</t>
  </si>
  <si>
    <t>[STANDBY] Select 1 SPELL or EVENT card in the currently open pages of your Spell Book (except this card) and show it to your opponent. After applying this effect, only once during this game (per player), you can play the selected card when it is not in your currently open pages of your Spell Book.</t>
  </si>
  <si>
    <t>These mysterious bookmarks were created by the fortune teller known as Cocomero.</t>
  </si>
  <si>
    <t>PR-020</t>
  </si>
  <si>
    <t>Heading into Battle</t>
  </si>
  <si>
    <t>Select 1 MAMODO card and 1 of its PARTNER cards from any page of your Spell Book and put them in play (both must be selected).</t>
  </si>
  <si>
    <t>"Let's go, Zatch!" "Yeah!"</t>
  </si>
  <si>
    <t>PR-021</t>
  </si>
  <si>
    <t>The Thousand-Year Struggle</t>
  </si>
  <si>
    <t>Send 1 of either player's in-play Stone Tablet MAMODO cards to the Discard Pile.</t>
  </si>
  <si>
    <t>The mamodo from a thousand years ago have been subjected to a nightmare from which they can never awaken.</t>
  </si>
  <si>
    <t>PR-022</t>
  </si>
  <si>
    <t>V</t>
  </si>
  <si>
    <t>Inflict 5 Damage on your opponent (your opponent can SACRIFICE or PROTECT their Spell Book from this Damage). This effect can be applied only once per game (per player).</t>
  </si>
  <si>
    <t>"My beautiful V-power will rise to the top!"</t>
  </si>
  <si>
    <t>PR-023</t>
  </si>
  <si>
    <t>Zagurzem</t>
  </si>
  <si>
    <t>[STANDBY] When you win the Battle as an Attacker, the next time you Damage your opponent’s Spell Book with a “Thunder” Attribute SPELL card during this game, turn 2 pages of your opponent’s Spell Book (this effect can be duplicated).</t>
  </si>
  <si>
    <t>Zatch's 7th spell. A ball of light that stores up accumulative energy in whatever it hits.</t>
  </si>
  <si>
    <t>PR-024</t>
  </si>
  <si>
    <t>Zatch's 7th spell. Zagurzem's energy explodes on contact when detonated by an electric blast.</t>
  </si>
  <si>
    <t>PR-025</t>
  </si>
  <si>
    <t>Prodigy</t>
  </si>
  <si>
    <t>[2 MP] [STANDBY] After applying this effect, only once during this turn (per player), you can play any 1 SPELL card for this MAMODO card from the currently open pages of your Spell Book (except SPELL cards with Wiseman as their MAMODO name).</t>
  </si>
  <si>
    <t>A young genius of the mamodo world school who was barred from participating in the battle to decide the next mamodo king.</t>
  </si>
  <si>
    <t>PR-026</t>
  </si>
  <si>
    <t>Barudo Fours</t>
  </si>
  <si>
    <t>This SPELL card can be played up to twice per turn (per player) if you have Zatch Bell and Tia MAMODO cards in play. Apply 1 of the following effects when you declare the play of this SPELL card: ● [STANDBY] Select 1 Barudo Fours SPELL card from any page of your Spell Book. During the next Battle this turn, add 3000 Power and 2 Damage to the selected card (this effect can be duplicated and is treated as "No Battle"). ● Damage your opponent's Spell Book when you win the Battle as an Attacker. This effect can be applied only once per turn (per player).</t>
  </si>
  <si>
    <t>"If you feel the same way I do... then lend me your power!"</t>
  </si>
  <si>
    <t>PR-027</t>
  </si>
  <si>
    <t>Zatch Bell | Kanchomé | Ponygon</t>
  </si>
  <si>
    <t>This SPELL card can be played up to twice per turn (per player) if you have Kanchomé and Ponygon MAMODO cards in play. Apply 1 of the following effects when you declare the play of this SPELL card: ● [STANDBY] Select 1 Barudo Fours SPELL card from any page of your Spell Book. During the next Battle this turn, add 3000 Power and 2 Damage to the selected SPELL card (this effect can be duplicated). When applying this effect, this SPELL card is "No Battle". ● Damage your opponent's Spell Book when you win the Battle as an Attacker. This effect can be applied only once per turn (per player).</t>
  </si>
  <si>
    <t>"Let our thoughts reach through!" "Barudo Fours!"</t>
  </si>
  <si>
    <t>PR-028</t>
  </si>
  <si>
    <t>The White Spell Book</t>
  </si>
  <si>
    <t>Send your in-play Wiseman MAMODO card and Kotoha PARTNER card to the Discard Pile to put this MAMODO card in play. [2 MP] [STAY] Select 1 SPELL card your opponent already played during this turn. Your opponent cannot play any SPELL cards with the same card name as the selected SPELL card during this game.</t>
  </si>
  <si>
    <t>Kotoha's heart had completely vanished, which resulted in Wiseman becoming the perfect mamodo.</t>
  </si>
  <si>
    <t>PR-029</t>
  </si>
  <si>
    <t>Burning Ponygon</t>
  </si>
  <si>
    <t>(Attack) [DECLARE TO USE] This card may Attack without using a SPELL card (Total Power=4000, Damage=1). This effect can be applied only when a Kafk Sunbeam PARTNER card is attached to this MAMODO card.</t>
  </si>
  <si>
    <t>"You must decide for yourself whether you will fight or not."</t>
  </si>
  <si>
    <t>PR-030</t>
  </si>
  <si>
    <t>Full Power!</t>
  </si>
  <si>
    <t>[IN PLAY] When your MP is reduced to 0 by your opponent's card effects, adjust your MP until you have 5 MP.</t>
  </si>
  <si>
    <t>PR-031</t>
  </si>
  <si>
    <t>Electric Arena 2!</t>
  </si>
  <si>
    <t>This effect can be applied only once per game (per player). Apply both of the following effects in order: ● Turn 1 page of your Spell Book if there are 2 Zaker SPELL cards in the pages immediately following the currently open pages. ● [STAY] Your opponent can neither SACRIFICE nor PROTECT their Spell Book from the Damage of any Zaker SPELL cards during this turn.</t>
  </si>
  <si>
    <t>PR-032</t>
  </si>
  <si>
    <t>Mamodo Fury!</t>
  </si>
  <si>
    <t>[STAY] Your opponent cannot send your MAMODO cards with an attached PARTNER card to the Discard Pile with their card effects during this game (except from Damage or Injury).</t>
  </si>
  <si>
    <t>PR-033</t>
  </si>
  <si>
    <t>Fighting Pose</t>
  </si>
  <si>
    <t>[IN PLAY] When you put this MAMODO card in play during the PREPARATION PHASE of the game, apply both of the following effects in order: ● You have the first turn (skip the coin toss to determine who goes first). ● [STAY] Neither player can apply the effects of their MAMODO cards during the first turn.</t>
  </si>
  <si>
    <t>"Just leave this to me."</t>
  </si>
  <si>
    <t>PR-034</t>
  </si>
  <si>
    <t>Late Night Challenger</t>
  </si>
  <si>
    <t>[IN PLAY] When you put this MAMODO card in play during the PREPARATION PHASE of the game, apply the following effect: [STAY] Your opponent can only put up to 2 cards in play during the BATTLE PHASE of the first turn.</t>
  </si>
  <si>
    <t>"My name is Arth. Proceed to an area where we can fight."</t>
  </si>
  <si>
    <t>PR-035</t>
  </si>
  <si>
    <t>Awakened Power</t>
  </si>
  <si>
    <t>This card is placed on a regular Zatch Bell MAMODO card. [IN PLAY] This MAMODO card does not receive Damage or Injury from an infliction of 3 Damage or less.</t>
  </si>
  <si>
    <t>As the battle intensifies, the experience Zatch gains begins to awaken.</t>
  </si>
  <si>
    <t>PR-036</t>
  </si>
  <si>
    <t>Ode to Joy</t>
  </si>
  <si>
    <t>[IN PLAY] When you put this MAMODO card in play during the PREPARATION PHASE of the game, apply the following effect: [STAY] During the BATTLE PHASE of each player's first turn, the only Action that either player can take is to put cards in play from their respective Spell Books.</t>
  </si>
  <si>
    <t>"How dare you interrupt my song!"</t>
  </si>
  <si>
    <t>PR-037</t>
  </si>
  <si>
    <t>Let's Battle!</t>
  </si>
  <si>
    <t>[DECLARE TO USE] [STANDBY] After applying this effect, only once during this turn (per player), 1 SPELL card with Zatch Bell as its MAMODO name can be played from any page of your Spell Book. This effect can be applied only once per game (per player).</t>
  </si>
  <si>
    <t>[DECLARE TO USE] Begin the Card Battle with your opponent.</t>
  </si>
  <si>
    <t>PR-038</t>
  </si>
  <si>
    <t>Our Hearts United</t>
  </si>
  <si>
    <t>[STAY] During this game, when you have 3 or more MAMODO cards in play, your opponent cannot play cards or apply effects that do the following: ● Reduce your MP. ● Turn pages of your Spell Book (except from Damage). ● Petrify any of your MAMODO cards.</t>
  </si>
  <si>
    <t>When strong feelings become one, a powerful enemy can become a reliable ally.</t>
  </si>
  <si>
    <t>PR-039</t>
  </si>
  <si>
    <t>Succession of the Golden Power</t>
  </si>
  <si>
    <t>[STANDBY] After applying this effect, only once during this game (per player), reduce the MP cost of a "Superior" Class SPELL card you declare the play of by 5. This effect can be applied only once per game (per player).</t>
  </si>
  <si>
    <t>It is said that Zatch is "the one who has inherited Bao." Just what exactly is Bao...?</t>
  </si>
  <si>
    <t>PR-040</t>
  </si>
  <si>
    <t>The Conqueror's Tactics</t>
  </si>
  <si>
    <t>At the end of the turn you play this card on, you lose the game. Turn 2 pages of your opponent's Spell Book.</t>
  </si>
  <si>
    <t>"I don't know who's behind this, but what they're doing is very amusing indeed..."</t>
  </si>
  <si>
    <t>PR-041</t>
  </si>
  <si>
    <t>Mamodo Battles 2!</t>
  </si>
  <si>
    <t>[STAY] Add 2000 Power and Flight Status to all of your in-play MAMODO cards during this turn.</t>
  </si>
  <si>
    <t>PR-042</t>
  </si>
  <si>
    <t>Zatch Bell (Powered-Up)</t>
  </si>
  <si>
    <t>Burning Golden</t>
  </si>
  <si>
    <t>"Let your inner power burn! Burn it golden!"</t>
  </si>
  <si>
    <t>PR-043</t>
  </si>
  <si>
    <t>Attack of MechaVolcan</t>
  </si>
  <si>
    <t>[STAY] All MAMODO cards you have in play that have their Power increased by the effects of EVENT cards containing "Volcan" in their card names do not recieve Damage or Injury during this game.</t>
  </si>
  <si>
    <t>PR-044</t>
  </si>
  <si>
    <t>Volcan</t>
  </si>
  <si>
    <t>Volcan IV</t>
  </si>
  <si>
    <t>This card is put in play separate from MAMODO cards. (Attack) [1 MP] This card may Attack without using a SPELL card (Total Power=7000, Damage=2).</t>
  </si>
  <si>
    <t>A giant robot in Volcan's likeness that suddenly appeared. He was affectionately given the name "Volcan IV" by Zatch.</t>
  </si>
  <si>
    <t>PR-045</t>
  </si>
  <si>
    <t>The Card Battle for GBA</t>
  </si>
  <si>
    <t>&lt;RED TEXT : This card can be played only while your Spell Book is having its pages turned as a result of your opponent's card effects (including from Damage).&gt; Stop turning pages of your Spell Book. This effect cannot be negated by a cut-in effect. This effect can be applied only once per game (per player).</t>
  </si>
  <si>
    <t>PR-046</t>
  </si>
  <si>
    <t>Like a Hurricane</t>
  </si>
  <si>
    <t>[IN PLAY] When you put this MAMODO card in play during the PREPARATION PHASE of the game, apply the following effect: [STAY] Your Spell Book can receive Damage only once per turn (per player) during this game.</t>
  </si>
  <si>
    <t>"You're not fast enough to do any damage to me!"</t>
  </si>
  <si>
    <t>PR-047</t>
  </si>
  <si>
    <t>The Red Spell Book</t>
  </si>
  <si>
    <t>&lt;RED TEXT:This card can be played from any page of your Spell Book.&gt; Negate the effect your opponent just applied that would reduce your MP. Then, get 2 MP.</t>
  </si>
  <si>
    <t>"The spell book... it converts strength from within into energy for a mamodo to use their spells!"</t>
  </si>
  <si>
    <t>PR-048</t>
  </si>
  <si>
    <t>Bao Zakeruga of Friendship</t>
  </si>
  <si>
    <t>Damage your opponent's Spell Book when you win the Battle as an Attacker. Reduce the MP cost of this SPELL card by the number of Kanchomé, Tia, and Ponygon MAMODO cards you have in play times 1.</t>
  </si>
  <si>
    <t>"Tia, Megumi! Lend me your power!"</t>
  </si>
  <si>
    <t>PR-049</t>
  </si>
  <si>
    <t>Damage your opponent's Spell Book when you win the Battle as an Attacker. Increase the Damage of this SPELL card by the number of Kanchomé, Tia, and Ponygon MAMODO cards you have in play times 1.</t>
  </si>
  <si>
    <t>"ZATCH... SHOOT... FRIEND... SHIP..."</t>
  </si>
  <si>
    <t>PR-050</t>
  </si>
  <si>
    <t>Zatch Bell &amp; Toy Volcan</t>
  </si>
  <si>
    <t>Zatch Bell | Toy Volcan</t>
  </si>
  <si>
    <t>Volcan and Me</t>
  </si>
  <si>
    <t>Send your in-play Zatch Bell MAMODO card OR 1 of your in-play VOLCAN cards to the Discard Pile to put this MAMODO in play. [1 MP] Select 1 VOLCAN card from any page of your Spell Book and put it in play.</t>
  </si>
  <si>
    <t>"Thank you for coming to see the movie starring Volcan and me!"</t>
  </si>
  <si>
    <t>PR-051</t>
  </si>
  <si>
    <t>Zatch Bell VS Giant MechaVolcan</t>
  </si>
  <si>
    <t>Zatch Bell | Giant MechaVolcan</t>
  </si>
  <si>
    <t>Friend</t>
  </si>
  <si>
    <t>Send either player's in-play Zatch Bell MAMODO card OR 1 of either player's in-play VOLCAN cards to the Discard Pile to put this MAMODO card in play. [DECLARE TO USE] Send all of your opponent's in-play VOLCAN cards to the Discard Pile. If any cards are sent to the Discard Pile by this effect, select 1 VOLCAN card from any page of your Spell Book and put it in play.</t>
  </si>
  <si>
    <t>"Volcan the 4th and all the other Volcans... are as much my precious friends as anyone else."</t>
  </si>
  <si>
    <t>PR-052</t>
  </si>
  <si>
    <t>Unrelenting</t>
  </si>
  <si>
    <t>[IN PLAY] When you put this MAMODO card in play during the PREPARATION PHASE of the game, apply the following effect: [STAY] Your opponent can apply the effects of their PARTNER cards (except any with [In Play]) only once per turn (per player) during this game.</t>
  </si>
  <si>
    <t>"You lowly worms! You won't get away with this!"</t>
  </si>
  <si>
    <t>PR-053</t>
  </si>
  <si>
    <t>Zatch's Summer Vacation</t>
  </si>
  <si>
    <t>[STANDBY] After applying this effect, only once during this game (per player), you can play up to 2 EVENT cards for 1 turn. This effect can be applied only once per game (per player).</t>
  </si>
  <si>
    <t>"Let's make some fun memories of our summer vacation with Zatch!"</t>
  </si>
  <si>
    <t>PR-054</t>
  </si>
  <si>
    <t>Golden Magic</t>
  </si>
  <si>
    <t>Look at your opponent's Spell Book. Select 1 Promo card (any card that has a card number beginning with "PR") from any of the pages and send it to the Discard Pile.</t>
  </si>
  <si>
    <t>Zatch goes to Faudo in order to save Li-en and the world.</t>
  </si>
  <si>
    <t>PR-055</t>
  </si>
  <si>
    <t>The Lineage of V</t>
  </si>
  <si>
    <t>[STAY] Increase the Damage of all Attacks declared by your in-play MAMODO cards that have their Power increased by the effects of EVENT cards containing "Volcan" in their card names by 1 during this game (this effect cannot be duplicated).</t>
  </si>
  <si>
    <t>The first, second, and third generations of Volcan, as well as Volunlun, were all created by Kiyo.</t>
  </si>
  <si>
    <t>PR-056</t>
  </si>
  <si>
    <t>A New Battle</t>
  </si>
  <si>
    <t>(Battle) (Cut-In) [1 MP] Negate the card effect your opponent just applied (except SPELL card effects) during a Battle that would negate your Attack or Defense.</t>
  </si>
  <si>
    <t>"It's gonna be so much fun to battle with these new and improved rules!"</t>
  </si>
  <si>
    <t>PR-057</t>
  </si>
  <si>
    <t>Go! Go! Mamodo Fight!</t>
  </si>
  <si>
    <t>This EVENT card can be played only when MAMODO cards are the only cards you have in play. [STANDBY] Select 1 SPELL card from the previous page of your Spell Book. The selected SPELL card can be played with a 0 MP cost only once during this turn. This effect can be applied only once per game (per player).</t>
  </si>
  <si>
    <t>PR-058</t>
  </si>
  <si>
    <t>No Holding Back</t>
  </si>
  <si>
    <t>(Battle) [1 MP] [STANDBY] Increase the Total Power of this MAMODO card by 2000 when it Attacks or Defends (this effect can be duplicated). This effect can be applied as many times as you desire per turn.</t>
  </si>
  <si>
    <t>"Use every ounce of power you have!"</t>
  </si>
  <si>
    <t>PR-059</t>
  </si>
  <si>
    <t>Overwhelming Power</t>
  </si>
  <si>
    <t>This card is placed on a regular Zeno MAMODO card. [IN PLAY] Increase the Damage of SPELL cards played for this MAMODO card by 1.</t>
  </si>
  <si>
    <t>"When you say powerful... do you mean something like this?!"</t>
  </si>
  <si>
    <t>PR-060</t>
  </si>
  <si>
    <t>Judgment</t>
  </si>
  <si>
    <t>[DECLARE TO USE] Select 1 MAMODO card that your opponent Attacked with during this turn. [STANDBY] Send the selected MAMODO card to the Discard Pile at the END PHASE of this turn. This effect can be applied only once per game (per player).</t>
  </si>
  <si>
    <t>"Hah... You're such a fool, it's hilarious... Riou... what makes you think you'll last 30 seconds?"</t>
  </si>
  <si>
    <t>PR-061</t>
  </si>
  <si>
    <t>Spectator</t>
  </si>
  <si>
    <t>(Battle) (Cut-In) [SEND THIS CARD TO THE DISCARD PILE] Negate the card effect your opponent just applied during the Battle (except SPELL card effects).</t>
  </si>
  <si>
    <t>PR-062</t>
  </si>
  <si>
    <t>Jauro Zakeruga</t>
  </si>
  <si>
    <t>[COUNTER] Damage your opponent's Spell Book when you win the Battle as an Attacker or as a Defender.</t>
  </si>
  <si>
    <t>Zeno's 4th spell. Riou's strongest spell, Fanon Riou Diou, was stopped by one shot of Jauro Zakeruga.</t>
  </si>
  <si>
    <t>PR-063</t>
  </si>
  <si>
    <t>An Inevitable Battle!</t>
  </si>
  <si>
    <t>[STAY] You can Attack even when prohibited to do so by your opponent's card effects during this game.</t>
  </si>
  <si>
    <t>"Zeno VS Zatch, fateful nemeses locked in a destined battle!"</t>
  </si>
  <si>
    <t>PR-064</t>
  </si>
  <si>
    <t>Congratulations!</t>
  </si>
  <si>
    <t>This card can be played only if you inflicted Damage or Injury during this turn. Get 4 MP.</t>
  </si>
  <si>
    <t>Congratulations on entering the tournament and winning the battle!</t>
  </si>
  <si>
    <t>PR-065</t>
  </si>
  <si>
    <t>Battle Royale</t>
  </si>
  <si>
    <t>Apply both of the following effects in order: ● Negate all active card effects that prohibit a player from sending cards to the Discard Pile. ● [STAY] Neither player can apply card effects that prohibit a player from sending cards to the Discard Pile during this game.</t>
  </si>
  <si>
    <t>Faudo's controller, Faudo's thieves, and those trying to return Faudo to the mamodo world. The battle is just beginning.</t>
  </si>
  <si>
    <t>PR-066</t>
  </si>
  <si>
    <t>The King of Thunder's Violet Lightning</t>
  </si>
  <si>
    <t>Apply both of the following effects in order (both must be applied). These effects can be applied only once per game (per player): ● Send 1 of your opponent's in-play MAMODO cards to the Discard Pile. ● Select 1 MAMODO card from any page of your Spell Book and put it in play.</t>
  </si>
  <si>
    <t>"Purple eyes and silver hair... Impossible... You're the heir of the mamodo royal family.. Zeno, the King of Thunder!"</t>
  </si>
  <si>
    <t>PR-067</t>
  </si>
  <si>
    <t>Become King!</t>
  </si>
  <si>
    <t>Get 6 MP. This effect can be applied only once per game (per player).</t>
  </si>
  <si>
    <t>"Become the king, Zatch. Become the king with your new book owner!"</t>
  </si>
  <si>
    <t>PR-068</t>
  </si>
  <si>
    <t>A Goal to Strive Toward</t>
  </si>
  <si>
    <t>Select 1 "Superior" Class SPELL card from any page of your Spell Book. [STANDBY] Starting next turn, when you Attack with the selected SPELL card, apply 1 of the following effects. This effect can be applied only once per game (per player): ● Reduce the MP cost of the selected SPELL card by 4. ● The selected card can be played even when prohibited to do so by your opponent. ● Your opponent cannot SACRIFICE or PROTECT their Spell Book from Damage.</t>
  </si>
  <si>
    <t>"A fight is not just for the sake of winning. There needs to be a purpose."</t>
  </si>
  <si>
    <t>PR-069</t>
  </si>
  <si>
    <t>Zatch Bell &amp; Kanchomé &amp; Tia</t>
  </si>
  <si>
    <t>Zatch Bell | Kanchomé | Tia</t>
  </si>
  <si>
    <t>TRIPLE MAMODO : Send 2 of any combination of your in-play Zatch Bell, Tia, and Kanchomé DUAL MAMODO cards and/or regular MAMODO cards to the Discard Pile to put this MAMODO card in play. [IN PLAY] SPELL cards can be played for this MAMODO card even when you are prohibited to do so.</t>
  </si>
  <si>
    <t>"We won't let ourselves get beaten by evil morons like you... We will not let you destroy Japan!!!"</t>
  </si>
  <si>
    <t>RIC-001</t>
  </si>
  <si>
    <t>Creator</t>
  </si>
  <si>
    <t>Makoto Raiku</t>
  </si>
  <si>
    <t>A CREATOR card can be put in play only during your BATTLE PHASE. The effects of a CREATOR card can be applied during the BATTLE PHASE of either player's turn. [DECLARE TO USE] [STANDBY] Win the game at the END PHASE of this turn. This effect can be applied only once per game (per player).</t>
  </si>
  <si>
    <t>"I'll be borrowing this card to use in my 'tropical hammock' dream."</t>
  </si>
  <si>
    <t>S-001</t>
  </si>
  <si>
    <t>Zatch's 1st spell. An electric spell that makes Zatch shoot lightning form his mouth.</t>
  </si>
  <si>
    <t>S-002</t>
  </si>
  <si>
    <t>Series 1, Level 1, The Best Booster 1, File 1: Zatch Bell &amp; Ponygon</t>
  </si>
  <si>
    <t>Zatch's 1st spell. Depending on the degree of power from within, the strength of the spell changes.</t>
  </si>
  <si>
    <t>S-003</t>
  </si>
  <si>
    <t>Damage your opponent's Spell Book when you win the Battle as a Defender.</t>
  </si>
  <si>
    <t>Series 1, Level 1, The Best Booster 2</t>
  </si>
  <si>
    <t>Zatch's 2nd spell. With an electric shock, it bounces back an opponent's attack.</t>
  </si>
  <si>
    <t>S-004</t>
  </si>
  <si>
    <t>Jikerdor</t>
  </si>
  <si>
    <t>Damage your opponent's Spell Book when you win the Battle as an Attacker. When you inflict Damage or Injury, flip a coin; if it's heads, your opponent cannot play SPELL cards until the END PHASE of the next turn ([STAY]).</t>
  </si>
  <si>
    <t>Series 1, Level 1, File 1: Zatch Bell &amp; Ponygon</t>
  </si>
  <si>
    <t>Zatch's 3rd spell. A spell with a strong magnetic force that wraps around the opponent.</t>
  </si>
  <si>
    <t>S-005</t>
  </si>
  <si>
    <t>Zatch's 4th spell. It summons a gigantic dragon-shaped lightning.</t>
  </si>
  <si>
    <t>S-006</t>
  </si>
  <si>
    <t>Gikor</t>
  </si>
  <si>
    <t>Ice</t>
  </si>
  <si>
    <t>Reycom's 1st spell. It fires pieces of ice against opponents.</t>
  </si>
  <si>
    <t>S-007</t>
  </si>
  <si>
    <t>Freezudo</t>
  </si>
  <si>
    <t>Damage your opponent's Spell Book when you win the Battle as an Attacker. When you inflict Damage or Injury, your opponent cannot apply the effects of their PARTNER cards until the END PHASE of their next turn ([STAY]).</t>
  </si>
  <si>
    <t>Reycom's 2nd spell. It freezes opponents so that they can't move.</t>
  </si>
  <si>
    <t>S-008</t>
  </si>
  <si>
    <t>Reis</t>
  </si>
  <si>
    <t>Down Force</t>
  </si>
  <si>
    <t>Brago's 1st spell. It throws waves of gravity at an opponent.</t>
  </si>
  <si>
    <t>S-009</t>
  </si>
  <si>
    <t>Gravirei</t>
  </si>
  <si>
    <t>Damage your opponent's Spell Book when you win the Battle as an Attacker. When you inflict Damage or Injury, your opponent cannot play SPELL cards until the END PHASE of their next turn ([STAY]).</t>
  </si>
  <si>
    <t>Brago's 2nd spell. It pins opponents down with a strong gravitational pull.</t>
  </si>
  <si>
    <t>S-010</t>
  </si>
  <si>
    <t>Brago's 3rd spell. A stronger form of Reis, it hits opponents with an energy cluster.</t>
  </si>
  <si>
    <t>S-011</t>
  </si>
  <si>
    <t>Ion Gravirei</t>
  </si>
  <si>
    <t>Brago's 4th spell. Its uncomparible gravity pull is even stronger than Gravirei.</t>
  </si>
  <si>
    <t>S-012</t>
  </si>
  <si>
    <t>Doruk</t>
  </si>
  <si>
    <t>Gofure's 1st spell. He transforms into a beast to attack opponents.</t>
  </si>
  <si>
    <t>S-013</t>
  </si>
  <si>
    <t>Dorsen</t>
  </si>
  <si>
    <t>Gofure's 2nd spell. His tail turns to rock and shoots rock spikes at opponents.</t>
  </si>
  <si>
    <t>S-014</t>
  </si>
  <si>
    <t>Juron</t>
  </si>
  <si>
    <t>Wood</t>
  </si>
  <si>
    <t>Sugino's 1st spell. It halts an opponent's movement by controlling plants.</t>
  </si>
  <si>
    <t>S-015</t>
  </si>
  <si>
    <t>Raja Jugaro</t>
  </si>
  <si>
    <t>Damage your opponent’s Spell Book when you win the Battle as an Attacker.</t>
  </si>
  <si>
    <t>Sugino's 2nd spell. It summons a gigantic plant that shoots seeds.</t>
  </si>
  <si>
    <t>S-016</t>
  </si>
  <si>
    <t>Zeruk</t>
  </si>
  <si>
    <t xml:space="preserve">Damage your opponent’s Spell Book when you win the Battle as an Attacker. When Defending, add 1000 Power to this SPELL card.   </t>
  </si>
  <si>
    <t>Kolulu's 1st spell. She transforms into a fierce figure whose sharp claws destroy everything.</t>
  </si>
  <si>
    <t>S-017</t>
  </si>
  <si>
    <t>Zerusen</t>
  </si>
  <si>
    <t xml:space="preserve">Damage your opponent’s Spell Book when you win the Battle as an Attacker. When Attacking, add 2000 Power to this SPELL card.   </t>
  </si>
  <si>
    <t>Kolulu's 2nd spell. Her punch penetrates opponents like a rocket.</t>
  </si>
  <si>
    <t>S-018</t>
  </si>
  <si>
    <t>Wigar</t>
  </si>
  <si>
    <t>Fein's 1st spell. It attacks opponents with a shock wave.</t>
  </si>
  <si>
    <t>S-019e</t>
  </si>
  <si>
    <t>[STANDBY] When you win the Battle as an Attacker, the next SPELL card you play this turn cannot be Defended.</t>
  </si>
  <si>
    <t>Fein's 2nd spell. It gives Fein the power to move so quickly that he seems to teleport.</t>
  </si>
  <si>
    <t>S-019j</t>
  </si>
  <si>
    <t xml:space="preserve">[STANDBY] When you win the Battle as an Attacker, the next Attack you declare this turn cannot be Defended. </t>
  </si>
  <si>
    <t>S-020</t>
  </si>
  <si>
    <t xml:space="preserve">Reduce your opponent’s MP by 3 when you win the Battle as an Attacker.   </t>
  </si>
  <si>
    <t>Kanchome's 1st spell. He can transform into anything he desires.</t>
  </si>
  <si>
    <t>S-021</t>
  </si>
  <si>
    <t>Koporuk</t>
  </si>
  <si>
    <t>Series 1, Level 1, The Best Booster 2, Revised Edition</t>
  </si>
  <si>
    <t>Kanchome's 2nd spell. A shrinking spell that makes him weaker.</t>
  </si>
  <si>
    <t>S-022</t>
  </si>
  <si>
    <t>Seoshi</t>
  </si>
  <si>
    <t xml:space="preserve">Negate your opponent’s Attack when you win the Battle as a Defender.   </t>
  </si>
  <si>
    <t>Tia's 1st spell. It protects against all attacks except those that come from the ground.</t>
  </si>
  <si>
    <t>S-023</t>
  </si>
  <si>
    <t>+1000</t>
  </si>
  <si>
    <t>Tia's 2nd spell. Wind blades slash opponents.</t>
  </si>
  <si>
    <t>S-024</t>
  </si>
  <si>
    <t xml:space="preserve">Negate your opponent’s Attack when you win the Battle as a Defender.    </t>
  </si>
  <si>
    <t>+8000</t>
  </si>
  <si>
    <t>Tia's 3rd spell. It is one of the most powerful shields against a frontal attack.</t>
  </si>
  <si>
    <t>S-025e</t>
  </si>
  <si>
    <t>Let's Get Out of Here!</t>
  </si>
  <si>
    <t>Flip a coin twice; if it's heads at least once, negate your opponent's Attack regardless of their Power.</t>
  </si>
  <si>
    <t>Escape is sometimes the best tactic.</t>
  </si>
  <si>
    <t>S-025j</t>
  </si>
  <si>
    <t xml:space="preserve">Flip a coin; if you get heads, negate your opponent’s Attack.    </t>
  </si>
  <si>
    <t>S-026e</t>
  </si>
  <si>
    <t>Ready!</t>
  </si>
  <si>
    <t>Flip a coin; if it's heads, apply the following effect: [STANDBY] Your opponent cannot Defend against the next SPELL card you play during this turn.</t>
  </si>
  <si>
    <t>"Keep looking at my right hand, OK?"</t>
  </si>
  <si>
    <t>S-026j</t>
  </si>
  <si>
    <t>Flip a coin; if it's heads, apply the following effect: [STANDBY] Your opponent cannot Defend in the next Battle during this turn.</t>
  </si>
  <si>
    <t>S-027</t>
  </si>
  <si>
    <t>Hold On!</t>
  </si>
  <si>
    <t>Flip a coin twice; if you get heads at least once, reduce the Damage of your opponent's Attack by 1.</t>
  </si>
  <si>
    <t>"No way - I won't let anybody pass through here."</t>
  </si>
  <si>
    <t>S-028</t>
  </si>
  <si>
    <t>Watch Out!</t>
  </si>
  <si>
    <t>"Lay down, Zatch, something is coming!</t>
  </si>
  <si>
    <t>S-029</t>
  </si>
  <si>
    <t>Zatch's 1st spell. "Gather up your inner power!"</t>
  </si>
  <si>
    <t>S-030</t>
  </si>
  <si>
    <t xml:space="preserve">Damage your opponent’s Spell Book when you win the Battle as a Defender.    </t>
  </si>
  <si>
    <t>Zatch's 2nd spell. With an electric shock, this huge shield bounces back an opponent's attack.</t>
  </si>
  <si>
    <t>S-031</t>
  </si>
  <si>
    <t xml:space="preserve">Damage your opponent’s Spell Book when you win the Battle as an Attacker. A MAMODO card that is Injured by this SPELL card is sent to the Discard Pile.    </t>
  </si>
  <si>
    <t>Zatch's 4th spell. "BAOOOOOOOOO!"</t>
  </si>
  <si>
    <t>S-032</t>
  </si>
  <si>
    <t xml:space="preserve">Damage your opponent’s Spell Book when you win the Battle as an Attacker. This SPELL card’s Damage cannot be greater than 3 Damage.    </t>
  </si>
  <si>
    <t>Brago's 1st spell. A gravity cluster fired from his hand strikes opponents!</t>
  </si>
  <si>
    <t>S-033</t>
  </si>
  <si>
    <t xml:space="preserve">Damage your opponent’s Spell Book when you win the Battle as an Attacker. [STAY] When you inflict Damage or Injury, reduce the Power of all of your opponent’s in-play MAMODO cards by 2000 until your opponent’s next END PHASE (it cannot be less than 0 by this effect).    </t>
  </si>
  <si>
    <t>Brago's 2nd spell. Pressure from above smashes the opponent's body.</t>
  </si>
  <si>
    <t>S-034</t>
  </si>
  <si>
    <t xml:space="preserve">Damage your opponent’s Spell Book when you win the Battle as an Attacker. This SPELL card’s Damage cannot be greater than 4 Damage.    </t>
  </si>
  <si>
    <t>Brago's 3rd spell. A compressed energy bullet that's stronger than Reis.</t>
  </si>
  <si>
    <t>S-035</t>
  </si>
  <si>
    <t xml:space="preserve">Damage your opponent’s Spell Book when you win the Battle as an Attacker. Flip a coin twice; if you get heads twice, your opponent can neither SACRIFICE nor PROTECT their Spell Book from Damage.    </t>
  </si>
  <si>
    <t>Brago's 4th spell. A powerful spell that sweeps away everything in sight.</t>
  </si>
  <si>
    <t>S-036</t>
  </si>
  <si>
    <t>Dioga Gravidon</t>
  </si>
  <si>
    <t>Damage your opponent's Spell Book and Injure all of your opponent's MAMODO cards when you win the Battle as an Attacker.</t>
  </si>
  <si>
    <t>Supreme Power of the Golden Spell, Series 2, Level 2</t>
  </si>
  <si>
    <t>Brago's 5th spell. "Tap into your anger to bring out the powers hidden inside the book!"</t>
  </si>
  <si>
    <t>S-037</t>
  </si>
  <si>
    <t>Jikir</t>
  </si>
  <si>
    <t xml:space="preserve">Damage your opponent’s Spell Book when you win the Battle as an Attacker. [STAY] When you inflict Damage or Injury, flip a coin; if it’s heads, your Spell Book and all of your MAMODO cards cannot receive Damage or Injury until your opponent’s next END PHASE.      </t>
  </si>
  <si>
    <t>Hyde's 1st spell. A sudden and powerful wind force emits from his palm!</t>
  </si>
  <si>
    <t>S-038</t>
  </si>
  <si>
    <t>Jikirga</t>
  </si>
  <si>
    <t xml:space="preserve">Damage your opponent’s Spell Book when you win the Battle as an Attacker. [STAY] When you inflict Damage or Injury, your Spell Book and all of your MAMODO cards cannot receive Damage or Injury until your opponent’s next END PHASE.      </t>
  </si>
  <si>
    <t>Hyde's 2nd spell. His strongest offensive espell, it attacks with violent wind pressure.</t>
  </si>
  <si>
    <t>S-039</t>
  </si>
  <si>
    <t xml:space="preserve">Damage your opponent’s Spell Book when you win the Battle as an Attacker. When you inflict Damage or Injury, send 1 of your opponent’s in-play PARTNER cards to the Discard Pile.      </t>
  </si>
  <si>
    <t>Zofis' 1st spell. A violent blaze that instantly blazes the opponent.</t>
  </si>
  <si>
    <t>S-040</t>
  </si>
  <si>
    <t>Barjuron</t>
  </si>
  <si>
    <t xml:space="preserve">Damage your opponent’s Spell Book when you win the Battle as an Attacker. Flip a coin 3 times; the Power of this SPELL card is equal to the number of heads you get times 2000.      </t>
  </si>
  <si>
    <t>x2000</t>
  </si>
  <si>
    <t>Pokkerio's 2nd spell. It makes many tree warriors appear.</t>
  </si>
  <si>
    <t>S-041</t>
  </si>
  <si>
    <t>Juruk</t>
  </si>
  <si>
    <t xml:space="preserve">[STAY] Flip a coin; if it’s heads, your Spell Book and all of your MAMODO cards cannot receive Damage or Injury until your opponent’s next END PHASE. This SPELL card cannot be defended.      </t>
  </si>
  <si>
    <t>Pokkerio's 3rd spell. It makes the trees protect him and his partner.</t>
  </si>
  <si>
    <t>S-042e</t>
  </si>
  <si>
    <t>Damage your opponent's Spell Book when you win the Battle as an Attacker. When Attacking, if the Total Power of this SPELL card is more than 8000, increase the Damage of this SPELL card by 2.</t>
  </si>
  <si>
    <t>Robnos' 1st spell. A hyperspeed beam that slashes at an opponent.</t>
  </si>
  <si>
    <t>S-042j</t>
  </si>
  <si>
    <t>Damage your opponent's Spell Book when you win the Battle as an Attacker. When Attacking, if the Total Power of this SPELL card is 8000 or more, increase the Damage of this SPELL card by 2.</t>
  </si>
  <si>
    <t>S-043</t>
  </si>
  <si>
    <t>Rei Buruk</t>
  </si>
  <si>
    <t xml:space="preserve">Send 2 in-play Robnos (Double) MAMODO cards to the Discard Pile to put 1 Robnos (Complete) MAMODO card from any pocket of your Spell Book in play, OR, send 1 in-play Robnos (Complete) MAMODO card to the Discard Pile to put 2 Robnos (Double) MAMODO cards in play. This SPELL card cannot be defended.      </t>
  </si>
  <si>
    <t>Robnos' 2nd spell. It unites two Robnos bodies.</t>
  </si>
  <si>
    <t>S-044</t>
  </si>
  <si>
    <t>Maruss' 1st spell. Heavy iron chains crush his opponent.</t>
  </si>
  <si>
    <t>S-045</t>
  </si>
  <si>
    <t>Ganzu Garon</t>
  </si>
  <si>
    <t xml:space="preserve">Damage your opponent’s Spell Book when you win the Battle as an Attacker. Flip a coin twice; if you get heads twice, this SPELL card cannot be defended.      </t>
  </si>
  <si>
    <t>Maruss' 2nd spell. It shoots random iron balls to shatter his opponents.</t>
  </si>
  <si>
    <t>S-046</t>
  </si>
  <si>
    <t>Ei Garon</t>
  </si>
  <si>
    <t xml:space="preserve">Damage your opponent’s Spell Book when you win the Battle as an Attacker. Flip a coin; if its heads, this SPELL card cannot be defended.      </t>
  </si>
  <si>
    <t>Maruss' 3rd spell. It gives Maruss the power to control the iron balls, even from the ground.</t>
  </si>
  <si>
    <t>S-047</t>
  </si>
  <si>
    <t>Gigano Garanzu</t>
  </si>
  <si>
    <t>Maruss' 4th spell. It animates a gigantic iron armor that attacks opponents.</t>
  </si>
  <si>
    <t>S-048</t>
  </si>
  <si>
    <t>Zeberu</t>
  </si>
  <si>
    <t xml:space="preserve">Select 1 Baltro (Armored) MAMODO card from any pocket of your Spell Book and place it on a regular Baltro MAMODO card. This SPELL card cannot be defended.      </t>
  </si>
  <si>
    <t>Baltro's 1st spell. It allows him to control anything his flowers are attached to.</t>
  </si>
  <si>
    <t>S-049</t>
  </si>
  <si>
    <t>Zeberusen</t>
  </si>
  <si>
    <t>Baltro's 2nd spell. He fires huge clusters from his chest.</t>
  </si>
  <si>
    <t>S-050</t>
  </si>
  <si>
    <t>Mikeru</t>
  </si>
  <si>
    <t>Yopopo's 1st spell. Yopopo's singing turns into an attack.</t>
  </si>
  <si>
    <t>S-051</t>
  </si>
  <si>
    <t>Doremikeru</t>
  </si>
  <si>
    <t>Yopopo's 3rd spell. He creates a heavy impact wave with his singing.</t>
  </si>
  <si>
    <t>S-052</t>
  </si>
  <si>
    <t>Kikuropu's 1st spell. It grants him tremendously big arms to smash his opponents.</t>
  </si>
  <si>
    <t>S-053</t>
  </si>
  <si>
    <t>Amu Shizaruk</t>
  </si>
  <si>
    <t>Kikuropu's 2nd spell. His hands transform into sharp scissors to slash his opponents.</t>
  </si>
  <si>
    <t>S-054</t>
  </si>
  <si>
    <t>Amursen</t>
  </si>
  <si>
    <t>Kikuropu's 3rd spell. He shoots stone missiles from his elbows.</t>
  </si>
  <si>
    <t>S-055</t>
  </si>
  <si>
    <t>Emron</t>
  </si>
  <si>
    <t>Kikuropu's 4th spell. His expandable burning fists attack opponents.</t>
  </si>
  <si>
    <t>S-056</t>
  </si>
  <si>
    <t>Stay Focused!</t>
  </si>
  <si>
    <t>Negate your opponent’s Attack when you win the Battle as a Defender. If your opponent’s Attack inflicts Damage, get MP equal to 2 times the number of pages turned as Damage.</t>
  </si>
  <si>
    <t>+0</t>
  </si>
  <si>
    <t>"Those that stay focused until the last minute will win this battle!"</t>
  </si>
  <si>
    <t>S-057</t>
  </si>
  <si>
    <t>Checkmate!</t>
  </si>
  <si>
    <t xml:space="preserve">[STANDBY] Flip a coin; if it’s heads, the next SPELL card you play in the same turn Injures 1 of your opponent’s MAMODO cards instead of Damaging their Spell Book when you win the Battle as an Attacker. This SPELL card cannot be defended.       </t>
  </si>
  <si>
    <t>"GGGGGGGrrrrrrrrrrrrrrr!"</t>
  </si>
  <si>
    <t>S-058</t>
  </si>
  <si>
    <t xml:space="preserve">Injure 1 of your opponent’s MAMODO cards instead of Damaging their Spell Book when you win the Battle as an Attacker.       </t>
  </si>
  <si>
    <t>Zeno's 1st spell. "Are you really trying to fight me?"</t>
  </si>
  <si>
    <t>S-059</t>
  </si>
  <si>
    <t>Zatch's 1st spell. "Take this!"</t>
  </si>
  <si>
    <t>S-060</t>
  </si>
  <si>
    <t>Damage your opponent's Spell Book when you win the Battle as an Attacker. Flip a coin; if it's heads, your opponent can neither SACRIFICE nor PROTECT their Spell Book from this card's Damage.</t>
  </si>
  <si>
    <t>Zatch's 5th spell. Reinforced Zaker, when converged has a greater destructive power.</t>
  </si>
  <si>
    <t>S-061</t>
  </si>
  <si>
    <t>Giga La Seoshi</t>
  </si>
  <si>
    <t>[COUNTER] Damage your opponent's Spell Book when you win the Battle as a Defender. The Damage of this SPELL card is considered to be equal to the Damage of your opponent's Attack.</t>
  </si>
  <si>
    <t>?</t>
  </si>
  <si>
    <t>The Gathering Storm, Series 3, Level 3, The Best Booster 1</t>
  </si>
  <si>
    <t>Tia's 4th spell. It forms a barrier around the enemy and reflects all their attacks back onto them.</t>
  </si>
  <si>
    <t>S-062</t>
  </si>
  <si>
    <t>Raja Freezudo</t>
  </si>
  <si>
    <t>Damage your opponent's Spell Book when you win the Battle as an Attacker. [STAY] Regardless of your opponent's Power during this Battle, add 2000 Power to both players' "Ice" Attribute SPELL cards until the END PHASE of your next turn (this effect cannot be duplicated).</t>
  </si>
  <si>
    <t>Furigaro's 1st spell. It freezes everything around the opponent.</t>
  </si>
  <si>
    <t>S-063</t>
  </si>
  <si>
    <t>Scape Gishield</t>
  </si>
  <si>
    <t>Furigaro's 2nd spell. A defensive spell that forms an ice barrier.</t>
  </si>
  <si>
    <t>S-064</t>
  </si>
  <si>
    <t>Lagikor Fang</t>
  </si>
  <si>
    <t>Injure 1 of your opponent's MAMODO cards when you win the Battle as an Attacker.</t>
  </si>
  <si>
    <t>Furigaro's 3rd spell. Beast-shaped ice flies out from the ground to attack opponents.</t>
  </si>
  <si>
    <t>S-065</t>
  </si>
  <si>
    <t>Groundam</t>
  </si>
  <si>
    <t>It squashes opponent from both right and left with a ground wall.</t>
  </si>
  <si>
    <t>S-066</t>
  </si>
  <si>
    <t>Grandbao</t>
  </si>
  <si>
    <t>Damage your opponent's Spell Book when you win the Battle as an Attacker or as a Defender.</t>
  </si>
  <si>
    <t>It blows opponents off the ground with a blast.</t>
  </si>
  <si>
    <t>S-067</t>
  </si>
  <si>
    <t>Damage your opponent's Spell Book when you win the Battle as an Attacker. When you declare the play of this SPELL card, you may pay an additional 2 MP to add 2000 Power and 1 Damage to this SPELL card (maximum 6 MP).</t>
  </si>
  <si>
    <t>It bombards opponents with rocks shot from an earthen cannon.</t>
  </si>
  <si>
    <t>S-068</t>
  </si>
  <si>
    <t>Grancrag</t>
  </si>
  <si>
    <t>Damage your opponent's Spell Book when you win the Battle as an Attacker. [STAY] Regardless of Power, flip a coin after the Battle; if it's heads, your opponent cannot play SPELL cards during this turn.</t>
  </si>
  <si>
    <t>It causes an explosion which is powerful enough to turn the ground to powder.</t>
  </si>
  <si>
    <t>S-069</t>
  </si>
  <si>
    <t>Rigron</t>
  </si>
  <si>
    <t>● When used for Attacking, flip a coin; if it's heads, Damage your opponent's Spell Book. This SPELL card cannot be Defended. ● When used for Defending, flip a coin; if it's heads, negate your opponent's Attack regardless of their Power.</t>
  </si>
  <si>
    <t>It manipulates people and things with a rope.</t>
  </si>
  <si>
    <t>S-070</t>
  </si>
  <si>
    <t>Rigrosen</t>
  </si>
  <si>
    <t>Apply 1 of the following effects when you win the Battle as an Attacker: ● Damage your opponent's Spell Book. ● Injure 1 of your opponent's MAMODO cards.</t>
  </si>
  <si>
    <t>It pierces opponents in the distance using many blades attached to ropes.</t>
  </si>
  <si>
    <t>S-071</t>
  </si>
  <si>
    <t>Dino Rignon</t>
  </si>
  <si>
    <t>Reinforced spell of Rigron, its chains lift up gigantic rocks.</t>
  </si>
  <si>
    <t>S-072</t>
  </si>
  <si>
    <t>Jioruk</t>
  </si>
  <si>
    <t>Turn your in-play Danny MAMODO card to Normal Status.</t>
  </si>
  <si>
    <t>It heals Danny completely in an instant.</t>
  </si>
  <si>
    <t>S-073</t>
  </si>
  <si>
    <t>Dareido</t>
  </si>
  <si>
    <t>[STAY] Your opponent cannot Defend during this turn.</t>
  </si>
  <si>
    <t>It fires a sticky liquid which immobilizes opponents.</t>
  </si>
  <si>
    <t>S-074</t>
  </si>
  <si>
    <t>Poreido</t>
  </si>
  <si>
    <t>Select 1 of your opponent's in-play MAMODO cards. Your opponent can neither play SPELL cards for the selected MAMODO card, nor apply the effects of the selected MAMODO card during the next turn. This effect is [STANDBY] during this turn, and [STAY] during the next turn.</t>
  </si>
  <si>
    <t>It fires a liquid that paralyzes an opponent's body.</t>
  </si>
  <si>
    <t>S-075</t>
  </si>
  <si>
    <t>Mokerudo</t>
  </si>
  <si>
    <t>[STAY] Neither player can play SPELL cards nor apply the effects of their in-play MAMODO cards until the END PHASE of your next turn.</t>
  </si>
  <si>
    <t>It blocks the opponent's sight with a huge smokescreen.</t>
  </si>
  <si>
    <t>S-076</t>
  </si>
  <si>
    <t>Dogurak</t>
  </si>
  <si>
    <t>Damage your opponent's Spell Book when you win the Battle as an Attacker. Any MAMODO cards Injured by this SPELL card are sent to the Discard Pile.</t>
  </si>
  <si>
    <t>A slow, but highly destructive energy ball.</t>
  </si>
  <si>
    <t>S-077</t>
  </si>
  <si>
    <t>Oru Dogurak</t>
  </si>
  <si>
    <t>A reinforced Dogurak, it chases opponents and explodes.</t>
  </si>
  <si>
    <t>S-078</t>
  </si>
  <si>
    <t>Damage your opponent's Spell Book when you win the Battle as an Attacker. When you inflict Damage or Injury, look at the currently open pages of your opponent's Spell Book. Select 1 of either card and send it to the Discard Pile.</t>
  </si>
  <si>
    <t>"Byakuo Koso!" Claws of a hero defeat the evil dragon!</t>
  </si>
  <si>
    <t>S-079</t>
  </si>
  <si>
    <t>Regardless of their Power, your Wonrei MAMODO card does not receive Damage or Injury when it SACRIFICES or PROTECTS your Spell Book from the Damage of your opponent's Attack.</t>
  </si>
  <si>
    <t>Double palms that capture the wind!</t>
  </si>
  <si>
    <t>S-080</t>
  </si>
  <si>
    <t>Garuk</t>
  </si>
  <si>
    <t>Wings of Armor protect the body, then rush at opponent.</t>
  </si>
  <si>
    <t>S-081</t>
  </si>
  <si>
    <t>Oru Wigar</t>
  </si>
  <si>
    <t>Damage your opponent's Spell Book when you win the Battle as an Attacker. Flip a coin; if it's heads, your opponent can neither SACRIFICE nor PROTECT their Spell Book from this SPELL card's Damage.</t>
  </si>
  <si>
    <t>A gust of wind that can be controlled.</t>
  </si>
  <si>
    <t>S-082</t>
  </si>
  <si>
    <t>Fureido</t>
  </si>
  <si>
    <t>Fire</t>
  </si>
  <si>
    <t>Damage your opponent's Spell Book when you win the Battle as an Attacker. Flip a coin; if it's heads, increase the Damage of this SPELL card by 1.</t>
  </si>
  <si>
    <t>A breath of intense flame. Even if it is fired onto the ground, it continues burning.</t>
  </si>
  <si>
    <t>S-083</t>
  </si>
  <si>
    <t>Rin Fureido</t>
  </si>
  <si>
    <t>Damage your opponent's Spell Book when you win the Battle as an Attacker. Flip a coin; if it's heads, increase the Damage of this SPELL card by 2.</t>
  </si>
  <si>
    <t>Rings of fire that are fired one after another.</t>
  </si>
  <si>
    <t>S-084</t>
  </si>
  <si>
    <t>Bareido</t>
  </si>
  <si>
    <t>Damage your opponent's Spell Book when you win the Battle as an Attacker. Flip a coin; if it's heads, this SPELL card cannot be Defended.</t>
  </si>
  <si>
    <t>Shoots innumerable fangs toward opponent.</t>
  </si>
  <si>
    <t>S-085</t>
  </si>
  <si>
    <t>Gigano Bireido</t>
  </si>
  <si>
    <t xml:space="preserve">Damage your opponent's Spell Book when you win the Battle as an Attacker. </t>
  </si>
  <si>
    <t>It fires a beam of intense heat.</t>
  </si>
  <si>
    <t>S-086</t>
  </si>
  <si>
    <t>Select 1 Ponygon (Shudoruk Form) MAMODO card from any page of your Spell Book and place it on regular a Ponygon MAMODO card.</t>
  </si>
  <si>
    <t>Dawn of the Ancients, Series 4, Level 3, The Best Booster 1, File 1: Zatch Bell &amp; Ponygon</t>
  </si>
  <si>
    <t>Ponygon's 1st spell. Makes the user quicker. Transforms the body to enable it to move faster.</t>
  </si>
  <si>
    <t>S-087</t>
  </si>
  <si>
    <t>Go Shudoruk</t>
  </si>
  <si>
    <t>Damage your opponent's Spell Book when you win the Battle as an Attacker. The Total Power of this SPELL card is 8000. When Defending, the Total Power of this SPELL card is 11000.</t>
  </si>
  <si>
    <t>Ponygon's 2nd spell. Enables attacks with fierce horns. It attacks opponents with a sharp horn.</t>
  </si>
  <si>
    <t>S-088</t>
  </si>
  <si>
    <t>Strong WIll to Win</t>
  </si>
  <si>
    <t>Flip a coin twice; if you get heads twice, apply the following effect: [STANDBY] In the next Battle this turn, the MP cost of the SPELL card you play is considered to be 0.</t>
  </si>
  <si>
    <t>Dawn of the Ancients, Series 4, Level 3, The Best Booster 1</t>
  </si>
  <si>
    <t>"We will win!"</t>
  </si>
  <si>
    <t>S-089e</t>
  </si>
  <si>
    <t>Combination!</t>
  </si>
  <si>
    <t>Flip a coin; if it's heads, apply the following effect: [STANDBY] In the next Battle this turn, add the Power of 1 of your in-play MAMODO cards to the Total Power of the next SPELL card you play (except the MAMODO card the SPELL card is played for).</t>
  </si>
  <si>
    <t>"Then we will use a combination as well!"</t>
  </si>
  <si>
    <t>S-089j</t>
  </si>
  <si>
    <t>Flip a coin; if it's heads, apply the following effect: [STANDBY] In the next Battle this turn, add the Power of 1 of your in-play MAMODO cards to the Total Power of your Attack (except the MAMODO card that is Attacking).</t>
  </si>
  <si>
    <t>S-090</t>
  </si>
  <si>
    <t>Are You OK?</t>
  </si>
  <si>
    <t>Flip a coin; if it's heads, move 1 PARTNER card from your Discard Pile into play (if you have the appropriate MAMODO card for it). Send the selected PARTNER card to the Discard Pile at the end of this turn.</t>
  </si>
  <si>
    <t>"Kiyo, are you OK?"</t>
  </si>
  <si>
    <t>S-091</t>
  </si>
  <si>
    <t>Zatch's 4th spell. A dragon-shaped electric shock with extreme destructive power.</t>
  </si>
  <si>
    <t>S-092</t>
  </si>
  <si>
    <t>Damage your opponent's Spell Book when you win the Battle as an Attacker. When Attacking, add 2000 Power to this SPELL card.</t>
  </si>
  <si>
    <t>Zatch's 5th spell. "Zatch, focus!"</t>
  </si>
  <si>
    <t>S-093</t>
  </si>
  <si>
    <t>Flip a coin; if it's heads, reduce your opponent's MP by 3.</t>
  </si>
  <si>
    <t>Kanchome's 1st spell. I'm the invincible mamodo, Kanchome!"</t>
  </si>
  <si>
    <t>S-094</t>
  </si>
  <si>
    <t>Flip a coin; if it's heads, Damage your opponent's Spell Book.</t>
  </si>
  <si>
    <t>Kanchome's 2nd spell. "I'll show my true power to you!"</t>
  </si>
  <si>
    <t>S-095</t>
  </si>
  <si>
    <t>Flip a coin; if it's heads, your Kanchome MAMODO card does not receive Damage or Injury during this turn, regardless of your opponent's Power ([STAY]).</t>
  </si>
  <si>
    <t>The Gathering Storm, Series 3, Zatch Bell and His Friends</t>
  </si>
  <si>
    <t>Kanchomé's 3rd spell. "Ha ha ha ha ha. Did you realize my power?"</t>
  </si>
  <si>
    <t>S-096</t>
  </si>
  <si>
    <t>Tia's 2nd spell. It strikes opponents with a sacred, crescent moon-shaped blade.</t>
  </si>
  <si>
    <t>S-097</t>
  </si>
  <si>
    <t>Negate your opponent's Attack when you win the Battle as a Defender. You may pay an 2 additional MP to add 4000 Power to this SPELL card.</t>
  </si>
  <si>
    <t>Tia's 3rd spell. It creates a large disk-shaped shield that protects the user.</t>
  </si>
  <si>
    <t>S-098</t>
  </si>
  <si>
    <t>Saifogeo</t>
  </si>
  <si>
    <t>Apply 1 or both of the following effects in order: ● Turn 1 of your Injured MAMODO cards to Normal Status ● [STANDBY] 1 SPELL card that you already played this turn can be played again; the MP cost of the SPELL card is considered to be 0. If the number of times is specified, it cannot be played more than that number, and all conditions must be met (such as the card being in the open pages of your Spell Book).</t>
  </si>
  <si>
    <t>The Gathering Storm, Series 3, Zatch Bell and His Friends, Revised Edition</t>
  </si>
  <si>
    <t>Tia's 5th spell. It helps heal allies and allows them to regain energy to fight again.</t>
  </si>
  <si>
    <t>S-099</t>
  </si>
  <si>
    <t>Zeno's 1st spell. Reinforced Zaker which shoots an electric shock from his palm.</t>
  </si>
  <si>
    <t>S-100</t>
  </si>
  <si>
    <t>Damage your opponent's Spell Book regardless of their Power. This SPELL card cannot be Defended.</t>
  </si>
  <si>
    <t>Zeno's spell. It centralizes an electric shock into one point and shoots it from his palm.</t>
  </si>
  <si>
    <t>S-101</t>
  </si>
  <si>
    <t>Brago's 5th spell. It generates a large gravity ball that destroys whatever it comes in contact with.</t>
  </si>
  <si>
    <t>S-102</t>
  </si>
  <si>
    <t>Zonis</t>
  </si>
  <si>
    <t>Bari's 1st spell. Energy fires out of his horns. The reverse thrust enables him to fly.</t>
  </si>
  <si>
    <t>S-103e</t>
  </si>
  <si>
    <t>Doru Zonis</t>
  </si>
  <si>
    <t>Bari's 3rd spell. A gust of energy that spins like a drill, it covers his arm and adds more destructive power.</t>
  </si>
  <si>
    <t>S-103j</t>
  </si>
  <si>
    <t>Damage your opponent's Spell Book when you win the Battle as an Attacker. After comparing Total Power, your opponent cannot apply the effects of cards in their Spell Book during the Battle.</t>
  </si>
  <si>
    <t>S-104</t>
  </si>
  <si>
    <t>Gigano Zonis</t>
  </si>
  <si>
    <t>Damage your opponent's Spell Book when you win the Battle as an Attacker. Look at the currently open pages of your opponent's Spell Book; if there are no SPELL cards in the pages, increase the Damage of this SPELL card by 2.</t>
  </si>
  <si>
    <t>Bari's 4th spell. "There is no surrender in the battle to become King!"</t>
  </si>
  <si>
    <t>S-105</t>
  </si>
  <si>
    <t>Bari's 4th spell. A huge energy vortex, it can catch excaping opponents.</t>
  </si>
  <si>
    <t>S-106</t>
  </si>
  <si>
    <t>Zarushield</t>
  </si>
  <si>
    <t>Negate your opponent's Attack regardless of their Power. Then, turn 1 page of your Spell Book.</t>
  </si>
  <si>
    <t>Bari's 5th spell. It creates a shield.</t>
  </si>
  <si>
    <t>S-107</t>
  </si>
  <si>
    <t>Zatch's 1st spell. As Kiyo and Zatch's relationship grows stronger, so does the spell.</t>
  </si>
  <si>
    <t>S-108</t>
  </si>
  <si>
    <t>Damage your opponent's Spell Book when you win the Battle as an Attacker. Flip a coin; if it's heads, add 2000 Power to this SPELL card.</t>
  </si>
  <si>
    <t>Zatch's 1st spell. "READY? Zaker!"</t>
  </si>
  <si>
    <t>S-109</t>
  </si>
  <si>
    <t>[COUNTER] Negate your opponent's Attack and flip a coin when you win the Battle as a Defender; if it's heads, Damage your opponent's Spell Book.</t>
  </si>
  <si>
    <t>Zatch's 2nd spell. "Zatch, launch their spell right back at them!"</t>
  </si>
  <si>
    <t>S-110</t>
  </si>
  <si>
    <t>Damage your opponent's Spell Book when you win the Battle as an Attacker. When you inflict Damage or Injury, your opponent cannot play SPELL cards during this turn ([STAY]).</t>
  </si>
  <si>
    <t>Zatch's 3rd spell. It is effective in locations where it can magnetize metallic objects.</t>
  </si>
  <si>
    <t>S-111</t>
  </si>
  <si>
    <t>Damage your opponent's Spell Book when you win the Battle as an Attacker. Flip a coin; if it's heads, your opponent can neither SACRIFICE nor PROTECT their Spell Book from Damage.</t>
  </si>
  <si>
    <t>Zatch's 4th spell. As Zatch and Kiyo battle, more power accumulates and Zatch is able to launch a powerful lightning dragon.</t>
  </si>
  <si>
    <t>S-112e</t>
  </si>
  <si>
    <t>Zatch's 5th spell. "Don't stop, follow through! Zakeruga!"</t>
  </si>
  <si>
    <t>S-112j</t>
  </si>
  <si>
    <t>Damage your opponent's Spell Book when you win the Battle as an Attacker. If your opponent SACRIFICED or PROTECTED their Spell Book from this SPELL card's Damage, turn 1 page of your opponent's Spell Book.</t>
  </si>
  <si>
    <t>S-113</t>
  </si>
  <si>
    <t>[STAY] Add the text below to your Zatch Bell MAMODO card until the END PHASE of your next turn: ● (Attack)(Defend)[DECLARE TO USE] This card may Attack without using a SPELL card (Total Power=10000, Damage=1), OR Defend without using a SPELL card (Total Power=10000).</t>
  </si>
  <si>
    <t>Zatch's 6th spell. While it is activated, it reinforces Zatch's body, strength, and speed.</t>
  </si>
  <si>
    <t>S-114</t>
  </si>
  <si>
    <t>Clayshield</t>
  </si>
  <si>
    <t>Earth swells and becomes a shield which protects the body from opponent's attacks.</t>
  </si>
  <si>
    <t>S-115</t>
  </si>
  <si>
    <t>Groundgarudo</t>
  </si>
  <si>
    <t>Apply both of the following effects in order when you win the Battle as an Attacker: ● Damage your opponent's Spell Book. ● Flip a coin; if it's heads, Injure 1 of your opponent's MAMODO.</t>
  </si>
  <si>
    <t>A sharp lump of stone which pushes up from the ground and attacks opponents.</t>
  </si>
  <si>
    <t>S-116</t>
  </si>
  <si>
    <t>Claydo</t>
  </si>
  <si>
    <t>[STAY] When you win the Battle as an Attacker, your opponent can neither play SPELL cards nor can they apply the effects of their in-play MAMODO cards until the END PHASE of the next turn.</t>
  </si>
  <si>
    <t>Earth catches opponents and immobilizes them.</t>
  </si>
  <si>
    <t>S-117</t>
  </si>
  <si>
    <t>Groundbai</t>
  </si>
  <si>
    <t>Damage your opponent's Spell Book when you win the Battle as an Attacker. Your opponent cannot play EVENT cards during the Battle this SPELL card is played.</t>
  </si>
  <si>
    <t>Summons a huge ground snake to attack opponents.</t>
  </si>
  <si>
    <t>S-118</t>
  </si>
  <si>
    <t>Okeru</t>
  </si>
  <si>
    <t>Apply 1 of the following effects when you win the Battle as an Attacker: ● Damage your opponent's Spell Book. ● Send 1 of your opponent's in-play PARTNER cards to the Discard Pile.</t>
  </si>
  <si>
    <t>A supersonic wave that emerges from Baransha's mouth!</t>
  </si>
  <si>
    <t>S-119</t>
  </si>
  <si>
    <t>Armors her skin, enabling Baransha to rush opponents.</t>
  </si>
  <si>
    <t>S-120</t>
  </si>
  <si>
    <t>Boruk</t>
  </si>
  <si>
    <t>It shows an afterimage as a decoy to confuse opponents.</t>
  </si>
  <si>
    <t>S-121</t>
  </si>
  <si>
    <t>Gu Riaruk</t>
  </si>
  <si>
    <t>[STAY] Your Baransha MAMODO card can neither receive Damage or Injury nor can your Baransha MAMODO card be selected as a target for your opponent's card effects until the END PHASE of the next turn.</t>
  </si>
  <si>
    <t>It makes Baransha invisible, enabling her to sneak up behind opponents.</t>
  </si>
  <si>
    <t>S-122</t>
  </si>
  <si>
    <t>Gigano Gadoruk</t>
  </si>
  <si>
    <t>"Take this! Baransha's final attack!"</t>
  </si>
  <si>
    <t>S-123</t>
  </si>
  <si>
    <t>Zegar</t>
  </si>
  <si>
    <t>Kido's 1st spell. When Kido's mouth opens, a ball of energy is fired!</t>
  </si>
  <si>
    <t>S-124</t>
  </si>
  <si>
    <t>Zegaruga</t>
  </si>
  <si>
    <t>Kido's 4th spell. A reinforced version of Zegar.</t>
  </si>
  <si>
    <t>S-125</t>
  </si>
  <si>
    <t>Flip a coin for each of your opponent's in-play PARTNER cards when you win the Battle as an Attacker; if it's heads, send that PARTNER card to the Discard Pile.</t>
  </si>
  <si>
    <t>Kido's 6th spell. A number of mini-Kidos appear and attack the opponent.</t>
  </si>
  <si>
    <t>S-126</t>
  </si>
  <si>
    <t>Raja Zerusen</t>
  </si>
  <si>
    <t>Kido's 8th spell. It discharges a super rocket!</t>
  </si>
  <si>
    <t>S-127</t>
  </si>
  <si>
    <t>Akur</t>
  </si>
  <si>
    <t>Penny's 1st spell. It fires a strong current of water against opponents.</t>
  </si>
  <si>
    <t>S-128</t>
  </si>
  <si>
    <t>Ashield</t>
  </si>
  <si>
    <t>Negate your opponent's Attack when you win the Battle as an Attacker. Negate your opponent's "Thunder" Attribute Attack regardless of their Power.</t>
  </si>
  <si>
    <t>Penny's 2nd spell. A water shield. It also absorbs energy.</t>
  </si>
  <si>
    <t>S-129</t>
  </si>
  <si>
    <t>Damage your opponent's Spell Book when you win the Battle as an Attacker. If you played an Ashield SPELL card on your opponent's previous turn, add 4000 Power and 2 Damage to this SPELL card.</t>
  </si>
  <si>
    <t>Penny's 3rd spell. It fires back the opponent's energy that was absorbed by the Ashield spell.</t>
  </si>
  <si>
    <t>S-130</t>
  </si>
  <si>
    <t>So Giaku</t>
  </si>
  <si>
    <t>Damage your opponent's Spell Book when you win the Battle as an Attacker. When Defending, reduce the Damage of your opponent's Attack by 2 regardless of their Power.</t>
  </si>
  <si>
    <t>Penny's 7th spell. Penny summons a powerful water dragon.</t>
  </si>
  <si>
    <t>S-131</t>
  </si>
  <si>
    <t>Go Redoruk</t>
  </si>
  <si>
    <t>Damage your opponent's Spell Book when you win the Battle as an Attacker. Neither player can apply the effects of PARTNER and EVENT cards during the Battle this SPELL card is played.</t>
  </si>
  <si>
    <t>It reinforces Wonrei's leg power.</t>
  </si>
  <si>
    <t>S-132</t>
  </si>
  <si>
    <t>Gar Redoruk</t>
  </si>
  <si>
    <t>Damage your opponent's Spell Book when you win the Battle as an Attacker. If your opponent does not Defend during the Battle, increase the Damage of this SPELL card by 1.</t>
  </si>
  <si>
    <t>Makes Wonrei fly up in the air and perform a spinning kick.</t>
  </si>
  <si>
    <t>S-133</t>
  </si>
  <si>
    <t>Rao Diboren</t>
  </si>
  <si>
    <t>Damage your opponent's Spell Book when you win the Battle as an Attacker. When you inflict Damage or Injury, reduce your opponent's MP by 3 (maximum) to get 3 MP.</t>
  </si>
  <si>
    <t>Wonrei's 8th spell. It summons a fierce tiger that attacks opponents with its claws and fangs.</t>
  </si>
  <si>
    <t>S-134</t>
  </si>
  <si>
    <t>Damage your opponent's Spell Book when you win the Battle as an Attacker. The Total Power of this SPELL card is 7000. Flip a coin; if it's heads, increase the Damage of this SPELL card by 1.</t>
  </si>
  <si>
    <t>Ponygon's 1st spell. Enables armor and makes him charge toward opponents.</t>
  </si>
  <si>
    <t>S-135</t>
  </si>
  <si>
    <t>Select 1 Ponygon (Go Shudoruk Form) MAMODO card from any page of your Spell Book and place it on a Ponygon MAMODO card.</t>
  </si>
  <si>
    <t>Ponygon's 2nd spell. It changes Ponygon to the 2nd form.</t>
  </si>
  <si>
    <t>S-136</t>
  </si>
  <si>
    <t>Paperuto</t>
  </si>
  <si>
    <t>Apply both of the following effects: ● [STAY] Select 1 of your opponent's in-play MAMODO cards. Your opponent can neither play SPELL cards for nor apply the effects of the selected MAMODO card until the END PHASE of your next turn. ● [STAY] No SPELL cards can be played for nor can you apply the effects of the Nya MAMODO card until the end of your next turn.</t>
  </si>
  <si>
    <t>A mamodo who is under the spell is forced to dance with Nya.</t>
  </si>
  <si>
    <t>S-137</t>
  </si>
  <si>
    <t>Peruk</t>
  </si>
  <si>
    <t>Damage your opponent's Spell Book when you win the Battle as an Attacker. Flip a coin twice; the Damage of this SPELL card is considered to be the same as the number of heads you get times 1.</t>
  </si>
  <si>
    <t>Nya's needle-like hair shoots at opponents.</t>
  </si>
  <si>
    <t>S-138</t>
  </si>
  <si>
    <t>Kyadopan</t>
  </si>
  <si>
    <t>Nya's sharp claws slashes.</t>
  </si>
  <si>
    <t>S-139</t>
  </si>
  <si>
    <t>Baikal</t>
  </si>
  <si>
    <t>Reduce the Damage of your opponent's Attack by 2 regardless of their Power.</t>
  </si>
  <si>
    <t>It makes Nya's body swell out to reduce the shock of an opponent's attack.</t>
  </si>
  <si>
    <t>S-140</t>
  </si>
  <si>
    <t>Baris</t>
  </si>
  <si>
    <t>This SPELL card can be played even when you don't have a Cut n' Paste MAMODO card in play. Select 1 Cut n' Paste MAMODO card from any page of your Spell Book and put it in play.</t>
  </si>
  <si>
    <t>Makes scissors &amp; glue turn into the mamodo, Cut n' Paste.</t>
  </si>
  <si>
    <t>S-141</t>
  </si>
  <si>
    <t>Damage your opponent's Spell Book when you win the Battle as an Attacker. When you inflict Damage or Injury, your opponent cannot play SPELL cards until the END PHASE of the next turn ([STAY]).</t>
  </si>
  <si>
    <t>It fires glue, immobilizing opponents.</t>
  </si>
  <si>
    <t>S-142</t>
  </si>
  <si>
    <t>Shizaruk</t>
  </si>
  <si>
    <t>The power of his scissors cuts through air.</t>
  </si>
  <si>
    <t>S-143</t>
  </si>
  <si>
    <t>Paperuk</t>
  </si>
  <si>
    <t>Damage your opponent's Spell Book when you win the Battle as an Attacker. The Power of this SPELL card is considered to be the same as the number of MAMODO cards in your Discard Pile times 2000.</t>
  </si>
  <si>
    <t>A piece of paper cut into a human shape becomes real and attacks opponents.</t>
  </si>
  <si>
    <t>S-144</t>
  </si>
  <si>
    <t>Ganzu Poreido</t>
  </si>
  <si>
    <t>[STAY] Your opponent cannot apply the effects of their in-play cards with [Send this card to the Discard Pile] until the END PHASE of the next turn.</t>
  </si>
  <si>
    <t>A mamodo and his partner stick together by the power of the paste!</t>
  </si>
  <si>
    <t>S-145</t>
  </si>
  <si>
    <t>Come Out!</t>
  </si>
  <si>
    <t>Flip a coin; if it's heads, apply the following effect: [STANDBY] In the next Battle this turn, 1 SPELL card can be played from any of the previous 4 pages of your Spell Book.</t>
  </si>
  <si>
    <t>"I don't call it a spell if it doesn't come out right now! Give me the power!"</t>
  </si>
  <si>
    <t>S-146</t>
  </si>
  <si>
    <t>Throw It Far Away!</t>
  </si>
  <si>
    <t>This SPELL card can be played only for a MAMODO card with Power that is 5000 or more greater than each of your opponent's in-play MAMODO cards. This SPELL card can be played only once per turn (per player). Move 1 of your opponent's in-play MAMODO (of their choice) to an empty page of their Spell Book when you win the Battle as an Attacker.</t>
  </si>
  <si>
    <t>"Throw him as far as you can!"</t>
  </si>
  <si>
    <t>S-147</t>
  </si>
  <si>
    <t>Gishield</t>
  </si>
  <si>
    <t>Reycom's 3rd spell. It blocks the opponent's attack with an ice shield.</t>
  </si>
  <si>
    <t>S-148</t>
  </si>
  <si>
    <t>Reycom's 4th spell. It summons an ice beast from under the ground.</t>
  </si>
  <si>
    <t>S-149</t>
  </si>
  <si>
    <t>Gigor Garugo</t>
  </si>
  <si>
    <t>[COUNTER] Negate your opponent's Attack and reduce your opponent's MP by 2 when you win the Battle as a Defender.</t>
  </si>
  <si>
    <t>Reycom's 5th spell. It fires icicles from under the ground.</t>
  </si>
  <si>
    <t>S-150</t>
  </si>
  <si>
    <t>Ganzu Gikor</t>
  </si>
  <si>
    <t>Damage your opponent's Spell Book when you win the Battle as an Attacker. Flip a coin twice; if you get heads once, add 2000 Power to this SPELL card. If you get heads twice, add 2000 Power and 1 Damage to this SPELL card.</t>
  </si>
  <si>
    <t>Reycom's 6th spell. It casts Gikor continuosly and fires lumps of ice.</t>
  </si>
  <si>
    <t>S-151</t>
  </si>
  <si>
    <t>Jugaro</t>
  </si>
  <si>
    <t>Sugino's 3rd spell. It fires seeds from the plants against the opponent.</t>
  </si>
  <si>
    <t>S-152</t>
  </si>
  <si>
    <t>Damage your opponent's Spell Book when you win the Battle as an Attacker. Add 2000 Power to this SPELL card each time you pay 1 additional MP (maximum 3 MP).</t>
  </si>
  <si>
    <t>Sugino's 4th spell. It summons a gigantic wooden warrior and lets it fight against the opponent.</t>
  </si>
  <si>
    <t>S-153</t>
  </si>
  <si>
    <t>Dio Jugaro</t>
  </si>
  <si>
    <t>[STANDBY] When you win the Battle as an Attacker, your opponent flips a coin when they Attack during their next turn; if it's tails, negate your opponent's Attack and turn 2 pages of their Spell Book.</t>
  </si>
  <si>
    <t>Sugino's 5th spell. It scatters poisonous pollen and confuses the opponent.</t>
  </si>
  <si>
    <t>S-154</t>
  </si>
  <si>
    <t>Ganzu Jugaro</t>
  </si>
  <si>
    <t>Damage your opponent's Spell Book when you win the Battle as an Attacker. Flip a coin twice; if you get heads twice, add 2000 Power and 2 Damage to this SPELL card.</t>
  </si>
  <si>
    <t>Sugino's 6th spell. The gigantic flower fires seeds.</t>
  </si>
  <si>
    <t>S-155</t>
  </si>
  <si>
    <t>Zerurudo</t>
  </si>
  <si>
    <t>Regardless of Power, your Kolulu MAMODO card can SACRIFICE or PROTECT your Spell Book from Damage even when it is prohibited to do so.</t>
  </si>
  <si>
    <t>Kolulu's 3rd spell. She floats in the air, making herself immune to enemy attacks.</t>
  </si>
  <si>
    <t>S-156</t>
  </si>
  <si>
    <t>Kolulu's 4th spell. Discharges a giant rocket fist to smash the opponent!</t>
  </si>
  <si>
    <t>S-157</t>
  </si>
  <si>
    <t>Geo La Zerudo</t>
  </si>
  <si>
    <t>[COUNTER] Negate your opponent's Attack when you win the Battle as a Defender. If your opponent Attacked without using a SPELL card, Injure the MAMODO card that Attacked in the Battle.</t>
  </si>
  <si>
    <t>Kolulu's 5th spell. Claws emerge from the ground to defend against enemy attacks.</t>
  </si>
  <si>
    <t>S-158</t>
  </si>
  <si>
    <t>Zerarusen</t>
  </si>
  <si>
    <t>Kolulu's 6th spell. Shoots a barrage of claws at her opponent from both hands.</t>
  </si>
  <si>
    <t>S-159</t>
  </si>
  <si>
    <t>Redoruk</t>
  </si>
  <si>
    <t>Damage your opponent's Spell Book when you win the Battle as an Attacker. When you inflict Damage or Injury, the MP costs of your Go Redoruk and Gar Redoruk SPELL cards are considered to be 0 during this turn ([STAY]).</t>
  </si>
  <si>
    <t>Wonrei's 3rd spell. It reinforces his leg strength, enabling him to jump and kick with greater force!</t>
  </si>
  <si>
    <t>S-160</t>
  </si>
  <si>
    <t>Ganzu Boren</t>
  </si>
  <si>
    <t>Damage your opponent's Spell Book when you win the Battle as an Attacker. Flip a coin 3 times; the Power of this SPELL card is considered to be equal to the number of heads you get times 3000, and its Damage is considered to be equal to the number of heads you get times 1.</t>
  </si>
  <si>
    <t>x3000</t>
  </si>
  <si>
    <t>Wonrei's 6th spell. It allows him to send out a flurry of continuous punches.</t>
  </si>
  <si>
    <t>S-161</t>
  </si>
  <si>
    <t>Bari's 1st spell. By firing Zonis while his horns are turned backward, he is capable of flight.</t>
  </si>
  <si>
    <t>S-162</t>
  </si>
  <si>
    <t>Garazonis</t>
  </si>
  <si>
    <t>Damage your opponent's Spell Book when you win the Battle as an Attacker. Look at the currently open pages of your opponent's Spell Book; if there are no SPELL cards, increase the Damage of this SPELL card by 2.</t>
  </si>
  <si>
    <t>Bari's 2nd spell. He rushes the opponent as his body spins.</t>
  </si>
  <si>
    <t>S-163</t>
  </si>
  <si>
    <t>Kido's 2nd spell. Both of his fists become rockets that are fired.</t>
  </si>
  <si>
    <t>S-164</t>
  </si>
  <si>
    <t>Flip a coin twice; if you get heads at least once, negate your opponent's Attack regardless of their Power. If you get tails twice, reduce your MP by 1.</t>
  </si>
  <si>
    <t>Kido's 3rd spell. Kido splits into 2 to avoid an opponent's attack.</t>
  </si>
  <si>
    <t>S-165</t>
  </si>
  <si>
    <t>Am Zegar</t>
  </si>
  <si>
    <t>[STAY] Add the text below to your Kido MAMODO card until your next END PHASE: (Attack)[DECLARE TO USE) This card may Attack without using a SPELL card (Total Power=6000, Damage=2).</t>
  </si>
  <si>
    <t>Kido's 5th spell. "Transform my arm into a gigantic one and hit the opponent!"</t>
  </si>
  <si>
    <t>S-166</t>
  </si>
  <si>
    <t>Flip a coin for each of your opponent's in-play MAMODO cards when you win the Battle as an Attacker; if it's heads, Injure the MAMODO card.</t>
  </si>
  <si>
    <t>Kido's 6th spell. Tiny Kidos are much more powerful than they look.</t>
  </si>
  <si>
    <t>S-167</t>
  </si>
  <si>
    <t>Ganzu Zegar</t>
  </si>
  <si>
    <t>Flip a coin three times when you win the Battle as an Attacker; send up to the same number of your opponent's in-play cards (except MAMODO cards) as heads you get to the Discard Pile.</t>
  </si>
  <si>
    <t>Kido's 7th spell. "Transform my arm into a machine gun and DADADADADA...!"</t>
  </si>
  <si>
    <t>S-168</t>
  </si>
  <si>
    <t>Gigano Zegar</t>
  </si>
  <si>
    <t>Apply both of the following effects in order when you win the Battle as an Attacker: ● Damage your opponent's Spell Book. ● Flip a coin for each of your opponent's in-play MAMODO cards; if it's heads, Injure the MAMODO card.</t>
  </si>
  <si>
    <t>Kido's 9th spell. Reinforced spell of Zegar. It can crush an iceberg.</t>
  </si>
  <si>
    <t>S-169</t>
  </si>
  <si>
    <t>Oruda Kuran</t>
  </si>
  <si>
    <t>Damage your opponent's Spell Book when you win the Battle as an Attacker. The Power of your opponent's "Thunder" Attribute SPELL cards played during the Battle are considered to be 0.</t>
  </si>
  <si>
    <t>Penny's 4th spell. A water whip that absorbs electric energy.</t>
  </si>
  <si>
    <t>S-170</t>
  </si>
  <si>
    <t>Akur Kiro</t>
  </si>
  <si>
    <t>Damage your opponent's Spell Book when you win the Battle as an Attacker. Your opponent cannot apply the effects of their PARTNER and EVENT cards during the Battle.</t>
  </si>
  <si>
    <t>Penny's 5th spell. Many water blades attack the opponent.</t>
  </si>
  <si>
    <t>S-171</t>
  </si>
  <si>
    <t>Aku Rouk</t>
  </si>
  <si>
    <t>[STAY] Add the text below to your Penny MAMODO card until your next END PHASE: (Attack)[DECLARE TO USE) This card may Attack without using a SPELL card (Total Power=6000, Damage=1).</t>
  </si>
  <si>
    <t>Penny's 6th spell. It equips Penny with evil water claws and enables her to attack with them.</t>
  </si>
  <si>
    <t>S-172</t>
  </si>
  <si>
    <t>Damage your opponent's Spell Book when you win the Battle as an Attacker. Your opponent can neither SACRIFICE nor PROTECT their Spell Book from this SPELL card's Damage unless they reduce their MP by 3.</t>
  </si>
  <si>
    <t>Penny's 7th spell. "Uri, we shall make it! Our best spell!"</t>
  </si>
  <si>
    <t>S-173</t>
  </si>
  <si>
    <t>Damage your opponent's Spell Book when you win the Battle as an Attacker. The Damage of this SPELL card is considered to be the same as the number of PARTNER cards in your opponent's Discard Pile times 1.</t>
  </si>
  <si>
    <t>Zofis' 1st spell. It fires a flame that detonates like a bomb to blow the opponent away.</t>
  </si>
  <si>
    <t>S-174</t>
  </si>
  <si>
    <t>Blazudo</t>
  </si>
  <si>
    <t>Damage your opponent's Spell Book when you win the Battle as an Attacker. The Damage of this SPELL card is 0 when the Total Power of this SPELL card is less than 6000, the Damage is 2 when the Total Power is 6000 or more but less than 8000, the Damage is 3 when the Total Power is 8000 or more but less than 10000, and the Damage is 4 when the Total Power is 10000 or more.</t>
  </si>
  <si>
    <t>Grisor's 1st spell. At first, it had no more power than the flame of a match...</t>
  </si>
  <si>
    <t>S-175</t>
  </si>
  <si>
    <t>Riapol</t>
  </si>
  <si>
    <t>Select 1 Grisor (Transformed) MAMODO card from any page of your Spell Book and place it on a Grisor MAMODO card.</t>
  </si>
  <si>
    <t>Grisor's 2nd spell. Through the power of the magic mirror, Grisor transforms into a ferocious figure.</t>
  </si>
  <si>
    <t>S-176</t>
  </si>
  <si>
    <t>Magma Garan</t>
  </si>
  <si>
    <t>Damage your opponent's Spell Book when you win the Battle as an Attacker. [STAY] Regardless of your opponent's Power during this Battle, add 2000 Power to both players' "Fire" Attribute SPELL cards until the END PHASE of your next turn (this effect cannot be duplicated).</t>
  </si>
  <si>
    <t>Grisor's 3rd spell. A spell that controls lava. It upheaves the ground as magma erupts from below!</t>
  </si>
  <si>
    <t>S-177</t>
  </si>
  <si>
    <t>Gorgogeo</t>
  </si>
  <si>
    <t>[STAY] Select 1 of your opponent's in-play MAMODO cards when you win the Battle as an Attacker. Your opponent can neither play SPELL cards for, nor apply the effects of the selected MAMODO until the END PHASE of the next turn.</t>
  </si>
  <si>
    <t>It petrifies the opponent temporarily and makes them freeze.</t>
  </si>
  <si>
    <t>S-178</t>
  </si>
  <si>
    <t>Medoruk</t>
  </si>
  <si>
    <t>It attacks opponents with snakes in its head.</t>
  </si>
  <si>
    <t>S-179</t>
  </si>
  <si>
    <t>Dioga Gorgogeo</t>
  </si>
  <si>
    <t>Petrify 1 of your opponent's MAMODO cards when you win the Battle as an Attacker.</t>
  </si>
  <si>
    <t>Once one gets influence by this spell, they will immediately be trapped in a lithograph.</t>
  </si>
  <si>
    <t>S-180</t>
  </si>
  <si>
    <t>[COUNTER] Negate your opponent's Attack and reduce your opponent's MP by 3 (maximum) when you win the Battle as a Defender.</t>
  </si>
  <si>
    <t>Kanchome's 1st spell. The true power of transformation lies in the art of deception.</t>
  </si>
  <si>
    <t>S-181</t>
  </si>
  <si>
    <t>Negate your opponent's Attack regardless of their Power if the Damage of their Attack is 2 or more. Then, Injure the MAMODO card that Attacked in the Battle.</t>
  </si>
  <si>
    <t>Tia's 4th spell. It bounces an opponent's attack right back at them. After a certain amount of time, the barrier will disappear.</t>
  </si>
  <si>
    <t>S-182</t>
  </si>
  <si>
    <t>Wieshir</t>
  </si>
  <si>
    <t>Fein's 3rd spell. It creates a wall of solid air.</t>
  </si>
  <si>
    <t>S-183</t>
  </si>
  <si>
    <t>Gigano Wigaruga</t>
  </si>
  <si>
    <t>Damage your opponent's Spell Book when you win the Battle as an Attacker. When you declare the play of this SPELL card, you may pay this SPELL card's MP cost again to increase the Damage of this card by 1 (maximum 2 times).</t>
  </si>
  <si>
    <t>Fein's 4th spell. It summons forth a tornado.</t>
  </si>
  <si>
    <t>S-184</t>
  </si>
  <si>
    <t>Fein's 5th spell. The opponent is struck by a shockwave of wind.</t>
  </si>
  <si>
    <t>S-185</t>
  </si>
  <si>
    <t>Garu Yuruk</t>
  </si>
  <si>
    <t>Damage your opponent's Spell Book when you win the Battle as an Attacker. Injure your Fein MAMODO card when you lose the Battle as an Attacker.</t>
  </si>
  <si>
    <t>Fein's 6th spell. The opponent is struck at high speed.</t>
  </si>
  <si>
    <t>S-186</t>
  </si>
  <si>
    <t>Gashield</t>
  </si>
  <si>
    <t>Maruss' 5th spell. His defensive spell, he is protected by a shield of iron pillars.</t>
  </si>
  <si>
    <t>S-187</t>
  </si>
  <si>
    <t>Darai Garon</t>
  </si>
  <si>
    <t>Flip a coin when you win the Battle as an Attacker: ● Heads:Damage your opponent's Spell Book. ● Tails:Injure 1 of your opponent's MAMODO cards. Regardess of the result of the coin toss, your opponent can neither SACRIFICE nor PROTECT their Spell Book from this card's Damage.</t>
  </si>
  <si>
    <t>Maruss' 6th spell. A powerful spell that drops a gigantic iron ball on the opponent.</t>
  </si>
  <si>
    <t>S-188</t>
  </si>
  <si>
    <t>Damage your opponent's Spell Book and Injure 1 of your opponent's MAMODO cards when you win the Battle as an Attacker.</t>
  </si>
  <si>
    <t>Kido's 9th spell. It fires a huge energy bullet from his chest.</t>
  </si>
  <si>
    <t>S-189</t>
  </si>
  <si>
    <t>Mikor Ma Zegaruga</t>
  </si>
  <si>
    <t>[COUNTER] Send 1 of your opponent's in-play MAMODO cards to the Discard Pile when you win the Battle as an Attacker or as a Defender. Then, send the Kido MAMODO card you played this SPELL card for to the Discard Pile.</t>
  </si>
  <si>
    <t>Kido's 10th spell. His most powerful spell, which summons forth a magnificent mechanical goddess.</t>
  </si>
  <si>
    <t>S-190</t>
  </si>
  <si>
    <t>Cut n' Paste</t>
  </si>
  <si>
    <t>Damage your opponent's Spell Book when you win the Battle as an Attacker. Flip a coin twice; increase the Damage of this SPELL card by the number of heads you get times 1.</t>
  </si>
  <si>
    <t>Cut n' Paste's 2nd spell. Attacks the opponent with large pairs of scissors.</t>
  </si>
  <si>
    <t>S-191</t>
  </si>
  <si>
    <t>Gigano Shizaruk</t>
  </si>
  <si>
    <t>Flip a coin 3 times; if you get heads at least once, Damage your opponent's Spell Book when you win the Battle as an Attacker. If you don't get any heads, Damage your Spell Book when you win the Battle as an Attacker.</t>
  </si>
  <si>
    <t>Cut n' Paste's 6th spell. An enormous beast forged from clusters of scissors lunges toward the opponent.</t>
  </si>
  <si>
    <t>S-192</t>
  </si>
  <si>
    <t>Borubora's 1st spell. It shoots a metallic column covered with razor-sharp spikes.</t>
  </si>
  <si>
    <t>S-193</t>
  </si>
  <si>
    <t>Borubora's 2nd spell. It crushes the enemy with a giant metal screw propeller.</t>
  </si>
  <si>
    <t>S-194</t>
  </si>
  <si>
    <t>Dogmos' 1st spell. Bombards the opponent with huge chunks of stone fired by an earthen cannon.</t>
  </si>
  <si>
    <t>S-195</t>
  </si>
  <si>
    <t>Groundga Cobra</t>
  </si>
  <si>
    <t>Damage your opponent's Spell Book when you win the Battle as an Attacker. When you inflict Damage or Injury, your opponent cannot apply the effects of their MAMODO cards during their next turn. This effect is [STANDBY] during this turn, and [STAY] during the next turn.</t>
  </si>
  <si>
    <t>Dogmos' 2nd spell. A massive cobra made from stone bares its fangs at its prey.</t>
  </si>
  <si>
    <t>S-196</t>
  </si>
  <si>
    <t>Erujo's 1st spell. He joins both hands together and fires a light ray from his fingertips.</t>
  </si>
  <si>
    <t>S-197</t>
  </si>
  <si>
    <t>● When used for Attacking, Damage your opponent's Spell Book when you win the Battle as an Attacker. ● When used for Defending, if the Total Power of your opponent's Attack is 7500 or less, negate the Attack.</t>
  </si>
  <si>
    <t>Erujo's 2nd spell. A ring of light that can be wielded like a disc to repel enemy attacks.</t>
  </si>
  <si>
    <t>S-198</t>
  </si>
  <si>
    <t>Ganzu Biraitsu</t>
  </si>
  <si>
    <t>When you win the Battle as an Attacker, select 1 of your opponent's MAMODO cards and flip a coin: ● Heads: Injure the selected MAMODO card. ● Tails: Send the PARTNER card attached to the selected MAMODO card to the Discard Pile.</t>
  </si>
  <si>
    <t>Erujo's 3rd spell. An attack that bombards the enemy with countless light beams from multiple directions.</t>
  </si>
  <si>
    <t>S-199</t>
  </si>
  <si>
    <t>Daibara Biranga</t>
  </si>
  <si>
    <t>Damage your opponent's Spell Book when you win the Battle as an Attacker. When you inflict Damage or Injury, send all of your opponent's in-play PARTNER cards to the Discard Pile.</t>
  </si>
  <si>
    <t>Erujo's 4th spell. A beam of light morphs into a giant mysterious beast that lays waste to its enemies.</t>
  </si>
  <si>
    <t>S-200</t>
  </si>
  <si>
    <t>Alm's 1st spell. A highly destructive energy ball is launched at the opponent.</t>
  </si>
  <si>
    <t>S-201</t>
  </si>
  <si>
    <t>Neshiruga</t>
  </si>
  <si>
    <t>Alm's 2nd spell. An energy sphere with even greater destructive force than Neshir.</t>
  </si>
  <si>
    <t>S-202</t>
  </si>
  <si>
    <t>Ganjas Neshiruga</t>
  </si>
  <si>
    <t>Alm's 3rd spell. Numerous energy bullets erupt from the ground in quick succession.</t>
  </si>
  <si>
    <t>S-203</t>
  </si>
  <si>
    <t>Egdoris Neshiruga</t>
  </si>
  <si>
    <t>Damage your opponent's Spell Book when you win the Battle as an Attacker. Flip a coin 3 times; the Damage of this SPELL card is considered to be the same as the number of heads you get times 2.</t>
  </si>
  <si>
    <t>Alm's 4th spell. A giant, pyramid-shaped object appears and crashes into the enemy.</t>
  </si>
  <si>
    <t>S-204</t>
  </si>
  <si>
    <t>Damage your opponent's Spell Book when you win the Battle as an Attacker. Flip a coin; if it's heads, apply one of the following effects: ● Add 2000 Power to this SPELL card. ● Increase the Damage of this SPELL card by 1.</t>
  </si>
  <si>
    <t>Gelios' 1st spell. The horns on his head change shape as he enters battle mode.</t>
  </si>
  <si>
    <t>S-205</t>
  </si>
  <si>
    <t>Garuderuk</t>
  </si>
  <si>
    <t>Gelios' 2nd spell. He rushes the opponent with his fangs bared, spinning at high speed.</t>
  </si>
  <si>
    <t>S-206</t>
  </si>
  <si>
    <t>Gigano Dioderuk</t>
  </si>
  <si>
    <t>Damage your opponent's Spell Book when you win the Battle as an Attacker. When you inflict Damage or Injury, look at your opponent's Spell Book. Select 1 EVENT card from any of the pages and send it to the Discard Pile.</t>
  </si>
  <si>
    <t>Gelios' 3rd spell. One of the most powerful attack spells that strengthens and enlarges the head.</t>
  </si>
  <si>
    <t>S-207</t>
  </si>
  <si>
    <t>Add the text below to your Gantz MAMODO card until the END PHASE of your next turn: ● (Attack) [DECLARE TO USE] This card may Attack without using a SPELL card (Total Power=6000, Damage=2).</t>
  </si>
  <si>
    <t>Gantz's 1st spell. An enormous punch is thrown at the opponent.</t>
  </si>
  <si>
    <t>S-208</t>
  </si>
  <si>
    <t>Gigano Amuruk</t>
  </si>
  <si>
    <t>Add the text below to your Gantz MAMODO card until the END PHASE of your next turn: ● (Attack) [DECLARE TO USE] This card may Attack without using a SPELL card (Total Power=6000, Damage=3).</t>
  </si>
  <si>
    <t>Gantz's 2nd spell. A reinforced version of Amuruk that exerts immense destructive power.</t>
  </si>
  <si>
    <t>S-209</t>
  </si>
  <si>
    <t>Victoream's 1st spell. This beautiful attack will leave a V-shaped mark on any surface.</t>
  </si>
  <si>
    <t>S-210</t>
  </si>
  <si>
    <t>Magur Yoyo</t>
  </si>
  <si>
    <t>This SPELL card can be played up to twice per turn (per player). When played a second time, the MP cost is considered to be 0. Damage your opponent's Spell Book when you win the Battle as an Attacker.</t>
  </si>
  <si>
    <t>Victoream's 2nd spell. Both of his arms become whip-like yo-yos that can be freely manipulated at will.</t>
  </si>
  <si>
    <t>S-211</t>
  </si>
  <si>
    <t>Chagur</t>
  </si>
  <si>
    <t>Place 1 MP counter on your in-play aVictoream MAMODO card. ● Your MP is not reduced when placing an MP counter. ● Up to 5 MP counters can be placed on the Victoream card. ● Remove all MP counters from your Victoream MAMODO card when your Victoream MAMODO card is sent to the Discard Pile.</t>
  </si>
  <si>
    <t>Victoream's 3rd spell. As he fills up with energy, the five orbs on his body glow in turn.</t>
  </si>
  <si>
    <t>S-212</t>
  </si>
  <si>
    <t>Chagur Imisdon</t>
  </si>
  <si>
    <t>Damage your opponent's Spell Book when you win the Battle as an Attacker. Remove all MP counters on your Victoream MAMODO card when you declare the play of this SPELL card, and add 2000 Power and 2 Damage times the number of MP counters removed.</t>
  </si>
  <si>
    <t>Victoream's 4th spell. All of the energy that the Chagur spell stored within the orbs on his body is unleashed all at once.</t>
  </si>
  <si>
    <t>S-213</t>
  </si>
  <si>
    <t>Detach!</t>
  </si>
  <si>
    <t>Command: Victoream</t>
  </si>
  <si>
    <t>Put your in-play Victoream MAMODO card in Detached Status. ● Attach this card to your Detached Victoream MAMODO card. ● No SPELL cards except Magurga and Glorious Revolution 3-6-O can be played for a Detached Victoream MAMODO card. ● With 1 Action during your BATTLE PHASE, this SPELL card can be moved to an empty page of your Spell Book to cancel the Detached Status.</t>
  </si>
  <si>
    <t>Victoream has the unique ability to separate his head from his body without the need for a spell.</t>
  </si>
  <si>
    <t>S-214</t>
  </si>
  <si>
    <t>Glorious Revolution 3-6-O</t>
  </si>
  <si>
    <t>This SPELL card can be played only if you have a Detached Victoream MAMODO card in play. [STAY] Add the text below to 1 Magurga SPELL card in a page of your Spell Book during this turn: When you win the Battle as an Attacker, flip a coin for each player's in-play MAMODO cards; if it's tails, Injure that MAMODO card.</t>
  </si>
  <si>
    <t>"Glorious Revolution, Three-Six-O! Accelerate, accelerate!"</t>
  </si>
  <si>
    <t>S-215</t>
  </si>
  <si>
    <t>Zatch's 1st spell. An electric spell that makes Zatch shoot lightning from his mouth.</t>
  </si>
  <si>
    <t>S-216</t>
  </si>
  <si>
    <t>This SPELL card can be played up to twice per turn (per player). Damage your opponent's Spell Book when you win the Battle as an Attacker.</t>
  </si>
  <si>
    <t>Zatch's 1st spell. "Zatch! Don't waste power from within, just keep attacking!"</t>
  </si>
  <si>
    <t>S-217</t>
  </si>
  <si>
    <t>Zatch's 4th spell. When Zatch releases his mental power, it summons gigantic dragon-shaped lightning.</t>
  </si>
  <si>
    <t>S-218</t>
  </si>
  <si>
    <t>Damage your opponent's Spell Book when you win the Battle as an Attacker. Flip a coin; if it's heads, any MAMODO cards that SACRIFICED or PROTECTED their Spell Book from this SPELL card's Damage are sent to the Discard Pile.</t>
  </si>
  <si>
    <t>Zatch's 5th spell. Penetrating Zaker. It can be fired continuosly.</t>
  </si>
  <si>
    <t>S-219e</t>
  </si>
  <si>
    <t>[COUNTER] Negate your opponent's Attack when you win the Battle as a Defender. Then, Injure your opponent's MAMODO card that Attacked in the Battle.</t>
  </si>
  <si>
    <t>Zatch's 6th spell. "Nuoooooo!"</t>
  </si>
  <si>
    <t>S-219j</t>
  </si>
  <si>
    <t>[COUNTER] Negate your opponent's Attack when you win the Battle as a Defender. Then, Injure the MAMODO card that Attacked in the Battle.</t>
  </si>
  <si>
    <t>S-220</t>
  </si>
  <si>
    <t>[COUNTER] Negate your opponent's Attack when you win the Battle as a Defender. In addition, your opponent cannot Attack again during this turn ([STAY]).</t>
  </si>
  <si>
    <t>Tia's 3rd spell. "I will defend it!"</t>
  </si>
  <si>
    <t>S-221</t>
  </si>
  <si>
    <t>Apply both of the following effects in any order: ● Turn 1 of your Injured MAMODO cards to Normal Status. ● Get 3 MP.</t>
  </si>
  <si>
    <t>Tia's 5th spell. "How? This is a reliable spell, isn't it?"</t>
  </si>
  <si>
    <t>S-222</t>
  </si>
  <si>
    <t>Baber Gravidon</t>
  </si>
  <si>
    <t>Damage your opponent's Spell Book when you win the Battle as an Attacker. When you inflict Damage or Injury, select as many of your opponent's in-play MAMODO cards with 4000 Power or less as you desire and send them to the Discard Pile.</t>
  </si>
  <si>
    <t>Brago's 8th spell. It applies an intense gravitational force over a wide radius to wipe out his enemies.</t>
  </si>
  <si>
    <t>S-223</t>
  </si>
  <si>
    <t>Damage your opponent's Spell Book when you win the Battle as an Attacker. Before comparing Total Power, select 1 Ponygon (Shudoruk Form) MAMODO card from any page of your Spell Book and place it on a regular Ponygon MAMODO card.</t>
  </si>
  <si>
    <t>Ponygon's 1st spell. "Now, let's show them your strength!"</t>
  </si>
  <si>
    <t>S-224</t>
  </si>
  <si>
    <t>Damage your opponent's Spell Book when you win the Battle as an Attacker. Before comparing Total Power, select 1 Ponygon (Go Shudoruk Form) MAMODO card from any page of your Spell Book and place it on a regular Ponygon MAMODO card.</t>
  </si>
  <si>
    <t>Ponygon's 2nd spell "No way... In this short amount of time, he's already on his 2nd spell?!"</t>
  </si>
  <si>
    <t>S-225</t>
  </si>
  <si>
    <t>Dezurga</t>
  </si>
  <si>
    <t>Damage your opponent's Spell Book when you win the Battle as an Attacker. If your opponent has 2 or less MAMODO cards in play, increase the Damage of this SPELL card by 1.</t>
  </si>
  <si>
    <t>Ibaris' 1st spell. It launches a sharp energy wave that soars toward the opponent.</t>
  </si>
  <si>
    <t>S-226</t>
  </si>
  <si>
    <t>Gigano Dezur</t>
  </si>
  <si>
    <t>Ibaris’ 2nd spell. A gigantic, square-shaped pyramid spins like a drill and charges toward the intruders.</t>
  </si>
  <si>
    <t>S-227</t>
  </si>
  <si>
    <t>Denshin's 1st spell. It fires a beam from his horns that can be aimed from a long distance away.</t>
  </si>
  <si>
    <t>S-228</t>
  </si>
  <si>
    <t>Oruda Bireiron</t>
  </si>
  <si>
    <t>This SPELL card can be played up to thrice per turn (per player). When played more than once, the MP cost is considered to be 0. Damage your opponent's Spell Book when you win the Battle as an Attacker.</t>
  </si>
  <si>
    <t>Denshin’s 2nd spell. He lashes at his foes with erratic whips composed of light!</t>
  </si>
  <si>
    <t>S-229</t>
  </si>
  <si>
    <t>Oru Rozurga</t>
  </si>
  <si>
    <t>Damage your opponent's Spell Book when you win the Battle as an Attacker. During the Battle this SPELL card is played, your opponent cannot apply the effects of their in-play PARTNER cards.</t>
  </si>
  <si>
    <t>Kalura’s 1st spell. A graceful attack in which she sends a large rose flower after her foes.</t>
  </si>
  <si>
    <t>S-230</t>
  </si>
  <si>
    <t>Bazu Agurozes</t>
  </si>
  <si>
    <t>Damage your opponent's Spell Book when you win the Battle as an Attacker. When you inflict Damage or Injury, send 1 of your opponent's in-play PARTNER cards to the Discard Pile.</t>
  </si>
  <si>
    <t>Kalura’s 2nd spell. It summons a gigantic carnivorous plant to devour her enemies.</t>
  </si>
  <si>
    <t>S-231</t>
  </si>
  <si>
    <t>Gigano Bogirga</t>
  </si>
  <si>
    <t>Babiru’s 2nd spell. He puts both arms together and fires a large energy wave.</t>
  </si>
  <si>
    <t>S-232</t>
  </si>
  <si>
    <t>Or Migurga</t>
  </si>
  <si>
    <t>When this SPELL card fails to inflict Damage or Injury (such as losing the Battle as an Attacker or being negated by a card effect), this SPELL card can be played once more this turn with the MP cost considered to be 0. Damage your opponent's Spell Book when you win the Battle as an Attacker.</t>
  </si>
  <si>
    <t>Laila's 3rd spell. It impacts the opponent with a spinning, crescent moon-shaped projectile.</t>
  </si>
  <si>
    <t>S-233</t>
  </si>
  <si>
    <t>Raja Migsen</t>
  </si>
  <si>
    <t>Laila's 4th spell. A huge crescent moon descends upon her opponents.</t>
  </si>
  <si>
    <t>S-234</t>
  </si>
  <si>
    <t>Miberna Ma Migron</t>
  </si>
  <si>
    <t>If you have an Albert PARTNER card in play, this SPELL card can be played up to 3 times per turn (per player). Select 1 of your opponent's in-play MAMODO cards and apply one of the following effects: ● Roll:[STAY] Your opponent cannot apply the effects of the selected MAMODO card until the END PHASE of the next turn. ● Fire:Turn the selected MAMODO card to Injured Status. ● Connect:[STAY] Your opponent cannot play SPELL cards for the selected MAMODO card until the END PHASE of the next turn.</t>
  </si>
  <si>
    <t>Laila's 5th spell. "B, E, H, L, O, R, W! Roll! Fire!! Connect!!"</t>
  </si>
  <si>
    <t>S-235</t>
  </si>
  <si>
    <t>Begirusen</t>
  </si>
  <si>
    <t>Damage your opponent's Spell Book when you win the Battle as an Attacker. Flip a coin; if it's heads, send the MAMODO card that SACRIFICED or PROTECTED their Spell Book from this card's Damage to the Discard Pile.</t>
  </si>
  <si>
    <t>Dalmos' 1st spell. A bladed iron ball shoots from his stomach and spins like a drill.</t>
  </si>
  <si>
    <t>S-236</t>
  </si>
  <si>
    <t>Ambegir</t>
  </si>
  <si>
    <t>Dalmos’ 2nd spell. It extends his arm to deliver a devastating punch!</t>
  </si>
  <si>
    <t>S-237</t>
  </si>
  <si>
    <t>Ganzu Begir</t>
  </si>
  <si>
    <t>Damage your opponent's Spell Book when you win the Battle as an Attacker. Flip a coin until you get tails (maximum 6 times); the Damage of this SPELL card is considered to be the number of heads you get times 1.</t>
  </si>
  <si>
    <t>Dalmos’ 4th spell. It turns his arm into a gatling gun with 6 chambers, which he then uses to shoot down his enemies.</t>
  </si>
  <si>
    <t>S-238</t>
  </si>
  <si>
    <t>Begirubao</t>
  </si>
  <si>
    <t>If your opponent Attacked without using a SPELL card, negate your opponent's Attack regardless of their Power. Then, Injure the MAMODO card that Attacked in the Battle (your opponent can neither SACRIFICE nor PROTECT from this Injury).</t>
  </si>
  <si>
    <t>Dalmos’ 6th spell. It generates an explosion around himself in order to damage approaching adversaries.</t>
  </si>
  <si>
    <t>S-239</t>
  </si>
  <si>
    <t>Erudo</t>
  </si>
  <si>
    <t>[STAY] Add 1000 Power and 1 Damage to the Total Power when your Tsao-lon MAMODO card Attacks or Defends without using a SPELL card until the END PHASE of the next turn (this effect cannot be duplicated).</t>
  </si>
  <si>
    <t>Tsao-lon's 1st spell. It reinforces the power of the staff that he uses in combat.</t>
  </si>
  <si>
    <t>S-240</t>
  </si>
  <si>
    <t>Go Erudo</t>
  </si>
  <si>
    <t>[STAY] Add 2000 Power and 2 Damage to the Total Power when your Tsao-lon MAMODO card Attacks or Defends without using a SPELL card until the END PHASE of the next turn (this effect cannot be duplicated).</t>
  </si>
  <si>
    <t>Tsao-lon’s 2nd spell. An upgraded version of Erudo that strengthens the staff even further!</t>
  </si>
  <si>
    <t>S-241</t>
  </si>
  <si>
    <t>Ganzu Erudo</t>
  </si>
  <si>
    <t>[STAY] The effects of your Tsao-lon MAMODO card with "Attack" and/or "Defend" Icons can be applied up to 3 times per turn (per player) until the END PHASE of the next turn.</t>
  </si>
  <si>
    <t>Tsao-lon's 3rd spell. His staff unleashes a flurry of blows like a raging storm.</t>
  </si>
  <si>
    <t>S-242</t>
  </si>
  <si>
    <t>Zao Gir Erudo</t>
  </si>
  <si>
    <t>Damage your opponent's Spell Book when you win the Battle as an Attacker. If your opponent SACRIFICED or PROTECTED their Spell Book from this SPELL card's Damage, send up to 2 of your opponent's in-play cards to the Discard Pile (except MAMODO cards).</t>
  </si>
  <si>
    <t>Tsao-lon’s 4th spell. It summons forth an enormous shark that skewers its prey.</t>
  </si>
  <si>
    <t>S-243</t>
  </si>
  <si>
    <t>Gigano Ryusu</t>
  </si>
  <si>
    <t>Damage your opponent's Spell Book when you win the Battle as an Attacker. Flip a coin; if it's tails, send the MAMODO card that SACRIFICED or PROTECTED their Spell Book from this card's Damage to the Discard Pile.</t>
  </si>
  <si>
    <t>Belgim E.O.'s 1st spell. It fires a sphere made of the energy of evil spirits.</t>
  </si>
  <si>
    <t>S-244</t>
  </si>
  <si>
    <t>Ganzu Go Ryuga</t>
  </si>
  <si>
    <t>Flip a coin 3 times when you win the Battle as an Attacker; select as many of your opponent’s in-play cards as you desire (except MAMODO cards) up to the number of tails you get and send them to the Discard Pile.</t>
  </si>
  <si>
    <t>Belgim E.O.’s 2nd spell. Two shoulder-mounted turrets appear and open fire on the surrounding area.</t>
  </si>
  <si>
    <t>S-245</t>
  </si>
  <si>
    <t>Elm Ryuga</t>
  </si>
  <si>
    <t>Damage your opponent's Spell Book when you win the Battle as an Attacker. Flip a coin; if it's tails, increase the Damage of this SPELL card by 2.</t>
  </si>
  <si>
    <t>Belgim E.O.'s 3rd spell. He blows fire in all directions.</t>
  </si>
  <si>
    <t>S-246</t>
  </si>
  <si>
    <t>Ryuz Yo-Yo</t>
  </si>
  <si>
    <t>This SPELL card can be played up to 3 times per turn (per player). When played twice or more, the MP cost is considered to be 0. Flip a coin; if it's tails, Damage your opponent's Spell Book when you win the Battle as an Attacker.</t>
  </si>
  <si>
    <t>Belgim E.O.’s 4th spell. It allows him to freely wield yoyo-like whips made from vindictive spirits to lash at the opponent.</t>
  </si>
  <si>
    <t>S-247</t>
  </si>
  <si>
    <t>Ryuzulade Kiroro</t>
  </si>
  <si>
    <t>Flip a coin for each of your opponent's in-play MAMODO cards when you win the Battle as an Attacker; if it's tails, apply 1 of the following effects: ● Injure the MAMODO card. ● Send the MAMODO's attached PARTNER card to the Discard Pile.</t>
  </si>
  <si>
    <t>Belgim E.O.'s 5th spell. A spinning circular blade materializes around his chair.</t>
  </si>
  <si>
    <t>S-248</t>
  </si>
  <si>
    <t>Dioga Ryusdon</t>
  </si>
  <si>
    <t>Flip a coin twice; if it's tails twice, Damage your opponent's Spell Book when you win the Battle as an Attacker.</t>
  </si>
  <si>
    <t>Belgim E.O.’s 6th spell. Its destructive power was enough to obliterate an entire room in the Devolo Ruins.</t>
  </si>
  <si>
    <t>S-249</t>
  </si>
  <si>
    <t>Farga</t>
  </si>
  <si>
    <t>This SPELL card can be played as many times per turn (per player) as the number of MP counters on your Pamoon MAMODO card. Damage your opponent's Spell Book when you win the Battle as an Attacker.</t>
  </si>
  <si>
    <t>Pamoon’s 1st spell. He can increase its attack power by spinning the rotating stars under his control as they fire several lasers.</t>
  </si>
  <si>
    <t>S-250</t>
  </si>
  <si>
    <t>Fashield</t>
  </si>
  <si>
    <t>This SPELL card can be played as many times per turn (per player) as the number of MP counters on your Pamoon MAMODO card. Negate your opponent's Attack when you win the Battle as a Defender.</t>
  </si>
  <si>
    <t>Pamoon’s 2nd spell. Five of the stars that Pamoon controls split up to form a pyramid-shaped barrier.</t>
  </si>
  <si>
    <t>S-251</t>
  </si>
  <si>
    <t>Dame Farga</t>
  </si>
  <si>
    <t>Apply both effects in order when you win the Battle as an Attacker: ● Damage your opponent's Spell Book. ● Select 1 of your opponent's in-play MAMODO cards for every 2 MP counters on your Pamoon MAMODO card and Injure those MAMODO.</t>
  </si>
  <si>
    <t>Pamoon’s 3rd spell. It fires controllable laser beams from countless floating stars.</t>
  </si>
  <si>
    <t>S-252</t>
  </si>
  <si>
    <t>Excelles Farga</t>
  </si>
  <si>
    <t>Damage your opponent's Spell Book when you win the Battle as an Attacker. The Damage of this SPELL card is considered to be the same as the number of MP counters on your Pamoon MAMODO card times 1.</t>
  </si>
  <si>
    <t>Pamoon’s 4th spell. His stars form the shape of an “X” and send forth a tremendous beam of energy.</t>
  </si>
  <si>
    <t>S-253</t>
  </si>
  <si>
    <t>Damage your opponent's Spell Book when you win the Battle as an Attacker. When you inflict Damage or Injury, get 2 MP.</t>
  </si>
  <si>
    <t>Zatch's 1st spell. "Let's go, Zatch! ZAKER!"</t>
  </si>
  <si>
    <t>S-254</t>
  </si>
  <si>
    <t>Damage your opponent's Spell Book when you win the Battle as an Attacker. When you declare the play of this SPELL card, apply 1 or both of the following effects: ● Pay 1 MP:This SPELL card cannot be Defended. ● Pay 2 MP:Your opponent can neither SACRIFICE nor PROTECT their Spell Book from this SPELL card's Damage.</t>
  </si>
  <si>
    <t>Zatch's 5th spell. "Let's go, Zatch! ZAKERUGA!"</t>
  </si>
  <si>
    <t>S-255</t>
  </si>
  <si>
    <t>Uno Dezor</t>
  </si>
  <si>
    <t>Damage your opponent's Spell Book when you win the Battle as an Attacker. When you inflict Damage or Injury, reduce your opponent's MP by 2.</t>
  </si>
  <si>
    <t>Wiseman's 1st spell. An evil energy discharges from his palm.</t>
  </si>
  <si>
    <t>S-256</t>
  </si>
  <si>
    <t>Dos Delsor</t>
  </si>
  <si>
    <t>Damage your opponent's Spell Book when you win the Battle as an Attacker. When you inflict Damage or Injury, reduce your opponent's MP by 4.</t>
  </si>
  <si>
    <t>Wiseman's 2nd spell. It fires an elliptical bullet of evil energy that explodes upon impact.</t>
  </si>
  <si>
    <t>S-257</t>
  </si>
  <si>
    <t>Kiru Dezor</t>
  </si>
  <si>
    <t>Wiseman's 3rd spell. An enormous creature made of malevolent energy and the souls of the wicked casts judgment upon his foes.</t>
  </si>
  <si>
    <t>S-258a</t>
  </si>
  <si>
    <t>Zatch | Kanchomé | Tia | Ponygon</t>
  </si>
  <si>
    <t>This SPELL card can be played only when you have both S-258a and S-258b in the currently open pages of your Spell Book. Damage your opponent's Spell Book when you win the Battle as an Attacker. If your opponent SACRIFICED or PROTECTED their Spell Book from this SPELL card's Damage, turn 2 pages of their Spell Book.</t>
  </si>
  <si>
    <t>+9000</t>
  </si>
  <si>
    <t>Tia, Kanchome, Ponygon, and Zatch...</t>
  </si>
  <si>
    <t>S-258b</t>
  </si>
  <si>
    <t>This SPELL card can be played only when you have both S-258a and S-258b in the currently open pages of your Spell Book.</t>
  </si>
  <si>
    <t>When the thoughts of these four become one, a majestic bird of lightning soars toward its destiny.</t>
  </si>
  <si>
    <t>S-259</t>
  </si>
  <si>
    <t>Place 1 MP counter on your in-play Victoream MAMODO card. ● Your MP is not reduced when placing an MP counter. ● Up to 5 MP counters can be placed on the Victoream card. ● Remove all MP counters from your Victoream MAMODO card when your Victoream MAMODO card is sent to the Discard Pile.</t>
  </si>
  <si>
    <t>Victoream's 3rd spell. "The heart of great pride to my left shoulder! The power of my beauty to the final light!"</t>
  </si>
  <si>
    <t>S-260</t>
  </si>
  <si>
    <t>Damage your opponent's Spell Book when you win the Battle as an Attacker. Add 1000 Power and 1 Damage to this SPELL card for each MP counter on your Victoream MAMODO card.</t>
  </si>
  <si>
    <t>Victoream's 4th spell. "Now I'm going to completely oblierate you!"</t>
  </si>
  <si>
    <t>S-261</t>
  </si>
  <si>
    <t>Migron</t>
  </si>
  <si>
    <t>Damage your opponent's Spell Book when you win the Battle as an Attacker. When you declare the play of this SPELL card, you may pay an additional 1 MP to add 2000 Power and 1 Damage to this SPELL card (maximum 2 MP).</t>
  </si>
  <si>
    <t>Laila's 1st spell. It fires a beam of light from her wand in the shape of a crescent moon.</t>
  </si>
  <si>
    <t>S-262</t>
  </si>
  <si>
    <t>Mishield</t>
  </si>
  <si>
    <t>Laila's 2nd spell. A shield shaped like a crescent moon that fends off an opponent's attack.</t>
  </si>
  <si>
    <t>S-263</t>
  </si>
  <si>
    <t>Begiruk</t>
  </si>
  <si>
    <t>Select 1 Dalmos (Battle Mode) MAMODO card from any page of your Spell Book and place it on a regular Dalmos MAMODO card.</t>
  </si>
  <si>
    <t>Dalmos' 3rd spell. It morphs Dalmos into his upgraded battle form.</t>
  </si>
  <si>
    <t>S-264</t>
  </si>
  <si>
    <t>Kiroro Ambegir</t>
  </si>
  <si>
    <t>This SPELL card can be played only once per turn (per player). [STAY] Increase the Damage of your Dalmos MAMODO card's Attacks by 2 when it Attacks without using a SPELL card until the END PHASE of the next turn (this effect cannot be duplicated).</t>
  </si>
  <si>
    <t>Dalmos' 5th spell. A sharp blade extends from his arm, which he uses to rend his opponents.</t>
  </si>
  <si>
    <t>S-265</t>
  </si>
  <si>
    <t>Damage your opponent's Spell Book when you win the Battle as an Attacker. When you declare the play of this SPELL card, you may pay an additional 2 MP; if you do, your opponent can neither SACRIFICE nor PROTECT their Spell Book from this SPELL card's Damage.</t>
  </si>
  <si>
    <t>Zatch's 1st spell. The lightning that shoots out of his mouth spreads out in an erratic, radial path.</t>
  </si>
  <si>
    <t>S-266</t>
  </si>
  <si>
    <t>Injure all of your opponent's MAMODO cards when you win the Battle as an Attacker. Flip a coin; if it's heads, your opponent cannot SACRIFICE against this SPELL's Injuries.</t>
  </si>
  <si>
    <t>Brago's 5th spell. The tremendous amount of power contained within this black sphere is a sight to behold!</t>
  </si>
  <si>
    <t>S-267</t>
  </si>
  <si>
    <t>Injure 1 of your opponent's MAMODO cards when you win the Battle as an Attacker. Flip a coin; if it's heads, your opponent cannot SACRIFICE against this SPELL's Injury.</t>
  </si>
  <si>
    <t>Zeno's 1st spell. It exceeds Zatch's Zaker in both power and speed.</t>
  </si>
  <si>
    <t>S-268</t>
  </si>
  <si>
    <t>Damage your opponent's Spell Book when you win the Battle as an Attacker. When you inflict Damage or Injury, send 1 of your opponent's in-play MAMODO cards to the Discard Pile.</t>
  </si>
  <si>
    <t>Kido's 9th spell. His chest opens up to reveal a high-powered turret!</t>
  </si>
  <si>
    <t>S-269</t>
  </si>
  <si>
    <t>Damage your opponent's Spell Book when you win the Battle as an Attacker. If a Bao Zakeruga SPELL card was played during this turn, your opponent can neither SACRIFICE nor PROTECT their Spell Book from this SPELL card's Damage.</t>
  </si>
  <si>
    <t>Penny's 7th spell. She calls forth an enormous blue water dragon.</t>
  </si>
  <si>
    <t>S-270</t>
  </si>
  <si>
    <t>[STANDBY] Select 1 of your opponent's in-play MAMODO cards when you win the Battle as an Attacker. When the selected MAMODO card receives Damage or Injury from a "Thunder" Attribute SPELL card, that MAMODO card is sent to the Discard Pile.</t>
  </si>
  <si>
    <t>Zatch's 7th spell. "A sphere of light! A different shape than Jikerdor!"</t>
  </si>
  <si>
    <t>S-271</t>
  </si>
  <si>
    <t>Send 1 of your opponent's Injured MAMODO cards with a Power of 3000 or less to the Discard Pile when you win the Battle as an Attacker.</t>
  </si>
  <si>
    <t>Brago’s 3rd spell. He used Giganoreis to eliminate the mamodo from a thousand years ago, one by one.</t>
  </si>
  <si>
    <t>S-272</t>
  </si>
  <si>
    <t>Damage your opponent’s Spell Book when you win the Battle as an Attacker. If your opponent SACRIFICED or PROTECTED their Spell Book from this card’s Damage, your opponent cannot apply the effects of their MAMODO card that SACRIFICED or PROTECTED against the Damage during this game ([STAY]).</t>
  </si>
  <si>
    <t>Brago’s 4th spell. A powerful gravitational force crushes the enemy mamodo and renders them immobile.</t>
  </si>
  <si>
    <t>S-273</t>
  </si>
  <si>
    <t>Bidom Gravirei</t>
  </si>
  <si>
    <t>[STAY] Your opponent's MAMODO cards cannot be in Flight Status during this game.</t>
  </si>
  <si>
    <t>Brago's 6th spell. "They're in the way... Let's get them down from there."</t>
  </si>
  <si>
    <t>S-274</t>
  </si>
  <si>
    <t>Rior Reis</t>
  </si>
  <si>
    <t>Brago's 7th spell. An enhanced version of Reis that fires from both of his hands.</t>
  </si>
  <si>
    <t>S-275</t>
  </si>
  <si>
    <t>Oruga Reis</t>
  </si>
  <si>
    <t>Brago's 9th spell. It blasts the opponent with a barrage of spiraling gravity waves.</t>
  </si>
  <si>
    <t>S-276</t>
  </si>
  <si>
    <t>Damage your opponent's Spell Book when you win the Battle as an Attacker. When you inflict Damage or Injury, your opponent cannot get MP with their card effects during this game ([STAY]).</t>
  </si>
  <si>
    <t>Penny's 7th spell. "Come on, Uri, shoot! Hurry!!"</t>
  </si>
  <si>
    <t>S-277</t>
  </si>
  <si>
    <t>Ganzu Akur</t>
  </si>
  <si>
    <t>Flip a coin 3 times when you win the Battle as an Attacker; select as many of your opponent’s in-play cards as you desire (except MAMODO cards) up to the number of heads you get and send them to the Discard Pile.</t>
  </si>
  <si>
    <t>Penny's 8th spell. Enables her to shoot countless water bullets every which way.</t>
  </si>
  <si>
    <t>S-278</t>
  </si>
  <si>
    <t>Akuruga</t>
  </si>
  <si>
    <t>Penny's 9th spell. A concentrated stream of water discharges from the palms of her hands.</t>
  </si>
  <si>
    <t>S-279</t>
  </si>
  <si>
    <t>Gigalolo Nyululuk</t>
  </si>
  <si>
    <t>Damage your opponent's Spell Book when you win the Battle as an Attacker. [COUNTER] Inflict 1 Damage on your opponent when you win the Battle as a Defender.</t>
  </si>
  <si>
    <t>Byonko's 1st spell. His arms and legs expand, slamming the opponent.</t>
  </si>
  <si>
    <t>S-280</t>
  </si>
  <si>
    <t>Raja Nyulusen</t>
  </si>
  <si>
    <t>Damage your opponent's Spell Book when you win the Battle as an Attacker. When you inflict Damage or Injury, your opponent cannot apply the effects of their MAMODO cards until the END PHASE of the next turn ([STAY]).</t>
  </si>
  <si>
    <t>Byonko's 2nd spell. It attacks with a slimy foam!"</t>
  </si>
  <si>
    <t>S-281</t>
  </si>
  <si>
    <t>Gigano Nyushield</t>
  </si>
  <si>
    <t>Negate your opponent's Attack when you win the Battle as a Defender. Regardless of their Power, you can SACRIFICE or PROTECT your Spell Book from the Damage of your opponent's Attack even when you are prohibited to do so.</t>
  </si>
  <si>
    <t>Byonko's 3rd spell. This slimy shield is capable of nullifying even the most powerful attacks.</t>
  </si>
  <si>
    <t>S-282</t>
  </si>
  <si>
    <t>Gigano Ribbisto</t>
  </si>
  <si>
    <t>Command: Byonko</t>
  </si>
  <si>
    <t>Get 4 MP regardless of Power.</t>
  </si>
  <si>
    <t>A "super cool" imaginary spell that Byonko came up with all on his own.</t>
  </si>
  <si>
    <t>S-283</t>
  </si>
  <si>
    <t>Oru Fureiga</t>
  </si>
  <si>
    <t>Damage your opponent's Spell Book when you win the Battle as an Attacker. If your opponent Defends with a SPELL card during this Battle, they flip a coin; if it's tails, negate your opponent's SPELL card.</t>
  </si>
  <si>
    <t>Bamu's 1st spell. He fires an energy wave, and can control its trajectory at will.</t>
  </si>
  <si>
    <t>S-284</t>
  </si>
  <si>
    <t>Ganjas Barufrei</t>
  </si>
  <si>
    <t>Damage your opponent's Spell Book when you win the Battle as an Attacker. When you Damage your opponent's Spell Book, send up to 2 of your opponent's in-play PARTNER cards to the Discard Pile.</t>
  </si>
  <si>
    <t>Bamu's 2nd spell. Several energy beams erupt from the ground, targeting Sherry.</t>
  </si>
  <si>
    <t>S-285</t>
  </si>
  <si>
    <t>[STAY] Add the text below to your Faust MAMODO card until the END PHASE of your next turn: (Attack) [DECLARE TO USE] This card may Attack wihtout using a SPELL card (Total Power=7000, Damage=2).</t>
  </si>
  <si>
    <t>Faust's 1st spell. He strengthens his sword to slash away at his foes.</t>
  </si>
  <si>
    <t>S-286</t>
  </si>
  <si>
    <t>Damage your opponent's Spell Book when you win the Battle as an Attacker. When you declare the play of this SPELL card, you may pay an additional 2 MP to add 2000 Power and 1 Damage to this SPELL card.</t>
  </si>
  <si>
    <t>Faust's 2nd spell. Converts his fist into an energy ball that rockets toward the opponent.</t>
  </si>
  <si>
    <t>S-287</t>
  </si>
  <si>
    <t>Damage your opponent's Spell Book when you win the Battle as an Attacker. Injure your Zwei MAMODO card when you lose the Battle as an Attacker or as a Defender.</t>
  </si>
  <si>
    <t>Zwei's 1st spell. He rolls up into a spiked ball and barrels toward the opponent.</t>
  </si>
  <si>
    <t>S-288</t>
  </si>
  <si>
    <t>Chainsen</t>
  </si>
  <si>
    <t>Flip a coin when you win the Battle as an Attacker; if it's tails, Damage your opponent's Spell Book. If it's heads, apply 1 of the following effects: ● Damage your opponent's Spell Book. ● Injure 1 of your opponent's MAMODO cards.</t>
  </si>
  <si>
    <t>Zwei's 2nd spell. Chains lash out from underground to restrain the opponent.</t>
  </si>
  <si>
    <t>S-289</t>
  </si>
  <si>
    <t>Damage your opponent's Spell Book when you win the Battle as an Attacker. If your opponent does not Defend during the Battle, increase the Damage of this SPELL card by 2.</t>
  </si>
  <si>
    <t>Trois' 1st spell. It fires a basic ray of light from his hands.</t>
  </si>
  <si>
    <t>S-290</t>
  </si>
  <si>
    <t>Damage your opponent's Spell Book when you win the Battle as an Attacker. When you inflict Damage or Injury, flip a coin; if it's heads, Injure 1 of your opponent's MAMODO cards.</t>
  </si>
  <si>
    <t>Trois' 2nd spell. It enables him to rain down multiple Biraitsu blasts in quick succession.</t>
  </si>
  <si>
    <t>S-291</t>
  </si>
  <si>
    <t>Raud</t>
  </si>
  <si>
    <t>Faust/Zwei/Trois</t>
  </si>
  <si>
    <t>[STAY] Your opponent cannot apply the effects of their MAMODO cards. The duration of this effect is determined by the total number of Faust, Zwei, and Trois MAMODO cards you have in play: ● 1 card:Until the END PHASE of this turn. ● 2 cards:Until the END PHASE of the next turn. ● 3 cards:Until the END PHASE of your next turn.</t>
  </si>
  <si>
    <t>The secret weapon of the Silent Rulers. Creates a dome that blocks out sound for anyone inside of it.</t>
  </si>
  <si>
    <t>S-292</t>
  </si>
  <si>
    <t>Orugo Farzeruk</t>
  </si>
  <si>
    <t>[STAY] Add the text below to your Pamoon MAMODO card until the END PHASE of your next turn: (Attack) (Defend) [DECLARE TO USE] This card may Attack wihtout using a SPELL card (Total Power=9000, Damage=2) OR, Defend without using a SPELL card (Total Power=9000).</t>
  </si>
  <si>
    <t>Pamoon's 5th spell. A section of stars cling to his body and form solid armor for close combat situations.</t>
  </si>
  <si>
    <t>S-293</t>
  </si>
  <si>
    <t>Dioga Farisdon</t>
  </si>
  <si>
    <t>Damage your opponent's Spell Book when you win the Battle as an Attacker. Increase the Damage of this SPELL card by the amount of MP counters on your Pamoon MAMODO card times 1.</t>
  </si>
  <si>
    <t>Pamoon's 6th spell. "Separate! Aim! Fire!"</t>
  </si>
  <si>
    <t>S-294</t>
  </si>
  <si>
    <t>Pentalum Farga</t>
  </si>
  <si>
    <t>Superion</t>
  </si>
  <si>
    <t>Damage your opponent's Spell Book 5 times when you win the Battle as an Attacker.</t>
  </si>
  <si>
    <t>Pamoon's 7th spell. An enormous amalgamation of five star-shaped fairies slowly descends upon his opponents.</t>
  </si>
  <si>
    <t>S-295</t>
  </si>
  <si>
    <t>Fei Farug</t>
  </si>
  <si>
    <t>[STAY] Put all of your in-play MAMODO cards in Flight Status until the END PHASE of your next turn.</t>
  </si>
  <si>
    <t>Pamoon's 8th spell. As an ethereal light surrounds Zatch's body, he begins to levitate in the air.</t>
  </si>
  <si>
    <t>S-296</t>
  </si>
  <si>
    <t>Lalalalaaai!</t>
  </si>
  <si>
    <t>When you win the Battle as an Attacker, select a number of your opponent's in-play MAMODO and PARTNER cards equal to the amount of MP counters on your Pamoon MAMODO card times 1. [STAY] Your opponent cannot apply the effects of the selected cards until the END PHASE of the next turn.</t>
  </si>
  <si>
    <t>Command:Pamoon</t>
  </si>
  <si>
    <t>S-297</t>
  </si>
  <si>
    <t>Zemoruk</t>
  </si>
  <si>
    <t>Demolt's 1st spell. He attacks with a telescoping weapon on his arm.</t>
  </si>
  <si>
    <t>S-298</t>
  </si>
  <si>
    <t>Oruda Zemoruk</t>
  </si>
  <si>
    <t>Demolt's 2nd spell. A reinforced Zemoruk that manipulations weapons with multiple arms.</t>
  </si>
  <si>
    <t>S-299</t>
  </si>
  <si>
    <t>Rigon Zemoruk</t>
  </si>
  <si>
    <t>[STAY] Add the text below to your Demolt MAMODO card until the END PHASE of your next turn: (Attack) (Defend) [DECLARE TO USE] This card may Attack wihtout using a SPELL card (Total Power=10000, Damage=2) OR, Defend without using a SPELL card (Total Power=10000).</t>
  </si>
  <si>
    <t>Demolt's 3rd spell. "The horns from his arms... They're weapons now?!"</t>
  </si>
  <si>
    <t>S-300</t>
  </si>
  <si>
    <t>Hedyun Zemoruk</t>
  </si>
  <si>
    <t>Your Demolt MAMODO card does not receive Damage or Injury during this Battle ([STAY]).</t>
  </si>
  <si>
    <t>Demolt’s 4th spell. Demolt’s weak spot is the back of his neck… In order to protect this vulnerable area, the horns on his head extend outward to fend off attacks.</t>
  </si>
  <si>
    <t>S-301</t>
  </si>
  <si>
    <t>Ragiant Ji Zemoruk</t>
  </si>
  <si>
    <t>Demolt's 5th spell. It mounts a huge cannon on his arm that fires four consecutive shots. "MAXIMUM!"</t>
  </si>
  <si>
    <t>S-302</t>
  </si>
  <si>
    <t>Diolem Zemoruk</t>
  </si>
  <si>
    <t>Damage your opponent's Spell Book when you win the Battle as an Attacker. If your opponent SACRIFICED or PROTECTED their Spell Book from this SPELL card's Damage, turn 2 pages of your opponent's Spell Book.</t>
  </si>
  <si>
    <t>Demolt's 6th spell. Ignites his huge fists in massive flames that can burn away spell books with barely a graze.</t>
  </si>
  <si>
    <t>S-303</t>
  </si>
  <si>
    <t>Baulo Yuruk</t>
  </si>
  <si>
    <t>[STAY] Put your Demolt MAMODO card in Flight Status during this turn.</t>
  </si>
  <si>
    <t>Demolt's 7th spell. Demolt's wings open and allow him to fly.</t>
  </si>
  <si>
    <t>S-304</t>
  </si>
  <si>
    <t>Girgadom Barsuruk</t>
  </si>
  <si>
    <t>Select 1 Demolt (Berserker) MAMODO card from any page of your Spell Book and place it on a regular Demolt MAMODO card.</t>
  </si>
  <si>
    <t>Demolt's 8th spell. A forbidden spell that strengthens Demolt's entire body.</t>
  </si>
  <si>
    <t>S-305</t>
  </si>
  <si>
    <t>Teoradom</t>
  </si>
  <si>
    <t>Zofis' 3rd spell. "Oh, my... What's wrong? Your spell isn't as powerful as usual."</t>
  </si>
  <si>
    <t>S-306</t>
  </si>
  <si>
    <t>Dioga Teoradom</t>
  </si>
  <si>
    <t>Damage your opponent's Spell Book when you win the Battle as an Attacker. When you inflict Damage or Injury, send all of your opponent's in-play cards (except MAMODO cards) to the Discard Pile.</t>
  </si>
  <si>
    <t>Zofis' 4th spell. "Don't you understand that I'm the one who's furious?!"</t>
  </si>
  <si>
    <t>S-307</t>
  </si>
  <si>
    <t>Oruga Radom</t>
  </si>
  <si>
    <t>Damage your opponent's Spell Book when you win the Battle as an Attacker. Any MAMODO card Injured by this SPELL card is sent to the Discard Pile. Power+3000</t>
  </si>
  <si>
    <t>Zofis' 6th spell. Like Oruga Reis, it fires spiralling energy.</t>
  </si>
  <si>
    <t>S-308</t>
  </si>
  <si>
    <t>Gigano Radom</t>
  </si>
  <si>
    <t>Damage your opponent's Spell Book when you win the Battle as an Attacker. When you inflict Damage or Injury, send all of your opponent's in-play PARTNER cards to the Discard Pile until your opponent has only 1 PARTNER card in play.</t>
  </si>
  <si>
    <t>Zofis' 7th spell. An exploding sphere with a degree of power equal to Gigano Reis!</t>
  </si>
  <si>
    <t>S-309</t>
  </si>
  <si>
    <t>Digan Teoradom</t>
  </si>
  <si>
    <t>This SPELL card can be played up to 4 times per turn (per player). Damage your opponent's Spell Book when you win the Battle as an Attacker.</t>
  </si>
  <si>
    <t>Zofis' 8th spell. "I wonder how many more times can you withstand this attack?"</t>
  </si>
  <si>
    <t>S-310</t>
  </si>
  <si>
    <t>Brago's 1st spell. A gravity cluster that can have its power suppressed on command.</t>
  </si>
  <si>
    <t>S-311</t>
  </si>
  <si>
    <t>[STAY] Select 1 of your opponent's in-play cards when you win the Battle as an Attacker. Your opponent cannot apply the effects with [In Play] of the selected card during this game.</t>
  </si>
  <si>
    <t>Brago's 2nd spell. Humans can survive being crushed under its gravity, but are unable to take further action.</t>
  </si>
  <si>
    <t>S-312</t>
  </si>
  <si>
    <t>Apply both of the following effects in order when you win the Battle as an Attacker: ● Damage your opponent's Spell Book. ● Send 1 of your opponent's Injured MAMODO to the Discard Pile. Power+6000</t>
  </si>
  <si>
    <t>Brago's 5th spell. It has enough power to instantly obliterate any spell in its path.</t>
  </si>
  <si>
    <t>S-313</t>
  </si>
  <si>
    <t>Apply both of the following effects in order when you win the Battle as an Attacker: ● Injure all of your opponent's MAMODO cards. ● Damage your opponent's Spell Book.</t>
  </si>
  <si>
    <t>Brago's 8th spell. Now that Sherry has heard Koko's heart crying out to her... what is the true extent of its power?!</t>
  </si>
  <si>
    <t>S-314</t>
  </si>
  <si>
    <t>Zofis' 1st spell. An exploding orb of light is discharged from the palm of his hand.</t>
  </si>
  <si>
    <t>S-315</t>
  </si>
  <si>
    <t>Rond Radom</t>
  </si>
  <si>
    <t>Zofis' 2nd spell. Enables him to wield a whip of light that explodes on contact.</t>
  </si>
  <si>
    <t>S-316</t>
  </si>
  <si>
    <t>Gigarado Shield</t>
  </si>
  <si>
    <t>Zofis' 5th spell. Its defensive power is formidable enough to even stop Brago's Dioga Gravidon.</t>
  </si>
  <si>
    <t>S-317</t>
  </si>
  <si>
    <t>Zatch's 2nd spell. "If we protect from the front, that's all we need to give us a clear path in the back!"</t>
  </si>
  <si>
    <t>S-318</t>
  </si>
  <si>
    <t>Zatch's 4th spell. "Our combined efforts will lead us to victory!"</t>
  </si>
  <si>
    <t>S-319</t>
  </si>
  <si>
    <t>Damage your opponent's Spell Book when you win the Battle as an Attacker. When you declare the play of this SPELL card, you may pay an additional 2 MP to increase the Damage of this SPELL card by 2.</t>
  </si>
  <si>
    <t>Zatch's 5th spell. "We have to attack, there's no time!"</t>
  </si>
  <si>
    <t>S-320</t>
  </si>
  <si>
    <t>Damage your opponent's Spell Book when you win the Battle as an Attacker. [STAY] Regardless of their Power, until the END PHASE of your next turn, you can neither play SPELL cards with Zatch Bell as their MAMODO name, nor can your Zatch Bell MAMODO card receive Damage or Injury.</t>
  </si>
  <si>
    <t>Zatch's 6th spell. He can't be damaged after using this body strengthening spell.</t>
  </si>
  <si>
    <t>S-321</t>
  </si>
  <si>
    <t>[STANDBY] When you win the Battle as an Attacker, when the next "Thunder" Attribute SPELL card you play during this turn inflicts Damage or Injury to any of your opponent's MAMODO cards, send that MAMODO card to the Discard Pile.</t>
  </si>
  <si>
    <t>Zatch's 7th spell. "Zagurzem alone doesn't do any damage, but..."</t>
  </si>
  <si>
    <t>S-322</t>
  </si>
  <si>
    <t>Zofis' 1st spell. Though the projectile is small, it explodes and inflicts great damage on impact.</t>
  </si>
  <si>
    <t>S-323</t>
  </si>
  <si>
    <t>Zofis' 2nd spell. "Hmm, you've managed to avoid my explosion whip..."</t>
  </si>
  <si>
    <t>S-324</t>
  </si>
  <si>
    <t>Damage your opponent's Spell Book when you win the Battle as an Attacker. When you inflict Damage or Injury, your opponent cannot apply the effects of their MAMODO cards until the END PHASE of their next turn ([STAY]).</t>
  </si>
  <si>
    <t>Zofis' 3rd spell. An explosive projectile that is faster and larger than Radom.</t>
  </si>
  <si>
    <t>S-325</t>
  </si>
  <si>
    <t>Zofis' 4th spell. "I have enough power to completely destroy you all..."</t>
  </si>
  <si>
    <t>S-326</t>
  </si>
  <si>
    <t>Zofis' 5th spell. "Heh... They're starting to use some of their more powerful spells."</t>
  </si>
  <si>
    <t>S-327</t>
  </si>
  <si>
    <t>Bao Zakeruga (Reinforced)</t>
  </si>
  <si>
    <t>Damage your opponent's Spell Book when you win the Battle as an Attacker. If the power of this SPELL card is increased by the effects of a Zagurzem SPELL card, your opponent can neither SACRIFICE nor PROTECT their Spell Book from the Damage of this SPELL card.</t>
  </si>
  <si>
    <t>Zatch’s 4th spell. “After absorbing the charge from Zagurzem’s chain reaction... Bao... changed its form?!”</t>
  </si>
  <si>
    <t>S-328</t>
  </si>
  <si>
    <t>Apply the following effect when you win the Battle as an Attacker or as a Defender: [STANDBY] Add 1000 Power and 1 Damage to the next Bao Zakeruga (Reinforced) SPELL card you play during this game (this effect can be duplicated).</t>
  </si>
  <si>
    <t>Zatch’s 7th spell. Zagurzem has the hidden power to set off chain reaction explosions!</t>
  </si>
  <si>
    <t>S-329</t>
  </si>
  <si>
    <t>Project A</t>
  </si>
  <si>
    <t>Flip a coin; if it's heads, apply the following effect: [STANDBY] During the next Battle this turn when your Ponygon MAMODO card Attacks, your opponent can neither Defend nor can they SACRIFICE or PROTECT their Spell Book from Damage.</t>
  </si>
  <si>
    <t>Command:Ponygon</t>
  </si>
  <si>
    <t>S-330</t>
  </si>
  <si>
    <t>Medoru</t>
  </si>
  <si>
    <t>Turn as many of either player's Petrified MAMODO cards as you desire to Normal Status.</t>
  </si>
  <si>
    <t>Goren’s 4th spell. He also possessed the ability to free his own victims from their stone tablet prisons.</t>
  </si>
  <si>
    <t>S-331</t>
  </si>
  <si>
    <t>Garneshir</t>
  </si>
  <si>
    <t>Damage your opponent's Spell Book when you win the Battle as an Attacker. Flip a coin; if it's heads, increase the Damage of this SPELL card by 1. If it's tails, this SPELL card Damages your Spell Book after inflicting Damage or Injury.</t>
  </si>
  <si>
    <t>His body thrusts forward as he spins like a high-speed drill.</t>
  </si>
  <si>
    <t>S-332</t>
  </si>
  <si>
    <t>Damage your opponent's Spell Book when you win the Battle as an Attacker. [STAY] Regardless of your opponent's Power during this Battle, add 2000 Power to both players' "Water" Attribute SPELL cards until the END PHASE of your next turn (this effect cannot be duplicated).</t>
  </si>
  <si>
    <t>Gelios’ 4th spell. It discharges a torrent of water from his mouth, flooding the entire surrounding area.</t>
  </si>
  <si>
    <t>S-333</t>
  </si>
  <si>
    <t>Zadon Begirusen</t>
  </si>
  <si>
    <t>Damage your opponent's Spell Book twice when you win the Battle as an Attacker.</t>
  </si>
  <si>
    <t>Dalmos' 7th spell. Enables him to fire dual missiles that can dive into the sand.</t>
  </si>
  <si>
    <t>S-334</t>
  </si>
  <si>
    <t>Detoza Begirusen</t>
  </si>
  <si>
    <t>Send 1 of your opponent's in-play cards (except MAMODO cards) to the Discard Pile when you win the Battle as an Attacker. [STAY] Regardless of your opponent's Power during this Battle, add 2000 Power to both players' "Ground" Attribute SPELL cards until the END PHASE of your next turn (this effect cannot be duplicated).</t>
  </si>
  <si>
    <t>Dalmos’ 8th spell. An amalgamation of drills shoots from his chest cavity and burrows into the ground to create an antlion pit from which there is no escape.</t>
  </si>
  <si>
    <t>S-335</t>
  </si>
  <si>
    <t>Bogiruga</t>
  </si>
  <si>
    <t>Babiru's 1st spell. He puts his arms together and shoots out a cross-shaped energy beam.</t>
  </si>
  <si>
    <t>S-336</t>
  </si>
  <si>
    <t>Go Gairon</t>
  </si>
  <si>
    <t>Zami's 1st spell. The claws on his arms morph into energy whips to lash at his adversaries.</t>
  </si>
  <si>
    <t>S-337</t>
  </si>
  <si>
    <t>Girudoruk</t>
  </si>
  <si>
    <t>Damage your opponent's Spell Book when you win the Battle as an Attacker. When used for Defending, reduce the Damage of your opponent's Attack by 1 regardless of their Power.</t>
  </si>
  <si>
    <t>Baraho's 1st spell. The armor on his face and arms combine to form a massive shield, which he uses to lunge toward the enemy.</t>
  </si>
  <si>
    <t>S-338</t>
  </si>
  <si>
    <t>Ninnin’s 1st spell. Emits an energy wave from his arm with the power to pierce through most other spells of its caliber.</t>
  </si>
  <si>
    <t>S-339</t>
  </si>
  <si>
    <t>Giga La Rerudo</t>
  </si>
  <si>
    <t>A shield made up of compressed energy stops the opponent's attack dead in its tracks.</t>
  </si>
  <si>
    <t>S-340</t>
  </si>
  <si>
    <t>Roboruk</t>
  </si>
  <si>
    <t>Apply both of the following effects in order: ● Move all cards placed on your regular Koral Q MAMODO card to empty pages of your Spell Book. ● Select 1 Koral Q (Battle Formation) MAMODO card from any page of your Spell Book and place it on a regular Koral Q MAMODO card.</t>
  </si>
  <si>
    <t>Koral Q’s 2nd spell. It transforms him into battle formation. The process that goes into it is quite the head-scratcher.</t>
  </si>
  <si>
    <t>S-341</t>
  </si>
  <si>
    <t>La Robogargu</t>
  </si>
  <si>
    <t>Apply both of the following effects in order: ● Move all cards placed on your regular Koral Q MAMODO card to empty pages of your Spell Book. ● Select 1 Koral Q (La Robogargu Form) MAMODO card from any page of your Spell Book and place it on a regular Koral Q MAMODO card.</t>
  </si>
  <si>
    <t>Koral Q's 3rd spell. It transforms Koral Q into his reflector form. The process is still as confusing as ever.</t>
  </si>
  <si>
    <t>S-342</t>
  </si>
  <si>
    <t>Bizam Roboruga</t>
  </si>
  <si>
    <t>Damage your opponent's Spell Book when you win the Battle as an Attacker. When you declare the play of this SPELL card, move all cards placed on your regular Koral Q MAMODO card to empty pages of your Spell Book. You may reduce the Damage of this SPELL card by 1 to negate your opponent's Defense.</t>
  </si>
  <si>
    <t>Koral Q’s 4th spell. Launches a missile that can split into two parts. The first missile can penetrate enemy shields.</t>
  </si>
  <si>
    <t>S-343</t>
  </si>
  <si>
    <t>Gigano Roboruga</t>
  </si>
  <si>
    <t>Damage your opponent's Spell Book when you win the Battle as an Attacker. When you declare the play of this SPELL card, move all cards placed on your regular Koral Q MAMODO card to empty pages of your Spell Book.</t>
  </si>
  <si>
    <t>Koral Q's 7th spell. It shoots forth a colossal beam of light to vaporize his foes!</t>
  </si>
  <si>
    <t>S-344</t>
  </si>
  <si>
    <t>Dragner Nagur</t>
  </si>
  <si>
    <t>Adjust the number of MP counters on your Ted MAMODO card until there is 1 MP counter.</t>
  </si>
  <si>
    <t>Ted's 1st spell. The first body strengthening spell that starts Ted's engine.</t>
  </si>
  <si>
    <t>S-345</t>
  </si>
  <si>
    <t>This SPELL card can be played only if you successfully played a Dragner Nagur SPELL card during this game. Adjust the number of MP counters on your Ted MAMODO card until there are 2 MP counters.</t>
  </si>
  <si>
    <t>Ted's 2nd spell. "Jido! Raise the gear!"</t>
  </si>
  <si>
    <t>S-346</t>
  </si>
  <si>
    <t>Thirds Nagur</t>
  </si>
  <si>
    <t>This SPELL card can be played only if you have successfully played a Secon Nagur SPELL card during this game. Adjust the number of MP counters on your Ted MAMODO card until there are 3 MP counters.</t>
  </si>
  <si>
    <t>Ted's 3rd spell. Ted's strengthening level raises one by one.</t>
  </si>
  <si>
    <t>S-347</t>
  </si>
  <si>
    <t>Fours Nagur</t>
  </si>
  <si>
    <t>This SPELL card can be played only if you have successfully played a Thirds Nagur SPELL card during this game. Adjust the number of MP counters on your Ted MAMODO card until there are 4 MP counters.</t>
  </si>
  <si>
    <t>Ted's 4th spell. "At the 4th stage, you might be able to avoid his invisible sword!"</t>
  </si>
  <si>
    <t>S-348</t>
  </si>
  <si>
    <t>One, Two</t>
  </si>
  <si>
    <t>[STAY] During this turn, you can apply the effects of your in-play Ted MAMODO card that allow it to Attack or Defend without using a SPELL card up to twice per turn (per player).</t>
  </si>
  <si>
    <t>Command:Ted</t>
  </si>
  <si>
    <t>S-349</t>
  </si>
  <si>
    <t>Sworsen</t>
  </si>
  <si>
    <t>Arth's 1st spell. A swing of his sword fires a sword-shaped shock wave.</t>
  </si>
  <si>
    <t>S-350</t>
  </si>
  <si>
    <t>Go Swordo</t>
  </si>
  <si>
    <t>[STAY] Increase the Damage of your Arth MAMODO card's effects that allow it to Attack without using a SPELL card by 2 until the END PHASE of your next turn (this effect cannot be duplicated).</t>
  </si>
  <si>
    <t>Arth's 2nd spell. The spell's power reinforces his sword.</t>
  </si>
  <si>
    <t>S-351</t>
  </si>
  <si>
    <t>Jan Ji Swordo</t>
  </si>
  <si>
    <t>Arth’s 3rd spell. It materializes an enormous astral blade that crashes down on his foes.</t>
  </si>
  <si>
    <t>S-352</t>
  </si>
  <si>
    <t>Borusen</t>
  </si>
  <si>
    <t>Damage your opponent's Spell Book when you win the Battle as an Attacker. When you declare the play of this SPELL card, look at the currently open pages of your opponent's Spell Book. If there is a SPELL card with a "Defend" Icon or an EVENT card with a "Battle" Icon, select 1 of those cards. Your opponent must plays that card in the Battle when possible.</t>
  </si>
  <si>
    <t>Arth’s 4th spell. It generates an illusion in his image that charges toward the enemy.</t>
  </si>
  <si>
    <t>S-353</t>
  </si>
  <si>
    <t>Urusworto</t>
  </si>
  <si>
    <t>[STAY] Add 3000 Power to the Total Power of your Arth MAMODO card's effects that allow it to Attack or Defend without using a SPELL card until the END PHASE of your next turn (this effect cannot be duplicated).</t>
  </si>
  <si>
    <t>Arth's 5th spell. "Ellie! Instead of power, give me speed!"</t>
  </si>
  <si>
    <t>S-354</t>
  </si>
  <si>
    <t>Jerudo Ma Swordo</t>
  </si>
  <si>
    <t>[COUNTER] Apply 1 of the following effects when you win the Battle as a Defender: ● Damage your opponent's Spell Book. ● Injure the MAMODO card that Attacked in the Battle.</t>
  </si>
  <si>
    <t>Arth’s 6th spell. The Japanese samurai used to call it “iai,” a technique that involves slicing your foe the moment you draw your sword.</t>
  </si>
  <si>
    <t>S-355</t>
  </si>
  <si>
    <t>Barbaros Swordon</t>
  </si>
  <si>
    <t>Damage your opponent's Spell Book when you win the Battle as an Attacker. When used for Defending, any effects applied by your opponent's Attack (except effects that Damage your Spell Book) are negated, regardless of power (effects that inflict Injury to any MAMODO cards are also negated).</t>
  </si>
  <si>
    <t>Arth’s 7th spell. It summons forth a gigantic arm wielding a tremendous sword that can skewer even the most ardent of foes.</t>
  </si>
  <si>
    <t>S-356</t>
  </si>
  <si>
    <t>Shuffling Feet</t>
  </si>
  <si>
    <t>If your opponent did not Attack during the previous turn, your opponent can neither Defend nor play EVENT cards during the next Battle when your Arth MAMODO card Attacks. This effect is [STANDBY] until the next time your Arth MAMODO card Attacks during this turn, and [STAY] during the Battle.</t>
  </si>
  <si>
    <t>Command:Arth</t>
  </si>
  <si>
    <t>S-357</t>
  </si>
  <si>
    <t>Negate your opponent’s Attack when you win the Battle as a Defender. When you declare the play of this SPELL card, select 1 SPELL card with Zatch Bell as its MAMODO name and that has a “Defend” icon from any page of your Spell Book. Pay the MP cost of the selected card to add its Power to the Total Power of your Defense during the Battle.</t>
  </si>
  <si>
    <t>Zatch's 7th spell. Zagurzem is also effective against enemy attack spells.</t>
  </si>
  <si>
    <t>S-358</t>
  </si>
  <si>
    <t>Knockout Blow!</t>
  </si>
  <si>
    <t>Damage your opponent's Spell Book when you win the Battle as an Attacker. The Power of this SPELL card is equal to the number of MP counters on your Ted MAMODO card times 1000, and the Damage of this SPELL card is equal to the number of MP counters on your Ted MAMODO card times 1.</t>
  </si>
  <si>
    <t>S-359</t>
  </si>
  <si>
    <t>[STAY] Add the text below to your Arth MAMODO card until the END PHASE of your next turn: ● (Attack) (Defend) [DECLARE TO USE] This card may Attack without using a SPELL card (Total Power=8000, Damage=2), OR Defend without using a SPELL card (Total Power=8000).</t>
  </si>
  <si>
    <t>Arth's 3rd spell. "This should turn things around quickly!"</t>
  </si>
  <si>
    <t>S-360</t>
  </si>
  <si>
    <t>Negate your opponent’s Attack when you win the Battle as a Defender. Then, Injure the MAMODO card that Attacked in the Battle regardless of their Power.</t>
  </si>
  <si>
    <t>Arth’s 6th spell. Anyone who steps within the radius of his force field will be sliced away in one swift stroke.</t>
  </si>
  <si>
    <t>S-361</t>
  </si>
  <si>
    <t>Damage your opponent's Spell Book when you win the Battle as an Attacker. When you are on the last page of your Spell Book, your opponent can neither SACRIFICE nor PROTECT their Spell Book from the Damage of this SPELL card.</t>
  </si>
  <si>
    <t>Yopopo's 2nd spell. "Okay, little guy! He's all yours, finish him off now!"</t>
  </si>
  <si>
    <t>S-362</t>
  </si>
  <si>
    <t>Apply both of the following effects in order when you win the Battle as an Attacker: ● Injure 1 of your opponent's MAMODO cards. ● Damage your opponent's Spell Book.</t>
  </si>
  <si>
    <t>Rops' 3rd spell. "Rops! Our greatest spell!"</t>
  </si>
  <si>
    <t>S-363</t>
  </si>
  <si>
    <t>Self-Sacrifice</t>
  </si>
  <si>
    <t>Flip a coin; if it's heads, your Danny MAMODO card can SACRIFICE or PROTECT your Spell Book from Damage even when it is prohibited to do so.</t>
  </si>
  <si>
    <t>Command:Danny</t>
  </si>
  <si>
    <t>S-364</t>
  </si>
  <si>
    <t>Select 1 Zatch Bell (Rauzaruk State) MAMODO card from any page of your Spell Book and place it on a Zatch Bell MAMODO card.</t>
  </si>
  <si>
    <t>Zatch's 6th spell. Zatch is struck by lightning from above, and becomes wrapped in dazzling aura!</t>
  </si>
  <si>
    <t>S-365</t>
  </si>
  <si>
    <t>Damage your opponent's Spell Book and Injure all of your opponent's MAMODO cards when you win the Battle as an Attacker. During the Battle, neither player can put MAMODO cards in play.</t>
  </si>
  <si>
    <t>Brago's 5th spell. When it collided with Zatch's Bao Zakeruga, a tremendous power was unleashed.</t>
  </si>
  <si>
    <t>S-366</t>
  </si>
  <si>
    <t>Damage your opponent's Spell Book 4 times when you win the Battle as an Attacker.</t>
  </si>
  <si>
    <t>Brago's 8th spell. A dark cascade of gravity consumes and crushes everything in its path.</t>
  </si>
  <si>
    <t>S-367</t>
  </si>
  <si>
    <t>Injure 1 of your opponent's MAMODO cards when you win the Battle as an Attacker. When you declare the play of this SPELL card, select 1 Ponygon (Shudoruk Form) MAMODO card from any page of your Spell Book and place it on a Ponygon MAMODO card.</t>
  </si>
  <si>
    <t>Ponygon's 1st spell. With his body protected by a sturdy armor, he charges toward the enemy mamodo.</t>
  </si>
  <si>
    <t>S-368</t>
  </si>
  <si>
    <t>Injure 1 of your opponent's MAMODO cards when you win the Battle as an Attacker. When you declare the play of this SPELL card, select 1 Ponygon (Go Shudoruk Form) MAMODO card from any page of your Spell Book and place it on a Ponygon MAMODO card.</t>
  </si>
  <si>
    <t>Ponygon's 2nd spell. Opponents are struck by his sharp horn.</t>
  </si>
  <si>
    <t>S-369</t>
  </si>
  <si>
    <t>Dioemur Shudoruk</t>
  </si>
  <si>
    <t>Select 1 Ponygon (Dioemur Shudoruk Form) MAMODO card from any page of your Spell Book and place it on a Ponygon MAMODO card.</t>
  </si>
  <si>
    <t>Ponygon's 3rd spell. "The flames are so powerful that they can't be controlled!?"</t>
  </si>
  <si>
    <t>S-370</t>
  </si>
  <si>
    <t>Flaming Image</t>
  </si>
  <si>
    <t>When this SPELL card fails to inflict Damage or Injury (such as losing the Battle as an Attacker or being negated by a card effect), this SPELL card can be played once more during this turn with its MP cost considered to be 0. Damage your opponent's Spell Book when you win the Battle as an Attacker.</t>
  </si>
  <si>
    <t>Command:Ponygon (Dioemur Shudoruk Form)</t>
  </si>
  <si>
    <t>S-371</t>
  </si>
  <si>
    <t>Flaming Shield</t>
  </si>
  <si>
    <t>S-372</t>
  </si>
  <si>
    <t>Roboruga</t>
  </si>
  <si>
    <t>Damage your opponent's Spell Book when you win the Battle as an Attacker. When you declare the play of this SPELL card, move all cards placed on your regular Koral Q MAMODO card into empty pages of your Spell Book.</t>
  </si>
  <si>
    <t>Koral Q's 1st spell. After luring them into a trap, he cut off Zatch and Kiyo's only means of escape.</t>
  </si>
  <si>
    <t>S-373</t>
  </si>
  <si>
    <t>Murom Roboruk</t>
  </si>
  <si>
    <t>Apply both of the following effects in order: ● Move all cards placed on your regular Koral Q MAMODO card into empty pages of your Spell Book. ● Select 1 Koral Q (Murom Roboruk Form) MAMODO from any page of your Spell Book and place it on a regular Koral Q MAMODO.</t>
  </si>
  <si>
    <t>Koral Q's 5th spell. "Don't be stupid! You can't avoid Jikerdor with a crazy transformation like that..."</t>
  </si>
  <si>
    <t>S-374</t>
  </si>
  <si>
    <t>Digo Roboruk</t>
  </si>
  <si>
    <t>Apply both of the following effects in order: ● Move all cards placed on your regular Koral Q MAMODO card into empty pages of your Spell Book. ● Select 1 Koral Q (Digo Roboruk Form) MAMODO card from any page of your Spell Book and place it on a Koral Q MAMODO card.</t>
  </si>
  <si>
    <t>Koral Q's 6th spell. The design of this transformation leaves much to be desired, but as for its speed...</t>
  </si>
  <si>
    <t>S-375</t>
  </si>
  <si>
    <t>Ganjido Roboron</t>
  </si>
  <si>
    <t>Apply both of the following effects in order: ● Move all cards placed on your regular Koral Q MAMODO card iinto empty pages of your Spell Book. ● Select 1 Koral Q (Ganjido Roboron Form) MAMODO card from any page of your Spell Book and place it on a Koral Q MAMODO card.</t>
  </si>
  <si>
    <t>Koral Q's 8th spell. Massive, floating shields surround him on all sides... repelling any and all attacks that the enemy sends his way.</t>
  </si>
  <si>
    <t>S-376</t>
  </si>
  <si>
    <t>Feint</t>
  </si>
  <si>
    <t>When this SPELL card fails to inflict Damage or Injury (such as losing the Battle as an Attacker or being negated by a card effect), this SPELL card can be played once more during this turn with its MP cost considered to be 0. Damage your opponent's Spell Book when you win the Battle as an Attacker. The Damage of this SPELL card is considered to be the same as the amount of MP counters on your Ted MAMODO card times 1.</t>
  </si>
  <si>
    <t>S-377</t>
  </si>
  <si>
    <t>Gidoruk</t>
  </si>
  <si>
    <t>Select 1 Karudio (Gidoruk Form) MAMODO card from any page of your Spell Book and place it on a Karudio MAMODO card.</t>
  </si>
  <si>
    <t>Karudio's 1st spell. It enables him to enter his initial battle form.</t>
  </si>
  <si>
    <t>S-378</t>
  </si>
  <si>
    <t>Go Gidoruk</t>
  </si>
  <si>
    <t>Select 1 Karudio (Go Gidoruk Form) MAMODO card from any page of your Spell Book and place it on a Karudio MAMODO card.</t>
  </si>
  <si>
    <t>Karudio's 2nd spell. This form has stronger horns and even greater destructive power than that of Gidoruk.</t>
  </si>
  <si>
    <t>S-379</t>
  </si>
  <si>
    <t>Diogikor Gidoruk</t>
  </si>
  <si>
    <t>Select 1 Karudio (Diogikor Gidoruk Form) MAMODO card from any page of your Spell Book and place it on a Karudio MAMODO card.</t>
  </si>
  <si>
    <t>Karudio's 3rd spell. "This spell is so dangerous that, at first, it hurt me whenever I used it."</t>
  </si>
  <si>
    <t>S-380</t>
  </si>
  <si>
    <t>[STAY] Select 1 of your opponent's in-play PARTNER cards when you win the Battle as an Attacker. Your opponent cannot apply the effects of the selected PARTNER card during this game.</t>
  </si>
  <si>
    <t>Purio's 1st spell. "Lupa, time to use the glue!"</t>
  </si>
  <si>
    <t>S-381</t>
  </si>
  <si>
    <t>Gigano Joboido</t>
  </si>
  <si>
    <t>Damage your opponent's Spell Book when you win the Battle as an Attacker. The Damage of this SPELL card cannot be reduced by your opponent's card effects.</t>
  </si>
  <si>
    <t>Purio's 4th spell. "Ha ha ha! You see that?! This liquid is strong enough to melt rocks!"</t>
  </si>
  <si>
    <t>S-382</t>
  </si>
  <si>
    <t>Nyureido</t>
  </si>
  <si>
    <t>[STAY] During this turn, you can select 1 of your opponent's in-play MAMODO cards to be a target of your card effects even when prohibited to do so.</t>
  </si>
  <si>
    <t>Purio's 5th spell. "Ahh, I can't get up, it's too slippery..."</t>
  </si>
  <si>
    <t>S-383</t>
  </si>
  <si>
    <t>Mosreido</t>
  </si>
  <si>
    <t>[STAY] Your opponent can neither play SPELL cards with an MP cost of 2 or more, nor can your opponent apply the effects of any of their MAMODO cards (except MAMODO cards with [Declare to use]), during this turn.</t>
  </si>
  <si>
    <t>Purio's 6th spell. "It's so itchy! My whole body itches!"</t>
  </si>
  <si>
    <t>S-384</t>
  </si>
  <si>
    <t>Amireido</t>
  </si>
  <si>
    <t>[STAY] Select 1 of your opponent's in-play MAMODO cards when you win the Battle as an Attacker. Your opponent can neither play SPELL cards for, nor can they apply the effects of, the selected MAMODO card during this game. Your opponent flips a coin at each player's END PHASE; if it's heads, this effect is negated.</t>
  </si>
  <si>
    <t>Purio's 7th spell. "Ha ha, don't even try. You've got to have some real strength to break through that net..."</t>
  </si>
  <si>
    <t>S-385</t>
  </si>
  <si>
    <t>Sakdoruk</t>
  </si>
  <si>
    <t>Damage your opponent's Spell Book when you win the Battle as an Attacker. Before comparing Total Power, select 1 Majiro (Sakudoruk Form) MAMODO card from any page of your Spell Book and place it on a Majiro MAMODO card.</t>
  </si>
  <si>
    <t>Majiro's 1st spell. It curls up like an armadillo and rolls at opponents.</t>
  </si>
  <si>
    <t>S-386</t>
  </si>
  <si>
    <t>Magnedoruk</t>
  </si>
  <si>
    <t>[STAY] Add 2000 Power to your Maestro MAMODO card and increase the Damage of all SPELL cards with Maestro as their MAMODO name by 1 during this turn (this effect cannot be duplicated).</t>
  </si>
  <si>
    <t>Maestro's 1st spell. He absorbs vast reserves of energy from the electromagnetic coils that surround him.</t>
  </si>
  <si>
    <t>S-387</t>
  </si>
  <si>
    <t>Magneshiruga</t>
  </si>
  <si>
    <t>Flip a coin until you get tails; Damage your opponent's Spell Book by a number of times equal to the number of heads you get times 1 when you win the Battle as an Attacker.</t>
  </si>
  <si>
    <t>Maestro's 2nd spell. Countless bullets of light are rapidly fired from Maestro's palm.</t>
  </si>
  <si>
    <t>S-388</t>
  </si>
  <si>
    <t>Gigano Magneshield</t>
  </si>
  <si>
    <t>[COUNTER] Negate your opponent's Attack and get MP equal to the original MP cost of your opponent's Attack when you win the Battle as a Defender.</t>
  </si>
  <si>
    <t>Maestro's 3rd spell. It forms a massive barrier around Maestro that fully protects him from any onslaught.</t>
  </si>
  <si>
    <t>S-389</t>
  </si>
  <si>
    <t>Black Bao Zakeruga</t>
  </si>
  <si>
    <t>Thunder/Down Force</t>
  </si>
  <si>
    <t>This SPELL card can be played only if you played a Bao Zakeruga SPELL card during this turn. Damage your opponent's Spell Book and Injure all of your opponent's MAMODO cards when you win the Battle as an Attacker ● If S-390 Black Bao Zakeruga is in the right page of your currently open pages, your opponent can neither SACRIFICE nor PROTECT their Spell Book from the Damage of this SPELL card.</t>
  </si>
  <si>
    <t>"The Bao Zakeruga..."</t>
  </si>
  <si>
    <t>S-390</t>
  </si>
  <si>
    <t>This SPELL card can be played only if you played a Baber Gravidon SPELL card during this turn. Damage your opponent's Spell Book when you win the Battle as an Attacker. Your opponent can neither SACRIFICE nor PROTECT their Spell Book from the Damage of this SPELL card. ● If S-389 Black Bao Zakeruga is in the left page of your currently open pages, Injure all of your opponent's MAMODO cards in addition to Damaging your opponent's Spell Book when you win the Battle as an Attacker.</t>
  </si>
  <si>
    <t>"This is the power of human partners!"</t>
  </si>
  <si>
    <t>S-391</t>
  </si>
  <si>
    <t>Apply 1 of the following effects when you win the Battle as an Attacker: ● Damage your opponent's Spell Book. ● Send 1 of your opponent's in-play cards (except MAMODO cards) to the Discard Pile.</t>
  </si>
  <si>
    <t>Zatch's 1st spell. "K-Kiyo... How could you do that to me? How cruel..."</t>
  </si>
  <si>
    <t>S-392</t>
  </si>
  <si>
    <t>Select 1 Ponygon (Dioemur Shudoruk Form) MAMODO card from any page of your Spell Book and put it in play. ● This SPELL card can be played, and the Ponygon (Dioemur Shudoruk Form) MAMODO card can be put in play, even when you don't have a Ponygon MAMODO card in play. ● If you have a Ponygon MAMODO in play, place it on that Ponygon card.</t>
  </si>
  <si>
    <t>Ponygon's 3rd spell. "Is the snow melting? Did it turn into water? ...No way!!!"</t>
  </si>
  <si>
    <t>S-393</t>
  </si>
  <si>
    <t>Raise the Gear!</t>
  </si>
  <si>
    <t>This SPELL card can be played only once per turn (per player). Place 1 MP counter on your Ted MAMODO card.</t>
  </si>
  <si>
    <t>S-394</t>
  </si>
  <si>
    <t>Select 1 Karudio (Diogikor Gidoruk Form) MAMODO card from any page of your Spell Book and put it in play. ● This SPELL card can be played, and the Karudio (Diogikor Gidoruk Form) MAMODO card can be put in play, even when you don't have a Karudio MAMODO card in play. ● If you have a Karudio MAMODO in play, place it on that Karudio card.</t>
  </si>
  <si>
    <t>Karudio's 3rd spell. "We had to go through tough training and strengthen our emotional connection!"</t>
  </si>
  <si>
    <t>S-395</t>
  </si>
  <si>
    <t>Damage your opponent's Spell Book when you win the Battle as an Attacker. When you declare the play of this SPELL card, you may pay an additional 3 MP as many times as you desire to add 3000 Power and 1 Damage to this SPELL card. When you inflict Damage or Injury, and you have already played a Baber Gravidon SPELL card during this turn, turn 1 page of your opponent's Spell Book.</t>
  </si>
  <si>
    <t>Zatch's 4th spell. "Put everything you've got into this spell! We'll win, no matter what!"</t>
  </si>
  <si>
    <t>S-396</t>
  </si>
  <si>
    <t>Zakeruga (360° Spread)</t>
  </si>
  <si>
    <t>Flip a coin 3 times when you win the Battle as an Attacker; select a number of your opponent's in-play cards equal to the number of heads you get times 1. If it is a MAMODO card, Injure the MAMODO card. Otherwise, send the selected card(s) to the Discard Pile.</t>
  </si>
  <si>
    <t>Zatch's 5th spell. If Kiyo swings Zatch around as Zakeruga is fired, the results can be quite effective!</t>
  </si>
  <si>
    <t>S-397</t>
  </si>
  <si>
    <t>Brago's 1st spell. A dark gravity cluster of gravity is launched from the palm of his hand.</t>
  </si>
  <si>
    <t>S-398</t>
  </si>
  <si>
    <t>Brago's 3rd spell. He fires a sizable mass of dark energy torward Kiyo.</t>
  </si>
  <si>
    <t>S-399</t>
  </si>
  <si>
    <t>Damage your opponent's Spell Book when you win the Battle as an Attacker. When you inflict Damage or Injury, your opponent cannot put any cards in play (except MAMODO cards) until the END PHASE of the next turn ([STAY]).</t>
  </si>
  <si>
    <t>Brago's 4th spell. "I don't know what you're planning, but don't mess with me!"</t>
  </si>
  <si>
    <t>S-400</t>
  </si>
  <si>
    <t>Injure all of your opponent's MAMODO cards when you win the Battle as an Attacker.</t>
  </si>
  <si>
    <t>Brago's 5th spell. "Take this! DIOGA GRAVIDON!" Two spells of immense proportions collide in battle.</t>
  </si>
  <si>
    <t>S-401</t>
  </si>
  <si>
    <t>Damage your opponent's Spell Book when you win the Battle as an Attacker. When you declare the play of this SPELL card, you may pay an additional 3 MP as many times as you desire to add 3000 Power and 1 Damage to this SPELL card. When you inflict Damage or Injury, and have already played a Bao Zakeruga SPELL card during this turn, reduce your opponent's MP by 3 to get 3 MP.</t>
  </si>
  <si>
    <t>Brago's 6th spell. "It all comes down to this..." "There's no telling what could happen..."</t>
  </si>
  <si>
    <t>S-402</t>
  </si>
  <si>
    <t>Brago's 7th spell. He tosses his book into the air and thrusts both hands forward to send forth dual beams of dark energy.</t>
  </si>
  <si>
    <t>S-403</t>
  </si>
  <si>
    <t>Negate your opponent's Attack when you win the Battle as a Defender. [STAY] Regardless of their Power, your opponent cannot Attack again during this turn.</t>
  </si>
  <si>
    <t>Tia's 1st spell. "Megumi, don't let the monkey get near me!"</t>
  </si>
  <si>
    <t>S-404</t>
  </si>
  <si>
    <t>Damage your opponent's Spell Book when you win the Battle as an Attacker. When you declare the play of this SPELL card, apply 1 or both of the following effects: ● Pay 1 additional MP: This SPELL card cannot be Defended. ● Pay 1 additional MP: Your opponent can neither SACRIFICE nor PROTECT their Spell Book from this SPELL card's Damage.</t>
  </si>
  <si>
    <t>Tia's 2nd spell. "I guess I'll knock him out with Saisu and get Tia's underwear back..."</t>
  </si>
  <si>
    <t>S-405</t>
  </si>
  <si>
    <t>Chajiru Saifodon</t>
  </si>
  <si>
    <t>Damage your opponent's Spell Book when you win the Battle as an Attacker. Add 2000 Power and 2 Damage for each of the following that happened: ● Your opponent sent cards from your Spell Book to the Discard Pile. ● Your opponent turned pages of your Spell Book with their card effects. ● Your opponent reduced your MP with their card effects. ● This SPELL card is being played for a Tia (Berserker) MAMODO card.</t>
  </si>
  <si>
    <t>Tia's 6th spell. Her feelings of humiliation and hatred make the spell more and more powerful with each passing second.</t>
  </si>
  <si>
    <t>S-406</t>
  </si>
  <si>
    <t>Baber Very Melon</t>
  </si>
  <si>
    <t>Damage your opponent's Spell Book when you win the Battle as an Attacker. Your opponent cannot play EVENT cards during the Battle this SPELL card is played. Before comparing Total Power, negate all [Stay] OR [Standby] effects.</t>
  </si>
  <si>
    <t>Victoream's spell. Once he sank his teeth into the sacred melon, a brand new spell appeared when he needed it most.</t>
  </si>
  <si>
    <t>S-407</t>
  </si>
  <si>
    <t>Aborodio</t>
  </si>
  <si>
    <t>This SPELL card can be played up to twice per turn (per player). Damage your opponent's Spell Book when you win the Battle as an Attacker. When played for the 1st time in a turn, this SPELL card cannot be Defended. When played for the 2nd time in a turn, your opponent can neither SACRIFICE nor PROTECT their Spell Book from Damage.</t>
  </si>
  <si>
    <t>Rein's 1st spell. His massive claws rend the opponent both vertically and horizontally.</t>
  </si>
  <si>
    <t>S-408</t>
  </si>
  <si>
    <t>Argas Aborodo</t>
  </si>
  <si>
    <t>Negate your opponent's Attack when you win the Battle as a Defender. Regardless of Power, your MAMODO cards do not receive Damage or Injury from your opponent's Attack.</t>
  </si>
  <si>
    <t>Rein's 2nd spell. "WHAT?! You blocked it?!"</t>
  </si>
  <si>
    <t>S-409</t>
  </si>
  <si>
    <t>Garbados Aborodio</t>
  </si>
  <si>
    <t>Damage your opponent's Spell Book when you win the Battle as an Attacker. [COUNTER] If you are on the last page of your Spell Book, Damage your opponent's Spell Book when you win the Battle as an Attacker or as a Defender.</t>
  </si>
  <si>
    <t>Rein's 3rd spell. Let's try 'that' spell... No matter what spell they throw at us, we'll force our way through it."</t>
  </si>
  <si>
    <t>S-410</t>
  </si>
  <si>
    <t>Dioga Ragyur</t>
  </si>
  <si>
    <t>Damage your opponent's Spell Book when you win the Battle as an Attacker. Any MAMODO cards that SACRIFICE or PROTECT their Spell Book from this SPELL card's Damage are sent to the Discard Pile. When this SPELL card's initial Damage is SACRIFICED or PROTECTED against, inflict 2 Damage on your opponent (your opponent can SACRIFICE or PROTECT their Spell Book from this Damage as well).</t>
  </si>
  <si>
    <t>Rodeaux's 1st spell. He is unable to cast it consecutively due to the vast amount of strength from within that it burns through.</t>
  </si>
  <si>
    <t>S-411</t>
  </si>
  <si>
    <t>Ganzu Ragyur</t>
  </si>
  <si>
    <t>Damage your opponent's Spell Book 3 times when you win the Battle as an Attacker. This SPELL card's Damage can neither be increased nor reduced.</t>
  </si>
  <si>
    <t>Rodeaux's 2nd spell. He fires a salvo of missiles from his wings like a machine-gun.</t>
  </si>
  <si>
    <t>S-412</t>
  </si>
  <si>
    <t>Ragyur Rosudo</t>
  </si>
  <si>
    <t>Damage your opponent's Spell Book when you win the Battle as an Attacker. Your opponent can neither SACRIFICE nor PROTECT their Spell Book from this SPELL card's Damage with a MAMODO card that has 4000 Power or less.</t>
  </si>
  <si>
    <t>Rodeaux's 3rd spell. The wings on his back transform into a massive, curved blade to strike down his foes!</t>
  </si>
  <si>
    <t>S-413</t>
  </si>
  <si>
    <t>Gigano Ragyur</t>
  </si>
  <si>
    <t>Rodeaux's 4th spell. A powerful blast that managed to pierce through Rein's body.</t>
  </si>
  <si>
    <t>S-414</t>
  </si>
  <si>
    <t>Giron Ragyur</t>
  </si>
  <si>
    <t>Injure all of your opponent's MAMODO cards when you win the Battle as an Attacker. Send the attached PARTNER cards of all MAMODO cards Injured by this SPELL card to the Discard Pile.</t>
  </si>
  <si>
    <t>Rodeaux's 5th spell. It requires an extraordinary amount of agility to dodge countless attacks from every direction.</t>
  </si>
  <si>
    <t>S-415</t>
  </si>
  <si>
    <t>Amulon</t>
  </si>
  <si>
    <t>Look at the currently open pages of your opponent's Spell Book when you win the Battle as an Attacker. If there are no SPELL cards, turn 1 page of your opponent's Spell Book.</t>
  </si>
  <si>
    <t>Momon's 1st spell. "Whoa! Look how fast his hand stretched out and... flipped up her skirt."</t>
  </si>
  <si>
    <t>S-416</t>
  </si>
  <si>
    <t>Aguraruk</t>
  </si>
  <si>
    <t>Declare 1 card name without looking at your opponent's Spell Book when you win the Battle as an Attacker. Your opponent selects 1 card with the card name you declared from any page of their Spell Book and sends it to the Discard Pile.</t>
  </si>
  <si>
    <t>Momon's 2nd spell. "He moved underground and came up from below... just to flip up her skirt."</t>
  </si>
  <si>
    <t>S-417</t>
  </si>
  <si>
    <t>Ora Norojio</t>
  </si>
  <si>
    <t>Flip a coin; if it's heads, negate your opponent's Attack. Then, look at your opponent's Spell Book and select 1 SPELL card that shares a card name with the SPELL card your opponent declared their Attack in the Battle from any of the pages, and send it to the Discard Pile.</t>
  </si>
  <si>
    <t>Momon's 3rd spell. "So his light beam slows down the target's movement?!"</t>
  </si>
  <si>
    <t>S-418</t>
  </si>
  <si>
    <t>Minfei Mimirug</t>
  </si>
  <si>
    <t>Apply both of the following effects: ● [STAY] Put your Momon card in Flight Status during this game. ● [STANDBY] Only once during this game (per player), you may move the Momon MAMODO card this SPELL card was played for to an empty page of your Spell Book.</t>
  </si>
  <si>
    <t>Momon's 4th spell. "Most of his spells just help him run away..."</t>
  </si>
  <si>
    <t>S-419</t>
  </si>
  <si>
    <t>Mock Ganzu Garon</t>
  </si>
  <si>
    <t>Kurogane/Soldier of the In-Between World</t>
  </si>
  <si>
    <t>Command:Kurogane/Soldier of the In-Between World</t>
  </si>
  <si>
    <t>S-420</t>
  </si>
  <si>
    <t>Mock Raja Zerusen</t>
  </si>
  <si>
    <t>This SPELL card can be played only if you have 3 or more Kurogane and/or Soldier of the In-Between World MAMODO cards in play. Damage your opponent's Spell Book when you win the Battle as an Attacker.</t>
  </si>
  <si>
    <t>S-421</t>
  </si>
  <si>
    <t>Mock Chagur Imisdon</t>
  </si>
  <si>
    <t>Damage your opponent's Spell Book when you win the Battle as an Attacker. Add 2000 Power and 1 Damage for each Kurogane and Soldier of the In-Between World MAMODO card you have in play.</t>
  </si>
  <si>
    <t>S-422</t>
  </si>
  <si>
    <t>Mock Dino Rignon</t>
  </si>
  <si>
    <t>Damage your opponent's Spell Book when you win the Battle as an Attacker. Your opponent can SACRIFICE or PROTECT their Spell Book from Damage even when prohibited to do so.</t>
  </si>
  <si>
    <t>Command:Kurogane</t>
  </si>
  <si>
    <t>S-423</t>
  </si>
  <si>
    <t>Magneruga</t>
  </si>
  <si>
    <t>Maestro's 4th spell. An array of beams spreads outward from his enclosed fist.</t>
  </si>
  <si>
    <t>S-424</t>
  </si>
  <si>
    <t>Gigano Magnerudo</t>
  </si>
  <si>
    <t>Damage your opponent's Spell Book when you win the Battle as an Attacker. When Defending, add 4000 Power to this SPELL card.</t>
  </si>
  <si>
    <t>Maestro's 5th spell. Maestro slams his foes with a huge, magnetic energy sphere.</t>
  </si>
  <si>
    <t>S-425</t>
  </si>
  <si>
    <t>Magneshield</t>
  </si>
  <si>
    <t>Negate your opponent's Attack when you win the Battle as a Defender. Regardless of their Power, if your opponent's Attack inflicts Damage more than once, their Attack now inflicts Damage only once.</t>
  </si>
  <si>
    <t>Maestro's 6th spell. He generates a spherical shield that is large enough to encapsulate his entire body.</t>
  </si>
  <si>
    <t>S-426</t>
  </si>
  <si>
    <t>Amzerugu Magneruga</t>
  </si>
  <si>
    <t>Damage your opponent's Spell Book when you win the Battle as an Attacker. Regardless of Power, add 1000 Power to your Maestro MAMODO card until the END PHASE of your next turn (this effect can be duplicated) ([STAY]).</t>
  </si>
  <si>
    <t>Maestro's 7th spell. He discharges a hulking mass of magnetic energy in the form of a giant arm at his unsuspecting adversaries.</t>
  </si>
  <si>
    <t>S-427</t>
  </si>
  <si>
    <t>Magneshido Dyuranga</t>
  </si>
  <si>
    <t>Damage your opponent's Spell Book when you win the Battle as an Attacker. When you win the Battle as an Attacker or as a Defender, and you are on the last page of your Spell Book, turn back 1 page of your Spell Book.</t>
  </si>
  <si>
    <t>Maestro's 8th spell. A colossal warrior clad in samurai armor rises forth to slay all that stands in its path with its mighty blade.</t>
  </si>
  <si>
    <t>S-428</t>
  </si>
  <si>
    <t>Magnetic Barrier</t>
  </si>
  <si>
    <t>Flip a coin; if it's heads, negate your opponent's Attack regardless of their Power. If it's tails, reduce the Damage of your opponent's Attack by 1.</t>
  </si>
  <si>
    <t>Command:Maestro</t>
  </si>
  <si>
    <t>S-429</t>
  </si>
  <si>
    <t>Zatch's 1st spell. Even basic spells can show true value depending on how they are used.</t>
  </si>
  <si>
    <t>S-430</t>
  </si>
  <si>
    <t>This SPELL card can be played up to twice per turn (per player). Negate your opponent's Attack when you win the Battle as a Defender.</t>
  </si>
  <si>
    <t>Zatch's 2nd spell. This defensive spell has helped him out of many tight spots.</t>
  </si>
  <si>
    <t>S-431</t>
  </si>
  <si>
    <t>Damage your opponent's Spell Book when you win the Battle as an Attacker. When you inflict Damage to your opponent's Spell Book, your opponent can neither turn nor turn back pages of their Spell Book with their card effects during this game ([STAY]).</t>
  </si>
  <si>
    <t>Zatch's 3rd spell. It releases a ball of light that radiates a strong magnetic force upon anything it touches.</t>
  </si>
  <si>
    <t>S-432</t>
  </si>
  <si>
    <t>Damage your opponent's Spell Book when you win the Battle as an Attacker. When you are on the last page of your Spell Book, your opponent can neither SACRIFICE nor PROTECT their Spell Book from this card's Damage.</t>
  </si>
  <si>
    <t>Zatch's 4th spell. His most powerful attack that can end the battle in one decisive blow!</t>
  </si>
  <si>
    <t>S-433</t>
  </si>
  <si>
    <t>Zatch's 5th spell. It converges energy into a single point and fires it as a concentrated beam of lightning.</t>
  </si>
  <si>
    <t>S-434</t>
  </si>
  <si>
    <t>Zatch's 6th spell. It strengthens Zatch's body and amplifies his natural abilities as he lunges toward the opponent in close combat!</t>
  </si>
  <si>
    <t>S-435</t>
  </si>
  <si>
    <t>[STANDBY] After applying this effect, only once during this game (per player), you may add 2000 Power and 1 Damage to 1 "Thunder" Attribute SPELL card you play during the Battle (this effect cannot be duplicated). This effect is [STAY] during the Battle it is triggered for.</t>
  </si>
  <si>
    <t>Zatch's 7th spell. Zatch fires an energy orb that explodes on contact with any of his attack spells.</t>
  </si>
  <si>
    <t>S-436</t>
  </si>
  <si>
    <t>Damage your opponent's Spell Book when you win the Battle as an Attacker. You may send 1 of your in-play Kiyo Takamine PARTNER cards to the Discard Pile to reduce the MP cost of this SPELL card by 4.</t>
  </si>
  <si>
    <t>Zatch's 4th spell. It is Zatch's mightiest spell, but it renders Kiyo immobile once it is cast.</t>
  </si>
  <si>
    <t>S-437</t>
  </si>
  <si>
    <t>Go, Ponygon!</t>
  </si>
  <si>
    <t>Select 1 MAMODO or PARTNER card from any page of your Spell Book and put it in play.</t>
  </si>
  <si>
    <t>S-438</t>
  </si>
  <si>
    <t>Rashield (Reinforced)</t>
  </si>
  <si>
    <t>[COUNTER] Damage your opponent's Spell Book when you win the Battle as a Defender. When you declare the play of this SPELL card, you may pay an additional 1 MP to add 4000 Power to this SPELL card (maximum 2 MP).</t>
  </si>
  <si>
    <t>Zatch's 2nd spell. "They used Zagurzem to power up Rashield, and bounced back that huge light beam!"</t>
  </si>
  <si>
    <t>S-439</t>
  </si>
  <si>
    <t>Damage your opponent's Spell Book when you win the Battle as an Attacker. When you declare the play of this SPELL card, apply 1 or both of the following effects: ● Pay 1 additional MP: Increase the Damage of this SPELL card by 2. ● Pay 2 additional MP: Your opponent can neither SACRIFICE nor PROTECT their Spell Book from this SPELL card's Damage.</t>
  </si>
  <si>
    <t>Zatch's 4th spell. "Got them! The chain line broke through it all at once!"</t>
  </si>
  <si>
    <t>S-440</t>
  </si>
  <si>
    <t>[STANDBY] When you win the Battle as an Attacker, the next time you Damage your opponent's Spell Book with a "Thunder" Attribute Attack during this game, your opponent turns 1 additional page of their Spell Book (this effect can be duplicated).</t>
  </si>
  <si>
    <t>Zatch's 7th spell. "You have an interesting spell!?"</t>
  </si>
  <si>
    <t>S-441</t>
  </si>
  <si>
    <t>Apply all of the following effects during the next turn (this effect is [STANDBY] during this turn, and [STAY] during the next turn): ● Your MP cannot be reduced by your opponent's effects. ● Your opponent cannot turn pages of your Spell Book with their effects. ● Your opponent cannot send any of your in-play cards to the Discard Pile with their card effects.</t>
  </si>
  <si>
    <t>Kanchomé's 1st spell. He transforms into a wall that blends in with his surroundings. "Kanchomé...protect everybody..."</t>
  </si>
  <si>
    <t>S-442</t>
  </si>
  <si>
    <t>Flip a coin; if it's heads, turn 1 page of your opponent's Spell Book.</t>
  </si>
  <si>
    <t>Kanchomé's 2nd spell. "Hmph. You shrunk so that you could sneak up and try to burn my book, eh?"</t>
  </si>
  <si>
    <t>S-443</t>
  </si>
  <si>
    <t>The first SPELL card your opponent plays during the next turn is immediately negated (this effect is not considered to be a cut-in effect).</t>
  </si>
  <si>
    <t>Kanchomé's 3rd spell. "What? He's a giant! We've gotta aim our attack at him!"</t>
  </si>
  <si>
    <t>S-444</t>
  </si>
  <si>
    <t>Dima Buruk</t>
  </si>
  <si>
    <t>Select up to 2 Kanchomé (Double) MAMODO cards from any page of your Spell Book and put them in play. ● Up to 3 of them can be in play outside of your MAMODO card limit. ● Multiple copies of them can be in play, regardless of card name rules. ● When your Kanchomé MAMODO card leaves play, send all of your Kanchomé (Double) MAMODO cards to the Discard Pile.</t>
  </si>
  <si>
    <t>Kanchomé's 4th spell. A potent technique that conjures up eight copies of himself to join the battle.</t>
  </si>
  <si>
    <t>S-445</t>
  </si>
  <si>
    <t>Coordinated Assault</t>
  </si>
  <si>
    <t>Damage your opponent's Spell Book when you win the Battle as an Attacker. Add 2000 Power and 1 Damage to this SPELL card for each Kanchomé and Kanchomé (Double) MAMODO card you have in play.</t>
  </si>
  <si>
    <t>Command:Kanchomé (Double) "Th-They're good! What a great combination!" "They really are strong!"</t>
  </si>
  <si>
    <t>S-446</t>
  </si>
  <si>
    <t>Kanchomé Shield</t>
  </si>
  <si>
    <t>When you declare the play of this SPELL card, you may turn from 0 up to 3 pages of your Spell Book and play a SPELL card in any of the pages to Defend in this Battle with its MP cost considered to be 0. Regardless of Power, send 1 of your in-play Kanchome (Double) MAMODO cards to the Discard Pile after the Battle.</t>
  </si>
  <si>
    <t>Command:Kanchomé (Double) "You're right, it'll only last a few seconds, but...in those few seconds we're gonna turn the tables!"</t>
  </si>
  <si>
    <t>S-447</t>
  </si>
  <si>
    <t>Select 1 of your in-play MAMODO cards except Tia (including Petrified MAMODO) and apply both of the following effects in order: ● Turn the selected MAMODO card to Normal Status. ● [STANDBY] Until the END PHASE of your next turn, reduce the MP cost of 1 SPELL played for the selected MAMODO card by 4.</t>
  </si>
  <si>
    <t>Tia's 5th spell. "Whoa... Wow, I'm full of energy again!"</t>
  </si>
  <si>
    <t>S-448</t>
  </si>
  <si>
    <t>Damage your opponent's Spell Book when you win the Battle as an Attacker. If your opponent looked at and/or turned pages of your Spell Book with their card effects during this game, they can neither SACRIFICE nor PROTECT their Spell Book from this SPELL card's Damage. If you have a Tia (Wild) MAMODO card in play, increase the Damage of this SPELL card by 2.</t>
  </si>
  <si>
    <t>Tia's 6th spell. "Is this...Saifogeo?!" "Wait... no, it's not!"</t>
  </si>
  <si>
    <t>S-449</t>
  </si>
  <si>
    <t>Boren</t>
  </si>
  <si>
    <t>Wonrei's spell. The "ki" energy in his palm is discharged toward his opponent.</t>
  </si>
  <si>
    <t>S-450</t>
  </si>
  <si>
    <t>Damage your opponent's Spell Book when you win the Battle as an Attacker. Any MAMODO cards that SACRIFICE or PROTECT against this SPELL card's Damage are sent to the Discard Pile. When this SPELL card's initial Damage is SACRIFICED or PROTECTED against, inflict Damage on your opponent equal to this SPELL card's Damage rating -2 (your opponent can neither SACRIFICE nor PROTECT their Spell Book from this Damage).</t>
  </si>
  <si>
    <t>Wonrei's 8th spell. "What is this power? Where is all of this energy coming from?!"</t>
  </si>
  <si>
    <t>S-451</t>
  </si>
  <si>
    <t>Wall of Rock</t>
  </si>
  <si>
    <t>Command:All Mamodo</t>
  </si>
  <si>
    <t xml:space="preserve">This SPELL card can be played only for MAMODO cards with 5000 Power or more. Reduce the Damage of your opponent's Attack by 2 regardless of their Power. </t>
  </si>
  <si>
    <t>"What? They blocked it with a huge rock! There's another mamodo with them?!"</t>
  </si>
  <si>
    <t>S-452</t>
  </si>
  <si>
    <t>[STAY] Put your Bari MAMODO card in Flight Status until the END PHASE of your next turn.</t>
  </si>
  <si>
    <t>Bari's 1st spell. "What?! He used his spell to fly?!"</t>
  </si>
  <si>
    <t>S-453</t>
  </si>
  <si>
    <t>Damage your opponent's Spell Book when you win the Battle as an Attacker. Your Bari MAMODO card is in Flight Status during the Battle.</t>
  </si>
  <si>
    <t>Bari's 2nd spell. His body spins like a top as he barrels toward his foes at full speed.</t>
  </si>
  <si>
    <t>S-454</t>
  </si>
  <si>
    <t>Damage your opponent's Spell Book when you win the Battle as an Attacker. Your opponent cannot play SPELL cards with only a "Defend" Icon during the Battle.</t>
  </si>
  <si>
    <t>Bari's 3rd spell. "H-He sliced through the Rashield...like it was nothing!"</t>
  </si>
  <si>
    <t>S-455</t>
  </si>
  <si>
    <t>Damage your opponent's Spell Book when you win the Battle as an Attacker. If your opponent does not Defend against this SPELL card, they can neither SACRIFICE nor PROTECT their Spell Book from this SPELL card's Damage.</t>
  </si>
  <si>
    <t>Bari's 4th spell. "You call that a setup for an attack? I'll show you how it's really done!"</t>
  </si>
  <si>
    <t>S-456</t>
  </si>
  <si>
    <t>Negate your opponent's Attack regardless of their Power. Then, Injure your Bari MAMODO card after the Battle.</t>
  </si>
  <si>
    <t>Bari's 5th spell. A massive shield that can even fend off the mighty power of the Bao Zakeruga spell.</t>
  </si>
  <si>
    <t>S-457</t>
  </si>
  <si>
    <t>Damage your opponent's Spell Book when you win the Battle as an Attacker. [STANDBY] Regardless of Power, the effects of your Tsao-lon MAMODO card that have already been applied during this turn can be applied once again during this turn.</t>
  </si>
  <si>
    <t>Tsao-lon's 4th spell. "No way...Ma Seshield was...destroyed... They're way too strong!"</t>
  </si>
  <si>
    <t>S-458</t>
  </si>
  <si>
    <t>Flip a coin; if it's tails, Damage your opponent's Spell Book when you win the Battle as an Attacker.</t>
  </si>
  <si>
    <t>Belgim E.O.'s 6th spell. "I'll blow you all away with every last ounce of power I've got left!"</t>
  </si>
  <si>
    <t>S-459</t>
  </si>
  <si>
    <t>This SPELL card can be played up to 5 times per turn (per player). Damage your opponent's Spell Book when you win the Battle as an Attacker.</t>
  </si>
  <si>
    <t>Pamoon's 7th spell. "If you can't beat this spell, then you'll never defeat Zofis...much less become king!"</t>
  </si>
  <si>
    <t>S-460</t>
  </si>
  <si>
    <t>[STAY] Add the text below to your Demolt MAMODO card during this game: ● (Attack) [2 MP] This card may Attack without using a SPELL card (Total Power=10000, Damage=2).</t>
  </si>
  <si>
    <t>Demolt's 8th spell. "What is this terrible feeling? A dangerous feeling! Different from any I've ever felt!!"</t>
  </si>
  <si>
    <t>S-461</t>
  </si>
  <si>
    <t>Gazuron</t>
  </si>
  <si>
    <t>Apply 1 of the following effects when you win the Battle as an Attacker: ● Damage your opponent's Spell Book. ● Injure 1 of your opponent's MAMODO cards in Flight Status.</t>
  </si>
  <si>
    <t>Buzarai's 1st spell. A huge blade attached to a chain that can be manipulated at will.</t>
  </si>
  <si>
    <t>S-462</t>
  </si>
  <si>
    <t>Go Gazushield</t>
  </si>
  <si>
    <t>Buzarai's 2nd spell. "It's your turn, Buzarai...you and your partner Kars!"</t>
  </si>
  <si>
    <t>S-463</t>
  </si>
  <si>
    <t>Urujim Gazun</t>
  </si>
  <si>
    <t>Apply 1 of the following effects when you win the Battle as an Attacker: ● Damage your opponent's Spell Book. ● Send 1 of your opponent's in-play MAMODO cards in Flight Status to the Discard Pile.</t>
  </si>
  <si>
    <t>Buzarai's 3rd spell. "What?! His weapon is causing a tornado!"</t>
  </si>
  <si>
    <t>S-464</t>
  </si>
  <si>
    <t>Gazushield</t>
  </si>
  <si>
    <t>This SPELL card can be played up to 3 times per turn (per player). Negate your opponent's Attack when you win the Battle as a Defender.</t>
  </si>
  <si>
    <t>Buzarai's 4th spell. His blade also serves as a shield for deflecting incoming attacks.</t>
  </si>
  <si>
    <t>S-465</t>
  </si>
  <si>
    <t>Barudo Gazuron</t>
  </si>
  <si>
    <t>Buzarai's 5th spell. His deadly steel blade splits into four and slices his enemies.</t>
  </si>
  <si>
    <t>S-466</t>
  </si>
  <si>
    <t>Raja Gazun</t>
  </si>
  <si>
    <t>Injure all of your opponent's MAMODO cards when you win the Battle as an Attacker. When you inflict Injury, send up to 2 of your opponent's in-play cards (except MAMODO cards) to the Discard Pile.</t>
  </si>
  <si>
    <t>Buzarai's 6th spell. He slams his weapon to the ground, producing a devastating shockwave over a wide radius.</t>
  </si>
  <si>
    <t>S-467</t>
  </si>
  <si>
    <t>Gigano Gazuron</t>
  </si>
  <si>
    <t>Apply 1 of the following effects when you win the Battle as an Attacker: ● Damage your opponent's Spell Book. ● Send 1 of your opponent's in-play MAMODO to the Discard Pile.</t>
  </si>
  <si>
    <t>Buzarai's 7th spell. A gigantic cluster of 12 spinning blades plows through opponents</t>
  </si>
  <si>
    <t>S-468</t>
  </si>
  <si>
    <t>Go Gazuruk</t>
  </si>
  <si>
    <t>[STAY] Add the text below to your Buzarai MAMODO card until the END PHASE of your next turn: ● (Attack) [1 MP] This card may Attack without using a SPELL card (Total Power=7000, Damage=1). This effect can be applied up to twice per turn (per player).</t>
  </si>
  <si>
    <t>Buzarai's 8th spell. It equips both of his arms with giant blades, enabling him to fight in close quarters.</t>
  </si>
  <si>
    <t>S-469</t>
  </si>
  <si>
    <t>Dioga Gazuron</t>
  </si>
  <si>
    <t>Apply both of the following effects in order when you win the Battle as an Attacker: ● Send 1 of your opponent's in-play MAMODO to the Discard Pile. ● Damage your opponent's Spell Book.</t>
  </si>
  <si>
    <t>Buzarai's 9th spell. Its overwhelming force is so immense that a standard Bao Zakeruga would be completely powerless in its wake.</t>
  </si>
  <si>
    <t>S-470</t>
  </si>
  <si>
    <t>Ganzu Ginis</t>
  </si>
  <si>
    <t>Flip a coin 2 times when you win the Battle as an Attacker: ● 2 heads: Send up to 2 of your opponent's in-play cards (except MAMODO cards) to the Discard Pile. ● 1 heads: Send 1 of your opponent's in-play cards (except MAMODO cards) to the Discard Pile. Then, Damage your oppponent's Spell Book. ● 0 heads: Damage your opponent's Spell Book twice.</t>
  </si>
  <si>
    <t>Keith's 1st spell. "Ha ha ha ha, he's all alone again!"</t>
  </si>
  <si>
    <t>S-471</t>
  </si>
  <si>
    <t>Gigano Ginis</t>
  </si>
  <si>
    <t>Injure 1 of your opponent's MAMODO cards twice when you win the Battle as an Attacker.</t>
  </si>
  <si>
    <t>Keith's 2nd spell. "Well then, I'll just have to aim at the original body!"</t>
  </si>
  <si>
    <t>S-472</t>
  </si>
  <si>
    <t>Am Garaginis</t>
  </si>
  <si>
    <t>[STAY] Add 4000 Power and 2 Damage to your Bravo SPELL cards during this turn.</t>
  </si>
  <si>
    <t>Keith's 3rd spell. It energizes his arms to amplify their spring-loaded power.</t>
  </si>
  <si>
    <t>S-473</t>
  </si>
  <si>
    <t>Go Garaginis</t>
  </si>
  <si>
    <t>Damage your opponent's Spell Book when you win the Battle as an Attacker. Look at the currently open pages your opponent's Spell Book. If there are no MAMODO or SPELL cards in the pages, increase the Damage of this SPELL card by 2.</t>
  </si>
  <si>
    <t>Keith's 4th spell. His body spins like a top as he thrusts himself toward his enemies.</t>
  </si>
  <si>
    <t>S-474</t>
  </si>
  <si>
    <t>Limbo</t>
  </si>
  <si>
    <t>If your opponent's Attack would inflict 2 Damage or less, negate their Attack regardless of Power.</t>
  </si>
  <si>
    <t>Command:Keith Keith dodges speeding projectiles by leaning back and doing the limbo.</t>
  </si>
  <si>
    <t>S-475</t>
  </si>
  <si>
    <t>Bravo</t>
  </si>
  <si>
    <t>[STANDBY] When you inflict Damage or Injury using a SPELL card with Keith as its MAMODO name during the next Battle this turn, turn 1 page of your opponent's Spell Book.</t>
  </si>
  <si>
    <t>Command:Keith With outstretched arms, Keith prepares to execute a surprise attack.</t>
  </si>
  <si>
    <t>Apply 1 of the following effects when you win the Battle as an Attacker: ● Damage your opponent's Spell Book. ● Send 1 of your opponent's in-play cards (except MAMODO) to the Discard Pile.</t>
  </si>
  <si>
    <t>S-476</t>
  </si>
  <si>
    <t>Action!</t>
  </si>
  <si>
    <t>This SPELL card can be played only if you played a Bravo SPELL card during this turn. Select 1 of your opponent's in-play cards (except MAMODO cards) and send it to the Discard Pile.</t>
  </si>
  <si>
    <t>Command:Keith By reeling back with his spring-like arms, Keith launches himself at the opponent like a slingshot.</t>
  </si>
  <si>
    <t>S-477</t>
  </si>
  <si>
    <t>Go Kofar</t>
  </si>
  <si>
    <t>Cherish's 1st spell. Fires a large crystalline mineral at her adversaries.</t>
  </si>
  <si>
    <t>S-478</t>
  </si>
  <si>
    <t>Gare Kofar</t>
  </si>
  <si>
    <t>Damage your opponent's Spell Book when you win the Battle as an Attacker. When you lose the Battle, flip a coin; if it's heads, this SPELL card can be played once more during this BATTLE PHASE (this effect can be repeated as many times as you desire until you win the Battle or get tails).</t>
  </si>
  <si>
    <t>Cherish's 2nd spell. She shoots out an array of small crystals from her fingertips.</t>
  </si>
  <si>
    <t>S-479</t>
  </si>
  <si>
    <t>Damage your opponent's Spell Book when you win the Battle as an Attacker. Regardless of Power, flip a coin; if it's heads, turn 1 page of your opponent's Spell Book after the Battle.</t>
  </si>
  <si>
    <t>Majiro's 2nd spell. He bared his fangs at Brago...but paid the ultimate price.</t>
  </si>
  <si>
    <t>S-480</t>
  </si>
  <si>
    <t>All Partners</t>
  </si>
  <si>
    <t>This SPELL card can be played only for 1 of your in-play PARTNER cards. Damage your opponent's Spell Book when you win the Battle as an Attacker. The Total Power of this Attack is considered to be the same as the Power of this SPELL card.</t>
  </si>
  <si>
    <t>"We're surrounded by enemies; we have to get away from their commander so the army won't be able to hear his instructions!"</t>
  </si>
  <si>
    <t>S-481</t>
  </si>
  <si>
    <t>This SPELL card can be played even when prohibited to do so. Damage your opponent's Spell Book when you win the Battle as an Attacker.</t>
  </si>
  <si>
    <t>Zatch's 4th spell. "Zatch's power is red, the conducting element that gives light and guidance to everyone's power."</t>
  </si>
  <si>
    <t>S-482</t>
  </si>
  <si>
    <t>[STANDBY] Your opponent can neither SACRIFICE nor PROTECT their Spell Book from the Damage of a S-481 Bao Zakeruga or Bao Zakeruga of Friendship SPELL card you play during this game. This effect is negated after the Battle in which you played either of those SPELL cards.</t>
  </si>
  <si>
    <t>Kanchomé's 1st spell. "Kanchomé's power is yellow, the transformation element that changes things into a state of perfection."</t>
  </si>
  <si>
    <t>S-483</t>
  </si>
  <si>
    <t>Negate your opponent's Attack when you win the Battle as a Defender. [STANDBY] Regardless of Power, add 6000 Power to a S-481 Bao Zakeruga or Bao Zakeruga of Friendship SPELL card you Attack with during this game (this effect can be duplicated). This effect is negated after the Battle in which you played either of those SPELL cards.</t>
  </si>
  <si>
    <t>Tia's 4th spell. "Tia's power is vermilion, a shield element that amplifies and protects power."</t>
  </si>
  <si>
    <t>S-484</t>
  </si>
  <si>
    <t>[STANDBY] Increase the Damage of a S-481 Bao Zakeruga or Bao Zakeruga of Friendship SPELL card you Attack with during this game by 2 (this effect can be duplicated). This effect is negated after the Battle in which you played either of those SPELL cards.</t>
  </si>
  <si>
    <t>Ponygon's 3rd spell. "Ponygon's power is orange, the element of mighty fire."</t>
  </si>
  <si>
    <t>S-485</t>
  </si>
  <si>
    <t>Damage your opponent's Spell Book when you win the Battle as an Attacker. If Power is being added to this SPELL card by the effects of a Zagurzem SPELL card, increase the Damage of this SPELL card by 2.</t>
  </si>
  <si>
    <t>Zatch's 4th spell. "All right! Bao Zakeruga absorbed the electrical charge stored up in Keith's body!"</t>
  </si>
  <si>
    <t>S-486</t>
  </si>
  <si>
    <t>Damage your opponent's Spell Book when you win the Battle as an Attacker. You may pay an additional 3 MP when you declare the play of this SPELL card; if you do, your opponent can neither SACRIFICE nor PROTECT their Spell Book from this SPELL card's Damage.</t>
  </si>
  <si>
    <t>Zatch's 5th spell. "Zatch! Keep them off of Kanchomé with covering fire!"</t>
  </si>
  <si>
    <t>S-487</t>
  </si>
  <si>
    <t>[STAY] Select 1 Bao Zakeruga SPELL card from any page of your Spell Book and apply 1 of the following effects to it during this game: ● Add 3000 Power to the SPELL card (this effect can be duplicated). ● Increase the Damage of the SPELL card by 1 (this effect can be duplicated). ● Any MAMODO cards that SACRIFICE or PROTECT their Spell Book from this SPELL card's Damage are sent to the Discard Pile.</t>
  </si>
  <si>
    <t>Zatch's 7th spell. The chain reaction invoked by Zagurzem is the deciding factor between victory and defeat.</t>
  </si>
  <si>
    <t>S-488</t>
  </si>
  <si>
    <t>Select 1 Kanchomé (Double) MAMODO card from any page of your Spell Book and put it in play. ● Up to 3 of them can be in play outside of your MAMODO card limit. ● Multiple copies of them can be in play, regardless of card name rules. ● When your Kanchomé MAMODO card leaves play, send all of your Kanchomé (Double) MAMODO cards to the Discard Pile.</t>
  </si>
  <si>
    <t>Kanchomé's 4th spell. It produces 8 copies of himself.</t>
  </si>
  <si>
    <t>S-489</t>
  </si>
  <si>
    <t>Buzarai's 9th spell. "Hmph, it's hopeless! The difference in power is as plain as day!"</t>
  </si>
  <si>
    <t>S-490</t>
  </si>
  <si>
    <t>Apply 1 of the following effects when you win the Battle as an Attacker: ● Damage your opponent's Spell Book. ● Injure 1 of your opponent's Injured MAMODO cards.</t>
  </si>
  <si>
    <t>"Say goodbye! BRAVO!"</t>
  </si>
  <si>
    <t>S-491</t>
  </si>
  <si>
    <t>Damage your opponent's Spell Book when you win the Battle as an Attacker. If your opponent played an EVENT card during this turn, this SPELL card cannot be Defended.</t>
  </si>
  <si>
    <t>Zatch's 1st spell. "ZAKER!" Keith is caught completely off-guard in the middle of his Beethoven singing performance!</t>
  </si>
  <si>
    <t>S-492</t>
  </si>
  <si>
    <t>Negate your opponent's Attack when you win the Battle as a Defender. If the effects of a Zagurzem SPELL card are being applied to this SPELL card, add 2000 Power to this SPELL card.</t>
  </si>
  <si>
    <t>Zatch's 2nd spell. His defense spell that can amplify its power by enhancing it with the Zagurzem spell.</t>
  </si>
  <si>
    <t>S-493</t>
  </si>
  <si>
    <t>Select 1 of your opponent's in-play MAMODO cards and flip a coin when you win the Battle as an Attacker; if it's heads, Injure the selected MAMODO card.</t>
  </si>
  <si>
    <t>Zatch's 3rd spell. It turns the opponent's body into a magnet!</t>
  </si>
  <si>
    <t>S-494</t>
  </si>
  <si>
    <t>The Power and Damage of this SPELL card cannot be increased. Damage your opponent's Spell Book by a number of times (maximum 4 times) equal to the number of Zagurzem SPELL card effects that are applied to this SPELL card when you win the Battle as an Attacker.</t>
  </si>
  <si>
    <t>Zatch's 4th spell. "All right, you idiot... You're gonna be my guinea pig to find out!"</t>
  </si>
  <si>
    <t>S-495</t>
  </si>
  <si>
    <t>Damage your opponent's Spell Book when you win the Battle as an Attacker. Before comparing Total Power, you may pay 1 MP to add 3000 Power to this SPELL card.</t>
  </si>
  <si>
    <t>Zatch's 5th spell. Its power exceeds that of Zaker and is shot straight toward the target.</t>
  </si>
  <si>
    <t>S-496</t>
  </si>
  <si>
    <t>Flip a coin regardless of Power; if it's heads, negate your opponent's Attack. Then, Injure the MAMODO card that Attacked in the Battle.</t>
  </si>
  <si>
    <t>Zatch's 6th spell. "I started off with our most powerful spell, and they weren't fazed at all! They dodged our attack by enhancing Zatch's physical abilities... and they even managed to counterattack us!"</t>
  </si>
  <si>
    <t>S-497</t>
  </si>
  <si>
    <t>[STANDBY] Add 3000 Power to 1 of your SPELL cards with Zatch Bell as its MAMODO name in any page of your Spell Book during this game (this effect can be duplicated).</t>
  </si>
  <si>
    <t>Zatch's 7th spell. "It's okay, Zatch... You're doing the right thing... You're shooting Zagurzem exactly where you're supposed to..."</t>
  </si>
  <si>
    <t>S-498</t>
  </si>
  <si>
    <t>Apply 1 of the following effects: ● Move 1 of your in-play MAMODO or PARTNER cards to an empty page of your Spell Book. ● Select 1 MAMODO or PARTNER card from any page of your Spell Book and put it in play.</t>
  </si>
  <si>
    <t>Kanchomé's 1st spell. He transforms into a grappling hook to latch onto something at a distance. When he changes back, he can move to the spot he latched onto.</t>
  </si>
  <si>
    <t>S-499</t>
  </si>
  <si>
    <t>Damage your opponent's Spell Book when you win the Battle as an Attacker. Your opponent can neither SACRIFICE nor PROTECT their Spell Book from this SPELL card's Damage.</t>
  </si>
  <si>
    <t>Kanchomé's 2nd spell. "Why am I getting this awful feeling? I've gotta... defeat this guy right away!"</t>
  </si>
  <si>
    <t>S-500</t>
  </si>
  <si>
    <t>[STAY] Select 1 of your opponent's in-play MAMODO cards. Your opponent cannot apply the effects of the selected MAMODO card during this turn.</t>
  </si>
  <si>
    <t>Kanchomé's 3rd spell. "Okay, Kiyo. Leave it to us! Ready, Kanchomé?"</t>
  </si>
  <si>
    <t>S-501</t>
  </si>
  <si>
    <t>Select 1 Kanchomé MAMODO card from any page of your Spell Book and put it in play (regardless of card name rules and the number of MAMODO cards you have in play). Send the selected Kanchomé MAMODO card to the Discard Pile at the END PHASE of this turn even when prohibited to do so.</t>
  </si>
  <si>
    <t>Kanchomé's 4th spell. "When they work as a team, they're really strong!"</t>
  </si>
  <si>
    <t>S-502</t>
  </si>
  <si>
    <t>Tia's 1st spell. "Megumi!" "Yeah! SAISU!" Tia's attack burnt up Borubora's spell book.</t>
  </si>
  <si>
    <t>S-503</t>
  </si>
  <si>
    <t>Select 1 of your in-play MAMODO cards. Regardless of Power, the selected MAMODO card cannot receive Damage or Injury from your opponent's Attack in the Battle.</t>
  </si>
  <si>
    <t>Tia's 2nd spell. "Oh no... I can't protect everyone... They're too far away!"</t>
  </si>
  <si>
    <t>S-504</t>
  </si>
  <si>
    <t>Tia's 3rd spell. "Were we able to push his fist away?" "Yeah, but that wasn't enough!"</t>
  </si>
  <si>
    <t>S-505</t>
  </si>
  <si>
    <t>[STAY] Your opponent cannot play SPELL cards that can be used for both Attacking and Defending during this turn.</t>
  </si>
  <si>
    <t>Tia's 4th spell. "This is... the spell that redirects your attacks right back at you!"</t>
  </si>
  <si>
    <t>S-506</t>
  </si>
  <si>
    <t>Select 1 PARTNER card in your Discard Pile that was sent to the Discard Pile on the previous turn, and move it into play.</t>
  </si>
  <si>
    <t>Tia's 5th spell. "This spell should put you back on your feet, Kiyo!"</t>
  </si>
  <si>
    <t>S-507</t>
  </si>
  <si>
    <t>Damage your opponent's Spell Book when you win the Battle as an Attacker. The Damage of this SPELL card is considered to be equal to the number of cards in your opponent's Spell Book with effects that turn pages of a player's Spell Book times 2 (you do not look at your opponent's Spell Book).</t>
  </si>
  <si>
    <t>Tia's 6th spell. "OON! OON! OOOOOOOOOOOOOOON!"</t>
  </si>
  <si>
    <t>S-508</t>
  </si>
  <si>
    <t>Select 1 Ponygon (Shudoruk Form) MAMODO card from any page of your Spell Book and place it on a Ponygon MAMODO card. Then, negate all [Standby] effects.</t>
  </si>
  <si>
    <t>Ponygon's 1st spell. Power, speed, and defense... all of which are reinforced simultaneously.</t>
  </si>
  <si>
    <t>S-509</t>
  </si>
  <si>
    <t>Select 1 Ponygon (Go Shudoruk Form) MAMODO card from any page of your Spell Book and place it on a Ponygon MAMODO card. Then, negate all [Stay] effects.</t>
  </si>
  <si>
    <t>Ponygon's 2nd spell. "Hold on tight!"</t>
  </si>
  <si>
    <t>S-510</t>
  </si>
  <si>
    <t>Select 1 Ponygon (Dioemur Shudoruk Form) MAMODO card from any page of your Spell Book and place it on a Ponygon MAMODO card. Then, turn 1 page of your opponent's Spell Book.</t>
  </si>
  <si>
    <t>Ponygon's 3rd spell. His flames are so potent that they can even smother Karudio's overwhelming snowstorm.</t>
  </si>
  <si>
    <t>S-511</t>
  </si>
  <si>
    <t>Negate your opponent's Attack when you win the Battle as a Defender. If your opponent is Attacking without using a SPELL card by applying a MAMODO card's effect, you win the Battle regardless of Power.</t>
  </si>
  <si>
    <t>Wonrei's 1st spell. A force field forms at Wonrei's palms, which serves as a shield for deflecting incoming attacks.</t>
  </si>
  <si>
    <t>S-512</t>
  </si>
  <si>
    <t>Wonrei's 2nd spell. It stores up energy in his entire body that is released from the palm of his hand in a burst of power.</t>
  </si>
  <si>
    <t>S-513</t>
  </si>
  <si>
    <t>Damage your opponent's Spell Book when you win the Battle as an Attacker. This SPELL card can be played only when the only card your opponent currently has in play is a single MAMODO card.</t>
  </si>
  <si>
    <t>Wonrei's 4th spell. His fist, imbued with energy, obliterates Demolt's spell book!</t>
  </si>
  <si>
    <t>S-514</t>
  </si>
  <si>
    <t>Damage your opponent's Spell Book when you win the Battle as an Attacker. When you inflict Injury, your opponent cannot apply the effects of the Injured MAMODO card until the END PHASE of the next turn ([STAY]).</t>
  </si>
  <si>
    <t>Wonrei's 5th spell. "Let's finish them off, Wonrei!" "Okay!"</t>
  </si>
  <si>
    <t>S-515</t>
  </si>
  <si>
    <t>This SPELL card can be played up to 3 times per turn (per player). Damage your opponent's Spell Book when you win the Battle as an Attacker.</t>
  </si>
  <si>
    <t>Wonrei's 6th spell. Unleashes a countless flurry of punches that flit about as though they were dancing in battle.</t>
  </si>
  <si>
    <t>S-516</t>
  </si>
  <si>
    <t>Damage your opponent's Spell Book when you win the Battle as an Attacker. Injure your Wonrei MAMODO card when you lose the Battle as an Attacker.</t>
  </si>
  <si>
    <t>Wonrei's 7th spell. His entire body rotates at top speed as he drills into the opponent with a spinning kick.</t>
  </si>
  <si>
    <t>S-517</t>
  </si>
  <si>
    <t>Damage your opponent's Spell Book when you win the Battle as an Attacker. Regardless of Power, send 1 of your opponent's in-play PARTNER cards to the Discard Pile after the Battle.</t>
  </si>
  <si>
    <t>Wonrei's 8th spell. A ferocious tiger charges into Demolt, which forces him to cough up his human partner, Roberto Vile.</t>
  </si>
  <si>
    <t>S-518</t>
  </si>
  <si>
    <t>Goraio Diboren</t>
  </si>
  <si>
    <t>[SEAL BREAKER] Damage your opponent's Spell Book when you win the Battle as an Attacker. Before comparing Total Power, select 1 Li-en PARTNER card from any page of your Spell Book and put it in play.</t>
  </si>
  <si>
    <t>Wonrei's 9th spell. Wonrei's mightiest spell roars to life and rescues Li-en from a terrible fate.</t>
  </si>
  <si>
    <t>S-519</t>
  </si>
  <si>
    <t>Arth's 1st spell. With a swing of his sword, a shock wave that takes the form of his blade is slung toward his enemies.</t>
  </si>
  <si>
    <t>S-520</t>
  </si>
  <si>
    <t>[STAY] Increase the Damage of your Arth MAMODO card's Attacks by 1 during this turn (this effect cannot be duplicated).</t>
  </si>
  <si>
    <t>Arth's 2nd spell. "You annoying bug... I'm not even after you!"</t>
  </si>
  <si>
    <t>S-521</t>
  </si>
  <si>
    <t>Arth's 3rd spell. "Be quiet... Why don't you save the tough talk until after you've defeated me?"</t>
  </si>
  <si>
    <t>S-522</t>
  </si>
  <si>
    <t>Reduce your opponent's MP by 3.</t>
  </si>
  <si>
    <t>Arth's 4th spell. "What?! An illusion?!"</t>
  </si>
  <si>
    <t>S-523</t>
  </si>
  <si>
    <t>[STAY] When your Arth MAMODO card Attacks or Defends during this turn, add 4000 Power to the Total Power of your Attack or Defense.</t>
  </si>
  <si>
    <t>Arth's 5th spell. "Ha ha ha! Looks like you're getting pretty fast yourself."</t>
  </si>
  <si>
    <t>S-524</t>
  </si>
  <si>
    <t>Arth's 6th spell. "You fool... This is all a waste of time!"</t>
  </si>
  <si>
    <t>S-525</t>
  </si>
  <si>
    <t>Damage your opponent's Spell Book when you win the Battle as an Attacker. If your opponent SACRIFICED or PROTECTED their Spell Book from this SPELL card's Damage, inflict 2 Damage on your opponent (your opponent can SACRIFICE or PROTECT from this Damage as well).</t>
  </si>
  <si>
    <t>Arth's 7th spell. Strength from within is converted into power and manifests into a massive sword for striking down enemies.</t>
  </si>
  <si>
    <t>S-526</t>
  </si>
  <si>
    <t>Gyan Bagyam Swordon</t>
  </si>
  <si>
    <t>[SEAL BREAKER] Damage your opponent's Spell Book when you win the Battle as an Attacker. When you inflict Damage or Injury, your opponent sends 1 card in the currently open pages of their Spell Book to the Discard Pile.</t>
  </si>
  <si>
    <t>Arth's 8th spell. "When I focus all my strength into one blow, it creates a mighty iron sword sharp enough to cut through anything!"</t>
  </si>
  <si>
    <t>S-527</t>
  </si>
  <si>
    <t>Select 1 Karudio (Gidoruk Form) MAMODO card from any page of your Spell Book and place it on a Karudio MAMODO card. Then, reduce your opponent's MP by 2.</t>
  </si>
  <si>
    <t>Karudio's 1st spell. Armor covers his hooves and forehead while hardening his mane at the same time.</t>
  </si>
  <si>
    <t>S-528</t>
  </si>
  <si>
    <t>S-528 | U MP:2 ATT No Battle (</t>
  </si>
  <si>
    <t>Select 1 Karudio (Go Gidoruk Form) MAMODO card from any page of your Spell Book and place it on a Karudio MAMODO card. Then, reduce your opponent's MP by 4.</t>
  </si>
  <si>
    <t>Karudio's 2nd spell. "Hmph. Come on, Karudio... GO GIDORUK!"</t>
  </si>
  <si>
    <t>S-529</t>
  </si>
  <si>
    <t>Select 1 Karudio (Diogikor Gidoruk Form) MAMODO card from any page of your Spell Book and place it on a Karudio MAMODO card. Then, turn 1 page of your opponent's Spell Book.</t>
  </si>
  <si>
    <t>Karudio's 3rd spell. "Stop acting tough in front of me!"</t>
  </si>
  <si>
    <t>S-530</t>
  </si>
  <si>
    <t>Move up to 2 of your in-play cards to empty pages of your Spell Book (except the currently open pages).</t>
  </si>
  <si>
    <t>Momon's 1st spell. "BOIIING!"</t>
  </si>
  <si>
    <t>S-531</t>
  </si>
  <si>
    <t>Select either the left page or right page of the currently open pages of your opponent's Spell Book (without looking at them). Your opponent sends the card in the selected page to the Discard Pile.</t>
  </si>
  <si>
    <t>Momon's 2nd spell. "Huh? He fell into the ground?"</t>
  </si>
  <si>
    <t>S-532</t>
  </si>
  <si>
    <t>Negate your opponent's Attack regardless of their Power.</t>
  </si>
  <si>
    <t>Momon's 3rd spell. "What's this? Is this a spell that slows down time?!"</t>
  </si>
  <si>
    <t>S-533</t>
  </si>
  <si>
    <t>Select up to 3 MAMODO and/or PARTNER cards from any page of your Spell Book and put them in play.</t>
  </si>
  <si>
    <t>Momon's 4th spell. A spell that enables him to fly, making it easier to travel through Faudo's body.</t>
  </si>
  <si>
    <t>S-534</t>
  </si>
  <si>
    <t>Garbanio</t>
  </si>
  <si>
    <t>Damage your opponent's Spell Book when you win the Battle as an Attacker. When you declare the play of this SPELL card, you may pay 1 additional MP to add 1000 Power to this SPELL card (this effect can be applied as many times as you desire).</t>
  </si>
  <si>
    <t>Riya's 1st spell. Alishie uses it to attack with all his might. The horn on top of Riya's head extends outward and rams into Zaruchim.</t>
  </si>
  <si>
    <t>S-535</t>
  </si>
  <si>
    <t>Ganzu Niosen</t>
  </si>
  <si>
    <t>Damage your opponent's Spell Book when you win the Battle as an Attacker. When you declare the play of this SPELL card, you may pay an additional 2 MP for this SPELL card to Damage your opponent's Spell Book 1 additional time (maximum 4 MP).</t>
  </si>
  <si>
    <t>Riya's 2nd spell. A salvo of missiles is fired from his stomach like a machine gun.</t>
  </si>
  <si>
    <t>S-536</t>
  </si>
  <si>
    <t>Go Amuruk</t>
  </si>
  <si>
    <t>Damage your opponent's Spell Book when you win the Battle as an Attacker. When used for Defending, add 3000 Power to this SPELL card.</t>
  </si>
  <si>
    <t>Riya's 3rd spell. It enlarges his arm, allowing him to smack down the attacking Wonrei!</t>
  </si>
  <si>
    <t>S-537</t>
  </si>
  <si>
    <t>Raja Shirnio</t>
  </si>
  <si>
    <t>This SPELL card can be played up to as many times as you desire per turn (per player). Negate your opponent's Attack when you win the Battle as a Defender.</t>
  </si>
  <si>
    <t>Riya's 4th spell. "Riya, become a shield!"</t>
  </si>
  <si>
    <t>S-538</t>
  </si>
  <si>
    <t>Shao Niodoruk</t>
  </si>
  <si>
    <t>[SEAL BREAKER] Damage your opponent's Spell Book when you win the Battle as an Attacker. When you inflict Damage or Injury, send all EVENT cards in the currently open pages of your opponent's Spell Book to the Discard Pile (without looking at the open pages).</t>
  </si>
  <si>
    <t>Riya's 5th spell. Riya transforms into an enormous beast and charges directly into Faudo's seal.</t>
  </si>
  <si>
    <t>S-539</t>
  </si>
  <si>
    <t>Gardoruk Nioruk</t>
  </si>
  <si>
    <t>Damage your opponent's Spell Book when you win the Battle as an Attacker. When used for Defending, reduce the Damage of your opponent's Attack SPELL card by 1 regardless of their Power.</t>
  </si>
  <si>
    <t>Riya's 6th spell. He rotates like a spinning top and launches toward Faudo with the force of a cannonball.</t>
  </si>
  <si>
    <t>S-540</t>
  </si>
  <si>
    <t>[SEAL BREAKER] Damage your opponent's Spell Book when you win the Battle as an Attacker. Any MAMODO cards that SACRIFICE or PROTECT their Spell Book from this SPELL card's Damage are sent to the Discard Pile. (Any MAMODO cards that are prohibited from being sent to the Discard Pile by card effects can neither SACRIFICE nor PROTECT their Spell Book from this SPELL card's Damage.)</t>
  </si>
  <si>
    <t>Rodeaux's 1st spell. His wings bend and distort into a crudely formed spear with the intent of piercing Faudo's seal.</t>
  </si>
  <si>
    <t>S-541</t>
  </si>
  <si>
    <t>Rodeaux's 2nd spell. "Aha, there you are!" "GANZU RAGYUR!"</t>
  </si>
  <si>
    <t>S-542</t>
  </si>
  <si>
    <t>Damage your opponent's Spell Book when you win the Battle as an Attacker. If a MAMODO card that SACRIFICES or PROTECTS their Spell Book from this SPELL card's Damage has a MAMODO card underneath it, send the top card to the Discard Pile and the bottom card remains in play. (Any MAMODO cards that are prohibited from being sent to the Discard Pile by card effects can neither SACRIFICE nor PROTECT their Spell Book from this SPELL card's Damage.)</t>
  </si>
  <si>
    <t>Rodeaux's 3rd spell. "He caught us off guard when the Rauzaruk spell was fading!"</t>
  </si>
  <si>
    <t>S-543</t>
  </si>
  <si>
    <t>Damage your opponent's Spell Book when you win the Battle as an Attacker. Then, Injure 1 of your opponent's MAMODO cards that was put in play during this turn.</t>
  </si>
  <si>
    <t>Rodeaux's 4th spell. "That stupid idiot finally showed himself..."</t>
  </si>
  <si>
    <t>S-544</t>
  </si>
  <si>
    <t>Damage your opponent's Spell Book when you win the Battle as an Attacker. When you declare the play of this SPELL card, select 1 of your opponent's in-play MAMODO cards. During the Battle, your opponent can neither play SPELL cards for nor apply the effects of any other MAMODO cards they have in play except the selected MAMODO card.</t>
  </si>
  <si>
    <t>Rodeaux's 5th spell. "Once we're in close, we'll blast you to pieces."</t>
  </si>
  <si>
    <t>S-545</t>
  </si>
  <si>
    <t>Fanon Riou Diou</t>
  </si>
  <si>
    <t>[SEAL BREAKER] Damage your opponent's Spell Book 3 times when you win the Battle as an Attacker.</t>
  </si>
  <si>
    <t>Riou's 9th spell. "BREAK THE SEAL NOW!"</t>
  </si>
  <si>
    <t>S-546</t>
  </si>
  <si>
    <t>Send 1 of your opponent's in-play PARTNER cards to the Discard Pile when you win the Battle as an Attacker.</t>
  </si>
  <si>
    <t>Keith's 1st spell. "Ha ha ha ha! He's all alone again!"</t>
  </si>
  <si>
    <t>S-547</t>
  </si>
  <si>
    <t>Keith's 2nd spell. "Ha! There you are!" "GIGANO GINIS!"</t>
  </si>
  <si>
    <t>S-548</t>
  </si>
  <si>
    <t>[STANDBY] Increase the Damage of 1 SPELL card with Keith as its MAMODO name that you play in the next Battle during this turn by 1 (this effect can be duplicated).</t>
  </si>
  <si>
    <t>Keith's 3rd spell. "Looks like you insects can no longer resist me, eh?"</t>
  </si>
  <si>
    <t>S-549</t>
  </si>
  <si>
    <t>Damage your opponent's Spell Book when you win the Battle as an Attacker. If you have Buzarai and/or Bari MAMODO cards in play, the Power of this SPELL card is considered to be +2000, and the Damage is considered to be 1.</t>
  </si>
  <si>
    <t>Keith's 4th spell. It greatly resembles Bari's Garazonis spell in that it causes him to spin at high speeds and barrel into his enemy.</t>
  </si>
  <si>
    <t>S-550</t>
  </si>
  <si>
    <t>Dioga Ginisdon</t>
  </si>
  <si>
    <t>[SEAL BREAKER] Damage your opponent's Spell Book when you win the Battle as an Attacker. When you inflict Damage or Injury, reduce your opponent's MP by 4 to get 4 MP.</t>
  </si>
  <si>
    <t>Keith's 5th spell. In his bid to usurp Faudo's power, Keith blasts the seal with everything he's got.</t>
  </si>
  <si>
    <t>S-551</t>
  </si>
  <si>
    <t>Damage your opponent's Spell Book when you win the Battle as an Attacker. When used for Defending, add 6000 Power to this SPELL card.</t>
  </si>
  <si>
    <t>Cherish's 1st spell. The acolytes that were sent to dispatch Tia and Ponygon wield the power of crystallization.</t>
  </si>
  <si>
    <t>S-552</t>
  </si>
  <si>
    <t>Cherish's 2nd spell. "Rrgh... He's too fast!"</t>
  </si>
  <si>
    <t>S-553</t>
  </si>
  <si>
    <t>Dioga Kofardon</t>
  </si>
  <si>
    <t>[SEAL BREAKER] Damage your opponent's Spell Book when you win the Battle as an Attacker. When used for Defending, negate your opponent's SPELL card regardless of their Power.</t>
  </si>
  <si>
    <t>Cherish's 3rd spell. With her heart set on never succumbing to despair, Cherish resolves to break Faudo's seal.</t>
  </si>
  <si>
    <t>S-554</t>
  </si>
  <si>
    <t>Orshido Sharon</t>
  </si>
  <si>
    <t>Apply 1 of the following effects: ● [STAY] Your opponent cannot apply effects with [In Play] during this turn. ● [STAY] Your opponent cannot apply effects with [Declare to use] during this turn.</t>
  </si>
  <si>
    <t>Zaruchim's 1st spell. "The shadows from the light he's emitting... are binding us somehow...!"</t>
  </si>
  <si>
    <t>S-555</t>
  </si>
  <si>
    <t>Shidona Swordo</t>
  </si>
  <si>
    <t>This SPELL card can be played up to as many times as you desire per turn (per player) until you win the Battle with it as an Attacker. Damage your opponent's Spell Book when you win the Battle as an Attacker.</t>
  </si>
  <si>
    <t>Zaruchim's 2nd spell. "What? The shadow cast by the weapon on his wrist turns into a giant sword?"</t>
  </si>
  <si>
    <t>S-556</t>
  </si>
  <si>
    <t>Jiboruo Shidon</t>
  </si>
  <si>
    <t>[SEAL BREAKER] Damage your opponent's Spell Book when you win the Battle as an Attacker. When you inflict Injury, you may send 1 of your opponent's in-play MAMODO cards to the Discard Pile.</t>
  </si>
  <si>
    <t>Zaruchim's 3rd spell. A ghastly reaper made up entirely of shadows attacks Faudo's seal with all its might.</t>
  </si>
  <si>
    <t>S-557ab</t>
  </si>
  <si>
    <t>Bao Zakeruga (4-Way Split)</t>
  </si>
  <si>
    <t>This SPELL card can be played only when both S-557a and S-557b are in the currently open pages of your Spell Book and you have successfully played a Zagurzem SPELL card 5 or more times during this game. Damage your opponent's Spell Book 4 times when you win the Battle as an Attacker. If your opponent negates this SPELL card with their effects (except SPELL card effects), it is not negated, and Damages their Spell Book once instead.</t>
  </si>
  <si>
    <t>Zatch's 4th spell. "If Zagurzem were shot at four equidistant points... how would the current move?" / "The attack was split into four directions! No way... No way... NO WAAAAY!"</t>
  </si>
  <si>
    <t>S-558</t>
  </si>
  <si>
    <t>Zatch's 6th spell. "Zatch! Aim at his legs! Get in between his legs and attack him from below!"</t>
  </si>
  <si>
    <t>S-559</t>
  </si>
  <si>
    <t>This SPELL card can be played up to 3 times per turn (per player). [STANDBY] Add 1000 Power to the next SPELL card you play with Zatch Bell as its MAMODO name during the next Battle this turn (this effect can be duplicated).</t>
  </si>
  <si>
    <t>Zatch's 7th spell. "He's been shooting Zagurzem, the spell that makes their electric attacks stronger. He's got something in mind!"</t>
  </si>
  <si>
    <t>S-560</t>
  </si>
  <si>
    <t>Fanon</t>
  </si>
  <si>
    <t>Riou's 1st spell. "I'll throw him into oblivion piece by piece!"</t>
  </si>
  <si>
    <t>S-561</t>
  </si>
  <si>
    <t>Fanon Doron</t>
  </si>
  <si>
    <t>Send 1 of your opponent's in-play PARTNER cards with [In Play] to the Discard Pile.</t>
  </si>
  <si>
    <t>Riou's 2nd spell. It manipulates the head of a large beast to entangle Kiyo within its mane and drag him away.</t>
  </si>
  <si>
    <t>S-562</t>
  </si>
  <si>
    <t>Garfanon</t>
  </si>
  <si>
    <t>Damage your opponent's Spell Book when you win the Battle as an Attacker. When used for Attacking, add 2000 Power to this SPELL card.</t>
  </si>
  <si>
    <t>Riou's 2nd spell. A spinning beast closes in on Kiyo with its mouth wide open.</t>
  </si>
  <si>
    <t>S-563</t>
  </si>
  <si>
    <t>Gofanon</t>
  </si>
  <si>
    <t>Riou's 4th spell. A vicious, shelled monster emerges from the mouth in Riou's stomach.</t>
  </si>
  <si>
    <t>S-564</t>
  </si>
  <si>
    <t>Gurga Dorufanon</t>
  </si>
  <si>
    <t>Damage your opponent's Spell Book when you win the Battle as an Attacker. If you already Attacked during this turn, your opponent can neither SACRIFICE nor PROTECT their Spell Book from this SPELL card's Damage.</t>
  </si>
  <si>
    <t>Riou's 5th spell. "Ha ha ha ha! Come on, Banikis! Let's finish them off!"</t>
  </si>
  <si>
    <t>S-565</t>
  </si>
  <si>
    <t>Argas Fanon</t>
  </si>
  <si>
    <t>Riou's 6th spell. "In spite of all your efforts... you still can't break my shield, can you?"</t>
  </si>
  <si>
    <t>S-566</t>
  </si>
  <si>
    <t>Vargas Farlon</t>
  </si>
  <si>
    <t>Flip a coin 3 times when you win the Batte as an Attacker; select as many of your opponent's in-play cards as you desire (except MAMODO cards) up to the number of heads you get and send them to the Discard Pile.</t>
  </si>
  <si>
    <t>Riou's 7th spell. "It's coming from all sides!"</t>
  </si>
  <si>
    <t>S-567</t>
  </si>
  <si>
    <t>Wigar Fanon</t>
  </si>
  <si>
    <t>Riou's 8th spell. A circular energy wave impacts the ground with enough force to leave a smoldering crater.</t>
  </si>
  <si>
    <t>S-568</t>
  </si>
  <si>
    <t>All Mamodo</t>
  </si>
  <si>
    <t>Damage your opponent's Spell Book when you win the Battle as an Attacker. If you send the PARTNER card attached to the MAMODO card this SPELL card is played for to the Discard Pile, your opponent can neither SACRIFICE nor PROTECT their Spell Book from the Damage of this SPELL card.</t>
  </si>
  <si>
    <t>"We can't defeat Riou unless we let go of everything. We won't be able to...save Japan."</t>
  </si>
  <si>
    <t>S-569</t>
  </si>
  <si>
    <t>Get 4 MP.</t>
  </si>
  <si>
    <t>[S-5]</t>
  </si>
  <si>
    <t>Tia's 5th spell. "Megumi, time for Saifogeo! I used up all my strength from within just now!"</t>
  </si>
  <si>
    <t>S-570</t>
  </si>
  <si>
    <t>[STANDBY] During the next Battle this turn when your Wonrei MAMODO card Attacks, your opponent can neither SACRIFICE nor PROTECT their Spell Book from Damage.</t>
  </si>
  <si>
    <t>Wonrei's 3rd spell. It strengthens his legs, enabling him to move at high-speed.</t>
  </si>
  <si>
    <t>S-571</t>
  </si>
  <si>
    <t>Damage your opponent's Spell Book when you win the Battle as an Attacker. If you played a SPELL card during this turn with Wonrei as its MAMODO name that contains "Go" in its card name, the MP cost of this SPELL card is considered to be 1.</t>
  </si>
  <si>
    <t>Wonrei's 4th spell. "Wonrei...if you fight, I'll fight with you."</t>
  </si>
  <si>
    <t>S-572</t>
  </si>
  <si>
    <t>Damage your opponent's Spell Book when you win the Battle as an Attacker. If you played a SPELL card during this turn with Wonrei as its MAMODO name that contains "Go" in its card name, the MP cost of this SPELL card is considered to be 1. If you played a SPELL card during this turn with Wonrei as its MAMODO name that contains "Redoruk" in its card name, increase the Damage of this SPELL card by 1.</t>
  </si>
  <si>
    <t>Mamood:Wonrei</t>
  </si>
  <si>
    <t>S-573</t>
  </si>
  <si>
    <t>Damage your opponent's Spell Book when you win the Battle as an Attacker. If you played a SPELL card during this turn with Wonrei as its MAMODO name that contains "Redoruk" in its card name, increase the Damage of this SPELL card by 1.</t>
  </si>
  <si>
    <t>Wonrei's 7th spell. It propels him toward the enemy with a spinning body slam that has enough power to upheave the ground.</t>
  </si>
  <si>
    <t>S-574</t>
  </si>
  <si>
    <t>Damage your opponent's Spell Book when you win the Battle as an Attacker. For each time you played a SPELL card during this turn with Wonrei as its MAMODO name, reduce the MP cost of this SPELL card by 2 and increase the Damage of this SPELL card by 1 (maximum 3 times).</t>
  </si>
  <si>
    <t>Wonrei's 9th spell. "In order to protect everyone... I've got to be stronger... Stronger than ever..."</t>
  </si>
  <si>
    <t>S-575</t>
  </si>
  <si>
    <t>Go Rerudo</t>
  </si>
  <si>
    <t>Negate your opponent's Attack when you win the Battle as a Defender. If you played a SPELL card with Wonrei as its MAMODO name during your previous turn, the MP cost of this SPELL card is considered to be 1.</t>
  </si>
  <si>
    <t>Wonrei's 10th spell. A reinforced version of Rerudo. "The shield!"</t>
  </si>
  <si>
    <t>S-576</t>
  </si>
  <si>
    <t>Rofo Diboren</t>
  </si>
  <si>
    <t>Damage your opponent's Spell Book when you win the Battle as an Attacker. If you played a SPELL card during this turn with Wonrei as its MAMODO name that contains "Diboren" in its card name, increase the Damage of this SPELL card by 1.</t>
  </si>
  <si>
    <t>Wonrei's 11th spell. Manifests a massive tiger paw to rend the opponent.</t>
  </si>
  <si>
    <t>S-577</t>
  </si>
  <si>
    <t>Garfo Diboren</t>
  </si>
  <si>
    <t>Damage your opponent's Spell Book when you win the Battle as an Attacker. If you played a SPELL card during this turn with Wonrei as its MAMODO name that contains "Diboren" in its card name, the MP cost of this SPELL card is considered to be 1.</t>
  </si>
  <si>
    <t>Wonrei's 12th spell. Manifests a massive tiger head with fangs that tear into the enemy.</t>
  </si>
  <si>
    <t>S-578</t>
  </si>
  <si>
    <t>Dio Redoruk</t>
  </si>
  <si>
    <t>Wonrei's 13th spell. A supercharged kick that can topple even the largest of foes.</t>
  </si>
  <si>
    <t>S-579</t>
  </si>
  <si>
    <t>I'll Save Her At Any Cost!</t>
  </si>
  <si>
    <t>Send your in-play Wonrei MAMODO card to the Discard Pile to apply the following effect: [STAY] Your Spell Book cannot receive up to 5 Damage during this turn (any Damage that exceeds this amount will be received). Command:Wonrei</t>
  </si>
  <si>
    <t>"I won't let her be destroyed! I'll never let you take her! I WILL SAVE HER!"</t>
  </si>
  <si>
    <t>S-580</t>
  </si>
  <si>
    <t>Damage your opponent's Spell Book when you win the Battle as an Attacker. Your opponent can neither SACRIFICE nor PROTECT their Spell Book from the Damage of this SPELL card. Send your in-play Kido MAMODO card to the Discard Pile after the Battle, even when prohibited to do so.</t>
  </si>
  <si>
    <t>Kido's 10th spell. "Okay, Dr. Riddles. I've gotta go now... Read the last spell, okay?"</t>
  </si>
  <si>
    <t>S-581</t>
  </si>
  <si>
    <t>Damage your opponent's Spell Book when you win the Battle as an Attacker. When you inflict Damage or Injury, look at your opponent's Spell Book. Select 1 EVENT card from any of the pages and send it to the Discard Pile. Send your in-play Penny MAMODO card to the Discard Pile after the Battle, even when prohibited to do so.</t>
  </si>
  <si>
    <t>Penny's 7th spell. "Come on, Uri! Shoot!"</t>
  </si>
  <si>
    <t>S-582</t>
  </si>
  <si>
    <t>This SPELL card can be played up to twice per turn (per player). Place 1 MP counter on your in-play Victoream MAMODO card. ● Your MP is not reduced when placing an MP counter. ● Up to 5 MP counters can be placed on the Victoream card. ● Remove all MP counters when your Victoream MAMODO card when it is sent to the Discard Pile.</t>
  </si>
  <si>
    <t>Victoream's 3rd spell. "The heart of great pride, to my left shoulder!"</t>
  </si>
  <si>
    <t>S-583</t>
  </si>
  <si>
    <t>Damage your opponent's Spell Book when you win the Battle as an Attacker. Remove all MP counters on your Victoream MAMODO card when you declare the play of this SPELL card, and add 2000 Power and 2 Damage times the number of MP counters removed. If 5 MP counters are removed as a result of this effect, your opponent can neither SACRIFICE nor PROTECT their Spell Book from the Damage of this SPELL card.</t>
  </si>
  <si>
    <t>Victoream's 4th spell. "Direction rectified, 45 degrees up! Ha ha ha ha! Shoot them down!"</t>
  </si>
  <si>
    <t>S-584</t>
  </si>
  <si>
    <t>If you have an Albert PARTNER card in play, this SPELL card can be played up to 3 times per turn (per player). Select 1 of your opponent's in-play MAMODO cards and apply 1 effect: ● Connect:[STAY] Your opponent cannot play SPELL cards for the selected MAMODO card until the END PHASE of the next turn. ● Harvest:[STAY] Your opponent cannot apply the effects of the selected MAMODO card until the END PHASE of your next turn. Mamood:Laila</t>
  </si>
  <si>
    <t>Laila's 5th spell. "A, C, H, I, L, Q, T, V, X, Z!" "Connect! And...Harvest!"</t>
  </si>
  <si>
    <t>S-585</t>
  </si>
  <si>
    <t>Girfadom Barsuruk</t>
  </si>
  <si>
    <t>Select 1 Riou (Berserker) MAMODO card from any page of your Spell Book and place it on a Riou MAMODO card.</t>
  </si>
  <si>
    <t>Riou's 11th spell. "Banikis! Cast the forbidden spell! As soon as you do, run for cover!"</t>
  </si>
  <si>
    <t>S-586</t>
  </si>
  <si>
    <t>Damage your opponent's Spell Book when you win the Battle as an Attacker. [COUNTER] Injure your opponent's MAMODO card when you win the Battle as a Defender. Your opponent cannot SACRIFICE against this SPELL card's Injury.</t>
  </si>
  <si>
    <t>Zeno's 4th spell. A myriad of energy arrows spurt outward from an enormous ring of light.</t>
  </si>
  <si>
    <t>S-587</t>
  </si>
  <si>
    <t>Giant Sneeze</t>
  </si>
  <si>
    <t>Negate all [Stay] OR [Standby] effects. Command:Faudo</t>
  </si>
  <si>
    <t>"His...His sneeze blew up the whole island!"</t>
  </si>
  <si>
    <t>S-588</t>
  </si>
  <si>
    <t>Faudo's Main Cannon</t>
  </si>
  <si>
    <t>+10000</t>
  </si>
  <si>
    <t>"Ha ha ha ha ha ha! This is it! This is the power of Faudo!"</t>
  </si>
  <si>
    <t>S-589</t>
  </si>
  <si>
    <t>Kaffarlo</t>
  </si>
  <si>
    <t>This SPELL card can be played up to twice per turn (per player) Damage your opponent's Spell Book when you win the Battle as an Attacker.</t>
  </si>
  <si>
    <t>"Even if we can't use the cannon, we've got lots of other weapons to choose from!"</t>
  </si>
  <si>
    <t>S-590</t>
  </si>
  <si>
    <t>Riou's 9th spell. A trio of ferocious beasts unleash their unbridled wrath on his enemy.</t>
  </si>
  <si>
    <t>S-591</t>
  </si>
  <si>
    <t>Gigano Fanon</t>
  </si>
  <si>
    <t>Riou's 10th spell. Summons a gigantic, bestial head that lunges toward the opponent.</t>
  </si>
  <si>
    <t>S-592</t>
  </si>
  <si>
    <t>Select 1 Riou (Berserker) MAMODO card from any page of your Spell Book and place it on a Riou MAMODO card. Then, turn 1 page of your Spell Book. Effects that turn pages of your Spell Book can be applied only once per turn (per player).</t>
  </si>
  <si>
    <t>Riou's 11th spell. What? you want to use that!?"</t>
  </si>
  <si>
    <t>S-593</t>
  </si>
  <si>
    <t>Damage your opponent's Spell Book when you win the Battle as an Attacker. When you declare the play of this SPELL card, apply 1 of the following effects: ● Add 2000 Power to this SPELL card. ● Increase the Damage of this SPELL card by 1.</t>
  </si>
  <si>
    <t>Zeno's 1st spell. "If that's his weakest spell...then why is it so powerful?!"</t>
  </si>
  <si>
    <t>S-594</t>
  </si>
  <si>
    <t>Zeno's 2nd spell. "I'm not even done supplying power to the spell, but he thinks he completely blocked it or something."</t>
  </si>
  <si>
    <t>S-595</t>
  </si>
  <si>
    <t>Teozaker</t>
  </si>
  <si>
    <t>Damage your opponent's Spell Book when you win the Battle as an Attacker. When you declare the play of this SPELL card, you may pay an additional 2 MP; if you do, your opponent can neither SACRIFICE nor PROTECT their Spell Book from the Damage of this SPELL card.</t>
  </si>
  <si>
    <t>Zeno's 3rd spell. "I don't think a strong spell will be necessary... We can handle this with one shot of our mid-level spell instead."</t>
  </si>
  <si>
    <t>S-596</t>
  </si>
  <si>
    <t>Damage your opponent's Spell Book when you win the Battle as an Attacker. This SPELL card cannot be negated by your opponent's card effects (except SPELL card effects).</t>
  </si>
  <si>
    <t>Zeno's 4th spell. In one mighty explosion, Riou's ambitions were forever shattered by the Jauro Zakeruga spell.</t>
  </si>
  <si>
    <t>S-597</t>
  </si>
  <si>
    <t>Staff Combat</t>
  </si>
  <si>
    <t>Riou / Zeno</t>
  </si>
  <si>
    <t>Damage your opponent's Spell Book when you win the Battle as an Attacker. If your opponent is Attacking with a MAMODO card's effect without using a SPELL card, negate the Attack regardless of their Power, and Damage your opponent's Spell Book.</t>
  </si>
  <si>
    <t>"You have no idea how to use your staff, do you?"</t>
  </si>
  <si>
    <t>S-598</t>
  </si>
  <si>
    <t>Wrapping Shield</t>
  </si>
  <si>
    <t xml:space="preserve">Negate your opponent's Attack if their Attack does any of the following: ● Damages your Spell Book and Injures any of your MAMODO cards. ● Injures 2 or more of your MAMODO cards. ● Inflicts Damage more than once. ● Can be used more than once per turn (negate only 1 of these Attacks). </t>
  </si>
  <si>
    <t>Command:Ponygon (Dioemur Shudoruk Form) "Alishie, Riya! Get next to Ponygon! Ponygon! Wrapping Shield!"</t>
  </si>
  <si>
    <t>S-599</t>
  </si>
  <si>
    <t>Solid Flame Shield</t>
  </si>
  <si>
    <t>Negate your opponent's Attack when you win the Battle as a Defender. When you declare the play of this SPELL card, you may pay an additional 1 MP to add 2000 Power to this SPELL card.</t>
  </si>
  <si>
    <t>Command:Ponygon (Dioemur Shudoruk Form) "Oh no! Ponygon, use your flame shield! We need the strongest shield you can make!"</t>
  </si>
  <si>
    <t>S-600</t>
  </si>
  <si>
    <t>Flame Javelin</t>
  </si>
  <si>
    <t>Damage your opponent's Spell Book when you win the Battle as an Attacker. When you declare the play of this card, you may pay an additional 1 MP to apply 1 of the following effects for each MP paid: ● Your opponent cannot SACRIFICE or PROTECT from Damage. ● Reduce the Power of the SPELL your opponent is Defending with to 0.</t>
  </si>
  <si>
    <t>Command:Ponygon (Dioemur Shudoruk Form) Ponygon focused all his fire on the tip of his horn... like a spear sharp enough to cut through Fango's massive flames.</t>
  </si>
  <si>
    <t>S-601</t>
  </si>
  <si>
    <t>Damage your opponent's Spell Book when you win the Battle as an Attacker. If you Defended with a different MAMODO's SPELL card on the previous turn, or if you Attacked with another MAMODO's SPELL card during this turn, your opponent can neither SACRIFICE nor PROTECT their Spell Book from Damage.</t>
  </si>
  <si>
    <t>Riya's 5th spell. "Didn't you realize yet? It's not power that you need, but a spirit of belief!"</t>
  </si>
  <si>
    <t>S-602</t>
  </si>
  <si>
    <t>Barudo Niosen</t>
  </si>
  <si>
    <t>Damage your opponent's Spell Book when you win the Battle as an Attacker. Before comparing Total Power, you may pay an additional 1 MP to add 2000 Power to this SPELL card (maximum 3 MP).</t>
  </si>
  <si>
    <t>Riya's 7th spell. He shoots forth giant pillars that spread apart at Riya's command, bombarding the enemy with shrapnel.</t>
  </si>
  <si>
    <t>S-603</t>
  </si>
  <si>
    <t>Digo Shirushio</t>
  </si>
  <si>
    <t>This SPELL card can be played when you already have another MAMODO card Defending in the Battle. When played in this manner, add the Power of this SPELL card to the Total Power of your Defense. Negate your opponent's Attack when you win the Battle as a Defender.</t>
  </si>
  <si>
    <t>Riya's 8th spell. "Let's use our strongest shield too, Riya! We'll help Ponygon block it!"</t>
  </si>
  <si>
    <t>S-604</t>
  </si>
  <si>
    <t>Piku Garnio</t>
  </si>
  <si>
    <t>This SPELL card can be played only if you Attacked with an Alishie PARTNER card during this turn. Apply 1 of the following effects when you win the Battle as an Attacker: ● Damage your opponent's Spell Book. ● Send 1 of your opponent's MAMODO cards that received Damage or Injury from your Alishie PARTNER card's Attacks during this turn to the Discard Pile.</t>
  </si>
  <si>
    <t>Riya's 9th spell. Alishie and Zaruchim face off... until Riya jumps in to lend his partner a hand!</t>
  </si>
  <si>
    <t>S-605</t>
  </si>
  <si>
    <t>Go Niodoruk</t>
  </si>
  <si>
    <t>[STAY] Add the text below to your Riya MAMODO card until the END PHASE of your next turn: ● (Attack) (Defend) [DECLARE TO USE] This card may Attack without using a SPELL card (Total Power=8000, Damage=2) OR, Defend without using a SPELL card (Total Power=8000).</t>
  </si>
  <si>
    <t>Riya's 10th spell. "Are you ready, Riya? Time to power up!"</t>
  </si>
  <si>
    <t>S-606</t>
  </si>
  <si>
    <t>Nidoruk</t>
  </si>
  <si>
    <t>Apply both of the following effects in order, regardless of Power: ● Reduce the Damage of your opponent's Attack by 1. ● Your Riya MAMODO card does not receive Damage or Injury from an infliction of 2 Damage or less during this turn ([STAY]).</t>
  </si>
  <si>
    <t>Riya's 11th spell. "Arrgh! I've got to cast some kind of spell to protect Riya! If I strengthen his body, it might help him absorb the damage!"</t>
  </si>
  <si>
    <t>S-607</t>
  </si>
  <si>
    <t>Damage your opponent's Spell Book when you win the Battle as an Attacker. Reduce your opponent's MP by 4 immediately when you declare the play of this SPELL card.</t>
  </si>
  <si>
    <t>Zaruchim's 3rd spell. "The battle ends here!"</t>
  </si>
  <si>
    <t>S-608</t>
  </si>
  <si>
    <t>Shidona Shield</t>
  </si>
  <si>
    <t>This SPELL card can be played even when you already have another MAMODO card Defending. When played that way, add the Power of this SPELL card to your Total Power in the Battle. Negate your opponent's Attack when you win the Battle as a Defender.</t>
  </si>
  <si>
    <t>Zaruchim's 4th spell. The shadow projected from the palm of his hand solidifies into a massive shield.</t>
  </si>
  <si>
    <t>S-609</t>
  </si>
  <si>
    <t>Ganzu Shidosen</t>
  </si>
  <si>
    <t>Damage your opponent's Spell Book when you win the Battle as an Attacker. When you declare the play of this SPELL card, you may pay an additional 2 MP to increase the number of times this SPELL card inflicts Damage by 1 (maximum 4 MP).</t>
  </si>
  <si>
    <t>Zaruchim's 5th spell. Enables him to fire a barrage of dark energy bullets from a pair of machine gun turrets attached to his hands.</t>
  </si>
  <si>
    <t>S-610</t>
  </si>
  <si>
    <t>Oruda Shidona</t>
  </si>
  <si>
    <t>Damage your opponent's Spell Book regardless of their Power. This SPELL card cannot be Defended. Your opponent can SACRIFICE or PROTECT their Spell Book from the Damage of this SPELL card even when they are prohibited to do so.</t>
  </si>
  <si>
    <t>Zaruchim's 7th spell. A myriad of arrow-shaped shadows rapidly strike the enemy all at once.</t>
  </si>
  <si>
    <t>S-611</t>
  </si>
  <si>
    <t>Shidona Dipu</t>
  </si>
  <si>
    <t>[STAY] Add the text below to your Zaruchim MAMODO card until the END PHASE of your next turn: ● (Attack) (Defend) [DECLARE TO USE] This card may Attack without using a SPELL card (Total Power=8000, Damage=2) OR, Defend without using a SPELL card (Total Power=8000).</t>
  </si>
  <si>
    <t>Zaruchim's 7th spell. "Grggh! Turn the shadow into a dagger, Raushin!"</t>
  </si>
  <si>
    <t>S-612</t>
  </si>
  <si>
    <t>Shidona Di Shizaruk</t>
  </si>
  <si>
    <t>[STAY] Add the text below to your Zaruchim MAMODO card until the END PHASE of your next turn: ● (Attack) [DECLARE TO USE] This card may Attack without using a SPELL card (Total Power=8000, Damage=2) OR, Defend without using a SPELL card (Total Power=8000). This effect can be applied up to twice per turn (per player).</t>
  </si>
  <si>
    <t>Zaruchim's 8th spell. "This should take just 5 minutes!"</t>
  </si>
  <si>
    <t>S-613</t>
  </si>
  <si>
    <t>Karbing Gadyu</t>
  </si>
  <si>
    <t>Damage your opponent's Spell Book when you win the Battle as an Attacker. [COUNTER] Damage your opponent's Spell Book when you win the Battle as a Defender if the Total Power of your Defense is 10000 or more.</t>
  </si>
  <si>
    <t>Fango's 1st spell. "What a stupid spell. I can block it easily!"</t>
  </si>
  <si>
    <t>S-614</t>
  </si>
  <si>
    <t>Alsem Gadyudon</t>
  </si>
  <si>
    <t>[SEAL BREAKER] Damage your opponent's Spell Book when you win the Battle as an Attacker. When used for Attacking or Defending, Injure 1 of your opponent's in-play DUAL MAMODO or VS MAMODO cards regardless of Power (your opponent cannot SACRIFICE against this Injury).</t>
  </si>
  <si>
    <t>Fango's 2nd spell. His most powerful attack that was used to help break Faudo's seal.</t>
  </si>
  <si>
    <t>S-615</t>
  </si>
  <si>
    <t>Wolu Gadyun</t>
  </si>
  <si>
    <t>Negate your opponent's Attack when you win the Battle as a Defender. If your opponent is Attacking without using a SPELL card, negate their Attack regardless of Power. ● Injure the MAMODO that Attacked in the Battle with effects that allow it to Attack without using a SPELL (your opponent cannot SACRIFICE against this Injury). ● If the Attacking card is not a MAMODO card, it is discarded after the Battle.</t>
  </si>
  <si>
    <t>Fango's 3rd spell. "Don't let these pests get any closer. Push them away with the wall of fire!"</t>
  </si>
  <si>
    <t>S-616</t>
  </si>
  <si>
    <t>Orudi Gadyu</t>
  </si>
  <si>
    <t>Damage your opponent's Spell Book when you win the Battle as an Attacker. If the Total Power of your Attack with this SPELL card is 10000 or more, your opponent can neither SACRIFICE nor PROTECT their Spell Book from the Damage of this SPELL card.</t>
  </si>
  <si>
    <t>Fango's 4th spell. "Shoot, those fireballs are homing in on Alishie and Riya!"</t>
  </si>
  <si>
    <t>S-617</t>
  </si>
  <si>
    <t>Rior Gadyuga</t>
  </si>
  <si>
    <t>Damage your opponent's Spell Book when you win the Battle as an Attacker. If the Total Power of your Attack with this SPELL card is 10000 or more, Damage your opponent's Spell Book twice instead.</t>
  </si>
  <si>
    <t>Fango's 5th spell. "How's that?! Your flame is weaker than my mid-level spell!"</t>
  </si>
  <si>
    <t>S-618</t>
  </si>
  <si>
    <t>Rond Gadyu</t>
  </si>
  <si>
    <t>This SPELL card can be played once more during this turn if it resulted in a Total Power of 10000 or more for your Attack in the previous Battle in which it was played (this SPELL card cannot be played a third time or more). Damage your opponent's Spell Book when you win the Battle as an Attacker.</t>
  </si>
  <si>
    <t>Fango's 6th spell. "I can't believe it's taking you so long to defeat these morons!"</t>
  </si>
  <si>
    <t>S-619</t>
  </si>
  <si>
    <t>Dio Gadyuga</t>
  </si>
  <si>
    <t>Fango's 7th spell. "I'll destroy you all! Zaruchim! If you don't want to be fried, you'd better get out of the way!"</t>
  </si>
  <si>
    <t>S-620</t>
  </si>
  <si>
    <t>Gadyusen</t>
  </si>
  <si>
    <t>Apply both of the following effects in order when you win the Battle as an Attacker: ● Send 1 of your opponent's in-play VS MAMODO to the Discard Pile. ● Damage your opponent's Spell Book.</t>
  </si>
  <si>
    <t>Fango's 8th spell. "Zaruchim wants to beat them so badly. I'm sick of his whining, so I'll finish them first, just to rub it in his face!"</t>
  </si>
  <si>
    <t>S-621</t>
  </si>
  <si>
    <t>Bargirdo Zakeruga</t>
  </si>
  <si>
    <t>Select 1 of your opponent's in-play MAMODO cards when you win the Battle as an Attacker: [STAY] When your opponent plays a SPELL card for, or applies the effects of, the selected MAMODO card during this game (except effects with [In Play]), Injure the selected MAMOOD card. Your opponent's Attack is not negated as a result of the MAMODO being sent to the Discard Pile by this effect.</t>
  </si>
  <si>
    <t>Zeno's 5th spell. "How does it feel? The sensation of being torn apart? Like living out your worst nightmare."</t>
  </si>
  <si>
    <t>S-622</t>
  </si>
  <si>
    <t>Fifths Nagur</t>
  </si>
  <si>
    <t>This SPELL card can be played only if you have successfully played a Fours Nagur SPELL card during this game. Adjust the number of MP counters on your Ted MAMODO card until there are 5 MP counters.</t>
  </si>
  <si>
    <t>Ted's 5th spell. "We're going into top gear!"</t>
  </si>
  <si>
    <t>S-623</t>
  </si>
  <si>
    <t>Dragnon Dionagur</t>
  </si>
  <si>
    <t>This SPELL card can be played only when you have 5 or more MP counters on your Ted MAMODO card. Damage your opponent's Spell Book when you win the Battle as an Attacker. When you declare the play of this SPELL card, you may send your Ted MAMODO card to the Discard Pile to send 1 of your opponent's in-play MAMODO cards to the Discard Pile (this card's Attack continues as well).</t>
  </si>
  <si>
    <t>Ted's 6th spell. "JIDO! TAKE IT TO THE FINAL GEAR!"</t>
  </si>
  <si>
    <t>S-624</t>
  </si>
  <si>
    <t>Kofar</t>
  </si>
  <si>
    <t>Cherish's 4th spell. She fires at Folgore with no hesitation as he tries to open a door.</t>
  </si>
  <si>
    <t>S-625</t>
  </si>
  <si>
    <t>Gigano Kofar</t>
  </si>
  <si>
    <t>Cherish's 5th spell. Let's get rid of them in one shot with a powerful spell, Nicole!"</t>
  </si>
  <si>
    <t>S-626</t>
  </si>
  <si>
    <t>Ganzu Go Kofarga</t>
  </si>
  <si>
    <t>Flip a coin until you get Tails twice; Damage your opponent's Spell Book by a number of times equal to the number of Heads you get times 1 when you win the Battle as an Attacker.</t>
  </si>
  <si>
    <t>Cherish's 6th spell. She mercilessly pelts Ted with an array of countless crystals.</t>
  </si>
  <si>
    <t>S-627</t>
  </si>
  <si>
    <t>Zeo Zakeruga</t>
  </si>
  <si>
    <t>Zeno's spell from the video games. He summons forth a silver dragon of lightning.</t>
  </si>
  <si>
    <t>S-628</t>
  </si>
  <si>
    <t>Zigadiras Ul Zakeruga</t>
  </si>
  <si>
    <t>Zeno's spell. "I don't want a single trace of them left. We're using 'that' spell, got it?"</t>
  </si>
  <si>
    <t>S-629</t>
  </si>
  <si>
    <t>Am Baskarg</t>
  </si>
  <si>
    <t>[STAY] Add 2000 Power and 1 Damage to the Total Power when your Gyaron MAMODO card Attacks without using a SPELL card by applying its card effects during this game (this effect cannot be duplicated).</t>
  </si>
  <si>
    <t>Gyaron's 1st spell. "You're getting a little cocky if you think you can chat with the enemy!"</t>
  </si>
  <si>
    <t>S-630</t>
  </si>
  <si>
    <t>Rei Baskarg</t>
  </si>
  <si>
    <t>[STAY] You can apply the effects of your Gyaron MAMODO card that allow it to Attack or Defend without using a SPELL card up to twice per turn (per player) during this game.</t>
  </si>
  <si>
    <t>Gyaron's 2nd spell. "I can increase the power of my arms and legs as much as I want!"</t>
  </si>
  <si>
    <t>S-631</t>
  </si>
  <si>
    <t>Gigam Baskarg</t>
  </si>
  <si>
    <t>This SPELL card can be played only if you have successfully played an Am Baskarg SPELL card during this game. [STAY] Add 2000 Power and 1 Damage to the Total Power when your Gyaron MAMODO card Attacks without using a SPELL card by applying its card effects during this game (this card's effect cannot be duplicated).</t>
  </si>
  <si>
    <t>Gyaron's 3rd spell. "You have no idea how strong my arms can get!"</t>
  </si>
  <si>
    <t>S-632</t>
  </si>
  <si>
    <t>Dio Ma Baskarg</t>
  </si>
  <si>
    <t>This SPELL card can be played only if you have successfully played both an Am Baskarg and a Rei Baskarg SPELL card during this game. ● [STAY] Add 2000 Power and 1 Damage to the Total Power when your Gyaron MAMODO card Attacks without using a SPELL card by applying its card effects during this game (this card's effect cannot be duplicated). ● [STAY] Your Gyaron MAMODO cannot be sent to the Discard Pile by your opponent's card effects during this game (except from Damage or Injury).</t>
  </si>
  <si>
    <t>Gyaron's 4th spell. "Jet! Raise my strength to the maximum level!"</t>
  </si>
  <si>
    <t>S-633</t>
  </si>
  <si>
    <t>Emalion Baskardo</t>
  </si>
  <si>
    <t>[SEAL BREAKER] [STANDBY] Damage your opponent's Spell Book when you win the Battle as an Attacker. All MAMODO cards that Defend against this SPELL card, and/or SACRIFICE or PROTECT their Spell Book from this SPELL card's Damage, are sent to the Discard Pile after the Battle.</t>
  </si>
  <si>
    <t>Gyaron's 5th spell. "Bwa ha ha ha ha! This is it, Ted! Are you ready to disappear forever?"</t>
  </si>
  <si>
    <t>S-634</t>
  </si>
  <si>
    <t>Vabio Gunobio</t>
  </si>
  <si>
    <t>[SEAL BREAKER] Flip a coin 5 times; Damage your opponent's Spell Book by a number of times equal to the number of heads you get times 1 when you win the Battle as an Attacker.</t>
  </si>
  <si>
    <t>Jedun's 1st spell. A Dioga class spell in which many fanged serpents lunge toward their prey.</t>
  </si>
  <si>
    <t>S-635</t>
  </si>
  <si>
    <t>Digar Doru Zonis</t>
  </si>
  <si>
    <t>This SPELL can be played even when you don't have a Bari card in play. Damage your opponent's Spell Book when you win the Battle as an Attacker if you have a Bari MAMODO card in play. When you declare the play of this SPELL card, you may select 1 Bari MAMODO card from any page of your Spell Book and put it in play.</t>
  </si>
  <si>
    <t>Bari's 6th spell. "We'll enter Faudo's body! I'll pierce through at once!"</t>
  </si>
  <si>
    <t>S-636</t>
  </si>
  <si>
    <t>Aradom Gozonis</t>
  </si>
  <si>
    <t>Injure 1 of your opponent's MAMODO cards when you win the Battle as an Attacker. If this Injury sends any of your opponent's MAMODO cards to the Discard Pile, Damage your opponent's Spell Book as well.</t>
  </si>
  <si>
    <t>Bari's 7th spell. "What was that? You're just weak..."</t>
  </si>
  <si>
    <t>S-637</t>
  </si>
  <si>
    <t>Am La Zoruk</t>
  </si>
  <si>
    <t>[COUNTER] Damage your opponent's Spell Book when you win the Battle as a Defender. If your opponent's Attack does any of the following, you win the Battle regardless of Power: ● Flips a coin more than once. ● Inflicts Damage more than once. ● Can be used more than once per turn.</t>
  </si>
  <si>
    <t>Bari's 8th spell. "He... grabbed all the light beams?! He's throwing them right back at me!"</t>
  </si>
  <si>
    <t>S-638</t>
  </si>
  <si>
    <t>Go Zarushield</t>
  </si>
  <si>
    <t>This SPELL card can be played even when you would be turning (or are currently turning) pages of your Spell Book as a result of Damage. Negate your opponent's Attack when you win the Battle as a Defender. If you play this card while turning pages of your Spell Book, compare Total Power with your opponent's Attack; if you win the Battle, stop turning pages.</t>
  </si>
  <si>
    <t>Bari's 9th spell. A colossal shield appears directly in front of Bari's outstretched arms.</t>
  </si>
  <si>
    <t>S-639</t>
  </si>
  <si>
    <t>Dioga Zonisdon</t>
  </si>
  <si>
    <t>Bari's 10th spell. "Bari's strength is surreal... There were no openings, Keith never even had a chance to fight back..."</t>
  </si>
  <si>
    <t>S-640</t>
  </si>
  <si>
    <t>Doru Ginis</t>
  </si>
  <si>
    <t>Keith's 6th spell. Forms a drill on his arm, which he uses to tear into his rivals.</t>
  </si>
  <si>
    <t>S-641</t>
  </si>
  <si>
    <t>Vargas Ginisgan</t>
  </si>
  <si>
    <t>S-641 | U MP:3 ATT (</t>
  </si>
  <si>
    <t>Flip a coin 4 times; Damage your opponent's Spell Book by a number of times equal to the number of heads you get times 1 when you win the Battle as an Attacker.</t>
  </si>
  <si>
    <t>Keith's 7th spell. Countless light beams spurt outward from every direction.</t>
  </si>
  <si>
    <t>S-642</t>
  </si>
  <si>
    <t>Kiron Ginis</t>
  </si>
  <si>
    <t>Apply any of the following effects twice when you win the Battle as an Attacker (the same effect can be applied twice): ● Damage your opponent's Spell Book. ● Injure 1 of your opponent's MAMODO cards.</t>
  </si>
  <si>
    <t>Keith's 8th spell. "Wah... WAAHHH! Why?! Why can't I defeat him?!"</t>
  </si>
  <si>
    <t>S-643</t>
  </si>
  <si>
    <t>Digar Kurou</t>
  </si>
  <si>
    <t>Damage your opponent's Spell Book when you win the Battle as an Attacker. Your opponent can neither SACRIFICE nor PROTECT their Spell Book from this SPELL card's Damage unless they reduce their MP by 2.</t>
  </si>
  <si>
    <t>"AAAAGGGGH! Why can't I see his attacks coming? Why can't I dodge them?!"</t>
  </si>
  <si>
    <t>S-644</t>
  </si>
  <si>
    <t>Agio Disgurg</t>
  </si>
  <si>
    <t>Damage your opponent's Spell Book when you win the Battle as an Attacker. When you declare the play of this SPELL card, you may immediately turn 1 of your opponent's in-play MAMODO cards to Injured Status.</t>
  </si>
  <si>
    <t>Elzador's 2nd spell. With overwhelming power, his massive horn manages to sever Bari's horn in one clean slice.</t>
  </si>
  <si>
    <t>S-645</t>
  </si>
  <si>
    <t>Godima Swordo</t>
  </si>
  <si>
    <t>Apply both of the following effects in order when you win the Battle as an Attacker: ● Negate 1 [Stay] effect. ● Damage your opponent's Spell Book.</t>
  </si>
  <si>
    <t>Arth's 9th spell. He slashes through the blood vessels producing Faudo's nutrient fluid with one stroke of his mighty blade!</t>
  </si>
  <si>
    <t>S-646</t>
  </si>
  <si>
    <t>Diou Gigorio Gidoruk</t>
  </si>
  <si>
    <t>At the end of this Battle, send your Karudio MAMODO card to the Discard Pile even when prohibited to do so. Apply both of the following effects in order when you win the Battle as an Attacker: ● Send 1 of your opponent's in-play MAMODO to the Discard Pile. ● Damage your opponent's Spell Book.</t>
  </si>
  <si>
    <t>Karudio's 4th spell. "If we use it that way, you'll shatter into a million pieces!"</t>
  </si>
  <si>
    <t>S-647ab</t>
  </si>
  <si>
    <t>Bao VS Zigadiras</t>
  </si>
  <si>
    <t>Zatch Bell | Zeno</t>
  </si>
  <si>
    <t>This SPELL card can be played only when you have both S-647a and S-647b in the currently open pages of your Spell Book and you have successfully played both a Bao Zakeruga and a Zigadiras Ul Zakeruga SPELL card during this game. Apply both of the following effects in order immediately when you declare the play of this SPELL card. Zatch Bell and Zeno cannot be sent to the Discard Pile by this card's effects: ● Send all your in-play MAMODO to the Discard Pile until you have only 1 in play. ● Send all your opponent's in-play MAMODO to the Discard Pile until they have only 1 in play. Damage your opponent's Spell Book when you win the Battle as an Attacker.</t>
  </si>
  <si>
    <t>Fueled by all the strength they can muster, Zatch's Bao and Zeno's Zigadiras collide in one final showdown.</t>
  </si>
  <si>
    <t>V-001</t>
  </si>
  <si>
    <t>Volcan the 3rd</t>
  </si>
  <si>
    <t>This card is attached to 1 of your in-play MAMODO cards. [IN PLAY] The MAMODO card this VOLCAN card is attached to is turned to Normal Status at the END PHASE of each player's turn when the MAMODO card is Injured or Petrified.</t>
  </si>
  <si>
    <t>"Have you forgotten, Kiyo? Volcan is...Volcan is the first friend you ever gave to me!"</t>
  </si>
  <si>
    <t>V-002</t>
  </si>
  <si>
    <t>Volcan the 4th</t>
  </si>
  <si>
    <t>This card is put in play separate from your MAMODO card area. [IN PLAY] This VOLCAN card can SACRIFICE or PROTECT your Spell Book from 1 infliction of Damage, even when prohibited to do so. ● When this card receives Damage once, turn it to Disrepair Status (sideways). If this card receives Damage while in Disrepair Status, send it to the Discard Pile.</t>
  </si>
  <si>
    <t>"I hereby name you 'Volcan the 4th'!"</t>
  </si>
  <si>
    <t>V-003</t>
  </si>
  <si>
    <t>Volcan the 4th (Flight Mode)</t>
  </si>
  <si>
    <t>This card is attached to 1 of your in-play MAMODO cards. [IN PLAY] The MAMODO card this VOLCAN card is attached is put in Flight Status.</t>
  </si>
  <si>
    <t>"It can...fly, too...?" "So cool!"</t>
  </si>
  <si>
    <t>V-004</t>
  </si>
  <si>
    <t>DS Corps</t>
  </si>
  <si>
    <t>This card is put in play separate from your MAMODO card area. You can have up to 3 DS Corps VOLCAN cards in play, regardless of card name rules. (Attack) [1 MP] This card may Attack without using a SPELL card (Total Power=6000, Damage=1).</t>
  </si>
  <si>
    <t>"Volcan the 4th... There are tons of them!" "That's not a good thing!"</t>
  </si>
  <si>
    <t>V-005</t>
  </si>
  <si>
    <t>Toy Volcan</t>
  </si>
  <si>
    <t>This card is attached to 1 of your in-play MAMODO cards. [IN PLAY] The PARTNER card attached to the MAMODO card this VOLCAN card is attached to cannot be sent to the Discard Pile by your opponent's card effects.</t>
  </si>
  <si>
    <t>A toy Volcan that Kiyo builds in the future. It has a mysterious program that cannot be executed by any means.</t>
  </si>
  <si>
    <t>V-006ab</t>
  </si>
  <si>
    <t>Giant MechaVolcan</t>
  </si>
  <si>
    <t>This card is put in play separate from your MAMODO card area. Send 3 of your in-play VOLCAN cards to the Discard Pile to put V-006a and V-006b in play together (both V-006a and V-006b are considered to be 1 card when in play). (Attack) [1 MP] This card may Attack without using a SPELL card (Total Power=8000, Damage=1). This effect can be applied up to 3 times per turn (per player).</t>
  </si>
  <si>
    <t>"Do you like it, Kiyo my boy? Behold the culmination of my magic science. Ehehehe..."</t>
  </si>
  <si>
    <t>X-001</t>
  </si>
  <si>
    <t>King</t>
  </si>
  <si>
    <t>King of the Mamodo World</t>
  </si>
  <si>
    <t>A KING card is inserted with the MAMODO card in the first page of your Spell Book. Attach the KING card to the MAMODO card during the PREPARATION PHASE of the game. [SEND THIS CARD TO THE DISCARD PILE] Negate 1 of your opponent's active card effects.</t>
  </si>
  <si>
    <t>X-002</t>
  </si>
  <si>
    <t>Mamodo King Candidate</t>
  </si>
  <si>
    <t>A KING card is inserted with the MAMODO card in the first page of your Spell Book. Attach the KING card to the MAMODO card during the PREPARATION PHASE of the game. [SEND THIS CARD TO THE DISCARD PILE] When the MAMODO card this card is attached to is about to be sent to the Discard Pile by your opponent's card effect and/or an infliction of Damage or Injury, negate that effect and/or Injury.</t>
  </si>
  <si>
    <t>X-003</t>
  </si>
  <si>
    <t>The Fierce Battle of the Mamodo King</t>
  </si>
  <si>
    <t>A KING card is inserted with the MAMODO card in the first page of your Spell Book. Attach the KING card to the MAMODO card during the PREPARATION PHASE of the game. [SEND THIS CARD TO THE DISCARD PILE] Turn 1 page of either player's Spell Book.</t>
  </si>
  <si>
    <t>X-004</t>
  </si>
  <si>
    <t>The New Mamodo King</t>
  </si>
  <si>
    <t>A KING card is inserted with the MAMODO card in the first page of your Spell Book. Attach the KING card to the MAMODO card during the PREPARATION PHASE of the game. [SEND THIS CARD TO THE DISCARD PILE] Negate any 1 [Stay] or [Standby] card effect. This effect can be applied even when you are prohibited to do so by your opponent's effects.</t>
  </si>
</sst>
</file>

<file path=xl/styles.xml><?xml version="1.0" encoding="utf-8"?>
<styleSheet xmlns="http://schemas.openxmlformats.org/spreadsheetml/2006/main" xmlns:x14ac="http://schemas.microsoft.com/office/spreadsheetml/2009/9/ac" xmlns:mc="http://schemas.openxmlformats.org/markup-compatibility/2006">
  <fonts count="18">
    <font>
      <sz val="10.0"/>
      <color rgb="FF000000"/>
      <name val="Arial"/>
      <scheme val="minor"/>
    </font>
    <font>
      <b/>
      <color theme="1"/>
      <name val="Arial"/>
    </font>
    <font>
      <color theme="1"/>
      <name val="Arial"/>
    </font>
    <font>
      <u/>
      <color rgb="FF1155CC"/>
      <name val="Arial"/>
    </font>
    <font>
      <b/>
      <sz val="10.0"/>
      <color rgb="FFFF0000"/>
      <name val="Arial"/>
    </font>
    <font>
      <color theme="1"/>
      <name val="Arial"/>
      <scheme val="minor"/>
    </font>
    <font>
      <b/>
      <color rgb="FFFF0000"/>
      <name val="Arial"/>
      <scheme val="minor"/>
    </font>
    <font>
      <u/>
      <color rgb="FF1155CC"/>
      <name val="Arial"/>
    </font>
    <font>
      <b/>
      <color rgb="FF000000"/>
      <name val="Arial"/>
    </font>
    <font>
      <b/>
      <color rgb="FF000000"/>
      <name val="Arial"/>
      <scheme val="minor"/>
    </font>
    <font>
      <u/>
      <sz val="10.0"/>
      <color rgb="FF0000FF"/>
    </font>
    <font>
      <u/>
      <color rgb="FF0000FF"/>
    </font>
    <font>
      <u/>
      <color rgb="FF0000FF"/>
      <name val="Arial"/>
    </font>
    <font>
      <u/>
      <color rgb="FF0000FF"/>
      <name val="Arial"/>
    </font>
    <font>
      <color rgb="FF2E3338"/>
      <name val="Arial"/>
    </font>
    <font>
      <u/>
      <color rgb="FF0000FF"/>
    </font>
    <font>
      <u/>
      <color rgb="FF0000FF"/>
    </font>
    <font>
      <color rgb="FF2E3338"/>
      <name val="Consolas"/>
    </font>
  </fonts>
  <fills count="6">
    <fill>
      <patternFill patternType="none"/>
    </fill>
    <fill>
      <patternFill patternType="lightGray"/>
    </fill>
    <fill>
      <patternFill patternType="solid">
        <fgColor rgb="FFFFE599"/>
        <bgColor rgb="FFFFE599"/>
      </patternFill>
    </fill>
    <fill>
      <patternFill patternType="solid">
        <fgColor rgb="FFB12828"/>
        <bgColor rgb="FFB12828"/>
      </patternFill>
    </fill>
    <fill>
      <patternFill patternType="solid">
        <fgColor rgb="FFFFFFFF"/>
        <bgColor rgb="FFFFFFFF"/>
      </patternFill>
    </fill>
    <fill>
      <patternFill patternType="solid">
        <fgColor rgb="FFF2F3F5"/>
        <bgColor rgb="FFF2F3F5"/>
      </patternFill>
    </fill>
  </fills>
  <borders count="4">
    <border/>
    <border>
      <bottom style="thin">
        <color rgb="FF000000"/>
      </bottom>
    </border>
    <border>
      <right style="thin">
        <color rgb="FF000000"/>
      </right>
    </border>
    <border>
      <right style="thin">
        <color rgb="FF000000"/>
      </right>
      <bottom style="thin">
        <color rgb="FF000000"/>
      </bottom>
    </border>
  </borders>
  <cellStyleXfs count="1">
    <xf borderId="0" fillId="0" fontId="0" numFmtId="0" applyAlignment="1" applyFont="1"/>
  </cellStyleXfs>
  <cellXfs count="47">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shrinkToFit="0" vertical="bottom" wrapText="1"/>
    </xf>
    <xf borderId="0" fillId="0" fontId="1" numFmtId="0" xfId="0" applyAlignment="1" applyFont="1">
      <alignment vertical="bottom"/>
    </xf>
    <xf borderId="1" fillId="0" fontId="1" numFmtId="0" xfId="0" applyAlignment="1" applyBorder="1" applyFont="1">
      <alignment vertical="bottom"/>
    </xf>
    <xf borderId="0" fillId="0" fontId="2" numFmtId="0" xfId="0" applyAlignment="1" applyFont="1">
      <alignment vertical="bottom"/>
    </xf>
    <xf borderId="0" fillId="0" fontId="3"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xf borderId="0" fillId="0" fontId="4" numFmtId="0" xfId="0" applyAlignment="1" applyFont="1">
      <alignment readingOrder="0" vertical="bottom"/>
    </xf>
    <xf borderId="2" fillId="0" fontId="2" numFmtId="0" xfId="0" applyAlignment="1" applyBorder="1" applyFont="1">
      <alignment vertical="bottom"/>
    </xf>
    <xf borderId="1" fillId="0" fontId="2" numFmtId="0" xfId="0" applyAlignment="1" applyBorder="1" applyFont="1">
      <alignment vertical="bottom"/>
    </xf>
    <xf borderId="0" fillId="2" fontId="2" numFmtId="0" xfId="0" applyAlignment="1" applyFill="1" applyFont="1">
      <alignment readingOrder="0" shrinkToFit="0" vertical="bottom" wrapText="1"/>
    </xf>
    <xf borderId="0" fillId="0" fontId="2" numFmtId="0" xfId="0" applyAlignment="1" applyFont="1">
      <alignment readingOrder="0" vertical="bottom"/>
    </xf>
    <xf borderId="0" fillId="0" fontId="5" numFmtId="0" xfId="0" applyFont="1"/>
    <xf borderId="0" fillId="0" fontId="6" numFmtId="0" xfId="0" applyAlignment="1" applyFont="1">
      <alignment readingOrder="0"/>
    </xf>
    <xf borderId="0" fillId="0" fontId="1" numFmtId="0" xfId="0" applyAlignment="1" applyFont="1">
      <alignment readingOrder="0" vertical="bottom"/>
    </xf>
    <xf borderId="0" fillId="0" fontId="7" numFmtId="0" xfId="0" applyAlignment="1" applyFont="1">
      <alignment vertical="bottom"/>
    </xf>
    <xf borderId="0" fillId="0" fontId="1" numFmtId="0" xfId="0" applyAlignment="1" applyFont="1">
      <alignment vertical="bottom"/>
    </xf>
    <xf borderId="0" fillId="2" fontId="2" numFmtId="0" xfId="0" applyAlignment="1" applyFill="1" applyFont="1">
      <alignment readingOrder="0" vertical="bottom"/>
    </xf>
    <xf borderId="0" fillId="2" fontId="5" numFmtId="0" xfId="0" applyAlignment="1" applyFill="1" applyFont="1">
      <alignment readingOrder="0"/>
    </xf>
    <xf borderId="0" fillId="3" fontId="8" numFmtId="0" xfId="0" applyAlignment="1" applyFill="1" applyFont="1">
      <alignment horizontal="center" readingOrder="0" vertical="bottom"/>
    </xf>
    <xf borderId="0" fillId="3" fontId="8" numFmtId="0" xfId="0" applyAlignment="1" applyFill="1" applyFont="1">
      <alignment horizontal="center" vertical="bottom"/>
    </xf>
    <xf borderId="0" fillId="3" fontId="8" numFmtId="0" xfId="0" applyAlignment="1" applyFill="1" applyFont="1">
      <alignment horizontal="center" shrinkToFit="0" vertical="bottom" wrapText="1"/>
    </xf>
    <xf borderId="0" fillId="3" fontId="9" numFmtId="0" xfId="0" applyAlignment="1" applyFill="1" applyFont="1">
      <alignment readingOrder="0"/>
    </xf>
    <xf borderId="0" fillId="3" fontId="5" numFmtId="0" xfId="0" applyFill="1" applyFont="1"/>
    <xf borderId="0" fillId="4" fontId="10" numFmtId="0" xfId="0" applyFill="1" applyFont="1"/>
    <xf borderId="0" fillId="4" fontId="5" numFmtId="0" xfId="0" applyFill="1" applyFont="1"/>
    <xf borderId="0" fillId="4" fontId="5" numFmtId="0" xfId="0" applyAlignment="1" applyFill="1" applyFont="1">
      <alignment shrinkToFit="0" wrapText="1"/>
    </xf>
    <xf borderId="0" fillId="4" fontId="11" numFmtId="0" xfId="0" applyFill="1" applyFont="1"/>
    <xf borderId="3" fillId="0" fontId="2" numFmtId="0" xfId="0" applyAlignment="1" applyBorder="1" applyFont="1">
      <alignment vertical="bottom"/>
    </xf>
    <xf borderId="2" fillId="0" fontId="2" numFmtId="0" xfId="0" applyAlignment="1" applyBorder="1" applyFont="1">
      <alignment vertical="bottom"/>
    </xf>
    <xf borderId="1" fillId="0" fontId="2" numFmtId="0" xfId="0" applyAlignment="1" applyBorder="1" applyFont="1">
      <alignment vertical="bottom"/>
    </xf>
    <xf borderId="3" fillId="0" fontId="2" numFmtId="0" xfId="0" applyAlignment="1" applyBorder="1" applyFont="1">
      <alignment vertical="bottom"/>
    </xf>
    <xf borderId="0" fillId="0" fontId="12" numFmtId="0" xfId="0" applyAlignment="1" applyFont="1">
      <alignment vertical="bottom"/>
    </xf>
    <xf borderId="0" fillId="0" fontId="13" numFmtId="0" xfId="0" applyAlignment="1" applyFont="1">
      <alignment vertical="bottom"/>
    </xf>
    <xf quotePrefix="1" borderId="0" fillId="0" fontId="2" numFmtId="0" xfId="0" applyAlignment="1" applyFont="1">
      <alignment vertical="bottom"/>
    </xf>
    <xf borderId="1" fillId="5" fontId="14" numFmtId="0" xfId="0" applyAlignment="1" applyBorder="1" applyFill="1" applyFont="1">
      <alignment vertical="bottom"/>
    </xf>
    <xf borderId="0" fillId="0" fontId="15" numFmtId="0" xfId="0" applyFont="1"/>
    <xf borderId="0" fillId="0" fontId="5" numFmtId="0" xfId="0" applyFont="1"/>
    <xf borderId="0" fillId="0" fontId="5" numFmtId="0" xfId="0" applyAlignment="1" applyFont="1">
      <alignment shrinkToFit="0" wrapText="1"/>
    </xf>
    <xf borderId="0" fillId="0" fontId="16" numFmtId="0" xfId="0" applyFont="1"/>
    <xf borderId="0" fillId="0" fontId="5" numFmtId="0" xfId="0" applyFont="1"/>
    <xf borderId="0" fillId="0" fontId="5" numFmtId="0" xfId="0" applyAlignment="1" applyFont="1">
      <alignment shrinkToFit="0" wrapText="1"/>
    </xf>
    <xf borderId="0" fillId="5" fontId="17" numFmtId="0" xfId="0" applyAlignment="1" applyFill="1" applyFont="1">
      <alignment vertical="bottom"/>
    </xf>
    <xf borderId="0" fillId="0" fontId="5" numFmtId="0" xfId="0" applyAlignment="1" applyFont="1">
      <alignment readingOrder="0"/>
    </xf>
    <xf quotePrefix="1" borderId="0" fillId="0" fontId="5" numFmtId="0" xfId="0" applyAlignment="1" applyFont="1">
      <alignment readingOrder="0"/>
    </xf>
  </cellXfs>
  <cellStyles count="1">
    <cellStyle xfId="0" name="Normal" builtinId="0"/>
  </cellStyles>
  <dxfs count="13">
    <dxf>
      <font/>
      <fill>
        <patternFill patternType="none"/>
      </fill>
      <border/>
    </dxf>
    <dxf>
      <font/>
      <fill>
        <patternFill patternType="solid">
          <fgColor rgb="FFE06666"/>
          <bgColor rgb="FFE06666"/>
        </patternFill>
      </fill>
      <border/>
    </dxf>
    <dxf>
      <font/>
      <fill>
        <patternFill patternType="solid">
          <fgColor rgb="FFEA9999"/>
          <bgColor rgb="FFEA9999"/>
        </patternFill>
      </fill>
      <border/>
    </dxf>
    <dxf>
      <font/>
      <fill>
        <patternFill patternType="solid">
          <fgColor rgb="FF6AA84F"/>
          <bgColor rgb="FF6AA84F"/>
        </patternFill>
      </fill>
      <border/>
    </dxf>
    <dxf>
      <font/>
      <fill>
        <patternFill patternType="solid">
          <fgColor rgb="FF93C47D"/>
          <bgColor rgb="FF93C47D"/>
        </patternFill>
      </fill>
      <border/>
    </dxf>
    <dxf>
      <font/>
      <fill>
        <patternFill patternType="solid">
          <fgColor rgb="FFE69138"/>
          <bgColor rgb="FFE69138"/>
        </patternFill>
      </fill>
      <border/>
    </dxf>
    <dxf>
      <font/>
      <fill>
        <patternFill patternType="solid">
          <fgColor rgb="FFF6B26B"/>
          <bgColor rgb="FFF6B26B"/>
        </patternFill>
      </fill>
      <border/>
    </dxf>
    <dxf>
      <font/>
      <fill>
        <patternFill patternType="solid">
          <fgColor rgb="FF3D85C6"/>
          <bgColor rgb="FF3D85C6"/>
        </patternFill>
      </fill>
      <border/>
    </dxf>
    <dxf>
      <font/>
      <fill>
        <patternFill patternType="solid">
          <fgColor rgb="FF6FA8DC"/>
          <bgColor rgb="FF6FA8DC"/>
        </patternFill>
      </fill>
      <border/>
    </dxf>
    <dxf>
      <font/>
      <fill>
        <patternFill patternType="solid">
          <fgColor rgb="FFFFD966"/>
          <bgColor rgb="FFFFD966"/>
        </patternFill>
      </fill>
      <border/>
    </dxf>
    <dxf>
      <font/>
      <fill>
        <patternFill patternType="solid">
          <fgColor rgb="FFFFE599"/>
          <bgColor rgb="FFFFE599"/>
        </patternFill>
      </fill>
      <border/>
    </dxf>
    <dxf>
      <font/>
      <fill>
        <patternFill patternType="solid">
          <fgColor rgb="FF8E7CC3"/>
          <bgColor rgb="FF8E7CC3"/>
        </patternFill>
      </fill>
      <border/>
    </dxf>
    <dxf>
      <font/>
      <fill>
        <patternFill patternType="solid">
          <fgColor rgb="FFB4A7D6"/>
          <bgColor rgb="FFB4A7D6"/>
        </patternFill>
      </fill>
      <border/>
    </dxf>
  </dxfs>
  <tableStyles count="1">
    <tableStyle count="3" pivot="0" name="Filterable-style">
      <tableStyleElement dxfId="1" type="headerRow"/>
      <tableStyleElement dxfId="2" type="firstRowStripe"/>
      <tableStyleElement dxfId="1"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10:Z517" displayName="Table_1" name="Table_1" id="1">
  <tableColumns count="2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s>
  <tableStyleInfo name="Filterable-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drive.google.com/file/d/1esz7_0EuxygW_-YC2pp3zhPqpctm4EfC/view?usp=sharing" TargetMode="External"/><Relationship Id="rId194" Type="http://schemas.openxmlformats.org/officeDocument/2006/relationships/hyperlink" Target="https://drive.google.com/file/d/147bAJmlTKhWo9RCj2TnjPYqeCeO8Bi3Y/view?usp=sharing" TargetMode="External"/><Relationship Id="rId193" Type="http://schemas.openxmlformats.org/officeDocument/2006/relationships/hyperlink" Target="https://drive.google.com/file/d/1ZMo3u2nBaoNj3FwuAuYeovm96eGZbvDz/view?usp=sharing" TargetMode="External"/><Relationship Id="rId192" Type="http://schemas.openxmlformats.org/officeDocument/2006/relationships/hyperlink" Target="https://drive.google.com/file/d/1DdRfHUcswaDpadH-w--OWO_kvdPa88DQ/view?usp=sharing" TargetMode="External"/><Relationship Id="rId191" Type="http://schemas.openxmlformats.org/officeDocument/2006/relationships/hyperlink" Target="https://drive.google.com/file/d/12neJfZSEP1xjjhwB8gTIkcqlRzyl0c8U/view?usp=sharing" TargetMode="External"/><Relationship Id="rId187" Type="http://schemas.openxmlformats.org/officeDocument/2006/relationships/hyperlink" Target="https://drive.google.com/file/d/1x9BCzUatb4FUoC9-S1GELoEiBUAXnTtu/view?usp=sharing" TargetMode="External"/><Relationship Id="rId186" Type="http://schemas.openxmlformats.org/officeDocument/2006/relationships/hyperlink" Target="https://drive.google.com/file/d/1rEkbHd6vG5VlQhKK4aVeCUSKVs4-3iFF/view?usp=sharing" TargetMode="External"/><Relationship Id="rId185" Type="http://schemas.openxmlformats.org/officeDocument/2006/relationships/hyperlink" Target="https://drive.google.com/file/d/1i9YVHOcMoHe4s-pS6HA9hKoH2oB14EV3/view?usp=sharing" TargetMode="External"/><Relationship Id="rId184" Type="http://schemas.openxmlformats.org/officeDocument/2006/relationships/hyperlink" Target="https://drive.google.com/file/d/10T6Q7OFsJwUvNtI6y38F--2bs2mMMupY/view?usp=sharing" TargetMode="External"/><Relationship Id="rId189" Type="http://schemas.openxmlformats.org/officeDocument/2006/relationships/hyperlink" Target="https://drive.google.com/file/d/1cX0KJ9Jf0zbaCx5cvvGpVzPFXQFpvOu6/view?usp=sharing" TargetMode="External"/><Relationship Id="rId188" Type="http://schemas.openxmlformats.org/officeDocument/2006/relationships/hyperlink" Target="https://drive.google.com/file/d/1BvHCSN-ELyvRhpEbcBGcSRxJgesni3mH/view?usp=sharing" TargetMode="External"/><Relationship Id="rId183" Type="http://schemas.openxmlformats.org/officeDocument/2006/relationships/hyperlink" Target="https://drive.google.com/file/d/10Y3-VKed_CvZcUq4AMzAPqm03Qy9Rg8t/view?usp=sharing" TargetMode="External"/><Relationship Id="rId182" Type="http://schemas.openxmlformats.org/officeDocument/2006/relationships/hyperlink" Target="https://drive.google.com/file/d/1JR7_2eyJhEZNzV5RBetcsguwpB3Jxntj/view?usp=sharing" TargetMode="External"/><Relationship Id="rId181" Type="http://schemas.openxmlformats.org/officeDocument/2006/relationships/hyperlink" Target="https://drive.google.com/file/d/1y91ILPYAqG5eFpBZvPg6Dc_o0dxeiezM/view?usp=sharing" TargetMode="External"/><Relationship Id="rId180" Type="http://schemas.openxmlformats.org/officeDocument/2006/relationships/hyperlink" Target="https://drive.google.com/file/d/1DrX0SSnteOY5DmsUW9VeeX6FnXAeg7TQ/view?usp=sharing" TargetMode="External"/><Relationship Id="rId176" Type="http://schemas.openxmlformats.org/officeDocument/2006/relationships/hyperlink" Target="https://drive.google.com/file/d/1bFcymC9yv679IrUVzeIrKY4igrsAnGRG/view?usp=sharing" TargetMode="External"/><Relationship Id="rId175" Type="http://schemas.openxmlformats.org/officeDocument/2006/relationships/hyperlink" Target="https://drive.google.com/file/d/1Ox-OhF2q_AvxsF1IGr3C_t2TlWCs64kx/view?usp=sharing" TargetMode="External"/><Relationship Id="rId174" Type="http://schemas.openxmlformats.org/officeDocument/2006/relationships/hyperlink" Target="https://drive.google.com/file/d/1MQ25xPu5oAS3VlTybcJquMGOZW1zlp82/view?usp=sharing" TargetMode="External"/><Relationship Id="rId173" Type="http://schemas.openxmlformats.org/officeDocument/2006/relationships/hyperlink" Target="https://drive.google.com/file/d/187KZ0bRQ3Xd0mu5vueFCRZix1em4VzAf/view?usp=sharing" TargetMode="External"/><Relationship Id="rId179" Type="http://schemas.openxmlformats.org/officeDocument/2006/relationships/hyperlink" Target="https://drive.google.com/file/d/1w73kOYVf4dGUw4Wi8WKA9lV2lN7Tm73h/view?usp=sharing" TargetMode="External"/><Relationship Id="rId178" Type="http://schemas.openxmlformats.org/officeDocument/2006/relationships/hyperlink" Target="https://drive.google.com/file/d/19Vto1pseHaDzfX6jHvLrE1tHXb5FeplM/view?usp=sharing" TargetMode="External"/><Relationship Id="rId177" Type="http://schemas.openxmlformats.org/officeDocument/2006/relationships/hyperlink" Target="https://drive.google.com/file/d/1fKYffwAJC1SLOyt4R4pXYp0X73zRGxRQ/view?usp=sharing" TargetMode="External"/><Relationship Id="rId198" Type="http://schemas.openxmlformats.org/officeDocument/2006/relationships/hyperlink" Target="https://drive.google.com/file/d/1-TgO-QtzxHF4o1fWGiMoKoPd6JV-2Bsu/view?usp=sharing" TargetMode="External"/><Relationship Id="rId197" Type="http://schemas.openxmlformats.org/officeDocument/2006/relationships/hyperlink" Target="https://drive.google.com/file/d/1IvhTmEDJtNaJ0tgAXDVUFnMdGW2S_Eap/view?usp=sharing" TargetMode="External"/><Relationship Id="rId196" Type="http://schemas.openxmlformats.org/officeDocument/2006/relationships/hyperlink" Target="https://drive.google.com/file/d/1QOIBzghbWmKFNeBti25zzqsOrb8beUeB/view?usp=sharing" TargetMode="External"/><Relationship Id="rId195" Type="http://schemas.openxmlformats.org/officeDocument/2006/relationships/hyperlink" Target="https://drive.google.com/file/d/1FADA9Sde25bQMAaQxf7-9Wlv_IGKP9O8/view?usp=drive_link" TargetMode="External"/><Relationship Id="rId199" Type="http://schemas.openxmlformats.org/officeDocument/2006/relationships/hyperlink" Target="https://drive.google.com/file/d/1XefzV9OtPi3t9PfTX97D4PpiUE7qSpfQ/view?usp=sharing" TargetMode="External"/><Relationship Id="rId150" Type="http://schemas.openxmlformats.org/officeDocument/2006/relationships/hyperlink" Target="https://drive.google.com/file/d/1NHWM1lgQoay1wbECLOs8SKQUDK2VGNo4/view?usp=drive_link" TargetMode="External"/><Relationship Id="rId392" Type="http://schemas.openxmlformats.org/officeDocument/2006/relationships/hyperlink" Target="https://drive.google.com/file/d/1OhKPxiKz0WlS4MtHgePylnWzBA5M8vxF/view?usp=sharing" TargetMode="External"/><Relationship Id="rId391" Type="http://schemas.openxmlformats.org/officeDocument/2006/relationships/hyperlink" Target="https://drive.google.com/file/d/1A59ythBbfdC6S5UGwvO0KCL9hHwTG-qB/view?usp=sharing" TargetMode="External"/><Relationship Id="rId390" Type="http://schemas.openxmlformats.org/officeDocument/2006/relationships/hyperlink" Target="https://drive.google.com/file/d/12D3g9faOeQmbDkttW2EKnfrYRV40j4SL/view?usp=sharing" TargetMode="External"/><Relationship Id="rId1" Type="http://schemas.openxmlformats.org/officeDocument/2006/relationships/hyperlink" Target="https://drive.google.com/file/d/1SmMFXPmmqqDlIhC2iHI-sKQ1IdFLtKsa/view?usp=sharing" TargetMode="External"/><Relationship Id="rId2" Type="http://schemas.openxmlformats.org/officeDocument/2006/relationships/hyperlink" Target="https://drive.google.com/file/d/1FoYa0ybMHZKGRqQur--iCbuc_1B0bpWH/view?usp=sharing" TargetMode="External"/><Relationship Id="rId3" Type="http://schemas.openxmlformats.org/officeDocument/2006/relationships/hyperlink" Target="https://drive.google.com/file/d/10aFTiGhvZtVXStOTICYsZckDrtIhasmq/view?usp=sharing" TargetMode="External"/><Relationship Id="rId149" Type="http://schemas.openxmlformats.org/officeDocument/2006/relationships/hyperlink" Target="https://drive.google.com/file/d/1Nfb2bM1N5UUf0hT5yoXd9D7C-RSGE3UB/view?usp=drive_link" TargetMode="External"/><Relationship Id="rId4" Type="http://schemas.openxmlformats.org/officeDocument/2006/relationships/hyperlink" Target="https://drive.google.com/file/d/1MhyB4JeFmGm6FTs0EEOEhxSNB5uyTkUF/view?usp=sharing" TargetMode="External"/><Relationship Id="rId148" Type="http://schemas.openxmlformats.org/officeDocument/2006/relationships/hyperlink" Target="https://drive.google.com/file/d/1QzBtB6KEBpNLFNB4MX1tXDt3TXzB4m7Q/view?usp=drive_link" TargetMode="External"/><Relationship Id="rId1090" Type="http://schemas.openxmlformats.org/officeDocument/2006/relationships/hyperlink" Target="https://drive.google.com/file/d/18vpdXOud3_ObxSEPJ7_sefKQDFAzIJI_/view?usp=sharing" TargetMode="External"/><Relationship Id="rId1091" Type="http://schemas.openxmlformats.org/officeDocument/2006/relationships/hyperlink" Target="https://drive.google.com/file/d/1njSdN8CsaZ4rSS66lDnYmLsF7rLoRLcn/view?usp=sharing" TargetMode="External"/><Relationship Id="rId1092" Type="http://schemas.openxmlformats.org/officeDocument/2006/relationships/hyperlink" Target="https://drive.google.com/file/d/1e8YMcJpTf1Z_nTtxB4L77RYnJIGVZPo1/view?usp=sharing" TargetMode="External"/><Relationship Id="rId1093" Type="http://schemas.openxmlformats.org/officeDocument/2006/relationships/hyperlink" Target="https://drive.google.com/file/d/1dMRzMBHJeeKJQJr_VXmkHAW2dz7hhQ7W/view?usp=sharing" TargetMode="External"/><Relationship Id="rId1094" Type="http://schemas.openxmlformats.org/officeDocument/2006/relationships/hyperlink" Target="https://drive.google.com/file/d/1eKkYaJIK0li0gVtMd7KdRRHQqoguw6NU/view?usp=sharing" TargetMode="External"/><Relationship Id="rId9" Type="http://schemas.openxmlformats.org/officeDocument/2006/relationships/hyperlink" Target="https://drive.google.com/file/d/1iE3UZlTv4HRZ5kl4rNa0Git5Oj9KgEWs/view?usp=sharing" TargetMode="External"/><Relationship Id="rId143" Type="http://schemas.openxmlformats.org/officeDocument/2006/relationships/hyperlink" Target="https://drive.google.com/file/d/1js6qqfnxJ7to72FZ-mkOMqvNQoDdUKdV/view?usp=drive_link" TargetMode="External"/><Relationship Id="rId385" Type="http://schemas.openxmlformats.org/officeDocument/2006/relationships/hyperlink" Target="https://drive.google.com/file/d/1jmjTTRx-D4HCKWBzVEUgr-zl-lqhD5x2/view?usp=sharing" TargetMode="External"/><Relationship Id="rId1095" Type="http://schemas.openxmlformats.org/officeDocument/2006/relationships/hyperlink" Target="https://drive.google.com/file/d/1Rha8DOCKh7TxR_ie5ZdngaBovDug5jzw/view?usp=sharing" TargetMode="External"/><Relationship Id="rId142" Type="http://schemas.openxmlformats.org/officeDocument/2006/relationships/hyperlink" Target="https://drive.google.com/file/d/15qCfLrp_quFGG4JekS9o5aoJcDquKEoJ/view?usp=drive_link" TargetMode="External"/><Relationship Id="rId384" Type="http://schemas.openxmlformats.org/officeDocument/2006/relationships/hyperlink" Target="https://drive.google.com/file/d/1uBUW5ej-H8dVaZjtUIEd96E1wFqTXGwV/view?usp=sharing" TargetMode="External"/><Relationship Id="rId1096" Type="http://schemas.openxmlformats.org/officeDocument/2006/relationships/hyperlink" Target="https://drive.google.com/file/d/1J7j6L9vTlGyeHQ2NtQk3EcjVElcz0fCy/view?usp=sharing" TargetMode="External"/><Relationship Id="rId141" Type="http://schemas.openxmlformats.org/officeDocument/2006/relationships/hyperlink" Target="https://drive.google.com/file/d/15frtnO563e-IGOe3p35jminnCgZo7Bch/view?usp=drive_link" TargetMode="External"/><Relationship Id="rId383" Type="http://schemas.openxmlformats.org/officeDocument/2006/relationships/hyperlink" Target="https://drive.google.com/file/d/18KScTK6-1SEgWg5BKMUoGOo4CqQ9dif7/view?usp=sharing" TargetMode="External"/><Relationship Id="rId1097" Type="http://schemas.openxmlformats.org/officeDocument/2006/relationships/hyperlink" Target="https://drive.google.com/file/d/1Jh5UbLWocFii6kUzv5YTcBZHYwFFvjca/view?usp=sharing" TargetMode="External"/><Relationship Id="rId140" Type="http://schemas.openxmlformats.org/officeDocument/2006/relationships/hyperlink" Target="https://drive.google.com/file/d/1Ajqgxbz-QFXfoUWgGSyZ-1ao6dl4JVQ9/view?usp=drive_link" TargetMode="External"/><Relationship Id="rId382" Type="http://schemas.openxmlformats.org/officeDocument/2006/relationships/hyperlink" Target="https://drive.google.com/file/d/1dJgHgV5rKK8LqvpTTrytQq59yoiO27y4/view?usp=sharing" TargetMode="External"/><Relationship Id="rId1098" Type="http://schemas.openxmlformats.org/officeDocument/2006/relationships/hyperlink" Target="https://drive.google.com/file/d/1zAoHZ5IwqA4YsaQhoPXQL-t_LmKK8kep/view?usp=sharing" TargetMode="External"/><Relationship Id="rId5" Type="http://schemas.openxmlformats.org/officeDocument/2006/relationships/hyperlink" Target="https://drive.google.com/file/d/1zU8-m_j0-pdv_ljKu8oPDA0J8yvUVmQO/view?usp=sharing" TargetMode="External"/><Relationship Id="rId147" Type="http://schemas.openxmlformats.org/officeDocument/2006/relationships/hyperlink" Target="https://drive.google.com/file/d/11Ru2Iq90QKZP4BOCMG8pVUFsNHYiGGgs/view?usp=drive_link" TargetMode="External"/><Relationship Id="rId389" Type="http://schemas.openxmlformats.org/officeDocument/2006/relationships/hyperlink" Target="https://drive.google.com/file/d/16nwemtivk2t_dBS_4rvWpSPmRXXFALze/view?usp=sharing" TargetMode="External"/><Relationship Id="rId1099" Type="http://schemas.openxmlformats.org/officeDocument/2006/relationships/hyperlink" Target="https://drive.google.com/file/d/1h7BgaAUD5-Gm1KGtrF1rYjVyXpNkfWUp/view?usp=sharing" TargetMode="External"/><Relationship Id="rId6" Type="http://schemas.openxmlformats.org/officeDocument/2006/relationships/hyperlink" Target="https://drive.google.com/file/d/101NC9Ia7gMyhxAapqjXYySzdtO9I3svI/view?usp=sharing" TargetMode="External"/><Relationship Id="rId146" Type="http://schemas.openxmlformats.org/officeDocument/2006/relationships/hyperlink" Target="https://drive.google.com/file/d/1-uulw_BWpD3F8f2b_KeOHTpG4IQ_NE2W/view?usp=drive_link" TargetMode="External"/><Relationship Id="rId388" Type="http://schemas.openxmlformats.org/officeDocument/2006/relationships/hyperlink" Target="https://drive.google.com/file/d/1_HWVcVGmCrPXzRqD1mtQUVwH7eUei1im/view?usp=sharing" TargetMode="External"/><Relationship Id="rId7" Type="http://schemas.openxmlformats.org/officeDocument/2006/relationships/hyperlink" Target="https://drive.google.com/file/d/1GSQJOtXbwGB9v9uYp7tZIHGiJ7IdsZw3/view?usp=sharing" TargetMode="External"/><Relationship Id="rId145" Type="http://schemas.openxmlformats.org/officeDocument/2006/relationships/hyperlink" Target="https://drive.google.com/file/d/16Xj8uJd_-qamJAysBFtwsWsrIBTsHx8g/view?usp=drive_link" TargetMode="External"/><Relationship Id="rId387" Type="http://schemas.openxmlformats.org/officeDocument/2006/relationships/hyperlink" Target="https://drive.google.com/file/d/1q9FXuq1BwFWd5IEwyrWN8wcBiP9_SUf-/view?usp=sharing" TargetMode="External"/><Relationship Id="rId8" Type="http://schemas.openxmlformats.org/officeDocument/2006/relationships/hyperlink" Target="https://drive.google.com/file/d/1WYYe7-jda6CdXXHro6eDdRiTbfJ1A8wa/view?usp=sharing" TargetMode="External"/><Relationship Id="rId144" Type="http://schemas.openxmlformats.org/officeDocument/2006/relationships/hyperlink" Target="https://drive.google.com/file/d/1uocX8ILqOsctOJx8IvLOLcXY3E9mHEy4/view?usp=drive_link" TargetMode="External"/><Relationship Id="rId386" Type="http://schemas.openxmlformats.org/officeDocument/2006/relationships/hyperlink" Target="https://drive.google.com/file/d/1ypnia-shbjMGRKRYTXifgca28SM8XrI8/view?usp=sharing" TargetMode="External"/><Relationship Id="rId381" Type="http://schemas.openxmlformats.org/officeDocument/2006/relationships/hyperlink" Target="https://drive.google.com/file/d/1--wX6Fa8u9FbYqQkr6ZxVV_fGk-h3coC/view?usp=sharing" TargetMode="External"/><Relationship Id="rId380" Type="http://schemas.openxmlformats.org/officeDocument/2006/relationships/hyperlink" Target="https://drive.google.com/file/d/1jTBgzetgga2BjynSUdVmsa4IhL73NZdV/view?usp=sharing" TargetMode="External"/><Relationship Id="rId139" Type="http://schemas.openxmlformats.org/officeDocument/2006/relationships/hyperlink" Target="https://drive.google.com/file/d/1nJRvbb2-NCuXFkz63C0hWolBVzMlYlGS/view?usp=drive_link" TargetMode="External"/><Relationship Id="rId138" Type="http://schemas.openxmlformats.org/officeDocument/2006/relationships/hyperlink" Target="https://drive.google.com/file/d/1PcHyYO7Kob5wxp7FL_4QY_qprNqijlrF/view?usp=drive_link" TargetMode="External"/><Relationship Id="rId137" Type="http://schemas.openxmlformats.org/officeDocument/2006/relationships/hyperlink" Target="https://drive.google.com/file/d/1XnMv7vnQavsKECuKrxbgpKERya3UfNJ3/view?usp=drive_link" TargetMode="External"/><Relationship Id="rId379" Type="http://schemas.openxmlformats.org/officeDocument/2006/relationships/hyperlink" Target="https://drive.google.com/file/d/1DN0haad991EM75VQqWWcvs31QUGXOEjj/view?usp=sharing" TargetMode="External"/><Relationship Id="rId1080" Type="http://schemas.openxmlformats.org/officeDocument/2006/relationships/hyperlink" Target="https://drive.google.com/file/d/1CId1oiWKUquzwJyrtojTzJr6t3xVc0qb/view?usp=sharing" TargetMode="External"/><Relationship Id="rId1081" Type="http://schemas.openxmlformats.org/officeDocument/2006/relationships/hyperlink" Target="https://drive.google.com/file/d/1BOMSKJHgffXBTayAEsl6cQ_fplYG7xmC/view?usp=sharing" TargetMode="External"/><Relationship Id="rId1082" Type="http://schemas.openxmlformats.org/officeDocument/2006/relationships/hyperlink" Target="https://drive.google.com/file/d/1f4A41fsTTaPPqVaLVREh7Ml6-GjMNFqD/view?usp=sharing" TargetMode="External"/><Relationship Id="rId1083" Type="http://schemas.openxmlformats.org/officeDocument/2006/relationships/hyperlink" Target="https://drive.google.com/file/d/18nJlxO2BorH9o2_-TFqHqyOWaolKUcpz/view?usp=sharing" TargetMode="External"/><Relationship Id="rId132" Type="http://schemas.openxmlformats.org/officeDocument/2006/relationships/hyperlink" Target="https://drive.google.com/file/d/15MY1aZUEq6DRVPeb40zGUTcfPpOUVybX/view?usp=drive_link" TargetMode="External"/><Relationship Id="rId374" Type="http://schemas.openxmlformats.org/officeDocument/2006/relationships/hyperlink" Target="https://drive.google.com/file/d/1SHv_hAAZbb4Z49hwcJp-tKTfZ6EnNgkC/view?usp=sharing" TargetMode="External"/><Relationship Id="rId1084" Type="http://schemas.openxmlformats.org/officeDocument/2006/relationships/hyperlink" Target="https://drive.google.com/file/d/1UNm5eF2qlu_fTTT2DCh__4ilD-KALqLJ/view?usp=sharing" TargetMode="External"/><Relationship Id="rId131" Type="http://schemas.openxmlformats.org/officeDocument/2006/relationships/hyperlink" Target="https://drive.google.com/file/d/1SOG21GcspEgmlflP1wigMS2vfdFGhB7S/view?usp=drive_link" TargetMode="External"/><Relationship Id="rId373" Type="http://schemas.openxmlformats.org/officeDocument/2006/relationships/hyperlink" Target="https://drive.google.com/file/d/1aUmYZUZYzPKj7smICcn-gtR_HHxIj5au/view?usp=sharing" TargetMode="External"/><Relationship Id="rId1085" Type="http://schemas.openxmlformats.org/officeDocument/2006/relationships/hyperlink" Target="https://drive.google.com/file/d/1V5wW8YZuSLE7C9GMUBi6eroQe83W7Nn1/view?usp=sharing" TargetMode="External"/><Relationship Id="rId130" Type="http://schemas.openxmlformats.org/officeDocument/2006/relationships/hyperlink" Target="https://drive.google.com/file/d/1twXS0lVNIgmaBR9j-NSdEgMIyuLiZvt2/view?usp=drive_link" TargetMode="External"/><Relationship Id="rId372" Type="http://schemas.openxmlformats.org/officeDocument/2006/relationships/hyperlink" Target="https://drive.google.com/file/d/1UlH2e7GVnhxp9KLqXsKHe3UnysZ9MXGx/view?usp=sharing" TargetMode="External"/><Relationship Id="rId1086" Type="http://schemas.openxmlformats.org/officeDocument/2006/relationships/hyperlink" Target="https://drive.google.com/file/d/15J4VM1zIxbjvbPyedr7Gfp8B6lxDUFVH/view?usp=sharing" TargetMode="External"/><Relationship Id="rId371" Type="http://schemas.openxmlformats.org/officeDocument/2006/relationships/hyperlink" Target="https://drive.google.com/file/d/1dh_B1eFupEHO3WF2Ngo6ZscNI1eKMw3r/view?usp=sharing" TargetMode="External"/><Relationship Id="rId1087" Type="http://schemas.openxmlformats.org/officeDocument/2006/relationships/hyperlink" Target="https://drive.google.com/file/d/1Vz02hIYE9uiIy3qTDxs2IZ00OCVCykVo/view?usp=sharing" TargetMode="External"/><Relationship Id="rId136" Type="http://schemas.openxmlformats.org/officeDocument/2006/relationships/hyperlink" Target="https://drive.google.com/file/d/1czpeMS2s7ivnN-bLLwrydfwEVYqoRVBV/view?usp=drive_link" TargetMode="External"/><Relationship Id="rId378" Type="http://schemas.openxmlformats.org/officeDocument/2006/relationships/hyperlink" Target="https://drive.google.com/file/d/1km1QM4qd6mX0ShL8AFjSGkneriQh4vsX/view?usp=sharing" TargetMode="External"/><Relationship Id="rId1088" Type="http://schemas.openxmlformats.org/officeDocument/2006/relationships/hyperlink" Target="https://drive.google.com/file/d/1jjVbKvcJUVRaPY4lIfrJdN_9NYSxjpnl/view?usp=sharing" TargetMode="External"/><Relationship Id="rId135" Type="http://schemas.openxmlformats.org/officeDocument/2006/relationships/hyperlink" Target="https://drive.google.com/file/d/1gV41Ud-98eLVeLYdqUFJwQ9QvrS8-Ox6/view?usp=drive_link" TargetMode="External"/><Relationship Id="rId377" Type="http://schemas.openxmlformats.org/officeDocument/2006/relationships/hyperlink" Target="https://drive.google.com/file/d/1gg4uZ3FMGDaW1mtDAwDcqwGpqQ9PAYVr/view?usp=sharing" TargetMode="External"/><Relationship Id="rId1089" Type="http://schemas.openxmlformats.org/officeDocument/2006/relationships/hyperlink" Target="https://drive.google.com/file/d/1dgTWDAHdNgm8Wk7qC5a6bxYUofKmRxPe/view?usp=sharing" TargetMode="External"/><Relationship Id="rId134" Type="http://schemas.openxmlformats.org/officeDocument/2006/relationships/hyperlink" Target="https://drive.google.com/file/d/1Ncgo6BpDsU4LOiXxiqhVPkvwwfNktm0V/view?usp=drive_link" TargetMode="External"/><Relationship Id="rId376" Type="http://schemas.openxmlformats.org/officeDocument/2006/relationships/hyperlink" Target="https://drive.google.com/file/d/1tZeOek-Aue1os2GYmHS1LL7FIXVMjfdy/view?usp=sharing" TargetMode="External"/><Relationship Id="rId133" Type="http://schemas.openxmlformats.org/officeDocument/2006/relationships/hyperlink" Target="https://drive.google.com/file/d/1J6IcL3pMTPONMQOQxsrd3Gm5Iit63I2-/view?usp=drive_link" TargetMode="External"/><Relationship Id="rId375" Type="http://schemas.openxmlformats.org/officeDocument/2006/relationships/hyperlink" Target="https://drive.google.com/file/d/1HUSkQjJxhE_yUIJwCJXguyyvShmGUhHf/view?usp=sharing" TargetMode="External"/><Relationship Id="rId172" Type="http://schemas.openxmlformats.org/officeDocument/2006/relationships/hyperlink" Target="https://drive.google.com/file/d/1HEzGgEfknmAYm-X4TQoZMAWnwhFxLHXJ/view?usp=sharing" TargetMode="External"/><Relationship Id="rId171" Type="http://schemas.openxmlformats.org/officeDocument/2006/relationships/hyperlink" Target="https://drive.google.com/file/d/1DixG9_Fl4bqCVL2fl2xsLtTx1JPvVT2_/view?usp=sharing" TargetMode="External"/><Relationship Id="rId170" Type="http://schemas.openxmlformats.org/officeDocument/2006/relationships/hyperlink" Target="https://drive.google.com/file/d/1HfdMfJUKfKAqF48E1F0LcYlEThhntDvS/view?usp=sharing" TargetMode="External"/><Relationship Id="rId165" Type="http://schemas.openxmlformats.org/officeDocument/2006/relationships/hyperlink" Target="https://drive.google.com/file/d/1wTrUEiK_LWRo7d3TDkbHb_XQneiT55Ne/view?usp=drive_link" TargetMode="External"/><Relationship Id="rId164" Type="http://schemas.openxmlformats.org/officeDocument/2006/relationships/hyperlink" Target="https://drive.google.com/file/d/1bRq6Hk730rvYVejU_TnSU9SCbnts_w4u/view?usp=drive_link" TargetMode="External"/><Relationship Id="rId163" Type="http://schemas.openxmlformats.org/officeDocument/2006/relationships/hyperlink" Target="https://drive.google.com/file/d/1VaF56fUAss9TEHDVk1s3FvdAcRC-YfnR/view?usp=drive_link" TargetMode="External"/><Relationship Id="rId162" Type="http://schemas.openxmlformats.org/officeDocument/2006/relationships/hyperlink" Target="https://drive.google.com/file/d/1GYqjcPvWBWbpH7O9QFNL0w4rlPgmytVR/view?usp=drive_link" TargetMode="External"/><Relationship Id="rId169" Type="http://schemas.openxmlformats.org/officeDocument/2006/relationships/hyperlink" Target="https://drive.google.com/file/d/1XefzV9OtPi3t9PfTX97D4PpiUE7qSpfQ/view?usp=sharing" TargetMode="External"/><Relationship Id="rId168" Type="http://schemas.openxmlformats.org/officeDocument/2006/relationships/hyperlink" Target="https://drive.google.com/file/d/1-TgO-QtzxHF4o1fWGiMoKoPd6JV-2Bsu/view?usp=sharing" TargetMode="External"/><Relationship Id="rId167" Type="http://schemas.openxmlformats.org/officeDocument/2006/relationships/hyperlink" Target="https://drive.google.com/file/d/1IvhTmEDJtNaJ0tgAXDVUFnMdGW2S_Eap/view?usp=sharing" TargetMode="External"/><Relationship Id="rId166" Type="http://schemas.openxmlformats.org/officeDocument/2006/relationships/hyperlink" Target="https://drive.google.com/file/d/1QOIBzghbWmKFNeBti25zzqsOrb8beUeB/view?usp=sharing" TargetMode="External"/><Relationship Id="rId161" Type="http://schemas.openxmlformats.org/officeDocument/2006/relationships/hyperlink" Target="https://drive.google.com/file/d/14DA9I69hIqOgdfn0VK3CesgSKjTrdZFo/view?usp=drive_link" TargetMode="External"/><Relationship Id="rId160" Type="http://schemas.openxmlformats.org/officeDocument/2006/relationships/hyperlink" Target="https://drive.google.com/file/d/1P-Xfid1du3XY9joi02mFE6njdiYXUk0y/view?usp=drive_link" TargetMode="External"/><Relationship Id="rId159" Type="http://schemas.openxmlformats.org/officeDocument/2006/relationships/hyperlink" Target="https://drive.google.com/file/d/1QeJrqopQTLNs4ZHKdP9IhgvP2Vww7NFC/view?usp=drive_link" TargetMode="External"/><Relationship Id="rId154" Type="http://schemas.openxmlformats.org/officeDocument/2006/relationships/hyperlink" Target="https://drive.google.com/file/d/1Pj5pNRsoc_NHaXsk7hiL_YQtYurwbNXo/view?usp=drive_link" TargetMode="External"/><Relationship Id="rId396" Type="http://schemas.openxmlformats.org/officeDocument/2006/relationships/hyperlink" Target="https://drive.google.com/file/d/1I5ZwZ7Wh_2s3jvMK3nGYM_hGJobLdmMX/view?usp=sharing" TargetMode="External"/><Relationship Id="rId153" Type="http://schemas.openxmlformats.org/officeDocument/2006/relationships/hyperlink" Target="https://drive.google.com/file/d/1mVi8mVA27SfWprJlUT6GHIHaTG0MB9O2/view?usp=drive_link" TargetMode="External"/><Relationship Id="rId395" Type="http://schemas.openxmlformats.org/officeDocument/2006/relationships/hyperlink" Target="https://drive.google.com/file/d/10eU5I-QbP9-WhHNkOsZREt9yZ2bXUUwf/view?usp=sharing" TargetMode="External"/><Relationship Id="rId152" Type="http://schemas.openxmlformats.org/officeDocument/2006/relationships/hyperlink" Target="https://drive.google.com/file/d/1QU6mq9wPti7DvYkwK8PVv6jh8gbSvCWt/view?usp=drive_link" TargetMode="External"/><Relationship Id="rId394" Type="http://schemas.openxmlformats.org/officeDocument/2006/relationships/hyperlink" Target="https://drive.google.com/file/d/1n1WPoC6LRkOOPtwlCBrcpSUfzmc9WbAy/view?usp=sharing" TargetMode="External"/><Relationship Id="rId151" Type="http://schemas.openxmlformats.org/officeDocument/2006/relationships/hyperlink" Target="https://drive.google.com/file/d/10QffUBT5pcm7IZLLdIUvGh8RwDF7fU07/view?usp=drive_link" TargetMode="External"/><Relationship Id="rId393" Type="http://schemas.openxmlformats.org/officeDocument/2006/relationships/hyperlink" Target="https://drive.google.com/file/d/17F2QFnbzL6r333zgRl7OZxj_i1X_9Hqw/view?usp=sharing" TargetMode="External"/><Relationship Id="rId158" Type="http://schemas.openxmlformats.org/officeDocument/2006/relationships/hyperlink" Target="https://drive.google.com/file/d/1HmpH2Sa0xEOPgGY12GIO9PFxyeJjRCeM/view?usp=drive_link" TargetMode="External"/><Relationship Id="rId157" Type="http://schemas.openxmlformats.org/officeDocument/2006/relationships/hyperlink" Target="https://drive.google.com/file/d/1SMbkCHbxfrIk33uUtZUzVm0xYGyx9LSf/view?usp=drive_link" TargetMode="External"/><Relationship Id="rId399" Type="http://schemas.openxmlformats.org/officeDocument/2006/relationships/hyperlink" Target="https://drive.google.com/file/d/1P4EYFDs8vfP5q1fG-1lxV6K1CxL-wVsT/view?usp=sharing" TargetMode="External"/><Relationship Id="rId156" Type="http://schemas.openxmlformats.org/officeDocument/2006/relationships/hyperlink" Target="https://drive.google.com/file/d/1-fPpHm-KUoJ6z80Equ5ArgrVIcfJr279/view?usp=drive_link" TargetMode="External"/><Relationship Id="rId398" Type="http://schemas.openxmlformats.org/officeDocument/2006/relationships/hyperlink" Target="https://drive.google.com/file/d/1a_3cq4eQJ5He-VZ_mwgEsNNllm0gAkpn/view?usp=sharing" TargetMode="External"/><Relationship Id="rId155" Type="http://schemas.openxmlformats.org/officeDocument/2006/relationships/hyperlink" Target="https://drive.google.com/file/d/12JiZ-Hl8sqWc1-mmyngvT1bNjIBHfpPq/view?usp=drive_link" TargetMode="External"/><Relationship Id="rId397" Type="http://schemas.openxmlformats.org/officeDocument/2006/relationships/hyperlink" Target="https://drive.google.com/file/d/1iiUjYqpUp_prIa2XshqehNrHD2fKFc5d/view?usp=sharing" TargetMode="External"/><Relationship Id="rId808" Type="http://schemas.openxmlformats.org/officeDocument/2006/relationships/hyperlink" Target="https://drive.google.com/file/d/1tmC57pMhJfTYWFdnWNLiL9x_XbWoN7Z5/view?usp=sharing" TargetMode="External"/><Relationship Id="rId807" Type="http://schemas.openxmlformats.org/officeDocument/2006/relationships/hyperlink" Target="https://drive.google.com/file/d/1eqRCYUs4gyhRV6Dxs3yzuoNIbVeY4Le4/view?usp=sharing" TargetMode="External"/><Relationship Id="rId806" Type="http://schemas.openxmlformats.org/officeDocument/2006/relationships/hyperlink" Target="https://drive.google.com/file/d/185_kM87wkQemqdFx3iMwT8KIRzZoRjkW/view?usp=sharing" TargetMode="External"/><Relationship Id="rId805" Type="http://schemas.openxmlformats.org/officeDocument/2006/relationships/hyperlink" Target="https://drive.google.com/file/d/1zkBkQKEJtPemUwm9dxmQ8mIwpiSk9WXr/view?usp=sharing" TargetMode="External"/><Relationship Id="rId809" Type="http://schemas.openxmlformats.org/officeDocument/2006/relationships/hyperlink" Target="https://drive.google.com/file/d/13gUDQsEh-X0UAAVHILKMioNFPhQstwHD/view?usp=sharing" TargetMode="External"/><Relationship Id="rId800" Type="http://schemas.openxmlformats.org/officeDocument/2006/relationships/hyperlink" Target="https://drive.google.com/file/d/1gDJdsIrxqMs-PIY2hpWBOXvEjnamu3QA/view?usp=sharing" TargetMode="External"/><Relationship Id="rId804" Type="http://schemas.openxmlformats.org/officeDocument/2006/relationships/hyperlink" Target="https://drive.google.com/file/d/1aMB62OA0cNI7SMdNxK5z7275jPCUDR6I/view?usp=sharing" TargetMode="External"/><Relationship Id="rId803" Type="http://schemas.openxmlformats.org/officeDocument/2006/relationships/hyperlink" Target="https://drive.google.com/file/d/135cr2T1nXcIKE4ebqzv2OTlXrsmghsg4/view?usp=sharing" TargetMode="External"/><Relationship Id="rId802" Type="http://schemas.openxmlformats.org/officeDocument/2006/relationships/hyperlink" Target="https://drive.google.com/file/d/1EidMDgdCsCv94nuv4oHoUmjAyvcpxgcr/view?usp=sharing" TargetMode="External"/><Relationship Id="rId801" Type="http://schemas.openxmlformats.org/officeDocument/2006/relationships/hyperlink" Target="https://drive.google.com/file/d/1nOrh5f1CxCb_9q0oEoRqu9i48xTkAjDs/view?usp=sharing" TargetMode="External"/><Relationship Id="rId40" Type="http://schemas.openxmlformats.org/officeDocument/2006/relationships/hyperlink" Target="https://drive.google.com/file/d/1DakrXzlH56JmUWLKL1bOEzNPkfgS6-4R/view?usp=sharing" TargetMode="External"/><Relationship Id="rId1334" Type="http://schemas.openxmlformats.org/officeDocument/2006/relationships/hyperlink" Target="https://drive.google.com/file/d/1VZ9m8Cy4Vh7rQ304C_cf0kF-v9p0Msjz/view?usp=drive_link" TargetMode="External"/><Relationship Id="rId1335" Type="http://schemas.openxmlformats.org/officeDocument/2006/relationships/hyperlink" Target="https://drive.google.com/file/d/1RAtVzDK_kNZe0IqLP4tqTiaQn1y77LKu/view?usp=drive_link" TargetMode="External"/><Relationship Id="rId42" Type="http://schemas.openxmlformats.org/officeDocument/2006/relationships/hyperlink" Target="https://drive.google.com/file/d/1spk8L8Yb8tZoUVLC2WJY6qLeYNnorLXA/view?usp=sharing" TargetMode="External"/><Relationship Id="rId1336" Type="http://schemas.openxmlformats.org/officeDocument/2006/relationships/hyperlink" Target="https://drive.google.com/file/d/1SflXOUDKeh_dpkyLDcxJaONMLDxleuxi/view?usp=drive_link" TargetMode="External"/><Relationship Id="rId41" Type="http://schemas.openxmlformats.org/officeDocument/2006/relationships/hyperlink" Target="https://drive.google.com/file/d/1Nom25ihq-l_DWs9wkODiS3SiIBP1h0sj/view?usp=sharing" TargetMode="External"/><Relationship Id="rId1337" Type="http://schemas.openxmlformats.org/officeDocument/2006/relationships/hyperlink" Target="https://drive.google.com/file/d/1Ds_TsBo8u8zSNQStMYUUzdnb1-LEWIz5/view?usp=drive_link" TargetMode="External"/><Relationship Id="rId44" Type="http://schemas.openxmlformats.org/officeDocument/2006/relationships/hyperlink" Target="https://drive.google.com/file/d/1DlF44olHGZeM0ys_vcg6x7LZyKKHhIbo/view?usp=sharing" TargetMode="External"/><Relationship Id="rId1338" Type="http://schemas.openxmlformats.org/officeDocument/2006/relationships/hyperlink" Target="https://drive.google.com/file/d/1d5KEB6OYtPxAqKJ1pkKPH343M5ZBM090/view?usp=drive_link" TargetMode="External"/><Relationship Id="rId43" Type="http://schemas.openxmlformats.org/officeDocument/2006/relationships/hyperlink" Target="https://drive.google.com/file/d/15VEAWqJ5ElZTyMqNlowoOgfOc3N6x0bl/view?usp=sharing" TargetMode="External"/><Relationship Id="rId1339" Type="http://schemas.openxmlformats.org/officeDocument/2006/relationships/hyperlink" Target="https://drive.google.com/file/d/1P8DuUtNib-Dv0XW9xEznYtnXYbRVEoMf/view?usp=drive_link" TargetMode="External"/><Relationship Id="rId46" Type="http://schemas.openxmlformats.org/officeDocument/2006/relationships/hyperlink" Target="https://drive.google.com/file/d/1U2jwL0HGUZUM-VCQrml4ymvt66MKwwLJ/view?usp=sharing" TargetMode="External"/><Relationship Id="rId45" Type="http://schemas.openxmlformats.org/officeDocument/2006/relationships/hyperlink" Target="https://drive.google.com/file/d/1QjMlDPvMeS2htK4OafWEsab0u98YnxNV/view?usp=sharing" TargetMode="External"/><Relationship Id="rId509" Type="http://schemas.openxmlformats.org/officeDocument/2006/relationships/hyperlink" Target="https://drive.google.com/file/d/1PScI-6cbH3g5uQZSaNzQ_GzjBVs0dVC4/view?usp=drive_link" TargetMode="External"/><Relationship Id="rId508" Type="http://schemas.openxmlformats.org/officeDocument/2006/relationships/hyperlink" Target="https://drive.google.com/file/d/1v0jBcd6-wdtiW9seYW7MqAh3E0oTIKKG/view?usp=drive_link" TargetMode="External"/><Relationship Id="rId503" Type="http://schemas.openxmlformats.org/officeDocument/2006/relationships/hyperlink" Target="https://drive.google.com/file/d/1fry10Kpg5AWZrZIcbia14E3YzqhA89DC/view?usp=drive_link" TargetMode="External"/><Relationship Id="rId745" Type="http://schemas.openxmlformats.org/officeDocument/2006/relationships/hyperlink" Target="https://drive.google.com/file/d/1f2pmQG1XHj0wPWly3tuZdsejHfhT2-I0/view?usp=sharing" TargetMode="External"/><Relationship Id="rId987" Type="http://schemas.openxmlformats.org/officeDocument/2006/relationships/hyperlink" Target="https://drive.google.com/file/d/1Nrb7EIsQ6FxEStCdVFaRyDdJIaHEcAiy/view?usp=sharing" TargetMode="External"/><Relationship Id="rId502" Type="http://schemas.openxmlformats.org/officeDocument/2006/relationships/hyperlink" Target="https://drive.google.com/file/d/1jAZ2pvTOcNRJqrWplx26BgUeaHvWmj_K/view?usp=sharing" TargetMode="External"/><Relationship Id="rId744" Type="http://schemas.openxmlformats.org/officeDocument/2006/relationships/hyperlink" Target="https://drive.google.com/file/d/1RgkCtesL7l8bzwgBJBvj6fcyo8mY4Tnb/view?usp=sharing" TargetMode="External"/><Relationship Id="rId986" Type="http://schemas.openxmlformats.org/officeDocument/2006/relationships/hyperlink" Target="https://drive.google.com/file/d/1NQkME5G8qUDAGHemHP_1EOeqGaHEz9hd/view?usp=sharing" TargetMode="External"/><Relationship Id="rId501" Type="http://schemas.openxmlformats.org/officeDocument/2006/relationships/hyperlink" Target="https://drive.google.com/file/d/1jTNZds09r8MvmOc_jTmxRPC9mcjL38sO/view?usp=drive_link" TargetMode="External"/><Relationship Id="rId743" Type="http://schemas.openxmlformats.org/officeDocument/2006/relationships/hyperlink" Target="https://drive.google.com/file/d/1WFp8OLAkHs0GwY55xgsIf95syQ2I9Un4/view?usp=sharing" TargetMode="External"/><Relationship Id="rId985" Type="http://schemas.openxmlformats.org/officeDocument/2006/relationships/hyperlink" Target="https://drive.google.com/file/d/1tKv_FLwOQK2rn7vONygb43vVNzGfrLBM/view?usp=sharing" TargetMode="External"/><Relationship Id="rId500" Type="http://schemas.openxmlformats.org/officeDocument/2006/relationships/hyperlink" Target="https://drive.google.com/file/d/1ugwiucBImDT3O-rmr_gOtAtagrFEGaZi/view?usp=drive_link" TargetMode="External"/><Relationship Id="rId742" Type="http://schemas.openxmlformats.org/officeDocument/2006/relationships/hyperlink" Target="https://drive.google.com/file/d/1ipAxmhQHgPpJmWgEHC0HLKRne53SMF1r/view?usp=sharing" TargetMode="External"/><Relationship Id="rId984" Type="http://schemas.openxmlformats.org/officeDocument/2006/relationships/hyperlink" Target="https://drive.google.com/file/d/1iquPXYHd1qkxC0fsvt_xOvVISz9EONID/view?usp=sharing" TargetMode="External"/><Relationship Id="rId507" Type="http://schemas.openxmlformats.org/officeDocument/2006/relationships/hyperlink" Target="https://drive.google.com/file/d/1kNnw01CuUcW-wNEiZaez0o8T-XkrOskF/view?usp=drive_link" TargetMode="External"/><Relationship Id="rId749" Type="http://schemas.openxmlformats.org/officeDocument/2006/relationships/hyperlink" Target="https://drive.google.com/file/d/1o3hQTzAmqpyT_454VRxNksYQlPrNZDC7/view?usp=sharing" TargetMode="External"/><Relationship Id="rId506" Type="http://schemas.openxmlformats.org/officeDocument/2006/relationships/hyperlink" Target="https://drive.google.com/file/d/1-h0YDarY_IB5Rrh5bY4RTOpwsrOs1oaH/view?usp=drive_link" TargetMode="External"/><Relationship Id="rId748" Type="http://schemas.openxmlformats.org/officeDocument/2006/relationships/hyperlink" Target="https://drive.google.com/file/d/1IRbFYdZlWUldPQepdWSRGQts66WGAk3m/view?usp=sharing" TargetMode="External"/><Relationship Id="rId505" Type="http://schemas.openxmlformats.org/officeDocument/2006/relationships/hyperlink" Target="https://drive.google.com/file/d/1H5OZFiny1JjSMBnb92lVcxvIt06UDiLp/view?usp=drive_link" TargetMode="External"/><Relationship Id="rId747" Type="http://schemas.openxmlformats.org/officeDocument/2006/relationships/hyperlink" Target="https://drive.google.com/file/d/1CiJukKXSRT-BwQSbdVNLzkJnMk9Ktiji/view?usp=sharing" TargetMode="External"/><Relationship Id="rId989" Type="http://schemas.openxmlformats.org/officeDocument/2006/relationships/hyperlink" Target="https://drive.google.com/file/d/1L7B7GD1ag7p6fTMwwwEhQbspcPntPk5k/view?usp=sharing" TargetMode="External"/><Relationship Id="rId504" Type="http://schemas.openxmlformats.org/officeDocument/2006/relationships/hyperlink" Target="https://drive.google.com/file/d/1icfjCPjuuadgPrRWK-9bOLcYefKLPjgG/view?usp=drive_link" TargetMode="External"/><Relationship Id="rId746" Type="http://schemas.openxmlformats.org/officeDocument/2006/relationships/hyperlink" Target="https://drive.google.com/file/d/1moxpZs_5IwyLIUFV6dOpRuy2k5EETEtM/view?usp=sharing" TargetMode="External"/><Relationship Id="rId988" Type="http://schemas.openxmlformats.org/officeDocument/2006/relationships/hyperlink" Target="https://drive.google.com/file/d/1Z3fTEH6g8VRBzjyFM-tBAvcGZ4n_yZLs/view?usp=sharing" TargetMode="External"/><Relationship Id="rId48" Type="http://schemas.openxmlformats.org/officeDocument/2006/relationships/hyperlink" Target="https://drive.google.com/file/d/1Uqv_d_VKfTA9RO045ZG2ioiDIO05mORj/view?usp=sharing" TargetMode="External"/><Relationship Id="rId47" Type="http://schemas.openxmlformats.org/officeDocument/2006/relationships/hyperlink" Target="https://drive.google.com/file/d/1Ey8tgMcpiZlhkXa9mIS8CvRXojplX3-c/view?usp=sharing" TargetMode="External"/><Relationship Id="rId49" Type="http://schemas.openxmlformats.org/officeDocument/2006/relationships/hyperlink" Target="https://drive.google.com/file/d/17lG3knlJYMd5C6scKls9Cqk-OzF-d_dQ/view?usp=sharing" TargetMode="External"/><Relationship Id="rId741" Type="http://schemas.openxmlformats.org/officeDocument/2006/relationships/hyperlink" Target="https://drive.google.com/file/d/1L3bb2MhjQbD0CR506qm4FNuUooPM3DeT/view?usp=sharing" TargetMode="External"/><Relationship Id="rId983" Type="http://schemas.openxmlformats.org/officeDocument/2006/relationships/hyperlink" Target="https://drive.google.com/file/d/19HwgJYnQisfHg7golmn9C29IyU-tO_7_/view?usp=sharing" TargetMode="External"/><Relationship Id="rId1330" Type="http://schemas.openxmlformats.org/officeDocument/2006/relationships/hyperlink" Target="https://drive.google.com/file/d/1a_NlJSpiHf05Kkafl_V9T8mGkH1mRFBF/view?usp=drive_link" TargetMode="External"/><Relationship Id="rId740" Type="http://schemas.openxmlformats.org/officeDocument/2006/relationships/hyperlink" Target="https://drive.google.com/file/d/1n_h3KLUKe1JpAZuDw55kSqBWPOSfD7VW/view?usp=drive_link" TargetMode="External"/><Relationship Id="rId982" Type="http://schemas.openxmlformats.org/officeDocument/2006/relationships/hyperlink" Target="https://drive.google.com/file/d/1jNie-mpglEfHlZ_4FTWKI0DP1nSpnMgH/view?usp=sharing" TargetMode="External"/><Relationship Id="rId1331" Type="http://schemas.openxmlformats.org/officeDocument/2006/relationships/hyperlink" Target="https://drive.google.com/file/d/1WOhIuIGaDge1CxbWFYE1kB_TC8Fcsgt_/view?usp=drive_link" TargetMode="External"/><Relationship Id="rId981" Type="http://schemas.openxmlformats.org/officeDocument/2006/relationships/hyperlink" Target="https://drive.google.com/file/d/1ONBBjpjkCYH761xA8CmMO9CpEzWPvXFp/view?usp=sharing" TargetMode="External"/><Relationship Id="rId1332" Type="http://schemas.openxmlformats.org/officeDocument/2006/relationships/hyperlink" Target="https://drive.google.com/file/d/1lLHsjTMoyNbbYbCNcpQYQpHHZ-dbUPtK/view?usp=drive_link" TargetMode="External"/><Relationship Id="rId980" Type="http://schemas.openxmlformats.org/officeDocument/2006/relationships/hyperlink" Target="https://drive.google.com/file/d/1KDQolGR38Ab_mkFXixkb7Fqp5M_hhEvz/view?usp=sharing" TargetMode="External"/><Relationship Id="rId1333" Type="http://schemas.openxmlformats.org/officeDocument/2006/relationships/hyperlink" Target="https://drive.google.com/file/d/1WnrQYMH-TCLl3ObescyGkzXmdf8uACNK/view?usp=drive_link" TargetMode="External"/><Relationship Id="rId1323" Type="http://schemas.openxmlformats.org/officeDocument/2006/relationships/hyperlink" Target="https://drive.google.com/file/d/19Cwc7fYhcy1yQSpIhlaa0G2h7io268GN/view?usp=drive_link" TargetMode="External"/><Relationship Id="rId1324" Type="http://schemas.openxmlformats.org/officeDocument/2006/relationships/hyperlink" Target="https://drive.google.com/file/d/1VSI9-BQfaVF2li-Ip-ndZA0ToTzTUZri/view?usp=drive_link" TargetMode="External"/><Relationship Id="rId31" Type="http://schemas.openxmlformats.org/officeDocument/2006/relationships/hyperlink" Target="https://drive.google.com/file/d/162Rres-k0lWr3ZyMp_e8WXUMEINbqd90/view?usp=sharing" TargetMode="External"/><Relationship Id="rId1325" Type="http://schemas.openxmlformats.org/officeDocument/2006/relationships/hyperlink" Target="https://drive.google.com/file/d/18BaVkopVPo7t7ivXKkN_NbBIJuLhcn2p/view?usp=drive_link" TargetMode="External"/><Relationship Id="rId30" Type="http://schemas.openxmlformats.org/officeDocument/2006/relationships/hyperlink" Target="https://drive.google.com/file/d/1g1W6u0ak1e27IpBY4ScXMCMQbGdztDNi/view?usp=sharing" TargetMode="External"/><Relationship Id="rId1326" Type="http://schemas.openxmlformats.org/officeDocument/2006/relationships/hyperlink" Target="https://drive.google.com/file/d/1ukHSWsVwKm2fska_2coclvubKWATBdZE/view?usp=drive_link" TargetMode="External"/><Relationship Id="rId33" Type="http://schemas.openxmlformats.org/officeDocument/2006/relationships/hyperlink" Target="https://drive.google.com/file/d/1TfHsiSA5S0WiSAdLcOvOM3g7Oy2nQy_R/view?usp=sharing" TargetMode="External"/><Relationship Id="rId1327" Type="http://schemas.openxmlformats.org/officeDocument/2006/relationships/hyperlink" Target="https://drive.google.com/file/d/1PfQCbmtB8KmXIp3yEnpdQ98sJu0URtSH/view?usp=drive_link" TargetMode="External"/><Relationship Id="rId32" Type="http://schemas.openxmlformats.org/officeDocument/2006/relationships/hyperlink" Target="https://drive.google.com/file/d/14iNncExiqnsARAsFI82pAVROfhbUkVCY/view?usp=sharing" TargetMode="External"/><Relationship Id="rId1328" Type="http://schemas.openxmlformats.org/officeDocument/2006/relationships/hyperlink" Target="https://drive.google.com/file/d/120XoYHC2a0yxvmt9w8OBk-x7X0A2VQPL/view?usp=drive_link" TargetMode="External"/><Relationship Id="rId35" Type="http://schemas.openxmlformats.org/officeDocument/2006/relationships/hyperlink" Target="https://drive.google.com/file/d/1khNlSO8hYqvPgXV3XzjAAoMEvztV-bRC/view?usp=sharing" TargetMode="External"/><Relationship Id="rId1329" Type="http://schemas.openxmlformats.org/officeDocument/2006/relationships/hyperlink" Target="https://drive.google.com/file/d/1EOQDzsObPCHk1AmjjtQwRqTz2pvVYcKc/view?usp=drive_link" TargetMode="External"/><Relationship Id="rId34" Type="http://schemas.openxmlformats.org/officeDocument/2006/relationships/hyperlink" Target="https://drive.google.com/file/d/1s8fgBABVr0R9JtsksMclICNZCEYe472r/view?usp=sharing" TargetMode="External"/><Relationship Id="rId739" Type="http://schemas.openxmlformats.org/officeDocument/2006/relationships/hyperlink" Target="https://drive.google.com/file/d/1ATl4x1EU_VIBNB9lT6MYGDXkpTC0CRGD/view?usp=sharing" TargetMode="External"/><Relationship Id="rId734" Type="http://schemas.openxmlformats.org/officeDocument/2006/relationships/hyperlink" Target="https://drive.google.com/file/d/1QQCWJ5xV5y2dEtpAHswFVSgnksaRKFcQ/view?usp=sharing" TargetMode="External"/><Relationship Id="rId976" Type="http://schemas.openxmlformats.org/officeDocument/2006/relationships/hyperlink" Target="https://drive.google.com/file/d/19vh06BQ7XZMHBh1I0oc0gHW18z5e5UJx/view?usp=sharing" TargetMode="External"/><Relationship Id="rId733" Type="http://schemas.openxmlformats.org/officeDocument/2006/relationships/hyperlink" Target="https://drive.google.com/file/d/1bXb5ibLYHwDC9yjMYQGUMglp14xX--Br/view?usp=sharing" TargetMode="External"/><Relationship Id="rId975" Type="http://schemas.openxmlformats.org/officeDocument/2006/relationships/hyperlink" Target="https://drive.google.com/file/d/19AwZSvvNumJ0tfimqWJjLP5js1RGAlb8/view?usp=sharing" TargetMode="External"/><Relationship Id="rId732" Type="http://schemas.openxmlformats.org/officeDocument/2006/relationships/hyperlink" Target="https://drive.google.com/file/d/1F6x2c6CKN3gVHe5cmePMfh_2WXhAKQBA/view?usp=sharing" TargetMode="External"/><Relationship Id="rId974" Type="http://schemas.openxmlformats.org/officeDocument/2006/relationships/hyperlink" Target="https://drive.google.com/file/d/185iAjSt4u_qEvYHJ7X1qPKOuCMU72g4c/view?usp=sharing" TargetMode="External"/><Relationship Id="rId731" Type="http://schemas.openxmlformats.org/officeDocument/2006/relationships/hyperlink" Target="https://drive.google.com/file/d/1eISiR2P9If7m2DC4dsGPXcsISjO_LByC/view?usp=sharing" TargetMode="External"/><Relationship Id="rId973" Type="http://schemas.openxmlformats.org/officeDocument/2006/relationships/hyperlink" Target="https://drive.google.com/file/d/10WJdakuZwpm23Tx_3jlQ0PXgMOFwHQVn/view?usp=sharing" TargetMode="External"/><Relationship Id="rId738" Type="http://schemas.openxmlformats.org/officeDocument/2006/relationships/hyperlink" Target="https://drive.google.com/file/d/1BtgEgQD0CPTiwfNUkC1rcl5Ou1WMp1Al/view?usp=sharing" TargetMode="External"/><Relationship Id="rId737" Type="http://schemas.openxmlformats.org/officeDocument/2006/relationships/hyperlink" Target="https://drive.google.com/file/d/1VFUFqBAHDL1GU6KJN4S_Q5uybXM7pv01/view?usp=sharing" TargetMode="External"/><Relationship Id="rId979" Type="http://schemas.openxmlformats.org/officeDocument/2006/relationships/hyperlink" Target="https://drive.google.com/file/d/1zB_BAOeDv5mc5sd5bW1Ye6kw7gin2hNn/view?usp=sharing" TargetMode="External"/><Relationship Id="rId736" Type="http://schemas.openxmlformats.org/officeDocument/2006/relationships/hyperlink" Target="https://drive.google.com/file/d/1Z2Fen96E7Af3ppeJTu8ABGd2pBCW8HDR/view?usp=sharing" TargetMode="External"/><Relationship Id="rId978" Type="http://schemas.openxmlformats.org/officeDocument/2006/relationships/hyperlink" Target="https://drive.google.com/file/d/1GSbiPFCKcZSExJmb5g4l-wBji1nPOO-D/view?usp=sharing" TargetMode="External"/><Relationship Id="rId735" Type="http://schemas.openxmlformats.org/officeDocument/2006/relationships/hyperlink" Target="https://drive.google.com/file/d/1o-HMHwrqT3tHcRCGByEYp8wsoErJhU_P/view?usp=sharing" TargetMode="External"/><Relationship Id="rId977" Type="http://schemas.openxmlformats.org/officeDocument/2006/relationships/hyperlink" Target="https://drive.google.com/file/d/1ILbSM-SFhjHdBqTgeKxwAM4C9cTqGuv5/view?usp=sharing" TargetMode="External"/><Relationship Id="rId37" Type="http://schemas.openxmlformats.org/officeDocument/2006/relationships/hyperlink" Target="https://drive.google.com/file/d/1vAC66cd21Po5u6OX1jlpReyU-KiO9MVE/view?usp=sharing" TargetMode="External"/><Relationship Id="rId36" Type="http://schemas.openxmlformats.org/officeDocument/2006/relationships/hyperlink" Target="https://drive.google.com/file/d/1kTGTm8GiiSZjHmnRHvblo7FtNHe-Dej8/view?usp=sharing" TargetMode="External"/><Relationship Id="rId39" Type="http://schemas.openxmlformats.org/officeDocument/2006/relationships/hyperlink" Target="https://drive.google.com/file/d/1T09qdTlSQObmapZhw_UyY5LxiqHgPeTq/view?usp=sharing" TargetMode="External"/><Relationship Id="rId38" Type="http://schemas.openxmlformats.org/officeDocument/2006/relationships/hyperlink" Target="https://drive.google.com/file/d/1UkFAfRuvEStO1npTQVPkD1vsWVD3Hr6n/view?usp=sharing" TargetMode="External"/><Relationship Id="rId730" Type="http://schemas.openxmlformats.org/officeDocument/2006/relationships/hyperlink" Target="https://drive.google.com/file/d/1J-L_hNM7uGBL2dOZJRNwvAAVm__PxN9z/view?usp=sharing" TargetMode="External"/><Relationship Id="rId972" Type="http://schemas.openxmlformats.org/officeDocument/2006/relationships/hyperlink" Target="https://drive.google.com/file/d/1Kw3e05mJuvwmkOa0Fa_YInUdD0zCYiFc/view?usp=sharing" TargetMode="External"/><Relationship Id="rId971" Type="http://schemas.openxmlformats.org/officeDocument/2006/relationships/hyperlink" Target="https://drive.google.com/file/d/1nMImpSX71Ihq9n8EmwlDa-eDgp-YWCXk/view?usp=sharing" TargetMode="External"/><Relationship Id="rId1320" Type="http://schemas.openxmlformats.org/officeDocument/2006/relationships/hyperlink" Target="https://drive.google.com/file/d/19_bzbdb7UT9D5k4QMEdrDlSFzvI0qAy9/view?usp=drive_link" TargetMode="External"/><Relationship Id="rId970" Type="http://schemas.openxmlformats.org/officeDocument/2006/relationships/hyperlink" Target="https://drive.google.com/file/d/12wOd8ljRazSkNSmp3Dvd4Lmri2uqWMKU/view?usp=drive_link" TargetMode="External"/><Relationship Id="rId1321" Type="http://schemas.openxmlformats.org/officeDocument/2006/relationships/hyperlink" Target="https://drive.google.com/file/d/1Tt1xRl6xZJT8vZRIeHtkbzcMrTK6UGQ2/view?usp=drive_link" TargetMode="External"/><Relationship Id="rId1322" Type="http://schemas.openxmlformats.org/officeDocument/2006/relationships/hyperlink" Target="https://drive.google.com/file/d/1b9ZgMtcCqX0crzAKaIvUEQjLUca8U7UT/view?usp=drive_link" TargetMode="External"/><Relationship Id="rId1114" Type="http://schemas.openxmlformats.org/officeDocument/2006/relationships/hyperlink" Target="https://drive.google.com/file/d/1vI0gbBRgGYjrIdfN71ZchIwCKOjOrIqq/view?usp=sharing" TargetMode="External"/><Relationship Id="rId1356" Type="http://schemas.openxmlformats.org/officeDocument/2006/relationships/hyperlink" Target="https://drive.google.com/file/d/11DkpxIE_SlZmxz74FAMtiqP08O2z56vM/view?usp=drive_link" TargetMode="External"/><Relationship Id="rId1115" Type="http://schemas.openxmlformats.org/officeDocument/2006/relationships/hyperlink" Target="https://drive.google.com/file/d/12UWS61EgCZ1cBi50H_q-0c8RvMbrRDhp/view?usp=sharing" TargetMode="External"/><Relationship Id="rId1357" Type="http://schemas.openxmlformats.org/officeDocument/2006/relationships/hyperlink" Target="https://drive.google.com/file/d/1uZbLoUjIzD7ybyJiJDttrUHaCAYXhbKs/view?usp=drive_link" TargetMode="External"/><Relationship Id="rId20" Type="http://schemas.openxmlformats.org/officeDocument/2006/relationships/hyperlink" Target="https://drive.google.com/file/d/1M2KxA4buO-sora0x1FQ__31KzUkOQx0v/view?usp=sharing" TargetMode="External"/><Relationship Id="rId1116" Type="http://schemas.openxmlformats.org/officeDocument/2006/relationships/hyperlink" Target="https://drive.google.com/file/d/1s67GYtnkAsjIOt-30h20Qu5lfW-sho22/view?usp=sharing" TargetMode="External"/><Relationship Id="rId1358" Type="http://schemas.openxmlformats.org/officeDocument/2006/relationships/hyperlink" Target="https://drive.google.com/file/d/17ZRjT2PGuweThX2IkpKpWCOsyqRc3lyJ/view?usp=drive_link" TargetMode="External"/><Relationship Id="rId1117" Type="http://schemas.openxmlformats.org/officeDocument/2006/relationships/hyperlink" Target="https://drive.google.com/file/d/1j_OTkzyMHIB-WQsdPZtSsuLuGtAxwV1j/view?usp=sharing" TargetMode="External"/><Relationship Id="rId1359" Type="http://schemas.openxmlformats.org/officeDocument/2006/relationships/hyperlink" Target="https://drive.google.com/file/d/1InklKt8-JzGCv9wngmyRs1aNgVlEhvRT/view?usp=drive_link" TargetMode="External"/><Relationship Id="rId22" Type="http://schemas.openxmlformats.org/officeDocument/2006/relationships/hyperlink" Target="https://drive.google.com/file/d/1I7fHLlmukovHv3BNO8A_i0mi2Rq1Zm26/view?usp=sharing" TargetMode="External"/><Relationship Id="rId1118" Type="http://schemas.openxmlformats.org/officeDocument/2006/relationships/hyperlink" Target="https://drive.google.com/file/d/1lSP7bC2htBnD_RpxIqnlYWa10xLWHpYE/view?usp=sharing" TargetMode="External"/><Relationship Id="rId21" Type="http://schemas.openxmlformats.org/officeDocument/2006/relationships/hyperlink" Target="https://drive.google.com/file/d/1SVd4YnNwfHcA-7Hkpt7n3f1SANG8LGdW/view?usp=sharing" TargetMode="External"/><Relationship Id="rId1119" Type="http://schemas.openxmlformats.org/officeDocument/2006/relationships/hyperlink" Target="https://drive.google.com/file/d/13GnkO85zllSw8NSyyOt0scfVEccI-ShL/view?usp=sharing" TargetMode="External"/><Relationship Id="rId24" Type="http://schemas.openxmlformats.org/officeDocument/2006/relationships/hyperlink" Target="https://drive.google.com/file/d/1qUB4AP_U_O0PttBGEYrFaUC6C3facSEb/view?usp=sharing" TargetMode="External"/><Relationship Id="rId23" Type="http://schemas.openxmlformats.org/officeDocument/2006/relationships/hyperlink" Target="https://drive.google.com/file/d/1iIi9cGzosvMNtjXTvesvS5a6po0YjneE/view?usp=sharing" TargetMode="External"/><Relationship Id="rId525" Type="http://schemas.openxmlformats.org/officeDocument/2006/relationships/hyperlink" Target="https://drive.google.com/file/d/16lVRkKRXqip1xgBpnRXYtFofxINj39ld/view?usp=drive_link" TargetMode="External"/><Relationship Id="rId767" Type="http://schemas.openxmlformats.org/officeDocument/2006/relationships/hyperlink" Target="https://drive.google.com/file/d/1U2tSrjXhKVMNu9ONr7YQgOzhDXv8GSub/view?usp=sharing" TargetMode="External"/><Relationship Id="rId524" Type="http://schemas.openxmlformats.org/officeDocument/2006/relationships/hyperlink" Target="https://drive.google.com/file/d/1f9UPRDZdvasRGBaVBLPA3A_r7JRGjbOI/view?usp=drive_link" TargetMode="External"/><Relationship Id="rId766" Type="http://schemas.openxmlformats.org/officeDocument/2006/relationships/hyperlink" Target="https://drive.google.com/file/d/1jtD2qc1GEwhrv79qwbLE1K4KIYVhuB_C/view?usp=sharing" TargetMode="External"/><Relationship Id="rId523" Type="http://schemas.openxmlformats.org/officeDocument/2006/relationships/hyperlink" Target="https://drive.google.com/file/d/1KGq0oR8570D4WVUwmA8EHlK95fLjwC-D/view?usp=drive_link" TargetMode="External"/><Relationship Id="rId765" Type="http://schemas.openxmlformats.org/officeDocument/2006/relationships/hyperlink" Target="https://drive.google.com/file/d/1LpRYP21Xs-1ioDVAFDspLOUffvq9anm8/view?usp=sharing" TargetMode="External"/><Relationship Id="rId522" Type="http://schemas.openxmlformats.org/officeDocument/2006/relationships/hyperlink" Target="https://drive.google.com/file/d/1XngpoTYJ79ud5DTpxe4kXCIT84qoOld2/view?usp=drive_link" TargetMode="External"/><Relationship Id="rId764" Type="http://schemas.openxmlformats.org/officeDocument/2006/relationships/hyperlink" Target="https://drive.google.com/file/d/1Hi7_sZMSzOmm3E_74ZiimU16eVG10SCs/view?usp=sharing" TargetMode="External"/><Relationship Id="rId529" Type="http://schemas.openxmlformats.org/officeDocument/2006/relationships/hyperlink" Target="https://drive.google.com/file/d/1H-LJDBohim8e8plMPVh70S9BtvsrrIdB/view?usp=drive_link" TargetMode="External"/><Relationship Id="rId528" Type="http://schemas.openxmlformats.org/officeDocument/2006/relationships/hyperlink" Target="https://drive.google.com/file/d/1cTN-7VkljXaGWWug8VB8c564B9xldlvf/view?usp=drive_link" TargetMode="External"/><Relationship Id="rId527" Type="http://schemas.openxmlformats.org/officeDocument/2006/relationships/hyperlink" Target="https://drive.google.com/file/d/1-sjA-gvX9Gpa_B8W8W8QxAt958gc3ZB3/view?usp=drive_link" TargetMode="External"/><Relationship Id="rId769" Type="http://schemas.openxmlformats.org/officeDocument/2006/relationships/hyperlink" Target="https://drive.google.com/file/d/1TxVELTKZYzIp7uNlg6QEaCHWlxhgVNn2/view?usp=sharing" TargetMode="External"/><Relationship Id="rId526" Type="http://schemas.openxmlformats.org/officeDocument/2006/relationships/hyperlink" Target="https://drive.google.com/file/d/1DdfWmGSMQ3Gjf7Ser8vZQPhOEi_IqjfN/view?usp=drive_link" TargetMode="External"/><Relationship Id="rId768" Type="http://schemas.openxmlformats.org/officeDocument/2006/relationships/hyperlink" Target="https://drive.google.com/file/d/1Qo8giWriNZyUZLVI-FdHEV0bwzXhWBai/view?usp=sharing" TargetMode="External"/><Relationship Id="rId26" Type="http://schemas.openxmlformats.org/officeDocument/2006/relationships/hyperlink" Target="https://drive.google.com/file/d/1SBUaHJS0e6X4v6Ew-YwqfhUTlm5DkKO9/view?usp=sharing" TargetMode="External"/><Relationship Id="rId25" Type="http://schemas.openxmlformats.org/officeDocument/2006/relationships/hyperlink" Target="https://drive.google.com/file/d/1gJRa-Da-aN5jG7pLK5ZMH_EMi6ptkM8H/view?usp=sharing" TargetMode="External"/><Relationship Id="rId28" Type="http://schemas.openxmlformats.org/officeDocument/2006/relationships/hyperlink" Target="https://drive.google.com/file/d/1ErquVdeEdmoi3cGf-Jn_5S4-5183kni2/view?usp=sharing" TargetMode="External"/><Relationship Id="rId1350" Type="http://schemas.openxmlformats.org/officeDocument/2006/relationships/hyperlink" Target="https://drive.google.com/file/d/1dJUzxYIzAi1VhsPja61sJ_DCPyxtqGWo/view?usp=drive_link" TargetMode="External"/><Relationship Id="rId27" Type="http://schemas.openxmlformats.org/officeDocument/2006/relationships/hyperlink" Target="https://drive.google.com/file/d/1nWbDgOhYB8u5Ttv6HRSFsyz2mONqSPfL/view?usp=sharing" TargetMode="External"/><Relationship Id="rId1351" Type="http://schemas.openxmlformats.org/officeDocument/2006/relationships/hyperlink" Target="https://drive.google.com/file/d/1EOVo2ghmuRrSXqjca_GQnrWnCBgytzPT/view?usp=drive_link" TargetMode="External"/><Relationship Id="rId521" Type="http://schemas.openxmlformats.org/officeDocument/2006/relationships/hyperlink" Target="https://drive.google.com/file/d/1Gu8Ekme6dYwjK4qYWbjfxldU_JDP9toS/view?usp=drive_link" TargetMode="External"/><Relationship Id="rId763" Type="http://schemas.openxmlformats.org/officeDocument/2006/relationships/hyperlink" Target="https://drive.google.com/file/d/1U5ZXfIQJYoCbh33pVmzB0vpgDHwR_OKX/view?usp=sharing" TargetMode="External"/><Relationship Id="rId1110" Type="http://schemas.openxmlformats.org/officeDocument/2006/relationships/hyperlink" Target="https://drive.google.com/file/d/1XyrRAEzBKOBp1j9SJw5yAA8u0v5TnTis/view?usp=sharing" TargetMode="External"/><Relationship Id="rId1352" Type="http://schemas.openxmlformats.org/officeDocument/2006/relationships/hyperlink" Target="https://drive.google.com/file/d/122ON0XPe9GexspY-JvlKDxlF_VQlONe6/view?usp=drive_link" TargetMode="External"/><Relationship Id="rId29" Type="http://schemas.openxmlformats.org/officeDocument/2006/relationships/hyperlink" Target="https://drive.google.com/file/d/1jcfN2yL7vxGiT7o4MpxFhl18sv8yTGKc/view?usp=sharing" TargetMode="External"/><Relationship Id="rId520" Type="http://schemas.openxmlformats.org/officeDocument/2006/relationships/hyperlink" Target="https://drive.google.com/file/d/1jixbL1hb133XAukhxDjTQ2Ju6k8Z8mhu/view?usp=drive_link" TargetMode="External"/><Relationship Id="rId762" Type="http://schemas.openxmlformats.org/officeDocument/2006/relationships/hyperlink" Target="https://drive.google.com/file/d/150an1e-T17ECPN6YkKkCi1onDFiRbUJr/view?usp=sharing" TargetMode="External"/><Relationship Id="rId1111" Type="http://schemas.openxmlformats.org/officeDocument/2006/relationships/hyperlink" Target="https://drive.google.com/file/d/1oe7qL_odk9grQdBH4AicHC2xo2bHP6c5/view?usp=sharing" TargetMode="External"/><Relationship Id="rId1353" Type="http://schemas.openxmlformats.org/officeDocument/2006/relationships/hyperlink" Target="https://drive.google.com/file/d/1kmkoxfViBrxxrMU0lFJwbmkqq1ERUOzY/view?usp=drive_link" TargetMode="External"/><Relationship Id="rId761" Type="http://schemas.openxmlformats.org/officeDocument/2006/relationships/hyperlink" Target="https://drive.google.com/file/d/1F2kU_UYjyPvNMGt9aflA-c2rQPW1XL28/view?usp=sharing" TargetMode="External"/><Relationship Id="rId1112" Type="http://schemas.openxmlformats.org/officeDocument/2006/relationships/hyperlink" Target="https://drive.google.com/file/d/1An0ANx8Ee--bbSJgDTstaYwKmeEyebq7/view?usp=sharing" TargetMode="External"/><Relationship Id="rId1354" Type="http://schemas.openxmlformats.org/officeDocument/2006/relationships/hyperlink" Target="https://drive.google.com/file/d/1D23WF7xJsZ6ucsLjENMRUhvvpXEG5hO1/view?usp=drive_link" TargetMode="External"/><Relationship Id="rId760" Type="http://schemas.openxmlformats.org/officeDocument/2006/relationships/hyperlink" Target="https://drive.google.com/file/d/1v3nLh8VUgN7lqzU_jhqEeXLZ5asaenZV/view?usp=sharing" TargetMode="External"/><Relationship Id="rId1113" Type="http://schemas.openxmlformats.org/officeDocument/2006/relationships/hyperlink" Target="https://drive.google.com/file/d/1tOPFEKqjPwRVajYDMgQu8d6QRSBN3QrP/view?usp=sharing" TargetMode="External"/><Relationship Id="rId1355" Type="http://schemas.openxmlformats.org/officeDocument/2006/relationships/hyperlink" Target="https://drive.google.com/file/d/1L6Pr2m7ZUZc7G-kYV98JDDtwPEaAXkXV/view?usp=drive_link" TargetMode="External"/><Relationship Id="rId1103" Type="http://schemas.openxmlformats.org/officeDocument/2006/relationships/hyperlink" Target="https://drive.google.com/file/d/1b6o6iCfYfR4228KNDY42zfeMC2wWF3FT/view?usp=sharing" TargetMode="External"/><Relationship Id="rId1345" Type="http://schemas.openxmlformats.org/officeDocument/2006/relationships/hyperlink" Target="https://drive.google.com/file/d/1SLBgBL1xMNZyWCNJo43sIgHMh4m8f9IW/view?usp=drive_link" TargetMode="External"/><Relationship Id="rId1104" Type="http://schemas.openxmlformats.org/officeDocument/2006/relationships/hyperlink" Target="https://drive.google.com/file/d/1-6TTBMY2Og0DYrJuLPgjGAs1GOxwfKD5/view?usp=sharing" TargetMode="External"/><Relationship Id="rId1346" Type="http://schemas.openxmlformats.org/officeDocument/2006/relationships/hyperlink" Target="https://drive.google.com/file/d/1bfWm9apPqD_CwDn5RCxci2l7rmZWp1Uv/view?usp=drive_link" TargetMode="External"/><Relationship Id="rId1105" Type="http://schemas.openxmlformats.org/officeDocument/2006/relationships/hyperlink" Target="https://drive.google.com/file/d/1tG94TGyByIUmoSTxSaszT8Q6qDlch2CH/view?usp=sharing" TargetMode="External"/><Relationship Id="rId1347" Type="http://schemas.openxmlformats.org/officeDocument/2006/relationships/hyperlink" Target="https://drive.google.com/file/d/1_Kb1OjKbkc1GGCVEkNpdWjbywqnHE3rm/view?usp=drive_link" TargetMode="External"/><Relationship Id="rId1106" Type="http://schemas.openxmlformats.org/officeDocument/2006/relationships/hyperlink" Target="https://drive.google.com/file/d/1n83NN-lvgi9k7goIoAOT6msmixeuMOvn/view?usp=sharing" TargetMode="External"/><Relationship Id="rId1348" Type="http://schemas.openxmlformats.org/officeDocument/2006/relationships/hyperlink" Target="https://drive.google.com/file/d/1EAxG_RwuSQ4NtuAE27mQ16Jcq2Bqgnkm/view?usp=drive_link" TargetMode="External"/><Relationship Id="rId11" Type="http://schemas.openxmlformats.org/officeDocument/2006/relationships/hyperlink" Target="https://drive.google.com/file/d/1yq9dZH50GOojjHSrKjDMx6ROmToyMEB5/view?usp=sharing" TargetMode="External"/><Relationship Id="rId1107" Type="http://schemas.openxmlformats.org/officeDocument/2006/relationships/hyperlink" Target="https://drive.google.com/file/d/1AWwcihr-8y2FFTNzsG66-9K6690p0KSv/view?usp=sharing" TargetMode="External"/><Relationship Id="rId1349" Type="http://schemas.openxmlformats.org/officeDocument/2006/relationships/hyperlink" Target="https://drive.google.com/file/d/1adY3Lmqs40vNawogcPCbvRn89cvERXJS/view?usp=drive_link" TargetMode="External"/><Relationship Id="rId10" Type="http://schemas.openxmlformats.org/officeDocument/2006/relationships/hyperlink" Target="https://drive.google.com/file/d/1mR6hS7HNxtdN1ubOWC4aM-bvAmJe3Idu/view?usp=sharing" TargetMode="External"/><Relationship Id="rId1108" Type="http://schemas.openxmlformats.org/officeDocument/2006/relationships/hyperlink" Target="https://drive.google.com/file/d/1ELG-pim28i2B-fI2Al5LiQ_jZUZdYxtV/view?usp=sharing" TargetMode="External"/><Relationship Id="rId13" Type="http://schemas.openxmlformats.org/officeDocument/2006/relationships/hyperlink" Target="https://drive.google.com/file/d/1GfOtow31_GgBRPIgR6BtaOgUIRxaT2Hs/view?usp=sharing" TargetMode="External"/><Relationship Id="rId1109" Type="http://schemas.openxmlformats.org/officeDocument/2006/relationships/hyperlink" Target="https://drive.google.com/file/d/1n5mNWpL17fEC8438ykZsav1FzWc9o8ux/view?usp=sharing" TargetMode="External"/><Relationship Id="rId12" Type="http://schemas.openxmlformats.org/officeDocument/2006/relationships/hyperlink" Target="https://drive.google.com/file/d/1cQ2IvqJtEEBfPq7DKfvmxIT2TZ1IV8tT/view?usp=sharing" TargetMode="External"/><Relationship Id="rId519" Type="http://schemas.openxmlformats.org/officeDocument/2006/relationships/hyperlink" Target="https://drive.google.com/file/d/1lz3oZIPBNVjlXDl2VQGABz-n5OWchAjT/view?usp=drive_link" TargetMode="External"/><Relationship Id="rId514" Type="http://schemas.openxmlformats.org/officeDocument/2006/relationships/hyperlink" Target="https://drive.google.com/file/d/1sQo5PpHOmq7BRgSNDreBn5JrKrJJxb62/view?usp=drive_link" TargetMode="External"/><Relationship Id="rId756" Type="http://schemas.openxmlformats.org/officeDocument/2006/relationships/hyperlink" Target="https://drive.google.com/file/d/19WrCfoETL-CZNgbeaHKmSoP5nvJ8983o/view?usp=sharing" TargetMode="External"/><Relationship Id="rId998" Type="http://schemas.openxmlformats.org/officeDocument/2006/relationships/hyperlink" Target="https://drive.google.com/file/d/1QbeRzxAa9YO4dGSsCPMFHm6-Wyme67D2/view?usp=sharing" TargetMode="External"/><Relationship Id="rId513" Type="http://schemas.openxmlformats.org/officeDocument/2006/relationships/hyperlink" Target="https://drive.google.com/file/d/1Ja17cZD6RXj9CYubfJd0skkzUjHm5q3Z/view?usp=drive_link" TargetMode="External"/><Relationship Id="rId755" Type="http://schemas.openxmlformats.org/officeDocument/2006/relationships/hyperlink" Target="https://drive.google.com/file/d/11C0zkD4PBoLBhXWhkD7-scVHij9PvgmM/view?usp=sharing" TargetMode="External"/><Relationship Id="rId997" Type="http://schemas.openxmlformats.org/officeDocument/2006/relationships/hyperlink" Target="https://drive.google.com/file/d/1yd-2316kB3XjydvbLzhkfYdb2kflvcEU/view?usp=sharing" TargetMode="External"/><Relationship Id="rId512" Type="http://schemas.openxmlformats.org/officeDocument/2006/relationships/hyperlink" Target="https://drive.google.com/file/d/1wIFAOhY31b0NCUu7QxJ48AADO3dFLg_0/view?usp=drive_link" TargetMode="External"/><Relationship Id="rId754" Type="http://schemas.openxmlformats.org/officeDocument/2006/relationships/hyperlink" Target="https://drive.google.com/file/d/1TRUSUnVklGJ88hCBIq-azIEJkzw7IPoN/view?usp=sharing" TargetMode="External"/><Relationship Id="rId996" Type="http://schemas.openxmlformats.org/officeDocument/2006/relationships/hyperlink" Target="https://drive.google.com/file/d/1HJFJU97jXruXV-MNS0K-PUtYv2EyRNWp/view?usp=sharing" TargetMode="External"/><Relationship Id="rId511" Type="http://schemas.openxmlformats.org/officeDocument/2006/relationships/hyperlink" Target="https://drive.google.com/file/d/1AwNU-8InB_jtc7ZPaQyhsZ6alZ1G3dXA/view?usp=drive_link" TargetMode="External"/><Relationship Id="rId753" Type="http://schemas.openxmlformats.org/officeDocument/2006/relationships/hyperlink" Target="https://drive.google.com/file/d/1WR_9OvpxcQeoki74DkV6VuLwRqUeIDwi/view?usp=sharing" TargetMode="External"/><Relationship Id="rId995" Type="http://schemas.openxmlformats.org/officeDocument/2006/relationships/hyperlink" Target="https://drive.google.com/file/d/1Rs_jKsNsXR9etDzUsZjxNnL66nqW1BGc/view?usp=sharing" TargetMode="External"/><Relationship Id="rId518" Type="http://schemas.openxmlformats.org/officeDocument/2006/relationships/hyperlink" Target="https://drive.google.com/file/d/1mJa19PhsVuFpgxcXr4-u_dur2PNAvt35/view?usp=drive_link" TargetMode="External"/><Relationship Id="rId517" Type="http://schemas.openxmlformats.org/officeDocument/2006/relationships/hyperlink" Target="https://drive.google.com/file/d/1a2rHZNu-keMPWNTiBguw72zb9Hy6P7dx/view?usp=drive_link" TargetMode="External"/><Relationship Id="rId759" Type="http://schemas.openxmlformats.org/officeDocument/2006/relationships/hyperlink" Target="https://drive.google.com/file/d/1iEzmp80IvnZWMxAwKnmkJ3u-eSps3cNV/view?usp=sharing" TargetMode="External"/><Relationship Id="rId516" Type="http://schemas.openxmlformats.org/officeDocument/2006/relationships/hyperlink" Target="https://drive.google.com/file/d/1xtV0QblSurUIZuzKWi8GoQ2j_0daBkge/view?usp=drive_link" TargetMode="External"/><Relationship Id="rId758" Type="http://schemas.openxmlformats.org/officeDocument/2006/relationships/hyperlink" Target="https://drive.google.com/file/d/1BCMW9JG1Td1VRSNzJ8Fct-LwRaKjFlow/view?usp=sharing" TargetMode="External"/><Relationship Id="rId515" Type="http://schemas.openxmlformats.org/officeDocument/2006/relationships/hyperlink" Target="https://drive.google.com/file/d/1vNc58Kh99c_Wm85uob_Mdd8oLLTEMPkE/view?usp=drive_link" TargetMode="External"/><Relationship Id="rId757" Type="http://schemas.openxmlformats.org/officeDocument/2006/relationships/hyperlink" Target="https://drive.google.com/file/d/1m12gca6KzSuLr_mEOQiXry6I99Hqkzou/view?usp=sharing" TargetMode="External"/><Relationship Id="rId999" Type="http://schemas.openxmlformats.org/officeDocument/2006/relationships/hyperlink" Target="https://drive.google.com/file/d/1TPqgxaDCzOdPvKuAa335FIr6toSkgg8b/view?usp=sharing" TargetMode="External"/><Relationship Id="rId15" Type="http://schemas.openxmlformats.org/officeDocument/2006/relationships/hyperlink" Target="https://drive.google.com/file/d/110JZUt2z3qCtAl4LM7PhJJpfF8hAXu5Q/view?usp=sharing" TargetMode="External"/><Relationship Id="rId990" Type="http://schemas.openxmlformats.org/officeDocument/2006/relationships/hyperlink" Target="https://drive.google.com/file/d/1Y1PENrnPhTLWThVjjeUzIG2XYYNs744d/view?usp=sharing" TargetMode="External"/><Relationship Id="rId14" Type="http://schemas.openxmlformats.org/officeDocument/2006/relationships/hyperlink" Target="https://drive.google.com/file/d/13AK8ZqiujYIMIHKFCYNZNyW7GM-rvE58/view?usp=sharing" TargetMode="External"/><Relationship Id="rId17" Type="http://schemas.openxmlformats.org/officeDocument/2006/relationships/hyperlink" Target="https://drive.google.com/file/d/1gj5Jqjq3AvhDxmz0HEgUUbCCX4qMRDu1/view?usp=sharing" TargetMode="External"/><Relationship Id="rId16" Type="http://schemas.openxmlformats.org/officeDocument/2006/relationships/hyperlink" Target="https://drive.google.com/file/d/12qv6Pq9ZoULJ13ZdfC4f-jsa-WTYu60M/view?usp=sharing" TargetMode="External"/><Relationship Id="rId1340" Type="http://schemas.openxmlformats.org/officeDocument/2006/relationships/hyperlink" Target="https://drive.google.com/file/d/1NWJgtOoQqCQMqrwrXrWE4S0FrTo3K_3p/view?usp=drive_link" TargetMode="External"/><Relationship Id="rId19" Type="http://schemas.openxmlformats.org/officeDocument/2006/relationships/hyperlink" Target="https://drive.google.com/file/d/1NKz_XH4jV3rx1M1ADaXpmjC6SgVr3Mk3/view?usp=sharing" TargetMode="External"/><Relationship Id="rId510" Type="http://schemas.openxmlformats.org/officeDocument/2006/relationships/hyperlink" Target="https://drive.google.com/file/d/1YHMbwpCCkrCzBc3-aupZ7WrenK7xbC6r/view?usp=sharing" TargetMode="External"/><Relationship Id="rId752" Type="http://schemas.openxmlformats.org/officeDocument/2006/relationships/hyperlink" Target="https://drive.google.com/file/d/1avF4PbnlnmsjGlF6qAJXQDVOcX3uYYWL/view?usp=sharing" TargetMode="External"/><Relationship Id="rId994" Type="http://schemas.openxmlformats.org/officeDocument/2006/relationships/hyperlink" Target="https://drive.google.com/file/d/1x4BJtwhwJd_eCw8run9jBjUPAab9QqKp/view?usp=sharing" TargetMode="External"/><Relationship Id="rId1341" Type="http://schemas.openxmlformats.org/officeDocument/2006/relationships/hyperlink" Target="https://drive.google.com/file/d/1hHS-GWg_07PVTK8Mj74Rt-6vNCN6IaOs/view?usp=drive_link" TargetMode="External"/><Relationship Id="rId18" Type="http://schemas.openxmlformats.org/officeDocument/2006/relationships/hyperlink" Target="https://drive.google.com/file/d/1f6BBKyBp-gpkkXeDukemWvtWkeqPbh_X/view?usp=sharing" TargetMode="External"/><Relationship Id="rId751" Type="http://schemas.openxmlformats.org/officeDocument/2006/relationships/hyperlink" Target="https://drive.google.com/file/d/1f-IpKdW9W5ouYvOPxf0EB7_DZVMfEVPa/view?usp=drive_link" TargetMode="External"/><Relationship Id="rId993" Type="http://schemas.openxmlformats.org/officeDocument/2006/relationships/hyperlink" Target="https://drive.google.com/file/d/1-iQ9Npd0eksFCd-jiQjFfc3Orv7DA4dU/view?usp=sharing" TargetMode="External"/><Relationship Id="rId1100" Type="http://schemas.openxmlformats.org/officeDocument/2006/relationships/hyperlink" Target="https://drive.google.com/file/d/1IDCcTc_u-pLPwXDYEWi1usfMqDBjLTcg/view?usp=sharing" TargetMode="External"/><Relationship Id="rId1342" Type="http://schemas.openxmlformats.org/officeDocument/2006/relationships/hyperlink" Target="https://drive.google.com/file/d/1prioWPn_rxts8GcT2LULCxnS2cnFWT3v/view?usp=drive_link" TargetMode="External"/><Relationship Id="rId750" Type="http://schemas.openxmlformats.org/officeDocument/2006/relationships/hyperlink" Target="https://drive.google.com/file/d/1QsZbD5_GwSCYNiwRqKHi8U5gTGtSDy_k/view?usp=sharing" TargetMode="External"/><Relationship Id="rId992" Type="http://schemas.openxmlformats.org/officeDocument/2006/relationships/hyperlink" Target="https://drive.google.com/file/d/14qHNAG_GbrVVXs-tu_Z0JQl9AA2DCvQ0/view?usp=sharing" TargetMode="External"/><Relationship Id="rId1101" Type="http://schemas.openxmlformats.org/officeDocument/2006/relationships/hyperlink" Target="https://drive.google.com/file/d/1E2SGGFmLlOnNoPT24iS-swp6QeROAapE/view?usp=sharing" TargetMode="External"/><Relationship Id="rId1343" Type="http://schemas.openxmlformats.org/officeDocument/2006/relationships/hyperlink" Target="https://drive.google.com/file/d/1BbwoZpLitMnvfb8GbkZ-oUjke92zva7t/view?usp=drive_link" TargetMode="External"/><Relationship Id="rId991" Type="http://schemas.openxmlformats.org/officeDocument/2006/relationships/hyperlink" Target="https://drive.google.com/file/d/1Lafn1c6IOo9kPw2aWzmAesEhdOPLS1B8/view?usp=sharing" TargetMode="External"/><Relationship Id="rId1102" Type="http://schemas.openxmlformats.org/officeDocument/2006/relationships/hyperlink" Target="https://drive.google.com/file/d/1Zing4Ql1ZX9hjs7OtsdINx1RQyyAn36z/view?usp=sharing" TargetMode="External"/><Relationship Id="rId1344" Type="http://schemas.openxmlformats.org/officeDocument/2006/relationships/hyperlink" Target="https://drive.google.com/file/d/1g2auDtvJVyaqygFo0w7-FHLmBplGNTZv/view?usp=drive_link" TargetMode="External"/><Relationship Id="rId84" Type="http://schemas.openxmlformats.org/officeDocument/2006/relationships/hyperlink" Target="https://drive.google.com/file/d/17N-0utGQKvy9-ksvKyuk2rcxNuHb61KU/view?usp=drive_link" TargetMode="External"/><Relationship Id="rId83" Type="http://schemas.openxmlformats.org/officeDocument/2006/relationships/hyperlink" Target="https://drive.google.com/file/d/1N6FaF3Uw-0HcOyTtKkYzyoHVhAqnAShU/view?usp=drive_link" TargetMode="External"/><Relationship Id="rId86" Type="http://schemas.openxmlformats.org/officeDocument/2006/relationships/hyperlink" Target="https://drive.google.com/file/d/1jNml9WNhB1IHFrkXb7mix1IwUYBb-Hcn/view?usp=drive_link" TargetMode="External"/><Relationship Id="rId85" Type="http://schemas.openxmlformats.org/officeDocument/2006/relationships/hyperlink" Target="https://drive.google.com/file/d/1UKpLwVoUt4ofT2RyMEM9MKyZfzpggxcI/view?usp=drive_link" TargetMode="External"/><Relationship Id="rId88" Type="http://schemas.openxmlformats.org/officeDocument/2006/relationships/hyperlink" Target="https://drive.google.com/file/d/1Gl5OmAtvKt2or1Rc51D-3Gv8y3UDlqAY/view?usp=drive_link" TargetMode="External"/><Relationship Id="rId87" Type="http://schemas.openxmlformats.org/officeDocument/2006/relationships/hyperlink" Target="https://drive.google.com/file/d/1x7sZ_mX9yBUavVS1i8QgZbi5PGM1NuMi/view?usp=drive_link" TargetMode="External"/><Relationship Id="rId89" Type="http://schemas.openxmlformats.org/officeDocument/2006/relationships/hyperlink" Target="https://drive.google.com/file/d/1NoYkOurZnwvODG5I3hy45By-IRr5l5cA/view?usp=drive_link" TargetMode="External"/><Relationship Id="rId709" Type="http://schemas.openxmlformats.org/officeDocument/2006/relationships/hyperlink" Target="https://drive.google.com/file/d/1m12gca6KzSuLr_mEOQiXry6I99Hqkzou/view?usp=sharing" TargetMode="External"/><Relationship Id="rId708" Type="http://schemas.openxmlformats.org/officeDocument/2006/relationships/hyperlink" Target="https://drive.google.com/file/d/19WrCfoETL-CZNgbeaHKmSoP5nvJ8983o/view?usp=sharing" TargetMode="External"/><Relationship Id="rId707" Type="http://schemas.openxmlformats.org/officeDocument/2006/relationships/hyperlink" Target="https://drive.google.com/file/d/11C0zkD4PBoLBhXWhkD7-scVHij9PvgmM/view?usp=sharing" TargetMode="External"/><Relationship Id="rId949" Type="http://schemas.openxmlformats.org/officeDocument/2006/relationships/hyperlink" Target="https://drive.google.com/file/d/17j7BXBhUOrARORqvWPUAvnig2Gh6tNyA/view?usp=drive_link" TargetMode="External"/><Relationship Id="rId706" Type="http://schemas.openxmlformats.org/officeDocument/2006/relationships/hyperlink" Target="https://drive.google.com/file/d/1TRUSUnVklGJ88hCBIq-azIEJkzw7IPoN/view?usp=sharing" TargetMode="External"/><Relationship Id="rId948" Type="http://schemas.openxmlformats.org/officeDocument/2006/relationships/hyperlink" Target="https://drive.google.com/file/d/1bBuevQ4VFB0U4ySyMsGvaGOPUuAgetTC/view?usp=drive_link" TargetMode="External"/><Relationship Id="rId80" Type="http://schemas.openxmlformats.org/officeDocument/2006/relationships/hyperlink" Target="https://drive.google.com/file/d/1WQZzhcXhuhZbhVtQazWJL2fwpqlbDE09/view?usp=drive_link" TargetMode="External"/><Relationship Id="rId82" Type="http://schemas.openxmlformats.org/officeDocument/2006/relationships/hyperlink" Target="https://drive.google.com/file/d/1l-wU6PknY7X_rJ3-fO5qoBFh8fHeAGTw/view?usp=drive_link" TargetMode="External"/><Relationship Id="rId81" Type="http://schemas.openxmlformats.org/officeDocument/2006/relationships/hyperlink" Target="https://drive.google.com/file/d/13hqTVSt1nqMtBOPLBLsQ6OEzgNZyUJ7X/view?usp=drive_link" TargetMode="External"/><Relationship Id="rId701" Type="http://schemas.openxmlformats.org/officeDocument/2006/relationships/hyperlink" Target="https://drive.google.com/file/d/1o3hQTzAmqpyT_454VRxNksYQlPrNZDC7/view?usp=sharing" TargetMode="External"/><Relationship Id="rId943" Type="http://schemas.openxmlformats.org/officeDocument/2006/relationships/hyperlink" Target="https://drive.google.com/file/d/1tPDUbHgEb1LtCjhtq9jAxzXkGwNMjjJj/view?usp=drive_link" TargetMode="External"/><Relationship Id="rId700" Type="http://schemas.openxmlformats.org/officeDocument/2006/relationships/hyperlink" Target="https://drive.google.com/file/d/1IRbFYdZlWUldPQepdWSRGQts66WGAk3m/view?usp=sharing" TargetMode="External"/><Relationship Id="rId942" Type="http://schemas.openxmlformats.org/officeDocument/2006/relationships/hyperlink" Target="https://drive.google.com/file/d/1_nNMW51czgsxzsRbo1Azw31jmL0tSGCS/view?usp=drive_link" TargetMode="External"/><Relationship Id="rId941" Type="http://schemas.openxmlformats.org/officeDocument/2006/relationships/hyperlink" Target="https://drive.google.com/file/d/1MFQLAilMI2P4MdP3qCBjYSqGSc1o16nH/view?usp=drive_link" TargetMode="External"/><Relationship Id="rId940" Type="http://schemas.openxmlformats.org/officeDocument/2006/relationships/hyperlink" Target="https://drive.google.com/file/d/1y2qEPMMY2-ABT4jVQOYaFx0ERt2RtCTQ/view?usp=drive_link" TargetMode="External"/><Relationship Id="rId705" Type="http://schemas.openxmlformats.org/officeDocument/2006/relationships/hyperlink" Target="https://drive.google.com/file/d/1WR_9OvpxcQeoki74DkV6VuLwRqUeIDwi/view?usp=sharing" TargetMode="External"/><Relationship Id="rId947" Type="http://schemas.openxmlformats.org/officeDocument/2006/relationships/hyperlink" Target="https://drive.google.com/file/d/17liCDzNXYCZsShobJ62_7rrS4vn4MmUY/view?usp=drive_link" TargetMode="External"/><Relationship Id="rId704" Type="http://schemas.openxmlformats.org/officeDocument/2006/relationships/hyperlink" Target="https://drive.google.com/file/d/1avF4PbnlnmsjGlF6qAJXQDVOcX3uYYWL/view?usp=sharing" TargetMode="External"/><Relationship Id="rId946" Type="http://schemas.openxmlformats.org/officeDocument/2006/relationships/hyperlink" Target="https://drive.google.com/file/d/1ZAt1B4jlp0QJilJVEQcJfvr16N7xJrlB/view?usp=drive_link" TargetMode="External"/><Relationship Id="rId703" Type="http://schemas.openxmlformats.org/officeDocument/2006/relationships/hyperlink" Target="https://drive.google.com/file/d/1f-IpKdW9W5ouYvOPxf0EB7_DZVMfEVPa/view?usp=drive_link" TargetMode="External"/><Relationship Id="rId945" Type="http://schemas.openxmlformats.org/officeDocument/2006/relationships/hyperlink" Target="https://drive.google.com/file/d/1mJipx4lCpQjWZJU0GktoT3aO18nr2Fb6/view?usp=drive_link" TargetMode="External"/><Relationship Id="rId702" Type="http://schemas.openxmlformats.org/officeDocument/2006/relationships/hyperlink" Target="https://drive.google.com/file/d/1QsZbD5_GwSCYNiwRqKHi8U5gTGtSDy_k/view?usp=sharing" TargetMode="External"/><Relationship Id="rId944" Type="http://schemas.openxmlformats.org/officeDocument/2006/relationships/hyperlink" Target="https://drive.google.com/file/d/10jxKViwUcVfoA_yGtbJqcVQmwhmwRA_I/view?usp=drive_link" TargetMode="External"/><Relationship Id="rId73" Type="http://schemas.openxmlformats.org/officeDocument/2006/relationships/hyperlink" Target="https://drive.google.com/file/d/1gmjoOZcMDsxT2RXoxR3pVo-A5FBBDUvG/view?usp=sharing" TargetMode="External"/><Relationship Id="rId72" Type="http://schemas.openxmlformats.org/officeDocument/2006/relationships/hyperlink" Target="https://drive.google.com/file/d/1ZRWMrUSclhOGvZRaRmgw0QR7o7MkG6rw/view?usp=sharing" TargetMode="External"/><Relationship Id="rId75" Type="http://schemas.openxmlformats.org/officeDocument/2006/relationships/hyperlink" Target="https://drive.google.com/file/d/1cc9Xd0-9HJb1LnM_aB9vTHjltMmismxh/view?usp=sharing" TargetMode="External"/><Relationship Id="rId74" Type="http://schemas.openxmlformats.org/officeDocument/2006/relationships/hyperlink" Target="https://drive.google.com/file/d/1doY_t0n39YgJQ1wUyLKzdaFVU8WQ-Fzh/view?usp=sharing" TargetMode="External"/><Relationship Id="rId77" Type="http://schemas.openxmlformats.org/officeDocument/2006/relationships/hyperlink" Target="https://drive.google.com/file/d/1HGgvkkj4iausivOETr8Cs0Df0A5Tq0mO/view?usp=sharing" TargetMode="External"/><Relationship Id="rId76" Type="http://schemas.openxmlformats.org/officeDocument/2006/relationships/hyperlink" Target="https://drive.google.com/file/d/1nULC_0CmKcW_xM-filTokfLBeR8nDxqY/view?usp=sharing" TargetMode="External"/><Relationship Id="rId79" Type="http://schemas.openxmlformats.org/officeDocument/2006/relationships/hyperlink" Target="https://drive.google.com/file/d/1a5GwxUyNbK_Fz6mfVtLkAJ3NCPmbyJNO/view?usp=drive_link" TargetMode="External"/><Relationship Id="rId78" Type="http://schemas.openxmlformats.org/officeDocument/2006/relationships/hyperlink" Target="https://drive.google.com/file/d/11xHqJT7aWQHVX16p2TwqtPNfOu6EGkQN/view?usp=drive_link" TargetMode="External"/><Relationship Id="rId939" Type="http://schemas.openxmlformats.org/officeDocument/2006/relationships/hyperlink" Target="https://drive.google.com/file/d/1fKujT5j7Xq57UfpM9Dzpb9N9xXYyHS_e/view?usp=drive_link" TargetMode="External"/><Relationship Id="rId938" Type="http://schemas.openxmlformats.org/officeDocument/2006/relationships/hyperlink" Target="https://drive.google.com/file/d/1XSUPSq9voymrcpwHKp_sg9xIOJYLSmGm/view?usp=drive_link" TargetMode="External"/><Relationship Id="rId937" Type="http://schemas.openxmlformats.org/officeDocument/2006/relationships/hyperlink" Target="https://drive.google.com/file/d/11pouyj-K2zSNxO4b6Ezf1moKMA_jP4LH/view?usp=drive_link" TargetMode="External"/><Relationship Id="rId71" Type="http://schemas.openxmlformats.org/officeDocument/2006/relationships/hyperlink" Target="https://drive.google.com/file/d/13vdBTotMeC1bLTw9_E04uQyENI8w3ggG/view?usp=sharing" TargetMode="External"/><Relationship Id="rId70" Type="http://schemas.openxmlformats.org/officeDocument/2006/relationships/hyperlink" Target="https://drive.google.com/file/d/1JEk0Mwwq7zInJR4cJS61o0qX5XcPfZ7b/view?usp=sharing" TargetMode="External"/><Relationship Id="rId932" Type="http://schemas.openxmlformats.org/officeDocument/2006/relationships/hyperlink" Target="https://drive.google.com/file/d/1QSbCQ1lUN4DbozqoY-XoV1w9zWf4WjDt/view?usp=drive_link" TargetMode="External"/><Relationship Id="rId931" Type="http://schemas.openxmlformats.org/officeDocument/2006/relationships/hyperlink" Target="https://drive.google.com/file/d/1Jk9W0FX8jlEOZRLZsWD77OAoZXKMHIAW/view?usp=drive_link" TargetMode="External"/><Relationship Id="rId930" Type="http://schemas.openxmlformats.org/officeDocument/2006/relationships/hyperlink" Target="https://drive.google.com/file/d/1P2iIkqG0thyW05nHMcD6UJEARfFE12zR/view?usp=drive_link" TargetMode="External"/><Relationship Id="rId936" Type="http://schemas.openxmlformats.org/officeDocument/2006/relationships/hyperlink" Target="https://drive.google.com/file/d/1NPe4Y4LjuGgzAUlY-fckqYqFaZSxhqP0/view?usp=drive_link" TargetMode="External"/><Relationship Id="rId935" Type="http://schemas.openxmlformats.org/officeDocument/2006/relationships/hyperlink" Target="https://drive.google.com/file/d/1YN6181jkdcqVZaOffb0R8_g1GZhzQ4dx/view?usp=drive_link" TargetMode="External"/><Relationship Id="rId934" Type="http://schemas.openxmlformats.org/officeDocument/2006/relationships/hyperlink" Target="https://drive.google.com/file/d/1l25Ldkz3YbDOpK3i5uBGVjTQyUSqoDyF/view?usp=sharing" TargetMode="External"/><Relationship Id="rId933" Type="http://schemas.openxmlformats.org/officeDocument/2006/relationships/hyperlink" Target="https://drive.google.com/file/d/1j3uD9MhcNZFz3leV3JjdMg_tulWckGZY/view?usp=drive_link" TargetMode="External"/><Relationship Id="rId62" Type="http://schemas.openxmlformats.org/officeDocument/2006/relationships/hyperlink" Target="https://drive.google.com/file/d/1S4AJ7G4MZCNgzU70K4yueRc766QogJQK/view?usp=sharing" TargetMode="External"/><Relationship Id="rId1312" Type="http://schemas.openxmlformats.org/officeDocument/2006/relationships/hyperlink" Target="https://drive.google.com/file/d/1xb2vdnL8k6Nll4opkFzygSY65AzHBxS6/view?usp=drive_link" TargetMode="External"/><Relationship Id="rId61" Type="http://schemas.openxmlformats.org/officeDocument/2006/relationships/hyperlink" Target="https://drive.google.com/file/d/1FWOF2_2q91V3bkw6q8LCgVL0FtrxsJnJ/view?usp=sharing" TargetMode="External"/><Relationship Id="rId1313" Type="http://schemas.openxmlformats.org/officeDocument/2006/relationships/hyperlink" Target="https://drive.google.com/file/d/1mqfkejS1SrXjNPhN7Rn9zBJacosAqxRr/view?usp=drive_link" TargetMode="External"/><Relationship Id="rId64" Type="http://schemas.openxmlformats.org/officeDocument/2006/relationships/hyperlink" Target="https://drive.google.com/file/d/1B9LBKgJ7ucJk_cllLHuoeFi-kh9sJj6G/view?usp=sharing" TargetMode="External"/><Relationship Id="rId1314" Type="http://schemas.openxmlformats.org/officeDocument/2006/relationships/hyperlink" Target="https://drive.google.com/file/d/1imSbfV32Sx0zZ_4thogbtNigs4Z-TEfF/view?usp=drive_link" TargetMode="External"/><Relationship Id="rId63" Type="http://schemas.openxmlformats.org/officeDocument/2006/relationships/hyperlink" Target="https://drive.google.com/file/d/1B9LBKgJ7ucJk_cllLHuoeFi-kh9sJj6G/view?usp=sharing" TargetMode="External"/><Relationship Id="rId1315" Type="http://schemas.openxmlformats.org/officeDocument/2006/relationships/hyperlink" Target="https://drive.google.com/file/d/1GYZ3YFDvmdNdQCVPIdaXtsLh7bPx6qfI/view?usp=drive_link" TargetMode="External"/><Relationship Id="rId66" Type="http://schemas.openxmlformats.org/officeDocument/2006/relationships/hyperlink" Target="https://drive.google.com/file/d/1iNhbnaNC73c81DvlX3KVJ8Z0ycjgLJK_/view?usp=sharing" TargetMode="External"/><Relationship Id="rId1316" Type="http://schemas.openxmlformats.org/officeDocument/2006/relationships/hyperlink" Target="https://drive.google.com/file/d/10M6YwDuAo0n3mibvFzvmCyYwxGCFXgbS/view?usp=drive_link" TargetMode="External"/><Relationship Id="rId65" Type="http://schemas.openxmlformats.org/officeDocument/2006/relationships/hyperlink" Target="https://drive.google.com/file/d/11SV96B-QqYjiKEg6wzkeCre4vG_6_kKf/view?usp=sharing" TargetMode="External"/><Relationship Id="rId1317" Type="http://schemas.openxmlformats.org/officeDocument/2006/relationships/hyperlink" Target="https://drive.google.com/file/d/1sbJ1M88DzP4sUQhONORwIWQoZeec146W/view?usp=drive_link" TargetMode="External"/><Relationship Id="rId68" Type="http://schemas.openxmlformats.org/officeDocument/2006/relationships/hyperlink" Target="https://drive.google.com/file/d/1w4SyKcqEUKtbsmJUfgrs9pMa2IKOCcM7/view?usp=sharing" TargetMode="External"/><Relationship Id="rId1318" Type="http://schemas.openxmlformats.org/officeDocument/2006/relationships/hyperlink" Target="https://drive.google.com/file/d/1iuNnAEsqbIiXdu1OE3xYKIV9-vFN0DNB/view?usp=drive_link" TargetMode="External"/><Relationship Id="rId67" Type="http://schemas.openxmlformats.org/officeDocument/2006/relationships/hyperlink" Target="https://drive.google.com/file/d/19cD9CNdsWtnZQbx-XtUGdVy6kT0tmLFM/view?usp=sharing" TargetMode="External"/><Relationship Id="rId1319" Type="http://schemas.openxmlformats.org/officeDocument/2006/relationships/hyperlink" Target="https://drive.google.com/file/d/1Dd_O0F3IwSP0onLugrYBBucgO_ex7024/view?usp=drive_link" TargetMode="External"/><Relationship Id="rId729" Type="http://schemas.openxmlformats.org/officeDocument/2006/relationships/hyperlink" Target="https://drive.google.com/file/d/1RCQHHTzkjznPvkeNj27LWGlI6gJwgLo4/view?usp=sharing" TargetMode="External"/><Relationship Id="rId728" Type="http://schemas.openxmlformats.org/officeDocument/2006/relationships/hyperlink" Target="https://drive.google.com/file/d/1NkPTZavfqY7yLLxV8vtlTi3KT_TuWipt/view?usp=sharing" TargetMode="External"/><Relationship Id="rId60" Type="http://schemas.openxmlformats.org/officeDocument/2006/relationships/hyperlink" Target="https://drive.google.com/file/d/1D1bg60ehzz6CVCvWQBL0rx6Xc7cw4_H6/view?usp=sharing" TargetMode="External"/><Relationship Id="rId723" Type="http://schemas.openxmlformats.org/officeDocument/2006/relationships/hyperlink" Target="https://drive.google.com/file/d/1zzVBzcA94UH5n4mRfZkBD48_R-liDo5R/view?usp=sharing" TargetMode="External"/><Relationship Id="rId965" Type="http://schemas.openxmlformats.org/officeDocument/2006/relationships/hyperlink" Target="https://drive.google.com/file/d/1LvpFVzBQoJsgN4wf2DQBIftjTjaiDEPT/view?usp=sharing" TargetMode="External"/><Relationship Id="rId722" Type="http://schemas.openxmlformats.org/officeDocument/2006/relationships/hyperlink" Target="https://drive.google.com/file/d/1ALxAiqzXHvJ3InHy3zW7fHnmWh5I13mi/view?usp=sharing" TargetMode="External"/><Relationship Id="rId964" Type="http://schemas.openxmlformats.org/officeDocument/2006/relationships/hyperlink" Target="https://drive.google.com/file/d/1gnax-A-ImyTJTvuhFnKWqdd2IgnR58ud/view?usp=sharing" TargetMode="External"/><Relationship Id="rId721" Type="http://schemas.openxmlformats.org/officeDocument/2006/relationships/hyperlink" Target="https://drive.google.com/file/d/1TxVELTKZYzIp7uNlg6QEaCHWlxhgVNn2/view?usp=sharing" TargetMode="External"/><Relationship Id="rId963" Type="http://schemas.openxmlformats.org/officeDocument/2006/relationships/hyperlink" Target="https://drive.google.com/file/d/1POU4i3srfwhs06OFD8mczv5ocdbEFV6a/view?usp=drive_link" TargetMode="External"/><Relationship Id="rId720" Type="http://schemas.openxmlformats.org/officeDocument/2006/relationships/hyperlink" Target="https://drive.google.com/file/d/1Qo8giWriNZyUZLVI-FdHEV0bwzXhWBai/view?usp=sharing" TargetMode="External"/><Relationship Id="rId962" Type="http://schemas.openxmlformats.org/officeDocument/2006/relationships/hyperlink" Target="https://drive.google.com/file/d/1juI7asC-bmV2IiteRDFJC3axZlSLERlV/view?usp=drive_link" TargetMode="External"/><Relationship Id="rId727" Type="http://schemas.openxmlformats.org/officeDocument/2006/relationships/hyperlink" Target="https://drive.google.com/file/d/1z4USzlWqAHT9eW7PD2vKRbZArDPiCAqw/view?usp=sharing" TargetMode="External"/><Relationship Id="rId969" Type="http://schemas.openxmlformats.org/officeDocument/2006/relationships/hyperlink" Target="https://drive.google.com/file/d/1e4vE33MEVLNpts1M3uozSys90q31y1v6/view?usp=drive_link" TargetMode="External"/><Relationship Id="rId726" Type="http://schemas.openxmlformats.org/officeDocument/2006/relationships/hyperlink" Target="https://drive.google.com/file/d/1mQgePZkvaCkTP8aNjdSI7sdCqwN7OD_d/view?usp=sharing" TargetMode="External"/><Relationship Id="rId968" Type="http://schemas.openxmlformats.org/officeDocument/2006/relationships/hyperlink" Target="https://drive.google.com/file/d/130fxYABw7Ogl3BupIsqcjw4RXeF-UM_L/view?usp=sharing" TargetMode="External"/><Relationship Id="rId725" Type="http://schemas.openxmlformats.org/officeDocument/2006/relationships/hyperlink" Target="https://drive.google.com/file/d/18UpsxHJXphSvUQ600K97tHtFV-vGlj0c/view?usp=sharing" TargetMode="External"/><Relationship Id="rId967" Type="http://schemas.openxmlformats.org/officeDocument/2006/relationships/hyperlink" Target="https://drive.google.com/file/d/1fJMS96Iy-USTWRkpStV5BMD9FvQK_LGt/view?usp=sharing" TargetMode="External"/><Relationship Id="rId724" Type="http://schemas.openxmlformats.org/officeDocument/2006/relationships/hyperlink" Target="https://drive.google.com/file/d/1_dj_bSI6OYnWfRIP5rpJP0KPtpBGxL51/view?usp=sharing" TargetMode="External"/><Relationship Id="rId966" Type="http://schemas.openxmlformats.org/officeDocument/2006/relationships/hyperlink" Target="https://drive.google.com/file/d/1xFwnsfpw29mUbCVX16NMmRGASTffaz-J/view?usp=sharing" TargetMode="External"/><Relationship Id="rId69" Type="http://schemas.openxmlformats.org/officeDocument/2006/relationships/hyperlink" Target="https://drive.google.com/file/d/1fJQ5RZx30R-rcrmCpv045fJtmq5T_rbm/view?usp=sharing" TargetMode="External"/><Relationship Id="rId961" Type="http://schemas.openxmlformats.org/officeDocument/2006/relationships/hyperlink" Target="https://drive.google.com/file/d/1pNR7-sninAYkuQ0aZaRBLT1omNKRZnqK/view?usp=drive_link" TargetMode="External"/><Relationship Id="rId960" Type="http://schemas.openxmlformats.org/officeDocument/2006/relationships/hyperlink" Target="https://drive.google.com/file/d/1YSq00dRxR1bcdMCPNhomtE68lCJRJ_3R/view?usp=sharing" TargetMode="External"/><Relationship Id="rId1310" Type="http://schemas.openxmlformats.org/officeDocument/2006/relationships/hyperlink" Target="https://drive.google.com/file/d/16V8F33QMD8FVIDxKYi1zyfFWDs3fM7QC/view?usp=drive_link" TargetMode="External"/><Relationship Id="rId1311" Type="http://schemas.openxmlformats.org/officeDocument/2006/relationships/hyperlink" Target="https://drive.google.com/file/d/1dTCngOyu2a5h9_FauL0kevtHX0w30ai5/view?usp=drive_link" TargetMode="External"/><Relationship Id="rId51" Type="http://schemas.openxmlformats.org/officeDocument/2006/relationships/hyperlink" Target="https://drive.google.com/file/d/1V9EizfwsEkuYto8ankyM8ZCKXdufw3Zk/view?usp=sharing" TargetMode="External"/><Relationship Id="rId1301" Type="http://schemas.openxmlformats.org/officeDocument/2006/relationships/hyperlink" Target="https://drive.google.com/file/d/1jVU0OIuP2MPmqN44rDqlet9NsftBsqVD/view?usp=drive_link" TargetMode="External"/><Relationship Id="rId50" Type="http://schemas.openxmlformats.org/officeDocument/2006/relationships/hyperlink" Target="https://drive.google.com/file/d/1bTq9C5zDgH7SoXuQKGY5BJumkvRWwlGX/view?usp=sharing" TargetMode="External"/><Relationship Id="rId1302" Type="http://schemas.openxmlformats.org/officeDocument/2006/relationships/hyperlink" Target="https://drive.google.com/file/d/1qHkougN6Yy6G6oOE8K-crnY5lIDdij4z/view?usp=drive_link" TargetMode="External"/><Relationship Id="rId53" Type="http://schemas.openxmlformats.org/officeDocument/2006/relationships/hyperlink" Target="https://drive.google.com/file/d/1FVHP80hX_jsqCV_EOnMpJGccun2RwPTG/view?usp=sharing" TargetMode="External"/><Relationship Id="rId1303" Type="http://schemas.openxmlformats.org/officeDocument/2006/relationships/hyperlink" Target="https://drive.google.com/file/d/1-d3hk6shEJEsPKiWska67CNItOQT3yty/view?usp=drive_link" TargetMode="External"/><Relationship Id="rId52" Type="http://schemas.openxmlformats.org/officeDocument/2006/relationships/hyperlink" Target="https://drive.google.com/file/d/13uskDArdPPRIDNdLokJ1zALZEjF5PulD/view?usp=sharing" TargetMode="External"/><Relationship Id="rId1304" Type="http://schemas.openxmlformats.org/officeDocument/2006/relationships/hyperlink" Target="https://drive.google.com/file/d/1FtBcCl1FdThhHaf7mJ_Wj-3rUR2h7dBl/view?usp=drive_link" TargetMode="External"/><Relationship Id="rId55" Type="http://schemas.openxmlformats.org/officeDocument/2006/relationships/hyperlink" Target="https://drive.google.com/file/d/14yJEvyRx1Z5ZuZzG7qK2tWg3oj-pbqHh/view?usp=sharing" TargetMode="External"/><Relationship Id="rId1305" Type="http://schemas.openxmlformats.org/officeDocument/2006/relationships/hyperlink" Target="https://drive.google.com/file/d/1Srj466rTTtvJadD8GCHSmJ2EXgFU_Xwa/view?usp=drive_link" TargetMode="External"/><Relationship Id="rId54" Type="http://schemas.openxmlformats.org/officeDocument/2006/relationships/hyperlink" Target="https://drive.google.com/file/d/12E1fu-Vl6F1VZ6ZV25pARk95cMzZ_62X/view?usp=sharing" TargetMode="External"/><Relationship Id="rId1306" Type="http://schemas.openxmlformats.org/officeDocument/2006/relationships/hyperlink" Target="https://drive.google.com/file/d/1JUBP92XEWatwcADGO3m8LFB_6vjDskUo/view?usp=drive_link" TargetMode="External"/><Relationship Id="rId57" Type="http://schemas.openxmlformats.org/officeDocument/2006/relationships/hyperlink" Target="https://drive.google.com/file/d/1VynV02X5h52_o1_U-iuX_JQUTVLap8Jp/view?usp=sharing" TargetMode="External"/><Relationship Id="rId1307" Type="http://schemas.openxmlformats.org/officeDocument/2006/relationships/hyperlink" Target="https://drive.google.com/file/d/1cHJSdwb0LG3nk03jOW91ilERZN2ur5Au/view?usp=drive_link" TargetMode="External"/><Relationship Id="rId56" Type="http://schemas.openxmlformats.org/officeDocument/2006/relationships/hyperlink" Target="https://drive.google.com/file/d/1VLlg5JzNAZq56auqaCQ9uf5RrZbQ-Fl3/view?usp=sharing" TargetMode="External"/><Relationship Id="rId1308" Type="http://schemas.openxmlformats.org/officeDocument/2006/relationships/hyperlink" Target="https://drive.google.com/file/d/1T7oywwK4w4SScI03je3w5xV8JZbPbHvl/view?usp=drive_link" TargetMode="External"/><Relationship Id="rId1309" Type="http://schemas.openxmlformats.org/officeDocument/2006/relationships/hyperlink" Target="https://drive.google.com/file/d/1s49ml3ZZ8aIemOcTA92n_SDfoMgljc9A/view?usp=drive_link" TargetMode="External"/><Relationship Id="rId719" Type="http://schemas.openxmlformats.org/officeDocument/2006/relationships/hyperlink" Target="https://drive.google.com/file/d/1U2tSrjXhKVMNu9ONr7YQgOzhDXv8GSub/view?usp=sharing" TargetMode="External"/><Relationship Id="rId718" Type="http://schemas.openxmlformats.org/officeDocument/2006/relationships/hyperlink" Target="https://drive.google.com/file/d/1jtD2qc1GEwhrv79qwbLE1K4KIYVhuB_C/view?usp=sharing" TargetMode="External"/><Relationship Id="rId717" Type="http://schemas.openxmlformats.org/officeDocument/2006/relationships/hyperlink" Target="https://drive.google.com/file/d/1LpRYP21Xs-1ioDVAFDspLOUffvq9anm8/view?usp=sharing" TargetMode="External"/><Relationship Id="rId959" Type="http://schemas.openxmlformats.org/officeDocument/2006/relationships/hyperlink" Target="https://drive.google.com/file/d/1pojTsQMg9gJhzapEOBtq6PmAErwXLU6L/view?usp=sharing" TargetMode="External"/><Relationship Id="rId712" Type="http://schemas.openxmlformats.org/officeDocument/2006/relationships/hyperlink" Target="https://drive.google.com/file/d/1v3nLh8VUgN7lqzU_jhqEeXLZ5asaenZV/view?usp=sharing" TargetMode="External"/><Relationship Id="rId954" Type="http://schemas.openxmlformats.org/officeDocument/2006/relationships/hyperlink" Target="https://drive.google.com/file/d/18kVUPV0CUpDhv66NBJ4uqDaTj74PavbZ/view?usp=drive_link" TargetMode="External"/><Relationship Id="rId711" Type="http://schemas.openxmlformats.org/officeDocument/2006/relationships/hyperlink" Target="https://drive.google.com/file/d/1iEzmp80IvnZWMxAwKnmkJ3u-eSps3cNV/view?usp=sharing" TargetMode="External"/><Relationship Id="rId953" Type="http://schemas.openxmlformats.org/officeDocument/2006/relationships/hyperlink" Target="https://drive.google.com/file/d/16uvIiwwpKHa7XDTHdlrDJwk2BrwO85eD/view?usp=drive_link" TargetMode="External"/><Relationship Id="rId710" Type="http://schemas.openxmlformats.org/officeDocument/2006/relationships/hyperlink" Target="https://drive.google.com/file/d/1BCMW9JG1Td1VRSNzJ8Fct-LwRaKjFlow/view?usp=sharing" TargetMode="External"/><Relationship Id="rId952" Type="http://schemas.openxmlformats.org/officeDocument/2006/relationships/hyperlink" Target="https://drive.google.com/file/d/1_k2mlx1huW9nzWoIa8_ULwOG2Cw-TEJe/view?usp=drive_link" TargetMode="External"/><Relationship Id="rId951" Type="http://schemas.openxmlformats.org/officeDocument/2006/relationships/hyperlink" Target="https://drive.google.com/file/d/1ALOajrMWtuzHF9YlpDR8UgsiEJW3bI16/view?usp=drive_link" TargetMode="External"/><Relationship Id="rId716" Type="http://schemas.openxmlformats.org/officeDocument/2006/relationships/hyperlink" Target="https://drive.google.com/file/d/1Hi7_sZMSzOmm3E_74ZiimU16eVG10SCs/view?usp=sharing" TargetMode="External"/><Relationship Id="rId958" Type="http://schemas.openxmlformats.org/officeDocument/2006/relationships/hyperlink" Target="https://drive.google.com/file/d/1lyG99lb65u-aWQBFQbYQKCV2dkVykOkH/view?usp=drive_link" TargetMode="External"/><Relationship Id="rId715" Type="http://schemas.openxmlformats.org/officeDocument/2006/relationships/hyperlink" Target="https://drive.google.com/file/d/1U5ZXfIQJYoCbh33pVmzB0vpgDHwR_OKX/view?usp=sharing" TargetMode="External"/><Relationship Id="rId957" Type="http://schemas.openxmlformats.org/officeDocument/2006/relationships/hyperlink" Target="https://drive.google.com/file/d/1gfAKIRxOKRNTsCHC3_j-gK_YP-lGuoW2/view?usp=drive_link" TargetMode="External"/><Relationship Id="rId714" Type="http://schemas.openxmlformats.org/officeDocument/2006/relationships/hyperlink" Target="https://drive.google.com/file/d/150an1e-T17ECPN6YkKkCi1onDFiRbUJr/view?usp=sharing" TargetMode="External"/><Relationship Id="rId956" Type="http://schemas.openxmlformats.org/officeDocument/2006/relationships/hyperlink" Target="https://drive.google.com/file/d/1q6uZsdAM7dTbVL58mnj_xKWWyEbAxqJ8/view?usp=drive_link" TargetMode="External"/><Relationship Id="rId713" Type="http://schemas.openxmlformats.org/officeDocument/2006/relationships/hyperlink" Target="https://drive.google.com/file/d/1F2kU_UYjyPvNMGt9aflA-c2rQPW1XL28/view?usp=sharing" TargetMode="External"/><Relationship Id="rId955" Type="http://schemas.openxmlformats.org/officeDocument/2006/relationships/hyperlink" Target="https://drive.google.com/file/d/1Du74EgNl8mGCLJAHMeK8k5NTcMNtUbJt/view?usp=drive_link" TargetMode="External"/><Relationship Id="rId59" Type="http://schemas.openxmlformats.org/officeDocument/2006/relationships/hyperlink" Target="https://drive.google.com/file/d/1H-vXxQxcyhrSWOIylfZW-ZwPwlhUK8zb/view?usp=sharing" TargetMode="External"/><Relationship Id="rId58" Type="http://schemas.openxmlformats.org/officeDocument/2006/relationships/hyperlink" Target="https://drive.google.com/file/d/1FE_uHZik3h5z-jeG6h2vOcx6Xn2ZaPMj/view?usp=sharing" TargetMode="External"/><Relationship Id="rId950" Type="http://schemas.openxmlformats.org/officeDocument/2006/relationships/hyperlink" Target="https://drive.google.com/file/d/1UTqUXjG4IPV2NzDBP_FlzKtqqjSr2TIV/view?usp=drive_link" TargetMode="External"/><Relationship Id="rId1300" Type="http://schemas.openxmlformats.org/officeDocument/2006/relationships/hyperlink" Target="https://drive.google.com/file/d/1cs_BSZpsy1x8XKPp6WHIrUyHvYM3MkVs/view?usp=drive_link" TargetMode="External"/><Relationship Id="rId590" Type="http://schemas.openxmlformats.org/officeDocument/2006/relationships/hyperlink" Target="https://drive.google.com/file/d/1MEQeM2QY8GBlLDiY_JFd3SGUqS8FXxX-/view?usp=drive_link" TargetMode="External"/><Relationship Id="rId107" Type="http://schemas.openxmlformats.org/officeDocument/2006/relationships/hyperlink" Target="https://drive.google.com/file/d/1HMKGSo53DcotTR61_L_txvFSYXFbiOuH/view?usp=drive_link" TargetMode="External"/><Relationship Id="rId349" Type="http://schemas.openxmlformats.org/officeDocument/2006/relationships/hyperlink" Target="https://drive.google.com/file/d/1jWF6-_Eg4cdseTJSq_EDM_RF1rHoXm9o/view?usp=sharing" TargetMode="External"/><Relationship Id="rId106" Type="http://schemas.openxmlformats.org/officeDocument/2006/relationships/hyperlink" Target="https://drive.google.com/file/d/1sNj-KSGMFkAU-CJg99PkxKAKiFqpraqh/view?usp=drive_link" TargetMode="External"/><Relationship Id="rId348" Type="http://schemas.openxmlformats.org/officeDocument/2006/relationships/hyperlink" Target="https://drive.google.com/file/d/1x3eMyCL6f91Zim3mU7hIR584O4Z0X7x0/view?usp=sharing" TargetMode="External"/><Relationship Id="rId105" Type="http://schemas.openxmlformats.org/officeDocument/2006/relationships/hyperlink" Target="https://drive.google.com/file/d/1B_9J0G2eJNBazI3bpKfKNemqpAxcQN-W/view?usp=drive_link" TargetMode="External"/><Relationship Id="rId347" Type="http://schemas.openxmlformats.org/officeDocument/2006/relationships/hyperlink" Target="https://drive.google.com/file/d/1FETW2l8vAwxGmckzE_R1uCjeWH5ujW4Q/view?usp=sharing" TargetMode="External"/><Relationship Id="rId589" Type="http://schemas.openxmlformats.org/officeDocument/2006/relationships/hyperlink" Target="https://drive.google.com/file/d/1uS_uQ1xO-xAqeapsT79b3imsDaPtmdHt/view?usp=drive_link" TargetMode="External"/><Relationship Id="rId104" Type="http://schemas.openxmlformats.org/officeDocument/2006/relationships/hyperlink" Target="https://drive.google.com/file/d/1gjNt9yUFwezjANfWPeW2e7Cba_syDcZH/view?usp=drive_link" TargetMode="External"/><Relationship Id="rId346" Type="http://schemas.openxmlformats.org/officeDocument/2006/relationships/hyperlink" Target="https://drive.google.com/file/d/1Wtu1UvctlenQ3SCHjfCBssoVFobk2abf/view?usp=sharing" TargetMode="External"/><Relationship Id="rId588" Type="http://schemas.openxmlformats.org/officeDocument/2006/relationships/hyperlink" Target="https://drive.google.com/file/d/1rI-jlUDIFgph8UK92-D4HCVcKslyEMSY/view?usp=drive_link" TargetMode="External"/><Relationship Id="rId109" Type="http://schemas.openxmlformats.org/officeDocument/2006/relationships/hyperlink" Target="https://drive.google.com/file/d/1LERjUaUX2qtIL9APWaVAAq0b6nWHe2wu/view?usp=drive_link" TargetMode="External"/><Relationship Id="rId1170" Type="http://schemas.openxmlformats.org/officeDocument/2006/relationships/hyperlink" Target="https://drive.google.com/file/d/1VtDKtrKNhEjp8Qldu4sWt2OfV95soaK4/view?usp=drive_link" TargetMode="External"/><Relationship Id="rId108" Type="http://schemas.openxmlformats.org/officeDocument/2006/relationships/hyperlink" Target="https://drive.google.com/file/d/18t1QmHoqlSd_OZC2CSDeMgCrLzsphV8h/view?usp=drive_link" TargetMode="External"/><Relationship Id="rId1171" Type="http://schemas.openxmlformats.org/officeDocument/2006/relationships/hyperlink" Target="https://drive.google.com/file/d/1Tm5PFKPJRuBDse6ynA_eqOa9XnO7XV-J/view?usp=drive_link" TargetMode="External"/><Relationship Id="rId341" Type="http://schemas.openxmlformats.org/officeDocument/2006/relationships/hyperlink" Target="https://drive.google.com/file/d/1HFQ7KIORS2Z35oqfqDL2M778xvTi_5MJ/view?usp=sharing" TargetMode="External"/><Relationship Id="rId583" Type="http://schemas.openxmlformats.org/officeDocument/2006/relationships/hyperlink" Target="https://drive.google.com/file/d/1b31ZSimhtppkqt1MC_FhP06Uj3JCCVU_/view?usp=drive_link" TargetMode="External"/><Relationship Id="rId1172" Type="http://schemas.openxmlformats.org/officeDocument/2006/relationships/hyperlink" Target="https://drive.google.com/file/d/1_OEe6_IxkCFHWibV8z4zL2kPMtn4tegH/view?usp=drive_link" TargetMode="External"/><Relationship Id="rId340" Type="http://schemas.openxmlformats.org/officeDocument/2006/relationships/hyperlink" Target="https://drive.google.com/file/d/1714i_GcccZK-1NSOan3O1plXEhMYakLZ/view?usp=sharing" TargetMode="External"/><Relationship Id="rId582" Type="http://schemas.openxmlformats.org/officeDocument/2006/relationships/hyperlink" Target="https://drive.google.com/file/d/1vFZEm7WTvjKVI3jIA1d9LJ4cGSnYGF_l/view?usp=drive_link" TargetMode="External"/><Relationship Id="rId1173" Type="http://schemas.openxmlformats.org/officeDocument/2006/relationships/hyperlink" Target="https://drive.google.com/file/d/1e4xF5vYMCBXMWSngAUa4YhXlpkmJPcne/view?usp=drive_link" TargetMode="External"/><Relationship Id="rId581" Type="http://schemas.openxmlformats.org/officeDocument/2006/relationships/hyperlink" Target="https://drive.google.com/file/d/1Jg9DAC2wnDUiCd0HNiSVnkkSGJV5nw3l/view?usp=drive_link" TargetMode="External"/><Relationship Id="rId1174" Type="http://schemas.openxmlformats.org/officeDocument/2006/relationships/hyperlink" Target="https://drive.google.com/file/d/15OBaiB1Kn-SkEa7UV6NXFYGLxVSBGeN3/view?usp=drive_link" TargetMode="External"/><Relationship Id="rId580" Type="http://schemas.openxmlformats.org/officeDocument/2006/relationships/hyperlink" Target="https://drive.google.com/file/d/19FTXiddQA1FGryJjcywrN8-8okxW5Z9O/view?usp=drive_link" TargetMode="External"/><Relationship Id="rId1175" Type="http://schemas.openxmlformats.org/officeDocument/2006/relationships/hyperlink" Target="https://drive.google.com/file/d/1ILkvw4O82w23m1wEsnaovOKiF9KguSjM/view?usp=drive_link" TargetMode="External"/><Relationship Id="rId103" Type="http://schemas.openxmlformats.org/officeDocument/2006/relationships/hyperlink" Target="https://drive.google.com/file/d/1w7Lb5_tGogEIHwHWkLTXKYpQ8AidebbD/view?usp=drive_link" TargetMode="External"/><Relationship Id="rId345" Type="http://schemas.openxmlformats.org/officeDocument/2006/relationships/hyperlink" Target="https://drive.google.com/file/d/1Xp5rlS4aTto2Rzh7TOz4aQSET_jIHcfg/view?usp=sharing" TargetMode="External"/><Relationship Id="rId587" Type="http://schemas.openxmlformats.org/officeDocument/2006/relationships/hyperlink" Target="https://drive.google.com/file/d/1SldO50DQWjAoTZFtlwb4BaWaq3elXN5G/view?usp=drive_link" TargetMode="External"/><Relationship Id="rId1176" Type="http://schemas.openxmlformats.org/officeDocument/2006/relationships/hyperlink" Target="https://drive.google.com/file/d/1xR-2jr86S5MI80UXs3JVlvI9xwcQjZe-/view?usp=drive_link" TargetMode="External"/><Relationship Id="rId102" Type="http://schemas.openxmlformats.org/officeDocument/2006/relationships/hyperlink" Target="https://drive.google.com/file/d/1xTQRxJxEInPr1FbMTbDJdDpVsEUUfsPR/view?usp=drive_link" TargetMode="External"/><Relationship Id="rId344" Type="http://schemas.openxmlformats.org/officeDocument/2006/relationships/hyperlink" Target="https://drive.google.com/file/d/1JjGRwiPGpX7otDer6-rG6ATZqWvwOUln/view?usp=sharing" TargetMode="External"/><Relationship Id="rId586" Type="http://schemas.openxmlformats.org/officeDocument/2006/relationships/hyperlink" Target="https://drive.google.com/file/d/1qqGHVRNved1hHJnk5iqKMnriOSf1jlPy/view?usp=drive_link" TargetMode="External"/><Relationship Id="rId1177" Type="http://schemas.openxmlformats.org/officeDocument/2006/relationships/hyperlink" Target="https://drive.google.com/file/d/1AaS_A4SR1blejLQb7rvp6EfUfu-rulR2/view?usp=drive_link" TargetMode="External"/><Relationship Id="rId101" Type="http://schemas.openxmlformats.org/officeDocument/2006/relationships/hyperlink" Target="https://drive.google.com/file/d/1kX3fCfFTf1R14g_RTjqjr-jLM_5btUK7/view?usp=drive_link" TargetMode="External"/><Relationship Id="rId343" Type="http://schemas.openxmlformats.org/officeDocument/2006/relationships/hyperlink" Target="https://drive.google.com/file/d/1IrXOaQDu83IbXU1Z3vS2VN7JSYK4-uZ_/view?usp=sharing" TargetMode="External"/><Relationship Id="rId585" Type="http://schemas.openxmlformats.org/officeDocument/2006/relationships/hyperlink" Target="https://drive.google.com/file/d/11spznTd1u_SiOQM8j8a_R85FRb0lflMp/view?usp=drive_link" TargetMode="External"/><Relationship Id="rId1178" Type="http://schemas.openxmlformats.org/officeDocument/2006/relationships/hyperlink" Target="https://drive.google.com/file/d/1Vb4-gWaaXipQtBl18yehuIgbDbc8l2TG/view?usp=drive_link" TargetMode="External"/><Relationship Id="rId100" Type="http://schemas.openxmlformats.org/officeDocument/2006/relationships/hyperlink" Target="https://drive.google.com/file/d/1fokLhQ8vxDrB81eCHof2Rxyt7jCH87MR/view?usp=drive_link" TargetMode="External"/><Relationship Id="rId342" Type="http://schemas.openxmlformats.org/officeDocument/2006/relationships/hyperlink" Target="https://drive.google.com/file/d/1yPQZ1Nokz3ABXkHbEo2BFSjaXfZ6oRgK/view?usp=sharing" TargetMode="External"/><Relationship Id="rId584" Type="http://schemas.openxmlformats.org/officeDocument/2006/relationships/hyperlink" Target="https://drive.google.com/file/d/1NRk0IupkeTK6qvpAiRt11TSFYJ_FKshb/view?usp=drive_link" TargetMode="External"/><Relationship Id="rId1179" Type="http://schemas.openxmlformats.org/officeDocument/2006/relationships/hyperlink" Target="https://drive.google.com/file/d/1QYW-3Gd_TCY_S90sP4twRCGZp8Gz25ai/view?usp=drive_link" TargetMode="External"/><Relationship Id="rId1169" Type="http://schemas.openxmlformats.org/officeDocument/2006/relationships/hyperlink" Target="https://drive.google.com/file/d/1FU6aYt2q5KUM1vawyCC8Ru83dTzr-09l/view?usp=drive_link" TargetMode="External"/><Relationship Id="rId338" Type="http://schemas.openxmlformats.org/officeDocument/2006/relationships/hyperlink" Target="https://drive.google.com/file/d/1xSKUGPBhbbSKh48sO5ClAgbqM6S8Fr0l/view?usp=drive_link" TargetMode="External"/><Relationship Id="rId337" Type="http://schemas.openxmlformats.org/officeDocument/2006/relationships/hyperlink" Target="https://drive.google.com/file/d/106vPPerZHvtfy7AvBHkNgV32_f72Vd9V/view?usp=sharing" TargetMode="External"/><Relationship Id="rId579" Type="http://schemas.openxmlformats.org/officeDocument/2006/relationships/hyperlink" Target="https://drive.google.com/file/d/1D9u2Dq8Y1lTkqShZ5tQRzd0lfaDtKBlb/view?usp=drive_link" TargetMode="External"/><Relationship Id="rId336" Type="http://schemas.openxmlformats.org/officeDocument/2006/relationships/hyperlink" Target="https://drive.google.com/file/d/1I4LakZy-kyJBYlTCq9P57LU3_a_XqExc/view?usp=sharing" TargetMode="External"/><Relationship Id="rId578" Type="http://schemas.openxmlformats.org/officeDocument/2006/relationships/hyperlink" Target="https://drive.google.com/file/d/1MhE7PePN1cFV0d3JQgC2Xzld1Q6W2JKW/view?usp=drive_link" TargetMode="External"/><Relationship Id="rId335" Type="http://schemas.openxmlformats.org/officeDocument/2006/relationships/hyperlink" Target="https://drive.google.com/file/d/1JFLKYNdwut4mGexFgijtRrDAF0TkDodQ/view?usp=sharing" TargetMode="External"/><Relationship Id="rId577" Type="http://schemas.openxmlformats.org/officeDocument/2006/relationships/hyperlink" Target="https://drive.google.com/file/d/19REwezEcOng8I_Xh1mlORGV9Lux8qNpy/view?usp=drive_link" TargetMode="External"/><Relationship Id="rId339" Type="http://schemas.openxmlformats.org/officeDocument/2006/relationships/hyperlink" Target="https://drive.google.com/file/d/1zP34cqfIg-VUHDIFPWeo-fjSmckRhb5b/view?usp=drive_link" TargetMode="External"/><Relationship Id="rId1160" Type="http://schemas.openxmlformats.org/officeDocument/2006/relationships/hyperlink" Target="https://drive.google.com/file/d/16MRA1gJfpAeQ5UbIjF1mjP86WSTomMfb/view?usp=drive_link" TargetMode="External"/><Relationship Id="rId330" Type="http://schemas.openxmlformats.org/officeDocument/2006/relationships/hyperlink" Target="https://drive.google.com/file/d/1Rs4BnKqTmL9DeC4CVUYU5XVuny5YyCF7/view?usp=sharing" TargetMode="External"/><Relationship Id="rId572" Type="http://schemas.openxmlformats.org/officeDocument/2006/relationships/hyperlink" Target="https://drive.google.com/file/d/13nB0V-771dHJAq9HkwLPD3W2a-o21nsn/view?usp=drive_link" TargetMode="External"/><Relationship Id="rId1161" Type="http://schemas.openxmlformats.org/officeDocument/2006/relationships/hyperlink" Target="https://drive.google.com/file/d/1mrPsTZyy6HIbLWGZPmqbjEaCqlLlGeqK/view?usp=sharing" TargetMode="External"/><Relationship Id="rId571" Type="http://schemas.openxmlformats.org/officeDocument/2006/relationships/hyperlink" Target="https://drive.google.com/file/d/1VCSDgdIoeNuZ7Li4lPxgrpNQctzqdjdb/view?usp=drive_link" TargetMode="External"/><Relationship Id="rId1162" Type="http://schemas.openxmlformats.org/officeDocument/2006/relationships/hyperlink" Target="https://drive.google.com/file/d/1S9l9Wjp4J0dbAwXxBRan7Wyes_sw_sAm/view?usp=sharing" TargetMode="External"/><Relationship Id="rId570" Type="http://schemas.openxmlformats.org/officeDocument/2006/relationships/hyperlink" Target="https://drive.google.com/file/d/15yc2w3qCjkF1FNU8LEpD8nQXSQvIb2dH/view?usp=drive_link" TargetMode="External"/><Relationship Id="rId1163" Type="http://schemas.openxmlformats.org/officeDocument/2006/relationships/hyperlink" Target="https://drive.google.com/file/d/15T1-R2uiPPGTtC4Fsi8THZWbZhjYYyWc/view?usp=sharing" TargetMode="External"/><Relationship Id="rId1164" Type="http://schemas.openxmlformats.org/officeDocument/2006/relationships/hyperlink" Target="https://drive.google.com/file/d/1jEa3hweSrXhHKtafpGmwstml8U1QxQaN/view?usp=drive_link" TargetMode="External"/><Relationship Id="rId334" Type="http://schemas.openxmlformats.org/officeDocument/2006/relationships/hyperlink" Target="https://drive.google.com/file/d/1stT-o3gKy6rjfm-Ju-CHW7Fc3W9TRztx/view?usp=sharing" TargetMode="External"/><Relationship Id="rId576" Type="http://schemas.openxmlformats.org/officeDocument/2006/relationships/hyperlink" Target="https://drive.google.com/file/d/1yn_UZpysFRaFx7VKIlBcbHdrMSGPo9mM/view?usp=drive_link" TargetMode="External"/><Relationship Id="rId1165" Type="http://schemas.openxmlformats.org/officeDocument/2006/relationships/hyperlink" Target="https://drive.google.com/file/d/1eKWK8r4n13jKEOB3jc9FJ05kkeDH_E70/view?usp=drive_link" TargetMode="External"/><Relationship Id="rId333" Type="http://schemas.openxmlformats.org/officeDocument/2006/relationships/hyperlink" Target="https://drive.google.com/file/d/1tOpYZiCDJvr1pJ6o3CGvTAVXnow73mMl/view?usp=sharing" TargetMode="External"/><Relationship Id="rId575" Type="http://schemas.openxmlformats.org/officeDocument/2006/relationships/hyperlink" Target="https://drive.google.com/file/d/1QT69uiWN-HG3LyeoWlHh7xwLMWpFbKli/view?usp=drive_link" TargetMode="External"/><Relationship Id="rId1166" Type="http://schemas.openxmlformats.org/officeDocument/2006/relationships/hyperlink" Target="https://drive.google.com/file/d/1vwPkkwrTP5LVHGswbp2jBdOr2MmNA0yL/view?usp=drive_link" TargetMode="External"/><Relationship Id="rId332" Type="http://schemas.openxmlformats.org/officeDocument/2006/relationships/hyperlink" Target="https://drive.google.com/file/d/1GnnKuEe8UPSscQIKB_tFBSps0_ELLgCF/view?usp=sharing" TargetMode="External"/><Relationship Id="rId574" Type="http://schemas.openxmlformats.org/officeDocument/2006/relationships/hyperlink" Target="https://drive.google.com/file/d/1J9sW4UX3xpmUHIuu3sEjHLnoXOSfCY0_/view?usp=drive_link" TargetMode="External"/><Relationship Id="rId1167" Type="http://schemas.openxmlformats.org/officeDocument/2006/relationships/hyperlink" Target="https://drive.google.com/file/d/1a0ZULjhIszEI4jNrFtWPsV9DXG3Imq5U/view?usp=drive_link" TargetMode="External"/><Relationship Id="rId331" Type="http://schemas.openxmlformats.org/officeDocument/2006/relationships/hyperlink" Target="https://drive.google.com/file/d/1nRZjhg0Xtlr2UW3oqWa986lpq8m9B7Mv/view?usp=sharing" TargetMode="External"/><Relationship Id="rId573" Type="http://schemas.openxmlformats.org/officeDocument/2006/relationships/hyperlink" Target="https://drive.google.com/file/d/1o4txOFdsha0GtSSP3WzmRXR7Ydz6C3Wv/view?usp=drive_link" TargetMode="External"/><Relationship Id="rId1168" Type="http://schemas.openxmlformats.org/officeDocument/2006/relationships/hyperlink" Target="https://drive.google.com/file/d/1lHOaXRgbTX-Jcr8TsNZNDXuALYabVEm0/view?usp=drive_link" TargetMode="External"/><Relationship Id="rId370" Type="http://schemas.openxmlformats.org/officeDocument/2006/relationships/hyperlink" Target="https://drive.google.com/file/d/1k88pt_pkexHb-Lcw1A5dSUjmpXrOsjqq/view?usp=sharing" TargetMode="External"/><Relationship Id="rId129" Type="http://schemas.openxmlformats.org/officeDocument/2006/relationships/hyperlink" Target="https://drive.google.com/file/d/1Wx1S_03IWcwTc3RFNY3h9kyR0SFzDann/view?usp=drive_link" TargetMode="External"/><Relationship Id="rId128" Type="http://schemas.openxmlformats.org/officeDocument/2006/relationships/hyperlink" Target="https://drive.google.com/file/d/15cY5k2YQl9dWuwO5Z6fnyBjG7pTyNeQF/view?usp=drive_link" TargetMode="External"/><Relationship Id="rId127" Type="http://schemas.openxmlformats.org/officeDocument/2006/relationships/hyperlink" Target="https://drive.google.com/file/d/1pBoP11FReDTogYPfUkGyChPhnAHIov98/view?usp=drive_link" TargetMode="External"/><Relationship Id="rId369" Type="http://schemas.openxmlformats.org/officeDocument/2006/relationships/hyperlink" Target="https://drive.google.com/file/d/1Umlq2Dkspjrrx8AfPXamnOJnEHQDEmGJ/view?usp=sharing" TargetMode="External"/><Relationship Id="rId126" Type="http://schemas.openxmlformats.org/officeDocument/2006/relationships/hyperlink" Target="https://drive.google.com/file/d/16PkEDFhbOnAsC5sVNqoE-t3uWxsoAKfX/view?usp=drive_link" TargetMode="External"/><Relationship Id="rId368" Type="http://schemas.openxmlformats.org/officeDocument/2006/relationships/hyperlink" Target="https://drive.google.com/file/d/1Wf84zveRTruhas0bd4tndHLZ4O7HuWAk/view?usp=sharing" TargetMode="External"/><Relationship Id="rId1190" Type="http://schemas.openxmlformats.org/officeDocument/2006/relationships/hyperlink" Target="https://drive.google.com/file/d/19p5brlMDxoxRgHLGVMs9oPYsownET4HS/view?usp=drive_link" TargetMode="External"/><Relationship Id="rId1191" Type="http://schemas.openxmlformats.org/officeDocument/2006/relationships/hyperlink" Target="https://drive.google.com/file/d/1TfakksjZUd-Fsg-vdaGZTe71rspA-1eC/view?usp=drive_link" TargetMode="External"/><Relationship Id="rId1192" Type="http://schemas.openxmlformats.org/officeDocument/2006/relationships/hyperlink" Target="https://drive.google.com/file/d/1LSjvWi70uFgzZ3LNarcJoE1EB7ae_zUC/view?usp=drive_link" TargetMode="External"/><Relationship Id="rId1193" Type="http://schemas.openxmlformats.org/officeDocument/2006/relationships/hyperlink" Target="https://drive.google.com/file/d/1xRAbr5biRyFnYsEhffbKR-geFMSvA6I1/view?usp=drive_link" TargetMode="External"/><Relationship Id="rId121" Type="http://schemas.openxmlformats.org/officeDocument/2006/relationships/hyperlink" Target="https://drive.google.com/file/d/1pn0Ojusa95J6ArOvmGjA3sWTvoV3SiH3/view?usp=drive_link" TargetMode="External"/><Relationship Id="rId363" Type="http://schemas.openxmlformats.org/officeDocument/2006/relationships/hyperlink" Target="https://drive.google.com/file/d/1A0Xs7dODH47FDLqQ-C3i1pelBoU4S2Ot/view?usp=sharing" TargetMode="External"/><Relationship Id="rId1194" Type="http://schemas.openxmlformats.org/officeDocument/2006/relationships/hyperlink" Target="https://drive.google.com/file/d/1Qe0nJ329lhepZDXv0bxu8dxnbxzjh2lt/view?usp=drive_link" TargetMode="External"/><Relationship Id="rId120" Type="http://schemas.openxmlformats.org/officeDocument/2006/relationships/hyperlink" Target="https://drive.google.com/file/d/1efRMLDe5E3E2CykSqQHqa0LZSo6_MsT3/view?usp=drive_link" TargetMode="External"/><Relationship Id="rId362" Type="http://schemas.openxmlformats.org/officeDocument/2006/relationships/hyperlink" Target="https://drive.google.com/file/d/1L2h1rB45jR5HTe3rs-S-wlfoREz0Bts2/view?usp=sharing" TargetMode="External"/><Relationship Id="rId1195" Type="http://schemas.openxmlformats.org/officeDocument/2006/relationships/hyperlink" Target="https://drive.google.com/file/d/1QCHHfzU5TRI5WoFYJAAFsRdMhM293b89/view?usp=drive_link" TargetMode="External"/><Relationship Id="rId361" Type="http://schemas.openxmlformats.org/officeDocument/2006/relationships/hyperlink" Target="https://drive.google.com/file/d/1Cbo4Xq5MbHtyK47hKIuHt3pakvfWOyeK/view?usp=sharing" TargetMode="External"/><Relationship Id="rId1196" Type="http://schemas.openxmlformats.org/officeDocument/2006/relationships/hyperlink" Target="https://drive.google.com/file/d/13UiiELKOEzZoDckWjUr5MgWXmMM2QUcY/view?usp=drive_link" TargetMode="External"/><Relationship Id="rId360" Type="http://schemas.openxmlformats.org/officeDocument/2006/relationships/hyperlink" Target="https://drive.google.com/file/d/1zDkAQ82Gd1lcl4xm4iOzvj_EV1XblB4R/view?usp=sharing" TargetMode="External"/><Relationship Id="rId1197" Type="http://schemas.openxmlformats.org/officeDocument/2006/relationships/hyperlink" Target="https://drive.google.com/file/d/1xsU6ZBwolpKBVpVuALjIc8Yeg_2LVMLu/view?usp=drive_link" TargetMode="External"/><Relationship Id="rId125" Type="http://schemas.openxmlformats.org/officeDocument/2006/relationships/hyperlink" Target="https://drive.google.com/file/d/1DG9XuMeLxjJ6FxwBd0hCcH_kxeCW4Cha/view?usp=drive_link" TargetMode="External"/><Relationship Id="rId367" Type="http://schemas.openxmlformats.org/officeDocument/2006/relationships/hyperlink" Target="https://drive.google.com/file/d/1T8NGZYAPttTNU_1CzC08m50KlytsklAW/view?usp=sharing" TargetMode="External"/><Relationship Id="rId1198" Type="http://schemas.openxmlformats.org/officeDocument/2006/relationships/hyperlink" Target="https://drive.google.com/file/d/1ah1HM6sYZaicq7pe2EWHT4tj1MJAYN70/view?usp=drive_link" TargetMode="External"/><Relationship Id="rId124" Type="http://schemas.openxmlformats.org/officeDocument/2006/relationships/hyperlink" Target="https://drive.google.com/file/d/1QcwQ4T4PcP3MstFJMv-oFCXjzG26aGws/view?usp=drive_link" TargetMode="External"/><Relationship Id="rId366" Type="http://schemas.openxmlformats.org/officeDocument/2006/relationships/hyperlink" Target="https://drive.google.com/file/d/17NpawBgS18DKKBAhhoeNUffKgQE9bBAD/view?usp=sharing" TargetMode="External"/><Relationship Id="rId1199" Type="http://schemas.openxmlformats.org/officeDocument/2006/relationships/hyperlink" Target="https://drive.google.com/file/d/1xfKQSO2nQ06YPUNfhgUpymIHwDCq8Qud/view?usp=sharing" TargetMode="External"/><Relationship Id="rId123" Type="http://schemas.openxmlformats.org/officeDocument/2006/relationships/hyperlink" Target="https://drive.google.com/file/d/1tV1sNdFB9KrYzoup4LghQcNdWPGRL2pJ/view?usp=drive_link" TargetMode="External"/><Relationship Id="rId365" Type="http://schemas.openxmlformats.org/officeDocument/2006/relationships/hyperlink" Target="https://drive.google.com/file/d/1zpbELIYtWoM9bS7gv8fVvaCoqz78sM1i/view?usp=sharing" TargetMode="External"/><Relationship Id="rId122" Type="http://schemas.openxmlformats.org/officeDocument/2006/relationships/hyperlink" Target="https://drive.google.com/file/d/11Ad4UmolXGK9O1nfc9lTZdwfq8cQT7Jf/view?usp=drive_link" TargetMode="External"/><Relationship Id="rId364" Type="http://schemas.openxmlformats.org/officeDocument/2006/relationships/hyperlink" Target="https://drive.google.com/file/d/17_XEQW7JstdWllTwJAdsCGFzoBwB-riF/view?usp=sharing" TargetMode="External"/><Relationship Id="rId95" Type="http://schemas.openxmlformats.org/officeDocument/2006/relationships/hyperlink" Target="https://drive.google.com/file/d/1KXSoXF2bwO82vyFeV412YswvnbVaRm6N/view?usp=drive_link" TargetMode="External"/><Relationship Id="rId94" Type="http://schemas.openxmlformats.org/officeDocument/2006/relationships/hyperlink" Target="https://drive.google.com/file/d/1cHA9G0oE6dbI3SLsWg4PTvWA1pEKADXk/view?usp=drive_link" TargetMode="External"/><Relationship Id="rId97" Type="http://schemas.openxmlformats.org/officeDocument/2006/relationships/hyperlink" Target="https://drive.google.com/file/d/1dsH2vpufViYDRqqc5QhrEywuLVk1e8ic/view?usp=drive_link" TargetMode="External"/><Relationship Id="rId96" Type="http://schemas.openxmlformats.org/officeDocument/2006/relationships/hyperlink" Target="https://drive.google.com/file/d/1dQfDxSSIk8yBKNQpQmgUpInzsCIBD5QR/view?usp=drive_link" TargetMode="External"/><Relationship Id="rId99" Type="http://schemas.openxmlformats.org/officeDocument/2006/relationships/hyperlink" Target="https://drive.google.com/file/d/1Z41-kGBq2cMFx_0Rj8d-AwGbUY8FDlyQ/view?usp=drive_link" TargetMode="External"/><Relationship Id="rId98" Type="http://schemas.openxmlformats.org/officeDocument/2006/relationships/hyperlink" Target="https://drive.google.com/file/d/17s_UgMCXc1qVkM3-WfMeybHoncgah4Oj/view?usp=drive_link" TargetMode="External"/><Relationship Id="rId91" Type="http://schemas.openxmlformats.org/officeDocument/2006/relationships/hyperlink" Target="https://drive.google.com/file/d/13SNkOul9_j1BIpJcNS5rj2AkOj3se3GY/view?usp=drive_link" TargetMode="External"/><Relationship Id="rId90" Type="http://schemas.openxmlformats.org/officeDocument/2006/relationships/hyperlink" Target="https://drive.google.com/file/d/1tNxSCgwCxkb6x3Ac7HlHVspG9I6re7j6/view?usp=drive_link" TargetMode="External"/><Relationship Id="rId93" Type="http://schemas.openxmlformats.org/officeDocument/2006/relationships/hyperlink" Target="https://drive.google.com/file/d/1Khf9-3avrSjqQH5a0BKZNmIPojgqBNBP/view?usp=drive_link" TargetMode="External"/><Relationship Id="rId92" Type="http://schemas.openxmlformats.org/officeDocument/2006/relationships/hyperlink" Target="https://drive.google.com/file/d/1Vb00yRUiDzUKQAmXWyLzwQzQt1hNAVgr/view?usp=drive_link" TargetMode="External"/><Relationship Id="rId118" Type="http://schemas.openxmlformats.org/officeDocument/2006/relationships/hyperlink" Target="https://drive.google.com/file/d/1zMXq0wN439CfGEC-m7bdlFkZKMGhgQYS/view?usp=drive_link" TargetMode="External"/><Relationship Id="rId117" Type="http://schemas.openxmlformats.org/officeDocument/2006/relationships/hyperlink" Target="https://drive.google.com/file/d/117jKZl3SUAzLv4mmtmUUWaGsgknYek6H/view?usp=drive_link" TargetMode="External"/><Relationship Id="rId359" Type="http://schemas.openxmlformats.org/officeDocument/2006/relationships/hyperlink" Target="https://drive.google.com/file/d/1PlbtT7a1q2wUP4fmvK9KdGWWkXJyvKRJ/view?usp=sharing" TargetMode="External"/><Relationship Id="rId116" Type="http://schemas.openxmlformats.org/officeDocument/2006/relationships/hyperlink" Target="https://drive.google.com/file/d/1YcRVfd8kiZz5vbc3mNKpvcEWN9bYVAcB/view?usp=drive_link" TargetMode="External"/><Relationship Id="rId358" Type="http://schemas.openxmlformats.org/officeDocument/2006/relationships/hyperlink" Target="https://drive.google.com/file/d/1b3Nm1yVvv0ReRRQG3_OsZEGhNpS82mNm/view?usp=sharing" TargetMode="External"/><Relationship Id="rId115" Type="http://schemas.openxmlformats.org/officeDocument/2006/relationships/hyperlink" Target="https://drive.google.com/file/d/1U3DSI7DRLvMSA_SQqIGG1uLLxeyyVHBf/view?usp=drive_link" TargetMode="External"/><Relationship Id="rId357" Type="http://schemas.openxmlformats.org/officeDocument/2006/relationships/hyperlink" Target="https://drive.google.com/file/d/1vtinbrUCg1CoBKLWK0tX-_1eemPOXziK/view?usp=sharing" TargetMode="External"/><Relationship Id="rId599" Type="http://schemas.openxmlformats.org/officeDocument/2006/relationships/hyperlink" Target="https://drive.google.com/file/d/1F4_ZqSAik-SprK_KDoQo-_iNcr0V5mmU/view?usp=drive_link" TargetMode="External"/><Relationship Id="rId1180" Type="http://schemas.openxmlformats.org/officeDocument/2006/relationships/hyperlink" Target="https://drive.google.com/file/d/1XhAsATQFLRYFDavTjQe_ODC6ObQ7Cstg/view?usp=drive_link" TargetMode="External"/><Relationship Id="rId1181" Type="http://schemas.openxmlformats.org/officeDocument/2006/relationships/hyperlink" Target="https://drive.google.com/file/d/1lPEz2rfF0FCaCCJ8WuyS8p9ZB_wyOjrR/view?usp=drive_link" TargetMode="External"/><Relationship Id="rId119" Type="http://schemas.openxmlformats.org/officeDocument/2006/relationships/hyperlink" Target="https://drive.google.com/file/d/17WpEasEtxR3SNtDl3Iyy8Wi_vFKQJsvC/view?usp=drive_link" TargetMode="External"/><Relationship Id="rId1182" Type="http://schemas.openxmlformats.org/officeDocument/2006/relationships/hyperlink" Target="https://drive.google.com/file/d/1gPFlo2HFIJy1E3tTHCoDTjcJulWF8MHU/view?usp=drive_link" TargetMode="External"/><Relationship Id="rId110" Type="http://schemas.openxmlformats.org/officeDocument/2006/relationships/hyperlink" Target="https://drive.google.com/file/d/1cREgq1blFvro4231AM5fpSwVLjcmhpo6/view?usp=drive_link" TargetMode="External"/><Relationship Id="rId352" Type="http://schemas.openxmlformats.org/officeDocument/2006/relationships/hyperlink" Target="https://drive.google.com/file/d/1ZHdz9Uy9SFLnEKCd0fakM6rRYZ8WnlWg/view?usp=sharing" TargetMode="External"/><Relationship Id="rId594" Type="http://schemas.openxmlformats.org/officeDocument/2006/relationships/hyperlink" Target="https://drive.google.com/file/d/1dXbEsA54rlVAlgp29RxC3zMlUv2d1eMX/view?usp=drive_link" TargetMode="External"/><Relationship Id="rId1183" Type="http://schemas.openxmlformats.org/officeDocument/2006/relationships/hyperlink" Target="https://drive.google.com/file/d/16Bhp_oy_XsANyIR7plsfmWvHO76tfq8f/view?usp=drive_link" TargetMode="External"/><Relationship Id="rId351" Type="http://schemas.openxmlformats.org/officeDocument/2006/relationships/hyperlink" Target="https://drive.google.com/file/d/11cHQ2QtzbIxV6vYLtCi-xWNd3EkaiA-X/view?usp=sharing" TargetMode="External"/><Relationship Id="rId593" Type="http://schemas.openxmlformats.org/officeDocument/2006/relationships/hyperlink" Target="https://drive.google.com/file/d/1YgifbP8OaU49FvE_UGEkD00Vwrs9pVna/view?usp=drive_link" TargetMode="External"/><Relationship Id="rId1184" Type="http://schemas.openxmlformats.org/officeDocument/2006/relationships/hyperlink" Target="https://drive.google.com/file/d/1N_a-29SSFz0gy1EZOkI5Lqk9i2O2Hb4x/view?usp=drive_link" TargetMode="External"/><Relationship Id="rId350" Type="http://schemas.openxmlformats.org/officeDocument/2006/relationships/hyperlink" Target="https://drive.google.com/file/d/10FyozQaKhDGOmSWtu1pGlbCV1TKpRbYV/view?usp=sharing" TargetMode="External"/><Relationship Id="rId592" Type="http://schemas.openxmlformats.org/officeDocument/2006/relationships/hyperlink" Target="https://drive.google.com/file/d/1iGlol4sFtW00dONYGQySNc-Wz7nSezSM/view?usp=drive_link" TargetMode="External"/><Relationship Id="rId1185" Type="http://schemas.openxmlformats.org/officeDocument/2006/relationships/hyperlink" Target="https://drive.google.com/file/d/1qebVtgneMP4YJfx2D3YW2BmDnzMZn44D/view?usp=drive_link" TargetMode="External"/><Relationship Id="rId591" Type="http://schemas.openxmlformats.org/officeDocument/2006/relationships/hyperlink" Target="https://drive.google.com/file/d/1WSZpDqdyPCpYYZxUf1TJDNUDNdlmnGL4/view?usp=drive_link" TargetMode="External"/><Relationship Id="rId1186" Type="http://schemas.openxmlformats.org/officeDocument/2006/relationships/hyperlink" Target="https://drive.google.com/file/d/1Kv8_QWODIXfLcnvg54M3nER7fQgY2kM_/view?usp=drive_link" TargetMode="External"/><Relationship Id="rId114" Type="http://schemas.openxmlformats.org/officeDocument/2006/relationships/hyperlink" Target="https://drive.google.com/file/d/1Hw-nNxE4xhTx5jAbbNKlg1WW8J-xIX8n/view?usp=drive_link" TargetMode="External"/><Relationship Id="rId356" Type="http://schemas.openxmlformats.org/officeDocument/2006/relationships/hyperlink" Target="https://drive.google.com/file/d/189i0o_6mk-hwW5Qijt122mUNxoHnG--g/view?usp=sharing" TargetMode="External"/><Relationship Id="rId598" Type="http://schemas.openxmlformats.org/officeDocument/2006/relationships/hyperlink" Target="https://drive.google.com/file/d/1m3Oofuyl_dhFasWRiIWx8FJGq_7sOFVF/view?usp=drive_link" TargetMode="External"/><Relationship Id="rId1187" Type="http://schemas.openxmlformats.org/officeDocument/2006/relationships/hyperlink" Target="https://drive.google.com/file/d/1d0KC83HeQnTftQ8prAnJRMLKzdnFAsEi/view?usp=drive_link" TargetMode="External"/><Relationship Id="rId113" Type="http://schemas.openxmlformats.org/officeDocument/2006/relationships/hyperlink" Target="https://drive.google.com/file/d/1tqvGmJ-xrRzGoB5kW3QfFyAKkXnro7jm/view?usp=drive_link" TargetMode="External"/><Relationship Id="rId355" Type="http://schemas.openxmlformats.org/officeDocument/2006/relationships/hyperlink" Target="https://drive.google.com/file/d/1OE3rP0kqpliBkPcrv7bII2f7-wzwDO9W/view?usp=sharing" TargetMode="External"/><Relationship Id="rId597" Type="http://schemas.openxmlformats.org/officeDocument/2006/relationships/hyperlink" Target="https://drive.google.com/file/d/1RPGhF1BELTbx_uNwNpJBeMa7Ja7MZzHS/view?usp=drive_link" TargetMode="External"/><Relationship Id="rId1188" Type="http://schemas.openxmlformats.org/officeDocument/2006/relationships/hyperlink" Target="https://drive.google.com/file/d/1KykUBpDgvuPUKd3XQhgyl-LHbKpDwXt9/view?usp=drive_link" TargetMode="External"/><Relationship Id="rId112" Type="http://schemas.openxmlformats.org/officeDocument/2006/relationships/hyperlink" Target="https://drive.google.com/file/d/1JtcUUVVCKh-Jp956xo1KI5UA2QnjGA32/view?usp=drive_link" TargetMode="External"/><Relationship Id="rId354" Type="http://schemas.openxmlformats.org/officeDocument/2006/relationships/hyperlink" Target="https://drive.google.com/file/d/1ZvLlYGDDcy4pJURWL_oG4tLNkeifHpSf/view?usp=sharing" TargetMode="External"/><Relationship Id="rId596" Type="http://schemas.openxmlformats.org/officeDocument/2006/relationships/hyperlink" Target="https://drive.google.com/file/d/1Di4gB5WuT3uWFhxuIfaaKG1mZRSXX-E-/view?usp=drive_link" TargetMode="External"/><Relationship Id="rId1189" Type="http://schemas.openxmlformats.org/officeDocument/2006/relationships/hyperlink" Target="https://drive.google.com/file/d/1WsoNwdLHECWFqS-I_ittI96_fiUoa1bQ/view?usp=drive_link" TargetMode="External"/><Relationship Id="rId111" Type="http://schemas.openxmlformats.org/officeDocument/2006/relationships/hyperlink" Target="https://drive.google.com/file/d/1XUGdveOQYYvSRnpgkx9aiz7eVDTEUE7J/view?usp=drive_link" TargetMode="External"/><Relationship Id="rId353" Type="http://schemas.openxmlformats.org/officeDocument/2006/relationships/hyperlink" Target="https://drive.google.com/file/d/1QGWKrQiYKiaMKquK_yxp-_YdqO99PZTi/view?usp=sharing" TargetMode="External"/><Relationship Id="rId595" Type="http://schemas.openxmlformats.org/officeDocument/2006/relationships/hyperlink" Target="https://drive.google.com/file/d/1cD_EOBS4mw8m1nm0Q6jxOI3TLZM23U_q/view?usp=drive_link" TargetMode="External"/><Relationship Id="rId1136" Type="http://schemas.openxmlformats.org/officeDocument/2006/relationships/hyperlink" Target="https://drive.google.com/file/d/1TyJkXJ8Gs7mDunzCCzGLSNiseKStX-Es/view?usp=sharing" TargetMode="External"/><Relationship Id="rId1378" Type="http://schemas.openxmlformats.org/officeDocument/2006/relationships/hyperlink" Target="https://drive.google.com/file/d/1W7arwALlLsFibIa5df6yBcBbvEgDzxsz/view?usp=drive_link" TargetMode="External"/><Relationship Id="rId1137" Type="http://schemas.openxmlformats.org/officeDocument/2006/relationships/hyperlink" Target="https://drive.google.com/file/d/15CrQnHwINwYTHjCXKXZXXKZhhumLRgaP/view?usp=sharing" TargetMode="External"/><Relationship Id="rId1379" Type="http://schemas.openxmlformats.org/officeDocument/2006/relationships/hyperlink" Target="https://drive.google.com/file/d/1yKkEC9K5c2Bv9bYowSjlm8w5Y3JQOJ05/view?usp=drive_link" TargetMode="External"/><Relationship Id="rId1138" Type="http://schemas.openxmlformats.org/officeDocument/2006/relationships/hyperlink" Target="https://drive.google.com/file/d/1szSbryKl_mJdkU7uj_D2Y78vBR5N4uLL/view?usp=sharing" TargetMode="External"/><Relationship Id="rId1139" Type="http://schemas.openxmlformats.org/officeDocument/2006/relationships/hyperlink" Target="https://drive.google.com/file/d/1I0on59QslueRrSdDBtLTnE_xfixM2oYO/view?usp=drive_link" TargetMode="External"/><Relationship Id="rId305" Type="http://schemas.openxmlformats.org/officeDocument/2006/relationships/hyperlink" Target="https://drive.google.com/file/d/1DjskE4PLY3JN1VpdgI06gzIqx2dPErBM/view?usp=drive_link" TargetMode="External"/><Relationship Id="rId547" Type="http://schemas.openxmlformats.org/officeDocument/2006/relationships/hyperlink" Target="https://drive.google.com/file/d/1af6UBmizFy8G4KQKh7qXfCaMgQdtezec/view?usp=drive_link" TargetMode="External"/><Relationship Id="rId789" Type="http://schemas.openxmlformats.org/officeDocument/2006/relationships/hyperlink" Target="https://drive.google.com/file/d/136jsJkwuyiFKHzYfMRokmHAQPMLqYtZq/view?usp=sharing" TargetMode="External"/><Relationship Id="rId304" Type="http://schemas.openxmlformats.org/officeDocument/2006/relationships/hyperlink" Target="https://drive.google.com/file/d/1Rrte46fl-qMWb8P8C8coOklqAolodfZ3/view?usp=drive_link" TargetMode="External"/><Relationship Id="rId546" Type="http://schemas.openxmlformats.org/officeDocument/2006/relationships/hyperlink" Target="https://drive.google.com/file/d/1r71SaT3l6K9ktHK6jYt14mJqK-vfSVJn/view?usp=drive_link" TargetMode="External"/><Relationship Id="rId788" Type="http://schemas.openxmlformats.org/officeDocument/2006/relationships/hyperlink" Target="https://drive.google.com/file/d/1WoXqXdepFmz4V0lMWfu18VhDJ095TvEW/view?usp=sharing" TargetMode="External"/><Relationship Id="rId303" Type="http://schemas.openxmlformats.org/officeDocument/2006/relationships/hyperlink" Target="https://drive.google.com/file/d/1llA45t8_-_13XKZkNL_AowWldm9s6cep/view?usp=drive_link" TargetMode="External"/><Relationship Id="rId545" Type="http://schemas.openxmlformats.org/officeDocument/2006/relationships/hyperlink" Target="https://drive.google.com/file/d/1D0qnFxGII8Xm20yxqD3fPzlIqDwKLXT3/view?usp=drive_link" TargetMode="External"/><Relationship Id="rId787" Type="http://schemas.openxmlformats.org/officeDocument/2006/relationships/hyperlink" Target="https://drive.google.com/file/d/11fCTINJWLakVTPbOpiIycprDPQt3aWsp/view?usp=sharing" TargetMode="External"/><Relationship Id="rId302" Type="http://schemas.openxmlformats.org/officeDocument/2006/relationships/hyperlink" Target="https://drive.google.com/file/d/1lsNYwxy6g0vIrXNjGzoD8JReFb7Q3dBe/view?usp=drive_link" TargetMode="External"/><Relationship Id="rId544" Type="http://schemas.openxmlformats.org/officeDocument/2006/relationships/hyperlink" Target="https://drive.google.com/file/d/1-Q2FmADB_1mBHp584YYXdtOFHKIgjzk3/view?usp=drive_link" TargetMode="External"/><Relationship Id="rId786" Type="http://schemas.openxmlformats.org/officeDocument/2006/relationships/hyperlink" Target="https://drive.google.com/file/d/1IbWgm9k1Z4uPuo12AHjyi_JTwtOsB7UF/view?usp=sharing" TargetMode="External"/><Relationship Id="rId309" Type="http://schemas.openxmlformats.org/officeDocument/2006/relationships/hyperlink" Target="https://drive.google.com/file/d/1I4d0n4KlUj5cqIcyiDX7DeWlX3-4cvYR/view?usp=drive_link" TargetMode="External"/><Relationship Id="rId308" Type="http://schemas.openxmlformats.org/officeDocument/2006/relationships/hyperlink" Target="https://drive.google.com/file/d/1bPlAOYnxJH2Ai14pQg4lb1v-0AWnJzdu/view?usp=drive_link" TargetMode="External"/><Relationship Id="rId307" Type="http://schemas.openxmlformats.org/officeDocument/2006/relationships/hyperlink" Target="https://drive.google.com/file/d/1oKpJI1sXThJGUtYDi__8MW7pEkKDALgh/view?usp=drive_link" TargetMode="External"/><Relationship Id="rId549" Type="http://schemas.openxmlformats.org/officeDocument/2006/relationships/hyperlink" Target="https://drive.google.com/file/d/1ELQ-Jjsl17HKxMraI97MCAssTYR1EgaQ/view?usp=drive_link" TargetMode="External"/><Relationship Id="rId306" Type="http://schemas.openxmlformats.org/officeDocument/2006/relationships/hyperlink" Target="https://drive.google.com/file/d/107nbNBHKpUSWJfZz95X0edQiKBjRxMyT/view?usp=drive_link" TargetMode="External"/><Relationship Id="rId548" Type="http://schemas.openxmlformats.org/officeDocument/2006/relationships/hyperlink" Target="https://drive.google.com/file/d/140t0sVyUcNne6Ht5IJ3JVgXITDfv-mMq/view?usp=drive_link" TargetMode="External"/><Relationship Id="rId781" Type="http://schemas.openxmlformats.org/officeDocument/2006/relationships/hyperlink" Target="https://drive.google.com/file/d/1bXb5ibLYHwDC9yjMYQGUMglp14xX--Br/view?usp=sharing" TargetMode="External"/><Relationship Id="rId1370" Type="http://schemas.openxmlformats.org/officeDocument/2006/relationships/hyperlink" Target="https://drive.google.com/file/d/10TVDm5UKd0EyIlRXem2l-fAST06phI_S/view?usp=drive_link" TargetMode="External"/><Relationship Id="rId780" Type="http://schemas.openxmlformats.org/officeDocument/2006/relationships/hyperlink" Target="https://drive.google.com/file/d/1F6x2c6CKN3gVHe5cmePMfh_2WXhAKQBA/view?usp=sharing" TargetMode="External"/><Relationship Id="rId1371" Type="http://schemas.openxmlformats.org/officeDocument/2006/relationships/hyperlink" Target="https://drive.google.com/file/d/11e7uoNXMIXIBVuhFjSRab5twK7Jv3oo_/view?usp=drive_link" TargetMode="External"/><Relationship Id="rId1130" Type="http://schemas.openxmlformats.org/officeDocument/2006/relationships/hyperlink" Target="https://drive.google.com/file/d/1nzoMkfOVzJlZd9RamqDARvVhCK-qKK-F/view?usp=sharing" TargetMode="External"/><Relationship Id="rId1372" Type="http://schemas.openxmlformats.org/officeDocument/2006/relationships/hyperlink" Target="https://drive.google.com/file/d/11IoUSDfh7JvvIYYBMY6-vNxJ5gQSxRYh/view?usp=drive_link" TargetMode="External"/><Relationship Id="rId1131" Type="http://schemas.openxmlformats.org/officeDocument/2006/relationships/hyperlink" Target="https://drive.google.com/file/d/1mmgeRIeauIya1b0gcsCBHxp7dQ0WbGht/view?usp=sharing" TargetMode="External"/><Relationship Id="rId1373" Type="http://schemas.openxmlformats.org/officeDocument/2006/relationships/hyperlink" Target="https://drive.google.com/file/d/1m98Fwfl-8qEC-KIzliXE8PumbblIiX_d/view?usp=drive_link" TargetMode="External"/><Relationship Id="rId301" Type="http://schemas.openxmlformats.org/officeDocument/2006/relationships/hyperlink" Target="https://drive.google.com/file/d/1iBG6E9hOAsyYl2hQ6DZ1fJiASWePokm_/view?usp=drive_link" TargetMode="External"/><Relationship Id="rId543" Type="http://schemas.openxmlformats.org/officeDocument/2006/relationships/hyperlink" Target="https://drive.google.com/file/d/1ImiinMJdxcC4DS5vs7on3y8l1vRX8Ejs/view?usp=drive_link" TargetMode="External"/><Relationship Id="rId785" Type="http://schemas.openxmlformats.org/officeDocument/2006/relationships/hyperlink" Target="https://drive.google.com/file/d/1vHtdE4FepANT8S8W77NwT73XLEStayWB/view?usp=sharing" TargetMode="External"/><Relationship Id="rId1132" Type="http://schemas.openxmlformats.org/officeDocument/2006/relationships/hyperlink" Target="https://drive.google.com/file/d/1LDizQBC1RMm7Z0kENVb42Sniqe2J9XA1/view?usp=sharing" TargetMode="External"/><Relationship Id="rId1374" Type="http://schemas.openxmlformats.org/officeDocument/2006/relationships/hyperlink" Target="https://drive.google.com/file/d/1gp1Sry-7l6WrcNbsPxwTFh7qG0ungvuD/view?usp=drive_link" TargetMode="External"/><Relationship Id="rId300" Type="http://schemas.openxmlformats.org/officeDocument/2006/relationships/hyperlink" Target="https://drive.google.com/file/d/1C_8NOHp_rzGEbbuR6xo8Z-GzEodsQoeL/view?usp=drive_link" TargetMode="External"/><Relationship Id="rId542" Type="http://schemas.openxmlformats.org/officeDocument/2006/relationships/hyperlink" Target="https://drive.google.com/file/d/1fLkvx1egm5sTyFG3R_1H1mTbaMO8UOUM/view?usp=drive_link" TargetMode="External"/><Relationship Id="rId784" Type="http://schemas.openxmlformats.org/officeDocument/2006/relationships/hyperlink" Target="https://drive.google.com/file/d/1yjsRjkLpdrWimxSPG9mXZDHlnAkmMX1f/view?usp=sharing" TargetMode="External"/><Relationship Id="rId1133" Type="http://schemas.openxmlformats.org/officeDocument/2006/relationships/hyperlink" Target="https://drive.google.com/file/d/1Mkt8YgdkQRwO64oR6je3YR-QZUVJfIfg/view?usp=sharing" TargetMode="External"/><Relationship Id="rId1375" Type="http://schemas.openxmlformats.org/officeDocument/2006/relationships/hyperlink" Target="https://drive.google.com/file/d/1xBhMydJFy33VbHpXCTFxdBPUBptgrfMM/view?usp=drive_link" TargetMode="External"/><Relationship Id="rId541" Type="http://schemas.openxmlformats.org/officeDocument/2006/relationships/hyperlink" Target="https://drive.google.com/file/d/1rd0fg08le-UKoiBoBkaVuk1NWf3pPVEZ/view?usp=drive_link" TargetMode="External"/><Relationship Id="rId783" Type="http://schemas.openxmlformats.org/officeDocument/2006/relationships/hyperlink" Target="https://drive.google.com/file/d/1o-HMHwrqT3tHcRCGByEYp8wsoErJhU_P/view?usp=sharing" TargetMode="External"/><Relationship Id="rId1134" Type="http://schemas.openxmlformats.org/officeDocument/2006/relationships/hyperlink" Target="https://drive.google.com/file/d/1HYpKaENuap47KtjmsClmo9SPyd7ET3YS/view?usp=sharing" TargetMode="External"/><Relationship Id="rId1376" Type="http://schemas.openxmlformats.org/officeDocument/2006/relationships/hyperlink" Target="https://drive.google.com/file/d/159g6qW_gwjyGGOd8lu65oTDeNVLUM9Rv/view?usp=drive_link" TargetMode="External"/><Relationship Id="rId540" Type="http://schemas.openxmlformats.org/officeDocument/2006/relationships/hyperlink" Target="https://drive.google.com/file/d/1pvUeVp9flKekP0pnCyMI7Vx3dt19PFoS/view?usp=drive_link" TargetMode="External"/><Relationship Id="rId782" Type="http://schemas.openxmlformats.org/officeDocument/2006/relationships/hyperlink" Target="https://drive.google.com/file/d/1QQCWJ5xV5y2dEtpAHswFVSgnksaRKFcQ/view?usp=sharing" TargetMode="External"/><Relationship Id="rId1135" Type="http://schemas.openxmlformats.org/officeDocument/2006/relationships/hyperlink" Target="https://drive.google.com/file/d/15dkgVQE9Wd44N_6LmE_jBN3sviRGrsTu/view?usp=sharing" TargetMode="External"/><Relationship Id="rId1377" Type="http://schemas.openxmlformats.org/officeDocument/2006/relationships/hyperlink" Target="https://drive.google.com/file/d/14NM-_qASiFXNdjqLJtIn4F_I2J6yqr7n/view?usp=drive_link" TargetMode="External"/><Relationship Id="rId1125" Type="http://schemas.openxmlformats.org/officeDocument/2006/relationships/hyperlink" Target="https://drive.google.com/file/d/18RYo8PdgO9iA4b9SDmhqqxZH2BS5OY40/view?usp=sharing" TargetMode="External"/><Relationship Id="rId1367" Type="http://schemas.openxmlformats.org/officeDocument/2006/relationships/hyperlink" Target="https://drive.google.com/file/d/1fGY8msFXPmKLXkMy87--6ywuYkxICjLh/view?usp=drive_link" TargetMode="External"/><Relationship Id="rId1126" Type="http://schemas.openxmlformats.org/officeDocument/2006/relationships/hyperlink" Target="https://drive.google.com/file/d/1UwnWsTADkuO5NPMaD39fnBTXpYUK6ym-/view?usp=sharing" TargetMode="External"/><Relationship Id="rId1368" Type="http://schemas.openxmlformats.org/officeDocument/2006/relationships/hyperlink" Target="https://drive.google.com/file/d/1iEjIaWkem1tYXkwwEZ_NlgvGOmzsSTqn/view?usp=drive_link" TargetMode="External"/><Relationship Id="rId1127" Type="http://schemas.openxmlformats.org/officeDocument/2006/relationships/hyperlink" Target="https://drive.google.com/file/d/1MVSkQAB9iMDNoS0IKhFUu_YmzFfvi7Sw/view?usp=sharing" TargetMode="External"/><Relationship Id="rId1369" Type="http://schemas.openxmlformats.org/officeDocument/2006/relationships/hyperlink" Target="https://drive.google.com/file/d/1a0sFa5VOu_bmLFxPDIf-4uSe_Rfls9zi/view?usp=drive_link" TargetMode="External"/><Relationship Id="rId1128" Type="http://schemas.openxmlformats.org/officeDocument/2006/relationships/hyperlink" Target="https://drive.google.com/file/d/1bn3MaN2Q-_gcXOX6i38Lff-172aBFMPb/view?usp=sharing" TargetMode="External"/><Relationship Id="rId1129" Type="http://schemas.openxmlformats.org/officeDocument/2006/relationships/hyperlink" Target="https://drive.google.com/file/d/1voFLojoQICy4rSa3XnKhwOz6Jy0RlAod/view?usp=sharing" TargetMode="External"/><Relationship Id="rId536" Type="http://schemas.openxmlformats.org/officeDocument/2006/relationships/hyperlink" Target="https://drive.google.com/file/d/1ohjvDaq4u8iYsyr_oewj_jsvBznLIeD7/view?usp=drive_link" TargetMode="External"/><Relationship Id="rId778" Type="http://schemas.openxmlformats.org/officeDocument/2006/relationships/hyperlink" Target="https://drive.google.com/file/d/1J-L_hNM7uGBL2dOZJRNwvAAVm__PxN9z/view?usp=sharing" TargetMode="External"/><Relationship Id="rId535" Type="http://schemas.openxmlformats.org/officeDocument/2006/relationships/hyperlink" Target="https://drive.google.com/file/d/1602ACHyV3ohnVv8V_C8U7z-je2xQ1qws/view?usp=drive_link" TargetMode="External"/><Relationship Id="rId777" Type="http://schemas.openxmlformats.org/officeDocument/2006/relationships/hyperlink" Target="https://drive.google.com/file/d/1RCQHHTzkjznPvkeNj27LWGlI6gJwgLo4/view?usp=sharing" TargetMode="External"/><Relationship Id="rId534" Type="http://schemas.openxmlformats.org/officeDocument/2006/relationships/hyperlink" Target="https://drive.google.com/file/d/1ClclRV0W1RF1qVE_s9EooOTh7y31D7bh/view?usp=drive_link" TargetMode="External"/><Relationship Id="rId776" Type="http://schemas.openxmlformats.org/officeDocument/2006/relationships/hyperlink" Target="https://drive.google.com/file/d/1NkPTZavfqY7yLLxV8vtlTi3KT_TuWipt/view?usp=sharing" TargetMode="External"/><Relationship Id="rId533" Type="http://schemas.openxmlformats.org/officeDocument/2006/relationships/hyperlink" Target="https://drive.google.com/file/d/1l3ZZ5fe4HOYfSB1mMW3VDqFrLvqqtXdO/view?usp=drive_link" TargetMode="External"/><Relationship Id="rId775" Type="http://schemas.openxmlformats.org/officeDocument/2006/relationships/hyperlink" Target="https://drive.google.com/file/d/1z4USzlWqAHT9eW7PD2vKRbZArDPiCAqw/view?usp=sharing" TargetMode="External"/><Relationship Id="rId539" Type="http://schemas.openxmlformats.org/officeDocument/2006/relationships/hyperlink" Target="https://drive.google.com/file/d/1rARDyyWK-3_wLKNY32TyH3CA30kIyfD8/view?usp=drive_link" TargetMode="External"/><Relationship Id="rId538" Type="http://schemas.openxmlformats.org/officeDocument/2006/relationships/hyperlink" Target="https://drive.google.com/file/d/1VcnLvuLseuniS2GWFP4H1z4SdEr2KjCM/view?usp=drive_link" TargetMode="External"/><Relationship Id="rId537" Type="http://schemas.openxmlformats.org/officeDocument/2006/relationships/hyperlink" Target="https://drive.google.com/file/d/1r7gCkQuQbRwYPDMDS2E1xKgap7pSCjjZ/view?usp=drive_link" TargetMode="External"/><Relationship Id="rId779" Type="http://schemas.openxmlformats.org/officeDocument/2006/relationships/hyperlink" Target="https://drive.google.com/file/d/1eISiR2P9If7m2DC4dsGPXcsISjO_LByC/view?usp=sharing" TargetMode="External"/><Relationship Id="rId770" Type="http://schemas.openxmlformats.org/officeDocument/2006/relationships/hyperlink" Target="https://drive.google.com/file/d/1ALxAiqzXHvJ3InHy3zW7fHnmWh5I13mi/view?usp=sharing" TargetMode="External"/><Relationship Id="rId1360" Type="http://schemas.openxmlformats.org/officeDocument/2006/relationships/hyperlink" Target="https://drive.google.com/file/d/1mANKbObpsUlcEbVt9PUrKMmAdqWvgQiq/view?usp=drive_link" TargetMode="External"/><Relationship Id="rId1361" Type="http://schemas.openxmlformats.org/officeDocument/2006/relationships/hyperlink" Target="https://drive.google.com/file/d/1AihAscUqXkbnSL8igNe4uBEq8xJ0RyU5/view?usp=drive_link" TargetMode="External"/><Relationship Id="rId1120" Type="http://schemas.openxmlformats.org/officeDocument/2006/relationships/hyperlink" Target="https://drive.google.com/file/d/1U4b9mE5BvT69D8SGSteiy4CjHvxtRcVl/view?usp=sharing" TargetMode="External"/><Relationship Id="rId1362" Type="http://schemas.openxmlformats.org/officeDocument/2006/relationships/hyperlink" Target="https://drive.google.com/file/d/1YvKJF5Dm6Gu7oZGA00Sx51_xgyrfX8xZ/view?usp=drive_link" TargetMode="External"/><Relationship Id="rId532" Type="http://schemas.openxmlformats.org/officeDocument/2006/relationships/hyperlink" Target="https://drive.google.com/file/d/16Et8ZjRk4cPG9zcdvXHB6Mo1c0stIR7D/view?usp=drive_link" TargetMode="External"/><Relationship Id="rId774" Type="http://schemas.openxmlformats.org/officeDocument/2006/relationships/hyperlink" Target="https://drive.google.com/file/d/1mQgePZkvaCkTP8aNjdSI7sdCqwN7OD_d/view?usp=sharing" TargetMode="External"/><Relationship Id="rId1121" Type="http://schemas.openxmlformats.org/officeDocument/2006/relationships/hyperlink" Target="https://drive.google.com/file/d/11x5GEHnXxj8wEAqeOSc2ECBbAj8JJzNB/view?usp=sharing" TargetMode="External"/><Relationship Id="rId1363" Type="http://schemas.openxmlformats.org/officeDocument/2006/relationships/hyperlink" Target="https://drive.google.com/file/d/13AE_qfNBbKC61oZMwFjmtoKKkGmamDNw/view?usp=drive_link" TargetMode="External"/><Relationship Id="rId531" Type="http://schemas.openxmlformats.org/officeDocument/2006/relationships/hyperlink" Target="https://drive.google.com/file/d/163WuKzvJaBhVq8CeetEM1h9XFbVLxjpB/view?usp=drive_link" TargetMode="External"/><Relationship Id="rId773" Type="http://schemas.openxmlformats.org/officeDocument/2006/relationships/hyperlink" Target="https://drive.google.com/file/d/18UpsxHJXphSvUQ600K97tHtFV-vGlj0c/view?usp=sharing" TargetMode="External"/><Relationship Id="rId1122" Type="http://schemas.openxmlformats.org/officeDocument/2006/relationships/hyperlink" Target="https://drive.google.com/file/d/1Ukx1mdzT2E6lChYVv3bJRXkROs0YOuAP/view?usp=sharing" TargetMode="External"/><Relationship Id="rId1364" Type="http://schemas.openxmlformats.org/officeDocument/2006/relationships/hyperlink" Target="https://drive.google.com/file/d/1Orbb2GavccyIbnUhHGy7ei-NP3ZIcUNi/view?usp=drive_link" TargetMode="External"/><Relationship Id="rId530" Type="http://schemas.openxmlformats.org/officeDocument/2006/relationships/hyperlink" Target="https://drive.google.com/file/d/1LEhjzsT4FMamUlARt02HjoiaJEwb70Jn/view?usp=drive_link" TargetMode="External"/><Relationship Id="rId772" Type="http://schemas.openxmlformats.org/officeDocument/2006/relationships/hyperlink" Target="https://drive.google.com/file/d/1_dj_bSI6OYnWfRIP5rpJP0KPtpBGxL51/view?usp=sharing" TargetMode="External"/><Relationship Id="rId1123" Type="http://schemas.openxmlformats.org/officeDocument/2006/relationships/hyperlink" Target="https://drive.google.com/file/d/1GL5oZiUqJF8AGxJj2UkBxsuy2gWDde-b/view?usp=sharing" TargetMode="External"/><Relationship Id="rId1365" Type="http://schemas.openxmlformats.org/officeDocument/2006/relationships/hyperlink" Target="https://drive.google.com/file/d/1t52Zq28Qb01aOE26G1-_8mSLzA_aa8TE/view?usp=drive_link" TargetMode="External"/><Relationship Id="rId771" Type="http://schemas.openxmlformats.org/officeDocument/2006/relationships/hyperlink" Target="https://drive.google.com/file/d/1zzVBzcA94UH5n4mRfZkBD48_R-liDo5R/view?usp=sharing" TargetMode="External"/><Relationship Id="rId1124" Type="http://schemas.openxmlformats.org/officeDocument/2006/relationships/hyperlink" Target="https://drive.google.com/file/d/1G7lYBaIBzJT9AcbmClShOc8Z1dIAqbmf/view?usp=sharing" TargetMode="External"/><Relationship Id="rId1366" Type="http://schemas.openxmlformats.org/officeDocument/2006/relationships/hyperlink" Target="https://drive.google.com/file/d/1MC7yBXzYlWAi-DvE171PaLgSe6gKva_b/view?usp=drive_link" TargetMode="External"/><Relationship Id="rId1158" Type="http://schemas.openxmlformats.org/officeDocument/2006/relationships/hyperlink" Target="https://drive.google.com/file/d/13WppzTI2CFPv4QwZw1vd384c1jP4ru9t/view?usp=drive_link" TargetMode="External"/><Relationship Id="rId1159" Type="http://schemas.openxmlformats.org/officeDocument/2006/relationships/hyperlink" Target="https://drive.google.com/file/d/19DaVX5lozH4FtMGwIJFsZrJkZV4yFb3T/view?usp=drive_link" TargetMode="External"/><Relationship Id="rId327" Type="http://schemas.openxmlformats.org/officeDocument/2006/relationships/hyperlink" Target="https://drive.google.com/file/d/12JlPOQLmm3E2mV6qnWhpKOtwz2SNpxo6/view?usp=drive_link" TargetMode="External"/><Relationship Id="rId569" Type="http://schemas.openxmlformats.org/officeDocument/2006/relationships/hyperlink" Target="https://drive.google.com/file/d/10wEkAbl8DNM43_ybREMCjJ-6xSPrcSPS/view?usp=drive_link" TargetMode="External"/><Relationship Id="rId326" Type="http://schemas.openxmlformats.org/officeDocument/2006/relationships/hyperlink" Target="https://drive.google.com/file/d/1YABW5cXKQDas6Ovs-E_KsS1YmIt-C1XX/view?usp=drive_link" TargetMode="External"/><Relationship Id="rId568" Type="http://schemas.openxmlformats.org/officeDocument/2006/relationships/hyperlink" Target="https://drive.google.com/file/d/10MHGJZxphDSBW2k3JdXkzbf9tVtWb1XN/view?usp=drive_link" TargetMode="External"/><Relationship Id="rId325" Type="http://schemas.openxmlformats.org/officeDocument/2006/relationships/hyperlink" Target="https://drive.google.com/file/d/1brC4BiOWwsUL_m6ek21J-enVA_ubW_sd/view?usp=drive_link" TargetMode="External"/><Relationship Id="rId567" Type="http://schemas.openxmlformats.org/officeDocument/2006/relationships/hyperlink" Target="https://drive.google.com/file/d/1d_P4Pyycu4eff7xd_xmUcPnjtmwDvV07/view?usp=drive_link" TargetMode="External"/><Relationship Id="rId324" Type="http://schemas.openxmlformats.org/officeDocument/2006/relationships/hyperlink" Target="https://drive.google.com/file/d/1orIn1g6oPCINn-yjGtDNqbRsVuEf-VQ_/view?usp=drive_link" TargetMode="External"/><Relationship Id="rId566" Type="http://schemas.openxmlformats.org/officeDocument/2006/relationships/hyperlink" Target="https://drive.google.com/file/d/1H33KbuIjWCnxKDs1jmKAAJjyYIbG9xli/view?usp=drive_link" TargetMode="External"/><Relationship Id="rId329" Type="http://schemas.openxmlformats.org/officeDocument/2006/relationships/hyperlink" Target="https://drive.google.com/file/d/1IQSi17esDqC3MD-1vXW1wvot-cRDZAw8/view?usp=sharing" TargetMode="External"/><Relationship Id="rId1390" Type="http://schemas.openxmlformats.org/officeDocument/2006/relationships/hyperlink" Target="https://drive.google.com/file/d/1rsf1MnnyETkp0AJZObaV4pLUTsYD3N8P/view?usp=drive_link" TargetMode="External"/><Relationship Id="rId328" Type="http://schemas.openxmlformats.org/officeDocument/2006/relationships/hyperlink" Target="https://drive.google.com/file/d/16d2FdwwGNVO7iAo-tYiFKiWEzv8VHZk2/view?usp=sharing" TargetMode="External"/><Relationship Id="rId1391" Type="http://schemas.openxmlformats.org/officeDocument/2006/relationships/hyperlink" Target="https://drive.google.com/file/d/15HITbAtCaa-pam8mZE7JhyPnCPfFMVzm/view?usp=drive_link" TargetMode="External"/><Relationship Id="rId561" Type="http://schemas.openxmlformats.org/officeDocument/2006/relationships/hyperlink" Target="https://drive.google.com/file/d/17R6TtmnJCTm-uPHse7Io3fE9qRP7rZGc/view?usp=drive_link" TargetMode="External"/><Relationship Id="rId1150" Type="http://schemas.openxmlformats.org/officeDocument/2006/relationships/hyperlink" Target="https://drive.google.com/file/d/11h-nDzHTIC-7G0dISxGbzXr0zxxg5jtY/view?usp=sharing" TargetMode="External"/><Relationship Id="rId1392" Type="http://schemas.openxmlformats.org/officeDocument/2006/relationships/hyperlink" Target="https://drive.google.com/file/d/1TeJA8Ajq_S2Lr2iNhwknQ489z9Y1vXOw/view?usp=drive_link" TargetMode="External"/><Relationship Id="rId560" Type="http://schemas.openxmlformats.org/officeDocument/2006/relationships/hyperlink" Target="https://drive.google.com/file/d/1SU7WabQuDLGTi44nMriM4YHfaqCpIN0e/view?usp=drive_link" TargetMode="External"/><Relationship Id="rId1151" Type="http://schemas.openxmlformats.org/officeDocument/2006/relationships/hyperlink" Target="https://drive.google.com/file/d/1fClBkJmf0jrGwgmQCGRS7azAkr7Kw80j/view?usp=sharing" TargetMode="External"/><Relationship Id="rId1393" Type="http://schemas.openxmlformats.org/officeDocument/2006/relationships/hyperlink" Target="https://drive.google.com/file/d/1pD8UasNa8T-wT3fjc3704zCGQeDhUvjg/view?usp=drive_link" TargetMode="External"/><Relationship Id="rId1152" Type="http://schemas.openxmlformats.org/officeDocument/2006/relationships/hyperlink" Target="https://drive.google.com/file/d/1uvGq1Oa0WF-SIjlKcFcBX3uvBKGYyAU4/view?usp=sharing" TargetMode="External"/><Relationship Id="rId1394" Type="http://schemas.openxmlformats.org/officeDocument/2006/relationships/hyperlink" Target="https://drive.google.com/file/d/1MmZbV1qzaMOemRtcZi7bUHJXCrm-_9lZ/view?usp=drive_link" TargetMode="External"/><Relationship Id="rId1153" Type="http://schemas.openxmlformats.org/officeDocument/2006/relationships/hyperlink" Target="https://drive.google.com/file/d/1sK7O5FvrmwFCRyZOe-Cp05YJyKWRRDfe/view?usp=sharing" TargetMode="External"/><Relationship Id="rId1395" Type="http://schemas.openxmlformats.org/officeDocument/2006/relationships/hyperlink" Target="https://drive.google.com/file/d/1QHdM_8y34VoEAbUh_djtZPldY_z_c5vx/view?usp=drive_link" TargetMode="External"/><Relationship Id="rId323" Type="http://schemas.openxmlformats.org/officeDocument/2006/relationships/hyperlink" Target="https://drive.google.com/file/d/1awmjltEMnSv8Dcixx91BNE5w1FH7QB4l/view?usp=drive_link" TargetMode="External"/><Relationship Id="rId565" Type="http://schemas.openxmlformats.org/officeDocument/2006/relationships/hyperlink" Target="https://drive.google.com/file/d/1_j5ROgk9J-9tJrQL2eiv1TCm9Nd3f6NZ/view?usp=drive_link" TargetMode="External"/><Relationship Id="rId1154" Type="http://schemas.openxmlformats.org/officeDocument/2006/relationships/hyperlink" Target="https://drive.google.com/file/d/1rwz75k0Bql_30i8ojbreBmu-cYOyrOnu/view?usp=sharing" TargetMode="External"/><Relationship Id="rId1396" Type="http://schemas.openxmlformats.org/officeDocument/2006/relationships/hyperlink" Target="https://drive.google.com/file/d/1OOTiNyK4wDkXTw1jwkD5R1aI3xGAps57/view?usp=drive_link" TargetMode="External"/><Relationship Id="rId322" Type="http://schemas.openxmlformats.org/officeDocument/2006/relationships/hyperlink" Target="https://drive.google.com/file/d/1W-FgCxUtpjn5kk3FqsfzqQJRHiRMyJla/view?usp=drive_link" TargetMode="External"/><Relationship Id="rId564" Type="http://schemas.openxmlformats.org/officeDocument/2006/relationships/hyperlink" Target="https://drive.google.com/file/d/1UNC9cnxNdnWAYxRISji3nRJxAvporUka/view?usp=drive_link" TargetMode="External"/><Relationship Id="rId1155" Type="http://schemas.openxmlformats.org/officeDocument/2006/relationships/hyperlink" Target="https://drive.google.com/file/d/14x2-IgL0l9dPawSUL-eNL_Pw13w-oQkR/view?usp=sharing" TargetMode="External"/><Relationship Id="rId1397" Type="http://schemas.openxmlformats.org/officeDocument/2006/relationships/hyperlink" Target="https://drive.google.com/file/d/1wIdZrod4LW0KYlQBIavr0y4MzJkFfcwB/view?usp=drive_link" TargetMode="External"/><Relationship Id="rId321" Type="http://schemas.openxmlformats.org/officeDocument/2006/relationships/hyperlink" Target="https://drive.google.com/file/d/19ICnl0lJidPaAgVNqikbBCDVyiRX_D2O/view?usp=drive_link" TargetMode="External"/><Relationship Id="rId563" Type="http://schemas.openxmlformats.org/officeDocument/2006/relationships/hyperlink" Target="https://drive.google.com/file/d/15gIb9LzDgpvQKTfPssy7mfsfwUb3tHV4/view?usp=drive_link" TargetMode="External"/><Relationship Id="rId1156" Type="http://schemas.openxmlformats.org/officeDocument/2006/relationships/hyperlink" Target="https://drive.google.com/file/d/1WdQddyxHEeKh4CWRBLUm57xhCwvH7jz_/view?usp=sharing" TargetMode="External"/><Relationship Id="rId1398" Type="http://schemas.openxmlformats.org/officeDocument/2006/relationships/hyperlink" Target="https://drive.google.com/file/d/16m5a7XXSb8woneglQZmmAGhOJFiZyYoy/view?usp=drive_link" TargetMode="External"/><Relationship Id="rId320" Type="http://schemas.openxmlformats.org/officeDocument/2006/relationships/hyperlink" Target="https://drive.google.com/file/d/1oARjhht0YFf7RPZ2oDtffMIZ3WhJnC-L/view?usp=drive_link" TargetMode="External"/><Relationship Id="rId562" Type="http://schemas.openxmlformats.org/officeDocument/2006/relationships/hyperlink" Target="https://drive.google.com/file/d/1cbRPLxK97Bjz985MHDOhy75gxzNlyvC3/view?usp=drive_link" TargetMode="External"/><Relationship Id="rId1157" Type="http://schemas.openxmlformats.org/officeDocument/2006/relationships/hyperlink" Target="https://drive.google.com/file/d/13or44eKLYKyn9QoVj9l-c8tPivSrbvat/view?usp=sharing" TargetMode="External"/><Relationship Id="rId1399" Type="http://schemas.openxmlformats.org/officeDocument/2006/relationships/hyperlink" Target="https://drive.google.com/file/d/1S-dHu6GcoS2X7XNVLOPhT6LOd7MdjUiA/view?usp=drive_link" TargetMode="External"/><Relationship Id="rId1147" Type="http://schemas.openxmlformats.org/officeDocument/2006/relationships/hyperlink" Target="https://drive.google.com/file/d/1W4ovmbnPa06UbNviv9skV9Ous3ukxpZ_/view?usp=sharing" TargetMode="External"/><Relationship Id="rId1389" Type="http://schemas.openxmlformats.org/officeDocument/2006/relationships/hyperlink" Target="https://drive.google.com/file/d/1OoN-GWV8k3nhBIfv6O2XAN3Yqmn4MFP9/view?usp=drive_link" TargetMode="External"/><Relationship Id="rId1148" Type="http://schemas.openxmlformats.org/officeDocument/2006/relationships/hyperlink" Target="https://drive.google.com/file/d/1en-rfT2I5ahqmy21nIDGHoJKuS5Hx4Pe/view?usp=sharing" TargetMode="External"/><Relationship Id="rId1149" Type="http://schemas.openxmlformats.org/officeDocument/2006/relationships/hyperlink" Target="https://drive.google.com/file/d/1SoEpacuzFTHCX2FRJR1gSTo8GZ9Q_nBQ/view?usp=sharing" TargetMode="External"/><Relationship Id="rId316" Type="http://schemas.openxmlformats.org/officeDocument/2006/relationships/hyperlink" Target="https://drive.google.com/file/d/1HDFazgbMzEKhB9e52NC1WatDvAS8osFa/view?usp=drive_link" TargetMode="External"/><Relationship Id="rId558" Type="http://schemas.openxmlformats.org/officeDocument/2006/relationships/hyperlink" Target="https://drive.google.com/file/d/17GyWImWdiS1ORfQkZVDZlX2dW6gqneln/view?usp=drive_link" TargetMode="External"/><Relationship Id="rId315" Type="http://schemas.openxmlformats.org/officeDocument/2006/relationships/hyperlink" Target="https://drive.google.com/file/d/1kLpfhsE4V-UI44Tlnu4fhOfT4jtBlWcH/view?usp=drive_link" TargetMode="External"/><Relationship Id="rId557" Type="http://schemas.openxmlformats.org/officeDocument/2006/relationships/hyperlink" Target="https://drive.google.com/file/d/1RA7M5Zh-AOhXFHFwp6fbVKoSWT7lwyzg/view?usp=drive_link" TargetMode="External"/><Relationship Id="rId799" Type="http://schemas.openxmlformats.org/officeDocument/2006/relationships/hyperlink" Target="https://drive.google.com/file/d/1BHBQMLpJmH6-tgluaAPJfi6g_gbKIb-C/view?usp=sharing" TargetMode="External"/><Relationship Id="rId314" Type="http://schemas.openxmlformats.org/officeDocument/2006/relationships/hyperlink" Target="https://drive.google.com/file/d/1BAtabfMkzX-7QMjRPu6wL7iKLRnjhuqM/view?usp=drive_link" TargetMode="External"/><Relationship Id="rId556" Type="http://schemas.openxmlformats.org/officeDocument/2006/relationships/hyperlink" Target="https://drive.google.com/file/d/1QY84OZZRLFEh5iDh5MR2sNb49y5RH6vF/view?usp=drive_link" TargetMode="External"/><Relationship Id="rId798" Type="http://schemas.openxmlformats.org/officeDocument/2006/relationships/hyperlink" Target="https://drive.google.com/file/d/1NxyCcUuFQdHIJn5-zRql1VQpJJbva-gf/view?usp=sharing" TargetMode="External"/><Relationship Id="rId313" Type="http://schemas.openxmlformats.org/officeDocument/2006/relationships/hyperlink" Target="https://drive.google.com/file/d/1ydKqlBe0kRWRLtJT6dWeliRKYEFEeVCw/view?usp=drive_link" TargetMode="External"/><Relationship Id="rId555" Type="http://schemas.openxmlformats.org/officeDocument/2006/relationships/hyperlink" Target="https://drive.google.com/file/d/10cmuCJht-rg_xN_h5c5c8LvQdluv3vFu/view?usp=drive_link" TargetMode="External"/><Relationship Id="rId797" Type="http://schemas.openxmlformats.org/officeDocument/2006/relationships/hyperlink" Target="https://drive.google.com/file/d/13pt-vYryu5A9xousGtdypsQtzvx3AO2l/view?usp=sharing" TargetMode="External"/><Relationship Id="rId319" Type="http://schemas.openxmlformats.org/officeDocument/2006/relationships/hyperlink" Target="https://drive.google.com/file/d/1tXVN1YDUUqOmGEGntWJC_iHY6Wb8OJa6/view?usp=drive_link" TargetMode="External"/><Relationship Id="rId318" Type="http://schemas.openxmlformats.org/officeDocument/2006/relationships/hyperlink" Target="https://drive.google.com/file/d/1U3I9RAoXD6kJqd0SRCNAlUR7YRubKkul/view?usp=drive_link" TargetMode="External"/><Relationship Id="rId317" Type="http://schemas.openxmlformats.org/officeDocument/2006/relationships/hyperlink" Target="https://drive.google.com/file/d/1UmbAZxPTtUN50GuzmMXJoPyGX40-RaQC/view?usp=drive_link" TargetMode="External"/><Relationship Id="rId559" Type="http://schemas.openxmlformats.org/officeDocument/2006/relationships/hyperlink" Target="https://drive.google.com/file/d/1aOqjjEUQL5Ec_6dxTY4ttR_AnSXenZZP/view?usp=drive_link" TargetMode="External"/><Relationship Id="rId1380" Type="http://schemas.openxmlformats.org/officeDocument/2006/relationships/hyperlink" Target="https://drive.google.com/file/d/1fnHCrg0Wq8zu6fITLPU4VkOp1fAcy42-/view?usp=drive_link" TargetMode="External"/><Relationship Id="rId550" Type="http://schemas.openxmlformats.org/officeDocument/2006/relationships/hyperlink" Target="https://drive.google.com/file/d/1zDrs_CmFq0tpt5r_sc9ls-bPP2iBa_NP/view?usp=drive_link" TargetMode="External"/><Relationship Id="rId792" Type="http://schemas.openxmlformats.org/officeDocument/2006/relationships/hyperlink" Target="https://drive.google.com/file/d/1hki1n5t3qCVMR4dvkMCI5J58e19x8x8O/view?usp=sharing" TargetMode="External"/><Relationship Id="rId1381" Type="http://schemas.openxmlformats.org/officeDocument/2006/relationships/hyperlink" Target="https://drive.google.com/file/d/1WMYfhBUppUgwW_N6H8fl0cycgQuTg4OC/view?usp=drive_link" TargetMode="External"/><Relationship Id="rId791" Type="http://schemas.openxmlformats.org/officeDocument/2006/relationships/hyperlink" Target="https://drive.google.com/file/d/1zOfGRcaMAnIv_NsLFNsulFpqqCrucz2v/view?usp=sharing" TargetMode="External"/><Relationship Id="rId1140" Type="http://schemas.openxmlformats.org/officeDocument/2006/relationships/hyperlink" Target="https://drive.google.com/file/d/1C_qrBr81feGq_p72Ps5XahfcehrCJqK9/view?usp=drive_link" TargetMode="External"/><Relationship Id="rId1382" Type="http://schemas.openxmlformats.org/officeDocument/2006/relationships/hyperlink" Target="https://drive.google.com/file/d/1NqxhzJgHbhX3nepbBEp-KJtBnUaSNNUd/view?usp=drive_link" TargetMode="External"/><Relationship Id="rId790" Type="http://schemas.openxmlformats.org/officeDocument/2006/relationships/hyperlink" Target="https://drive.google.com/file/d/1sAj_5OZwmIpeGP1RGiAgpU4JnWnkwfbX/view?usp=sharing" TargetMode="External"/><Relationship Id="rId1141" Type="http://schemas.openxmlformats.org/officeDocument/2006/relationships/hyperlink" Target="https://drive.google.com/file/d/15qacO1Zmi64hIIWbVOdyrX7GtgbrKw_Z/view?usp=drive_link" TargetMode="External"/><Relationship Id="rId1383" Type="http://schemas.openxmlformats.org/officeDocument/2006/relationships/hyperlink" Target="https://drive.google.com/file/d/13euf9BO0I4b2bmqtqF6PdQs6P7BnInjT/view?usp=drive_link" TargetMode="External"/><Relationship Id="rId1142" Type="http://schemas.openxmlformats.org/officeDocument/2006/relationships/hyperlink" Target="https://drive.google.com/file/d/1p-Lq59xZTpSMrpcbuaw606ZZvd8icfT3/view?usp=drive_link" TargetMode="External"/><Relationship Id="rId1384" Type="http://schemas.openxmlformats.org/officeDocument/2006/relationships/hyperlink" Target="https://drive.google.com/file/d/1H-pO_TV2fGDRDwY2z6aT5s3ylJon8sHn/view?usp=drive_link" TargetMode="External"/><Relationship Id="rId312" Type="http://schemas.openxmlformats.org/officeDocument/2006/relationships/hyperlink" Target="https://drive.google.com/file/d/1fzwyLuDPiGTQnv2ScTiBIZ1gHQpIcETR/view?usp=drive_link" TargetMode="External"/><Relationship Id="rId554" Type="http://schemas.openxmlformats.org/officeDocument/2006/relationships/hyperlink" Target="https://drive.google.com/file/d/1lePabJmSqO0SKvkqhAvpcaLBjeB9yfzf/view?usp=drive_link" TargetMode="External"/><Relationship Id="rId796" Type="http://schemas.openxmlformats.org/officeDocument/2006/relationships/hyperlink" Target="https://drive.google.com/file/d/19DtbEq7ske4YVQc4HuYKQ9oYsDi-y2_v/view?usp=sharing" TargetMode="External"/><Relationship Id="rId1143" Type="http://schemas.openxmlformats.org/officeDocument/2006/relationships/hyperlink" Target="https://drive.google.com/file/d/1DgIpQZdvVQwW7cbfL4ILpLjd_7qYVeB1/view?usp=drive_link" TargetMode="External"/><Relationship Id="rId1385" Type="http://schemas.openxmlformats.org/officeDocument/2006/relationships/hyperlink" Target="https://drive.google.com/file/d/17Tjw6DvpdEuqSe5bglp5tf5-3XegB60H/view?usp=drive_link" TargetMode="External"/><Relationship Id="rId311" Type="http://schemas.openxmlformats.org/officeDocument/2006/relationships/hyperlink" Target="https://drive.google.com/file/d/1aTspItS4coTnbHANzsapPJOxf_svtpwo/view?usp=drive_link" TargetMode="External"/><Relationship Id="rId553" Type="http://schemas.openxmlformats.org/officeDocument/2006/relationships/hyperlink" Target="https://drive.google.com/file/d/1yczIr-3McpWNp25qwcjy75FD3fFtHeSQ/view?usp=drive_link" TargetMode="External"/><Relationship Id="rId795" Type="http://schemas.openxmlformats.org/officeDocument/2006/relationships/hyperlink" Target="https://drive.google.com/file/d/1PxFMNhAENXNk4sgDadpqnazc7q77iWjc/view?usp=sharing" TargetMode="External"/><Relationship Id="rId1144" Type="http://schemas.openxmlformats.org/officeDocument/2006/relationships/hyperlink" Target="https://drive.google.com/file/d/1c4sJDcD8yPJ5F4GMJzW-vwyHFdz0DDNZ/view?usp=drive_link" TargetMode="External"/><Relationship Id="rId1386" Type="http://schemas.openxmlformats.org/officeDocument/2006/relationships/hyperlink" Target="https://drive.google.com/file/d/1DyDa4oSYBwG8QXaCgD127AxJz55OOZWh/view?usp=drive_link" TargetMode="External"/><Relationship Id="rId310" Type="http://schemas.openxmlformats.org/officeDocument/2006/relationships/hyperlink" Target="https://drive.google.com/file/d/1yc-Myz4QlDyj89FOzAwRea_CsMKRW_Xm/view?usp=drive_link" TargetMode="External"/><Relationship Id="rId552" Type="http://schemas.openxmlformats.org/officeDocument/2006/relationships/hyperlink" Target="https://drive.google.com/file/d/1kzS-R2iNSnNNYxZvk265-tNwreMQvi6G/view?usp=drive_link" TargetMode="External"/><Relationship Id="rId794" Type="http://schemas.openxmlformats.org/officeDocument/2006/relationships/hyperlink" Target="https://drive.google.com/file/d/1MsO4B80ZxQUod_KOdzrZFZp2Fz8HZSHW/view?usp=sharing" TargetMode="External"/><Relationship Id="rId1145" Type="http://schemas.openxmlformats.org/officeDocument/2006/relationships/hyperlink" Target="https://drive.google.com/file/d/1noeJJpzm6UtDGm7ldFQIOI8emCwI5Dt7/view?usp=drive_link" TargetMode="External"/><Relationship Id="rId1387" Type="http://schemas.openxmlformats.org/officeDocument/2006/relationships/hyperlink" Target="https://drive.google.com/file/d/1qX3X8ONOnsxWbGB3oNFPGf7-xw6EHaQh/view?usp=drive_link" TargetMode="External"/><Relationship Id="rId551" Type="http://schemas.openxmlformats.org/officeDocument/2006/relationships/hyperlink" Target="https://drive.google.com/file/d/1O7oY5q55eBsJAy340dC5xMuTtWfJ8bDa/view?usp=drive_link" TargetMode="External"/><Relationship Id="rId793" Type="http://schemas.openxmlformats.org/officeDocument/2006/relationships/hyperlink" Target="https://drive.google.com/file/d/1DeFj4r4fpBAVeqmtb-hTvi5LHkGRXKRj/view?usp=sharing" TargetMode="External"/><Relationship Id="rId1146" Type="http://schemas.openxmlformats.org/officeDocument/2006/relationships/hyperlink" Target="https://drive.google.com/file/d/1GmPVwiLfenC4kd380mqkorduVMQadxhA/view?usp=drive_link" TargetMode="External"/><Relationship Id="rId1388" Type="http://schemas.openxmlformats.org/officeDocument/2006/relationships/hyperlink" Target="https://drive.google.com/file/d/1M8gqjD9xu-jcfop1VD32oT0Oa5HGzsv7/view?usp=drive_link" TargetMode="External"/><Relationship Id="rId297" Type="http://schemas.openxmlformats.org/officeDocument/2006/relationships/hyperlink" Target="https://drive.google.com/file/d/1WMGofMnwjkU6wVM9FNKsihTLcVJU9xD0/view?usp=drive_link" TargetMode="External"/><Relationship Id="rId296" Type="http://schemas.openxmlformats.org/officeDocument/2006/relationships/hyperlink" Target="https://drive.google.com/file/d/1_Fr83ro0rLlveSxrfO3LSGs_uMbbMO7v/view?usp=drive_link" TargetMode="External"/><Relationship Id="rId295" Type="http://schemas.openxmlformats.org/officeDocument/2006/relationships/hyperlink" Target="https://drive.google.com/file/d/1iRsiay5oW6rrkVc5rpCG9lGf6i2zJwBj/view?usp=drive_link" TargetMode="External"/><Relationship Id="rId294" Type="http://schemas.openxmlformats.org/officeDocument/2006/relationships/hyperlink" Target="https://drive.google.com/file/d/1omhwhCATnV61k3KINO436CID-u730A_I/view?usp=drive_link" TargetMode="External"/><Relationship Id="rId299" Type="http://schemas.openxmlformats.org/officeDocument/2006/relationships/hyperlink" Target="https://drive.google.com/file/d/1wYTn30a5A59x9JmBOkHRFXVlPmtsw7mL/view?usp=drive_link" TargetMode="External"/><Relationship Id="rId298" Type="http://schemas.openxmlformats.org/officeDocument/2006/relationships/hyperlink" Target="https://drive.google.com/file/d/1iYy_yR90Ru3RQMqGNqLn5wBKGzPBBD4N/view?usp=drive_link" TargetMode="External"/><Relationship Id="rId271" Type="http://schemas.openxmlformats.org/officeDocument/2006/relationships/hyperlink" Target="https://drive.google.com/file/d/1vh7-34wG0Thy-GvXt1CxE89P2NYNUN8B/view?usp=drive_link" TargetMode="External"/><Relationship Id="rId270" Type="http://schemas.openxmlformats.org/officeDocument/2006/relationships/hyperlink" Target="https://drive.google.com/file/d/1GiiHtO2ArF_OYmjNq0Vuj-tJEuih65Uo/view?usp=drive_link" TargetMode="External"/><Relationship Id="rId269" Type="http://schemas.openxmlformats.org/officeDocument/2006/relationships/hyperlink" Target="https://drive.google.com/file/d/11Pkd_dOkMwkm-rItW2rEgc8gDoU4WKA5/view?usp=drive_link" TargetMode="External"/><Relationship Id="rId264" Type="http://schemas.openxmlformats.org/officeDocument/2006/relationships/hyperlink" Target="https://drive.google.com/file/d/11TY0CatlZymZJGbNamIjQ-MfBKH5uD5R/view?usp=sharing" TargetMode="External"/><Relationship Id="rId263" Type="http://schemas.openxmlformats.org/officeDocument/2006/relationships/hyperlink" Target="https://drive.google.com/file/d/1gtoo9Jnsh1DyECB3paaqIAD425DCSrD0/view?usp=sharing" TargetMode="External"/><Relationship Id="rId262" Type="http://schemas.openxmlformats.org/officeDocument/2006/relationships/hyperlink" Target="https://drive.google.com/file/d/1vMAe6fxQyZ3I5KGfwejfM2uJ6W_0Qsiv/view?usp=sharing" TargetMode="External"/><Relationship Id="rId261" Type="http://schemas.openxmlformats.org/officeDocument/2006/relationships/hyperlink" Target="https://drive.google.com/file/d/1Z-insn0YBnZ3IZnqEYybMklalxURJIz3/view?usp=sharing" TargetMode="External"/><Relationship Id="rId268" Type="http://schemas.openxmlformats.org/officeDocument/2006/relationships/hyperlink" Target="https://drive.google.com/file/d/1hs2OTfCn3i36x9mM9c-hTsXIgDsBW21e/view?usp=sharing" TargetMode="External"/><Relationship Id="rId267" Type="http://schemas.openxmlformats.org/officeDocument/2006/relationships/hyperlink" Target="https://drive.google.com/file/d/1W5T2LSLJjyvUX88I28ccbRt9tuKo5YBK/view?usp=sharing" TargetMode="External"/><Relationship Id="rId266" Type="http://schemas.openxmlformats.org/officeDocument/2006/relationships/hyperlink" Target="https://drive.google.com/file/d/1ThvPmWKH5x_zrtH7bsMyNR3er6HznUk4/view?usp=sharing" TargetMode="External"/><Relationship Id="rId265" Type="http://schemas.openxmlformats.org/officeDocument/2006/relationships/hyperlink" Target="https://drive.google.com/file/d/19ytVV7iijUu1GMTMwH4-qYLXFNUHlVNP/view?usp=sharing" TargetMode="External"/><Relationship Id="rId260" Type="http://schemas.openxmlformats.org/officeDocument/2006/relationships/hyperlink" Target="https://drive.google.com/file/d/1nr4DV0LVGNOANgAEakWTDGFOyJuEUuJ6/view?usp=sharing" TargetMode="External"/><Relationship Id="rId259" Type="http://schemas.openxmlformats.org/officeDocument/2006/relationships/hyperlink" Target="https://drive.google.com/file/d/1tct1daX6jH1oWKje3Jl4GHkdd496g4wp/view?usp=sharing" TargetMode="External"/><Relationship Id="rId258" Type="http://schemas.openxmlformats.org/officeDocument/2006/relationships/hyperlink" Target="https://drive.google.com/file/d/1gGLcd-zB0FAduDf_eAutaOXQbKr_De6P/view?usp=sharing" TargetMode="External"/><Relationship Id="rId253" Type="http://schemas.openxmlformats.org/officeDocument/2006/relationships/hyperlink" Target="https://drive.google.com/file/d/1dx8GPipUlHkB2QU-WeEIh5n-Bf3s4dbX/view?usp=sharing" TargetMode="External"/><Relationship Id="rId495" Type="http://schemas.openxmlformats.org/officeDocument/2006/relationships/hyperlink" Target="https://drive.google.com/file/d/15YRStZdb48LegQM3U0TtoTqRc1HGVAj7/view?usp=drive_link" TargetMode="External"/><Relationship Id="rId252" Type="http://schemas.openxmlformats.org/officeDocument/2006/relationships/hyperlink" Target="https://drive.google.com/file/d/1k9SOUzEujZwJ95PboihtwbJ6_wFWP0kA/view?usp=sharing" TargetMode="External"/><Relationship Id="rId494" Type="http://schemas.openxmlformats.org/officeDocument/2006/relationships/hyperlink" Target="https://drive.google.com/file/d/1leurg-oKmXBQZFgPp511MzOZheDlAnbC/view?usp=sharing" TargetMode="External"/><Relationship Id="rId251" Type="http://schemas.openxmlformats.org/officeDocument/2006/relationships/hyperlink" Target="https://drive.google.com/file/d/18ovoNBg8mZeVsejY6NTNhHxkTWm9cOBo/view?usp=sharing" TargetMode="External"/><Relationship Id="rId493" Type="http://schemas.openxmlformats.org/officeDocument/2006/relationships/hyperlink" Target="https://drive.google.com/file/d/1PEADFAErkoJ3qqjBFQqF39FFna6ealVM/view?usp=sharing" TargetMode="External"/><Relationship Id="rId250" Type="http://schemas.openxmlformats.org/officeDocument/2006/relationships/hyperlink" Target="https://drive.google.com/file/d/1EI7gVZS8wvdg1ZiNfF_9uEgkSM18gdl1/view?usp=sharing" TargetMode="External"/><Relationship Id="rId492" Type="http://schemas.openxmlformats.org/officeDocument/2006/relationships/hyperlink" Target="https://drive.google.com/file/d/1SYt21Dm-mwGhdFMzkYwBTn25i0f4Ex5T/view?usp=sharing" TargetMode="External"/><Relationship Id="rId257" Type="http://schemas.openxmlformats.org/officeDocument/2006/relationships/hyperlink" Target="https://drive.google.com/file/d/1M9xMTfsAPzv3KJddHrgENuNRRfZ2ngl5/view?usp=sharing" TargetMode="External"/><Relationship Id="rId499" Type="http://schemas.openxmlformats.org/officeDocument/2006/relationships/hyperlink" Target="https://drive.google.com/file/d/1iDyIFa6cHFThCCXrEZULqEjmP8VPZMhi/view?usp=drive_link" TargetMode="External"/><Relationship Id="rId256" Type="http://schemas.openxmlformats.org/officeDocument/2006/relationships/hyperlink" Target="https://drive.google.com/file/d/1EyQ7OQIJNCtxxUc3Lx87YV0_pV-5gX68/view?usp=sharing" TargetMode="External"/><Relationship Id="rId498" Type="http://schemas.openxmlformats.org/officeDocument/2006/relationships/hyperlink" Target="https://drive.google.com/file/d/19AwWH8cJjNYJpQE90n5zA-Nyc_WICJok/view?usp=drive_link" TargetMode="External"/><Relationship Id="rId255" Type="http://schemas.openxmlformats.org/officeDocument/2006/relationships/hyperlink" Target="https://drive.google.com/file/d/10W7cA1cV4YKEPkeyGDxBz1GaNLgE0cry/view?usp=sharing" TargetMode="External"/><Relationship Id="rId497" Type="http://schemas.openxmlformats.org/officeDocument/2006/relationships/hyperlink" Target="https://drive.google.com/file/d/1HLbMeNfDu84_Iv7ppD4DViYcBKjQz8C6/view?usp=sharing" TargetMode="External"/><Relationship Id="rId254" Type="http://schemas.openxmlformats.org/officeDocument/2006/relationships/hyperlink" Target="https://drive.google.com/file/d/1WGg6lv8x6GOBoSa1yUlp8cZFAHsjpJSs/view?usp=sharing" TargetMode="External"/><Relationship Id="rId496" Type="http://schemas.openxmlformats.org/officeDocument/2006/relationships/hyperlink" Target="https://drive.google.com/file/d/1yoyYNGQGiv0QrFRITlqIZQb-683KkCAh/view?usp=sharing" TargetMode="External"/><Relationship Id="rId293" Type="http://schemas.openxmlformats.org/officeDocument/2006/relationships/hyperlink" Target="https://drive.google.com/file/d/1i9ntJlxGQS-ZZZw4j0kIMfabAr17JczV/view?usp=drive_link" TargetMode="External"/><Relationship Id="rId292" Type="http://schemas.openxmlformats.org/officeDocument/2006/relationships/hyperlink" Target="https://drive.google.com/file/d/1ri7ivEVbfbKy0HmoqpV5ETAQbEGOMQQt/view?usp=drive_link" TargetMode="External"/><Relationship Id="rId291" Type="http://schemas.openxmlformats.org/officeDocument/2006/relationships/hyperlink" Target="https://drive.google.com/file/d/1kRaoJV-B5nnArXTkZjeN3LC6WR1DrPyW/view?usp=drive_link" TargetMode="External"/><Relationship Id="rId290" Type="http://schemas.openxmlformats.org/officeDocument/2006/relationships/hyperlink" Target="https://drive.google.com/file/d/1PGsdw9kzb2Ku_RB-FO0bC_ynIS97O1st/view?usp=drive_link" TargetMode="External"/><Relationship Id="rId286" Type="http://schemas.openxmlformats.org/officeDocument/2006/relationships/hyperlink" Target="https://drive.google.com/file/d/1H6PRHZC-oI1G5DOL5hHYONxNvKQqXMXa/view?usp=drive_link" TargetMode="External"/><Relationship Id="rId285" Type="http://schemas.openxmlformats.org/officeDocument/2006/relationships/hyperlink" Target="https://drive.google.com/file/d/1OdEoaaMMQlxn5AtBOFV8e6qHRjBrF2y9/view?usp=drive_link" TargetMode="External"/><Relationship Id="rId284" Type="http://schemas.openxmlformats.org/officeDocument/2006/relationships/hyperlink" Target="https://drive.google.com/file/d/1J5HgYRDRfoi00jKgn5f89234XeczcmPs/view?usp=drive_link" TargetMode="External"/><Relationship Id="rId283" Type="http://schemas.openxmlformats.org/officeDocument/2006/relationships/hyperlink" Target="https://drive.google.com/file/d/1dHnj9ZwEmvgTOIkmL7v3cBEDmL6g4sqg/view?usp=drive_link" TargetMode="External"/><Relationship Id="rId289" Type="http://schemas.openxmlformats.org/officeDocument/2006/relationships/hyperlink" Target="https://drive.google.com/file/d/1YxGDmaQReQMYooav_k4iuP99PWJhb9Ox/view?usp=drive_link" TargetMode="External"/><Relationship Id="rId288" Type="http://schemas.openxmlformats.org/officeDocument/2006/relationships/hyperlink" Target="https://drive.google.com/file/d/12fpR9PRwfJz2xAabusKqBFjecFvKHNak/view?usp=drive_link" TargetMode="External"/><Relationship Id="rId287" Type="http://schemas.openxmlformats.org/officeDocument/2006/relationships/hyperlink" Target="https://drive.google.com/file/d/1btqjcPFKfksQD-SMUNqJBzoKxDVq9stY/view?usp=drive_link" TargetMode="External"/><Relationship Id="rId282" Type="http://schemas.openxmlformats.org/officeDocument/2006/relationships/hyperlink" Target="https://drive.google.com/file/d/1QXGwSWdrt_saqM3aJELU9c8l7Cg-ERYk/view?usp=drive_link" TargetMode="External"/><Relationship Id="rId281" Type="http://schemas.openxmlformats.org/officeDocument/2006/relationships/hyperlink" Target="https://drive.google.com/file/d/1Z07lyy5-LLUgx8I1HeMYMx1B7CEkLzje/view?usp=drive_link" TargetMode="External"/><Relationship Id="rId280" Type="http://schemas.openxmlformats.org/officeDocument/2006/relationships/hyperlink" Target="https://drive.google.com/file/d/1wSZDTbknL9uMi3G-BuZgA9xkVBfMJ4gp/view?usp=drive_link" TargetMode="External"/><Relationship Id="rId275" Type="http://schemas.openxmlformats.org/officeDocument/2006/relationships/hyperlink" Target="https://drive.google.com/file/d/1wMauUvWLKUw2cNfDq4xwkytEiM2Ixi3a/view?usp=drive_link" TargetMode="External"/><Relationship Id="rId274" Type="http://schemas.openxmlformats.org/officeDocument/2006/relationships/hyperlink" Target="https://drive.google.com/file/d/1Mtu_DKS37a8v8uqLtQQjKNhad_CO-vZR/view?usp=drive_link" TargetMode="External"/><Relationship Id="rId273" Type="http://schemas.openxmlformats.org/officeDocument/2006/relationships/hyperlink" Target="https://drive.google.com/file/d/1_VCpxaprSlzG3r0Fn3AFYyUe9FyhP9hS/view?usp=drive_link" TargetMode="External"/><Relationship Id="rId272" Type="http://schemas.openxmlformats.org/officeDocument/2006/relationships/hyperlink" Target="https://drive.google.com/file/d/1d7TBJX9TtKS7WQB92OP4HjRGkiIhaH1v/view?usp=sharing" TargetMode="External"/><Relationship Id="rId279" Type="http://schemas.openxmlformats.org/officeDocument/2006/relationships/hyperlink" Target="https://drive.google.com/file/d/1w8OAyYXAZ5EcgVrJq81yf-BO5O1Wp-d7/view?usp=drive_link" TargetMode="External"/><Relationship Id="rId278" Type="http://schemas.openxmlformats.org/officeDocument/2006/relationships/hyperlink" Target="https://drive.google.com/file/d/1lOLfCC_aUgw1806UJRoZpXrY_vX1FkS7/view?usp=drive_link" TargetMode="External"/><Relationship Id="rId277" Type="http://schemas.openxmlformats.org/officeDocument/2006/relationships/hyperlink" Target="https://drive.google.com/file/d/1SRScJh9MZgbJmx-eCqVRfJqfuj3-s60Q/view?usp=drive_link" TargetMode="External"/><Relationship Id="rId276" Type="http://schemas.openxmlformats.org/officeDocument/2006/relationships/hyperlink" Target="https://drive.google.com/file/d/1sccP9Aw6A-cTbXjRoVGq_4FrmVIdB5im/view?usp=drive_link" TargetMode="External"/><Relationship Id="rId907" Type="http://schemas.openxmlformats.org/officeDocument/2006/relationships/hyperlink" Target="https://drive.google.com/file/d/12wOd8ljRazSkNSmp3Dvd4Lmri2uqWMKU/view?usp=drive_link" TargetMode="External"/><Relationship Id="rId906" Type="http://schemas.openxmlformats.org/officeDocument/2006/relationships/hyperlink" Target="https://drive.google.com/file/d/1e4vE33MEVLNpts1M3uozSys90q31y1v6/view?usp=drive_link" TargetMode="External"/><Relationship Id="rId905" Type="http://schemas.openxmlformats.org/officeDocument/2006/relationships/hyperlink" Target="https://drive.google.com/file/d/1POU4i3srfwhs06OFD8mczv5ocdbEFV6a/view?usp=drive_link" TargetMode="External"/><Relationship Id="rId904" Type="http://schemas.openxmlformats.org/officeDocument/2006/relationships/hyperlink" Target="https://drive.google.com/file/d/1juI7asC-bmV2IiteRDFJC3axZlSLERlV/view?usp=drive_link" TargetMode="External"/><Relationship Id="rId909" Type="http://schemas.openxmlformats.org/officeDocument/2006/relationships/hyperlink" Target="https://drive.google.com/file/d/1zB_BAOeDv5mc5sd5bW1Ye6kw7gin2hNn/view?usp=sharing" TargetMode="External"/><Relationship Id="rId908" Type="http://schemas.openxmlformats.org/officeDocument/2006/relationships/hyperlink" Target="https://drive.google.com/file/d/1GSbiPFCKcZSExJmb5g4l-wBji1nPOO-D/view?usp=sharing" TargetMode="External"/><Relationship Id="rId903" Type="http://schemas.openxmlformats.org/officeDocument/2006/relationships/hyperlink" Target="https://drive.google.com/file/d/1pNR7-sninAYkuQ0aZaRBLT1omNKRZnqK/view?usp=drive_link" TargetMode="External"/><Relationship Id="rId902" Type="http://schemas.openxmlformats.org/officeDocument/2006/relationships/hyperlink" Target="https://drive.google.com/file/d/18X0ebG_nos1HWPRxNNDvsq49kMPMEM9s/view?usp=sharing" TargetMode="External"/><Relationship Id="rId901" Type="http://schemas.openxmlformats.org/officeDocument/2006/relationships/hyperlink" Target="https://drive.google.com/file/d/1ej7sQr63LkrjPda5w_g9T6bMe2xObDi4/view?usp=sharing" TargetMode="External"/><Relationship Id="rId900" Type="http://schemas.openxmlformats.org/officeDocument/2006/relationships/hyperlink" Target="https://drive.google.com/file/d/1lyG99lb65u-aWQBFQbYQKCV2dkVykOkH/view?usp=drive_link" TargetMode="External"/><Relationship Id="rId929" Type="http://schemas.openxmlformats.org/officeDocument/2006/relationships/hyperlink" Target="https://drive.google.com/file/d/1U0o24OT46NdGim7jrBPt2EXugk9c3tCw/view?usp=drive_link" TargetMode="External"/><Relationship Id="rId928" Type="http://schemas.openxmlformats.org/officeDocument/2006/relationships/hyperlink" Target="https://drive.google.com/file/d/1ioe4tB4TDPd8adfJyjgtCuU4y4kYbOSU/view?usp=drive_link" TargetMode="External"/><Relationship Id="rId927" Type="http://schemas.openxmlformats.org/officeDocument/2006/relationships/hyperlink" Target="https://drive.google.com/file/d/15zhjo0DwZGzB6xqZnqCLr3Hyic0nLRt_/view?usp=sharing" TargetMode="External"/><Relationship Id="rId926" Type="http://schemas.openxmlformats.org/officeDocument/2006/relationships/hyperlink" Target="https://drive.google.com/file/d/1DYf8v8FHWmkPj6bikTuyQiIoH0ieR0i3/view?usp=sharing" TargetMode="External"/><Relationship Id="rId921" Type="http://schemas.openxmlformats.org/officeDocument/2006/relationships/hyperlink" Target="https://drive.google.com/file/d/1fERDPFxHBdFnfZ8lJQuIU9i8ZLTXYCUA/view?usp=sharing" TargetMode="External"/><Relationship Id="rId920" Type="http://schemas.openxmlformats.org/officeDocument/2006/relationships/hyperlink" Target="https://drive.google.com/file/d/13X94o0S6KuvOkcObseYq3bP2yNw7FTWl/view?usp=sharing" TargetMode="External"/><Relationship Id="rId925" Type="http://schemas.openxmlformats.org/officeDocument/2006/relationships/hyperlink" Target="https://drive.google.com/file/d/1j10fqgyvkN6ynedjCJWTclKXS8ZoryGS/view?usp=sharing" TargetMode="External"/><Relationship Id="rId924" Type="http://schemas.openxmlformats.org/officeDocument/2006/relationships/hyperlink" Target="https://drive.google.com/file/d/1CoA6FUW8S5FcjyvHGRv-oTsAQzYgNWnq/view?usp=sharing" TargetMode="External"/><Relationship Id="rId923" Type="http://schemas.openxmlformats.org/officeDocument/2006/relationships/hyperlink" Target="https://drive.google.com/file/d/1C1-dEDH3GJhjGxTeyxRKSXqLqBFb_ckR/view?usp=sharing" TargetMode="External"/><Relationship Id="rId922" Type="http://schemas.openxmlformats.org/officeDocument/2006/relationships/hyperlink" Target="https://drive.google.com/file/d/1y54DEfrXlbCOOrldnI52na4SYlkgbdHY/view?usp=sharing" TargetMode="External"/><Relationship Id="rId918" Type="http://schemas.openxmlformats.org/officeDocument/2006/relationships/hyperlink" Target="https://drive.google.com/file/d/1cXakPY8VUkynVnoqNEzQOuvOARmPrXbm/view?usp=sharing" TargetMode="External"/><Relationship Id="rId917" Type="http://schemas.openxmlformats.org/officeDocument/2006/relationships/hyperlink" Target="https://drive.google.com/file/d/1BmhFTbHVOiqXCzoh5CP73gXxMyJ7sIFG/view?usp=sharing" TargetMode="External"/><Relationship Id="rId916" Type="http://schemas.openxmlformats.org/officeDocument/2006/relationships/hyperlink" Target="https://drive.google.com/file/d/1S5dmeMmm9dN-fzFv-dYNzXi0Y6gxuq7l/view?usp=sharing" TargetMode="External"/><Relationship Id="rId915" Type="http://schemas.openxmlformats.org/officeDocument/2006/relationships/hyperlink" Target="https://drive.google.com/file/d/1uZT8nB1x0zqnbcIs53m4PZOtWHBGrd2w/view?usp=sharing" TargetMode="External"/><Relationship Id="rId919" Type="http://schemas.openxmlformats.org/officeDocument/2006/relationships/hyperlink" Target="https://drive.google.com/file/d/1XspB5z6coy7FOVc9Yj83nKj69KjQzLHA/view?usp=sharing" TargetMode="External"/><Relationship Id="rId910" Type="http://schemas.openxmlformats.org/officeDocument/2006/relationships/hyperlink" Target="https://drive.google.com/file/d/1KDQolGR38Ab_mkFXixkb7Fqp5M_hhEvz/view?usp=sharing" TargetMode="External"/><Relationship Id="rId914" Type="http://schemas.openxmlformats.org/officeDocument/2006/relationships/hyperlink" Target="https://drive.google.com/file/d/1iquPXYHd1qkxC0fsvt_xOvVISz9EONID/view?usp=sharing" TargetMode="External"/><Relationship Id="rId913" Type="http://schemas.openxmlformats.org/officeDocument/2006/relationships/hyperlink" Target="https://drive.google.com/file/d/19HwgJYnQisfHg7golmn9C29IyU-tO_7_/view?usp=sharing" TargetMode="External"/><Relationship Id="rId912" Type="http://schemas.openxmlformats.org/officeDocument/2006/relationships/hyperlink" Target="https://drive.google.com/file/d/1jNie-mpglEfHlZ_4FTWKI0DP1nSpnMgH/view?usp=sharing" TargetMode="External"/><Relationship Id="rId911" Type="http://schemas.openxmlformats.org/officeDocument/2006/relationships/hyperlink" Target="https://drive.google.com/file/d/1ONBBjpjkCYH761xA8CmMO9CpEzWPvXFp/view?usp=sharing" TargetMode="External"/><Relationship Id="rId1213" Type="http://schemas.openxmlformats.org/officeDocument/2006/relationships/hyperlink" Target="https://drive.google.com/file/d/1yM25xhoeSceprOMbrEd8_hu9BFefmWDv/view?usp=drive_link" TargetMode="External"/><Relationship Id="rId1214" Type="http://schemas.openxmlformats.org/officeDocument/2006/relationships/hyperlink" Target="https://drive.google.com/file/d/1_qCUkxDw04Ql4m4VOIXM-5KVETDM8hZY/view?usp=drive_link" TargetMode="External"/><Relationship Id="rId1215" Type="http://schemas.openxmlformats.org/officeDocument/2006/relationships/hyperlink" Target="https://drive.google.com/file/d/1jz45Hd-wQhRFmFcJ15KtFtJcYAS3KZ0m/view?usp=drive_link" TargetMode="External"/><Relationship Id="rId1216" Type="http://schemas.openxmlformats.org/officeDocument/2006/relationships/hyperlink" Target="https://drive.google.com/file/d/1iNMkjRo8Fg8uJTG4o00HAPBKvBBSdAE3/view?usp=drive_link" TargetMode="External"/><Relationship Id="rId1217" Type="http://schemas.openxmlformats.org/officeDocument/2006/relationships/hyperlink" Target="https://drive.google.com/file/d/1nsJsL7PHQBTtBUp8EQkuWdu0hYKysRUG/view?usp=drive_link" TargetMode="External"/><Relationship Id="rId1218" Type="http://schemas.openxmlformats.org/officeDocument/2006/relationships/hyperlink" Target="https://drive.google.com/file/d/1yP6KPKd7Py3xeuenQqsI-MbGfKkY29vY/view?usp=drive_link" TargetMode="External"/><Relationship Id="rId1219" Type="http://schemas.openxmlformats.org/officeDocument/2006/relationships/hyperlink" Target="https://drive.google.com/file/d/1OaDSVqfeutfnrsryVbWfquq_QSSKlu-x/view?usp=drive_link" TargetMode="External"/><Relationship Id="rId629" Type="http://schemas.openxmlformats.org/officeDocument/2006/relationships/hyperlink" Target="https://drive.google.com/file/d/1sJPQVEUllSEzhr4LZYilTCN-bvBquNM0/view?usp=drive_link" TargetMode="External"/><Relationship Id="rId624" Type="http://schemas.openxmlformats.org/officeDocument/2006/relationships/hyperlink" Target="https://drive.google.com/file/d/1ztaLHgO6nJT0jZlcGqtu8x8AcZZ60BN5/view?usp=drive_link" TargetMode="External"/><Relationship Id="rId866" Type="http://schemas.openxmlformats.org/officeDocument/2006/relationships/hyperlink" Target="https://drive.google.com/file/d/1f5tAua4Z9l2yLGxYjTSFO26aBfeLOSSD/view?usp=drive_link" TargetMode="External"/><Relationship Id="rId623" Type="http://schemas.openxmlformats.org/officeDocument/2006/relationships/hyperlink" Target="https://drive.google.com/file/d/1zexkM3KNJRTGcl2EPOqDyfLFgRHuSlvB/view?usp=drive_link" TargetMode="External"/><Relationship Id="rId865" Type="http://schemas.openxmlformats.org/officeDocument/2006/relationships/hyperlink" Target="https://drive.google.com/file/d/1y5wOknx4gjdirPcY0a0r4UtvW-zkbnD_/view?usp=drive_link" TargetMode="External"/><Relationship Id="rId622" Type="http://schemas.openxmlformats.org/officeDocument/2006/relationships/hyperlink" Target="https://drive.google.com/file/d/1yqDMb483EidECiJJAyfk9cVe_CKNf8g0/view?usp=drive_link" TargetMode="External"/><Relationship Id="rId864" Type="http://schemas.openxmlformats.org/officeDocument/2006/relationships/hyperlink" Target="https://drive.google.com/file/d/1CYEr8J4OkKCAfUwYBdzTnGv136qz6HSw/view?usp=drive_link" TargetMode="External"/><Relationship Id="rId621" Type="http://schemas.openxmlformats.org/officeDocument/2006/relationships/hyperlink" Target="https://drive.google.com/file/d/1nfXJQENC-pVqWfRW2FWsoqSxAe-CeiPM/view?usp=drive_link" TargetMode="External"/><Relationship Id="rId863" Type="http://schemas.openxmlformats.org/officeDocument/2006/relationships/hyperlink" Target="https://drive.google.com/file/d/1Fan9HRXjwxQJDkK2L0sNxkbL5hekS8ty/view?usp=drive_link" TargetMode="External"/><Relationship Id="rId628" Type="http://schemas.openxmlformats.org/officeDocument/2006/relationships/hyperlink" Target="https://drive.google.com/file/d/1KrAerSPzr24F0GJX9D34bIeU59Ez4R7c/view?usp=drive_link" TargetMode="External"/><Relationship Id="rId627" Type="http://schemas.openxmlformats.org/officeDocument/2006/relationships/hyperlink" Target="https://drive.google.com/file/d/1x8TRuJ5sPn2HekfBtQopy3aek1VyFzeC/view?usp=drive_link" TargetMode="External"/><Relationship Id="rId869" Type="http://schemas.openxmlformats.org/officeDocument/2006/relationships/hyperlink" Target="https://drive.google.com/file/d/1dm6Y2v4UU1poTziiiPVXzAj8jiBIq9YB/view?usp=drive_link" TargetMode="External"/><Relationship Id="rId626" Type="http://schemas.openxmlformats.org/officeDocument/2006/relationships/hyperlink" Target="https://drive.google.com/file/d/1gRCYv71ZlXsTHmKBllg3oCWRH7GDD56S/view?usp=drive_link" TargetMode="External"/><Relationship Id="rId868" Type="http://schemas.openxmlformats.org/officeDocument/2006/relationships/hyperlink" Target="https://drive.google.com/file/d/1whAQwbL3iNMeJVIn7o1l7PQDbxM2yt2F/view?usp=drive_link" TargetMode="External"/><Relationship Id="rId625" Type="http://schemas.openxmlformats.org/officeDocument/2006/relationships/hyperlink" Target="https://drive.google.com/file/d/12FVIUhfnTZGetrTo5Ci8NxE32TnvR87Q/view?usp=drive_link" TargetMode="External"/><Relationship Id="rId867" Type="http://schemas.openxmlformats.org/officeDocument/2006/relationships/hyperlink" Target="https://drive.google.com/file/d/1t7-dIQizdb-AptJZCrLKNa_pL9u2brk1/view?usp=drive_link" TargetMode="External"/><Relationship Id="rId620" Type="http://schemas.openxmlformats.org/officeDocument/2006/relationships/hyperlink" Target="https://drive.google.com/file/d/1uSQNtiDWJtJ84CZufw8qnrHFcKynES_L/view?usp=drive_link" TargetMode="External"/><Relationship Id="rId862" Type="http://schemas.openxmlformats.org/officeDocument/2006/relationships/hyperlink" Target="https://drive.google.com/file/d/18tUbejlhcymQ5muhqVc_Zt3PkSl1L17Y/view?usp=drive_link" TargetMode="External"/><Relationship Id="rId861" Type="http://schemas.openxmlformats.org/officeDocument/2006/relationships/hyperlink" Target="https://drive.google.com/file/d/1GA0QD-3qsyCgBPTiSHc4wszDIDMRoa9E/view?usp=drive_link" TargetMode="External"/><Relationship Id="rId1210" Type="http://schemas.openxmlformats.org/officeDocument/2006/relationships/hyperlink" Target="https://drive.google.com/file/d/1tB0mrEBrfBguv-cOMQ-hwKE1wa6ULxNQ/view?usp=drive_link" TargetMode="External"/><Relationship Id="rId860" Type="http://schemas.openxmlformats.org/officeDocument/2006/relationships/hyperlink" Target="https://drive.google.com/file/d/1jdDDDZp8s5imN47rjVoF_NvZ02pE8RjK/view?usp=drive_link" TargetMode="External"/><Relationship Id="rId1211" Type="http://schemas.openxmlformats.org/officeDocument/2006/relationships/hyperlink" Target="https://drive.google.com/file/d/10e2jiG_EhessF3bz1uaqyM9uaE-DT4C5/view?usp=drive_link" TargetMode="External"/><Relationship Id="rId1212" Type="http://schemas.openxmlformats.org/officeDocument/2006/relationships/hyperlink" Target="https://drive.google.com/file/d/1jtjf0lAHVZMnrpiLU_WYOoGLlSKkHW4N/view?usp=drive_link" TargetMode="External"/><Relationship Id="rId1202" Type="http://schemas.openxmlformats.org/officeDocument/2006/relationships/hyperlink" Target="https://drive.google.com/file/d/1YosxaWT9FM74nB_4xnTYYhzyCyxR4aaq/view?usp=sharing" TargetMode="External"/><Relationship Id="rId1203" Type="http://schemas.openxmlformats.org/officeDocument/2006/relationships/hyperlink" Target="https://drive.google.com/file/d/1Yw95NY00bOFt-8YG6ixQcaf02XvWRv_s/view?usp=sharing" TargetMode="External"/><Relationship Id="rId1204" Type="http://schemas.openxmlformats.org/officeDocument/2006/relationships/hyperlink" Target="https://drive.google.com/file/d/12PD92bn6psYvs2iihnUc45jf7I_lpPGv/view?usp=sharing" TargetMode="External"/><Relationship Id="rId1205" Type="http://schemas.openxmlformats.org/officeDocument/2006/relationships/hyperlink" Target="https://drive.google.com/file/d/1hBxXnNOL1sU9urOhX6wkS6oF_tXyjXSG/view?usp=sharing" TargetMode="External"/><Relationship Id="rId1206" Type="http://schemas.openxmlformats.org/officeDocument/2006/relationships/hyperlink" Target="https://drive.google.com/file/d/1GFE5L_A8jrnB4w_ZoxzDMmkpdzTl9l82/view?usp=drive_link" TargetMode="External"/><Relationship Id="rId1207" Type="http://schemas.openxmlformats.org/officeDocument/2006/relationships/hyperlink" Target="https://drive.google.com/file/d/1TxONk7tiK1JWszVq4osbcCzDchJkrEJg/view?usp=drive_link" TargetMode="External"/><Relationship Id="rId1208" Type="http://schemas.openxmlformats.org/officeDocument/2006/relationships/hyperlink" Target="https://drive.google.com/file/d/1par0P-bdbjGOIyyenJoBsvVzB7JkD1V1/view?usp=drive_link" TargetMode="External"/><Relationship Id="rId1209" Type="http://schemas.openxmlformats.org/officeDocument/2006/relationships/hyperlink" Target="https://drive.google.com/file/d/1TpHArsheSYxTaE26gMhhRhG_MivpXy3H/view?usp=drive_link" TargetMode="External"/><Relationship Id="rId619" Type="http://schemas.openxmlformats.org/officeDocument/2006/relationships/hyperlink" Target="https://drive.google.com/file/d/1ngWLTRgHVLlLJ7mlaaYQ00_pr08Ohpg-/view?usp=drive_link" TargetMode="External"/><Relationship Id="rId618" Type="http://schemas.openxmlformats.org/officeDocument/2006/relationships/hyperlink" Target="https://drive.google.com/file/d/1Bs5b4ngJkLmbliokwrZvSW-UifMLgkEa/view?usp=drive_link" TargetMode="External"/><Relationship Id="rId613" Type="http://schemas.openxmlformats.org/officeDocument/2006/relationships/hyperlink" Target="https://drive.google.com/file/d/18aLkX5SW9YYgPhy4fbCU0OcJlXCZDUEl/view?usp=drive_link" TargetMode="External"/><Relationship Id="rId855" Type="http://schemas.openxmlformats.org/officeDocument/2006/relationships/hyperlink" Target="https://drive.google.com/file/d/1J6ISdHXQ9xRXZrPz11hQyWcjQYZnQkQA/view?usp=drive_link" TargetMode="External"/><Relationship Id="rId612" Type="http://schemas.openxmlformats.org/officeDocument/2006/relationships/hyperlink" Target="https://drive.google.com/file/d/1I9csMm2iaeQ440iDpGcD3sX5UqKh-KKG/view?usp=drive_link" TargetMode="External"/><Relationship Id="rId854" Type="http://schemas.openxmlformats.org/officeDocument/2006/relationships/hyperlink" Target="https://drive.google.com/file/d/1kqUkf3u_uTrB7aUC658J6yJ6FlFjvMi9/view?usp=drive_link" TargetMode="External"/><Relationship Id="rId611" Type="http://schemas.openxmlformats.org/officeDocument/2006/relationships/hyperlink" Target="https://drive.google.com/file/d/1-p5jts8fGNHStixfHtc4ehWo1R2SKdNf/view?usp=drive_link" TargetMode="External"/><Relationship Id="rId853" Type="http://schemas.openxmlformats.org/officeDocument/2006/relationships/hyperlink" Target="https://drive.google.com/file/d/1FU4DLhxPFOyxi_aRbsr-tE6Hj03xiKAx/view?usp=drive_link" TargetMode="External"/><Relationship Id="rId610" Type="http://schemas.openxmlformats.org/officeDocument/2006/relationships/hyperlink" Target="https://drive.google.com/file/d/15qfbd3nOrEHXXZr44m5z9E-sJziIPtU8/view?usp=drive_link" TargetMode="External"/><Relationship Id="rId852" Type="http://schemas.openxmlformats.org/officeDocument/2006/relationships/hyperlink" Target="https://drive.google.com/file/d/1jKwj1nyCNCV8MbRTYz4sSNrq76ojCwSR/view?usp=drive_link" TargetMode="External"/><Relationship Id="rId617" Type="http://schemas.openxmlformats.org/officeDocument/2006/relationships/hyperlink" Target="https://drive.google.com/file/d/1jP3XzQbCBlN6uSnMODLPS5IYpB3NI7kM/view?usp=drive_link" TargetMode="External"/><Relationship Id="rId859" Type="http://schemas.openxmlformats.org/officeDocument/2006/relationships/hyperlink" Target="https://drive.google.com/file/d/1g_6lid65tF55blF63WeDTZnP43fcDREe/view?usp=drive_link" TargetMode="External"/><Relationship Id="rId616" Type="http://schemas.openxmlformats.org/officeDocument/2006/relationships/hyperlink" Target="https://drive.google.com/file/d/1bdsaCyfSoKDA1yDGBYP_cu9W0z5weEMN/view?usp=drive_link" TargetMode="External"/><Relationship Id="rId858" Type="http://schemas.openxmlformats.org/officeDocument/2006/relationships/hyperlink" Target="https://drive.google.com/file/d/1My6MsHYmD2PupPXMPBYKiMgHFhj-OHA3/view?usp=drive_link" TargetMode="External"/><Relationship Id="rId615" Type="http://schemas.openxmlformats.org/officeDocument/2006/relationships/hyperlink" Target="https://drive.google.com/file/d/18_3EWVURW0OSq3iZt_N6c4DPz8rsfalI/view?usp=drive_link" TargetMode="External"/><Relationship Id="rId857" Type="http://schemas.openxmlformats.org/officeDocument/2006/relationships/hyperlink" Target="https://drive.google.com/file/d/1-FshG3okm_0yP3aalw5KItiw5La42C6G/view?usp=drive_link" TargetMode="External"/><Relationship Id="rId614" Type="http://schemas.openxmlformats.org/officeDocument/2006/relationships/hyperlink" Target="https://drive.google.com/file/d/1c2BhB04hnm22lwkLyzwCbxeo5XrVoDmC/view?usp=drive_link" TargetMode="External"/><Relationship Id="rId856" Type="http://schemas.openxmlformats.org/officeDocument/2006/relationships/hyperlink" Target="https://drive.google.com/file/d/1Ndg2YdAe2fOqPfJHiBJoy5quiq1lnNIl/view?usp=drive_link" TargetMode="External"/><Relationship Id="rId851" Type="http://schemas.openxmlformats.org/officeDocument/2006/relationships/hyperlink" Target="https://drive.google.com/file/d/16lPDTYivyh1ftmDXSSzThnEmGmqQuYbn/view?usp=drive_link" TargetMode="External"/><Relationship Id="rId850" Type="http://schemas.openxmlformats.org/officeDocument/2006/relationships/hyperlink" Target="https://drive.google.com/file/d/1Ej2uGbfo27yXi8yN5fRiKA2Um2QhSA_b/view?usp=drive_link" TargetMode="External"/><Relationship Id="rId1200" Type="http://schemas.openxmlformats.org/officeDocument/2006/relationships/hyperlink" Target="https://drive.google.com/file/d/1upS69XQFgKicpC1XEv3hx2U0zhlTaGBN/view?usp=drive_link" TargetMode="External"/><Relationship Id="rId1201" Type="http://schemas.openxmlformats.org/officeDocument/2006/relationships/hyperlink" Target="https://drive.google.com/file/d/1nvJXCajVS1he1LPALaYYpzAIGUz61baa/view?usp=sharing" TargetMode="External"/><Relationship Id="rId1235" Type="http://schemas.openxmlformats.org/officeDocument/2006/relationships/hyperlink" Target="https://drive.google.com/file/d/17qiAvs31DC7qPazwqZhuOmF-qH20nmpe/view?usp=drive_link" TargetMode="External"/><Relationship Id="rId1236" Type="http://schemas.openxmlformats.org/officeDocument/2006/relationships/hyperlink" Target="https://drive.google.com/file/d/1ZqA-1qeZvMaRLdwMYunzmY5ewAlq5e1q/view?usp=drive_link" TargetMode="External"/><Relationship Id="rId1237" Type="http://schemas.openxmlformats.org/officeDocument/2006/relationships/hyperlink" Target="https://drive.google.com/file/d/1xCSqNepnHKR_YqadXpsGXu9JJSvIBfiT/view?usp=drive_link" TargetMode="External"/><Relationship Id="rId1238" Type="http://schemas.openxmlformats.org/officeDocument/2006/relationships/hyperlink" Target="https://drive.google.com/file/d/1zOAbhsjShb6PDBJpl-aSmcMYcZbUkR4g/view?usp=drive_link" TargetMode="External"/><Relationship Id="rId1239" Type="http://schemas.openxmlformats.org/officeDocument/2006/relationships/hyperlink" Target="https://drive.google.com/file/d/1fhIUnF0PFdD4fN9Q_RUnmuJqzWbD5Vv1/view?usp=drive_link" TargetMode="External"/><Relationship Id="rId409" Type="http://schemas.openxmlformats.org/officeDocument/2006/relationships/hyperlink" Target="https://drive.google.com/file/d/164pXTXgvIYcimhNWlAJq3N9NofY-CgN6/view?usp=sharing" TargetMode="External"/><Relationship Id="rId404" Type="http://schemas.openxmlformats.org/officeDocument/2006/relationships/hyperlink" Target="https://drive.google.com/file/d/1vIo3cAw6YtrCoiHI0ITxU1c32KPVPycS/view?usp=sharing" TargetMode="External"/><Relationship Id="rId646" Type="http://schemas.openxmlformats.org/officeDocument/2006/relationships/hyperlink" Target="https://drive.google.com/file/d/1tBt5HrbIlNzRmlp6rPvGf2GJua_kVPQc/view?usp=drive_link" TargetMode="External"/><Relationship Id="rId888" Type="http://schemas.openxmlformats.org/officeDocument/2006/relationships/hyperlink" Target="https://drive.google.com/file/d/1ZAt1B4jlp0QJilJVEQcJfvr16N7xJrlB/view?usp=drive_link" TargetMode="External"/><Relationship Id="rId403" Type="http://schemas.openxmlformats.org/officeDocument/2006/relationships/hyperlink" Target="https://drive.google.com/file/d/1OgD7haahQaWrKzZSN-qi0WGYYpsdBmMA/view?usp=sharing" TargetMode="External"/><Relationship Id="rId645" Type="http://schemas.openxmlformats.org/officeDocument/2006/relationships/hyperlink" Target="https://drive.google.com/file/d/16hvC-Lhv2kuB5cic0h80_8jvxyhu1c1I/view?usp=drive_link" TargetMode="External"/><Relationship Id="rId887" Type="http://schemas.openxmlformats.org/officeDocument/2006/relationships/hyperlink" Target="https://drive.google.com/file/d/1mJipx4lCpQjWZJU0GktoT3aO18nr2Fb6/view?usp=drive_link" TargetMode="External"/><Relationship Id="rId402" Type="http://schemas.openxmlformats.org/officeDocument/2006/relationships/hyperlink" Target="https://drive.google.com/file/d/1LY2ghwcp0CdnYRWSZNuqGj_fbacucbsz/view?usp=sharing" TargetMode="External"/><Relationship Id="rId644" Type="http://schemas.openxmlformats.org/officeDocument/2006/relationships/hyperlink" Target="https://drive.google.com/file/d/1Dj20YrqlWSyFvGsrdY29wRiK-1y9c8BA/view?usp=drive_link" TargetMode="External"/><Relationship Id="rId886" Type="http://schemas.openxmlformats.org/officeDocument/2006/relationships/hyperlink" Target="https://drive.google.com/file/d/1W6SMExlLV4iWi8tMDAwWiJQkZB0DAR9W/view?usp=drive_link" TargetMode="External"/><Relationship Id="rId401" Type="http://schemas.openxmlformats.org/officeDocument/2006/relationships/hyperlink" Target="https://drive.google.com/file/d/1U0ABuy_aQ5UlceFnmnufux8L5z5NRzaH/view?usp=sharing" TargetMode="External"/><Relationship Id="rId643" Type="http://schemas.openxmlformats.org/officeDocument/2006/relationships/hyperlink" Target="https://drive.google.com/file/d/1XGjrg172ho0Xl-HmFdB7MaGzoGktZQbu/view?usp=drive_link" TargetMode="External"/><Relationship Id="rId885" Type="http://schemas.openxmlformats.org/officeDocument/2006/relationships/hyperlink" Target="https://drive.google.com/file/d/1WWmrCRJ5aPEY5KyZZECkUbkjqnzN5Mir/view?usp=drive_link" TargetMode="External"/><Relationship Id="rId408" Type="http://schemas.openxmlformats.org/officeDocument/2006/relationships/hyperlink" Target="https://drive.google.com/file/d/11RXik-jBbDqbxtJ7q5NGlk3MmfLsIess/view?usp=sharing" TargetMode="External"/><Relationship Id="rId407" Type="http://schemas.openxmlformats.org/officeDocument/2006/relationships/hyperlink" Target="https://drive.google.com/file/d/1q7TbjN1V50_QiZVffX9hw9ZiP8rgI0Zr/view?usp=sharing" TargetMode="External"/><Relationship Id="rId649" Type="http://schemas.openxmlformats.org/officeDocument/2006/relationships/hyperlink" Target="https://drive.google.com/file/d/1RzqqmfWRzeNsqpCpqF0JCtsg6wG1vmXf/view?usp=drive_link" TargetMode="External"/><Relationship Id="rId406" Type="http://schemas.openxmlformats.org/officeDocument/2006/relationships/hyperlink" Target="https://drive.google.com/file/d/1lmcVd6gQuwrZY8zsmVgsnPGjaCGAy-lE/view?usp=sharing" TargetMode="External"/><Relationship Id="rId648" Type="http://schemas.openxmlformats.org/officeDocument/2006/relationships/hyperlink" Target="https://drive.google.com/file/d/1m9FxwEAztG3aMk88_KoHUK7AXDrDM_eq/view?usp=drive_link" TargetMode="External"/><Relationship Id="rId405" Type="http://schemas.openxmlformats.org/officeDocument/2006/relationships/hyperlink" Target="https://drive.google.com/file/d/1ZAt2j-fA6Vby5abzpXf3v_hDPfcHcpYg/view?usp=sharing" TargetMode="External"/><Relationship Id="rId647" Type="http://schemas.openxmlformats.org/officeDocument/2006/relationships/hyperlink" Target="https://drive.google.com/file/d/1LJo03nAN4xU4NhbYEJDwgMhCEeSrBDFb/view?usp=drive_link" TargetMode="External"/><Relationship Id="rId889" Type="http://schemas.openxmlformats.org/officeDocument/2006/relationships/hyperlink" Target="https://drive.google.com/file/d/17liCDzNXYCZsShobJ62_7rrS4vn4MmUY/view?usp=drive_link" TargetMode="External"/><Relationship Id="rId880" Type="http://schemas.openxmlformats.org/officeDocument/2006/relationships/hyperlink" Target="https://drive.google.com/file/d/1dx0vaUfb_Mzotcxc8_Ld8CKfRbiiPAag/view?usp=drive_link" TargetMode="External"/><Relationship Id="rId1230" Type="http://schemas.openxmlformats.org/officeDocument/2006/relationships/hyperlink" Target="https://drive.google.com/file/d/1GWl2g2m-NNiQBqtvxz9HxyUP_BkoAwPo/view?usp=drive_link" TargetMode="External"/><Relationship Id="rId400" Type="http://schemas.openxmlformats.org/officeDocument/2006/relationships/hyperlink" Target="https://drive.google.com/file/d/15nD7MCQ-EQONo5AXH0uAYoVkQZMeiZKn/view?usp=sharing" TargetMode="External"/><Relationship Id="rId642" Type="http://schemas.openxmlformats.org/officeDocument/2006/relationships/hyperlink" Target="https://drive.google.com/file/d/1eZLmFUqBakRQpW6fp9SA6xZMj2pzoYVU/view?usp=drive_link" TargetMode="External"/><Relationship Id="rId884" Type="http://schemas.openxmlformats.org/officeDocument/2006/relationships/hyperlink" Target="https://drive.google.com/file/d/17YTYc7U-hwc_T0j-UJeYPZDPQRwVpvWX/view?usp=drive_link" TargetMode="External"/><Relationship Id="rId1231" Type="http://schemas.openxmlformats.org/officeDocument/2006/relationships/hyperlink" Target="https://drive.google.com/file/d/1UhN8RYZ6nqYAbC2zrRZARVxDOG2wvTh6/view?usp=drive_link" TargetMode="External"/><Relationship Id="rId641" Type="http://schemas.openxmlformats.org/officeDocument/2006/relationships/hyperlink" Target="https://drive.google.com/file/d/1gbVpSoxRre7dw_iA5HPXD2yIH0d2ZYZA/view?usp=drive_link" TargetMode="External"/><Relationship Id="rId883" Type="http://schemas.openxmlformats.org/officeDocument/2006/relationships/hyperlink" Target="https://drive.google.com/file/d/1JXmuaiPOTmjnQAhjAa2mE0xTD5hjYFWs/view?usp=drive_link" TargetMode="External"/><Relationship Id="rId1232" Type="http://schemas.openxmlformats.org/officeDocument/2006/relationships/hyperlink" Target="https://drive.google.com/file/d/1kLPTSm-qG4gyJ-YHgpa_3Z97wDFzy69b/view?usp=drive_link" TargetMode="External"/><Relationship Id="rId640" Type="http://schemas.openxmlformats.org/officeDocument/2006/relationships/hyperlink" Target="https://drive.google.com/file/d/1Ol0IEuhvQk6E3mPYL5O31l8679wa82qd/view?usp=drive_link" TargetMode="External"/><Relationship Id="rId882" Type="http://schemas.openxmlformats.org/officeDocument/2006/relationships/hyperlink" Target="https://drive.google.com/file/d/1Jwf2cY4Yz41prCRvskkLFDHiOiHw7mqA/view?usp=drive_link" TargetMode="External"/><Relationship Id="rId1233" Type="http://schemas.openxmlformats.org/officeDocument/2006/relationships/hyperlink" Target="https://drive.google.com/file/d/1bGwoJ2FOzLQ98SxUrrR8S_QOi2y2giAp/view?usp=drive_link" TargetMode="External"/><Relationship Id="rId881" Type="http://schemas.openxmlformats.org/officeDocument/2006/relationships/hyperlink" Target="https://drive.google.com/file/d/1DApO08XIAuFLZBYsbmv-1fnAo8HBrPFE/view?usp=drive_link" TargetMode="External"/><Relationship Id="rId1234" Type="http://schemas.openxmlformats.org/officeDocument/2006/relationships/hyperlink" Target="https://drive.google.com/file/d/1N0wkFqAQkJfZsNM3FFdXe9TPV4lA_EP6/view?usp=drive_link" TargetMode="External"/><Relationship Id="rId1224" Type="http://schemas.openxmlformats.org/officeDocument/2006/relationships/hyperlink" Target="https://drive.google.com/file/d/1gNuKEW6XhCHdRzu593Bt6LYC7hSrH7_n/view?usp=drive_link" TargetMode="External"/><Relationship Id="rId1225" Type="http://schemas.openxmlformats.org/officeDocument/2006/relationships/hyperlink" Target="https://drive.google.com/file/d/1xScOd-bIUJZFNioNKQnWILG2UF2tVGNc/view?usp=drive_link" TargetMode="External"/><Relationship Id="rId1226" Type="http://schemas.openxmlformats.org/officeDocument/2006/relationships/hyperlink" Target="https://drive.google.com/file/d/1z4ZJvrJjAj9RuJ0xRzsWKw5Q5C9l-vuN/view?usp=drive_link" TargetMode="External"/><Relationship Id="rId1227" Type="http://schemas.openxmlformats.org/officeDocument/2006/relationships/hyperlink" Target="https://drive.google.com/file/d/1GDgTePOgG8gZWaWpvYPEWRXFpDcFXVsj/view?usp=drive_link" TargetMode="External"/><Relationship Id="rId1228" Type="http://schemas.openxmlformats.org/officeDocument/2006/relationships/hyperlink" Target="https://drive.google.com/file/d/1SY2csHcLEwsKmAyzqqUlUL6FuN4GIVZH/view?usp=drive_link" TargetMode="External"/><Relationship Id="rId1229" Type="http://schemas.openxmlformats.org/officeDocument/2006/relationships/hyperlink" Target="https://drive.google.com/file/d/1Emh9GKk1Rxg3MYnhn16x1yj0hg8pY-pF/view?usp=drive_link" TargetMode="External"/><Relationship Id="rId635" Type="http://schemas.openxmlformats.org/officeDocument/2006/relationships/hyperlink" Target="https://drive.google.com/file/d/19wQ-iEoUcehpMmu8qSu2tn32HEoaQkxi/view?usp=drive_link" TargetMode="External"/><Relationship Id="rId877" Type="http://schemas.openxmlformats.org/officeDocument/2006/relationships/hyperlink" Target="https://drive.google.com/file/d/1ZZoTKD7hOramQ2uz8KldMy5haMiNQzzC/view?usp=drive_link" TargetMode="External"/><Relationship Id="rId634" Type="http://schemas.openxmlformats.org/officeDocument/2006/relationships/hyperlink" Target="https://drive.google.com/file/d/1jVpAqZPoUUC6R-HOb_MXu4oJfl7W-1fr/view?usp=drive_link" TargetMode="External"/><Relationship Id="rId876" Type="http://schemas.openxmlformats.org/officeDocument/2006/relationships/hyperlink" Target="https://drive.google.com/file/d/1suv4ZFYdQiQWU4g6vptF_zQi_G3Hy4Ow/view?usp=drive_link" TargetMode="External"/><Relationship Id="rId633" Type="http://schemas.openxmlformats.org/officeDocument/2006/relationships/hyperlink" Target="https://drive.google.com/file/d/1CfMQlBSNpSzxWMOR9jREXnUL62O-5oKZ/view?usp=drive_link" TargetMode="External"/><Relationship Id="rId875" Type="http://schemas.openxmlformats.org/officeDocument/2006/relationships/hyperlink" Target="https://drive.google.com/file/d/1N0rl4zEj6Sc3CpJvVvfnMUttYT2CyZRy/view?usp=drive_link" TargetMode="External"/><Relationship Id="rId632" Type="http://schemas.openxmlformats.org/officeDocument/2006/relationships/hyperlink" Target="https://drive.google.com/file/d/1jOfId9NlerzqpNMMA0ABBz0sP8DPQLPW/view?usp=drive_link" TargetMode="External"/><Relationship Id="rId874" Type="http://schemas.openxmlformats.org/officeDocument/2006/relationships/hyperlink" Target="https://drive.google.com/file/d/1W4yADTL9hPAoiW6K9ZruUw0BdJfiTgoa/view?usp=drive_link" TargetMode="External"/><Relationship Id="rId639" Type="http://schemas.openxmlformats.org/officeDocument/2006/relationships/hyperlink" Target="https://drive.google.com/file/d/1yn79b2pSenZ0B5R6HlMMU99dMGxXRIX2/view?usp=drive_link" TargetMode="External"/><Relationship Id="rId638" Type="http://schemas.openxmlformats.org/officeDocument/2006/relationships/hyperlink" Target="https://drive.google.com/file/d/1iYTyfl2O4xJrKYq7oKREQ9uUnvzDUQ0e/view?usp=drive_link" TargetMode="External"/><Relationship Id="rId637" Type="http://schemas.openxmlformats.org/officeDocument/2006/relationships/hyperlink" Target="https://drive.google.com/file/d/1cIdz71zEF1w4dzKUXle8_cb7Ah20KrpH/view?usp=drive_link" TargetMode="External"/><Relationship Id="rId879" Type="http://schemas.openxmlformats.org/officeDocument/2006/relationships/hyperlink" Target="https://drive.google.com/file/d/1DFEQK4Fgo9mdTA1o_UYhb6FxeXOu20gM/view?usp=drive_link" TargetMode="External"/><Relationship Id="rId636" Type="http://schemas.openxmlformats.org/officeDocument/2006/relationships/hyperlink" Target="https://drive.google.com/file/d/1mYOk3MlpuMOTT_RJfJUGll9r091ZsOEb/view?usp=drive_link" TargetMode="External"/><Relationship Id="rId878" Type="http://schemas.openxmlformats.org/officeDocument/2006/relationships/hyperlink" Target="https://drive.google.com/file/d/199F9soy1po_peNDSwDqAhsJoyxnrwjf5/view?usp=drive_link" TargetMode="External"/><Relationship Id="rId631" Type="http://schemas.openxmlformats.org/officeDocument/2006/relationships/hyperlink" Target="https://drive.google.com/file/d/1vcPVLbpCCv0K2uqDzmDq6cK_tc2WseDa/view?usp=drive_link" TargetMode="External"/><Relationship Id="rId873" Type="http://schemas.openxmlformats.org/officeDocument/2006/relationships/hyperlink" Target="https://drive.google.com/file/d/1nFJ43dq1fyA3WUC-Y06NIjNoxBuybLVA/view?usp=drive_link" TargetMode="External"/><Relationship Id="rId1220" Type="http://schemas.openxmlformats.org/officeDocument/2006/relationships/hyperlink" Target="https://drive.google.com/file/d/1S6ZS7lCLyM9ogyGjC7cZoiU2tr921sjK/view?usp=drive_link" TargetMode="External"/><Relationship Id="rId630" Type="http://schemas.openxmlformats.org/officeDocument/2006/relationships/hyperlink" Target="https://drive.google.com/file/d/1LhivhggcJ0FFoIvEyZuXVWkLzG73KW8A/view?usp=drive_link" TargetMode="External"/><Relationship Id="rId872" Type="http://schemas.openxmlformats.org/officeDocument/2006/relationships/hyperlink" Target="https://drive.google.com/file/d/1P5kwyNH5bgya92D8aJ1_-DogZRzgXQlw/view?usp=drive_link" TargetMode="External"/><Relationship Id="rId1221" Type="http://schemas.openxmlformats.org/officeDocument/2006/relationships/hyperlink" Target="https://drive.google.com/file/d/1hExUNNRW2X4hETcPbnYf0vZF_3VR0fb2/view?usp=drive_link" TargetMode="External"/><Relationship Id="rId871" Type="http://schemas.openxmlformats.org/officeDocument/2006/relationships/hyperlink" Target="https://drive.google.com/file/d/1uW6jTvaal3LkzOzRHBDdV9adXhlRD-98/view?usp=drive_link" TargetMode="External"/><Relationship Id="rId1222" Type="http://schemas.openxmlformats.org/officeDocument/2006/relationships/hyperlink" Target="https://drive.google.com/file/d/1zCd999rmlisIjGFsODcP0_AG4fV4I5E2/view?usp=drive_link" TargetMode="External"/><Relationship Id="rId870" Type="http://schemas.openxmlformats.org/officeDocument/2006/relationships/hyperlink" Target="https://drive.google.com/file/d/1fQgMSqwRJfSzfZSKHnUgs1GKo8NAwduv/view?usp=drive_link" TargetMode="External"/><Relationship Id="rId1223" Type="http://schemas.openxmlformats.org/officeDocument/2006/relationships/hyperlink" Target="https://drive.google.com/file/d/16PQN0ALVckh1bZkpxpbNi6gBW3hCQPRY/view?usp=drive_link" TargetMode="External"/><Relationship Id="rId1411" Type="http://schemas.openxmlformats.org/officeDocument/2006/relationships/hyperlink" Target="https://drive.google.com/file/d/1_W8i0cbQHNe37IJJmAet7AmKavH38b8S/view?usp=drive_link" TargetMode="External"/><Relationship Id="rId1412" Type="http://schemas.openxmlformats.org/officeDocument/2006/relationships/hyperlink" Target="https://drive.google.com/file/d/1EwllaMbnrYJ-WpHWkzf5bz35BV1WUOT3/view?usp=drive_link" TargetMode="External"/><Relationship Id="rId1413" Type="http://schemas.openxmlformats.org/officeDocument/2006/relationships/hyperlink" Target="https://drive.google.com/file/d/1e8dM8Yg3CXIkx3rI5-Kd4YyxosXw_PkH/view?usp=drive_link" TargetMode="External"/><Relationship Id="rId1414" Type="http://schemas.openxmlformats.org/officeDocument/2006/relationships/hyperlink" Target="https://drive.google.com/file/d/19SRKedVvo9mvzZCJSuRcpPmSmDWIlifl/view?usp=drive_link" TargetMode="External"/><Relationship Id="rId1415" Type="http://schemas.openxmlformats.org/officeDocument/2006/relationships/hyperlink" Target="https://drive.google.com/file/d/1wJYIV3BkZ1geWD-Y-q6O3QtLjkGy50SO/view?usp=drive_link" TargetMode="External"/><Relationship Id="rId1416" Type="http://schemas.openxmlformats.org/officeDocument/2006/relationships/hyperlink" Target="https://drive.google.com/file/d/1PDtBIwSrOuP7Xa2sVxzvVVX_FBfjRf9n/view?usp=drive_link" TargetMode="External"/><Relationship Id="rId1417" Type="http://schemas.openxmlformats.org/officeDocument/2006/relationships/hyperlink" Target="https://drive.google.com/file/d/18jhNg3U2u46sj2O2qU1H_umrKmdry-lF/view?usp=drive_link" TargetMode="External"/><Relationship Id="rId1418" Type="http://schemas.openxmlformats.org/officeDocument/2006/relationships/hyperlink" Target="https://drive.google.com/file/d/1eSfbuCHjGUVoiGStMgz4OsT3rmBPMy9-/view?usp=drive_link" TargetMode="External"/><Relationship Id="rId1419" Type="http://schemas.openxmlformats.org/officeDocument/2006/relationships/hyperlink" Target="https://drive.google.com/file/d/1q8RzMV9LFxUSdrQsCx9eriMB9DshCHCj/view?usp=drive_link" TargetMode="External"/><Relationship Id="rId829" Type="http://schemas.openxmlformats.org/officeDocument/2006/relationships/hyperlink" Target="https://drive.google.com/file/d/1AoTkxDUPW7bZoO9m9CBZ_DDhCzAfsQW2/view?usp=drive_link" TargetMode="External"/><Relationship Id="rId828" Type="http://schemas.openxmlformats.org/officeDocument/2006/relationships/hyperlink" Target="https://drive.google.com/file/d/1KBKBMLarma5_96hVaVTr_qEWmbzodnqj/view?usp=drive_link" TargetMode="External"/><Relationship Id="rId827" Type="http://schemas.openxmlformats.org/officeDocument/2006/relationships/hyperlink" Target="https://drive.google.com/file/d/1xIxWdUeK6CjrtgLFRRaddVecrLlbc_WN/view?usp=drive_link" TargetMode="External"/><Relationship Id="rId822" Type="http://schemas.openxmlformats.org/officeDocument/2006/relationships/hyperlink" Target="https://drive.google.com/file/d/1btM_Gaqh-RKFjaBqrr67E2hxLZyVS8pw/view?usp=drive_link" TargetMode="External"/><Relationship Id="rId821" Type="http://schemas.openxmlformats.org/officeDocument/2006/relationships/hyperlink" Target="https://drive.google.com/file/d/1P2GFSNYYaDd0pV7ot3kuODNDWwhBw-Jw/view?usp=drive_link" TargetMode="External"/><Relationship Id="rId820" Type="http://schemas.openxmlformats.org/officeDocument/2006/relationships/hyperlink" Target="https://drive.google.com/file/d/1zk8caIp0bx6yJb_IehiULevsUG3hIUdx/view?usp=drive_link" TargetMode="External"/><Relationship Id="rId826" Type="http://schemas.openxmlformats.org/officeDocument/2006/relationships/hyperlink" Target="https://drive.google.com/file/d/18invzpq3Xz0HJ4czzxnMbhgjAv3xWCCD/view?usp=sharing" TargetMode="External"/><Relationship Id="rId825" Type="http://schemas.openxmlformats.org/officeDocument/2006/relationships/hyperlink" Target="https://drive.google.com/file/d/143WX54jOlgoWObdinuBrhP_bP8_CKI98/view?usp=sharing" TargetMode="External"/><Relationship Id="rId824" Type="http://schemas.openxmlformats.org/officeDocument/2006/relationships/hyperlink" Target="https://drive.google.com/file/d/1pJG7ngI2NhcbywTIwulXktXXcB5kPBj5/view?usp=drive_link" TargetMode="External"/><Relationship Id="rId823" Type="http://schemas.openxmlformats.org/officeDocument/2006/relationships/hyperlink" Target="https://drive.google.com/file/d/1VdSiz6pl7EM58tfmQfIMo9tKg0WT-YeO/view?usp=sharing" TargetMode="External"/><Relationship Id="rId1410" Type="http://schemas.openxmlformats.org/officeDocument/2006/relationships/hyperlink" Target="https://drive.google.com/file/d/1x4RP7dHb6Pf_K_CbV6dXao2eb4twyhUe/view?usp=drive_link" TargetMode="External"/><Relationship Id="rId1400" Type="http://schemas.openxmlformats.org/officeDocument/2006/relationships/hyperlink" Target="https://drive.google.com/file/d/1uLPB0Ozc9Rj6bb_CmEdWykAdb2sbDdm2/view?usp=drive_link" TargetMode="External"/><Relationship Id="rId1401" Type="http://schemas.openxmlformats.org/officeDocument/2006/relationships/hyperlink" Target="https://drive.google.com/file/d/1lbsFZQH2FP296N23aaUIvCw7_hwksbMP/view?usp=drive_link" TargetMode="External"/><Relationship Id="rId1402" Type="http://schemas.openxmlformats.org/officeDocument/2006/relationships/hyperlink" Target="https://drive.google.com/file/d/1uaTPQByPScPpD4m9FJJl3hkYMnFBEVcb/view?usp=drive_link" TargetMode="External"/><Relationship Id="rId1403" Type="http://schemas.openxmlformats.org/officeDocument/2006/relationships/hyperlink" Target="https://drive.google.com/file/d/18AVqEGwPytDE9tFKqoH1aS6NjmfDV5vR/view?usp=drive_link" TargetMode="External"/><Relationship Id="rId1404" Type="http://schemas.openxmlformats.org/officeDocument/2006/relationships/hyperlink" Target="https://drive.google.com/file/d/1_WVTRvhconpRWwluqrpSJqChOXW9hnul/view?usp=drive_link" TargetMode="External"/><Relationship Id="rId1405" Type="http://schemas.openxmlformats.org/officeDocument/2006/relationships/hyperlink" Target="https://drive.google.com/file/d/199I5JSA58-TXz0gcRQsaDzen1JGosFc0/view?usp=drive_link" TargetMode="External"/><Relationship Id="rId1406" Type="http://schemas.openxmlformats.org/officeDocument/2006/relationships/hyperlink" Target="https://drive.google.com/file/d/1WUTUhs9m-2Fl9cprs9ePJZtM-QnG0XLY/view?usp=drive_link" TargetMode="External"/><Relationship Id="rId1407" Type="http://schemas.openxmlformats.org/officeDocument/2006/relationships/hyperlink" Target="https://drive.google.com/file/d/1DCc2jGaahkh597Rh4xFYEFGNhRvITD_O/view?usp=drive_link" TargetMode="External"/><Relationship Id="rId819" Type="http://schemas.openxmlformats.org/officeDocument/2006/relationships/hyperlink" Target="https://drive.google.com/file/d/1720uFz2s8MTL3liI6IMxsFt1PsDKxodr/view?usp=drive_link" TargetMode="External"/><Relationship Id="rId1408" Type="http://schemas.openxmlformats.org/officeDocument/2006/relationships/hyperlink" Target="https://drive.google.com/file/d/13WbhG2R1biV7KK6SL9uZ6w4RZNGHApbv/view?usp=drive_link" TargetMode="External"/><Relationship Id="rId818" Type="http://schemas.openxmlformats.org/officeDocument/2006/relationships/hyperlink" Target="https://drive.google.com/file/d/1Qt1DGLjFSkUPF4c0axOk1iA_6DP1FwuL/view?usp=drive_link" TargetMode="External"/><Relationship Id="rId1409" Type="http://schemas.openxmlformats.org/officeDocument/2006/relationships/hyperlink" Target="https://drive.google.com/file/d/1W8UyrlYC_i-zbXrJ18Voj-fk_rd3G4pn/view?usp=drive_link" TargetMode="External"/><Relationship Id="rId817" Type="http://schemas.openxmlformats.org/officeDocument/2006/relationships/hyperlink" Target="https://drive.google.com/file/d/1Vun-5lKmqf7xpwjj0zjFuJJx9zbFcdDe/view?usp=drive_link" TargetMode="External"/><Relationship Id="rId816" Type="http://schemas.openxmlformats.org/officeDocument/2006/relationships/hyperlink" Target="https://drive.google.com/file/d/1_haw2owsYwxtGdkzltRaigQRmVcvepk0/view?usp=drive_link" TargetMode="External"/><Relationship Id="rId811" Type="http://schemas.openxmlformats.org/officeDocument/2006/relationships/hyperlink" Target="https://drive.google.com/file/d/1cjKAzhWVW-prlY4kTfuVot-MYcLJ-qQE/view?usp=sharing" TargetMode="External"/><Relationship Id="rId810" Type="http://schemas.openxmlformats.org/officeDocument/2006/relationships/hyperlink" Target="https://drive.google.com/file/d/13d80m2mMLOB54gmfiDsQD683IOil_Q6K/view?usp=drive_link" TargetMode="External"/><Relationship Id="rId815" Type="http://schemas.openxmlformats.org/officeDocument/2006/relationships/hyperlink" Target="https://drive.google.com/file/d/12YIJ2O0AQn2sk-SWwoXFnvlbOAmWgs8Q/view?usp=drive_link" TargetMode="External"/><Relationship Id="rId814" Type="http://schemas.openxmlformats.org/officeDocument/2006/relationships/hyperlink" Target="https://drive.google.com/file/d/1v9aEW50itaThfdSYhO1BX0H-Ct1yfAkr/view?usp=drive_link" TargetMode="External"/><Relationship Id="rId813" Type="http://schemas.openxmlformats.org/officeDocument/2006/relationships/hyperlink" Target="https://drive.google.com/file/d/1TJjVA4ACNgU5R5r7PgtMI3kOI5kM6EoR/view?usp=drive_link" TargetMode="External"/><Relationship Id="rId812" Type="http://schemas.openxmlformats.org/officeDocument/2006/relationships/hyperlink" Target="https://drive.google.com/file/d/1QKJzVdziup8r5pC-mal4_ji9GmfQpUDj/view?usp=sharing" TargetMode="External"/><Relationship Id="rId609" Type="http://schemas.openxmlformats.org/officeDocument/2006/relationships/hyperlink" Target="https://drive.google.com/file/d/1kOhDuYUdBMr3j8FaDmxv8d_eFXMZYt4A/view?usp=drive_link" TargetMode="External"/><Relationship Id="rId608" Type="http://schemas.openxmlformats.org/officeDocument/2006/relationships/hyperlink" Target="https://drive.google.com/file/d/1FkjusAX4YGZ_1bxrDDuHZbA3o5a_eFdq/view?usp=drive_link" TargetMode="External"/><Relationship Id="rId607" Type="http://schemas.openxmlformats.org/officeDocument/2006/relationships/hyperlink" Target="https://drive.google.com/file/d/1ZnmQDkKtQDnqTXKBT7cyz-RgUbFkO893/view?usp=drive_link" TargetMode="External"/><Relationship Id="rId849" Type="http://schemas.openxmlformats.org/officeDocument/2006/relationships/hyperlink" Target="https://drive.google.com/file/d/1OiIpBhIVulcpRAWtUwnA0SYYeesc_CTz/view?usp=drive_link" TargetMode="External"/><Relationship Id="rId602" Type="http://schemas.openxmlformats.org/officeDocument/2006/relationships/hyperlink" Target="https://drive.google.com/file/d/13eMmepFOwq-YDEZMrjv6QN6LlHz9Hfwq/view?usp=drive_link" TargetMode="External"/><Relationship Id="rId844" Type="http://schemas.openxmlformats.org/officeDocument/2006/relationships/hyperlink" Target="https://drive.google.com/file/d/1traIuN0qMFNi24A9YnJ3dMAT5-LAXmOk/view?usp=drive_link" TargetMode="External"/><Relationship Id="rId601" Type="http://schemas.openxmlformats.org/officeDocument/2006/relationships/hyperlink" Target="https://drive.google.com/file/d/1QvDIQyM48dKaJD6-KE4t7cKByraQtiYJ/view?usp=drive_link" TargetMode="External"/><Relationship Id="rId843" Type="http://schemas.openxmlformats.org/officeDocument/2006/relationships/hyperlink" Target="https://drive.google.com/file/d/1uVTql_wIUAM6WJUAfr9EQaPt_KnhfzfE/view?usp=drive_link" TargetMode="External"/><Relationship Id="rId600" Type="http://schemas.openxmlformats.org/officeDocument/2006/relationships/hyperlink" Target="https://drive.google.com/file/d/16THO66sYEI3qZzPwiMTZVsJ2ZqHbZJ2g/view?usp=drive_link" TargetMode="External"/><Relationship Id="rId842" Type="http://schemas.openxmlformats.org/officeDocument/2006/relationships/hyperlink" Target="https://drive.google.com/file/d/1PmSGFcfn1KRHwe8kD317psOfkeM2I2QN/view?usp=drive_link" TargetMode="External"/><Relationship Id="rId841" Type="http://schemas.openxmlformats.org/officeDocument/2006/relationships/hyperlink" Target="https://drive.google.com/file/d/1YjPZGCv5abuW9h_dlf0-E0Ts6MYq5RZv/view?usp=drive_link" TargetMode="External"/><Relationship Id="rId606" Type="http://schemas.openxmlformats.org/officeDocument/2006/relationships/hyperlink" Target="https://drive.google.com/file/d/1q1vKq4decevbA8i-odhFAPlw-HfKMrvY/view?usp=drive_link" TargetMode="External"/><Relationship Id="rId848" Type="http://schemas.openxmlformats.org/officeDocument/2006/relationships/hyperlink" Target="https://drive.google.com/file/d/10shQdIiQmuRcMjmd6Wj8F69HseXdxH4X/view?usp=drive_link" TargetMode="External"/><Relationship Id="rId605" Type="http://schemas.openxmlformats.org/officeDocument/2006/relationships/hyperlink" Target="https://drive.google.com/file/d/1cdIi7nho9YsHpN4hN-IMSMHuFEj27bsu/view?usp=drive_link" TargetMode="External"/><Relationship Id="rId847" Type="http://schemas.openxmlformats.org/officeDocument/2006/relationships/hyperlink" Target="https://drive.google.com/file/d/1O3P_k2Fy2lYIyJYS2APF1VUUdPTEw3id/view?usp=drive_link" TargetMode="External"/><Relationship Id="rId604" Type="http://schemas.openxmlformats.org/officeDocument/2006/relationships/hyperlink" Target="https://drive.google.com/file/d/1OofJo-ieIBKaoUFRPn971aqEaJQrZ3yU/view?usp=drive_link" TargetMode="External"/><Relationship Id="rId846" Type="http://schemas.openxmlformats.org/officeDocument/2006/relationships/hyperlink" Target="https://drive.google.com/file/d/1CBAoKuvMUJtnmKieFFzH-03rI_-dWF0J/view?usp=drive_link" TargetMode="External"/><Relationship Id="rId603" Type="http://schemas.openxmlformats.org/officeDocument/2006/relationships/hyperlink" Target="https://drive.google.com/file/d/1aofRcCayJtpZVpzPPZqKFgBSfZ-oOTsQ/view?usp=drive_link" TargetMode="External"/><Relationship Id="rId845" Type="http://schemas.openxmlformats.org/officeDocument/2006/relationships/hyperlink" Target="https://drive.google.com/file/d/1MRTnkNlpqtpMcokUw7ebGtZOz2Uk8SUm/view?usp=drive_link" TargetMode="External"/><Relationship Id="rId840" Type="http://schemas.openxmlformats.org/officeDocument/2006/relationships/hyperlink" Target="https://drive.google.com/file/d/1YUCfswT2Vlj5dHKaHLEr23lV76ov0GKP/view?usp=drive_link" TargetMode="External"/><Relationship Id="rId1422" Type="http://schemas.openxmlformats.org/officeDocument/2006/relationships/hyperlink" Target="https://drive.google.com/file/d/1-sXIkTuioG2OkbvKvfNVnWubORAn1-XH/view?usp=drive_link" TargetMode="External"/><Relationship Id="rId1423" Type="http://schemas.openxmlformats.org/officeDocument/2006/relationships/hyperlink" Target="https://drive.google.com/file/d/1qgTZdNGIPt_ohz8kcfvnH7mTlxTf9Lfo/view?usp=drive_link" TargetMode="External"/><Relationship Id="rId1424" Type="http://schemas.openxmlformats.org/officeDocument/2006/relationships/drawing" Target="../drawings/drawing1.xml"/><Relationship Id="rId1426" Type="http://schemas.openxmlformats.org/officeDocument/2006/relationships/table" Target="../tables/table1.xml"/><Relationship Id="rId839" Type="http://schemas.openxmlformats.org/officeDocument/2006/relationships/hyperlink" Target="https://drive.google.com/file/d/168radVY7mj7LG700pjBHjMfPVFLVDSxo/view?usp=drive_link" TargetMode="External"/><Relationship Id="rId838" Type="http://schemas.openxmlformats.org/officeDocument/2006/relationships/hyperlink" Target="https://drive.google.com/file/d/1dVWxaml7EElu3adhK6ohiwKguFZiP-vD/view?usp=drive_link" TargetMode="External"/><Relationship Id="rId833" Type="http://schemas.openxmlformats.org/officeDocument/2006/relationships/hyperlink" Target="https://drive.google.com/file/d/14Oy6MLy53R9VXMy7r5QdGQp8YmpH4je8/view?usp=drive_link" TargetMode="External"/><Relationship Id="rId832" Type="http://schemas.openxmlformats.org/officeDocument/2006/relationships/hyperlink" Target="https://drive.google.com/file/d/151vvMLSQ69SFeIsgZDDjhY7qCaYJGuF_/view?usp=drive_link" TargetMode="External"/><Relationship Id="rId831" Type="http://schemas.openxmlformats.org/officeDocument/2006/relationships/hyperlink" Target="https://drive.google.com/file/d/1WZI9W44sXkO30luzQCX9ku7lBcs5cZrY/view?usp=drive_link" TargetMode="External"/><Relationship Id="rId830" Type="http://schemas.openxmlformats.org/officeDocument/2006/relationships/hyperlink" Target="https://drive.google.com/file/d/1KfpKnf1k3ZwrCOWgDdNUXhLWpUvcZUt3/view?usp=drive_link" TargetMode="External"/><Relationship Id="rId837" Type="http://schemas.openxmlformats.org/officeDocument/2006/relationships/hyperlink" Target="https://drive.google.com/file/d/19ziIpACtt3wPBM1jncPJ4zRNHTrO4AeG/view?usp=drive_link" TargetMode="External"/><Relationship Id="rId836" Type="http://schemas.openxmlformats.org/officeDocument/2006/relationships/hyperlink" Target="https://drive.google.com/file/d/1TyGMUPzAKotKcqPmc7EUCvUIl_rLPjFA/view?usp=drive_link" TargetMode="External"/><Relationship Id="rId835" Type="http://schemas.openxmlformats.org/officeDocument/2006/relationships/hyperlink" Target="https://drive.google.com/file/d/1_BR5B5weDktxVPR7uX92WG-O1naIOXS7/view?usp=drive_link" TargetMode="External"/><Relationship Id="rId834" Type="http://schemas.openxmlformats.org/officeDocument/2006/relationships/hyperlink" Target="https://drive.google.com/file/d/11Bk0Pobfg9cZUfyoJcq03w8sjnUr0rJu/view?usp=drive_link" TargetMode="External"/><Relationship Id="rId1420" Type="http://schemas.openxmlformats.org/officeDocument/2006/relationships/hyperlink" Target="https://drive.google.com/file/d/1XSQ6_ykN7btWKCbVE-DlToDOYfZ826Yq/view?usp=drive_link" TargetMode="External"/><Relationship Id="rId1421" Type="http://schemas.openxmlformats.org/officeDocument/2006/relationships/hyperlink" Target="https://drive.google.com/file/d/1XAhj7aWYwqL6nIRPxCVHMxRqJXWp-XsZ/view?usp=drive_link" TargetMode="External"/><Relationship Id="rId1059" Type="http://schemas.openxmlformats.org/officeDocument/2006/relationships/hyperlink" Target="https://drive.google.com/file/d/1Q1Q1jeXrVjC3UF3q5W_XUk402PL7rL8E/view?usp=sharing" TargetMode="External"/><Relationship Id="rId228" Type="http://schemas.openxmlformats.org/officeDocument/2006/relationships/hyperlink" Target="https://drive.google.com/file/d/187KZ0bRQ3Xd0mu5vueFCRZix1em4VzAf/view?usp=sharing" TargetMode="External"/><Relationship Id="rId227" Type="http://schemas.openxmlformats.org/officeDocument/2006/relationships/hyperlink" Target="https://drive.google.com/file/d/1HEzGgEfknmAYm-X4TQoZMAWnwhFxLHXJ/view?usp=sharing" TargetMode="External"/><Relationship Id="rId469" Type="http://schemas.openxmlformats.org/officeDocument/2006/relationships/hyperlink" Target="https://drive.google.com/file/d/1FXFmfPmEy72zHK0w-Cw5uUrEEgsfiObs/view?usp=drive_link" TargetMode="External"/><Relationship Id="rId226" Type="http://schemas.openxmlformats.org/officeDocument/2006/relationships/hyperlink" Target="https://drive.google.com/file/d/1DixG9_Fl4bqCVL2fl2xsLtTx1JPvVT2_/view?usp=sharing" TargetMode="External"/><Relationship Id="rId468" Type="http://schemas.openxmlformats.org/officeDocument/2006/relationships/hyperlink" Target="https://drive.google.com/file/d/1y84A6lLmtRk6R1oGMLrRfRaZ2AbIYZ0J/view?usp=drive_link" TargetMode="External"/><Relationship Id="rId225" Type="http://schemas.openxmlformats.org/officeDocument/2006/relationships/hyperlink" Target="https://drive.google.com/file/d/1HfdMfJUKfKAqF48E1F0LcYlEThhntDvS/view?usp=sharing" TargetMode="External"/><Relationship Id="rId467" Type="http://schemas.openxmlformats.org/officeDocument/2006/relationships/hyperlink" Target="https://drive.google.com/file/d/1OAjMgK2QI_HHEjvIeMn-3oPZcmLWGcWq/view?usp=drive_link" TargetMode="External"/><Relationship Id="rId1290" Type="http://schemas.openxmlformats.org/officeDocument/2006/relationships/hyperlink" Target="https://drive.google.com/file/d/1l1qjVF_zlNMij1MtOmdOJIF_WaZxYWPI/view?usp=drive_link" TargetMode="External"/><Relationship Id="rId1291" Type="http://schemas.openxmlformats.org/officeDocument/2006/relationships/hyperlink" Target="https://drive.google.com/file/d/1xyrFStCCi40Rgm00iaNtWLcLfVVgUxQv/view?usp=drive_link" TargetMode="External"/><Relationship Id="rId229" Type="http://schemas.openxmlformats.org/officeDocument/2006/relationships/hyperlink" Target="https://drive.google.com/file/d/1MQ25xPu5oAS3VlTybcJquMGOZW1zlp82/view?usp=sharing" TargetMode="External"/><Relationship Id="rId1050" Type="http://schemas.openxmlformats.org/officeDocument/2006/relationships/hyperlink" Target="https://drive.google.com/file/d/1ODLP_fC-_xurNZacHaucSCMu68FAryMH/view?usp=sharing" TargetMode="External"/><Relationship Id="rId1292" Type="http://schemas.openxmlformats.org/officeDocument/2006/relationships/hyperlink" Target="https://drive.google.com/file/d/1cASuS8JwYHT4lKAqXoloyl0Q0aEOTCm7/view?usp=drive_link" TargetMode="External"/><Relationship Id="rId220" Type="http://schemas.openxmlformats.org/officeDocument/2006/relationships/hyperlink" Target="https://drive.google.com/file/d/1FADA9Sde25bQMAaQxf7-9Wlv_IGKP9O8/view?usp=drive_link" TargetMode="External"/><Relationship Id="rId462" Type="http://schemas.openxmlformats.org/officeDocument/2006/relationships/hyperlink" Target="https://drive.google.com/file/d/1HOQZSBUX23z2YyA3D_sf2UPgVJ3F8kiT/view?usp=sharing" TargetMode="External"/><Relationship Id="rId1051" Type="http://schemas.openxmlformats.org/officeDocument/2006/relationships/hyperlink" Target="https://drive.google.com/file/d/1lLALe7DYY4qodH27w6k059CpZQSaOduX/view?usp=sharing" TargetMode="External"/><Relationship Id="rId1293" Type="http://schemas.openxmlformats.org/officeDocument/2006/relationships/hyperlink" Target="https://drive.google.com/file/d/1dXHFhe0D3dvSC422H9Of-5V7r8pIjuwq/view?usp=drive_link" TargetMode="External"/><Relationship Id="rId461" Type="http://schemas.openxmlformats.org/officeDocument/2006/relationships/hyperlink" Target="https://drive.google.com/file/d/1y07S0rzW5rihUGJ-L61NiZ81T0iHnQyt/view?usp=sharing" TargetMode="External"/><Relationship Id="rId1052" Type="http://schemas.openxmlformats.org/officeDocument/2006/relationships/hyperlink" Target="https://drive.google.com/file/d/1tut_qz1oHoSDjIdW_Ivj7jUfwk1SL8yp/view?usp=sharing" TargetMode="External"/><Relationship Id="rId1294" Type="http://schemas.openxmlformats.org/officeDocument/2006/relationships/hyperlink" Target="https://drive.google.com/file/d/1NB60giGaSKrqdUJSX7AkfuQEpGZ9Ba-7/view?usp=drive_link" TargetMode="External"/><Relationship Id="rId460" Type="http://schemas.openxmlformats.org/officeDocument/2006/relationships/hyperlink" Target="https://drive.google.com/file/d/1JAdeuG5UJluHxLu5uR5kITC2LRR_0zgr/view?usp=sharing" TargetMode="External"/><Relationship Id="rId1053" Type="http://schemas.openxmlformats.org/officeDocument/2006/relationships/hyperlink" Target="https://drive.google.com/file/d/12TVdMPWANzie7EUg1wx8qtVpuTtlQKji/view?usp=sharing" TargetMode="External"/><Relationship Id="rId1295" Type="http://schemas.openxmlformats.org/officeDocument/2006/relationships/hyperlink" Target="https://drive.google.com/file/d/1cKH9qM1SZjeaiWbTMHf7_stQttD9-QYO/view?usp=drive_link" TargetMode="External"/><Relationship Id="rId1054" Type="http://schemas.openxmlformats.org/officeDocument/2006/relationships/hyperlink" Target="https://drive.google.com/file/d/11j0g7lu79ZEINiRIDhxzIXfZ01mmUO3p/view?usp=sharing" TargetMode="External"/><Relationship Id="rId1296" Type="http://schemas.openxmlformats.org/officeDocument/2006/relationships/hyperlink" Target="https://drive.google.com/file/d/1SpP1_ltdsXQxJr6jSOkv_1HUUyKGBEFl/view?usp=drive_link" TargetMode="External"/><Relationship Id="rId224" Type="http://schemas.openxmlformats.org/officeDocument/2006/relationships/hyperlink" Target="https://drive.google.com/file/d/1XefzV9OtPi3t9PfTX97D4PpiUE7qSpfQ/view?usp=sharing" TargetMode="External"/><Relationship Id="rId466" Type="http://schemas.openxmlformats.org/officeDocument/2006/relationships/hyperlink" Target="https://drive.google.com/file/d/1rgCpGPVlimCy_-ADRSLvT7smFVE57yGt/view?usp=drive_link" TargetMode="External"/><Relationship Id="rId1055" Type="http://schemas.openxmlformats.org/officeDocument/2006/relationships/hyperlink" Target="https://drive.google.com/file/d/1wLAVmaMIRhq3Rhxaqn-G45Pt2dllN7Fu/view?usp=sharing" TargetMode="External"/><Relationship Id="rId1297" Type="http://schemas.openxmlformats.org/officeDocument/2006/relationships/hyperlink" Target="https://drive.google.com/file/d/1VMla8EUtoPlftah2D8-25lHVmmD2lg3s/view?usp=drive_link" TargetMode="External"/><Relationship Id="rId223" Type="http://schemas.openxmlformats.org/officeDocument/2006/relationships/hyperlink" Target="https://drive.google.com/file/d/1-TgO-QtzxHF4o1fWGiMoKoPd6JV-2Bsu/view?usp=sharing" TargetMode="External"/><Relationship Id="rId465" Type="http://schemas.openxmlformats.org/officeDocument/2006/relationships/hyperlink" Target="https://drive.google.com/file/d/1C5u9Wt8Yjty0n2Pp4F9XMpQpwk30XTCI/view?usp=drive_link" TargetMode="External"/><Relationship Id="rId1056" Type="http://schemas.openxmlformats.org/officeDocument/2006/relationships/hyperlink" Target="https://drive.google.com/file/d/13Dtwqgtj5m5CETwjAEOMQFQgVmHSq2ub/view?usp=sharing" TargetMode="External"/><Relationship Id="rId1298" Type="http://schemas.openxmlformats.org/officeDocument/2006/relationships/hyperlink" Target="https://drive.google.com/file/d/15EfEoGyZ4EqR8fvvDC_RVIR6RrdTY6C2/view?usp=drive_link" TargetMode="External"/><Relationship Id="rId222" Type="http://schemas.openxmlformats.org/officeDocument/2006/relationships/hyperlink" Target="https://drive.google.com/file/d/1IvhTmEDJtNaJ0tgAXDVUFnMdGW2S_Eap/view?usp=sharing" TargetMode="External"/><Relationship Id="rId464" Type="http://schemas.openxmlformats.org/officeDocument/2006/relationships/hyperlink" Target="https://drive.google.com/file/d/15CkW5VlS5JqSMwiLo2-C8fuBM5mm0fMT/view?usp=sharing" TargetMode="External"/><Relationship Id="rId1057" Type="http://schemas.openxmlformats.org/officeDocument/2006/relationships/hyperlink" Target="https://drive.google.com/file/d/1v3Vj64wRXGGtwBk-L6C7A2rBUwgcX8px/view?usp=sharing" TargetMode="External"/><Relationship Id="rId1299" Type="http://schemas.openxmlformats.org/officeDocument/2006/relationships/hyperlink" Target="https://drive.google.com/file/d/1aBLZmGSc-sYG-NYgjKoi42mntZcA3L3X/view?usp=drive_link" TargetMode="External"/><Relationship Id="rId221" Type="http://schemas.openxmlformats.org/officeDocument/2006/relationships/hyperlink" Target="https://drive.google.com/file/d/1QOIBzghbWmKFNeBti25zzqsOrb8beUeB/view?usp=sharing" TargetMode="External"/><Relationship Id="rId463" Type="http://schemas.openxmlformats.org/officeDocument/2006/relationships/hyperlink" Target="https://drive.google.com/file/d/1HbdsokiyOcQVZSDqRzl8HMQJ0B6maM7T/view?usp=sharing" TargetMode="External"/><Relationship Id="rId1058" Type="http://schemas.openxmlformats.org/officeDocument/2006/relationships/hyperlink" Target="https://drive.google.com/file/d/1Fjibam0K10suSnQTrDWBcRY3iXY6hy66/view?usp=sharing" TargetMode="External"/><Relationship Id="rId1048" Type="http://schemas.openxmlformats.org/officeDocument/2006/relationships/hyperlink" Target="https://drive.google.com/file/d/1sqyHjrFAJqx1ThG4a2IJV3L5aq7jH5jQ/view?usp=sharing" TargetMode="External"/><Relationship Id="rId1049" Type="http://schemas.openxmlformats.org/officeDocument/2006/relationships/hyperlink" Target="https://drive.google.com/file/d/1i9jk7a4oCTXxEmh3Ruap916Yd8F_SKO5/view?usp=sharing" TargetMode="External"/><Relationship Id="rId217" Type="http://schemas.openxmlformats.org/officeDocument/2006/relationships/hyperlink" Target="https://drive.google.com/file/d/1x9BCzUatb4FUoC9-S1GELoEiBUAXnTtu/view?usp=sharing" TargetMode="External"/><Relationship Id="rId459" Type="http://schemas.openxmlformats.org/officeDocument/2006/relationships/hyperlink" Target="https://drive.google.com/file/d/1ieL-J2bgzNdCZsg7jiFA7ZJcm0RM416G/view?usp=sharing" TargetMode="External"/><Relationship Id="rId216" Type="http://schemas.openxmlformats.org/officeDocument/2006/relationships/hyperlink" Target="https://drive.google.com/file/d/1rEkbHd6vG5VlQhKK4aVeCUSKVs4-3iFF/view?usp=sharing" TargetMode="External"/><Relationship Id="rId458" Type="http://schemas.openxmlformats.org/officeDocument/2006/relationships/hyperlink" Target="https://drive.google.com/file/d/1Z0s21nVLDOdKFYJZnHbVwHr4DOHNVBWA/view?usp=sharing" TargetMode="External"/><Relationship Id="rId215" Type="http://schemas.openxmlformats.org/officeDocument/2006/relationships/hyperlink" Target="https://drive.google.com/file/d/1i9YVHOcMoHe4s-pS6HA9hKoH2oB14EV3/view?usp=sharing" TargetMode="External"/><Relationship Id="rId457" Type="http://schemas.openxmlformats.org/officeDocument/2006/relationships/hyperlink" Target="https://drive.google.com/file/d/1DcWiCkLz4CAe0WZFc_7R_4QqlFtO54Gz/view?usp=sharing" TargetMode="External"/><Relationship Id="rId699" Type="http://schemas.openxmlformats.org/officeDocument/2006/relationships/hyperlink" Target="https://drive.google.com/file/d/1CiJukKXSRT-BwQSbdVNLzkJnMk9Ktiji/view?usp=sharing" TargetMode="External"/><Relationship Id="rId214" Type="http://schemas.openxmlformats.org/officeDocument/2006/relationships/hyperlink" Target="https://drive.google.com/file/d/10T6Q7OFsJwUvNtI6y38F--2bs2mMMupY/view?usp=sharing" TargetMode="External"/><Relationship Id="rId456" Type="http://schemas.openxmlformats.org/officeDocument/2006/relationships/hyperlink" Target="https://drive.google.com/file/d/1PezfcL3RfPZvNTmpP1_1Wm7rA0fXCQ14/view?usp=drive_link" TargetMode="External"/><Relationship Id="rId698" Type="http://schemas.openxmlformats.org/officeDocument/2006/relationships/hyperlink" Target="https://drive.google.com/file/d/1moxpZs_5IwyLIUFV6dOpRuy2k5EETEtM/view?usp=sharing" TargetMode="External"/><Relationship Id="rId219" Type="http://schemas.openxmlformats.org/officeDocument/2006/relationships/hyperlink" Target="https://drive.google.com/file/d/1cX0KJ9Jf0zbaCx5cvvGpVzPFXQFpvOu6/view?usp=sharing" TargetMode="External"/><Relationship Id="rId1280" Type="http://schemas.openxmlformats.org/officeDocument/2006/relationships/hyperlink" Target="https://drive.google.com/file/d/1imdlsLsNqrwN09v2aeDEwGkYrxiIT_Qc/view?usp=drive_link" TargetMode="External"/><Relationship Id="rId218" Type="http://schemas.openxmlformats.org/officeDocument/2006/relationships/hyperlink" Target="https://drive.google.com/file/d/1BvHCSN-ELyvRhpEbcBGcSRxJgesni3mH/view?usp=sharing" TargetMode="External"/><Relationship Id="rId1281" Type="http://schemas.openxmlformats.org/officeDocument/2006/relationships/hyperlink" Target="https://drive.google.com/file/d/13S9ur1u70lEW-TFq_VASLU5EIWHPk75i/view?usp=drive_link" TargetMode="External"/><Relationship Id="rId451" Type="http://schemas.openxmlformats.org/officeDocument/2006/relationships/hyperlink" Target="https://drive.google.com/file/d/1srN48g5FPLEpf4Rb4IxtA1Xmex0gpVgV/view?usp=drive_link" TargetMode="External"/><Relationship Id="rId693" Type="http://schemas.openxmlformats.org/officeDocument/2006/relationships/hyperlink" Target="https://drive.google.com/file/d/1L3bb2MhjQbD0CR506qm4FNuUooPM3DeT/view?usp=sharing" TargetMode="External"/><Relationship Id="rId1040" Type="http://schemas.openxmlformats.org/officeDocument/2006/relationships/hyperlink" Target="https://drive.google.com/file/d/1-I6gFbGVNpi7Mb5NMZhIOo7ezBNiZd-c/view?usp=sharing" TargetMode="External"/><Relationship Id="rId1282" Type="http://schemas.openxmlformats.org/officeDocument/2006/relationships/hyperlink" Target="https://drive.google.com/file/d/1m1Kwv2syjGsCEFSiD3QRVvf_M8EGvy3m/view?usp=drive_link" TargetMode="External"/><Relationship Id="rId450" Type="http://schemas.openxmlformats.org/officeDocument/2006/relationships/hyperlink" Target="https://drive.google.com/file/d/1zWLS1900KhmW0K8rJhDmfFZDFihBYAwx/view?usp=drive_link" TargetMode="External"/><Relationship Id="rId692" Type="http://schemas.openxmlformats.org/officeDocument/2006/relationships/hyperlink" Target="https://drive.google.com/file/d/1n_h3KLUKe1JpAZuDw55kSqBWPOSfD7VW/view?usp=drive_link" TargetMode="External"/><Relationship Id="rId1041" Type="http://schemas.openxmlformats.org/officeDocument/2006/relationships/hyperlink" Target="https://drive.google.com/file/d/1nMImpSX71Ihq9n8EmwlDa-eDgp-YWCXk/view?usp=sharing" TargetMode="External"/><Relationship Id="rId1283" Type="http://schemas.openxmlformats.org/officeDocument/2006/relationships/hyperlink" Target="https://drive.google.com/file/d/1f0otfWrqAMPW0K4Yl_9Y06jtxgKV81cK/view?usp=drive_link" TargetMode="External"/><Relationship Id="rId691" Type="http://schemas.openxmlformats.org/officeDocument/2006/relationships/hyperlink" Target="https://drive.google.com/file/d/1ATl4x1EU_VIBNB9lT6MYGDXkpTC0CRGD/view?usp=sharing" TargetMode="External"/><Relationship Id="rId1042" Type="http://schemas.openxmlformats.org/officeDocument/2006/relationships/hyperlink" Target="https://drive.google.com/file/d/1Kw3e05mJuvwmkOa0Fa_YInUdD0zCYiFc/view?usp=sharing" TargetMode="External"/><Relationship Id="rId1284" Type="http://schemas.openxmlformats.org/officeDocument/2006/relationships/hyperlink" Target="https://drive.google.com/file/d/13FziRiLqLO2frIqZ5vXn2oH4mzuntAqc/view?usp=drive_link" TargetMode="External"/><Relationship Id="rId690" Type="http://schemas.openxmlformats.org/officeDocument/2006/relationships/hyperlink" Target="https://drive.google.com/file/d/1BtgEgQD0CPTiwfNUkC1rcl5Ou1WMp1Al/view?usp=sharing" TargetMode="External"/><Relationship Id="rId1043" Type="http://schemas.openxmlformats.org/officeDocument/2006/relationships/hyperlink" Target="https://drive.google.com/file/d/10WJdakuZwpm23Tx_3jlQ0PXgMOFwHQVn/view?usp=sharing" TargetMode="External"/><Relationship Id="rId1285" Type="http://schemas.openxmlformats.org/officeDocument/2006/relationships/hyperlink" Target="https://drive.google.com/file/d/1AtOZgQHJ2RzaopEeafJlpGXOV6Zj8Qcz/view?usp=drive_link" TargetMode="External"/><Relationship Id="rId213" Type="http://schemas.openxmlformats.org/officeDocument/2006/relationships/hyperlink" Target="https://drive.google.com/file/d/10Y3-VKed_CvZcUq4AMzAPqm03Qy9Rg8t/view?usp=sharing" TargetMode="External"/><Relationship Id="rId455" Type="http://schemas.openxmlformats.org/officeDocument/2006/relationships/hyperlink" Target="https://drive.google.com/file/d/1TFWOUV5SfQbbXHT5lKYbspPplUd4-i2D/view?usp=drive_link" TargetMode="External"/><Relationship Id="rId697" Type="http://schemas.openxmlformats.org/officeDocument/2006/relationships/hyperlink" Target="https://drive.google.com/file/d/1f2pmQG1XHj0wPWly3tuZdsejHfhT2-I0/view?usp=sharing" TargetMode="External"/><Relationship Id="rId1044" Type="http://schemas.openxmlformats.org/officeDocument/2006/relationships/hyperlink" Target="https://drive.google.com/file/d/185iAjSt4u_qEvYHJ7X1qPKOuCMU72g4c/view?usp=sharing" TargetMode="External"/><Relationship Id="rId1286" Type="http://schemas.openxmlformats.org/officeDocument/2006/relationships/hyperlink" Target="https://drive.google.com/file/d/1Noh5SM1moRlpgEQcMDOaT48FHJts410V/view?usp=drive_link" TargetMode="External"/><Relationship Id="rId212" Type="http://schemas.openxmlformats.org/officeDocument/2006/relationships/hyperlink" Target="https://drive.google.com/file/d/1JR7_2eyJhEZNzV5RBetcsguwpB3Jxntj/view?usp=sharing" TargetMode="External"/><Relationship Id="rId454" Type="http://schemas.openxmlformats.org/officeDocument/2006/relationships/hyperlink" Target="https://drive.google.com/file/d/17YGFQdGGa14iO63E9tgsF1ylYLPapHlD/view?usp=drive_link" TargetMode="External"/><Relationship Id="rId696" Type="http://schemas.openxmlformats.org/officeDocument/2006/relationships/hyperlink" Target="https://drive.google.com/file/d/1RgkCtesL7l8bzwgBJBvj6fcyo8mY4Tnb/view?usp=sharing" TargetMode="External"/><Relationship Id="rId1045" Type="http://schemas.openxmlformats.org/officeDocument/2006/relationships/hyperlink" Target="https://drive.google.com/file/d/19AwZSvvNumJ0tfimqWJjLP5js1RGAlb8/view?usp=sharing" TargetMode="External"/><Relationship Id="rId1287" Type="http://schemas.openxmlformats.org/officeDocument/2006/relationships/hyperlink" Target="https://drive.google.com/file/d/1aDi4Nmsl4Ra3Wj1bwuqLGzwtSU_py5T7/view?usp=drive_link" TargetMode="External"/><Relationship Id="rId211" Type="http://schemas.openxmlformats.org/officeDocument/2006/relationships/hyperlink" Target="https://drive.google.com/file/d/1y91ILPYAqG5eFpBZvPg6Dc_o0dxeiezM/view?usp=sharing" TargetMode="External"/><Relationship Id="rId453" Type="http://schemas.openxmlformats.org/officeDocument/2006/relationships/hyperlink" Target="https://drive.google.com/file/d/1qLOxXNwos0RNk2PgAwGePI677UxGfWQa/view?usp=drive_link" TargetMode="External"/><Relationship Id="rId695" Type="http://schemas.openxmlformats.org/officeDocument/2006/relationships/hyperlink" Target="https://drive.google.com/file/d/1WFp8OLAkHs0GwY55xgsIf95syQ2I9Un4/view?usp=sharing" TargetMode="External"/><Relationship Id="rId1046" Type="http://schemas.openxmlformats.org/officeDocument/2006/relationships/hyperlink" Target="https://drive.google.com/file/d/19vh06BQ7XZMHBh1I0oc0gHW18z5e5UJx/view?usp=sharing" TargetMode="External"/><Relationship Id="rId1288" Type="http://schemas.openxmlformats.org/officeDocument/2006/relationships/hyperlink" Target="https://drive.google.com/file/d/1y162WkM_Y6ajQqlQFkGxx9KZE7dsI-cT/view?usp=drive_link" TargetMode="External"/><Relationship Id="rId210" Type="http://schemas.openxmlformats.org/officeDocument/2006/relationships/hyperlink" Target="https://drive.google.com/file/d/1DrX0SSnteOY5DmsUW9VeeX6FnXAeg7TQ/view?usp=sharing" TargetMode="External"/><Relationship Id="rId452" Type="http://schemas.openxmlformats.org/officeDocument/2006/relationships/hyperlink" Target="https://drive.google.com/file/d/1G-lOzCjOPeM8hzrXgoZ5PaPRQqYKbUpi/view?usp=drive_link" TargetMode="External"/><Relationship Id="rId694" Type="http://schemas.openxmlformats.org/officeDocument/2006/relationships/hyperlink" Target="https://drive.google.com/file/d/1ipAxmhQHgPpJmWgEHC0HLKRne53SMF1r/view?usp=sharing" TargetMode="External"/><Relationship Id="rId1047" Type="http://schemas.openxmlformats.org/officeDocument/2006/relationships/hyperlink" Target="https://drive.google.com/file/d/1ILbSM-SFhjHdBqTgeKxwAM4C9cTqGuv5/view?usp=sharing" TargetMode="External"/><Relationship Id="rId1289" Type="http://schemas.openxmlformats.org/officeDocument/2006/relationships/hyperlink" Target="https://drive.google.com/file/d/1cyd_Bx3Z4bJKyxJen2x3cp6B4mll9D91/view?usp=drive_link" TargetMode="External"/><Relationship Id="rId491" Type="http://schemas.openxmlformats.org/officeDocument/2006/relationships/hyperlink" Target="https://drive.google.com/file/d/1URAHB0efSsVksJ6c3Y8wkVUtkyCvjv_v/view?usp=drive_link" TargetMode="External"/><Relationship Id="rId490" Type="http://schemas.openxmlformats.org/officeDocument/2006/relationships/hyperlink" Target="https://drive.google.com/file/d/1mJheTthNjL1iXWjx5hsHAlxH0VACktos/view?usp=drive_link" TargetMode="External"/><Relationship Id="rId249" Type="http://schemas.openxmlformats.org/officeDocument/2006/relationships/hyperlink" Target="https://drive.google.com/file/d/147bAJmlTKhWo9RCj2TnjPYqeCeO8Bi3Y/view?usp=sharing" TargetMode="External"/><Relationship Id="rId248" Type="http://schemas.openxmlformats.org/officeDocument/2006/relationships/hyperlink" Target="https://drive.google.com/file/d/1ZMo3u2nBaoNj3FwuAuYeovm96eGZbvDz/view?usp=sharing" TargetMode="External"/><Relationship Id="rId247" Type="http://schemas.openxmlformats.org/officeDocument/2006/relationships/hyperlink" Target="https://drive.google.com/file/d/1DdRfHUcswaDpadH-w--OWO_kvdPa88DQ/view?usp=sharing" TargetMode="External"/><Relationship Id="rId489" Type="http://schemas.openxmlformats.org/officeDocument/2006/relationships/hyperlink" Target="https://drive.google.com/file/d/1wurpBFFWrEQMOIARvDXAXFnx0zKq1P9X/view?usp=drive_link" TargetMode="External"/><Relationship Id="rId1070" Type="http://schemas.openxmlformats.org/officeDocument/2006/relationships/hyperlink" Target="https://drive.google.com/file/d/1Gc-JUAsYnJuarK9AyARM8UF-REwr6Dxr/view?usp=sharing" TargetMode="External"/><Relationship Id="rId1071" Type="http://schemas.openxmlformats.org/officeDocument/2006/relationships/hyperlink" Target="https://drive.google.com/file/d/18BH8RWe4HkvGyTP4B_HExa_xuSgj_7VE/view?usp=sharing" TargetMode="External"/><Relationship Id="rId1072" Type="http://schemas.openxmlformats.org/officeDocument/2006/relationships/hyperlink" Target="https://drive.google.com/file/d/19fgeIviRSP9VxU5b6lE9BnVHyuEy_RJj/view?usp=sharing" TargetMode="External"/><Relationship Id="rId242" Type="http://schemas.openxmlformats.org/officeDocument/2006/relationships/hyperlink" Target="https://drive.google.com/file/d/1x9BCzUatb4FUoC9-S1GELoEiBUAXnTtu/view?usp=sharing" TargetMode="External"/><Relationship Id="rId484" Type="http://schemas.openxmlformats.org/officeDocument/2006/relationships/hyperlink" Target="https://drive.google.com/file/d/1cuqzS4Rtr-_gJ3pZTvJiCAehBGYiVUQ9/view?usp=drive_link" TargetMode="External"/><Relationship Id="rId1073" Type="http://schemas.openxmlformats.org/officeDocument/2006/relationships/hyperlink" Target="https://drive.google.com/file/d/1MWCtGS_2_R3aQrEKZhRDlrxidpDtua5B/view?usp=sharing" TargetMode="External"/><Relationship Id="rId241" Type="http://schemas.openxmlformats.org/officeDocument/2006/relationships/hyperlink" Target="https://drive.google.com/file/d/1rEkbHd6vG5VlQhKK4aVeCUSKVs4-3iFF/view?usp=sharing" TargetMode="External"/><Relationship Id="rId483" Type="http://schemas.openxmlformats.org/officeDocument/2006/relationships/hyperlink" Target="https://drive.google.com/file/d/19TX3Sl0Vcq3eC3jD4ykaA36dsbYI7dq9/view?usp=drive_link" TargetMode="External"/><Relationship Id="rId1074" Type="http://schemas.openxmlformats.org/officeDocument/2006/relationships/hyperlink" Target="https://drive.google.com/file/d/1pzEul2LEg8IBvpSIfDdHzhARnFMX5K9d/view?usp=sharing" TargetMode="External"/><Relationship Id="rId240" Type="http://schemas.openxmlformats.org/officeDocument/2006/relationships/hyperlink" Target="https://drive.google.com/file/d/1i9YVHOcMoHe4s-pS6HA9hKoH2oB14EV3/view?usp=sharing" TargetMode="External"/><Relationship Id="rId482" Type="http://schemas.openxmlformats.org/officeDocument/2006/relationships/hyperlink" Target="https://drive.google.com/file/d/1AmIuaUDrm7ooZ6vZDcscNIWD1NCdnXnz/view?usp=drive_link" TargetMode="External"/><Relationship Id="rId1075" Type="http://schemas.openxmlformats.org/officeDocument/2006/relationships/hyperlink" Target="https://drive.google.com/file/d/1wabcmogPz2_DvOqzdaa_imN0fFXVZZp3/view?usp=sharing" TargetMode="External"/><Relationship Id="rId481" Type="http://schemas.openxmlformats.org/officeDocument/2006/relationships/hyperlink" Target="https://drive.google.com/file/d/1uZs_L7pcFlixp-eyUkI0yx8ROLYX1R60/view?usp=drive_link" TargetMode="External"/><Relationship Id="rId1076" Type="http://schemas.openxmlformats.org/officeDocument/2006/relationships/hyperlink" Target="https://drive.google.com/file/d/1czBGq_rQ8ce_-W611YlQaIpRrqtPnUGF/view?usp=sharing" TargetMode="External"/><Relationship Id="rId246" Type="http://schemas.openxmlformats.org/officeDocument/2006/relationships/hyperlink" Target="https://drive.google.com/file/d/12neJfZSEP1xjjhwB8gTIkcqlRzyl0c8U/view?usp=sharing" TargetMode="External"/><Relationship Id="rId488" Type="http://schemas.openxmlformats.org/officeDocument/2006/relationships/hyperlink" Target="https://drive.google.com/file/d/150Wny877KC0NWmQPtLFJAkF0KLh7bJ5A/view?usp=drive_link" TargetMode="External"/><Relationship Id="rId1077" Type="http://schemas.openxmlformats.org/officeDocument/2006/relationships/hyperlink" Target="https://drive.google.com/file/d/1vhbMLX6wqNMguPB4pR_DKB3qlf-i9wct/view?usp=sharing" TargetMode="External"/><Relationship Id="rId245" Type="http://schemas.openxmlformats.org/officeDocument/2006/relationships/hyperlink" Target="https://drive.google.com/file/d/1esz7_0EuxygW_-YC2pp3zhPqpctm4EfC/view?usp=sharing" TargetMode="External"/><Relationship Id="rId487" Type="http://schemas.openxmlformats.org/officeDocument/2006/relationships/hyperlink" Target="https://drive.google.com/file/d/1mhUBAKNaSv8P4QbygSG_VzTTltk0CAeD/view?usp=drive_link" TargetMode="External"/><Relationship Id="rId1078" Type="http://schemas.openxmlformats.org/officeDocument/2006/relationships/hyperlink" Target="https://drive.google.com/file/d/1Nb5dZ_NLGod-JyfFQeU_jDWqb75gO0iF/view?usp=sharing" TargetMode="External"/><Relationship Id="rId244" Type="http://schemas.openxmlformats.org/officeDocument/2006/relationships/hyperlink" Target="https://drive.google.com/file/d/1cX0KJ9Jf0zbaCx5cvvGpVzPFXQFpvOu6/view?usp=sharing" TargetMode="External"/><Relationship Id="rId486" Type="http://schemas.openxmlformats.org/officeDocument/2006/relationships/hyperlink" Target="https://drive.google.com/file/d/1HuLvnCicqxuJLlLbhRd4swiXrzx96xoz/view?usp=drive_link" TargetMode="External"/><Relationship Id="rId1079" Type="http://schemas.openxmlformats.org/officeDocument/2006/relationships/hyperlink" Target="https://drive.google.com/file/d/1ZlFbVBZAV2AWNPNoxARcVkYVGadvA23E/view?usp=sharing" TargetMode="External"/><Relationship Id="rId243" Type="http://schemas.openxmlformats.org/officeDocument/2006/relationships/hyperlink" Target="https://drive.google.com/file/d/1BvHCSN-ELyvRhpEbcBGcSRxJgesni3mH/view?usp=sharing" TargetMode="External"/><Relationship Id="rId485" Type="http://schemas.openxmlformats.org/officeDocument/2006/relationships/hyperlink" Target="https://drive.google.com/file/d/1OeTrvrx-qJKWzpTl2_3FDAmO4N3pUvoT/view?usp=drive_link" TargetMode="External"/><Relationship Id="rId480" Type="http://schemas.openxmlformats.org/officeDocument/2006/relationships/hyperlink" Target="https://drive.google.com/file/d/18i-0-Nt2-9o8soNBQFBdQzqOKm2DaaYJ/view?usp=drive_link" TargetMode="External"/><Relationship Id="rId239" Type="http://schemas.openxmlformats.org/officeDocument/2006/relationships/hyperlink" Target="https://drive.google.com/file/d/10T6Q7OFsJwUvNtI6y38F--2bs2mMMupY/view?usp=sharing" TargetMode="External"/><Relationship Id="rId238" Type="http://schemas.openxmlformats.org/officeDocument/2006/relationships/hyperlink" Target="https://drive.google.com/file/d/10Y3-VKed_CvZcUq4AMzAPqm03Qy9Rg8t/view?usp=sharing" TargetMode="External"/><Relationship Id="rId237" Type="http://schemas.openxmlformats.org/officeDocument/2006/relationships/hyperlink" Target="https://drive.google.com/file/d/1JR7_2eyJhEZNzV5RBetcsguwpB3Jxntj/view?usp=sharing" TargetMode="External"/><Relationship Id="rId479" Type="http://schemas.openxmlformats.org/officeDocument/2006/relationships/hyperlink" Target="https://drive.google.com/file/d/11UnG7mg0UPJmv13TWWprLanl4TNCm21w/view?usp=drive_link" TargetMode="External"/><Relationship Id="rId236" Type="http://schemas.openxmlformats.org/officeDocument/2006/relationships/hyperlink" Target="https://drive.google.com/file/d/1y91ILPYAqG5eFpBZvPg6Dc_o0dxeiezM/view?usp=sharing" TargetMode="External"/><Relationship Id="rId478" Type="http://schemas.openxmlformats.org/officeDocument/2006/relationships/hyperlink" Target="https://drive.google.com/file/d/14-7vfvwUQ9K3cFoLtY3brb2kyavpntmy/view?usp=drive_link" TargetMode="External"/><Relationship Id="rId1060" Type="http://schemas.openxmlformats.org/officeDocument/2006/relationships/hyperlink" Target="https://drive.google.com/file/d/1IyqF3WTIk4JJ44lq-9gfxxt63qZ-m6cS/view?usp=sharing" TargetMode="External"/><Relationship Id="rId1061" Type="http://schemas.openxmlformats.org/officeDocument/2006/relationships/hyperlink" Target="https://drive.google.com/file/d/1-4lASAOrwnI133KJm-BbV7X1AJwtdbmX/view?usp=sharing" TargetMode="External"/><Relationship Id="rId231" Type="http://schemas.openxmlformats.org/officeDocument/2006/relationships/hyperlink" Target="https://drive.google.com/file/d/1bFcymC9yv679IrUVzeIrKY4igrsAnGRG/view?usp=sharing" TargetMode="External"/><Relationship Id="rId473" Type="http://schemas.openxmlformats.org/officeDocument/2006/relationships/hyperlink" Target="https://drive.google.com/file/d/17e7OE-qrf8LYnoWKTTsKC3EbBC0qrAAm/view?usp=drive_link" TargetMode="External"/><Relationship Id="rId1062" Type="http://schemas.openxmlformats.org/officeDocument/2006/relationships/hyperlink" Target="https://drive.google.com/file/d/1l6Zb2MXPMYgJm6Meu4pw8LvwUBKQAHdj/view?usp=sharing" TargetMode="External"/><Relationship Id="rId230" Type="http://schemas.openxmlformats.org/officeDocument/2006/relationships/hyperlink" Target="https://drive.google.com/file/d/1Ox-OhF2q_AvxsF1IGr3C_t2TlWCs64kx/view?usp=sharing" TargetMode="External"/><Relationship Id="rId472" Type="http://schemas.openxmlformats.org/officeDocument/2006/relationships/hyperlink" Target="https://drive.google.com/file/d/1-_O1e5ysvUJLSGA8HIcklYeplAam2F7X/view?usp=drive_link" TargetMode="External"/><Relationship Id="rId1063" Type="http://schemas.openxmlformats.org/officeDocument/2006/relationships/hyperlink" Target="https://drive.google.com/file/d/1hW4aTin-yuMRLfv93_6NWVpFrEuk3FhP/view?usp=sharing" TargetMode="External"/><Relationship Id="rId471" Type="http://schemas.openxmlformats.org/officeDocument/2006/relationships/hyperlink" Target="https://drive.google.com/file/d/18_3uTvPOk194guooyvL8b3oPFV61CQV3/view?usp=drive_link" TargetMode="External"/><Relationship Id="rId1064" Type="http://schemas.openxmlformats.org/officeDocument/2006/relationships/hyperlink" Target="https://drive.google.com/file/d/1GZr3NdScMXUMD3CUAc7d60AQxGipNmoa/view?usp=sharing" TargetMode="External"/><Relationship Id="rId470" Type="http://schemas.openxmlformats.org/officeDocument/2006/relationships/hyperlink" Target="https://drive.google.com/file/d/1kP0rdg1sNmet3ouE6B09o7qzIiu_CGkz/view?usp=drive_link" TargetMode="External"/><Relationship Id="rId1065" Type="http://schemas.openxmlformats.org/officeDocument/2006/relationships/hyperlink" Target="https://drive.google.com/file/d/1PJZk2YZ3sFW0krX-csiHTazoyByQxldO/view?usp=sharing" TargetMode="External"/><Relationship Id="rId235" Type="http://schemas.openxmlformats.org/officeDocument/2006/relationships/hyperlink" Target="https://drive.google.com/file/d/1DrX0SSnteOY5DmsUW9VeeX6FnXAeg7TQ/view?usp=sharing" TargetMode="External"/><Relationship Id="rId477" Type="http://schemas.openxmlformats.org/officeDocument/2006/relationships/hyperlink" Target="https://drive.google.com/file/d/1pUWg7_hu-sSFaH-cvkHnTh7pl8IsPtwW/view?usp=drive_link" TargetMode="External"/><Relationship Id="rId1066" Type="http://schemas.openxmlformats.org/officeDocument/2006/relationships/hyperlink" Target="https://drive.google.com/file/d/1tVwce7Tchmqh0WIrpjoO9QwzSCaK7yMj/view?usp=sharing" TargetMode="External"/><Relationship Id="rId234" Type="http://schemas.openxmlformats.org/officeDocument/2006/relationships/hyperlink" Target="https://drive.google.com/file/d/1w73kOYVf4dGUw4Wi8WKA9lV2lN7Tm73h/view?usp=sharing" TargetMode="External"/><Relationship Id="rId476" Type="http://schemas.openxmlformats.org/officeDocument/2006/relationships/hyperlink" Target="https://drive.google.com/file/d/14_8xvaAhrkVwlEN68wlSBtgLo1wdO4Kr/view?usp=drive_link" TargetMode="External"/><Relationship Id="rId1067" Type="http://schemas.openxmlformats.org/officeDocument/2006/relationships/hyperlink" Target="https://drive.google.com/file/d/1coVluUq9M69HBLZXea8mCtFZZofE27Op/view?usp=sharing" TargetMode="External"/><Relationship Id="rId233" Type="http://schemas.openxmlformats.org/officeDocument/2006/relationships/hyperlink" Target="https://drive.google.com/file/d/19Vto1pseHaDzfX6jHvLrE1tHXb5FeplM/view?usp=sharing" TargetMode="External"/><Relationship Id="rId475" Type="http://schemas.openxmlformats.org/officeDocument/2006/relationships/hyperlink" Target="https://drive.google.com/file/d/12eBpfLlvVqTsiwk6229lrezcX3bDwM7f/view?usp=drive_link" TargetMode="External"/><Relationship Id="rId1068" Type="http://schemas.openxmlformats.org/officeDocument/2006/relationships/hyperlink" Target="https://drive.google.com/file/d/1GHGoVRfCx3H2JxFdVTPLQjrSMUFMjdiM/view?usp=sharing" TargetMode="External"/><Relationship Id="rId232" Type="http://schemas.openxmlformats.org/officeDocument/2006/relationships/hyperlink" Target="https://drive.google.com/file/d/1fKYffwAJC1SLOyt4R4pXYp0X73zRGxRQ/view?usp=sharing" TargetMode="External"/><Relationship Id="rId474" Type="http://schemas.openxmlformats.org/officeDocument/2006/relationships/hyperlink" Target="https://drive.google.com/file/d/12Co87xWBxNWzCr1yFnMw10neDgHW3kNr/view?usp=drive_link" TargetMode="External"/><Relationship Id="rId1069" Type="http://schemas.openxmlformats.org/officeDocument/2006/relationships/hyperlink" Target="https://drive.google.com/file/d/1dR1EgSfAismjUwPkbigMWzj1SKa6-60f/view?usp=sharing" TargetMode="External"/><Relationship Id="rId1015" Type="http://schemas.openxmlformats.org/officeDocument/2006/relationships/hyperlink" Target="https://drive.google.com/file/d/1cBtkSwPjZ9A0Nzdu7OXYkuxhJ0Ge751R/view?usp=sharing" TargetMode="External"/><Relationship Id="rId1257" Type="http://schemas.openxmlformats.org/officeDocument/2006/relationships/hyperlink" Target="https://drive.google.com/file/d/1gH7MlK0aA1iEw0vJlFcLwSDVGor7YCBj/view?usp=drive_link" TargetMode="External"/><Relationship Id="rId1016" Type="http://schemas.openxmlformats.org/officeDocument/2006/relationships/hyperlink" Target="https://drive.google.com/file/d/1I8bKbURiKtrCC-sai940KaOVoPdox2RB/view?usp=sharing" TargetMode="External"/><Relationship Id="rId1258" Type="http://schemas.openxmlformats.org/officeDocument/2006/relationships/hyperlink" Target="https://drive.google.com/file/d/1hw2xYXP386J0Kcfu9vo8wZ-jVETVhFDK/view?usp=drive_link" TargetMode="External"/><Relationship Id="rId1017" Type="http://schemas.openxmlformats.org/officeDocument/2006/relationships/hyperlink" Target="https://drive.google.com/file/d/16QEKna3KeARgwfHaHLVYBavfBd0nntpO/view?usp=sharing" TargetMode="External"/><Relationship Id="rId1259" Type="http://schemas.openxmlformats.org/officeDocument/2006/relationships/hyperlink" Target="https://drive.google.com/file/d/1ufDJtZOdrwrQfl6_PwD2HzuKzSzcB6QS/view?usp=drive_link" TargetMode="External"/><Relationship Id="rId1018" Type="http://schemas.openxmlformats.org/officeDocument/2006/relationships/hyperlink" Target="https://drive.google.com/file/d/1Ki-9v9qmWehb2uJiBLalFVhNcYdIeIt8/view?usp=sharing" TargetMode="External"/><Relationship Id="rId1019" Type="http://schemas.openxmlformats.org/officeDocument/2006/relationships/hyperlink" Target="https://drive.google.com/file/d/1C8yLxIrinwcKXdnQIPRC3j0yMataY50b/view?usp=sharing" TargetMode="External"/><Relationship Id="rId426" Type="http://schemas.openxmlformats.org/officeDocument/2006/relationships/hyperlink" Target="https://drive.google.com/file/d/1zJTXOPgcSK9U_xCgrABn2TlAejzderjX/view?usp=sharing" TargetMode="External"/><Relationship Id="rId668" Type="http://schemas.openxmlformats.org/officeDocument/2006/relationships/hyperlink" Target="https://drive.google.com/file/d/1U2tSrjXhKVMNu9ONr7YQgOzhDXv8GSub/view?usp=sharing" TargetMode="External"/><Relationship Id="rId425" Type="http://schemas.openxmlformats.org/officeDocument/2006/relationships/hyperlink" Target="https://drive.google.com/file/d/1biIX6ylgIbgjMd1KgsX67bCFHEsBuGXa/view?usp=sharing" TargetMode="External"/><Relationship Id="rId667" Type="http://schemas.openxmlformats.org/officeDocument/2006/relationships/hyperlink" Target="https://drive.google.com/file/d/1jtD2qc1GEwhrv79qwbLE1K4KIYVhuB_C/view?usp=sharing" TargetMode="External"/><Relationship Id="rId424" Type="http://schemas.openxmlformats.org/officeDocument/2006/relationships/hyperlink" Target="https://drive.google.com/file/d/1cZnC2CLrjiY2uoNdBtqRa4MoA0LiS-ZI/view?usp=drive_link" TargetMode="External"/><Relationship Id="rId666" Type="http://schemas.openxmlformats.org/officeDocument/2006/relationships/hyperlink" Target="https://drive.google.com/file/d/1aMBLQky11blQyc-EMn-K7FkSm4tp87zA/view?usp=drive_link" TargetMode="External"/><Relationship Id="rId423" Type="http://schemas.openxmlformats.org/officeDocument/2006/relationships/hyperlink" Target="https://drive.google.com/file/d/1yOfxHLMZaBydQur_T6LYnBQS0rUk_B-G/view?usp=drive_link" TargetMode="External"/><Relationship Id="rId665" Type="http://schemas.openxmlformats.org/officeDocument/2006/relationships/hyperlink" Target="https://drive.google.com/file/d/1ICiPx3R-XmvYgtp5n9nTnZ3DGr-x0WHs/view?usp=drive_link" TargetMode="External"/><Relationship Id="rId429" Type="http://schemas.openxmlformats.org/officeDocument/2006/relationships/hyperlink" Target="https://drive.google.com/file/d/1M19k0Da6o_5MCkeM4cbu-cMNc4AaYbKv/view?usp=sharing" TargetMode="External"/><Relationship Id="rId428" Type="http://schemas.openxmlformats.org/officeDocument/2006/relationships/hyperlink" Target="https://drive.google.com/file/d/1hVLCGwJUN5g6nxegk5Hpb1UIPfsypr7y/view?usp=drive_link" TargetMode="External"/><Relationship Id="rId427" Type="http://schemas.openxmlformats.org/officeDocument/2006/relationships/hyperlink" Target="https://drive.google.com/file/d/18DPK5so8S9H_i0p_KDw95uNtSvV77dnO/view?usp=drive_link" TargetMode="External"/><Relationship Id="rId669" Type="http://schemas.openxmlformats.org/officeDocument/2006/relationships/hyperlink" Target="https://drive.google.com/file/d/1Qo8giWriNZyUZLVI-FdHEV0bwzXhWBai/view?usp=sharing" TargetMode="External"/><Relationship Id="rId660" Type="http://schemas.openxmlformats.org/officeDocument/2006/relationships/hyperlink" Target="https://drive.google.com/file/d/1dooEI8fkWfubbxtyQDbJOzWD6KQQRObI/view?usp=drive_link" TargetMode="External"/><Relationship Id="rId1250" Type="http://schemas.openxmlformats.org/officeDocument/2006/relationships/hyperlink" Target="https://drive.google.com/file/d/1hinLfkMMYymN4R9CjKsNGtp08-QAqV8s/view?usp=drive_link" TargetMode="External"/><Relationship Id="rId1251" Type="http://schemas.openxmlformats.org/officeDocument/2006/relationships/hyperlink" Target="https://drive.google.com/file/d/12CG2MvQEavcveY4sPVteZucf32vFffaq/view?usp=drive_link" TargetMode="External"/><Relationship Id="rId1010" Type="http://schemas.openxmlformats.org/officeDocument/2006/relationships/hyperlink" Target="https://drive.google.com/file/d/15iW90udH7P3o3ULBfUPFFC4hpsqs4eUv/view?usp=sharing" TargetMode="External"/><Relationship Id="rId1252" Type="http://schemas.openxmlformats.org/officeDocument/2006/relationships/hyperlink" Target="https://drive.google.com/file/d/1Hd4lAPIJ6LTV-TEYXXiDuGBijaBYS8LN/view?usp=drive_link" TargetMode="External"/><Relationship Id="rId422" Type="http://schemas.openxmlformats.org/officeDocument/2006/relationships/hyperlink" Target="https://drive.google.com/file/d/1XCgZzGFEOLzsRYoeYmQSpSGSK5mG0KkE/view?usp=drive_link" TargetMode="External"/><Relationship Id="rId664" Type="http://schemas.openxmlformats.org/officeDocument/2006/relationships/hyperlink" Target="https://drive.google.com/file/d/1W0aJphiFvZQj3XVgy8G0yCfEqiZ7fAdH/view?usp=drive_link" TargetMode="External"/><Relationship Id="rId1011" Type="http://schemas.openxmlformats.org/officeDocument/2006/relationships/hyperlink" Target="https://drive.google.com/file/d/1NPfYd2KMvZuiMDjXANwZbi651YIfz9kO/view?usp=sharing" TargetMode="External"/><Relationship Id="rId1253" Type="http://schemas.openxmlformats.org/officeDocument/2006/relationships/hyperlink" Target="https://drive.google.com/file/d/1AQc2q_aP7c69iwHV5NdUSAI1xSJROs_h/view?usp=drive_link" TargetMode="External"/><Relationship Id="rId421" Type="http://schemas.openxmlformats.org/officeDocument/2006/relationships/hyperlink" Target="https://drive.google.com/file/d/1qpU9jHgnHzpmogcIqV8MGudbygu4Y4CR/view?usp=sharing" TargetMode="External"/><Relationship Id="rId663" Type="http://schemas.openxmlformats.org/officeDocument/2006/relationships/hyperlink" Target="https://drive.google.com/file/d/1XlCA95dC2ymf6Xi4QkfC8erdwJFbVf_h/view?usp=drive_link" TargetMode="External"/><Relationship Id="rId1012" Type="http://schemas.openxmlformats.org/officeDocument/2006/relationships/hyperlink" Target="https://drive.google.com/file/d/19_2Gg39oyqsemIBXlQA9TMq4Y-5Yma9c/view?usp=sharing" TargetMode="External"/><Relationship Id="rId1254" Type="http://schemas.openxmlformats.org/officeDocument/2006/relationships/hyperlink" Target="https://drive.google.com/file/d/1tC5smlCkBCDMFTplrz2L1jF9Zdunqi8U/view?usp=drive_link" TargetMode="External"/><Relationship Id="rId420" Type="http://schemas.openxmlformats.org/officeDocument/2006/relationships/hyperlink" Target="https://drive.google.com/file/d/10dNlYO-2Am2Dkc-P2Tz2K-nuBc1Kz7rq/view?usp=sharing" TargetMode="External"/><Relationship Id="rId662" Type="http://schemas.openxmlformats.org/officeDocument/2006/relationships/hyperlink" Target="https://drive.google.com/file/d/1px4tfEzNf5SRUrxPMUxon7r0mb2YAg0y/view?usp=drive_link" TargetMode="External"/><Relationship Id="rId1013" Type="http://schemas.openxmlformats.org/officeDocument/2006/relationships/hyperlink" Target="https://drive.google.com/file/d/1NjHG4ihskRCdSGyjWxqf4OrXehjUmnKH/view?usp=sharing" TargetMode="External"/><Relationship Id="rId1255" Type="http://schemas.openxmlformats.org/officeDocument/2006/relationships/hyperlink" Target="https://drive.google.com/file/d/1UIoi2zSbOuAzuEbMIi-jAEt1_uCRAP1k/view?usp=drive_link" TargetMode="External"/><Relationship Id="rId661" Type="http://schemas.openxmlformats.org/officeDocument/2006/relationships/hyperlink" Target="https://drive.google.com/file/d/1LByK7J2jZtmSrjHW1Wntbn_fGW7SiwC4/view?usp=drive_link" TargetMode="External"/><Relationship Id="rId1014" Type="http://schemas.openxmlformats.org/officeDocument/2006/relationships/hyperlink" Target="https://drive.google.com/file/d/1VKULcYWGPwzner6trhL-4JnMs_9TUylZ/view?usp=sharing" TargetMode="External"/><Relationship Id="rId1256" Type="http://schemas.openxmlformats.org/officeDocument/2006/relationships/hyperlink" Target="https://drive.google.com/file/d/1LvQ7vvihqGAoKWMrtha1D8gGWRJCypW9/view?usp=drive_link" TargetMode="External"/><Relationship Id="rId1004" Type="http://schemas.openxmlformats.org/officeDocument/2006/relationships/hyperlink" Target="https://drive.google.com/file/d/1OqjbsHJhO6SbzlOR1GX6W1i8XbSmyydR/view?usp=sharing" TargetMode="External"/><Relationship Id="rId1246" Type="http://schemas.openxmlformats.org/officeDocument/2006/relationships/hyperlink" Target="https://drive.google.com/file/d/1qQs7jKpG3w0LDl7lfMJ982dIavf4hV0e/view?usp=drive_link" TargetMode="External"/><Relationship Id="rId1005" Type="http://schemas.openxmlformats.org/officeDocument/2006/relationships/hyperlink" Target="https://drive.google.com/file/d/1qJp7qPkPGwxVw7RlNGfQcfBhJeupKnRL/view?usp=sharing" TargetMode="External"/><Relationship Id="rId1247" Type="http://schemas.openxmlformats.org/officeDocument/2006/relationships/hyperlink" Target="https://drive.google.com/file/d/1jhWfD8TIGyhZdu0axfHosjCxWvbhqf3p/view?usp=drive_link" TargetMode="External"/><Relationship Id="rId1006" Type="http://schemas.openxmlformats.org/officeDocument/2006/relationships/hyperlink" Target="https://drive.google.com/file/d/1dn-2LNZCU8cLC8jDrPOoIV2muV2viCP2/view?usp=sharing" TargetMode="External"/><Relationship Id="rId1248" Type="http://schemas.openxmlformats.org/officeDocument/2006/relationships/hyperlink" Target="https://drive.google.com/file/d/15MjVnV1Gss_6k0LDz_z5k8ZMT8UkOAB7/view?usp=drive_link" TargetMode="External"/><Relationship Id="rId1007" Type="http://schemas.openxmlformats.org/officeDocument/2006/relationships/hyperlink" Target="https://drive.google.com/file/d/1_QkrRZpQiTlzytHloB3x72s1kfzGQvWE/view?usp=sharing" TargetMode="External"/><Relationship Id="rId1249" Type="http://schemas.openxmlformats.org/officeDocument/2006/relationships/hyperlink" Target="https://drive.google.com/file/d/1juxjPZARrPtQ5s_a3SG5NJwznEzR5Gux/view?usp=drive_link" TargetMode="External"/><Relationship Id="rId1008" Type="http://schemas.openxmlformats.org/officeDocument/2006/relationships/hyperlink" Target="https://drive.google.com/file/d/1LiCPmwREbtk0rIgnEdQ5opNDQCrmwlv6/view?usp=sharing" TargetMode="External"/><Relationship Id="rId1009" Type="http://schemas.openxmlformats.org/officeDocument/2006/relationships/hyperlink" Target="https://drive.google.com/file/d/10Lq7xDbal5kc4jP7u-8aYoJulrpgINvD/view?usp=sharing" TargetMode="External"/><Relationship Id="rId415" Type="http://schemas.openxmlformats.org/officeDocument/2006/relationships/hyperlink" Target="https://drive.google.com/file/d/1o8laxC6AXdsiIym44jnT65T6EMOTRuN_/view?usp=sharing" TargetMode="External"/><Relationship Id="rId657" Type="http://schemas.openxmlformats.org/officeDocument/2006/relationships/hyperlink" Target="https://drive.google.com/file/d/12Cj5QUSGOpaWI1AXYYpl77V_9aTa8wwQ/view?usp=drive_link" TargetMode="External"/><Relationship Id="rId899" Type="http://schemas.openxmlformats.org/officeDocument/2006/relationships/hyperlink" Target="https://drive.google.com/file/d/1gfAKIRxOKRNTsCHC3_j-gK_YP-lGuoW2/view?usp=drive_link" TargetMode="External"/><Relationship Id="rId414" Type="http://schemas.openxmlformats.org/officeDocument/2006/relationships/hyperlink" Target="https://drive.google.com/file/d/1LlCHVDPeDH1zkZ7GVmLQrbSRd-Dztvk_/view?usp=sharing" TargetMode="External"/><Relationship Id="rId656" Type="http://schemas.openxmlformats.org/officeDocument/2006/relationships/hyperlink" Target="https://drive.google.com/file/d/18g5Ot-9-UyDKQkpfBQrdbrqRyFVR-bWV/view?usp=drive_link" TargetMode="External"/><Relationship Id="rId898" Type="http://schemas.openxmlformats.org/officeDocument/2006/relationships/hyperlink" Target="https://drive.google.com/file/d/1q6uZsdAM7dTbVL58mnj_xKWWyEbAxqJ8/view?usp=drive_link" TargetMode="External"/><Relationship Id="rId413" Type="http://schemas.openxmlformats.org/officeDocument/2006/relationships/hyperlink" Target="https://drive.google.com/file/d/1CS8BUHwFBbmPLOG8AFm1Jcva_fAuShP-/view?usp=sharing" TargetMode="External"/><Relationship Id="rId655" Type="http://schemas.openxmlformats.org/officeDocument/2006/relationships/hyperlink" Target="https://drive.google.com/file/d/1AyvK03mjIukHRhmGCPyLgfDON1MKLfUZ/view?usp=drive_link" TargetMode="External"/><Relationship Id="rId897" Type="http://schemas.openxmlformats.org/officeDocument/2006/relationships/hyperlink" Target="https://drive.google.com/file/d/1Du74EgNl8mGCLJAHMeK8k5NTcMNtUbJt/view?usp=drive_link" TargetMode="External"/><Relationship Id="rId412" Type="http://schemas.openxmlformats.org/officeDocument/2006/relationships/hyperlink" Target="https://drive.google.com/file/d/1m8_dKI2oUF-iYwer6IPM_SqLFsRHQiT1/view?usp=sharing" TargetMode="External"/><Relationship Id="rId654" Type="http://schemas.openxmlformats.org/officeDocument/2006/relationships/hyperlink" Target="https://drive.google.com/file/d/1M8P1LbWf8c5vev-v7QZ4eqX76R-6JAHI/view?usp=drive_link" TargetMode="External"/><Relationship Id="rId896" Type="http://schemas.openxmlformats.org/officeDocument/2006/relationships/hyperlink" Target="https://drive.google.com/file/d/18kVUPV0CUpDhv66NBJ4uqDaTj74PavbZ/view?usp=drive_link" TargetMode="External"/><Relationship Id="rId419" Type="http://schemas.openxmlformats.org/officeDocument/2006/relationships/hyperlink" Target="https://drive.google.com/file/d/1Jr4iOgoZLunTGVREc1k_EkIORr40eCE8/view?usp=sharing" TargetMode="External"/><Relationship Id="rId418" Type="http://schemas.openxmlformats.org/officeDocument/2006/relationships/hyperlink" Target="https://drive.google.com/file/d/1RIuVGnrYNrQUsol1OWO0RBajN59eFqWM/view?usp=sharing" TargetMode="External"/><Relationship Id="rId417" Type="http://schemas.openxmlformats.org/officeDocument/2006/relationships/hyperlink" Target="https://drive.google.com/file/d/1z3XL5FeiqUY51L8z4197VngqV22usAJX/view?usp=sharing" TargetMode="External"/><Relationship Id="rId659" Type="http://schemas.openxmlformats.org/officeDocument/2006/relationships/hyperlink" Target="https://drive.google.com/file/d/1QVFkRYEMCQU2fjc6T51bjg-pZrEjybRX/view?usp=drive_link" TargetMode="External"/><Relationship Id="rId416" Type="http://schemas.openxmlformats.org/officeDocument/2006/relationships/hyperlink" Target="https://drive.google.com/file/d/1bWh_Oam4cdqLnXbdNQ8K86mkflzn3VVE/view?usp=sharing" TargetMode="External"/><Relationship Id="rId658" Type="http://schemas.openxmlformats.org/officeDocument/2006/relationships/hyperlink" Target="https://drive.google.com/file/d/1GvmdZAm31neVSUiF3kjWcaeKG2jiNugU/view?usp=drive_link" TargetMode="External"/><Relationship Id="rId891" Type="http://schemas.openxmlformats.org/officeDocument/2006/relationships/hyperlink" Target="https://drive.google.com/file/d/17j7BXBhUOrARORqvWPUAvnig2Gh6tNyA/view?usp=drive_link" TargetMode="External"/><Relationship Id="rId890" Type="http://schemas.openxmlformats.org/officeDocument/2006/relationships/hyperlink" Target="https://drive.google.com/file/d/1bBuevQ4VFB0U4ySyMsGvaGOPUuAgetTC/view?usp=drive_link" TargetMode="External"/><Relationship Id="rId1240" Type="http://schemas.openxmlformats.org/officeDocument/2006/relationships/hyperlink" Target="https://drive.google.com/file/d/1m-BnD_dUdWiPNO65WmVeKPQjtQjE8KNT/view?usp=drive_link" TargetMode="External"/><Relationship Id="rId1241" Type="http://schemas.openxmlformats.org/officeDocument/2006/relationships/hyperlink" Target="https://drive.google.com/file/d/1H0zBWEkYbdm4_BeA07jiYNuP80bD2G_j/view?usp=drive_link" TargetMode="External"/><Relationship Id="rId411" Type="http://schemas.openxmlformats.org/officeDocument/2006/relationships/hyperlink" Target="https://drive.google.com/file/d/1VkwpWBTi6aqzuO0MwHOYxlL8jsQKGCOJ/view?usp=sharing" TargetMode="External"/><Relationship Id="rId653" Type="http://schemas.openxmlformats.org/officeDocument/2006/relationships/hyperlink" Target="https://drive.google.com/file/d/1UvSc2JV4Jucl30baYD82ZAG8gjAv8_li/view?usp=drive_link" TargetMode="External"/><Relationship Id="rId895" Type="http://schemas.openxmlformats.org/officeDocument/2006/relationships/hyperlink" Target="https://drive.google.com/file/d/16uvIiwwpKHa7XDTHdlrDJwk2BrwO85eD/view?usp=drive_link" TargetMode="External"/><Relationship Id="rId1000" Type="http://schemas.openxmlformats.org/officeDocument/2006/relationships/hyperlink" Target="https://drive.google.com/file/d/1edYkUc51aCIsh3uIuc_KTp23VVgY21kj/view?usp=sharing" TargetMode="External"/><Relationship Id="rId1242" Type="http://schemas.openxmlformats.org/officeDocument/2006/relationships/hyperlink" Target="https://drive.google.com/file/d/1HO7IycmiLQdUhvkjcTo8X4Iq4HZFDuBb/view?usp=drive_link" TargetMode="External"/><Relationship Id="rId410" Type="http://schemas.openxmlformats.org/officeDocument/2006/relationships/hyperlink" Target="https://drive.google.com/file/d/1TsUu2QmS549xEwWhA0his4rYw-rrn3jx/view?usp=sharing" TargetMode="External"/><Relationship Id="rId652" Type="http://schemas.openxmlformats.org/officeDocument/2006/relationships/hyperlink" Target="https://drive.google.com/file/d/1HcNpJMjyrtZdhOQu_qryoR8DDldrsOO2/view?usp=drive_link" TargetMode="External"/><Relationship Id="rId894" Type="http://schemas.openxmlformats.org/officeDocument/2006/relationships/hyperlink" Target="https://drive.google.com/file/d/1NjHG4ihskRCdSGyjWxqf4OrXehjUmnKH/view?usp=sharing" TargetMode="External"/><Relationship Id="rId1001" Type="http://schemas.openxmlformats.org/officeDocument/2006/relationships/hyperlink" Target="https://drive.google.com/file/d/1jy6LPmm2huML_ZUvburhsD7wxynsabsf/view?usp=sharing" TargetMode="External"/><Relationship Id="rId1243" Type="http://schemas.openxmlformats.org/officeDocument/2006/relationships/hyperlink" Target="https://drive.google.com/file/d/1KQzeI3G1VTiwLEnZLl4E9n1nhGmAjg68/view?usp=drive_link" TargetMode="External"/><Relationship Id="rId651" Type="http://schemas.openxmlformats.org/officeDocument/2006/relationships/hyperlink" Target="https://drive.google.com/file/d/1ViRz1bxBO4Y4IHxhIAGH1Z6jK19Ye0eD/view?usp=drive_link" TargetMode="External"/><Relationship Id="rId893" Type="http://schemas.openxmlformats.org/officeDocument/2006/relationships/hyperlink" Target="https://drive.google.com/file/d/1ALOajrMWtuzHF9YlpDR8UgsiEJW3bI16/view?usp=drive_link" TargetMode="External"/><Relationship Id="rId1002" Type="http://schemas.openxmlformats.org/officeDocument/2006/relationships/hyperlink" Target="https://drive.google.com/file/d/10OuEREgnUGQpnFCLzzTZ7mJ0tv4WwuFS/view?usp=sharing" TargetMode="External"/><Relationship Id="rId1244" Type="http://schemas.openxmlformats.org/officeDocument/2006/relationships/hyperlink" Target="https://drive.google.com/file/d/1sY05xtz_8KJZu2g-LX0TjEknBB8X_Lnn/view?usp=drive_link" TargetMode="External"/><Relationship Id="rId650" Type="http://schemas.openxmlformats.org/officeDocument/2006/relationships/hyperlink" Target="https://drive.google.com/file/d/1f6xrG5OZvOA2wAoEkfGrX4y0kvtkgUNM/view?usp=drive_link" TargetMode="External"/><Relationship Id="rId892" Type="http://schemas.openxmlformats.org/officeDocument/2006/relationships/hyperlink" Target="https://drive.google.com/file/d/1UTqUXjG4IPV2NzDBP_FlzKtqqjSr2TIV/view?usp=drive_link" TargetMode="External"/><Relationship Id="rId1003" Type="http://schemas.openxmlformats.org/officeDocument/2006/relationships/hyperlink" Target="https://drive.google.com/file/d/1bZi3I1L1jPd4jX9C2ZlD6bgLTPX4AEHL/view?usp=sharing" TargetMode="External"/><Relationship Id="rId1245" Type="http://schemas.openxmlformats.org/officeDocument/2006/relationships/hyperlink" Target="https://drive.google.com/file/d/1svp5oHOgfYoxaoOMN4MypxwOG-llCXD9/view?usp=drive_link" TargetMode="External"/><Relationship Id="rId1037" Type="http://schemas.openxmlformats.org/officeDocument/2006/relationships/hyperlink" Target="https://drive.google.com/file/d/1fJMS96Iy-USTWRkpStV5BMD9FvQK_LGt/view?usp=sharing" TargetMode="External"/><Relationship Id="rId1279" Type="http://schemas.openxmlformats.org/officeDocument/2006/relationships/hyperlink" Target="https://drive.google.com/file/d/1M3eYeSkuvSSmv8ggAYAs6xpkDCHxZNCj/view?usp=drive_link" TargetMode="External"/><Relationship Id="rId1038" Type="http://schemas.openxmlformats.org/officeDocument/2006/relationships/hyperlink" Target="https://drive.google.com/file/d/130fxYABw7Ogl3BupIsqcjw4RXeF-UM_L/view?usp=sharing" TargetMode="External"/><Relationship Id="rId1039" Type="http://schemas.openxmlformats.org/officeDocument/2006/relationships/hyperlink" Target="https://drive.google.com/file/d/1LZ1_GDAIcOStVl56n9JT7N_vRHpLSmZ7/view?usp=sharing" TargetMode="External"/><Relationship Id="rId206" Type="http://schemas.openxmlformats.org/officeDocument/2006/relationships/hyperlink" Target="https://drive.google.com/file/d/1bFcymC9yv679IrUVzeIrKY4igrsAnGRG/view?usp=sharing" TargetMode="External"/><Relationship Id="rId448" Type="http://schemas.openxmlformats.org/officeDocument/2006/relationships/hyperlink" Target="https://drive.google.com/file/d/16Uty4EfE6U0oqR3Id8432DA8093ihVCW/view?usp=drive_link" TargetMode="External"/><Relationship Id="rId205" Type="http://schemas.openxmlformats.org/officeDocument/2006/relationships/hyperlink" Target="https://drive.google.com/file/d/1Ox-OhF2q_AvxsF1IGr3C_t2TlWCs64kx/view?usp=sharing" TargetMode="External"/><Relationship Id="rId447" Type="http://schemas.openxmlformats.org/officeDocument/2006/relationships/hyperlink" Target="https://drive.google.com/file/d/1So665K7YQu6p_GdcHgIVgxz7yc7E_5g4/view?usp=drive_link" TargetMode="External"/><Relationship Id="rId689" Type="http://schemas.openxmlformats.org/officeDocument/2006/relationships/hyperlink" Target="https://drive.google.com/file/d/1VFUFqBAHDL1GU6KJN4S_Q5uybXM7pv01/view?usp=sharing" TargetMode="External"/><Relationship Id="rId204" Type="http://schemas.openxmlformats.org/officeDocument/2006/relationships/hyperlink" Target="https://drive.google.com/file/d/1MQ25xPu5oAS3VlTybcJquMGOZW1zlp82/view?usp=sharing" TargetMode="External"/><Relationship Id="rId446" Type="http://schemas.openxmlformats.org/officeDocument/2006/relationships/hyperlink" Target="https://drive.google.com/file/d/1kB00rx-EI7oC3tNc8Vhj13UF_1fU9CsP/view?usp=drive_link" TargetMode="External"/><Relationship Id="rId688" Type="http://schemas.openxmlformats.org/officeDocument/2006/relationships/hyperlink" Target="https://drive.google.com/file/d/1Z2Fen96E7Af3ppeJTu8ABGd2pBCW8HDR/view?usp=sharing" TargetMode="External"/><Relationship Id="rId203" Type="http://schemas.openxmlformats.org/officeDocument/2006/relationships/hyperlink" Target="https://drive.google.com/file/d/187KZ0bRQ3Xd0mu5vueFCRZix1em4VzAf/view?usp=sharing" TargetMode="External"/><Relationship Id="rId445" Type="http://schemas.openxmlformats.org/officeDocument/2006/relationships/hyperlink" Target="https://drive.google.com/file/d/1ZkLPibzWz8zY8USmJSxn0wOjwQqY8Sdv/view?usp=drive_link" TargetMode="External"/><Relationship Id="rId687" Type="http://schemas.openxmlformats.org/officeDocument/2006/relationships/hyperlink" Target="https://drive.google.com/file/d/1IbWgm9k1Z4uPuo12AHjyi_JTwtOsB7UF/view?usp=sharing" TargetMode="External"/><Relationship Id="rId209" Type="http://schemas.openxmlformats.org/officeDocument/2006/relationships/hyperlink" Target="https://drive.google.com/file/d/1w73kOYVf4dGUw4Wi8WKA9lV2lN7Tm73h/view?usp=sharing" TargetMode="External"/><Relationship Id="rId208" Type="http://schemas.openxmlformats.org/officeDocument/2006/relationships/hyperlink" Target="https://drive.google.com/file/d/19Vto1pseHaDzfX6jHvLrE1tHXb5FeplM/view?usp=sharing" TargetMode="External"/><Relationship Id="rId207" Type="http://schemas.openxmlformats.org/officeDocument/2006/relationships/hyperlink" Target="https://drive.google.com/file/d/1fKYffwAJC1SLOyt4R4pXYp0X73zRGxRQ/view?usp=sharing" TargetMode="External"/><Relationship Id="rId449" Type="http://schemas.openxmlformats.org/officeDocument/2006/relationships/hyperlink" Target="https://drive.google.com/file/d/1EWX15Vaxac6Vp_9tAw4OjUfamnFKNzhG/view?usp=drive_link" TargetMode="External"/><Relationship Id="rId1270" Type="http://schemas.openxmlformats.org/officeDocument/2006/relationships/hyperlink" Target="https://drive.google.com/file/d/1eh6eY-1pbJrPk0x9Nw6BTpfdXUxA3sCd/view?usp=drive_link" TargetMode="External"/><Relationship Id="rId440" Type="http://schemas.openxmlformats.org/officeDocument/2006/relationships/hyperlink" Target="https://drive.google.com/file/d/1XX4Hx14kTEeU7Ayba4BElMjQV-giUjAJ/view?usp=drive_link" TargetMode="External"/><Relationship Id="rId682" Type="http://schemas.openxmlformats.org/officeDocument/2006/relationships/hyperlink" Target="https://drive.google.com/file/d/1bXb5ibLYHwDC9yjMYQGUMglp14xX--Br/view?usp=sharing" TargetMode="External"/><Relationship Id="rId1271" Type="http://schemas.openxmlformats.org/officeDocument/2006/relationships/hyperlink" Target="https://drive.google.com/file/d/1nJPuU3Iemn33v9Cy9LDh48hMG9PmyoAf/view?usp=drive_link" TargetMode="External"/><Relationship Id="rId681" Type="http://schemas.openxmlformats.org/officeDocument/2006/relationships/hyperlink" Target="https://drive.google.com/file/d/1F6x2c6CKN3gVHe5cmePMfh_2WXhAKQBA/view?usp=sharing" TargetMode="External"/><Relationship Id="rId1030" Type="http://schemas.openxmlformats.org/officeDocument/2006/relationships/hyperlink" Target="https://drive.google.com/file/d/1YSq00dRxR1bcdMCPNhomtE68lCJRJ_3R/view?usp=sharing" TargetMode="External"/><Relationship Id="rId1272" Type="http://schemas.openxmlformats.org/officeDocument/2006/relationships/hyperlink" Target="https://drive.google.com/file/d/1jUnVLQIOKwdzX8yXriYaLZ15fExpIYY1/view?usp=drive_link" TargetMode="External"/><Relationship Id="rId680" Type="http://schemas.openxmlformats.org/officeDocument/2006/relationships/hyperlink" Target="https://drive.google.com/file/d/1eISiR2P9If7m2DC4dsGPXcsISjO_LByC/view?usp=sharing" TargetMode="External"/><Relationship Id="rId1031" Type="http://schemas.openxmlformats.org/officeDocument/2006/relationships/hyperlink" Target="https://drive.google.com/file/d/1CoBm_OIsgvaWQcwe6OwEIpxTn6VXfU5n/view?usp=sharing" TargetMode="External"/><Relationship Id="rId1273" Type="http://schemas.openxmlformats.org/officeDocument/2006/relationships/hyperlink" Target="https://drive.google.com/file/d/1feURBcGdggmIjFS6CJPC6fzc6x7GXkdq/view?usp=drive_link" TargetMode="External"/><Relationship Id="rId1032" Type="http://schemas.openxmlformats.org/officeDocument/2006/relationships/hyperlink" Target="https://drive.google.com/file/d/1W5rsVSfpV1jSO6ZWa3Zg0aeTpVlDhh8w/view?usp=sharing" TargetMode="External"/><Relationship Id="rId1274" Type="http://schemas.openxmlformats.org/officeDocument/2006/relationships/hyperlink" Target="https://drive.google.com/file/d/1MAFE_qumMUONPVvf7v8cibIGM6K56R4c/view?usp=drive_link" TargetMode="External"/><Relationship Id="rId202" Type="http://schemas.openxmlformats.org/officeDocument/2006/relationships/hyperlink" Target="https://drive.google.com/file/d/1HEzGgEfknmAYm-X4TQoZMAWnwhFxLHXJ/view?usp=sharing" TargetMode="External"/><Relationship Id="rId444" Type="http://schemas.openxmlformats.org/officeDocument/2006/relationships/hyperlink" Target="https://drive.google.com/file/d/1l6Ac70KNiC30a1HfERDqyFXdAXdnc-rC/view?usp=drive_link" TargetMode="External"/><Relationship Id="rId686" Type="http://schemas.openxmlformats.org/officeDocument/2006/relationships/hyperlink" Target="https://drive.google.com/file/d/1vHtdE4FepANT8S8W77NwT73XLEStayWB/view?usp=sharing" TargetMode="External"/><Relationship Id="rId1033" Type="http://schemas.openxmlformats.org/officeDocument/2006/relationships/hyperlink" Target="https://drive.google.com/file/d/1nvqPTqxqaxWeLfqhPEAgXh03QNC4PW10/view?usp=sharing" TargetMode="External"/><Relationship Id="rId1275" Type="http://schemas.openxmlformats.org/officeDocument/2006/relationships/hyperlink" Target="https://drive.google.com/file/d/1uICuDY3DBpYkRC7d6OAa4oPFBt9e5gib/view?usp=drive_link" TargetMode="External"/><Relationship Id="rId201" Type="http://schemas.openxmlformats.org/officeDocument/2006/relationships/hyperlink" Target="https://drive.google.com/file/d/1DixG9_Fl4bqCVL2fl2xsLtTx1JPvVT2_/view?usp=sharing" TargetMode="External"/><Relationship Id="rId443" Type="http://schemas.openxmlformats.org/officeDocument/2006/relationships/hyperlink" Target="https://drive.google.com/file/d/1Hs3Rwsw_7YsUGLEE5OXcb3SFF-lkLDBr/view?usp=drive_link" TargetMode="External"/><Relationship Id="rId685" Type="http://schemas.openxmlformats.org/officeDocument/2006/relationships/hyperlink" Target="https://drive.google.com/file/d/1yjsRjkLpdrWimxSPG9mXZDHlnAkmMX1f/view?usp=sharing" TargetMode="External"/><Relationship Id="rId1034" Type="http://schemas.openxmlformats.org/officeDocument/2006/relationships/hyperlink" Target="https://drive.google.com/file/d/1gnax-A-ImyTJTvuhFnKWqdd2IgnR58ud/view?usp=sharing" TargetMode="External"/><Relationship Id="rId1276" Type="http://schemas.openxmlformats.org/officeDocument/2006/relationships/hyperlink" Target="https://drive.google.com/file/d/1gyhBEjTrjMFSElfHWkWYehHBPacykx4d/view?usp=drive_link" TargetMode="External"/><Relationship Id="rId200" Type="http://schemas.openxmlformats.org/officeDocument/2006/relationships/hyperlink" Target="https://drive.google.com/file/d/1HfdMfJUKfKAqF48E1F0LcYlEThhntDvS/view?usp=sharing" TargetMode="External"/><Relationship Id="rId442" Type="http://schemas.openxmlformats.org/officeDocument/2006/relationships/hyperlink" Target="https://drive.google.com/file/d/124TZM9TeHpx-QoumgoQAKl8svlP7mrAb/view?usp=drive_link" TargetMode="External"/><Relationship Id="rId684" Type="http://schemas.openxmlformats.org/officeDocument/2006/relationships/hyperlink" Target="https://drive.google.com/file/d/1o-HMHwrqT3tHcRCGByEYp8wsoErJhU_P/view?usp=sharing" TargetMode="External"/><Relationship Id="rId1035" Type="http://schemas.openxmlformats.org/officeDocument/2006/relationships/hyperlink" Target="https://drive.google.com/file/d/1LvpFVzBQoJsgN4wf2DQBIftjTjaiDEPT/view?usp=sharing" TargetMode="External"/><Relationship Id="rId1277" Type="http://schemas.openxmlformats.org/officeDocument/2006/relationships/hyperlink" Target="https://drive.google.com/file/d/15-MJid6kbD0Lqi1IX4KGo3IEVex6MN0r/view?usp=drive_link" TargetMode="External"/><Relationship Id="rId441" Type="http://schemas.openxmlformats.org/officeDocument/2006/relationships/hyperlink" Target="https://drive.google.com/file/d/13mErH9OeAD80Wbues1DJCUFrjg16_FR_/view?usp=drive_link" TargetMode="External"/><Relationship Id="rId683" Type="http://schemas.openxmlformats.org/officeDocument/2006/relationships/hyperlink" Target="https://drive.google.com/file/d/1QQCWJ5xV5y2dEtpAHswFVSgnksaRKFcQ/view?usp=sharing" TargetMode="External"/><Relationship Id="rId1036" Type="http://schemas.openxmlformats.org/officeDocument/2006/relationships/hyperlink" Target="https://drive.google.com/file/d/1xFwnsfpw29mUbCVX16NMmRGASTffaz-J/view?usp=sharing" TargetMode="External"/><Relationship Id="rId1278" Type="http://schemas.openxmlformats.org/officeDocument/2006/relationships/hyperlink" Target="https://drive.google.com/file/d/1Xf3mqFj8ohRR7hoRvBMXvJORQ9J7ScV1/view?usp=drive_link" TargetMode="External"/><Relationship Id="rId1026" Type="http://schemas.openxmlformats.org/officeDocument/2006/relationships/hyperlink" Target="https://drive.google.com/file/d/1AIRbdDXDqpkMdwmVuzhF7XpDhhP-BiR4/view?usp=sharing" TargetMode="External"/><Relationship Id="rId1268" Type="http://schemas.openxmlformats.org/officeDocument/2006/relationships/hyperlink" Target="https://drive.google.com/file/d/18WlsiUnnCAwbD9XCGegFzvaBZImxkmlC/view?usp=drive_link" TargetMode="External"/><Relationship Id="rId1027" Type="http://schemas.openxmlformats.org/officeDocument/2006/relationships/hyperlink" Target="https://drive.google.com/file/d/1dCDRKHfZmoEGwmu-7REf1qOiI5OzoM8w/view?usp=sharing" TargetMode="External"/><Relationship Id="rId1269" Type="http://schemas.openxmlformats.org/officeDocument/2006/relationships/hyperlink" Target="https://drive.google.com/file/d/10GHyFmv29nRiqBSf6j54SqNt7pPxEYRw/view?usp=drive_link" TargetMode="External"/><Relationship Id="rId1028" Type="http://schemas.openxmlformats.org/officeDocument/2006/relationships/hyperlink" Target="https://drive.google.com/file/d/1GyagH680lhAzgCZbf3MLgNutLbcqP3km/view?usp=sharing" TargetMode="External"/><Relationship Id="rId1029" Type="http://schemas.openxmlformats.org/officeDocument/2006/relationships/hyperlink" Target="https://drive.google.com/file/d/1pojTsQMg9gJhzapEOBtq6PmAErwXLU6L/view?usp=sharing" TargetMode="External"/><Relationship Id="rId437" Type="http://schemas.openxmlformats.org/officeDocument/2006/relationships/hyperlink" Target="https://drive.google.com/file/d/1aa4fm3TTxcKupmDEKwb0FMOC4Gl19pVp/view?usp=drive_link" TargetMode="External"/><Relationship Id="rId679" Type="http://schemas.openxmlformats.org/officeDocument/2006/relationships/hyperlink" Target="https://drive.google.com/file/d/1J-L_hNM7uGBL2dOZJRNwvAAVm__PxN9z/view?usp=sharing" TargetMode="External"/><Relationship Id="rId436" Type="http://schemas.openxmlformats.org/officeDocument/2006/relationships/hyperlink" Target="https://drive.google.com/file/d/1sFbeHpBcEEcMBu5_ehtMXVaHu8fB4mEB/view?usp=drive_link" TargetMode="External"/><Relationship Id="rId678" Type="http://schemas.openxmlformats.org/officeDocument/2006/relationships/hyperlink" Target="https://drive.google.com/file/d/1RCQHHTzkjznPvkeNj27LWGlI6gJwgLo4/view?usp=sharing" TargetMode="External"/><Relationship Id="rId435" Type="http://schemas.openxmlformats.org/officeDocument/2006/relationships/hyperlink" Target="https://drive.google.com/file/d/1hUUe22M7cq4EjzNQxbiCmewfnRtLCeaF/view?usp=sharing" TargetMode="External"/><Relationship Id="rId677" Type="http://schemas.openxmlformats.org/officeDocument/2006/relationships/hyperlink" Target="https://drive.google.com/file/d/1NkPTZavfqY7yLLxV8vtlTi3KT_TuWipt/view?usp=sharing" TargetMode="External"/><Relationship Id="rId434" Type="http://schemas.openxmlformats.org/officeDocument/2006/relationships/hyperlink" Target="https://drive.google.com/file/d/1-1XNZzTWz2um2SCgd1B3XaJ6dz898blG/view?usp=sharing" TargetMode="External"/><Relationship Id="rId676" Type="http://schemas.openxmlformats.org/officeDocument/2006/relationships/hyperlink" Target="https://drive.google.com/file/d/1z4USzlWqAHT9eW7PD2vKRbZArDPiCAqw/view?usp=sharing" TargetMode="External"/><Relationship Id="rId439" Type="http://schemas.openxmlformats.org/officeDocument/2006/relationships/hyperlink" Target="https://drive.google.com/file/d/1OX8OgKdeokHlp1xEXi538Go6zEb_gFxi/view?usp=drive_link" TargetMode="External"/><Relationship Id="rId438" Type="http://schemas.openxmlformats.org/officeDocument/2006/relationships/hyperlink" Target="https://drive.google.com/file/d/1wrkpde3-HuTQztPKfjx9HYzChNVv4VNH/view?usp=sharing" TargetMode="External"/><Relationship Id="rId671" Type="http://schemas.openxmlformats.org/officeDocument/2006/relationships/hyperlink" Target="https://drive.google.com/file/d/1ALxAiqzXHvJ3InHy3zW7fHnmWh5I13mi/view?usp=sharing" TargetMode="External"/><Relationship Id="rId1260" Type="http://schemas.openxmlformats.org/officeDocument/2006/relationships/hyperlink" Target="https://drive.google.com/file/d/1FeNyzDYXZbE9BYcUwliSBIq9Kt-UA53i/view?usp=drive_link" TargetMode="External"/><Relationship Id="rId670" Type="http://schemas.openxmlformats.org/officeDocument/2006/relationships/hyperlink" Target="https://drive.google.com/file/d/1TxVELTKZYzIp7uNlg6QEaCHWlxhgVNn2/view?usp=sharing" TargetMode="External"/><Relationship Id="rId1261" Type="http://schemas.openxmlformats.org/officeDocument/2006/relationships/hyperlink" Target="https://drive.google.com/file/d/1uQyw1nCAl_pJbuySthDMYLOWY-oXxNV9/view?usp=drive_link" TargetMode="External"/><Relationship Id="rId1020" Type="http://schemas.openxmlformats.org/officeDocument/2006/relationships/hyperlink" Target="https://drive.google.com/file/d/1ej7sQr63LkrjPda5w_g9T6bMe2xObDi4/view?usp=sharing" TargetMode="External"/><Relationship Id="rId1262" Type="http://schemas.openxmlformats.org/officeDocument/2006/relationships/hyperlink" Target="https://drive.google.com/file/d/1T-tC0SvY0JUmdjN5a6XY1kbJO4D2aRF2/view?usp=drive_link" TargetMode="External"/><Relationship Id="rId1021" Type="http://schemas.openxmlformats.org/officeDocument/2006/relationships/hyperlink" Target="https://drive.google.com/file/d/18X0ebG_nos1HWPRxNNDvsq49kMPMEM9s/view?usp=sharing" TargetMode="External"/><Relationship Id="rId1263" Type="http://schemas.openxmlformats.org/officeDocument/2006/relationships/hyperlink" Target="https://drive.google.com/file/d/10bZNG6MnPoXuPgY5O3FQFWVK_roYJl6O/view?usp=drive_link" TargetMode="External"/><Relationship Id="rId433" Type="http://schemas.openxmlformats.org/officeDocument/2006/relationships/hyperlink" Target="https://drive.google.com/file/d/1NNJWjN7gKwoW2lb6fzeUr8Pu6G6PrV2K/view?usp=drive_link" TargetMode="External"/><Relationship Id="rId675" Type="http://schemas.openxmlformats.org/officeDocument/2006/relationships/hyperlink" Target="https://drive.google.com/file/d/1mQgePZkvaCkTP8aNjdSI7sdCqwN7OD_d/view?usp=sharing" TargetMode="External"/><Relationship Id="rId1022" Type="http://schemas.openxmlformats.org/officeDocument/2006/relationships/hyperlink" Target="https://drive.google.com/file/d/1_k2mlx1huW9nzWoIa8_ULwOG2Cw-TEJe/view?usp=drive_link" TargetMode="External"/><Relationship Id="rId1264" Type="http://schemas.openxmlformats.org/officeDocument/2006/relationships/hyperlink" Target="https://drive.google.com/file/d/1Uul8xuYpGZMZ5PUrBMaLaa-Gf3R0XmdD/view?usp=drive_link" TargetMode="External"/><Relationship Id="rId432" Type="http://schemas.openxmlformats.org/officeDocument/2006/relationships/hyperlink" Target="https://drive.google.com/file/d/1hpt-g23o86oi4rbHruTaVjsWxd85JrGL/view?usp=drive_link" TargetMode="External"/><Relationship Id="rId674" Type="http://schemas.openxmlformats.org/officeDocument/2006/relationships/hyperlink" Target="https://drive.google.com/file/d/18UpsxHJXphSvUQ600K97tHtFV-vGlj0c/view?usp=sharing" TargetMode="External"/><Relationship Id="rId1023" Type="http://schemas.openxmlformats.org/officeDocument/2006/relationships/hyperlink" Target="https://drive.google.com/file/d/1B93s-5SV0RkRV_NGj77ossVX2gSnvoyO/view?usp=drive_link" TargetMode="External"/><Relationship Id="rId1265" Type="http://schemas.openxmlformats.org/officeDocument/2006/relationships/hyperlink" Target="https://drive.google.com/file/d/1DHjVco83O6w1b62x2eP3qvEYVnrtk_zF/view?usp=drive_link" TargetMode="External"/><Relationship Id="rId431" Type="http://schemas.openxmlformats.org/officeDocument/2006/relationships/hyperlink" Target="https://drive.google.com/file/d/1yjscD6tfruh6HVJAu-oX7fimQOBl-Hto/view?usp=sharing" TargetMode="External"/><Relationship Id="rId673" Type="http://schemas.openxmlformats.org/officeDocument/2006/relationships/hyperlink" Target="https://drive.google.com/file/d/1_dj_bSI6OYnWfRIP5rpJP0KPtpBGxL51/view?usp=sharing" TargetMode="External"/><Relationship Id="rId1024" Type="http://schemas.openxmlformats.org/officeDocument/2006/relationships/hyperlink" Target="https://drive.google.com/file/d/1vtrFLLjH0qG8Lbf1-EXKplUbBJFuIudk/view?usp=sharing" TargetMode="External"/><Relationship Id="rId1266" Type="http://schemas.openxmlformats.org/officeDocument/2006/relationships/hyperlink" Target="https://drive.google.com/file/d/1TBJdO8doeJ9JAWpAhfcT_xTk2UWrEotA/view?usp=drive_link" TargetMode="External"/><Relationship Id="rId430" Type="http://schemas.openxmlformats.org/officeDocument/2006/relationships/hyperlink" Target="https://drive.google.com/file/d/1dcfc4oRgusp7H1ev49v0aIYxIafL3kKL/view?usp=sharing" TargetMode="External"/><Relationship Id="rId672" Type="http://schemas.openxmlformats.org/officeDocument/2006/relationships/hyperlink" Target="https://drive.google.com/file/d/1zzVBzcA94UH5n4mRfZkBD48_R-liDo5R/view?usp=sharing" TargetMode="External"/><Relationship Id="rId1025" Type="http://schemas.openxmlformats.org/officeDocument/2006/relationships/hyperlink" Target="https://drive.google.com/file/d/13G9OiJ5bHpEGViOQjcKrSN1en4mjyQKl/view?usp=sharing" TargetMode="External"/><Relationship Id="rId1267" Type="http://schemas.openxmlformats.org/officeDocument/2006/relationships/hyperlink" Target="https://drive.google.com/file/d/1WjtaZefGAoi1240e_ESDfEZ96B_6ROF6/view?usp=drive_link" TargetMode="External"/></Relationships>
</file>

<file path=xl/worksheets/_rels/sheet2.xml.rels><?xml version="1.0" encoding="UTF-8" standalone="yes"?><Relationships xmlns="http://schemas.openxmlformats.org/package/2006/relationships"><Relationship Id="rId392" Type="http://schemas.openxmlformats.org/officeDocument/2006/relationships/hyperlink" Target="https://drive.google.com/file/d/1b3Nm1yVvv0ReRRQG3_OsZEGhNpS82mNm/view?usp=sharing" TargetMode="External"/><Relationship Id="rId391" Type="http://schemas.openxmlformats.org/officeDocument/2006/relationships/hyperlink" Target="https://drive.google.com/file/d/1vtinbrUCg1CoBKLWK0tX-_1eemPOXziK/view?usp=sharing" TargetMode="External"/><Relationship Id="rId390" Type="http://schemas.openxmlformats.org/officeDocument/2006/relationships/hyperlink" Target="https://drive.google.com/file/d/189i0o_6mk-hwW5Qijt122mUNxoHnG--g/view?usp=sharing" TargetMode="External"/><Relationship Id="rId1" Type="http://schemas.openxmlformats.org/officeDocument/2006/relationships/hyperlink" Target="https://drive.google.com/file/d/1MhyB4JeFmGm6FTs0EEOEhxSNB5uyTkUF/view?usp=sharing" TargetMode="External"/><Relationship Id="rId2" Type="http://schemas.openxmlformats.org/officeDocument/2006/relationships/hyperlink" Target="https://drive.google.com/file/d/1zU8-m_j0-pdv_ljKu8oPDA0J8yvUVmQO/view?usp=sharing" TargetMode="External"/><Relationship Id="rId3" Type="http://schemas.openxmlformats.org/officeDocument/2006/relationships/hyperlink" Target="https://drive.google.com/file/d/101NC9Ia7gMyhxAapqjXYySzdtO9I3svI/view?usp=sharing" TargetMode="External"/><Relationship Id="rId4" Type="http://schemas.openxmlformats.org/officeDocument/2006/relationships/hyperlink" Target="https://drive.google.com/file/d/1GSQJOtXbwGB9v9uYp7tZIHGiJ7IdsZw3/view?usp=sharing" TargetMode="External"/><Relationship Id="rId9" Type="http://schemas.openxmlformats.org/officeDocument/2006/relationships/hyperlink" Target="https://drive.google.com/file/d/1cQ2IvqJtEEBfPq7DKfvmxIT2TZ1IV8tT/view?usp=sharing" TargetMode="External"/><Relationship Id="rId385" Type="http://schemas.openxmlformats.org/officeDocument/2006/relationships/hyperlink" Target="https://drive.google.com/file/d/11cHQ2QtzbIxV6vYLtCi-xWNd3EkaiA-X/view?usp=sharing" TargetMode="External"/><Relationship Id="rId384" Type="http://schemas.openxmlformats.org/officeDocument/2006/relationships/hyperlink" Target="https://drive.google.com/file/d/10FyozQaKhDGOmSWtu1pGlbCV1TKpRbYV/view?usp=sharing" TargetMode="External"/><Relationship Id="rId383" Type="http://schemas.openxmlformats.org/officeDocument/2006/relationships/hyperlink" Target="https://drive.google.com/file/d/1jWF6-_Eg4cdseTJSq_EDM_RF1rHoXm9o/view?usp=sharing" TargetMode="External"/><Relationship Id="rId382" Type="http://schemas.openxmlformats.org/officeDocument/2006/relationships/hyperlink" Target="https://drive.google.com/file/d/1x3eMyCL6f91Zim3mU7hIR584O4Z0X7x0/view?usp=sharing" TargetMode="External"/><Relationship Id="rId5" Type="http://schemas.openxmlformats.org/officeDocument/2006/relationships/hyperlink" Target="https://drive.google.com/file/d/1WYYe7-jda6CdXXHro6eDdRiTbfJ1A8wa/view?usp=sharing" TargetMode="External"/><Relationship Id="rId389" Type="http://schemas.openxmlformats.org/officeDocument/2006/relationships/hyperlink" Target="https://drive.google.com/file/d/1OE3rP0kqpliBkPcrv7bII2f7-wzwDO9W/view?usp=sharing" TargetMode="External"/><Relationship Id="rId6" Type="http://schemas.openxmlformats.org/officeDocument/2006/relationships/hyperlink" Target="https://drive.google.com/file/d/1iE3UZlTv4HRZ5kl4rNa0Git5Oj9KgEWs/view?usp=sharing" TargetMode="External"/><Relationship Id="rId388" Type="http://schemas.openxmlformats.org/officeDocument/2006/relationships/hyperlink" Target="https://drive.google.com/file/d/1ZvLlYGDDcy4pJURWL_oG4tLNkeifHpSf/view?usp=sharing" TargetMode="External"/><Relationship Id="rId7" Type="http://schemas.openxmlformats.org/officeDocument/2006/relationships/hyperlink" Target="https://drive.google.com/file/d/1mR6hS7HNxtdN1ubOWC4aM-bvAmJe3Idu/view?usp=sharing" TargetMode="External"/><Relationship Id="rId387" Type="http://schemas.openxmlformats.org/officeDocument/2006/relationships/hyperlink" Target="https://drive.google.com/file/d/1QGWKrQiYKiaMKquK_yxp-_YdqO99PZTi/view?usp=sharing" TargetMode="External"/><Relationship Id="rId8" Type="http://schemas.openxmlformats.org/officeDocument/2006/relationships/hyperlink" Target="https://drive.google.com/file/d/1yq9dZH50GOojjHSrKjDMx6ROmToyMEB5/view?usp=sharing" TargetMode="External"/><Relationship Id="rId386" Type="http://schemas.openxmlformats.org/officeDocument/2006/relationships/hyperlink" Target="https://drive.google.com/file/d/1ZHdz9Uy9SFLnEKCd0fakM6rRYZ8WnlWg/view?usp=sharing" TargetMode="External"/><Relationship Id="rId381" Type="http://schemas.openxmlformats.org/officeDocument/2006/relationships/hyperlink" Target="https://drive.google.com/file/d/1FETW2l8vAwxGmckzE_R1uCjeWH5ujW4Q/view?usp=sharing" TargetMode="External"/><Relationship Id="rId380" Type="http://schemas.openxmlformats.org/officeDocument/2006/relationships/hyperlink" Target="https://drive.google.com/file/d/1Wtu1UvctlenQ3SCHjfCBssoVFobk2abf/view?usp=sharing" TargetMode="External"/><Relationship Id="rId379" Type="http://schemas.openxmlformats.org/officeDocument/2006/relationships/hyperlink" Target="https://drive.google.com/file/d/1Xp5rlS4aTto2Rzh7TOz4aQSET_jIHcfg/view?usp=sharing" TargetMode="External"/><Relationship Id="rId374" Type="http://schemas.openxmlformats.org/officeDocument/2006/relationships/hyperlink" Target="https://drive.google.com/file/d/1714i_GcccZK-1NSOan3O1plXEhMYakLZ/view?usp=sharing" TargetMode="External"/><Relationship Id="rId373" Type="http://schemas.openxmlformats.org/officeDocument/2006/relationships/hyperlink" Target="https://drive.google.com/file/d/1zP34cqfIg-VUHDIFPWeo-fjSmckRhb5b/view?usp=drive_link" TargetMode="External"/><Relationship Id="rId372" Type="http://schemas.openxmlformats.org/officeDocument/2006/relationships/hyperlink" Target="https://drive.google.com/file/d/1xSKUGPBhbbSKh48sO5ClAgbqM6S8Fr0l/view?usp=drive_link" TargetMode="External"/><Relationship Id="rId371" Type="http://schemas.openxmlformats.org/officeDocument/2006/relationships/hyperlink" Target="https://drive.google.com/file/d/106vPPerZHvtfy7AvBHkNgV32_f72Vd9V/view?usp=sharing" TargetMode="External"/><Relationship Id="rId378" Type="http://schemas.openxmlformats.org/officeDocument/2006/relationships/hyperlink" Target="https://drive.google.com/file/d/1JjGRwiPGpX7otDer6-rG6ATZqWvwOUln/view?usp=sharing" TargetMode="External"/><Relationship Id="rId377" Type="http://schemas.openxmlformats.org/officeDocument/2006/relationships/hyperlink" Target="https://drive.google.com/file/d/1IrXOaQDu83IbXU1Z3vS2VN7JSYK4-uZ_/view?usp=sharing" TargetMode="External"/><Relationship Id="rId376" Type="http://schemas.openxmlformats.org/officeDocument/2006/relationships/hyperlink" Target="https://drive.google.com/file/d/1yPQZ1Nokz3ABXkHbEo2BFSjaXfZ6oRgK/view?usp=sharing" TargetMode="External"/><Relationship Id="rId375" Type="http://schemas.openxmlformats.org/officeDocument/2006/relationships/hyperlink" Target="https://drive.google.com/file/d/1HFQ7KIORS2Z35oqfqDL2M778xvTi_5MJ/view?usp=sharing" TargetMode="External"/><Relationship Id="rId396" Type="http://schemas.openxmlformats.org/officeDocument/2006/relationships/hyperlink" Target="https://drive.google.com/file/d/1L2h1rB45jR5HTe3rs-S-wlfoREz0Bts2/view?usp=sharing" TargetMode="External"/><Relationship Id="rId395" Type="http://schemas.openxmlformats.org/officeDocument/2006/relationships/hyperlink" Target="https://drive.google.com/file/d/1Cbo4Xq5MbHtyK47hKIuHt3pakvfWOyeK/view?usp=sharing" TargetMode="External"/><Relationship Id="rId394" Type="http://schemas.openxmlformats.org/officeDocument/2006/relationships/hyperlink" Target="https://drive.google.com/file/d/1zDkAQ82Gd1lcl4xm4iOzvj_EV1XblB4R/view?usp=sharing" TargetMode="External"/><Relationship Id="rId393" Type="http://schemas.openxmlformats.org/officeDocument/2006/relationships/hyperlink" Target="https://drive.google.com/file/d/1PlbtT7a1q2wUP4fmvK9KdGWWkXJyvKRJ/view?usp=sharing" TargetMode="External"/><Relationship Id="rId399" Type="http://schemas.openxmlformats.org/officeDocument/2006/relationships/hyperlink" Target="https://drive.google.com/file/d/1zpbELIYtWoM9bS7gv8fVvaCoqz78sM1i/view?usp=sharing" TargetMode="External"/><Relationship Id="rId398" Type="http://schemas.openxmlformats.org/officeDocument/2006/relationships/hyperlink" Target="https://drive.google.com/file/d/17_XEQW7JstdWllTwJAdsCGFzoBwB-riF/view?usp=sharing" TargetMode="External"/><Relationship Id="rId397" Type="http://schemas.openxmlformats.org/officeDocument/2006/relationships/hyperlink" Target="https://drive.google.com/file/d/1A0Xs7dODH47FDLqQ-C3i1pelBoU4S2Ot/view?usp=sharing" TargetMode="External"/><Relationship Id="rId808" Type="http://schemas.openxmlformats.org/officeDocument/2006/relationships/hyperlink" Target="https://drive.google.com/file/d/19WrCfoETL-CZNgbeaHKmSoP5nvJ8983o/view?usp=sharing" TargetMode="External"/><Relationship Id="rId807" Type="http://schemas.openxmlformats.org/officeDocument/2006/relationships/hyperlink" Target="https://drive.google.com/file/d/11C0zkD4PBoLBhXWhkD7-scVHij9PvgmM/view?usp=sharing" TargetMode="External"/><Relationship Id="rId806" Type="http://schemas.openxmlformats.org/officeDocument/2006/relationships/hyperlink" Target="https://drive.google.com/file/d/1TRUSUnVklGJ88hCBIq-azIEJkzw7IPoN/view?usp=sharing" TargetMode="External"/><Relationship Id="rId805" Type="http://schemas.openxmlformats.org/officeDocument/2006/relationships/hyperlink" Target="https://drive.google.com/file/d/1WR_9OvpxcQeoki74DkV6VuLwRqUeIDwi/view?usp=sharing" TargetMode="External"/><Relationship Id="rId809" Type="http://schemas.openxmlformats.org/officeDocument/2006/relationships/hyperlink" Target="https://drive.google.com/file/d/1m12gca6KzSuLr_mEOQiXry6I99Hqkzou/view?usp=sharing" TargetMode="External"/><Relationship Id="rId800" Type="http://schemas.openxmlformats.org/officeDocument/2006/relationships/hyperlink" Target="https://drive.google.com/file/d/1IRbFYdZlWUldPQepdWSRGQts66WGAk3m/view?usp=sharing" TargetMode="External"/><Relationship Id="rId804" Type="http://schemas.openxmlformats.org/officeDocument/2006/relationships/hyperlink" Target="https://drive.google.com/file/d/1avF4PbnlnmsjGlF6qAJXQDVOcX3uYYWL/view?usp=sharing" TargetMode="External"/><Relationship Id="rId803" Type="http://schemas.openxmlformats.org/officeDocument/2006/relationships/hyperlink" Target="https://drive.google.com/file/d/1f-IpKdW9W5ouYvOPxf0EB7_DZVMfEVPa/view?usp=drive_link" TargetMode="External"/><Relationship Id="rId802" Type="http://schemas.openxmlformats.org/officeDocument/2006/relationships/hyperlink" Target="https://drive.google.com/file/d/1QsZbD5_GwSCYNiwRqKHi8U5gTGtSDy_k/view?usp=sharing" TargetMode="External"/><Relationship Id="rId801" Type="http://schemas.openxmlformats.org/officeDocument/2006/relationships/hyperlink" Target="https://drive.google.com/file/d/1o3hQTzAmqpyT_454VRxNksYQlPrNZDC7/view?usp=sharing" TargetMode="External"/><Relationship Id="rId40" Type="http://schemas.openxmlformats.org/officeDocument/2006/relationships/hyperlink" Target="https://drive.google.com/file/d/15VEAWqJ5ElZTyMqNlowoOgfOc3N6x0bl/view?usp=sharing" TargetMode="External"/><Relationship Id="rId1334" Type="http://schemas.openxmlformats.org/officeDocument/2006/relationships/hyperlink" Target="https://drive.google.com/file/d/12PD92bn6psYvs2iihnUc45jf7I_lpPGv/view?usp=sharing" TargetMode="External"/><Relationship Id="rId1335" Type="http://schemas.openxmlformats.org/officeDocument/2006/relationships/hyperlink" Target="https://drive.google.com/file/d/1hBxXnNOL1sU9urOhX6wkS6oF_tXyjXSG/view?usp=sharing" TargetMode="External"/><Relationship Id="rId42" Type="http://schemas.openxmlformats.org/officeDocument/2006/relationships/hyperlink" Target="https://drive.google.com/file/d/1QjMlDPvMeS2htK4OafWEsab0u98YnxNV/view?usp=sharing" TargetMode="External"/><Relationship Id="rId1336" Type="http://schemas.openxmlformats.org/officeDocument/2006/relationships/hyperlink" Target="https://drive.google.com/file/d/1GFE5L_A8jrnB4w_ZoxzDMmkpdzTl9l82/view?usp=drive_link" TargetMode="External"/><Relationship Id="rId41" Type="http://schemas.openxmlformats.org/officeDocument/2006/relationships/hyperlink" Target="https://drive.google.com/file/d/1DlF44olHGZeM0ys_vcg6x7LZyKKHhIbo/view?usp=sharing" TargetMode="External"/><Relationship Id="rId1337" Type="http://schemas.openxmlformats.org/officeDocument/2006/relationships/hyperlink" Target="https://drive.google.com/file/d/1TxONk7tiK1JWszVq4osbcCzDchJkrEJg/view?usp=drive_link" TargetMode="External"/><Relationship Id="rId44" Type="http://schemas.openxmlformats.org/officeDocument/2006/relationships/hyperlink" Target="https://drive.google.com/file/d/1Ey8tgMcpiZlhkXa9mIS8CvRXojplX3-c/view?usp=sharing" TargetMode="External"/><Relationship Id="rId1338" Type="http://schemas.openxmlformats.org/officeDocument/2006/relationships/hyperlink" Target="https://drive.google.com/file/d/1par0P-bdbjGOIyyenJoBsvVzB7JkD1V1/view?usp=drive_link" TargetMode="External"/><Relationship Id="rId43" Type="http://schemas.openxmlformats.org/officeDocument/2006/relationships/hyperlink" Target="https://drive.google.com/file/d/1U2jwL0HGUZUM-VCQrml4ymvt66MKwwLJ/view?usp=sharing" TargetMode="External"/><Relationship Id="rId1339" Type="http://schemas.openxmlformats.org/officeDocument/2006/relationships/hyperlink" Target="https://drive.google.com/file/d/1TpHArsheSYxTaE26gMhhRhG_MivpXy3H/view?usp=drive_link" TargetMode="External"/><Relationship Id="rId46" Type="http://schemas.openxmlformats.org/officeDocument/2006/relationships/hyperlink" Target="https://drive.google.com/file/d/17lG3knlJYMd5C6scKls9Cqk-OzF-d_dQ/view?usp=sharing" TargetMode="External"/><Relationship Id="rId45" Type="http://schemas.openxmlformats.org/officeDocument/2006/relationships/hyperlink" Target="https://drive.google.com/file/d/1Uqv_d_VKfTA9RO045ZG2ioiDIO05mORj/view?usp=sharing" TargetMode="External"/><Relationship Id="rId745" Type="http://schemas.openxmlformats.org/officeDocument/2006/relationships/hyperlink" Target="https://drive.google.com/file/d/1iEzmp80IvnZWMxAwKnmkJ3u-eSps3cNV/view?usp=sharing" TargetMode="External"/><Relationship Id="rId744" Type="http://schemas.openxmlformats.org/officeDocument/2006/relationships/hyperlink" Target="https://drive.google.com/file/d/1BCMW9JG1Td1VRSNzJ8Fct-LwRaKjFlow/view?usp=sharing" TargetMode="External"/><Relationship Id="rId743" Type="http://schemas.openxmlformats.org/officeDocument/2006/relationships/hyperlink" Target="https://drive.google.com/file/d/1m12gca6KzSuLr_mEOQiXry6I99Hqkzou/view?usp=sharing" TargetMode="External"/><Relationship Id="rId742" Type="http://schemas.openxmlformats.org/officeDocument/2006/relationships/hyperlink" Target="https://drive.google.com/file/d/19WrCfoETL-CZNgbeaHKmSoP5nvJ8983o/view?usp=sharing" TargetMode="External"/><Relationship Id="rId749" Type="http://schemas.openxmlformats.org/officeDocument/2006/relationships/hyperlink" Target="https://drive.google.com/file/d/1U5ZXfIQJYoCbh33pVmzB0vpgDHwR_OKX/view?usp=sharing" TargetMode="External"/><Relationship Id="rId748" Type="http://schemas.openxmlformats.org/officeDocument/2006/relationships/hyperlink" Target="https://drive.google.com/file/d/150an1e-T17ECPN6YkKkCi1onDFiRbUJr/view?usp=sharing" TargetMode="External"/><Relationship Id="rId747" Type="http://schemas.openxmlformats.org/officeDocument/2006/relationships/hyperlink" Target="https://drive.google.com/file/d/1F2kU_UYjyPvNMGt9aflA-c2rQPW1XL28/view?usp=sharing" TargetMode="External"/><Relationship Id="rId746" Type="http://schemas.openxmlformats.org/officeDocument/2006/relationships/hyperlink" Target="https://drive.google.com/file/d/1v3nLh8VUgN7lqzU_jhqEeXLZ5asaenZV/view?usp=sharing" TargetMode="External"/><Relationship Id="rId48" Type="http://schemas.openxmlformats.org/officeDocument/2006/relationships/hyperlink" Target="https://drive.google.com/file/d/1V9EizfwsEkuYto8ankyM8ZCKXdufw3Zk/view?usp=sharing" TargetMode="External"/><Relationship Id="rId47" Type="http://schemas.openxmlformats.org/officeDocument/2006/relationships/hyperlink" Target="https://drive.google.com/file/d/1bTq9C5zDgH7SoXuQKGY5BJumkvRWwlGX/view?usp=sharing" TargetMode="External"/><Relationship Id="rId49" Type="http://schemas.openxmlformats.org/officeDocument/2006/relationships/hyperlink" Target="https://drive.google.com/file/d/13uskDArdPPRIDNdLokJ1zALZEjF5PulD/view?usp=sharing" TargetMode="External"/><Relationship Id="rId741" Type="http://schemas.openxmlformats.org/officeDocument/2006/relationships/hyperlink" Target="https://drive.google.com/file/d/11C0zkD4PBoLBhXWhkD7-scVHij9PvgmM/view?usp=sharing" TargetMode="External"/><Relationship Id="rId1330" Type="http://schemas.openxmlformats.org/officeDocument/2006/relationships/hyperlink" Target="https://drive.google.com/file/d/1upS69XQFgKicpC1XEv3hx2U0zhlTaGBN/view?usp=drive_link" TargetMode="External"/><Relationship Id="rId740" Type="http://schemas.openxmlformats.org/officeDocument/2006/relationships/hyperlink" Target="https://drive.google.com/file/d/1TRUSUnVklGJ88hCBIq-azIEJkzw7IPoN/view?usp=sharing" TargetMode="External"/><Relationship Id="rId1331" Type="http://schemas.openxmlformats.org/officeDocument/2006/relationships/hyperlink" Target="https://drive.google.com/file/d/1nvJXCajVS1he1LPALaYYpzAIGUz61baa/view?usp=sharing" TargetMode="External"/><Relationship Id="rId1332" Type="http://schemas.openxmlformats.org/officeDocument/2006/relationships/hyperlink" Target="https://drive.google.com/file/d/1YosxaWT9FM74nB_4xnTYYhzyCyxR4aaq/view?usp=sharing" TargetMode="External"/><Relationship Id="rId1333" Type="http://schemas.openxmlformats.org/officeDocument/2006/relationships/hyperlink" Target="https://drive.google.com/file/d/1Yw95NY00bOFt-8YG6ixQcaf02XvWRv_s/view?usp=sharing" TargetMode="External"/><Relationship Id="rId1323" Type="http://schemas.openxmlformats.org/officeDocument/2006/relationships/hyperlink" Target="https://drive.google.com/file/d/1xRAbr5biRyFnYsEhffbKR-geFMSvA6I1/view?usp=drive_link" TargetMode="External"/><Relationship Id="rId1324" Type="http://schemas.openxmlformats.org/officeDocument/2006/relationships/hyperlink" Target="https://drive.google.com/file/d/1Qe0nJ329lhepZDXv0bxu8dxnbxzjh2lt/view?usp=drive_link" TargetMode="External"/><Relationship Id="rId31" Type="http://schemas.openxmlformats.org/officeDocument/2006/relationships/hyperlink" Target="https://drive.google.com/file/d/1s8fgBABVr0R9JtsksMclICNZCEYe472r/view?usp=sharing" TargetMode="External"/><Relationship Id="rId1325" Type="http://schemas.openxmlformats.org/officeDocument/2006/relationships/hyperlink" Target="https://drive.google.com/file/d/1QCHHfzU5TRI5WoFYJAAFsRdMhM293b89/view?usp=drive_link" TargetMode="External"/><Relationship Id="rId30" Type="http://schemas.openxmlformats.org/officeDocument/2006/relationships/hyperlink" Target="https://drive.google.com/file/d/1TfHsiSA5S0WiSAdLcOvOM3g7Oy2nQy_R/view?usp=sharing" TargetMode="External"/><Relationship Id="rId1326" Type="http://schemas.openxmlformats.org/officeDocument/2006/relationships/hyperlink" Target="https://drive.google.com/file/d/13UiiELKOEzZoDckWjUr5MgWXmMM2QUcY/view?usp=drive_link" TargetMode="External"/><Relationship Id="rId33" Type="http://schemas.openxmlformats.org/officeDocument/2006/relationships/hyperlink" Target="https://drive.google.com/file/d/1kTGTm8GiiSZjHmnRHvblo7FtNHe-Dej8/view?usp=sharing" TargetMode="External"/><Relationship Id="rId1327" Type="http://schemas.openxmlformats.org/officeDocument/2006/relationships/hyperlink" Target="https://drive.google.com/file/d/1xsU6ZBwolpKBVpVuALjIc8Yeg_2LVMLu/view?usp=drive_link" TargetMode="External"/><Relationship Id="rId32" Type="http://schemas.openxmlformats.org/officeDocument/2006/relationships/hyperlink" Target="https://drive.google.com/file/d/1khNlSO8hYqvPgXV3XzjAAoMEvztV-bRC/view?usp=sharing" TargetMode="External"/><Relationship Id="rId1328" Type="http://schemas.openxmlformats.org/officeDocument/2006/relationships/hyperlink" Target="https://drive.google.com/file/d/1ah1HM6sYZaicq7pe2EWHT4tj1MJAYN70/view?usp=drive_link" TargetMode="External"/><Relationship Id="rId35" Type="http://schemas.openxmlformats.org/officeDocument/2006/relationships/hyperlink" Target="https://drive.google.com/file/d/1UkFAfRuvEStO1npTQVPkD1vsWVD3Hr6n/view?usp=sharing" TargetMode="External"/><Relationship Id="rId1329" Type="http://schemas.openxmlformats.org/officeDocument/2006/relationships/hyperlink" Target="https://drive.google.com/file/d/1xfKQSO2nQ06YPUNfhgUpymIHwDCq8Qud/view?usp=sharing" TargetMode="External"/><Relationship Id="rId34" Type="http://schemas.openxmlformats.org/officeDocument/2006/relationships/hyperlink" Target="https://drive.google.com/file/d/1vAC66cd21Po5u6OX1jlpReyU-KiO9MVE/view?usp=sharing" TargetMode="External"/><Relationship Id="rId739" Type="http://schemas.openxmlformats.org/officeDocument/2006/relationships/hyperlink" Target="https://drive.google.com/file/d/1WR_9OvpxcQeoki74DkV6VuLwRqUeIDwi/view?usp=sharing" TargetMode="External"/><Relationship Id="rId734" Type="http://schemas.openxmlformats.org/officeDocument/2006/relationships/hyperlink" Target="https://drive.google.com/file/d/1IRbFYdZlWUldPQepdWSRGQts66WGAk3m/view?usp=sharing" TargetMode="External"/><Relationship Id="rId733" Type="http://schemas.openxmlformats.org/officeDocument/2006/relationships/hyperlink" Target="https://drive.google.com/file/d/1CiJukKXSRT-BwQSbdVNLzkJnMk9Ktiji/view?usp=sharing" TargetMode="External"/><Relationship Id="rId732" Type="http://schemas.openxmlformats.org/officeDocument/2006/relationships/hyperlink" Target="https://drive.google.com/file/d/1moxpZs_5IwyLIUFV6dOpRuy2k5EETEtM/view?usp=sharing" TargetMode="External"/><Relationship Id="rId731" Type="http://schemas.openxmlformats.org/officeDocument/2006/relationships/hyperlink" Target="https://drive.google.com/file/d/1f2pmQG1XHj0wPWly3tuZdsejHfhT2-I0/view?usp=sharing" TargetMode="External"/><Relationship Id="rId738" Type="http://schemas.openxmlformats.org/officeDocument/2006/relationships/hyperlink" Target="https://drive.google.com/file/d/1avF4PbnlnmsjGlF6qAJXQDVOcX3uYYWL/view?usp=sharing" TargetMode="External"/><Relationship Id="rId737" Type="http://schemas.openxmlformats.org/officeDocument/2006/relationships/hyperlink" Target="https://drive.google.com/file/d/1f-IpKdW9W5ouYvOPxf0EB7_DZVMfEVPa/view?usp=drive_link" TargetMode="External"/><Relationship Id="rId736" Type="http://schemas.openxmlformats.org/officeDocument/2006/relationships/hyperlink" Target="https://drive.google.com/file/d/1QsZbD5_GwSCYNiwRqKHi8U5gTGtSDy_k/view?usp=sharing" TargetMode="External"/><Relationship Id="rId735" Type="http://schemas.openxmlformats.org/officeDocument/2006/relationships/hyperlink" Target="https://drive.google.com/file/d/1o3hQTzAmqpyT_454VRxNksYQlPrNZDC7/view?usp=sharing" TargetMode="External"/><Relationship Id="rId37" Type="http://schemas.openxmlformats.org/officeDocument/2006/relationships/hyperlink" Target="https://drive.google.com/file/d/1DakrXzlH56JmUWLKL1bOEzNPkfgS6-4R/view?usp=sharing" TargetMode="External"/><Relationship Id="rId36" Type="http://schemas.openxmlformats.org/officeDocument/2006/relationships/hyperlink" Target="https://drive.google.com/file/d/1T09qdTlSQObmapZhw_UyY5LxiqHgPeTq/view?usp=sharing" TargetMode="External"/><Relationship Id="rId39" Type="http://schemas.openxmlformats.org/officeDocument/2006/relationships/hyperlink" Target="https://drive.google.com/file/d/1spk8L8Yb8tZoUVLC2WJY6qLeYNnorLXA/view?usp=sharing" TargetMode="External"/><Relationship Id="rId38" Type="http://schemas.openxmlformats.org/officeDocument/2006/relationships/hyperlink" Target="https://drive.google.com/file/d/1Nom25ihq-l_DWs9wkODiS3SiIBP1h0sj/view?usp=sharing" TargetMode="External"/><Relationship Id="rId730" Type="http://schemas.openxmlformats.org/officeDocument/2006/relationships/hyperlink" Target="https://drive.google.com/file/d/1RgkCtesL7l8bzwgBJBvj6fcyo8mY4Tnb/view?usp=sharing" TargetMode="External"/><Relationship Id="rId1320" Type="http://schemas.openxmlformats.org/officeDocument/2006/relationships/hyperlink" Target="https://drive.google.com/file/d/19p5brlMDxoxRgHLGVMs9oPYsownET4HS/view?usp=drive_link" TargetMode="External"/><Relationship Id="rId1321" Type="http://schemas.openxmlformats.org/officeDocument/2006/relationships/hyperlink" Target="https://drive.google.com/file/d/1TfakksjZUd-Fsg-vdaGZTe71rspA-1eC/view?usp=drive_link" TargetMode="External"/><Relationship Id="rId1322" Type="http://schemas.openxmlformats.org/officeDocument/2006/relationships/hyperlink" Target="https://drive.google.com/file/d/1LSjvWi70uFgzZ3LNarcJoE1EB7ae_zUC/view?usp=drive_link" TargetMode="External"/><Relationship Id="rId1356" Type="http://schemas.openxmlformats.org/officeDocument/2006/relationships/hyperlink" Target="https://drive.google.com/file/d/1z4ZJvrJjAj9RuJ0xRzsWKw5Q5C9l-vuN/view?usp=drive_link" TargetMode="External"/><Relationship Id="rId1357" Type="http://schemas.openxmlformats.org/officeDocument/2006/relationships/hyperlink" Target="https://drive.google.com/file/d/1GDgTePOgG8gZWaWpvYPEWRXFpDcFXVsj/view?usp=drive_link" TargetMode="External"/><Relationship Id="rId20" Type="http://schemas.openxmlformats.org/officeDocument/2006/relationships/hyperlink" Target="https://drive.google.com/file/d/1iIi9cGzosvMNtjXTvesvS5a6po0YjneE/view?usp=sharing" TargetMode="External"/><Relationship Id="rId1358" Type="http://schemas.openxmlformats.org/officeDocument/2006/relationships/hyperlink" Target="https://drive.google.com/file/d/1SY2csHcLEwsKmAyzqqUlUL6FuN4GIVZH/view?usp=drive_link" TargetMode="External"/><Relationship Id="rId1359" Type="http://schemas.openxmlformats.org/officeDocument/2006/relationships/hyperlink" Target="https://drive.google.com/file/d/1Emh9GKk1Rxg3MYnhn16x1yj0hg8pY-pF/view?usp=drive_link" TargetMode="External"/><Relationship Id="rId22" Type="http://schemas.openxmlformats.org/officeDocument/2006/relationships/hyperlink" Target="https://drive.google.com/file/d/1gJRa-Da-aN5jG7pLK5ZMH_EMi6ptkM8H/view?usp=sharing" TargetMode="External"/><Relationship Id="rId21" Type="http://schemas.openxmlformats.org/officeDocument/2006/relationships/hyperlink" Target="https://drive.google.com/file/d/1qUB4AP_U_O0PttBGEYrFaUC6C3facSEb/view?usp=sharing" TargetMode="External"/><Relationship Id="rId24" Type="http://schemas.openxmlformats.org/officeDocument/2006/relationships/hyperlink" Target="https://drive.google.com/file/d/1nWbDgOhYB8u5Ttv6HRSFsyz2mONqSPfL/view?usp=sharing" TargetMode="External"/><Relationship Id="rId23" Type="http://schemas.openxmlformats.org/officeDocument/2006/relationships/hyperlink" Target="https://drive.google.com/file/d/1SBUaHJS0e6X4v6Ew-YwqfhUTlm5DkKO9/view?usp=sharing" TargetMode="External"/><Relationship Id="rId767" Type="http://schemas.openxmlformats.org/officeDocument/2006/relationships/hyperlink" Target="https://drive.google.com/file/d/1bXb5ibLYHwDC9yjMYQGUMglp14xX--Br/view?usp=sharing" TargetMode="External"/><Relationship Id="rId766" Type="http://schemas.openxmlformats.org/officeDocument/2006/relationships/hyperlink" Target="https://drive.google.com/file/d/1F6x2c6CKN3gVHe5cmePMfh_2WXhAKQBA/view?usp=sharing" TargetMode="External"/><Relationship Id="rId765" Type="http://schemas.openxmlformats.org/officeDocument/2006/relationships/hyperlink" Target="https://drive.google.com/file/d/1eISiR2P9If7m2DC4dsGPXcsISjO_LByC/view?usp=sharing" TargetMode="External"/><Relationship Id="rId764" Type="http://schemas.openxmlformats.org/officeDocument/2006/relationships/hyperlink" Target="https://drive.google.com/file/d/1J-L_hNM7uGBL2dOZJRNwvAAVm__PxN9z/view?usp=sharing" TargetMode="External"/><Relationship Id="rId769" Type="http://schemas.openxmlformats.org/officeDocument/2006/relationships/hyperlink" Target="https://drive.google.com/file/d/1o-HMHwrqT3tHcRCGByEYp8wsoErJhU_P/view?usp=sharing" TargetMode="External"/><Relationship Id="rId768" Type="http://schemas.openxmlformats.org/officeDocument/2006/relationships/hyperlink" Target="https://drive.google.com/file/d/1QQCWJ5xV5y2dEtpAHswFVSgnksaRKFcQ/view?usp=sharing" TargetMode="External"/><Relationship Id="rId26" Type="http://schemas.openxmlformats.org/officeDocument/2006/relationships/hyperlink" Target="https://drive.google.com/file/d/1jcfN2yL7vxGiT7o4MpxFhl18sv8yTGKc/view?usp=sharing" TargetMode="External"/><Relationship Id="rId25" Type="http://schemas.openxmlformats.org/officeDocument/2006/relationships/hyperlink" Target="https://drive.google.com/file/d/1ErquVdeEdmoi3cGf-Jn_5S4-5183kni2/view?usp=sharing" TargetMode="External"/><Relationship Id="rId28" Type="http://schemas.openxmlformats.org/officeDocument/2006/relationships/hyperlink" Target="https://drive.google.com/file/d/162Rres-k0lWr3ZyMp_e8WXUMEINbqd90/view?usp=sharing" TargetMode="External"/><Relationship Id="rId1350" Type="http://schemas.openxmlformats.org/officeDocument/2006/relationships/hyperlink" Target="https://drive.google.com/file/d/1S6ZS7lCLyM9ogyGjC7cZoiU2tr921sjK/view?usp=drive_link" TargetMode="External"/><Relationship Id="rId27" Type="http://schemas.openxmlformats.org/officeDocument/2006/relationships/hyperlink" Target="https://drive.google.com/file/d/1g1W6u0ak1e27IpBY4ScXMCMQbGdztDNi/view?usp=sharing" TargetMode="External"/><Relationship Id="rId1351" Type="http://schemas.openxmlformats.org/officeDocument/2006/relationships/hyperlink" Target="https://drive.google.com/file/d/1hExUNNRW2X4hETcPbnYf0vZF_3VR0fb2/view?usp=drive_link" TargetMode="External"/><Relationship Id="rId763" Type="http://schemas.openxmlformats.org/officeDocument/2006/relationships/hyperlink" Target="https://drive.google.com/file/d/1RCQHHTzkjznPvkeNj27LWGlI6gJwgLo4/view?usp=sharing" TargetMode="External"/><Relationship Id="rId1352" Type="http://schemas.openxmlformats.org/officeDocument/2006/relationships/hyperlink" Target="https://drive.google.com/file/d/1zCd999rmlisIjGFsODcP0_AG4fV4I5E2/view?usp=drive_link" TargetMode="External"/><Relationship Id="rId29" Type="http://schemas.openxmlformats.org/officeDocument/2006/relationships/hyperlink" Target="https://drive.google.com/file/d/14iNncExiqnsARAsFI82pAVROfhbUkVCY/view?usp=sharing" TargetMode="External"/><Relationship Id="rId762" Type="http://schemas.openxmlformats.org/officeDocument/2006/relationships/hyperlink" Target="https://drive.google.com/file/d/1NkPTZavfqY7yLLxV8vtlTi3KT_TuWipt/view?usp=sharing" TargetMode="External"/><Relationship Id="rId1353" Type="http://schemas.openxmlformats.org/officeDocument/2006/relationships/hyperlink" Target="https://drive.google.com/file/d/16PQN0ALVckh1bZkpxpbNi6gBW3hCQPRY/view?usp=drive_link" TargetMode="External"/><Relationship Id="rId761" Type="http://schemas.openxmlformats.org/officeDocument/2006/relationships/hyperlink" Target="https://drive.google.com/file/d/1z4USzlWqAHT9eW7PD2vKRbZArDPiCAqw/view?usp=sharing" TargetMode="External"/><Relationship Id="rId1354" Type="http://schemas.openxmlformats.org/officeDocument/2006/relationships/hyperlink" Target="https://drive.google.com/file/d/1gNuKEW6XhCHdRzu593Bt6LYC7hSrH7_n/view?usp=drive_link" TargetMode="External"/><Relationship Id="rId760" Type="http://schemas.openxmlformats.org/officeDocument/2006/relationships/hyperlink" Target="https://drive.google.com/file/d/1mQgePZkvaCkTP8aNjdSI7sdCqwN7OD_d/view?usp=sharing" TargetMode="External"/><Relationship Id="rId1355" Type="http://schemas.openxmlformats.org/officeDocument/2006/relationships/hyperlink" Target="https://drive.google.com/file/d/1xScOd-bIUJZFNioNKQnWILG2UF2tVGNc/view?usp=drive_link" TargetMode="External"/><Relationship Id="rId1345" Type="http://schemas.openxmlformats.org/officeDocument/2006/relationships/hyperlink" Target="https://drive.google.com/file/d/1jz45Hd-wQhRFmFcJ15KtFtJcYAS3KZ0m/view?usp=drive_link" TargetMode="External"/><Relationship Id="rId1346" Type="http://schemas.openxmlformats.org/officeDocument/2006/relationships/hyperlink" Target="https://drive.google.com/file/d/1iNMkjRo8Fg8uJTG4o00HAPBKvBBSdAE3/view?usp=drive_link" TargetMode="External"/><Relationship Id="rId1347" Type="http://schemas.openxmlformats.org/officeDocument/2006/relationships/hyperlink" Target="https://drive.google.com/file/d/1nsJsL7PHQBTtBUp8EQkuWdu0hYKysRUG/view?usp=drive_link" TargetMode="External"/><Relationship Id="rId1348" Type="http://schemas.openxmlformats.org/officeDocument/2006/relationships/hyperlink" Target="https://drive.google.com/file/d/1yP6KPKd7Py3xeuenQqsI-MbGfKkY29vY/view?usp=drive_link" TargetMode="External"/><Relationship Id="rId11" Type="http://schemas.openxmlformats.org/officeDocument/2006/relationships/hyperlink" Target="https://drive.google.com/file/d/13AK8ZqiujYIMIHKFCYNZNyW7GM-rvE58/view?usp=sharing" TargetMode="External"/><Relationship Id="rId1349" Type="http://schemas.openxmlformats.org/officeDocument/2006/relationships/hyperlink" Target="https://drive.google.com/file/d/1OaDSVqfeutfnrsryVbWfquq_QSSKlu-x/view?usp=drive_link" TargetMode="External"/><Relationship Id="rId10" Type="http://schemas.openxmlformats.org/officeDocument/2006/relationships/hyperlink" Target="https://drive.google.com/file/d/1GfOtow31_GgBRPIgR6BtaOgUIRxaT2Hs/view?usp=sharing" TargetMode="External"/><Relationship Id="rId13" Type="http://schemas.openxmlformats.org/officeDocument/2006/relationships/hyperlink" Target="https://drive.google.com/file/d/12qv6Pq9ZoULJ13ZdfC4f-jsa-WTYu60M/view?usp=sharing" TargetMode="External"/><Relationship Id="rId12" Type="http://schemas.openxmlformats.org/officeDocument/2006/relationships/hyperlink" Target="https://drive.google.com/file/d/110JZUt2z3qCtAl4LM7PhJJpfF8hAXu5Q/view?usp=sharing" TargetMode="External"/><Relationship Id="rId756" Type="http://schemas.openxmlformats.org/officeDocument/2006/relationships/hyperlink" Target="https://drive.google.com/file/d/1ALxAiqzXHvJ3InHy3zW7fHnmWh5I13mi/view?usp=sharing" TargetMode="External"/><Relationship Id="rId755" Type="http://schemas.openxmlformats.org/officeDocument/2006/relationships/hyperlink" Target="https://drive.google.com/file/d/1TxVELTKZYzIp7uNlg6QEaCHWlxhgVNn2/view?usp=sharing" TargetMode="External"/><Relationship Id="rId754" Type="http://schemas.openxmlformats.org/officeDocument/2006/relationships/hyperlink" Target="https://drive.google.com/file/d/1Qo8giWriNZyUZLVI-FdHEV0bwzXhWBai/view?usp=sharing" TargetMode="External"/><Relationship Id="rId753" Type="http://schemas.openxmlformats.org/officeDocument/2006/relationships/hyperlink" Target="https://drive.google.com/file/d/1U2tSrjXhKVMNu9ONr7YQgOzhDXv8GSub/view?usp=sharing" TargetMode="External"/><Relationship Id="rId759" Type="http://schemas.openxmlformats.org/officeDocument/2006/relationships/hyperlink" Target="https://drive.google.com/file/d/18UpsxHJXphSvUQ600K97tHtFV-vGlj0c/view?usp=sharing" TargetMode="External"/><Relationship Id="rId758" Type="http://schemas.openxmlformats.org/officeDocument/2006/relationships/hyperlink" Target="https://drive.google.com/file/d/1_dj_bSI6OYnWfRIP5rpJP0KPtpBGxL51/view?usp=sharing" TargetMode="External"/><Relationship Id="rId757" Type="http://schemas.openxmlformats.org/officeDocument/2006/relationships/hyperlink" Target="https://drive.google.com/file/d/1zzVBzcA94UH5n4mRfZkBD48_R-liDo5R/view?usp=sharing" TargetMode="External"/><Relationship Id="rId15" Type="http://schemas.openxmlformats.org/officeDocument/2006/relationships/hyperlink" Target="https://drive.google.com/file/d/1f6BBKyBp-gpkkXeDukemWvtWkeqPbh_X/view?usp=sharing" TargetMode="External"/><Relationship Id="rId14" Type="http://schemas.openxmlformats.org/officeDocument/2006/relationships/hyperlink" Target="https://drive.google.com/file/d/1gj5Jqjq3AvhDxmz0HEgUUbCCX4qMRDu1/view?usp=sharing" TargetMode="External"/><Relationship Id="rId17" Type="http://schemas.openxmlformats.org/officeDocument/2006/relationships/hyperlink" Target="https://drive.google.com/file/d/1M2KxA4buO-sora0x1FQ__31KzUkOQx0v/view?usp=sharing" TargetMode="External"/><Relationship Id="rId16" Type="http://schemas.openxmlformats.org/officeDocument/2006/relationships/hyperlink" Target="https://drive.google.com/file/d/1NKz_XH4jV3rx1M1ADaXpmjC6SgVr3Mk3/view?usp=sharing" TargetMode="External"/><Relationship Id="rId1340" Type="http://schemas.openxmlformats.org/officeDocument/2006/relationships/hyperlink" Target="https://drive.google.com/file/d/1tB0mrEBrfBguv-cOMQ-hwKE1wa6ULxNQ/view?usp=drive_link" TargetMode="External"/><Relationship Id="rId19" Type="http://schemas.openxmlformats.org/officeDocument/2006/relationships/hyperlink" Target="https://drive.google.com/file/d/1I7fHLlmukovHv3BNO8A_i0mi2Rq1Zm26/view?usp=sharing" TargetMode="External"/><Relationship Id="rId752" Type="http://schemas.openxmlformats.org/officeDocument/2006/relationships/hyperlink" Target="https://drive.google.com/file/d/1jtD2qc1GEwhrv79qwbLE1K4KIYVhuB_C/view?usp=sharing" TargetMode="External"/><Relationship Id="rId1341" Type="http://schemas.openxmlformats.org/officeDocument/2006/relationships/hyperlink" Target="https://drive.google.com/file/d/10e2jiG_EhessF3bz1uaqyM9uaE-DT4C5/view?usp=drive_link" TargetMode="External"/><Relationship Id="rId18" Type="http://schemas.openxmlformats.org/officeDocument/2006/relationships/hyperlink" Target="https://drive.google.com/file/d/1SVd4YnNwfHcA-7Hkpt7n3f1SANG8LGdW/view?usp=sharing" TargetMode="External"/><Relationship Id="rId751" Type="http://schemas.openxmlformats.org/officeDocument/2006/relationships/hyperlink" Target="https://drive.google.com/file/d/1LpRYP21Xs-1ioDVAFDspLOUffvq9anm8/view?usp=sharing" TargetMode="External"/><Relationship Id="rId1342" Type="http://schemas.openxmlformats.org/officeDocument/2006/relationships/hyperlink" Target="https://drive.google.com/file/d/1jtjf0lAHVZMnrpiLU_WYOoGLlSKkHW4N/view?usp=drive_link" TargetMode="External"/><Relationship Id="rId750" Type="http://schemas.openxmlformats.org/officeDocument/2006/relationships/hyperlink" Target="https://drive.google.com/file/d/1Hi7_sZMSzOmm3E_74ZiimU16eVG10SCs/view?usp=sharing" TargetMode="External"/><Relationship Id="rId1343" Type="http://schemas.openxmlformats.org/officeDocument/2006/relationships/hyperlink" Target="https://drive.google.com/file/d/1yM25xhoeSceprOMbrEd8_hu9BFefmWDv/view?usp=drive_link" TargetMode="External"/><Relationship Id="rId1344" Type="http://schemas.openxmlformats.org/officeDocument/2006/relationships/hyperlink" Target="https://drive.google.com/file/d/1_qCUkxDw04Ql4m4VOIXM-5KVETDM8hZY/view?usp=drive_link" TargetMode="External"/><Relationship Id="rId84" Type="http://schemas.openxmlformats.org/officeDocument/2006/relationships/hyperlink" Target="https://drive.google.com/file/d/1x7sZ_mX9yBUavVS1i8QgZbi5PGM1NuMi/view?usp=drive_link" TargetMode="External"/><Relationship Id="rId83" Type="http://schemas.openxmlformats.org/officeDocument/2006/relationships/hyperlink" Target="https://drive.google.com/file/d/1jNml9WNhB1IHFrkXb7mix1IwUYBb-Hcn/view?usp=drive_link" TargetMode="External"/><Relationship Id="rId86" Type="http://schemas.openxmlformats.org/officeDocument/2006/relationships/hyperlink" Target="https://drive.google.com/file/d/1NoYkOurZnwvODG5I3hy45By-IRr5l5cA/view?usp=drive_link" TargetMode="External"/><Relationship Id="rId85" Type="http://schemas.openxmlformats.org/officeDocument/2006/relationships/hyperlink" Target="https://drive.google.com/file/d/1Gl5OmAtvKt2or1Rc51D-3Gv8y3UDlqAY/view?usp=drive_link" TargetMode="External"/><Relationship Id="rId88" Type="http://schemas.openxmlformats.org/officeDocument/2006/relationships/hyperlink" Target="https://drive.google.com/file/d/13SNkOul9_j1BIpJcNS5rj2AkOj3se3GY/view?usp=drive_link" TargetMode="External"/><Relationship Id="rId87" Type="http://schemas.openxmlformats.org/officeDocument/2006/relationships/hyperlink" Target="https://drive.google.com/file/d/1tNxSCgwCxkb6x3Ac7HlHVspG9I6re7j6/view?usp=drive_link" TargetMode="External"/><Relationship Id="rId89" Type="http://schemas.openxmlformats.org/officeDocument/2006/relationships/hyperlink" Target="https://drive.google.com/file/d/1Vb00yRUiDzUKQAmXWyLzwQzQt1hNAVgr/view?usp=drive_link" TargetMode="External"/><Relationship Id="rId709" Type="http://schemas.openxmlformats.org/officeDocument/2006/relationships/hyperlink" Target="https://drive.google.com/file/d/1mQgePZkvaCkTP8aNjdSI7sdCqwN7OD_d/view?usp=sharing" TargetMode="External"/><Relationship Id="rId708" Type="http://schemas.openxmlformats.org/officeDocument/2006/relationships/hyperlink" Target="https://drive.google.com/file/d/18UpsxHJXphSvUQ600K97tHtFV-vGlj0c/view?usp=sharing" TargetMode="External"/><Relationship Id="rId707" Type="http://schemas.openxmlformats.org/officeDocument/2006/relationships/hyperlink" Target="https://drive.google.com/file/d/1_dj_bSI6OYnWfRIP5rpJP0KPtpBGxL51/view?usp=sharing" TargetMode="External"/><Relationship Id="rId706" Type="http://schemas.openxmlformats.org/officeDocument/2006/relationships/hyperlink" Target="https://drive.google.com/file/d/1zzVBzcA94UH5n4mRfZkBD48_R-liDo5R/view?usp=sharing" TargetMode="External"/><Relationship Id="rId80" Type="http://schemas.openxmlformats.org/officeDocument/2006/relationships/hyperlink" Target="https://drive.google.com/file/d/1N6FaF3Uw-0HcOyTtKkYzyoHVhAqnAShU/view?usp=drive_link" TargetMode="External"/><Relationship Id="rId82" Type="http://schemas.openxmlformats.org/officeDocument/2006/relationships/hyperlink" Target="https://drive.google.com/file/d/1UKpLwVoUt4ofT2RyMEM9MKyZfzpggxcI/view?usp=drive_link" TargetMode="External"/><Relationship Id="rId81" Type="http://schemas.openxmlformats.org/officeDocument/2006/relationships/hyperlink" Target="https://drive.google.com/file/d/17N-0utGQKvy9-ksvKyuk2rcxNuHb61KU/view?usp=drive_link" TargetMode="External"/><Relationship Id="rId701" Type="http://schemas.openxmlformats.org/officeDocument/2006/relationships/hyperlink" Target="https://drive.google.com/file/d/1jtD2qc1GEwhrv79qwbLE1K4KIYVhuB_C/view?usp=sharing" TargetMode="External"/><Relationship Id="rId700" Type="http://schemas.openxmlformats.org/officeDocument/2006/relationships/hyperlink" Target="https://drive.google.com/file/d/1aMBLQky11blQyc-EMn-K7FkSm4tp87zA/view?usp=drive_link" TargetMode="External"/><Relationship Id="rId705" Type="http://schemas.openxmlformats.org/officeDocument/2006/relationships/hyperlink" Target="https://drive.google.com/file/d/1ALxAiqzXHvJ3InHy3zW7fHnmWh5I13mi/view?usp=sharing" TargetMode="External"/><Relationship Id="rId704" Type="http://schemas.openxmlformats.org/officeDocument/2006/relationships/hyperlink" Target="https://drive.google.com/file/d/1TxVELTKZYzIp7uNlg6QEaCHWlxhgVNn2/view?usp=sharing" TargetMode="External"/><Relationship Id="rId703" Type="http://schemas.openxmlformats.org/officeDocument/2006/relationships/hyperlink" Target="https://drive.google.com/file/d/1Qo8giWriNZyUZLVI-FdHEV0bwzXhWBai/view?usp=sharing" TargetMode="External"/><Relationship Id="rId702" Type="http://schemas.openxmlformats.org/officeDocument/2006/relationships/hyperlink" Target="https://drive.google.com/file/d/1U2tSrjXhKVMNu9ONr7YQgOzhDXv8GSub/view?usp=sharing" TargetMode="External"/><Relationship Id="rId73" Type="http://schemas.openxmlformats.org/officeDocument/2006/relationships/hyperlink" Target="https://drive.google.com/file/d/1nULC_0CmKcW_xM-filTokfLBeR8nDxqY/view?usp=sharing" TargetMode="External"/><Relationship Id="rId72" Type="http://schemas.openxmlformats.org/officeDocument/2006/relationships/hyperlink" Target="https://drive.google.com/file/d/1cc9Xd0-9HJb1LnM_aB9vTHjltMmismxh/view?usp=sharing" TargetMode="External"/><Relationship Id="rId75" Type="http://schemas.openxmlformats.org/officeDocument/2006/relationships/hyperlink" Target="https://drive.google.com/file/d/11xHqJT7aWQHVX16p2TwqtPNfOu6EGkQN/view?usp=drive_link" TargetMode="External"/><Relationship Id="rId74" Type="http://schemas.openxmlformats.org/officeDocument/2006/relationships/hyperlink" Target="https://drive.google.com/file/d/1HGgvkkj4iausivOETr8Cs0Df0A5Tq0mO/view?usp=sharing" TargetMode="External"/><Relationship Id="rId77" Type="http://schemas.openxmlformats.org/officeDocument/2006/relationships/hyperlink" Target="https://drive.google.com/file/d/1WQZzhcXhuhZbhVtQazWJL2fwpqlbDE09/view?usp=drive_link" TargetMode="External"/><Relationship Id="rId76" Type="http://schemas.openxmlformats.org/officeDocument/2006/relationships/hyperlink" Target="https://drive.google.com/file/d/1a5GwxUyNbK_Fz6mfVtLkAJ3NCPmbyJNO/view?usp=drive_link" TargetMode="External"/><Relationship Id="rId79" Type="http://schemas.openxmlformats.org/officeDocument/2006/relationships/hyperlink" Target="https://drive.google.com/file/d/1l-wU6PknY7X_rJ3-fO5qoBFh8fHeAGTw/view?usp=drive_link" TargetMode="External"/><Relationship Id="rId78" Type="http://schemas.openxmlformats.org/officeDocument/2006/relationships/hyperlink" Target="https://drive.google.com/file/d/13hqTVSt1nqMtBOPLBLsQ6OEzgNZyUJ7X/view?usp=drive_link" TargetMode="External"/><Relationship Id="rId71" Type="http://schemas.openxmlformats.org/officeDocument/2006/relationships/hyperlink" Target="https://drive.google.com/file/d/1doY_t0n39YgJQ1wUyLKzdaFVU8WQ-Fzh/view?usp=sharing" TargetMode="External"/><Relationship Id="rId70" Type="http://schemas.openxmlformats.org/officeDocument/2006/relationships/hyperlink" Target="https://drive.google.com/file/d/1gmjoOZcMDsxT2RXoxR3pVo-A5FBBDUvG/view?usp=sharing" TargetMode="External"/><Relationship Id="rId62" Type="http://schemas.openxmlformats.org/officeDocument/2006/relationships/hyperlink" Target="https://drive.google.com/file/d/11SV96B-QqYjiKEg6wzkeCre4vG_6_kKf/view?usp=sharing" TargetMode="External"/><Relationship Id="rId1312" Type="http://schemas.openxmlformats.org/officeDocument/2006/relationships/hyperlink" Target="https://drive.google.com/file/d/1gPFlo2HFIJy1E3tTHCoDTjcJulWF8MHU/view?usp=drive_link" TargetMode="External"/><Relationship Id="rId61" Type="http://schemas.openxmlformats.org/officeDocument/2006/relationships/hyperlink" Target="https://drive.google.com/file/d/1B9LBKgJ7ucJk_cllLHuoeFi-kh9sJj6G/view?usp=sharing" TargetMode="External"/><Relationship Id="rId1313" Type="http://schemas.openxmlformats.org/officeDocument/2006/relationships/hyperlink" Target="https://drive.google.com/file/d/16Bhp_oy_XsANyIR7plsfmWvHO76tfq8f/view?usp=drive_link" TargetMode="External"/><Relationship Id="rId64" Type="http://schemas.openxmlformats.org/officeDocument/2006/relationships/hyperlink" Target="https://drive.google.com/file/d/19cD9CNdsWtnZQbx-XtUGdVy6kT0tmLFM/view?usp=sharing" TargetMode="External"/><Relationship Id="rId1314" Type="http://schemas.openxmlformats.org/officeDocument/2006/relationships/hyperlink" Target="https://drive.google.com/file/d/1N_a-29SSFz0gy1EZOkI5Lqk9i2O2Hb4x/view?usp=drive_link" TargetMode="External"/><Relationship Id="rId63" Type="http://schemas.openxmlformats.org/officeDocument/2006/relationships/hyperlink" Target="https://drive.google.com/file/d/1iNhbnaNC73c81DvlX3KVJ8Z0ycjgLJK_/view?usp=sharing" TargetMode="External"/><Relationship Id="rId1315" Type="http://schemas.openxmlformats.org/officeDocument/2006/relationships/hyperlink" Target="https://drive.google.com/file/d/1qebVtgneMP4YJfx2D3YW2BmDnzMZn44D/view?usp=drive_link" TargetMode="External"/><Relationship Id="rId66" Type="http://schemas.openxmlformats.org/officeDocument/2006/relationships/hyperlink" Target="https://drive.google.com/file/d/1fJQ5RZx30R-rcrmCpv045fJtmq5T_rbm/view?usp=sharing" TargetMode="External"/><Relationship Id="rId1316" Type="http://schemas.openxmlformats.org/officeDocument/2006/relationships/hyperlink" Target="https://drive.google.com/file/d/1Kv8_QWODIXfLcnvg54M3nER7fQgY2kM_/view?usp=drive_link" TargetMode="External"/><Relationship Id="rId65" Type="http://schemas.openxmlformats.org/officeDocument/2006/relationships/hyperlink" Target="https://drive.google.com/file/d/1w4SyKcqEUKtbsmJUfgrs9pMa2IKOCcM7/view?usp=sharing" TargetMode="External"/><Relationship Id="rId1317" Type="http://schemas.openxmlformats.org/officeDocument/2006/relationships/hyperlink" Target="https://drive.google.com/file/d/1d0KC83HeQnTftQ8prAnJRMLKzdnFAsEi/view?usp=drive_link" TargetMode="External"/><Relationship Id="rId68" Type="http://schemas.openxmlformats.org/officeDocument/2006/relationships/hyperlink" Target="https://drive.google.com/file/d/13vdBTotMeC1bLTw9_E04uQyENI8w3ggG/view?usp=sharing" TargetMode="External"/><Relationship Id="rId1318" Type="http://schemas.openxmlformats.org/officeDocument/2006/relationships/hyperlink" Target="https://drive.google.com/file/d/1KykUBpDgvuPUKd3XQhgyl-LHbKpDwXt9/view?usp=drive_link" TargetMode="External"/><Relationship Id="rId67" Type="http://schemas.openxmlformats.org/officeDocument/2006/relationships/hyperlink" Target="https://drive.google.com/file/d/1JEk0Mwwq7zInJR4cJS61o0qX5XcPfZ7b/view?usp=sharing" TargetMode="External"/><Relationship Id="rId1319" Type="http://schemas.openxmlformats.org/officeDocument/2006/relationships/hyperlink" Target="https://drive.google.com/file/d/1WsoNwdLHECWFqS-I_ittI96_fiUoa1bQ/view?usp=drive_link" TargetMode="External"/><Relationship Id="rId729" Type="http://schemas.openxmlformats.org/officeDocument/2006/relationships/hyperlink" Target="https://drive.google.com/file/d/1WFp8OLAkHs0GwY55xgsIf95syQ2I9Un4/view?usp=sharing" TargetMode="External"/><Relationship Id="rId728" Type="http://schemas.openxmlformats.org/officeDocument/2006/relationships/hyperlink" Target="https://drive.google.com/file/d/1ipAxmhQHgPpJmWgEHC0HLKRne53SMF1r/view?usp=sharing" TargetMode="External"/><Relationship Id="rId60" Type="http://schemas.openxmlformats.org/officeDocument/2006/relationships/hyperlink" Target="https://drive.google.com/file/d/1B9LBKgJ7ucJk_cllLHuoeFi-kh9sJj6G/view?usp=sharing" TargetMode="External"/><Relationship Id="rId723" Type="http://schemas.openxmlformats.org/officeDocument/2006/relationships/hyperlink" Target="https://drive.google.com/file/d/1VFUFqBAHDL1GU6KJN4S_Q5uybXM7pv01/view?usp=sharing" TargetMode="External"/><Relationship Id="rId722" Type="http://schemas.openxmlformats.org/officeDocument/2006/relationships/hyperlink" Target="https://drive.google.com/file/d/1Z2Fen96E7Af3ppeJTu8ABGd2pBCW8HDR/view?usp=sharing" TargetMode="External"/><Relationship Id="rId721" Type="http://schemas.openxmlformats.org/officeDocument/2006/relationships/hyperlink" Target="https://drive.google.com/file/d/1IbWgm9k1Z4uPuo12AHjyi_JTwtOsB7UF/view?usp=sharing" TargetMode="External"/><Relationship Id="rId720" Type="http://schemas.openxmlformats.org/officeDocument/2006/relationships/hyperlink" Target="https://drive.google.com/file/d/1vHtdE4FepANT8S8W77NwT73XLEStayWB/view?usp=sharing" TargetMode="External"/><Relationship Id="rId727" Type="http://schemas.openxmlformats.org/officeDocument/2006/relationships/hyperlink" Target="https://drive.google.com/file/d/1L3bb2MhjQbD0CR506qm4FNuUooPM3DeT/view?usp=sharing" TargetMode="External"/><Relationship Id="rId726" Type="http://schemas.openxmlformats.org/officeDocument/2006/relationships/hyperlink" Target="https://drive.google.com/file/d/1n_h3KLUKe1JpAZuDw55kSqBWPOSfD7VW/view?usp=drive_link" TargetMode="External"/><Relationship Id="rId725" Type="http://schemas.openxmlformats.org/officeDocument/2006/relationships/hyperlink" Target="https://drive.google.com/file/d/1ATl4x1EU_VIBNB9lT6MYGDXkpTC0CRGD/view?usp=sharing" TargetMode="External"/><Relationship Id="rId724" Type="http://schemas.openxmlformats.org/officeDocument/2006/relationships/hyperlink" Target="https://drive.google.com/file/d/1BtgEgQD0CPTiwfNUkC1rcl5Ou1WMp1Al/view?usp=sharing" TargetMode="External"/><Relationship Id="rId69" Type="http://schemas.openxmlformats.org/officeDocument/2006/relationships/hyperlink" Target="https://drive.google.com/file/d/1ZRWMrUSclhOGvZRaRmgw0QR7o7MkG6rw/view?usp=sharing" TargetMode="External"/><Relationship Id="rId1310" Type="http://schemas.openxmlformats.org/officeDocument/2006/relationships/hyperlink" Target="https://drive.google.com/file/d/1XhAsATQFLRYFDavTjQe_ODC6ObQ7Cstg/view?usp=drive_link" TargetMode="External"/><Relationship Id="rId1311" Type="http://schemas.openxmlformats.org/officeDocument/2006/relationships/hyperlink" Target="https://drive.google.com/file/d/1lPEz2rfF0FCaCCJ8WuyS8p9ZB_wyOjrR/view?usp=drive_link" TargetMode="External"/><Relationship Id="rId51" Type="http://schemas.openxmlformats.org/officeDocument/2006/relationships/hyperlink" Target="https://drive.google.com/file/d/12E1fu-Vl6F1VZ6ZV25pARk95cMzZ_62X/view?usp=sharing" TargetMode="External"/><Relationship Id="rId1301" Type="http://schemas.openxmlformats.org/officeDocument/2006/relationships/hyperlink" Target="https://drive.google.com/file/d/1Tm5PFKPJRuBDse6ynA_eqOa9XnO7XV-J/view?usp=drive_link" TargetMode="External"/><Relationship Id="rId50" Type="http://schemas.openxmlformats.org/officeDocument/2006/relationships/hyperlink" Target="https://drive.google.com/file/d/1FVHP80hX_jsqCV_EOnMpJGccun2RwPTG/view?usp=sharing" TargetMode="External"/><Relationship Id="rId1302" Type="http://schemas.openxmlformats.org/officeDocument/2006/relationships/hyperlink" Target="https://drive.google.com/file/d/1_OEe6_IxkCFHWibV8z4zL2kPMtn4tegH/view?usp=drive_link" TargetMode="External"/><Relationship Id="rId53" Type="http://schemas.openxmlformats.org/officeDocument/2006/relationships/hyperlink" Target="https://drive.google.com/file/d/1VLlg5JzNAZq56auqaCQ9uf5RrZbQ-Fl3/view?usp=sharing" TargetMode="External"/><Relationship Id="rId1303" Type="http://schemas.openxmlformats.org/officeDocument/2006/relationships/hyperlink" Target="https://drive.google.com/file/d/1e4xF5vYMCBXMWSngAUa4YhXlpkmJPcne/view?usp=drive_link" TargetMode="External"/><Relationship Id="rId52" Type="http://schemas.openxmlformats.org/officeDocument/2006/relationships/hyperlink" Target="https://drive.google.com/file/d/14yJEvyRx1Z5ZuZzG7qK2tWg3oj-pbqHh/view?usp=sharing" TargetMode="External"/><Relationship Id="rId1304" Type="http://schemas.openxmlformats.org/officeDocument/2006/relationships/hyperlink" Target="https://drive.google.com/file/d/15OBaiB1Kn-SkEa7UV6NXFYGLxVSBGeN3/view?usp=drive_link" TargetMode="External"/><Relationship Id="rId55" Type="http://schemas.openxmlformats.org/officeDocument/2006/relationships/hyperlink" Target="https://drive.google.com/file/d/1FE_uHZik3h5z-jeG6h2vOcx6Xn2ZaPMj/view?usp=sharing" TargetMode="External"/><Relationship Id="rId1305" Type="http://schemas.openxmlformats.org/officeDocument/2006/relationships/hyperlink" Target="https://drive.google.com/file/d/1ILkvw4O82w23m1wEsnaovOKiF9KguSjM/view?usp=drive_link" TargetMode="External"/><Relationship Id="rId54" Type="http://schemas.openxmlformats.org/officeDocument/2006/relationships/hyperlink" Target="https://drive.google.com/file/d/1VynV02X5h52_o1_U-iuX_JQUTVLap8Jp/view?usp=sharing" TargetMode="External"/><Relationship Id="rId1306" Type="http://schemas.openxmlformats.org/officeDocument/2006/relationships/hyperlink" Target="https://drive.google.com/file/d/1xR-2jr86S5MI80UXs3JVlvI9xwcQjZe-/view?usp=drive_link" TargetMode="External"/><Relationship Id="rId57" Type="http://schemas.openxmlformats.org/officeDocument/2006/relationships/hyperlink" Target="https://drive.google.com/file/d/1D1bg60ehzz6CVCvWQBL0rx6Xc7cw4_H6/view?usp=sharing" TargetMode="External"/><Relationship Id="rId1307" Type="http://schemas.openxmlformats.org/officeDocument/2006/relationships/hyperlink" Target="https://drive.google.com/file/d/1AaS_A4SR1blejLQb7rvp6EfUfu-rulR2/view?usp=drive_link" TargetMode="External"/><Relationship Id="rId56" Type="http://schemas.openxmlformats.org/officeDocument/2006/relationships/hyperlink" Target="https://drive.google.com/file/d/1H-vXxQxcyhrSWOIylfZW-ZwPwlhUK8zb/view?usp=sharing" TargetMode="External"/><Relationship Id="rId1308" Type="http://schemas.openxmlformats.org/officeDocument/2006/relationships/hyperlink" Target="https://drive.google.com/file/d/1Vb4-gWaaXipQtBl18yehuIgbDbc8l2TG/view?usp=drive_link" TargetMode="External"/><Relationship Id="rId1309" Type="http://schemas.openxmlformats.org/officeDocument/2006/relationships/hyperlink" Target="https://drive.google.com/file/d/1QYW-3Gd_TCY_S90sP4twRCGZp8Gz25ai/view?usp=drive_link" TargetMode="External"/><Relationship Id="rId719" Type="http://schemas.openxmlformats.org/officeDocument/2006/relationships/hyperlink" Target="https://drive.google.com/file/d/1yjsRjkLpdrWimxSPG9mXZDHlnAkmMX1f/view?usp=sharing" TargetMode="External"/><Relationship Id="rId718" Type="http://schemas.openxmlformats.org/officeDocument/2006/relationships/hyperlink" Target="https://drive.google.com/file/d/1o-HMHwrqT3tHcRCGByEYp8wsoErJhU_P/view?usp=sharing" TargetMode="External"/><Relationship Id="rId717" Type="http://schemas.openxmlformats.org/officeDocument/2006/relationships/hyperlink" Target="https://drive.google.com/file/d/1QQCWJ5xV5y2dEtpAHswFVSgnksaRKFcQ/view?usp=sharing" TargetMode="External"/><Relationship Id="rId712" Type="http://schemas.openxmlformats.org/officeDocument/2006/relationships/hyperlink" Target="https://drive.google.com/file/d/1RCQHHTzkjznPvkeNj27LWGlI6gJwgLo4/view?usp=sharing" TargetMode="External"/><Relationship Id="rId711" Type="http://schemas.openxmlformats.org/officeDocument/2006/relationships/hyperlink" Target="https://drive.google.com/file/d/1NkPTZavfqY7yLLxV8vtlTi3KT_TuWipt/view?usp=sharing" TargetMode="External"/><Relationship Id="rId710" Type="http://schemas.openxmlformats.org/officeDocument/2006/relationships/hyperlink" Target="https://drive.google.com/file/d/1z4USzlWqAHT9eW7PD2vKRbZArDPiCAqw/view?usp=sharing" TargetMode="External"/><Relationship Id="rId716" Type="http://schemas.openxmlformats.org/officeDocument/2006/relationships/hyperlink" Target="https://drive.google.com/file/d/1bXb5ibLYHwDC9yjMYQGUMglp14xX--Br/view?usp=sharing" TargetMode="External"/><Relationship Id="rId715" Type="http://schemas.openxmlformats.org/officeDocument/2006/relationships/hyperlink" Target="https://drive.google.com/file/d/1F6x2c6CKN3gVHe5cmePMfh_2WXhAKQBA/view?usp=sharing" TargetMode="External"/><Relationship Id="rId714" Type="http://schemas.openxmlformats.org/officeDocument/2006/relationships/hyperlink" Target="https://drive.google.com/file/d/1eISiR2P9If7m2DC4dsGPXcsISjO_LByC/view?usp=sharing" TargetMode="External"/><Relationship Id="rId713" Type="http://schemas.openxmlformats.org/officeDocument/2006/relationships/hyperlink" Target="https://drive.google.com/file/d/1J-L_hNM7uGBL2dOZJRNwvAAVm__PxN9z/view?usp=sharing" TargetMode="External"/><Relationship Id="rId59" Type="http://schemas.openxmlformats.org/officeDocument/2006/relationships/hyperlink" Target="https://drive.google.com/file/d/1S4AJ7G4MZCNgzU70K4yueRc766QogJQK/view?usp=sharing" TargetMode="External"/><Relationship Id="rId58" Type="http://schemas.openxmlformats.org/officeDocument/2006/relationships/hyperlink" Target="https://drive.google.com/file/d/1FWOF2_2q91V3bkw6q8LCgVL0FtrxsJnJ/view?usp=sharing" TargetMode="External"/><Relationship Id="rId1300" Type="http://schemas.openxmlformats.org/officeDocument/2006/relationships/hyperlink" Target="https://drive.google.com/file/d/1VtDKtrKNhEjp8Qldu4sWt2OfV95soaK4/view?usp=drive_link" TargetMode="External"/><Relationship Id="rId349" Type="http://schemas.openxmlformats.org/officeDocument/2006/relationships/hyperlink" Target="https://drive.google.com/file/d/1kLpfhsE4V-UI44Tlnu4fhOfT4jtBlWcH/view?usp=drive_link" TargetMode="External"/><Relationship Id="rId348" Type="http://schemas.openxmlformats.org/officeDocument/2006/relationships/hyperlink" Target="https://drive.google.com/file/d/1BAtabfMkzX-7QMjRPu6wL7iKLRnjhuqM/view?usp=drive_link" TargetMode="External"/><Relationship Id="rId347" Type="http://schemas.openxmlformats.org/officeDocument/2006/relationships/hyperlink" Target="https://drive.google.com/file/d/1ydKqlBe0kRWRLtJT6dWeliRKYEFEeVCw/view?usp=drive_link" TargetMode="External"/><Relationship Id="rId346" Type="http://schemas.openxmlformats.org/officeDocument/2006/relationships/hyperlink" Target="https://drive.google.com/file/d/1fzwyLuDPiGTQnv2ScTiBIZ1gHQpIcETR/view?usp=drive_link" TargetMode="External"/><Relationship Id="rId341" Type="http://schemas.openxmlformats.org/officeDocument/2006/relationships/hyperlink" Target="https://drive.google.com/file/d/1oKpJI1sXThJGUtYDi__8MW7pEkKDALgh/view?usp=drive_link" TargetMode="External"/><Relationship Id="rId340" Type="http://schemas.openxmlformats.org/officeDocument/2006/relationships/hyperlink" Target="https://drive.google.com/file/d/107nbNBHKpUSWJfZz95X0edQiKBjRxMyT/view?usp=drive_link" TargetMode="External"/><Relationship Id="rId345" Type="http://schemas.openxmlformats.org/officeDocument/2006/relationships/hyperlink" Target="https://drive.google.com/file/d/1aTspItS4coTnbHANzsapPJOxf_svtpwo/view?usp=drive_link" TargetMode="External"/><Relationship Id="rId344" Type="http://schemas.openxmlformats.org/officeDocument/2006/relationships/hyperlink" Target="https://drive.google.com/file/d/1yc-Myz4QlDyj89FOzAwRea_CsMKRW_Xm/view?usp=drive_link" TargetMode="External"/><Relationship Id="rId343" Type="http://schemas.openxmlformats.org/officeDocument/2006/relationships/hyperlink" Target="https://drive.google.com/file/d/1I4d0n4KlUj5cqIcyiDX7DeWlX3-4cvYR/view?usp=drive_link" TargetMode="External"/><Relationship Id="rId342" Type="http://schemas.openxmlformats.org/officeDocument/2006/relationships/hyperlink" Target="https://drive.google.com/file/d/1bPlAOYnxJH2Ai14pQg4lb1v-0AWnJzdu/view?usp=drive_link" TargetMode="External"/><Relationship Id="rId338" Type="http://schemas.openxmlformats.org/officeDocument/2006/relationships/hyperlink" Target="https://drive.google.com/file/d/1Rrte46fl-qMWb8P8C8coOklqAolodfZ3/view?usp=drive_link" TargetMode="External"/><Relationship Id="rId337" Type="http://schemas.openxmlformats.org/officeDocument/2006/relationships/hyperlink" Target="https://drive.google.com/file/d/1llA45t8_-_13XKZkNL_AowWldm9s6cep/view?usp=drive_link" TargetMode="External"/><Relationship Id="rId336" Type="http://schemas.openxmlformats.org/officeDocument/2006/relationships/hyperlink" Target="https://drive.google.com/file/d/1lsNYwxy6g0vIrXNjGzoD8JReFb7Q3dBe/view?usp=drive_link" TargetMode="External"/><Relationship Id="rId335" Type="http://schemas.openxmlformats.org/officeDocument/2006/relationships/hyperlink" Target="https://drive.google.com/file/d/1iBG6E9hOAsyYl2hQ6DZ1fJiASWePokm_/view?usp=drive_link" TargetMode="External"/><Relationship Id="rId339" Type="http://schemas.openxmlformats.org/officeDocument/2006/relationships/hyperlink" Target="https://drive.google.com/file/d/1DjskE4PLY3JN1VpdgI06gzIqx2dPErBM/view?usp=drive_link" TargetMode="External"/><Relationship Id="rId330" Type="http://schemas.openxmlformats.org/officeDocument/2006/relationships/hyperlink" Target="https://drive.google.com/file/d/1_Fr83ro0rLlveSxrfO3LSGs_uMbbMO7v/view?usp=drive_link" TargetMode="External"/><Relationship Id="rId334" Type="http://schemas.openxmlformats.org/officeDocument/2006/relationships/hyperlink" Target="https://drive.google.com/file/d/1C_8NOHp_rzGEbbuR6xo8Z-GzEodsQoeL/view?usp=drive_link" TargetMode="External"/><Relationship Id="rId333" Type="http://schemas.openxmlformats.org/officeDocument/2006/relationships/hyperlink" Target="https://drive.google.com/file/d/1wYTn30a5A59x9JmBOkHRFXVlPmtsw7mL/view?usp=drive_link" TargetMode="External"/><Relationship Id="rId332" Type="http://schemas.openxmlformats.org/officeDocument/2006/relationships/hyperlink" Target="https://drive.google.com/file/d/1iYy_yR90Ru3RQMqGNqLn5wBKGzPBBD4N/view?usp=drive_link" TargetMode="External"/><Relationship Id="rId331" Type="http://schemas.openxmlformats.org/officeDocument/2006/relationships/hyperlink" Target="https://drive.google.com/file/d/1WMGofMnwjkU6wVM9FNKsihTLcVJU9xD0/view?usp=drive_link" TargetMode="External"/><Relationship Id="rId370" Type="http://schemas.openxmlformats.org/officeDocument/2006/relationships/hyperlink" Target="https://drive.google.com/file/d/1I4LakZy-kyJBYlTCq9P57LU3_a_XqExc/view?usp=sharing" TargetMode="External"/><Relationship Id="rId369" Type="http://schemas.openxmlformats.org/officeDocument/2006/relationships/hyperlink" Target="https://drive.google.com/file/d/1JFLKYNdwut4mGexFgijtRrDAF0TkDodQ/view?usp=sharing" TargetMode="External"/><Relationship Id="rId368" Type="http://schemas.openxmlformats.org/officeDocument/2006/relationships/hyperlink" Target="https://drive.google.com/file/d/1stT-o3gKy6rjfm-Ju-CHW7Fc3W9TRztx/view?usp=sharing" TargetMode="External"/><Relationship Id="rId363" Type="http://schemas.openxmlformats.org/officeDocument/2006/relationships/hyperlink" Target="https://drive.google.com/file/d/1IQSi17esDqC3MD-1vXW1wvot-cRDZAw8/view?usp=sharing" TargetMode="External"/><Relationship Id="rId362" Type="http://schemas.openxmlformats.org/officeDocument/2006/relationships/hyperlink" Target="https://drive.google.com/file/d/16d2FdwwGNVO7iAo-tYiFKiWEzv8VHZk2/view?usp=sharing" TargetMode="External"/><Relationship Id="rId361" Type="http://schemas.openxmlformats.org/officeDocument/2006/relationships/hyperlink" Target="https://drive.google.com/file/d/12JlPOQLmm3E2mV6qnWhpKOtwz2SNpxo6/view?usp=drive_link" TargetMode="External"/><Relationship Id="rId360" Type="http://schemas.openxmlformats.org/officeDocument/2006/relationships/hyperlink" Target="https://drive.google.com/file/d/1YABW5cXKQDas6Ovs-E_KsS1YmIt-C1XX/view?usp=drive_link" TargetMode="External"/><Relationship Id="rId367" Type="http://schemas.openxmlformats.org/officeDocument/2006/relationships/hyperlink" Target="https://drive.google.com/file/d/1tOpYZiCDJvr1pJ6o3CGvTAVXnow73mMl/view?usp=sharing" TargetMode="External"/><Relationship Id="rId366" Type="http://schemas.openxmlformats.org/officeDocument/2006/relationships/hyperlink" Target="https://drive.google.com/file/d/1GnnKuEe8UPSscQIKB_tFBSps0_ELLgCF/view?usp=sharing" TargetMode="External"/><Relationship Id="rId365" Type="http://schemas.openxmlformats.org/officeDocument/2006/relationships/hyperlink" Target="https://drive.google.com/file/d/1nRZjhg0Xtlr2UW3oqWa986lpq8m9B7Mv/view?usp=sharing" TargetMode="External"/><Relationship Id="rId364" Type="http://schemas.openxmlformats.org/officeDocument/2006/relationships/hyperlink" Target="https://drive.google.com/file/d/1Rs4BnKqTmL9DeC4CVUYU5XVuny5YyCF7/view?usp=sharing" TargetMode="External"/><Relationship Id="rId95" Type="http://schemas.openxmlformats.org/officeDocument/2006/relationships/hyperlink" Target="https://drive.google.com/file/d/17s_UgMCXc1qVkM3-WfMeybHoncgah4Oj/view?usp=drive_link" TargetMode="External"/><Relationship Id="rId94" Type="http://schemas.openxmlformats.org/officeDocument/2006/relationships/hyperlink" Target="https://drive.google.com/file/d/1dsH2vpufViYDRqqc5QhrEywuLVk1e8ic/view?usp=drive_link" TargetMode="External"/><Relationship Id="rId97" Type="http://schemas.openxmlformats.org/officeDocument/2006/relationships/hyperlink" Target="https://drive.google.com/file/d/1fokLhQ8vxDrB81eCHof2Rxyt7jCH87MR/view?usp=drive_link" TargetMode="External"/><Relationship Id="rId96" Type="http://schemas.openxmlformats.org/officeDocument/2006/relationships/hyperlink" Target="https://drive.google.com/file/d/1Z41-kGBq2cMFx_0Rj8d-AwGbUY8FDlyQ/view?usp=drive_link" TargetMode="External"/><Relationship Id="rId99" Type="http://schemas.openxmlformats.org/officeDocument/2006/relationships/hyperlink" Target="https://drive.google.com/file/d/1xTQRxJxEInPr1FbMTbDJdDpVsEUUfsPR/view?usp=drive_link" TargetMode="External"/><Relationship Id="rId98" Type="http://schemas.openxmlformats.org/officeDocument/2006/relationships/hyperlink" Target="https://drive.google.com/file/d/1kX3fCfFTf1R14g_RTjqjr-jLM_5btUK7/view?usp=drive_link" TargetMode="External"/><Relationship Id="rId91" Type="http://schemas.openxmlformats.org/officeDocument/2006/relationships/hyperlink" Target="https://drive.google.com/file/d/1cHA9G0oE6dbI3SLsWg4PTvWA1pEKADXk/view?usp=drive_link" TargetMode="External"/><Relationship Id="rId90" Type="http://schemas.openxmlformats.org/officeDocument/2006/relationships/hyperlink" Target="https://drive.google.com/file/d/1Khf9-3avrSjqQH5a0BKZNmIPojgqBNBP/view?usp=drive_link" TargetMode="External"/><Relationship Id="rId93" Type="http://schemas.openxmlformats.org/officeDocument/2006/relationships/hyperlink" Target="https://drive.google.com/file/d/1dQfDxSSIk8yBKNQpQmgUpInzsCIBD5QR/view?usp=drive_link" TargetMode="External"/><Relationship Id="rId92" Type="http://schemas.openxmlformats.org/officeDocument/2006/relationships/hyperlink" Target="https://drive.google.com/file/d/1KXSoXF2bwO82vyFeV412YswvnbVaRm6N/view?usp=drive_link" TargetMode="External"/><Relationship Id="rId359" Type="http://schemas.openxmlformats.org/officeDocument/2006/relationships/hyperlink" Target="https://drive.google.com/file/d/1brC4BiOWwsUL_m6ek21J-enVA_ubW_sd/view?usp=drive_link" TargetMode="External"/><Relationship Id="rId358" Type="http://schemas.openxmlformats.org/officeDocument/2006/relationships/hyperlink" Target="https://drive.google.com/file/d/1orIn1g6oPCINn-yjGtDNqbRsVuEf-VQ_/view?usp=drive_link" TargetMode="External"/><Relationship Id="rId357" Type="http://schemas.openxmlformats.org/officeDocument/2006/relationships/hyperlink" Target="https://drive.google.com/file/d/1awmjltEMnSv8Dcixx91BNE5w1FH7QB4l/view?usp=drive_link" TargetMode="External"/><Relationship Id="rId352" Type="http://schemas.openxmlformats.org/officeDocument/2006/relationships/hyperlink" Target="https://drive.google.com/file/d/1U3I9RAoXD6kJqd0SRCNAlUR7YRubKkul/view?usp=drive_link" TargetMode="External"/><Relationship Id="rId351" Type="http://schemas.openxmlformats.org/officeDocument/2006/relationships/hyperlink" Target="https://drive.google.com/file/d/1UmbAZxPTtUN50GuzmMXJoPyGX40-RaQC/view?usp=drive_link" TargetMode="External"/><Relationship Id="rId350" Type="http://schemas.openxmlformats.org/officeDocument/2006/relationships/hyperlink" Target="https://drive.google.com/file/d/1HDFazgbMzEKhB9e52NC1WatDvAS8osFa/view?usp=drive_link" TargetMode="External"/><Relationship Id="rId356" Type="http://schemas.openxmlformats.org/officeDocument/2006/relationships/hyperlink" Target="https://drive.google.com/file/d/1W-FgCxUtpjn5kk3FqsfzqQJRHiRMyJla/view?usp=drive_link" TargetMode="External"/><Relationship Id="rId355" Type="http://schemas.openxmlformats.org/officeDocument/2006/relationships/hyperlink" Target="https://drive.google.com/file/d/19ICnl0lJidPaAgVNqikbBCDVyiRX_D2O/view?usp=drive_link" TargetMode="External"/><Relationship Id="rId354" Type="http://schemas.openxmlformats.org/officeDocument/2006/relationships/hyperlink" Target="https://drive.google.com/file/d/1oARjhht0YFf7RPZ2oDtffMIZ3WhJnC-L/view?usp=drive_link" TargetMode="External"/><Relationship Id="rId353" Type="http://schemas.openxmlformats.org/officeDocument/2006/relationships/hyperlink" Target="https://drive.google.com/file/d/1tXVN1YDUUqOmGEGntWJC_iHY6Wb8OJa6/view?usp=drive_link" TargetMode="External"/><Relationship Id="rId1378" Type="http://schemas.openxmlformats.org/officeDocument/2006/relationships/hyperlink" Target="https://drive.google.com/file/d/15MjVnV1Gss_6k0LDz_z5k8ZMT8UkOAB7/view?usp=drive_link" TargetMode="External"/><Relationship Id="rId1379" Type="http://schemas.openxmlformats.org/officeDocument/2006/relationships/hyperlink" Target="https://drive.google.com/file/d/1juxjPZARrPtQ5s_a3SG5NJwznEzR5Gux/view?usp=drive_link" TargetMode="External"/><Relationship Id="rId305" Type="http://schemas.openxmlformats.org/officeDocument/2006/relationships/hyperlink" Target="https://drive.google.com/file/d/1vh7-34wG0Thy-GvXt1CxE89P2NYNUN8B/view?usp=drive_link" TargetMode="External"/><Relationship Id="rId789" Type="http://schemas.openxmlformats.org/officeDocument/2006/relationships/hyperlink" Target="https://drive.google.com/file/d/1VFUFqBAHDL1GU6KJN4S_Q5uybXM7pv01/view?usp=sharing" TargetMode="External"/><Relationship Id="rId304" Type="http://schemas.openxmlformats.org/officeDocument/2006/relationships/hyperlink" Target="https://drive.google.com/file/d/1GiiHtO2ArF_OYmjNq0Vuj-tJEuih65Uo/view?usp=drive_link" TargetMode="External"/><Relationship Id="rId788" Type="http://schemas.openxmlformats.org/officeDocument/2006/relationships/hyperlink" Target="https://drive.google.com/file/d/1Z2Fen96E7Af3ppeJTu8ABGd2pBCW8HDR/view?usp=sharing" TargetMode="External"/><Relationship Id="rId303" Type="http://schemas.openxmlformats.org/officeDocument/2006/relationships/hyperlink" Target="https://drive.google.com/file/d/11Pkd_dOkMwkm-rItW2rEgc8gDoU4WKA5/view?usp=drive_link" TargetMode="External"/><Relationship Id="rId787" Type="http://schemas.openxmlformats.org/officeDocument/2006/relationships/hyperlink" Target="https://drive.google.com/file/d/1sAj_5OZwmIpeGP1RGiAgpU4JnWnkwfbX/view?usp=sharing" TargetMode="External"/><Relationship Id="rId302" Type="http://schemas.openxmlformats.org/officeDocument/2006/relationships/hyperlink" Target="https://drive.google.com/file/d/1hs2OTfCn3i36x9mM9c-hTsXIgDsBW21e/view?usp=sharing" TargetMode="External"/><Relationship Id="rId786" Type="http://schemas.openxmlformats.org/officeDocument/2006/relationships/hyperlink" Target="https://drive.google.com/file/d/136jsJkwuyiFKHzYfMRokmHAQPMLqYtZq/view?usp=sharing" TargetMode="External"/><Relationship Id="rId309" Type="http://schemas.openxmlformats.org/officeDocument/2006/relationships/hyperlink" Target="https://drive.google.com/file/d/1wMauUvWLKUw2cNfDq4xwkytEiM2Ixi3a/view?usp=drive_link" TargetMode="External"/><Relationship Id="rId308" Type="http://schemas.openxmlformats.org/officeDocument/2006/relationships/hyperlink" Target="https://drive.google.com/file/d/1Mtu_DKS37a8v8uqLtQQjKNhad_CO-vZR/view?usp=drive_link" TargetMode="External"/><Relationship Id="rId307" Type="http://schemas.openxmlformats.org/officeDocument/2006/relationships/hyperlink" Target="https://drive.google.com/file/d/1_VCpxaprSlzG3r0Fn3AFYyUe9FyhP9hS/view?usp=drive_link" TargetMode="External"/><Relationship Id="rId306" Type="http://schemas.openxmlformats.org/officeDocument/2006/relationships/hyperlink" Target="https://drive.google.com/file/d/1d7TBJX9TtKS7WQB92OP4HjRGkiIhaH1v/view?usp=sharing" TargetMode="External"/><Relationship Id="rId781" Type="http://schemas.openxmlformats.org/officeDocument/2006/relationships/hyperlink" Target="https://drive.google.com/file/d/1yjsRjkLpdrWimxSPG9mXZDHlnAkmMX1f/view?usp=sharing" TargetMode="External"/><Relationship Id="rId1370" Type="http://schemas.openxmlformats.org/officeDocument/2006/relationships/hyperlink" Target="https://drive.google.com/file/d/1m-BnD_dUdWiPNO65WmVeKPQjtQjE8KNT/view?usp=drive_link" TargetMode="External"/><Relationship Id="rId780" Type="http://schemas.openxmlformats.org/officeDocument/2006/relationships/hyperlink" Target="https://drive.google.com/file/d/1o-HMHwrqT3tHcRCGByEYp8wsoErJhU_P/view?usp=sharing" TargetMode="External"/><Relationship Id="rId1371" Type="http://schemas.openxmlformats.org/officeDocument/2006/relationships/hyperlink" Target="https://drive.google.com/file/d/1H0zBWEkYbdm4_BeA07jiYNuP80bD2G_j/view?usp=drive_link" TargetMode="External"/><Relationship Id="rId1372" Type="http://schemas.openxmlformats.org/officeDocument/2006/relationships/hyperlink" Target="https://drive.google.com/file/d/1HO7IycmiLQdUhvkjcTo8X4Iq4HZFDuBb/view?usp=drive_link" TargetMode="External"/><Relationship Id="rId1373" Type="http://schemas.openxmlformats.org/officeDocument/2006/relationships/hyperlink" Target="https://drive.google.com/file/d/1KQzeI3G1VTiwLEnZLl4E9n1nhGmAjg68/view?usp=drive_link" TargetMode="External"/><Relationship Id="rId301" Type="http://schemas.openxmlformats.org/officeDocument/2006/relationships/hyperlink" Target="https://drive.google.com/file/d/1W5T2LSLJjyvUX88I28ccbRt9tuKo5YBK/view?usp=sharing" TargetMode="External"/><Relationship Id="rId785" Type="http://schemas.openxmlformats.org/officeDocument/2006/relationships/hyperlink" Target="https://drive.google.com/file/d/1WoXqXdepFmz4V0lMWfu18VhDJ095TvEW/view?usp=sharing" TargetMode="External"/><Relationship Id="rId1374" Type="http://schemas.openxmlformats.org/officeDocument/2006/relationships/hyperlink" Target="https://drive.google.com/file/d/1sY05xtz_8KJZu2g-LX0TjEknBB8X_Lnn/view?usp=drive_link" TargetMode="External"/><Relationship Id="rId300" Type="http://schemas.openxmlformats.org/officeDocument/2006/relationships/hyperlink" Target="https://drive.google.com/file/d/1ThvPmWKH5x_zrtH7bsMyNR3er6HznUk4/view?usp=sharing" TargetMode="External"/><Relationship Id="rId784" Type="http://schemas.openxmlformats.org/officeDocument/2006/relationships/hyperlink" Target="https://drive.google.com/file/d/11fCTINJWLakVTPbOpiIycprDPQt3aWsp/view?usp=sharing" TargetMode="External"/><Relationship Id="rId1375" Type="http://schemas.openxmlformats.org/officeDocument/2006/relationships/hyperlink" Target="https://drive.google.com/file/d/1svp5oHOgfYoxaoOMN4MypxwOG-llCXD9/view?usp=drive_link" TargetMode="External"/><Relationship Id="rId783" Type="http://schemas.openxmlformats.org/officeDocument/2006/relationships/hyperlink" Target="https://drive.google.com/file/d/1IbWgm9k1Z4uPuo12AHjyi_JTwtOsB7UF/view?usp=sharing" TargetMode="External"/><Relationship Id="rId1376" Type="http://schemas.openxmlformats.org/officeDocument/2006/relationships/hyperlink" Target="https://drive.google.com/file/d/1qQs7jKpG3w0LDl7lfMJ982dIavf4hV0e/view?usp=drive_link" TargetMode="External"/><Relationship Id="rId782" Type="http://schemas.openxmlformats.org/officeDocument/2006/relationships/hyperlink" Target="https://drive.google.com/file/d/1vHtdE4FepANT8S8W77NwT73XLEStayWB/view?usp=sharing" TargetMode="External"/><Relationship Id="rId1377" Type="http://schemas.openxmlformats.org/officeDocument/2006/relationships/hyperlink" Target="https://drive.google.com/file/d/1jhWfD8TIGyhZdu0axfHosjCxWvbhqf3p/view?usp=drive_link" TargetMode="External"/><Relationship Id="rId1367" Type="http://schemas.openxmlformats.org/officeDocument/2006/relationships/hyperlink" Target="https://drive.google.com/file/d/1xCSqNepnHKR_YqadXpsGXu9JJSvIBfiT/view?usp=drive_link" TargetMode="External"/><Relationship Id="rId1368" Type="http://schemas.openxmlformats.org/officeDocument/2006/relationships/hyperlink" Target="https://drive.google.com/file/d/1zOAbhsjShb6PDBJpl-aSmcMYcZbUkR4g/view?usp=drive_link" TargetMode="External"/><Relationship Id="rId1369" Type="http://schemas.openxmlformats.org/officeDocument/2006/relationships/hyperlink" Target="https://drive.google.com/file/d/1fhIUnF0PFdD4fN9Q_RUnmuJqzWbD5Vv1/view?usp=drive_link" TargetMode="External"/><Relationship Id="rId778" Type="http://schemas.openxmlformats.org/officeDocument/2006/relationships/hyperlink" Target="https://drive.google.com/file/d/1bXb5ibLYHwDC9yjMYQGUMglp14xX--Br/view?usp=sharing" TargetMode="External"/><Relationship Id="rId777" Type="http://schemas.openxmlformats.org/officeDocument/2006/relationships/hyperlink" Target="https://drive.google.com/file/d/1F6x2c6CKN3gVHe5cmePMfh_2WXhAKQBA/view?usp=sharing" TargetMode="External"/><Relationship Id="rId776" Type="http://schemas.openxmlformats.org/officeDocument/2006/relationships/hyperlink" Target="https://drive.google.com/file/d/1eISiR2P9If7m2DC4dsGPXcsISjO_LByC/view?usp=sharing" TargetMode="External"/><Relationship Id="rId775" Type="http://schemas.openxmlformats.org/officeDocument/2006/relationships/hyperlink" Target="https://drive.google.com/file/d/1J-L_hNM7uGBL2dOZJRNwvAAVm__PxN9z/view?usp=sharing" TargetMode="External"/><Relationship Id="rId779" Type="http://schemas.openxmlformats.org/officeDocument/2006/relationships/hyperlink" Target="https://drive.google.com/file/d/1QQCWJ5xV5y2dEtpAHswFVSgnksaRKFcQ/view?usp=sharing" TargetMode="External"/><Relationship Id="rId770" Type="http://schemas.openxmlformats.org/officeDocument/2006/relationships/hyperlink" Target="https://drive.google.com/file/d/18UpsxHJXphSvUQ600K97tHtFV-vGlj0c/view?usp=sharing" TargetMode="External"/><Relationship Id="rId1360" Type="http://schemas.openxmlformats.org/officeDocument/2006/relationships/hyperlink" Target="https://drive.google.com/file/d/1GWl2g2m-NNiQBqtvxz9HxyUP_BkoAwPo/view?usp=drive_link" TargetMode="External"/><Relationship Id="rId1361" Type="http://schemas.openxmlformats.org/officeDocument/2006/relationships/hyperlink" Target="https://drive.google.com/file/d/1UhN8RYZ6nqYAbC2zrRZARVxDOG2wvTh6/view?usp=drive_link" TargetMode="External"/><Relationship Id="rId1362" Type="http://schemas.openxmlformats.org/officeDocument/2006/relationships/hyperlink" Target="https://drive.google.com/file/d/1kLPTSm-qG4gyJ-YHgpa_3Z97wDFzy69b/view?usp=drive_link" TargetMode="External"/><Relationship Id="rId774" Type="http://schemas.openxmlformats.org/officeDocument/2006/relationships/hyperlink" Target="https://drive.google.com/file/d/1RCQHHTzkjznPvkeNj27LWGlI6gJwgLo4/view?usp=sharing" TargetMode="External"/><Relationship Id="rId1363" Type="http://schemas.openxmlformats.org/officeDocument/2006/relationships/hyperlink" Target="https://drive.google.com/file/d/1bGwoJ2FOzLQ98SxUrrR8S_QOi2y2giAp/view?usp=drive_link" TargetMode="External"/><Relationship Id="rId773" Type="http://schemas.openxmlformats.org/officeDocument/2006/relationships/hyperlink" Target="https://drive.google.com/file/d/1NkPTZavfqY7yLLxV8vtlTi3KT_TuWipt/view?usp=sharing" TargetMode="External"/><Relationship Id="rId1364" Type="http://schemas.openxmlformats.org/officeDocument/2006/relationships/hyperlink" Target="https://drive.google.com/file/d/1N0wkFqAQkJfZsNM3FFdXe9TPV4lA_EP6/view?usp=drive_link" TargetMode="External"/><Relationship Id="rId772" Type="http://schemas.openxmlformats.org/officeDocument/2006/relationships/hyperlink" Target="https://drive.google.com/file/d/1z4USzlWqAHT9eW7PD2vKRbZArDPiCAqw/view?usp=sharing" TargetMode="External"/><Relationship Id="rId1365" Type="http://schemas.openxmlformats.org/officeDocument/2006/relationships/hyperlink" Target="https://drive.google.com/file/d/17qiAvs31DC7qPazwqZhuOmF-qH20nmpe/view?usp=drive_link" TargetMode="External"/><Relationship Id="rId771" Type="http://schemas.openxmlformats.org/officeDocument/2006/relationships/hyperlink" Target="https://drive.google.com/file/d/1mQgePZkvaCkTP8aNjdSI7sdCqwN7OD_d/view?usp=sharing" TargetMode="External"/><Relationship Id="rId1366" Type="http://schemas.openxmlformats.org/officeDocument/2006/relationships/hyperlink" Target="https://drive.google.com/file/d/1ZqA-1qeZvMaRLdwMYunzmY5ewAlq5e1q/view?usp=drive_link" TargetMode="External"/><Relationship Id="rId327" Type="http://schemas.openxmlformats.org/officeDocument/2006/relationships/hyperlink" Target="https://drive.google.com/file/d/1i9ntJlxGQS-ZZZw4j0kIMfabAr17JczV/view?usp=drive_link" TargetMode="External"/><Relationship Id="rId326" Type="http://schemas.openxmlformats.org/officeDocument/2006/relationships/hyperlink" Target="https://drive.google.com/file/d/1ri7ivEVbfbKy0HmoqpV5ETAQbEGOMQQt/view?usp=drive_link" TargetMode="External"/><Relationship Id="rId325" Type="http://schemas.openxmlformats.org/officeDocument/2006/relationships/hyperlink" Target="https://drive.google.com/file/d/1kRaoJV-B5nnArXTkZjeN3LC6WR1DrPyW/view?usp=drive_link" TargetMode="External"/><Relationship Id="rId324" Type="http://schemas.openxmlformats.org/officeDocument/2006/relationships/hyperlink" Target="https://drive.google.com/file/d/1PGsdw9kzb2Ku_RB-FO0bC_ynIS97O1st/view?usp=drive_link" TargetMode="External"/><Relationship Id="rId329" Type="http://schemas.openxmlformats.org/officeDocument/2006/relationships/hyperlink" Target="https://drive.google.com/file/d/1iRsiay5oW6rrkVc5rpCG9lGf6i2zJwBj/view?usp=drive_link" TargetMode="External"/><Relationship Id="rId1390" Type="http://schemas.openxmlformats.org/officeDocument/2006/relationships/hyperlink" Target="https://drive.google.com/file/d/1FeNyzDYXZbE9BYcUwliSBIq9Kt-UA53i/view?usp=drive_link" TargetMode="External"/><Relationship Id="rId328" Type="http://schemas.openxmlformats.org/officeDocument/2006/relationships/hyperlink" Target="https://drive.google.com/file/d/1omhwhCATnV61k3KINO436CID-u730A_I/view?usp=drive_link" TargetMode="External"/><Relationship Id="rId1391" Type="http://schemas.openxmlformats.org/officeDocument/2006/relationships/hyperlink" Target="https://drive.google.com/file/d/1uQyw1nCAl_pJbuySthDMYLOWY-oXxNV9/view?usp=drive_link" TargetMode="External"/><Relationship Id="rId1392" Type="http://schemas.openxmlformats.org/officeDocument/2006/relationships/hyperlink" Target="https://drive.google.com/file/d/1T-tC0SvY0JUmdjN5a6XY1kbJO4D2aRF2/view?usp=drive_link" TargetMode="External"/><Relationship Id="rId1393" Type="http://schemas.openxmlformats.org/officeDocument/2006/relationships/hyperlink" Target="https://drive.google.com/file/d/10bZNG6MnPoXuPgY5O3FQFWVK_roYJl6O/view?usp=drive_link" TargetMode="External"/><Relationship Id="rId1394" Type="http://schemas.openxmlformats.org/officeDocument/2006/relationships/hyperlink" Target="https://drive.google.com/file/d/1Uul8xuYpGZMZ5PUrBMaLaa-Gf3R0XmdD/view?usp=drive_link" TargetMode="External"/><Relationship Id="rId1395" Type="http://schemas.openxmlformats.org/officeDocument/2006/relationships/hyperlink" Target="https://drive.google.com/file/d/1DHjVco83O6w1b62x2eP3qvEYVnrtk_zF/view?usp=drive_link" TargetMode="External"/><Relationship Id="rId323" Type="http://schemas.openxmlformats.org/officeDocument/2006/relationships/hyperlink" Target="https://drive.google.com/file/d/1YxGDmaQReQMYooav_k4iuP99PWJhb9Ox/view?usp=drive_link" TargetMode="External"/><Relationship Id="rId1396" Type="http://schemas.openxmlformats.org/officeDocument/2006/relationships/hyperlink" Target="https://drive.google.com/file/d/1TBJdO8doeJ9JAWpAhfcT_xTk2UWrEotA/view?usp=drive_link" TargetMode="External"/><Relationship Id="rId322" Type="http://schemas.openxmlformats.org/officeDocument/2006/relationships/hyperlink" Target="https://drive.google.com/file/d/12fpR9PRwfJz2xAabusKqBFjecFvKHNak/view?usp=drive_link" TargetMode="External"/><Relationship Id="rId1397" Type="http://schemas.openxmlformats.org/officeDocument/2006/relationships/hyperlink" Target="https://drive.google.com/file/d/1WjtaZefGAoi1240e_ESDfEZ96B_6ROF6/view?usp=drive_link" TargetMode="External"/><Relationship Id="rId321" Type="http://schemas.openxmlformats.org/officeDocument/2006/relationships/hyperlink" Target="https://drive.google.com/file/d/1btqjcPFKfksQD-SMUNqJBzoKxDVq9stY/view?usp=drive_link" TargetMode="External"/><Relationship Id="rId1398" Type="http://schemas.openxmlformats.org/officeDocument/2006/relationships/hyperlink" Target="https://drive.google.com/file/d/18WlsiUnnCAwbD9XCGegFzvaBZImxkmlC/view?usp=drive_link" TargetMode="External"/><Relationship Id="rId320" Type="http://schemas.openxmlformats.org/officeDocument/2006/relationships/hyperlink" Target="https://drive.google.com/file/d/1H6PRHZC-oI1G5DOL5hHYONxNvKQqXMXa/view?usp=drive_link" TargetMode="External"/><Relationship Id="rId1399" Type="http://schemas.openxmlformats.org/officeDocument/2006/relationships/hyperlink" Target="https://drive.google.com/file/d/10GHyFmv29nRiqBSf6j54SqNt7pPxEYRw/view?usp=drive_link" TargetMode="External"/><Relationship Id="rId1389" Type="http://schemas.openxmlformats.org/officeDocument/2006/relationships/hyperlink" Target="https://drive.google.com/file/d/1ufDJtZOdrwrQfl6_PwD2HzuKzSzcB6QS/view?usp=drive_link" TargetMode="External"/><Relationship Id="rId316" Type="http://schemas.openxmlformats.org/officeDocument/2006/relationships/hyperlink" Target="https://drive.google.com/file/d/1QXGwSWdrt_saqM3aJELU9c8l7Cg-ERYk/view?usp=drive_link" TargetMode="External"/><Relationship Id="rId315" Type="http://schemas.openxmlformats.org/officeDocument/2006/relationships/hyperlink" Target="https://drive.google.com/file/d/1Z07lyy5-LLUgx8I1HeMYMx1B7CEkLzje/view?usp=drive_link" TargetMode="External"/><Relationship Id="rId799" Type="http://schemas.openxmlformats.org/officeDocument/2006/relationships/hyperlink" Target="https://drive.google.com/file/d/1CiJukKXSRT-BwQSbdVNLzkJnMk9Ktiji/view?usp=sharing" TargetMode="External"/><Relationship Id="rId314" Type="http://schemas.openxmlformats.org/officeDocument/2006/relationships/hyperlink" Target="https://drive.google.com/file/d/1wSZDTbknL9uMi3G-BuZgA9xkVBfMJ4gp/view?usp=drive_link" TargetMode="External"/><Relationship Id="rId798" Type="http://schemas.openxmlformats.org/officeDocument/2006/relationships/hyperlink" Target="https://drive.google.com/file/d/1moxpZs_5IwyLIUFV6dOpRuy2k5EETEtM/view?usp=sharing" TargetMode="External"/><Relationship Id="rId313" Type="http://schemas.openxmlformats.org/officeDocument/2006/relationships/hyperlink" Target="https://drive.google.com/file/d/1w8OAyYXAZ5EcgVrJq81yf-BO5O1Wp-d7/view?usp=drive_link" TargetMode="External"/><Relationship Id="rId797" Type="http://schemas.openxmlformats.org/officeDocument/2006/relationships/hyperlink" Target="https://drive.google.com/file/d/1f2pmQG1XHj0wPWly3tuZdsejHfhT2-I0/view?usp=sharing" TargetMode="External"/><Relationship Id="rId319" Type="http://schemas.openxmlformats.org/officeDocument/2006/relationships/hyperlink" Target="https://drive.google.com/file/d/1OdEoaaMMQlxn5AtBOFV8e6qHRjBrF2y9/view?usp=drive_link" TargetMode="External"/><Relationship Id="rId318" Type="http://schemas.openxmlformats.org/officeDocument/2006/relationships/hyperlink" Target="https://drive.google.com/file/d/1J5HgYRDRfoi00jKgn5f89234XeczcmPs/view?usp=drive_link" TargetMode="External"/><Relationship Id="rId317" Type="http://schemas.openxmlformats.org/officeDocument/2006/relationships/hyperlink" Target="https://drive.google.com/file/d/1dHnj9ZwEmvgTOIkmL7v3cBEDmL6g4sqg/view?usp=drive_link" TargetMode="External"/><Relationship Id="rId1380" Type="http://schemas.openxmlformats.org/officeDocument/2006/relationships/hyperlink" Target="https://drive.google.com/file/d/1hinLfkMMYymN4R9CjKsNGtp08-QAqV8s/view?usp=drive_link" TargetMode="External"/><Relationship Id="rId792" Type="http://schemas.openxmlformats.org/officeDocument/2006/relationships/hyperlink" Target="https://drive.google.com/file/d/1n_h3KLUKe1JpAZuDw55kSqBWPOSfD7VW/view?usp=drive_link" TargetMode="External"/><Relationship Id="rId1381" Type="http://schemas.openxmlformats.org/officeDocument/2006/relationships/hyperlink" Target="https://drive.google.com/file/d/12CG2MvQEavcveY4sPVteZucf32vFffaq/view?usp=drive_link" TargetMode="External"/><Relationship Id="rId791" Type="http://schemas.openxmlformats.org/officeDocument/2006/relationships/hyperlink" Target="https://drive.google.com/file/d/1ATl4x1EU_VIBNB9lT6MYGDXkpTC0CRGD/view?usp=sharing" TargetMode="External"/><Relationship Id="rId1382" Type="http://schemas.openxmlformats.org/officeDocument/2006/relationships/hyperlink" Target="https://drive.google.com/file/d/1Hd4lAPIJ6LTV-TEYXXiDuGBijaBYS8LN/view?usp=drive_link" TargetMode="External"/><Relationship Id="rId790" Type="http://schemas.openxmlformats.org/officeDocument/2006/relationships/hyperlink" Target="https://drive.google.com/file/d/1BtgEgQD0CPTiwfNUkC1rcl5Ou1WMp1Al/view?usp=sharing" TargetMode="External"/><Relationship Id="rId1383" Type="http://schemas.openxmlformats.org/officeDocument/2006/relationships/hyperlink" Target="https://drive.google.com/file/d/1AQc2q_aP7c69iwHV5NdUSAI1xSJROs_h/view?usp=drive_link" TargetMode="External"/><Relationship Id="rId1384" Type="http://schemas.openxmlformats.org/officeDocument/2006/relationships/hyperlink" Target="https://drive.google.com/file/d/1tC5smlCkBCDMFTplrz2L1jF9Zdunqi8U/view?usp=drive_link" TargetMode="External"/><Relationship Id="rId312" Type="http://schemas.openxmlformats.org/officeDocument/2006/relationships/hyperlink" Target="https://drive.google.com/file/d/1lOLfCC_aUgw1806UJRoZpXrY_vX1FkS7/view?usp=drive_link" TargetMode="External"/><Relationship Id="rId796" Type="http://schemas.openxmlformats.org/officeDocument/2006/relationships/hyperlink" Target="https://drive.google.com/file/d/1RgkCtesL7l8bzwgBJBvj6fcyo8mY4Tnb/view?usp=sharing" TargetMode="External"/><Relationship Id="rId1385" Type="http://schemas.openxmlformats.org/officeDocument/2006/relationships/hyperlink" Target="https://drive.google.com/file/d/1UIoi2zSbOuAzuEbMIi-jAEt1_uCRAP1k/view?usp=drive_link" TargetMode="External"/><Relationship Id="rId311" Type="http://schemas.openxmlformats.org/officeDocument/2006/relationships/hyperlink" Target="https://drive.google.com/file/d/1SRScJh9MZgbJmx-eCqVRfJqfuj3-s60Q/view?usp=drive_link" TargetMode="External"/><Relationship Id="rId795" Type="http://schemas.openxmlformats.org/officeDocument/2006/relationships/hyperlink" Target="https://drive.google.com/file/d/1WFp8OLAkHs0GwY55xgsIf95syQ2I9Un4/view?usp=sharing" TargetMode="External"/><Relationship Id="rId1386" Type="http://schemas.openxmlformats.org/officeDocument/2006/relationships/hyperlink" Target="https://drive.google.com/file/d/1LvQ7vvihqGAoKWMrtha1D8gGWRJCypW9/view?usp=drive_link" TargetMode="External"/><Relationship Id="rId310" Type="http://schemas.openxmlformats.org/officeDocument/2006/relationships/hyperlink" Target="https://drive.google.com/file/d/1sccP9Aw6A-cTbXjRoVGq_4FrmVIdB5im/view?usp=drive_link" TargetMode="External"/><Relationship Id="rId794" Type="http://schemas.openxmlformats.org/officeDocument/2006/relationships/hyperlink" Target="https://drive.google.com/file/d/1ipAxmhQHgPpJmWgEHC0HLKRne53SMF1r/view?usp=sharing" TargetMode="External"/><Relationship Id="rId1387" Type="http://schemas.openxmlformats.org/officeDocument/2006/relationships/hyperlink" Target="https://drive.google.com/file/d/1gH7MlK0aA1iEw0vJlFcLwSDVGor7YCBj/view?usp=drive_link" TargetMode="External"/><Relationship Id="rId793" Type="http://schemas.openxmlformats.org/officeDocument/2006/relationships/hyperlink" Target="https://drive.google.com/file/d/1L3bb2MhjQbD0CR506qm4FNuUooPM3DeT/view?usp=sharing" TargetMode="External"/><Relationship Id="rId1388" Type="http://schemas.openxmlformats.org/officeDocument/2006/relationships/hyperlink" Target="https://drive.google.com/file/d/1hw2xYXP386J0Kcfu9vo8wZ-jVETVhFDK/view?usp=drive_link" TargetMode="External"/><Relationship Id="rId297" Type="http://schemas.openxmlformats.org/officeDocument/2006/relationships/hyperlink" Target="https://drive.google.com/file/d/1gtoo9Jnsh1DyECB3paaqIAD425DCSrD0/view?usp=sharing" TargetMode="External"/><Relationship Id="rId296" Type="http://schemas.openxmlformats.org/officeDocument/2006/relationships/hyperlink" Target="https://drive.google.com/file/d/1vMAe6fxQyZ3I5KGfwejfM2uJ6W_0Qsiv/view?usp=sharing" TargetMode="External"/><Relationship Id="rId295" Type="http://schemas.openxmlformats.org/officeDocument/2006/relationships/hyperlink" Target="https://drive.google.com/file/d/1Z-insn0YBnZ3IZnqEYybMklalxURJIz3/view?usp=sharing" TargetMode="External"/><Relationship Id="rId294" Type="http://schemas.openxmlformats.org/officeDocument/2006/relationships/hyperlink" Target="https://drive.google.com/file/d/1nr4DV0LVGNOANgAEakWTDGFOyJuEUuJ6/view?usp=sharing" TargetMode="External"/><Relationship Id="rId299" Type="http://schemas.openxmlformats.org/officeDocument/2006/relationships/hyperlink" Target="https://drive.google.com/file/d/19ytVV7iijUu1GMTMwH4-qYLXFNUHlVNP/view?usp=sharing" TargetMode="External"/><Relationship Id="rId298" Type="http://schemas.openxmlformats.org/officeDocument/2006/relationships/hyperlink" Target="https://drive.google.com/file/d/11TY0CatlZymZJGbNamIjQ-MfBKH5uD5R/view?usp=sharing" TargetMode="External"/><Relationship Id="rId271" Type="http://schemas.openxmlformats.org/officeDocument/2006/relationships/hyperlink" Target="https://drive.google.com/file/d/1JR7_2eyJhEZNzV5RBetcsguwpB3Jxntj/view?usp=sharing" TargetMode="External"/><Relationship Id="rId270" Type="http://schemas.openxmlformats.org/officeDocument/2006/relationships/hyperlink" Target="https://drive.google.com/file/d/1y91ILPYAqG5eFpBZvPg6Dc_o0dxeiezM/view?usp=sharing" TargetMode="External"/><Relationship Id="rId269" Type="http://schemas.openxmlformats.org/officeDocument/2006/relationships/hyperlink" Target="https://drive.google.com/file/d/1DrX0SSnteOY5DmsUW9VeeX6FnXAeg7TQ/view?usp=sharing" TargetMode="External"/><Relationship Id="rId264" Type="http://schemas.openxmlformats.org/officeDocument/2006/relationships/hyperlink" Target="https://drive.google.com/file/d/1Ox-OhF2q_AvxsF1IGr3C_t2TlWCs64kx/view?usp=sharing" TargetMode="External"/><Relationship Id="rId263" Type="http://schemas.openxmlformats.org/officeDocument/2006/relationships/hyperlink" Target="https://drive.google.com/file/d/1MQ25xPu5oAS3VlTybcJquMGOZW1zlp82/view?usp=sharing" TargetMode="External"/><Relationship Id="rId262" Type="http://schemas.openxmlformats.org/officeDocument/2006/relationships/hyperlink" Target="https://drive.google.com/file/d/187KZ0bRQ3Xd0mu5vueFCRZix1em4VzAf/view?usp=sharing" TargetMode="External"/><Relationship Id="rId261" Type="http://schemas.openxmlformats.org/officeDocument/2006/relationships/hyperlink" Target="https://drive.google.com/file/d/1HEzGgEfknmAYm-X4TQoZMAWnwhFxLHXJ/view?usp=sharing" TargetMode="External"/><Relationship Id="rId268" Type="http://schemas.openxmlformats.org/officeDocument/2006/relationships/hyperlink" Target="https://drive.google.com/file/d/1w73kOYVf4dGUw4Wi8WKA9lV2lN7Tm73h/view?usp=sharing" TargetMode="External"/><Relationship Id="rId267" Type="http://schemas.openxmlformats.org/officeDocument/2006/relationships/hyperlink" Target="https://drive.google.com/file/d/19Vto1pseHaDzfX6jHvLrE1tHXb5FeplM/view?usp=sharing" TargetMode="External"/><Relationship Id="rId266" Type="http://schemas.openxmlformats.org/officeDocument/2006/relationships/hyperlink" Target="https://drive.google.com/file/d/1fKYffwAJC1SLOyt4R4pXYp0X73zRGxRQ/view?usp=sharing" TargetMode="External"/><Relationship Id="rId265" Type="http://schemas.openxmlformats.org/officeDocument/2006/relationships/hyperlink" Target="https://drive.google.com/file/d/1bFcymC9yv679IrUVzeIrKY4igrsAnGRG/view?usp=sharing" TargetMode="External"/><Relationship Id="rId260" Type="http://schemas.openxmlformats.org/officeDocument/2006/relationships/hyperlink" Target="https://drive.google.com/file/d/1DixG9_Fl4bqCVL2fl2xsLtTx1JPvVT2_/view?usp=sharing" TargetMode="External"/><Relationship Id="rId259" Type="http://schemas.openxmlformats.org/officeDocument/2006/relationships/hyperlink" Target="https://drive.google.com/file/d/1HfdMfJUKfKAqF48E1F0LcYlEThhntDvS/view?usp=sharing" TargetMode="External"/><Relationship Id="rId258" Type="http://schemas.openxmlformats.org/officeDocument/2006/relationships/hyperlink" Target="https://drive.google.com/file/d/1XefzV9OtPi3t9PfTX97D4PpiUE7qSpfQ/view?usp=sharing" TargetMode="External"/><Relationship Id="rId253" Type="http://schemas.openxmlformats.org/officeDocument/2006/relationships/hyperlink" Target="https://drive.google.com/file/d/1w73kOYVf4dGUw4Wi8WKA9lV2lN7Tm73h/view?usp=sharing" TargetMode="External"/><Relationship Id="rId252" Type="http://schemas.openxmlformats.org/officeDocument/2006/relationships/hyperlink" Target="https://drive.google.com/file/d/19Vto1pseHaDzfX6jHvLrE1tHXb5FeplM/view?usp=sharing" TargetMode="External"/><Relationship Id="rId251" Type="http://schemas.openxmlformats.org/officeDocument/2006/relationships/hyperlink" Target="https://drive.google.com/file/d/1fKYffwAJC1SLOyt4R4pXYp0X73zRGxRQ/view?usp=sharing" TargetMode="External"/><Relationship Id="rId250" Type="http://schemas.openxmlformats.org/officeDocument/2006/relationships/hyperlink" Target="https://drive.google.com/file/d/1bFcymC9yv679IrUVzeIrKY4igrsAnGRG/view?usp=sharing" TargetMode="External"/><Relationship Id="rId257" Type="http://schemas.openxmlformats.org/officeDocument/2006/relationships/hyperlink" Target="https://drive.google.com/file/d/1-TgO-QtzxHF4o1fWGiMoKoPd6JV-2Bsu/view?usp=sharing" TargetMode="External"/><Relationship Id="rId256" Type="http://schemas.openxmlformats.org/officeDocument/2006/relationships/hyperlink" Target="https://drive.google.com/file/d/1IvhTmEDJtNaJ0tgAXDVUFnMdGW2S_Eap/view?usp=sharing" TargetMode="External"/><Relationship Id="rId255" Type="http://schemas.openxmlformats.org/officeDocument/2006/relationships/hyperlink" Target="https://drive.google.com/file/d/1QOIBzghbWmKFNeBti25zzqsOrb8beUeB/view?usp=sharing" TargetMode="External"/><Relationship Id="rId254" Type="http://schemas.openxmlformats.org/officeDocument/2006/relationships/hyperlink" Target="https://drive.google.com/file/d/1FADA9Sde25bQMAaQxf7-9Wlv_IGKP9O8/view?usp=drive_link" TargetMode="External"/><Relationship Id="rId293" Type="http://schemas.openxmlformats.org/officeDocument/2006/relationships/hyperlink" Target="https://drive.google.com/file/d/1tct1daX6jH1oWKje3Jl4GHkdd496g4wp/view?usp=sharing" TargetMode="External"/><Relationship Id="rId292" Type="http://schemas.openxmlformats.org/officeDocument/2006/relationships/hyperlink" Target="https://drive.google.com/file/d/1gGLcd-zB0FAduDf_eAutaOXQbKr_De6P/view?usp=sharing" TargetMode="External"/><Relationship Id="rId291" Type="http://schemas.openxmlformats.org/officeDocument/2006/relationships/hyperlink" Target="https://drive.google.com/file/d/1M9xMTfsAPzv3KJddHrgENuNRRfZ2ngl5/view?usp=sharing" TargetMode="External"/><Relationship Id="rId290" Type="http://schemas.openxmlformats.org/officeDocument/2006/relationships/hyperlink" Target="https://drive.google.com/file/d/1EyQ7OQIJNCtxxUc3Lx87YV0_pV-5gX68/view?usp=sharing" TargetMode="External"/><Relationship Id="rId286" Type="http://schemas.openxmlformats.org/officeDocument/2006/relationships/hyperlink" Target="https://drive.google.com/file/d/1k9SOUzEujZwJ95PboihtwbJ6_wFWP0kA/view?usp=sharing" TargetMode="External"/><Relationship Id="rId285" Type="http://schemas.openxmlformats.org/officeDocument/2006/relationships/hyperlink" Target="https://drive.google.com/file/d/18ovoNBg8mZeVsejY6NTNhHxkTWm9cOBo/view?usp=sharing" TargetMode="External"/><Relationship Id="rId284" Type="http://schemas.openxmlformats.org/officeDocument/2006/relationships/hyperlink" Target="https://drive.google.com/file/d/1EI7gVZS8wvdg1ZiNfF_9uEgkSM18gdl1/view?usp=sharing" TargetMode="External"/><Relationship Id="rId283" Type="http://schemas.openxmlformats.org/officeDocument/2006/relationships/hyperlink" Target="https://drive.google.com/file/d/147bAJmlTKhWo9RCj2TnjPYqeCeO8Bi3Y/view?usp=sharing" TargetMode="External"/><Relationship Id="rId289" Type="http://schemas.openxmlformats.org/officeDocument/2006/relationships/hyperlink" Target="https://drive.google.com/file/d/10W7cA1cV4YKEPkeyGDxBz1GaNLgE0cry/view?usp=sharing" TargetMode="External"/><Relationship Id="rId288" Type="http://schemas.openxmlformats.org/officeDocument/2006/relationships/hyperlink" Target="https://drive.google.com/file/d/1WGg6lv8x6GOBoSa1yUlp8cZFAHsjpJSs/view?usp=sharing" TargetMode="External"/><Relationship Id="rId287" Type="http://schemas.openxmlformats.org/officeDocument/2006/relationships/hyperlink" Target="https://drive.google.com/file/d/1dx8GPipUlHkB2QU-WeEIh5n-Bf3s4dbX/view?usp=sharing" TargetMode="External"/><Relationship Id="rId282" Type="http://schemas.openxmlformats.org/officeDocument/2006/relationships/hyperlink" Target="https://drive.google.com/file/d/1ZMo3u2nBaoNj3FwuAuYeovm96eGZbvDz/view?usp=sharing" TargetMode="External"/><Relationship Id="rId281" Type="http://schemas.openxmlformats.org/officeDocument/2006/relationships/hyperlink" Target="https://drive.google.com/file/d/1DdRfHUcswaDpadH-w--OWO_kvdPa88DQ/view?usp=sharing" TargetMode="External"/><Relationship Id="rId280" Type="http://schemas.openxmlformats.org/officeDocument/2006/relationships/hyperlink" Target="https://drive.google.com/file/d/12neJfZSEP1xjjhwB8gTIkcqlRzyl0c8U/view?usp=sharing" TargetMode="External"/><Relationship Id="rId275" Type="http://schemas.openxmlformats.org/officeDocument/2006/relationships/hyperlink" Target="https://drive.google.com/file/d/1rEkbHd6vG5VlQhKK4aVeCUSKVs4-3iFF/view?usp=sharing" TargetMode="External"/><Relationship Id="rId274" Type="http://schemas.openxmlformats.org/officeDocument/2006/relationships/hyperlink" Target="https://drive.google.com/file/d/1i9YVHOcMoHe4s-pS6HA9hKoH2oB14EV3/view?usp=sharing" TargetMode="External"/><Relationship Id="rId273" Type="http://schemas.openxmlformats.org/officeDocument/2006/relationships/hyperlink" Target="https://drive.google.com/file/d/10T6Q7OFsJwUvNtI6y38F--2bs2mMMupY/view?usp=sharing" TargetMode="External"/><Relationship Id="rId272" Type="http://schemas.openxmlformats.org/officeDocument/2006/relationships/hyperlink" Target="https://drive.google.com/file/d/10Y3-VKed_CvZcUq4AMzAPqm03Qy9Rg8t/view?usp=sharing" TargetMode="External"/><Relationship Id="rId279" Type="http://schemas.openxmlformats.org/officeDocument/2006/relationships/hyperlink" Target="https://drive.google.com/file/d/1esz7_0EuxygW_-YC2pp3zhPqpctm4EfC/view?usp=sharing" TargetMode="External"/><Relationship Id="rId278" Type="http://schemas.openxmlformats.org/officeDocument/2006/relationships/hyperlink" Target="https://drive.google.com/file/d/1cX0KJ9Jf0zbaCx5cvvGpVzPFXQFpvOu6/view?usp=sharing" TargetMode="External"/><Relationship Id="rId277" Type="http://schemas.openxmlformats.org/officeDocument/2006/relationships/hyperlink" Target="https://drive.google.com/file/d/1BvHCSN-ELyvRhpEbcBGcSRxJgesni3mH/view?usp=sharing" TargetMode="External"/><Relationship Id="rId276" Type="http://schemas.openxmlformats.org/officeDocument/2006/relationships/hyperlink" Target="https://drive.google.com/file/d/1x9BCzUatb4FUoC9-S1GELoEiBUAXnTtu/view?usp=sharing" TargetMode="External"/><Relationship Id="rId1455" Type="http://schemas.openxmlformats.org/officeDocument/2006/relationships/hyperlink" Target="https://drive.google.com/file/d/18BaVkopVPo7t7ivXKkN_NbBIJuLhcn2p/view?usp=drive_link" TargetMode="External"/><Relationship Id="rId1456" Type="http://schemas.openxmlformats.org/officeDocument/2006/relationships/hyperlink" Target="https://drive.google.com/file/d/1ukHSWsVwKm2fska_2coclvubKWATBdZE/view?usp=drive_link" TargetMode="External"/><Relationship Id="rId1457" Type="http://schemas.openxmlformats.org/officeDocument/2006/relationships/hyperlink" Target="https://drive.google.com/file/d/1PfQCbmtB8KmXIp3yEnpdQ98sJu0URtSH/view?usp=drive_link" TargetMode="External"/><Relationship Id="rId1458" Type="http://schemas.openxmlformats.org/officeDocument/2006/relationships/hyperlink" Target="https://drive.google.com/file/d/120XoYHC2a0yxvmt9w8OBk-x7X0A2VQPL/view?usp=drive_link" TargetMode="External"/><Relationship Id="rId1459" Type="http://schemas.openxmlformats.org/officeDocument/2006/relationships/hyperlink" Target="https://drive.google.com/file/d/1EOQDzsObPCHk1AmjjtQwRqTz2pvVYcKc/view?usp=drive_link" TargetMode="External"/><Relationship Id="rId629" Type="http://schemas.openxmlformats.org/officeDocument/2006/relationships/hyperlink" Target="https://drive.google.com/file/d/1cD_EOBS4mw8m1nm0Q6jxOI3TLZM23U_q/view?usp=drive_link" TargetMode="External"/><Relationship Id="rId624" Type="http://schemas.openxmlformats.org/officeDocument/2006/relationships/hyperlink" Target="https://drive.google.com/file/d/1MEQeM2QY8GBlLDiY_JFd3SGUqS8FXxX-/view?usp=drive_link" TargetMode="External"/><Relationship Id="rId623" Type="http://schemas.openxmlformats.org/officeDocument/2006/relationships/hyperlink" Target="https://drive.google.com/file/d/1uS_uQ1xO-xAqeapsT79b3imsDaPtmdHt/view?usp=drive_link" TargetMode="External"/><Relationship Id="rId622" Type="http://schemas.openxmlformats.org/officeDocument/2006/relationships/hyperlink" Target="https://drive.google.com/file/d/1rI-jlUDIFgph8UK92-D4HCVcKslyEMSY/view?usp=drive_link" TargetMode="External"/><Relationship Id="rId621" Type="http://schemas.openxmlformats.org/officeDocument/2006/relationships/hyperlink" Target="https://drive.google.com/file/d/1SldO50DQWjAoTZFtlwb4BaWaq3elXN5G/view?usp=drive_link" TargetMode="External"/><Relationship Id="rId628" Type="http://schemas.openxmlformats.org/officeDocument/2006/relationships/hyperlink" Target="https://drive.google.com/file/d/1dXbEsA54rlVAlgp29RxC3zMlUv2d1eMX/view?usp=drive_link" TargetMode="External"/><Relationship Id="rId627" Type="http://schemas.openxmlformats.org/officeDocument/2006/relationships/hyperlink" Target="https://drive.google.com/file/d/1YgifbP8OaU49FvE_UGEkD00Vwrs9pVna/view?usp=drive_link" TargetMode="External"/><Relationship Id="rId626" Type="http://schemas.openxmlformats.org/officeDocument/2006/relationships/hyperlink" Target="https://drive.google.com/file/d/1iGlol4sFtW00dONYGQySNc-Wz7nSezSM/view?usp=drive_link" TargetMode="External"/><Relationship Id="rId625" Type="http://schemas.openxmlformats.org/officeDocument/2006/relationships/hyperlink" Target="https://drive.google.com/file/d/1WSZpDqdyPCpYYZxUf1TJDNUDNdlmnGL4/view?usp=drive_link" TargetMode="External"/><Relationship Id="rId1450" Type="http://schemas.openxmlformats.org/officeDocument/2006/relationships/hyperlink" Target="https://drive.google.com/file/d/19_bzbdb7UT9D5k4QMEdrDlSFzvI0qAy9/view?usp=drive_link" TargetMode="External"/><Relationship Id="rId620" Type="http://schemas.openxmlformats.org/officeDocument/2006/relationships/hyperlink" Target="https://drive.google.com/file/d/1qqGHVRNved1hHJnk5iqKMnriOSf1jlPy/view?usp=drive_link" TargetMode="External"/><Relationship Id="rId1451" Type="http://schemas.openxmlformats.org/officeDocument/2006/relationships/hyperlink" Target="https://drive.google.com/file/d/1Tt1xRl6xZJT8vZRIeHtkbzcMrTK6UGQ2/view?usp=drive_link" TargetMode="External"/><Relationship Id="rId1452" Type="http://schemas.openxmlformats.org/officeDocument/2006/relationships/hyperlink" Target="https://drive.google.com/file/d/1b9ZgMtcCqX0crzAKaIvUEQjLUca8U7UT/view?usp=drive_link" TargetMode="External"/><Relationship Id="rId1453" Type="http://schemas.openxmlformats.org/officeDocument/2006/relationships/hyperlink" Target="https://drive.google.com/file/d/19Cwc7fYhcy1yQSpIhlaa0G2h7io268GN/view?usp=drive_link" TargetMode="External"/><Relationship Id="rId1454" Type="http://schemas.openxmlformats.org/officeDocument/2006/relationships/hyperlink" Target="https://drive.google.com/file/d/1VSI9-BQfaVF2li-Ip-ndZA0ToTzTUZri/view?usp=drive_link" TargetMode="External"/><Relationship Id="rId1444" Type="http://schemas.openxmlformats.org/officeDocument/2006/relationships/hyperlink" Target="https://drive.google.com/file/d/1imSbfV32Sx0zZ_4thogbtNigs4Z-TEfF/view?usp=drive_link" TargetMode="External"/><Relationship Id="rId1445" Type="http://schemas.openxmlformats.org/officeDocument/2006/relationships/hyperlink" Target="https://drive.google.com/file/d/1GYZ3YFDvmdNdQCVPIdaXtsLh7bPx6qfI/view?usp=drive_link" TargetMode="External"/><Relationship Id="rId1446" Type="http://schemas.openxmlformats.org/officeDocument/2006/relationships/hyperlink" Target="https://drive.google.com/file/d/10M6YwDuAo0n3mibvFzvmCyYwxGCFXgbS/view?usp=drive_link" TargetMode="External"/><Relationship Id="rId1447" Type="http://schemas.openxmlformats.org/officeDocument/2006/relationships/hyperlink" Target="https://drive.google.com/file/d/1sbJ1M88DzP4sUQhONORwIWQoZeec146W/view?usp=drive_link" TargetMode="External"/><Relationship Id="rId1448" Type="http://schemas.openxmlformats.org/officeDocument/2006/relationships/hyperlink" Target="https://drive.google.com/file/d/1iuNnAEsqbIiXdu1OE3xYKIV9-vFN0DNB/view?usp=drive_link" TargetMode="External"/><Relationship Id="rId1449" Type="http://schemas.openxmlformats.org/officeDocument/2006/relationships/hyperlink" Target="https://drive.google.com/file/d/1Dd_O0F3IwSP0onLugrYBBucgO_ex7024/view?usp=drive_link" TargetMode="External"/><Relationship Id="rId619" Type="http://schemas.openxmlformats.org/officeDocument/2006/relationships/hyperlink" Target="https://drive.google.com/file/d/11spznTd1u_SiOQM8j8a_R85FRb0lflMp/view?usp=drive_link" TargetMode="External"/><Relationship Id="rId618" Type="http://schemas.openxmlformats.org/officeDocument/2006/relationships/hyperlink" Target="https://drive.google.com/file/d/1NRk0IupkeTK6qvpAiRt11TSFYJ_FKshb/view?usp=drive_link" TargetMode="External"/><Relationship Id="rId613" Type="http://schemas.openxmlformats.org/officeDocument/2006/relationships/hyperlink" Target="https://drive.google.com/file/d/1D9u2Dq8Y1lTkqShZ5tQRzd0lfaDtKBlb/view?usp=drive_link" TargetMode="External"/><Relationship Id="rId612" Type="http://schemas.openxmlformats.org/officeDocument/2006/relationships/hyperlink" Target="https://drive.google.com/file/d/1MhE7PePN1cFV0d3JQgC2Xzld1Q6W2JKW/view?usp=drive_link" TargetMode="External"/><Relationship Id="rId611" Type="http://schemas.openxmlformats.org/officeDocument/2006/relationships/hyperlink" Target="https://drive.google.com/file/d/19REwezEcOng8I_Xh1mlORGV9Lux8qNpy/view?usp=drive_link" TargetMode="External"/><Relationship Id="rId610" Type="http://schemas.openxmlformats.org/officeDocument/2006/relationships/hyperlink" Target="https://drive.google.com/file/d/1yn_UZpysFRaFx7VKIlBcbHdrMSGPo9mM/view?usp=drive_link" TargetMode="External"/><Relationship Id="rId617" Type="http://schemas.openxmlformats.org/officeDocument/2006/relationships/hyperlink" Target="https://drive.google.com/file/d/1b31ZSimhtppkqt1MC_FhP06Uj3JCCVU_/view?usp=drive_link" TargetMode="External"/><Relationship Id="rId616" Type="http://schemas.openxmlformats.org/officeDocument/2006/relationships/hyperlink" Target="https://drive.google.com/file/d/1vFZEm7WTvjKVI3jIA1d9LJ4cGSnYGF_l/view?usp=drive_link" TargetMode="External"/><Relationship Id="rId615" Type="http://schemas.openxmlformats.org/officeDocument/2006/relationships/hyperlink" Target="https://drive.google.com/file/d/1Jg9DAC2wnDUiCd0HNiSVnkkSGJV5nw3l/view?usp=drive_link" TargetMode="External"/><Relationship Id="rId614" Type="http://schemas.openxmlformats.org/officeDocument/2006/relationships/hyperlink" Target="https://drive.google.com/file/d/19FTXiddQA1FGryJjcywrN8-8okxW5Z9O/view?usp=drive_link" TargetMode="External"/><Relationship Id="rId1440" Type="http://schemas.openxmlformats.org/officeDocument/2006/relationships/hyperlink" Target="https://drive.google.com/file/d/16V8F33QMD8FVIDxKYi1zyfFWDs3fM7QC/view?usp=drive_link" TargetMode="External"/><Relationship Id="rId1441" Type="http://schemas.openxmlformats.org/officeDocument/2006/relationships/hyperlink" Target="https://drive.google.com/file/d/1dTCngOyu2a5h9_FauL0kevtHX0w30ai5/view?usp=drive_link" TargetMode="External"/><Relationship Id="rId1442" Type="http://schemas.openxmlformats.org/officeDocument/2006/relationships/hyperlink" Target="https://drive.google.com/file/d/1xb2vdnL8k6Nll4opkFzygSY65AzHBxS6/view?usp=drive_link" TargetMode="External"/><Relationship Id="rId1443" Type="http://schemas.openxmlformats.org/officeDocument/2006/relationships/hyperlink" Target="https://drive.google.com/file/d/1mqfkejS1SrXjNPhN7Rn9zBJacosAqxRr/view?usp=drive_link" TargetMode="External"/><Relationship Id="rId1477" Type="http://schemas.openxmlformats.org/officeDocument/2006/relationships/hyperlink" Target="https://drive.google.com/file/d/1_Kb1OjKbkc1GGCVEkNpdWjbywqnHE3rm/view?usp=drive_link" TargetMode="External"/><Relationship Id="rId1478" Type="http://schemas.openxmlformats.org/officeDocument/2006/relationships/hyperlink" Target="https://drive.google.com/file/d/1EAxG_RwuSQ4NtuAE27mQ16Jcq2Bqgnkm/view?usp=drive_link" TargetMode="External"/><Relationship Id="rId1479" Type="http://schemas.openxmlformats.org/officeDocument/2006/relationships/hyperlink" Target="https://drive.google.com/file/d/1adY3Lmqs40vNawogcPCbvRn89cvERXJS/view?usp=drive_link" TargetMode="External"/><Relationship Id="rId646" Type="http://schemas.openxmlformats.org/officeDocument/2006/relationships/hyperlink" Target="https://drive.google.com/file/d/1I9csMm2iaeQ440iDpGcD3sX5UqKh-KKG/view?usp=drive_link" TargetMode="External"/><Relationship Id="rId645" Type="http://schemas.openxmlformats.org/officeDocument/2006/relationships/hyperlink" Target="https://drive.google.com/file/d/1-p5jts8fGNHStixfHtc4ehWo1R2SKdNf/view?usp=drive_link" TargetMode="External"/><Relationship Id="rId644" Type="http://schemas.openxmlformats.org/officeDocument/2006/relationships/hyperlink" Target="https://drive.google.com/file/d/15qfbd3nOrEHXXZr44m5z9E-sJziIPtU8/view?usp=drive_link" TargetMode="External"/><Relationship Id="rId643" Type="http://schemas.openxmlformats.org/officeDocument/2006/relationships/hyperlink" Target="https://drive.google.com/file/d/1kOhDuYUdBMr3j8FaDmxv8d_eFXMZYt4A/view?usp=drive_link" TargetMode="External"/><Relationship Id="rId649" Type="http://schemas.openxmlformats.org/officeDocument/2006/relationships/hyperlink" Target="https://drive.google.com/file/d/18_3EWVURW0OSq3iZt_N6c4DPz8rsfalI/view?usp=drive_link" TargetMode="External"/><Relationship Id="rId648" Type="http://schemas.openxmlformats.org/officeDocument/2006/relationships/hyperlink" Target="https://drive.google.com/file/d/1c2BhB04hnm22lwkLyzwCbxeo5XrVoDmC/view?usp=drive_link" TargetMode="External"/><Relationship Id="rId647" Type="http://schemas.openxmlformats.org/officeDocument/2006/relationships/hyperlink" Target="https://drive.google.com/file/d/18aLkX5SW9YYgPhy4fbCU0OcJlXCZDUEl/view?usp=drive_link" TargetMode="External"/><Relationship Id="rId1470" Type="http://schemas.openxmlformats.org/officeDocument/2006/relationships/hyperlink" Target="https://drive.google.com/file/d/1NWJgtOoQqCQMqrwrXrWE4S0FrTo3K_3p/view?usp=drive_link" TargetMode="External"/><Relationship Id="rId1471" Type="http://schemas.openxmlformats.org/officeDocument/2006/relationships/hyperlink" Target="https://drive.google.com/file/d/1hHS-GWg_07PVTK8Mj74Rt-6vNCN6IaOs/view?usp=drive_link" TargetMode="External"/><Relationship Id="rId1472" Type="http://schemas.openxmlformats.org/officeDocument/2006/relationships/hyperlink" Target="https://drive.google.com/file/d/1prioWPn_rxts8GcT2LULCxnS2cnFWT3v/view?usp=drive_link" TargetMode="External"/><Relationship Id="rId642" Type="http://schemas.openxmlformats.org/officeDocument/2006/relationships/hyperlink" Target="https://drive.google.com/file/d/1FkjusAX4YGZ_1bxrDDuHZbA3o5a_eFdq/view?usp=drive_link" TargetMode="External"/><Relationship Id="rId1473" Type="http://schemas.openxmlformats.org/officeDocument/2006/relationships/hyperlink" Target="https://drive.google.com/file/d/1BbwoZpLitMnvfb8GbkZ-oUjke92zva7t/view?usp=drive_link" TargetMode="External"/><Relationship Id="rId641" Type="http://schemas.openxmlformats.org/officeDocument/2006/relationships/hyperlink" Target="https://drive.google.com/file/d/1ZnmQDkKtQDnqTXKBT7cyz-RgUbFkO893/view?usp=drive_link" TargetMode="External"/><Relationship Id="rId1474" Type="http://schemas.openxmlformats.org/officeDocument/2006/relationships/hyperlink" Target="https://drive.google.com/file/d/1g2auDtvJVyaqygFo0w7-FHLmBplGNTZv/view?usp=drive_link" TargetMode="External"/><Relationship Id="rId640" Type="http://schemas.openxmlformats.org/officeDocument/2006/relationships/hyperlink" Target="https://drive.google.com/file/d/1q1vKq4decevbA8i-odhFAPlw-HfKMrvY/view?usp=drive_link" TargetMode="External"/><Relationship Id="rId1475" Type="http://schemas.openxmlformats.org/officeDocument/2006/relationships/hyperlink" Target="https://drive.google.com/file/d/1SLBgBL1xMNZyWCNJo43sIgHMh4m8f9IW/view?usp=drive_link" TargetMode="External"/><Relationship Id="rId1476" Type="http://schemas.openxmlformats.org/officeDocument/2006/relationships/hyperlink" Target="https://drive.google.com/file/d/1bfWm9apPqD_CwDn5RCxci2l7rmZWp1Uv/view?usp=drive_link" TargetMode="External"/><Relationship Id="rId1466" Type="http://schemas.openxmlformats.org/officeDocument/2006/relationships/hyperlink" Target="https://drive.google.com/file/d/1SflXOUDKeh_dpkyLDcxJaONMLDxleuxi/view?usp=drive_link" TargetMode="External"/><Relationship Id="rId1467" Type="http://schemas.openxmlformats.org/officeDocument/2006/relationships/hyperlink" Target="https://drive.google.com/file/d/1Ds_TsBo8u8zSNQStMYUUzdnb1-LEWIz5/view?usp=drive_link" TargetMode="External"/><Relationship Id="rId1468" Type="http://schemas.openxmlformats.org/officeDocument/2006/relationships/hyperlink" Target="https://drive.google.com/file/d/1d5KEB6OYtPxAqKJ1pkKPH343M5ZBM090/view?usp=drive_link" TargetMode="External"/><Relationship Id="rId1469" Type="http://schemas.openxmlformats.org/officeDocument/2006/relationships/hyperlink" Target="https://drive.google.com/file/d/1P8DuUtNib-Dv0XW9xEznYtnXYbRVEoMf/view?usp=drive_link" TargetMode="External"/><Relationship Id="rId635" Type="http://schemas.openxmlformats.org/officeDocument/2006/relationships/hyperlink" Target="https://drive.google.com/file/d/1QvDIQyM48dKaJD6-KE4t7cKByraQtiYJ/view?usp=drive_link" TargetMode="External"/><Relationship Id="rId634" Type="http://schemas.openxmlformats.org/officeDocument/2006/relationships/hyperlink" Target="https://drive.google.com/file/d/16THO66sYEI3qZzPwiMTZVsJ2ZqHbZJ2g/view?usp=drive_link" TargetMode="External"/><Relationship Id="rId633" Type="http://schemas.openxmlformats.org/officeDocument/2006/relationships/hyperlink" Target="https://drive.google.com/file/d/1F4_ZqSAik-SprK_KDoQo-_iNcr0V5mmU/view?usp=drive_link" TargetMode="External"/><Relationship Id="rId632" Type="http://schemas.openxmlformats.org/officeDocument/2006/relationships/hyperlink" Target="https://drive.google.com/file/d/1m3Oofuyl_dhFasWRiIWx8FJGq_7sOFVF/view?usp=drive_link" TargetMode="External"/><Relationship Id="rId639" Type="http://schemas.openxmlformats.org/officeDocument/2006/relationships/hyperlink" Target="https://drive.google.com/file/d/1cdIi7nho9YsHpN4hN-IMSMHuFEj27bsu/view?usp=drive_link" TargetMode="External"/><Relationship Id="rId638" Type="http://schemas.openxmlformats.org/officeDocument/2006/relationships/hyperlink" Target="https://drive.google.com/file/d/1OofJo-ieIBKaoUFRPn971aqEaJQrZ3yU/view?usp=drive_link" TargetMode="External"/><Relationship Id="rId637" Type="http://schemas.openxmlformats.org/officeDocument/2006/relationships/hyperlink" Target="https://drive.google.com/file/d/1aofRcCayJtpZVpzPPZqKFgBSfZ-oOTsQ/view?usp=drive_link" TargetMode="External"/><Relationship Id="rId636" Type="http://schemas.openxmlformats.org/officeDocument/2006/relationships/hyperlink" Target="https://drive.google.com/file/d/13eMmepFOwq-YDEZMrjv6QN6LlHz9Hfwq/view?usp=drive_link" TargetMode="External"/><Relationship Id="rId1460" Type="http://schemas.openxmlformats.org/officeDocument/2006/relationships/hyperlink" Target="https://drive.google.com/file/d/1a_NlJSpiHf05Kkafl_V9T8mGkH1mRFBF/view?usp=drive_link" TargetMode="External"/><Relationship Id="rId1461" Type="http://schemas.openxmlformats.org/officeDocument/2006/relationships/hyperlink" Target="https://drive.google.com/file/d/1WOhIuIGaDge1CxbWFYE1kB_TC8Fcsgt_/view?usp=drive_link" TargetMode="External"/><Relationship Id="rId631" Type="http://schemas.openxmlformats.org/officeDocument/2006/relationships/hyperlink" Target="https://drive.google.com/file/d/1RPGhF1BELTbx_uNwNpJBeMa7Ja7MZzHS/view?usp=drive_link" TargetMode="External"/><Relationship Id="rId1462" Type="http://schemas.openxmlformats.org/officeDocument/2006/relationships/hyperlink" Target="https://drive.google.com/file/d/1lLHsjTMoyNbbYbCNcpQYQpHHZ-dbUPtK/view?usp=drive_link" TargetMode="External"/><Relationship Id="rId630" Type="http://schemas.openxmlformats.org/officeDocument/2006/relationships/hyperlink" Target="https://drive.google.com/file/d/1Di4gB5WuT3uWFhxuIfaaKG1mZRSXX-E-/view?usp=drive_link" TargetMode="External"/><Relationship Id="rId1463" Type="http://schemas.openxmlformats.org/officeDocument/2006/relationships/hyperlink" Target="https://drive.google.com/file/d/1WnrQYMH-TCLl3ObescyGkzXmdf8uACNK/view?usp=drive_link" TargetMode="External"/><Relationship Id="rId1464" Type="http://schemas.openxmlformats.org/officeDocument/2006/relationships/hyperlink" Target="https://drive.google.com/file/d/1VZ9m8Cy4Vh7rQ304C_cf0kF-v9p0Msjz/view?usp=drive_link" TargetMode="External"/><Relationship Id="rId1465" Type="http://schemas.openxmlformats.org/officeDocument/2006/relationships/hyperlink" Target="https://drive.google.com/file/d/1RAtVzDK_kNZe0IqLP4tqTiaQn1y77LKu/view?usp=drive_link" TargetMode="External"/><Relationship Id="rId1411" Type="http://schemas.openxmlformats.org/officeDocument/2006/relationships/hyperlink" Target="https://drive.google.com/file/d/13S9ur1u70lEW-TFq_VASLU5EIWHPk75i/view?usp=drive_link" TargetMode="External"/><Relationship Id="rId1412" Type="http://schemas.openxmlformats.org/officeDocument/2006/relationships/hyperlink" Target="https://drive.google.com/file/d/1m1Kwv2syjGsCEFSiD3QRVvf_M8EGvy3m/view?usp=drive_link" TargetMode="External"/><Relationship Id="rId1413" Type="http://schemas.openxmlformats.org/officeDocument/2006/relationships/hyperlink" Target="https://drive.google.com/file/d/1f0otfWrqAMPW0K4Yl_9Y06jtxgKV81cK/view?usp=drive_link" TargetMode="External"/><Relationship Id="rId1414" Type="http://schemas.openxmlformats.org/officeDocument/2006/relationships/hyperlink" Target="https://drive.google.com/file/d/13FziRiLqLO2frIqZ5vXn2oH4mzuntAqc/view?usp=drive_link" TargetMode="External"/><Relationship Id="rId1415" Type="http://schemas.openxmlformats.org/officeDocument/2006/relationships/hyperlink" Target="https://drive.google.com/file/d/1AtOZgQHJ2RzaopEeafJlpGXOV6Zj8Qcz/view?usp=drive_link" TargetMode="External"/><Relationship Id="rId1416" Type="http://schemas.openxmlformats.org/officeDocument/2006/relationships/hyperlink" Target="https://drive.google.com/file/d/1Noh5SM1moRlpgEQcMDOaT48FHJts410V/view?usp=drive_link" TargetMode="External"/><Relationship Id="rId1417" Type="http://schemas.openxmlformats.org/officeDocument/2006/relationships/hyperlink" Target="https://drive.google.com/file/d/1aDi4Nmsl4Ra3Wj1bwuqLGzwtSU_py5T7/view?usp=drive_link" TargetMode="External"/><Relationship Id="rId1418" Type="http://schemas.openxmlformats.org/officeDocument/2006/relationships/hyperlink" Target="https://drive.google.com/file/d/1y162WkM_Y6ajQqlQFkGxx9KZE7dsI-cT/view?usp=drive_link" TargetMode="External"/><Relationship Id="rId1419" Type="http://schemas.openxmlformats.org/officeDocument/2006/relationships/hyperlink" Target="https://drive.google.com/file/d/1cyd_Bx3Z4bJKyxJen2x3cp6B4mll9D91/view?usp=drive_link" TargetMode="External"/><Relationship Id="rId1410" Type="http://schemas.openxmlformats.org/officeDocument/2006/relationships/hyperlink" Target="https://drive.google.com/file/d/1imdlsLsNqrwN09v2aeDEwGkYrxiIT_Qc/view?usp=drive_link" TargetMode="External"/><Relationship Id="rId1400" Type="http://schemas.openxmlformats.org/officeDocument/2006/relationships/hyperlink" Target="https://drive.google.com/file/d/1eh6eY-1pbJrPk0x9Nw6BTpfdXUxA3sCd/view?usp=drive_link" TargetMode="External"/><Relationship Id="rId1401" Type="http://schemas.openxmlformats.org/officeDocument/2006/relationships/hyperlink" Target="https://drive.google.com/file/d/1nJPuU3Iemn33v9Cy9LDh48hMG9PmyoAf/view?usp=drive_link" TargetMode="External"/><Relationship Id="rId1402" Type="http://schemas.openxmlformats.org/officeDocument/2006/relationships/hyperlink" Target="https://drive.google.com/file/d/1jUnVLQIOKwdzX8yXriYaLZ15fExpIYY1/view?usp=drive_link" TargetMode="External"/><Relationship Id="rId1403" Type="http://schemas.openxmlformats.org/officeDocument/2006/relationships/hyperlink" Target="https://drive.google.com/file/d/1feURBcGdggmIjFS6CJPC6fzc6x7GXkdq/view?usp=drive_link" TargetMode="External"/><Relationship Id="rId1404" Type="http://schemas.openxmlformats.org/officeDocument/2006/relationships/hyperlink" Target="https://drive.google.com/file/d/1MAFE_qumMUONPVvf7v8cibIGM6K56R4c/view?usp=drive_link" TargetMode="External"/><Relationship Id="rId1405" Type="http://schemas.openxmlformats.org/officeDocument/2006/relationships/hyperlink" Target="https://drive.google.com/file/d/1uICuDY3DBpYkRC7d6OAa4oPFBt9e5gib/view?usp=drive_link" TargetMode="External"/><Relationship Id="rId1406" Type="http://schemas.openxmlformats.org/officeDocument/2006/relationships/hyperlink" Target="https://drive.google.com/file/d/1gyhBEjTrjMFSElfHWkWYehHBPacykx4d/view?usp=drive_link" TargetMode="External"/><Relationship Id="rId1407" Type="http://schemas.openxmlformats.org/officeDocument/2006/relationships/hyperlink" Target="https://drive.google.com/file/d/15-MJid6kbD0Lqi1IX4KGo3IEVex6MN0r/view?usp=drive_link" TargetMode="External"/><Relationship Id="rId1408" Type="http://schemas.openxmlformats.org/officeDocument/2006/relationships/hyperlink" Target="https://drive.google.com/file/d/1Xf3mqFj8ohRR7hoRvBMXvJORQ9J7ScV1/view?usp=drive_link" TargetMode="External"/><Relationship Id="rId1409" Type="http://schemas.openxmlformats.org/officeDocument/2006/relationships/hyperlink" Target="https://drive.google.com/file/d/1M3eYeSkuvSSmv8ggAYAs6xpkDCHxZNCj/view?usp=drive_link" TargetMode="External"/><Relationship Id="rId1433" Type="http://schemas.openxmlformats.org/officeDocument/2006/relationships/hyperlink" Target="https://drive.google.com/file/d/1-d3hk6shEJEsPKiWska67CNItOQT3yty/view?usp=drive_link" TargetMode="External"/><Relationship Id="rId1434" Type="http://schemas.openxmlformats.org/officeDocument/2006/relationships/hyperlink" Target="https://drive.google.com/file/d/1FtBcCl1FdThhHaf7mJ_Wj-3rUR2h7dBl/view?usp=drive_link" TargetMode="External"/><Relationship Id="rId1435" Type="http://schemas.openxmlformats.org/officeDocument/2006/relationships/hyperlink" Target="https://drive.google.com/file/d/1Srj466rTTtvJadD8GCHSmJ2EXgFU_Xwa/view?usp=drive_link" TargetMode="External"/><Relationship Id="rId1436" Type="http://schemas.openxmlformats.org/officeDocument/2006/relationships/hyperlink" Target="https://drive.google.com/file/d/1JUBP92XEWatwcADGO3m8LFB_6vjDskUo/view?usp=drive_link" TargetMode="External"/><Relationship Id="rId1437" Type="http://schemas.openxmlformats.org/officeDocument/2006/relationships/hyperlink" Target="https://drive.google.com/file/d/1cHJSdwb0LG3nk03jOW91ilERZN2ur5Au/view?usp=drive_link" TargetMode="External"/><Relationship Id="rId1438" Type="http://schemas.openxmlformats.org/officeDocument/2006/relationships/hyperlink" Target="https://drive.google.com/file/d/1T7oywwK4w4SScI03je3w5xV8JZbPbHvl/view?usp=drive_link" TargetMode="External"/><Relationship Id="rId1439" Type="http://schemas.openxmlformats.org/officeDocument/2006/relationships/hyperlink" Target="https://drive.google.com/file/d/1s49ml3ZZ8aIemOcTA92n_SDfoMgljc9A/view?usp=drive_link" TargetMode="External"/><Relationship Id="rId609" Type="http://schemas.openxmlformats.org/officeDocument/2006/relationships/hyperlink" Target="https://drive.google.com/file/d/1QT69uiWN-HG3LyeoWlHh7xwLMWpFbKli/view?usp=drive_link" TargetMode="External"/><Relationship Id="rId608" Type="http://schemas.openxmlformats.org/officeDocument/2006/relationships/hyperlink" Target="https://drive.google.com/file/d/1J9sW4UX3xpmUHIuu3sEjHLnoXOSfCY0_/view?usp=drive_link" TargetMode="External"/><Relationship Id="rId607" Type="http://schemas.openxmlformats.org/officeDocument/2006/relationships/hyperlink" Target="https://drive.google.com/file/d/1o4txOFdsha0GtSSP3WzmRXR7Ydz6C3Wv/view?usp=drive_link" TargetMode="External"/><Relationship Id="rId602" Type="http://schemas.openxmlformats.org/officeDocument/2006/relationships/hyperlink" Target="https://drive.google.com/file/d/10MHGJZxphDSBW2k3JdXkzbf9tVtWb1XN/view?usp=drive_link" TargetMode="External"/><Relationship Id="rId601" Type="http://schemas.openxmlformats.org/officeDocument/2006/relationships/hyperlink" Target="https://drive.google.com/file/d/1d_P4Pyycu4eff7xd_xmUcPnjtmwDvV07/view?usp=drive_link" TargetMode="External"/><Relationship Id="rId600" Type="http://schemas.openxmlformats.org/officeDocument/2006/relationships/hyperlink" Target="https://drive.google.com/file/d/1H33KbuIjWCnxKDs1jmKAAJjyYIbG9xli/view?usp=drive_link" TargetMode="External"/><Relationship Id="rId606" Type="http://schemas.openxmlformats.org/officeDocument/2006/relationships/hyperlink" Target="https://drive.google.com/file/d/13nB0V-771dHJAq9HkwLPD3W2a-o21nsn/view?usp=drive_link" TargetMode="External"/><Relationship Id="rId605" Type="http://schemas.openxmlformats.org/officeDocument/2006/relationships/hyperlink" Target="https://drive.google.com/file/d/1VCSDgdIoeNuZ7Li4lPxgrpNQctzqdjdb/view?usp=drive_link" TargetMode="External"/><Relationship Id="rId604" Type="http://schemas.openxmlformats.org/officeDocument/2006/relationships/hyperlink" Target="https://drive.google.com/file/d/15yc2w3qCjkF1FNU8LEpD8nQXSQvIb2dH/view?usp=drive_link" TargetMode="External"/><Relationship Id="rId603" Type="http://schemas.openxmlformats.org/officeDocument/2006/relationships/hyperlink" Target="https://drive.google.com/file/d/10wEkAbl8DNM43_ybREMCjJ-6xSPrcSPS/view?usp=drive_link" TargetMode="External"/><Relationship Id="rId1430" Type="http://schemas.openxmlformats.org/officeDocument/2006/relationships/hyperlink" Target="https://drive.google.com/file/d/1cs_BSZpsy1x8XKPp6WHIrUyHvYM3MkVs/view?usp=drive_link" TargetMode="External"/><Relationship Id="rId1431" Type="http://schemas.openxmlformats.org/officeDocument/2006/relationships/hyperlink" Target="https://drive.google.com/file/d/1jVU0OIuP2MPmqN44rDqlet9NsftBsqVD/view?usp=drive_link" TargetMode="External"/><Relationship Id="rId1432" Type="http://schemas.openxmlformats.org/officeDocument/2006/relationships/hyperlink" Target="https://drive.google.com/file/d/1qHkougN6Yy6G6oOE8K-crnY5lIDdij4z/view?usp=drive_link" TargetMode="External"/><Relationship Id="rId1422" Type="http://schemas.openxmlformats.org/officeDocument/2006/relationships/hyperlink" Target="https://drive.google.com/file/d/1cASuS8JwYHT4lKAqXoloyl0Q0aEOTCm7/view?usp=drive_link" TargetMode="External"/><Relationship Id="rId1423" Type="http://schemas.openxmlformats.org/officeDocument/2006/relationships/hyperlink" Target="https://drive.google.com/file/d/1dXHFhe0D3dvSC422H9Of-5V7r8pIjuwq/view?usp=drive_link" TargetMode="External"/><Relationship Id="rId1424" Type="http://schemas.openxmlformats.org/officeDocument/2006/relationships/hyperlink" Target="https://drive.google.com/file/d/1NB60giGaSKrqdUJSX7AkfuQEpGZ9Ba-7/view?usp=drive_link" TargetMode="External"/><Relationship Id="rId1425" Type="http://schemas.openxmlformats.org/officeDocument/2006/relationships/hyperlink" Target="https://drive.google.com/file/d/1cKH9qM1SZjeaiWbTMHf7_stQttD9-QYO/view?usp=drive_link" TargetMode="External"/><Relationship Id="rId1426" Type="http://schemas.openxmlformats.org/officeDocument/2006/relationships/hyperlink" Target="https://drive.google.com/file/d/1SpP1_ltdsXQxJr6jSOkv_1HUUyKGBEFl/view?usp=drive_link" TargetMode="External"/><Relationship Id="rId1427" Type="http://schemas.openxmlformats.org/officeDocument/2006/relationships/hyperlink" Target="https://drive.google.com/file/d/1VMla8EUtoPlftah2D8-25lHVmmD2lg3s/view?usp=drive_link" TargetMode="External"/><Relationship Id="rId1428" Type="http://schemas.openxmlformats.org/officeDocument/2006/relationships/hyperlink" Target="https://drive.google.com/file/d/15EfEoGyZ4EqR8fvvDC_RVIR6RrdTY6C2/view?usp=drive_link" TargetMode="External"/><Relationship Id="rId1429" Type="http://schemas.openxmlformats.org/officeDocument/2006/relationships/hyperlink" Target="https://drive.google.com/file/d/1aBLZmGSc-sYG-NYgjKoi42mntZcA3L3X/view?usp=drive_link" TargetMode="External"/><Relationship Id="rId1420" Type="http://schemas.openxmlformats.org/officeDocument/2006/relationships/hyperlink" Target="https://drive.google.com/file/d/1l1qjVF_zlNMij1MtOmdOJIF_WaZxYWPI/view?usp=drive_link" TargetMode="External"/><Relationship Id="rId1421" Type="http://schemas.openxmlformats.org/officeDocument/2006/relationships/hyperlink" Target="https://drive.google.com/file/d/1xyrFStCCi40Rgm00iaNtWLcLfVVgUxQv/view?usp=drive_link" TargetMode="External"/><Relationship Id="rId1059" Type="http://schemas.openxmlformats.org/officeDocument/2006/relationships/hyperlink" Target="https://drive.google.com/file/d/1XSUPSq9voymrcpwHKp_sg9xIOJYLSmGm/view?usp=drive_link" TargetMode="External"/><Relationship Id="rId228" Type="http://schemas.openxmlformats.org/officeDocument/2006/relationships/hyperlink" Target="https://drive.google.com/file/d/1bFcymC9yv679IrUVzeIrKY4igrsAnGRG/view?usp=sharing" TargetMode="External"/><Relationship Id="rId227" Type="http://schemas.openxmlformats.org/officeDocument/2006/relationships/hyperlink" Target="https://drive.google.com/file/d/1Ox-OhF2q_AvxsF1IGr3C_t2TlWCs64kx/view?usp=sharing" TargetMode="External"/><Relationship Id="rId226" Type="http://schemas.openxmlformats.org/officeDocument/2006/relationships/hyperlink" Target="https://drive.google.com/file/d/1MQ25xPu5oAS3VlTybcJquMGOZW1zlp82/view?usp=sharing" TargetMode="External"/><Relationship Id="rId225" Type="http://schemas.openxmlformats.org/officeDocument/2006/relationships/hyperlink" Target="https://drive.google.com/file/d/187KZ0bRQ3Xd0mu5vueFCRZix1em4VzAf/view?usp=sharing" TargetMode="External"/><Relationship Id="rId229" Type="http://schemas.openxmlformats.org/officeDocument/2006/relationships/hyperlink" Target="https://drive.google.com/file/d/1fKYffwAJC1SLOyt4R4pXYp0X73zRGxRQ/view?usp=sharing" TargetMode="External"/><Relationship Id="rId1050" Type="http://schemas.openxmlformats.org/officeDocument/2006/relationships/hyperlink" Target="https://drive.google.com/file/d/1U0o24OT46NdGim7jrBPt2EXugk9c3tCw/view?usp=drive_link" TargetMode="External"/><Relationship Id="rId220" Type="http://schemas.openxmlformats.org/officeDocument/2006/relationships/hyperlink" Target="https://drive.google.com/file/d/1-TgO-QtzxHF4o1fWGiMoKoPd6JV-2Bsu/view?usp=sharing" TargetMode="External"/><Relationship Id="rId1051" Type="http://schemas.openxmlformats.org/officeDocument/2006/relationships/hyperlink" Target="https://drive.google.com/file/d/1P2iIkqG0thyW05nHMcD6UJEARfFE12zR/view?usp=drive_link" TargetMode="External"/><Relationship Id="rId1052" Type="http://schemas.openxmlformats.org/officeDocument/2006/relationships/hyperlink" Target="https://drive.google.com/file/d/1Jk9W0FX8jlEOZRLZsWD77OAoZXKMHIAW/view?usp=drive_link" TargetMode="External"/><Relationship Id="rId1053" Type="http://schemas.openxmlformats.org/officeDocument/2006/relationships/hyperlink" Target="https://drive.google.com/file/d/1QSbCQ1lUN4DbozqoY-XoV1w9zWf4WjDt/view?usp=drive_link" TargetMode="External"/><Relationship Id="rId1054" Type="http://schemas.openxmlformats.org/officeDocument/2006/relationships/hyperlink" Target="https://drive.google.com/file/d/1j3uD9MhcNZFz3leV3JjdMg_tulWckGZY/view?usp=drive_link" TargetMode="External"/><Relationship Id="rId224" Type="http://schemas.openxmlformats.org/officeDocument/2006/relationships/hyperlink" Target="https://drive.google.com/file/d/1HEzGgEfknmAYm-X4TQoZMAWnwhFxLHXJ/view?usp=sharing" TargetMode="External"/><Relationship Id="rId1055" Type="http://schemas.openxmlformats.org/officeDocument/2006/relationships/hyperlink" Target="https://drive.google.com/file/d/1l25Ldkz3YbDOpK3i5uBGVjTQyUSqoDyF/view?usp=sharing" TargetMode="External"/><Relationship Id="rId223" Type="http://schemas.openxmlformats.org/officeDocument/2006/relationships/hyperlink" Target="https://drive.google.com/file/d/1DixG9_Fl4bqCVL2fl2xsLtTx1JPvVT2_/view?usp=sharing" TargetMode="External"/><Relationship Id="rId1056" Type="http://schemas.openxmlformats.org/officeDocument/2006/relationships/hyperlink" Target="https://drive.google.com/file/d/1YN6181jkdcqVZaOffb0R8_g1GZhzQ4dx/view?usp=drive_link" TargetMode="External"/><Relationship Id="rId222" Type="http://schemas.openxmlformats.org/officeDocument/2006/relationships/hyperlink" Target="https://drive.google.com/file/d/1HfdMfJUKfKAqF48E1F0LcYlEThhntDvS/view?usp=sharing" TargetMode="External"/><Relationship Id="rId1057" Type="http://schemas.openxmlformats.org/officeDocument/2006/relationships/hyperlink" Target="https://drive.google.com/file/d/1NPe4Y4LjuGgzAUlY-fckqYqFaZSxhqP0/view?usp=drive_link" TargetMode="External"/><Relationship Id="rId221" Type="http://schemas.openxmlformats.org/officeDocument/2006/relationships/hyperlink" Target="https://drive.google.com/file/d/1XefzV9OtPi3t9PfTX97D4PpiUE7qSpfQ/view?usp=sharing" TargetMode="External"/><Relationship Id="rId1058" Type="http://schemas.openxmlformats.org/officeDocument/2006/relationships/hyperlink" Target="https://drive.google.com/file/d/11pouyj-K2zSNxO4b6Ezf1moKMA_jP4LH/view?usp=drive_link" TargetMode="External"/><Relationship Id="rId1048" Type="http://schemas.openxmlformats.org/officeDocument/2006/relationships/hyperlink" Target="https://drive.google.com/file/d/15zhjo0DwZGzB6xqZnqCLr3Hyic0nLRt_/view?usp=sharing" TargetMode="External"/><Relationship Id="rId1049" Type="http://schemas.openxmlformats.org/officeDocument/2006/relationships/hyperlink" Target="https://drive.google.com/file/d/1ioe4tB4TDPd8adfJyjgtCuU4y4kYbOSU/view?usp=drive_link" TargetMode="External"/><Relationship Id="rId217" Type="http://schemas.openxmlformats.org/officeDocument/2006/relationships/hyperlink" Target="https://drive.google.com/file/d/1FADA9Sde25bQMAaQxf7-9Wlv_IGKP9O8/view?usp=drive_link" TargetMode="External"/><Relationship Id="rId216" Type="http://schemas.openxmlformats.org/officeDocument/2006/relationships/hyperlink" Target="https://drive.google.com/file/d/1cX0KJ9Jf0zbaCx5cvvGpVzPFXQFpvOu6/view?usp=sharing" TargetMode="External"/><Relationship Id="rId215" Type="http://schemas.openxmlformats.org/officeDocument/2006/relationships/hyperlink" Target="https://drive.google.com/file/d/1BvHCSN-ELyvRhpEbcBGcSRxJgesni3mH/view?usp=sharing" TargetMode="External"/><Relationship Id="rId699" Type="http://schemas.openxmlformats.org/officeDocument/2006/relationships/hyperlink" Target="https://drive.google.com/file/d/1ICiPx3R-XmvYgtp5n9nTnZ3DGr-x0WHs/view?usp=drive_link" TargetMode="External"/><Relationship Id="rId214" Type="http://schemas.openxmlformats.org/officeDocument/2006/relationships/hyperlink" Target="https://drive.google.com/file/d/1x9BCzUatb4FUoC9-S1GELoEiBUAXnTtu/view?usp=sharing" TargetMode="External"/><Relationship Id="rId698" Type="http://schemas.openxmlformats.org/officeDocument/2006/relationships/hyperlink" Target="https://drive.google.com/file/d/1W0aJphiFvZQj3XVgy8G0yCfEqiZ7fAdH/view?usp=drive_link" TargetMode="External"/><Relationship Id="rId219" Type="http://schemas.openxmlformats.org/officeDocument/2006/relationships/hyperlink" Target="https://drive.google.com/file/d/1IvhTmEDJtNaJ0tgAXDVUFnMdGW2S_Eap/view?usp=sharing" TargetMode="External"/><Relationship Id="rId218" Type="http://schemas.openxmlformats.org/officeDocument/2006/relationships/hyperlink" Target="https://drive.google.com/file/d/1QOIBzghbWmKFNeBti25zzqsOrb8beUeB/view?usp=sharing" TargetMode="External"/><Relationship Id="rId693" Type="http://schemas.openxmlformats.org/officeDocument/2006/relationships/hyperlink" Target="https://drive.google.com/file/d/1QVFkRYEMCQU2fjc6T51bjg-pZrEjybRX/view?usp=drive_link" TargetMode="External"/><Relationship Id="rId1040" Type="http://schemas.openxmlformats.org/officeDocument/2006/relationships/hyperlink" Target="https://drive.google.com/file/d/1XspB5z6coy7FOVc9Yj83nKj69KjQzLHA/view?usp=sharing" TargetMode="External"/><Relationship Id="rId692" Type="http://schemas.openxmlformats.org/officeDocument/2006/relationships/hyperlink" Target="https://drive.google.com/file/d/1GvmdZAm31neVSUiF3kjWcaeKG2jiNugU/view?usp=drive_link" TargetMode="External"/><Relationship Id="rId1041" Type="http://schemas.openxmlformats.org/officeDocument/2006/relationships/hyperlink" Target="https://drive.google.com/file/d/13X94o0S6KuvOkcObseYq3bP2yNw7FTWl/view?usp=sharing" TargetMode="External"/><Relationship Id="rId691" Type="http://schemas.openxmlformats.org/officeDocument/2006/relationships/hyperlink" Target="https://drive.google.com/file/d/12Cj5QUSGOpaWI1AXYYpl77V_9aTa8wwQ/view?usp=drive_link" TargetMode="External"/><Relationship Id="rId1042" Type="http://schemas.openxmlformats.org/officeDocument/2006/relationships/hyperlink" Target="https://drive.google.com/file/d/1fERDPFxHBdFnfZ8lJQuIU9i8ZLTXYCUA/view?usp=sharing" TargetMode="External"/><Relationship Id="rId690" Type="http://schemas.openxmlformats.org/officeDocument/2006/relationships/hyperlink" Target="https://drive.google.com/file/d/18g5Ot-9-UyDKQkpfBQrdbrqRyFVR-bWV/view?usp=drive_link" TargetMode="External"/><Relationship Id="rId1043" Type="http://schemas.openxmlformats.org/officeDocument/2006/relationships/hyperlink" Target="https://drive.google.com/file/d/1y54DEfrXlbCOOrldnI52na4SYlkgbdHY/view?usp=sharing" TargetMode="External"/><Relationship Id="rId213" Type="http://schemas.openxmlformats.org/officeDocument/2006/relationships/hyperlink" Target="https://drive.google.com/file/d/1rEkbHd6vG5VlQhKK4aVeCUSKVs4-3iFF/view?usp=sharing" TargetMode="External"/><Relationship Id="rId697" Type="http://schemas.openxmlformats.org/officeDocument/2006/relationships/hyperlink" Target="https://drive.google.com/file/d/1XlCA95dC2ymf6Xi4QkfC8erdwJFbVf_h/view?usp=drive_link" TargetMode="External"/><Relationship Id="rId1044" Type="http://schemas.openxmlformats.org/officeDocument/2006/relationships/hyperlink" Target="https://drive.google.com/file/d/1C1-dEDH3GJhjGxTeyxRKSXqLqBFb_ckR/view?usp=sharing" TargetMode="External"/><Relationship Id="rId212" Type="http://schemas.openxmlformats.org/officeDocument/2006/relationships/hyperlink" Target="https://drive.google.com/file/d/1i9YVHOcMoHe4s-pS6HA9hKoH2oB14EV3/view?usp=sharing" TargetMode="External"/><Relationship Id="rId696" Type="http://schemas.openxmlformats.org/officeDocument/2006/relationships/hyperlink" Target="https://drive.google.com/file/d/1px4tfEzNf5SRUrxPMUxon7r0mb2YAg0y/view?usp=drive_link" TargetMode="External"/><Relationship Id="rId1045" Type="http://schemas.openxmlformats.org/officeDocument/2006/relationships/hyperlink" Target="https://drive.google.com/file/d/1CoA6FUW8S5FcjyvHGRv-oTsAQzYgNWnq/view?usp=sharing" TargetMode="External"/><Relationship Id="rId211" Type="http://schemas.openxmlformats.org/officeDocument/2006/relationships/hyperlink" Target="https://drive.google.com/file/d/10T6Q7OFsJwUvNtI6y38F--2bs2mMMupY/view?usp=sharing" TargetMode="External"/><Relationship Id="rId695" Type="http://schemas.openxmlformats.org/officeDocument/2006/relationships/hyperlink" Target="https://drive.google.com/file/d/1LByK7J2jZtmSrjHW1Wntbn_fGW7SiwC4/view?usp=drive_link" TargetMode="External"/><Relationship Id="rId1046" Type="http://schemas.openxmlformats.org/officeDocument/2006/relationships/hyperlink" Target="https://drive.google.com/file/d/1j10fqgyvkN6ynedjCJWTclKXS8ZoryGS/view?usp=sharing" TargetMode="External"/><Relationship Id="rId210" Type="http://schemas.openxmlformats.org/officeDocument/2006/relationships/hyperlink" Target="https://drive.google.com/file/d/10Y3-VKed_CvZcUq4AMzAPqm03Qy9Rg8t/view?usp=sharing" TargetMode="External"/><Relationship Id="rId694" Type="http://schemas.openxmlformats.org/officeDocument/2006/relationships/hyperlink" Target="https://drive.google.com/file/d/1dooEI8fkWfubbxtyQDbJOzWD6KQQRObI/view?usp=drive_link" TargetMode="External"/><Relationship Id="rId1047" Type="http://schemas.openxmlformats.org/officeDocument/2006/relationships/hyperlink" Target="https://drive.google.com/file/d/1DYf8v8FHWmkPj6bikTuyQiIoH0ieR0i3/view?usp=sharing" TargetMode="External"/><Relationship Id="rId249" Type="http://schemas.openxmlformats.org/officeDocument/2006/relationships/hyperlink" Target="https://drive.google.com/file/d/1Ox-OhF2q_AvxsF1IGr3C_t2TlWCs64kx/view?usp=sharing" TargetMode="External"/><Relationship Id="rId248" Type="http://schemas.openxmlformats.org/officeDocument/2006/relationships/hyperlink" Target="https://drive.google.com/file/d/1MQ25xPu5oAS3VlTybcJquMGOZW1zlp82/view?usp=sharing" TargetMode="External"/><Relationship Id="rId247" Type="http://schemas.openxmlformats.org/officeDocument/2006/relationships/hyperlink" Target="https://drive.google.com/file/d/187KZ0bRQ3Xd0mu5vueFCRZix1em4VzAf/view?usp=sharing" TargetMode="External"/><Relationship Id="rId1070" Type="http://schemas.openxmlformats.org/officeDocument/2006/relationships/hyperlink" Target="https://drive.google.com/file/d/17j7BXBhUOrARORqvWPUAvnig2Gh6tNyA/view?usp=drive_link" TargetMode="External"/><Relationship Id="rId1071" Type="http://schemas.openxmlformats.org/officeDocument/2006/relationships/hyperlink" Target="https://drive.google.com/file/d/1UTqUXjG4IPV2NzDBP_FlzKtqqjSr2TIV/view?usp=drive_link" TargetMode="External"/><Relationship Id="rId1072" Type="http://schemas.openxmlformats.org/officeDocument/2006/relationships/hyperlink" Target="https://drive.google.com/file/d/1ALOajrMWtuzHF9YlpDR8UgsiEJW3bI16/view?usp=drive_link" TargetMode="External"/><Relationship Id="rId242" Type="http://schemas.openxmlformats.org/officeDocument/2006/relationships/hyperlink" Target="https://drive.google.com/file/d/1-TgO-QtzxHF4o1fWGiMoKoPd6JV-2Bsu/view?usp=sharing" TargetMode="External"/><Relationship Id="rId1073" Type="http://schemas.openxmlformats.org/officeDocument/2006/relationships/hyperlink" Target="https://drive.google.com/file/d/1_k2mlx1huW9nzWoIa8_ULwOG2Cw-TEJe/view?usp=drive_link" TargetMode="External"/><Relationship Id="rId241" Type="http://schemas.openxmlformats.org/officeDocument/2006/relationships/hyperlink" Target="https://drive.google.com/file/d/1IvhTmEDJtNaJ0tgAXDVUFnMdGW2S_Eap/view?usp=sharing" TargetMode="External"/><Relationship Id="rId1074" Type="http://schemas.openxmlformats.org/officeDocument/2006/relationships/hyperlink" Target="https://drive.google.com/file/d/16uvIiwwpKHa7XDTHdlrDJwk2BrwO85eD/view?usp=drive_link" TargetMode="External"/><Relationship Id="rId240" Type="http://schemas.openxmlformats.org/officeDocument/2006/relationships/hyperlink" Target="https://drive.google.com/file/d/1QOIBzghbWmKFNeBti25zzqsOrb8beUeB/view?usp=sharing" TargetMode="External"/><Relationship Id="rId1075" Type="http://schemas.openxmlformats.org/officeDocument/2006/relationships/hyperlink" Target="https://drive.google.com/file/d/18kVUPV0CUpDhv66NBJ4uqDaTj74PavbZ/view?usp=drive_link" TargetMode="External"/><Relationship Id="rId1076" Type="http://schemas.openxmlformats.org/officeDocument/2006/relationships/hyperlink" Target="https://drive.google.com/file/d/1Du74EgNl8mGCLJAHMeK8k5NTcMNtUbJt/view?usp=drive_link" TargetMode="External"/><Relationship Id="rId246" Type="http://schemas.openxmlformats.org/officeDocument/2006/relationships/hyperlink" Target="https://drive.google.com/file/d/1HEzGgEfknmAYm-X4TQoZMAWnwhFxLHXJ/view?usp=sharing" TargetMode="External"/><Relationship Id="rId1077" Type="http://schemas.openxmlformats.org/officeDocument/2006/relationships/hyperlink" Target="https://drive.google.com/file/d/1q6uZsdAM7dTbVL58mnj_xKWWyEbAxqJ8/view?usp=drive_link" TargetMode="External"/><Relationship Id="rId245" Type="http://schemas.openxmlformats.org/officeDocument/2006/relationships/hyperlink" Target="https://drive.google.com/file/d/1DixG9_Fl4bqCVL2fl2xsLtTx1JPvVT2_/view?usp=sharing" TargetMode="External"/><Relationship Id="rId1078" Type="http://schemas.openxmlformats.org/officeDocument/2006/relationships/hyperlink" Target="https://drive.google.com/file/d/1gfAKIRxOKRNTsCHC3_j-gK_YP-lGuoW2/view?usp=drive_link" TargetMode="External"/><Relationship Id="rId244" Type="http://schemas.openxmlformats.org/officeDocument/2006/relationships/hyperlink" Target="https://drive.google.com/file/d/1HfdMfJUKfKAqF48E1F0LcYlEThhntDvS/view?usp=sharing" TargetMode="External"/><Relationship Id="rId1079" Type="http://schemas.openxmlformats.org/officeDocument/2006/relationships/hyperlink" Target="https://drive.google.com/file/d/1lyG99lb65u-aWQBFQbYQKCV2dkVykOkH/view?usp=drive_link" TargetMode="External"/><Relationship Id="rId243" Type="http://schemas.openxmlformats.org/officeDocument/2006/relationships/hyperlink" Target="https://drive.google.com/file/d/1XefzV9OtPi3t9PfTX97D4PpiUE7qSpfQ/view?usp=sharing" TargetMode="External"/><Relationship Id="rId239" Type="http://schemas.openxmlformats.org/officeDocument/2006/relationships/hyperlink" Target="https://drive.google.com/file/d/1FADA9Sde25bQMAaQxf7-9Wlv_IGKP9O8/view?usp=drive_link" TargetMode="External"/><Relationship Id="rId238" Type="http://schemas.openxmlformats.org/officeDocument/2006/relationships/hyperlink" Target="https://drive.google.com/file/d/1rEkbHd6vG5VlQhKK4aVeCUSKVs4-3iFF/view?usp=sharing" TargetMode="External"/><Relationship Id="rId237" Type="http://schemas.openxmlformats.org/officeDocument/2006/relationships/hyperlink" Target="https://drive.google.com/file/d/1i9YVHOcMoHe4s-pS6HA9hKoH2oB14EV3/view?usp=sharing" TargetMode="External"/><Relationship Id="rId236" Type="http://schemas.openxmlformats.org/officeDocument/2006/relationships/hyperlink" Target="https://drive.google.com/file/d/10T6Q7OFsJwUvNtI6y38F--2bs2mMMupY/view?usp=sharing" TargetMode="External"/><Relationship Id="rId1060" Type="http://schemas.openxmlformats.org/officeDocument/2006/relationships/hyperlink" Target="https://drive.google.com/file/d/1fKujT5j7Xq57UfpM9Dzpb9N9xXYyHS_e/view?usp=drive_link" TargetMode="External"/><Relationship Id="rId1061" Type="http://schemas.openxmlformats.org/officeDocument/2006/relationships/hyperlink" Target="https://drive.google.com/file/d/1y2qEPMMY2-ABT4jVQOYaFx0ERt2RtCTQ/view?usp=drive_link" TargetMode="External"/><Relationship Id="rId231" Type="http://schemas.openxmlformats.org/officeDocument/2006/relationships/hyperlink" Target="https://drive.google.com/file/d/1w73kOYVf4dGUw4Wi8WKA9lV2lN7Tm73h/view?usp=sharing" TargetMode="External"/><Relationship Id="rId1062" Type="http://schemas.openxmlformats.org/officeDocument/2006/relationships/hyperlink" Target="https://drive.google.com/file/d/1MFQLAilMI2P4MdP3qCBjYSqGSc1o16nH/view?usp=drive_link" TargetMode="External"/><Relationship Id="rId230" Type="http://schemas.openxmlformats.org/officeDocument/2006/relationships/hyperlink" Target="https://drive.google.com/file/d/19Vto1pseHaDzfX6jHvLrE1tHXb5FeplM/view?usp=sharing" TargetMode="External"/><Relationship Id="rId1063" Type="http://schemas.openxmlformats.org/officeDocument/2006/relationships/hyperlink" Target="https://drive.google.com/file/d/1_nNMW51czgsxzsRbo1Azw31jmL0tSGCS/view?usp=drive_link" TargetMode="External"/><Relationship Id="rId1064" Type="http://schemas.openxmlformats.org/officeDocument/2006/relationships/hyperlink" Target="https://drive.google.com/file/d/1tPDUbHgEb1LtCjhtq9jAxzXkGwNMjjJj/view?usp=drive_link" TargetMode="External"/><Relationship Id="rId1065" Type="http://schemas.openxmlformats.org/officeDocument/2006/relationships/hyperlink" Target="https://drive.google.com/file/d/10jxKViwUcVfoA_yGtbJqcVQmwhmwRA_I/view?usp=drive_link" TargetMode="External"/><Relationship Id="rId235" Type="http://schemas.openxmlformats.org/officeDocument/2006/relationships/hyperlink" Target="https://drive.google.com/file/d/10Y3-VKed_CvZcUq4AMzAPqm03Qy9Rg8t/view?usp=sharing" TargetMode="External"/><Relationship Id="rId1066" Type="http://schemas.openxmlformats.org/officeDocument/2006/relationships/hyperlink" Target="https://drive.google.com/file/d/1mJipx4lCpQjWZJU0GktoT3aO18nr2Fb6/view?usp=drive_link" TargetMode="External"/><Relationship Id="rId234" Type="http://schemas.openxmlformats.org/officeDocument/2006/relationships/hyperlink" Target="https://drive.google.com/file/d/1JR7_2eyJhEZNzV5RBetcsguwpB3Jxntj/view?usp=sharing" TargetMode="External"/><Relationship Id="rId1067" Type="http://schemas.openxmlformats.org/officeDocument/2006/relationships/hyperlink" Target="https://drive.google.com/file/d/1ZAt1B4jlp0QJilJVEQcJfvr16N7xJrlB/view?usp=drive_link" TargetMode="External"/><Relationship Id="rId233" Type="http://schemas.openxmlformats.org/officeDocument/2006/relationships/hyperlink" Target="https://drive.google.com/file/d/1y91ILPYAqG5eFpBZvPg6Dc_o0dxeiezM/view?usp=sharing" TargetMode="External"/><Relationship Id="rId1068" Type="http://schemas.openxmlformats.org/officeDocument/2006/relationships/hyperlink" Target="https://drive.google.com/file/d/17liCDzNXYCZsShobJ62_7rrS4vn4MmUY/view?usp=drive_link" TargetMode="External"/><Relationship Id="rId232" Type="http://schemas.openxmlformats.org/officeDocument/2006/relationships/hyperlink" Target="https://drive.google.com/file/d/1DrX0SSnteOY5DmsUW9VeeX6FnXAeg7TQ/view?usp=sharing" TargetMode="External"/><Relationship Id="rId1069" Type="http://schemas.openxmlformats.org/officeDocument/2006/relationships/hyperlink" Target="https://drive.google.com/file/d/1bBuevQ4VFB0U4ySyMsGvaGOPUuAgetTC/view?usp=drive_link" TargetMode="External"/><Relationship Id="rId1015" Type="http://schemas.openxmlformats.org/officeDocument/2006/relationships/hyperlink" Target="https://drive.google.com/file/d/12wOd8ljRazSkNSmp3Dvd4Lmri2uqWMKU/view?usp=drive_link" TargetMode="External"/><Relationship Id="rId1499" Type="http://schemas.openxmlformats.org/officeDocument/2006/relationships/hyperlink" Target="https://drive.google.com/file/d/1a0sFa5VOu_bmLFxPDIf-4uSe_Rfls9zi/view?usp=drive_link" TargetMode="External"/><Relationship Id="rId1016" Type="http://schemas.openxmlformats.org/officeDocument/2006/relationships/hyperlink" Target="https://drive.google.com/file/d/1ALOajrMWtuzHF9YlpDR8UgsiEJW3bI16/view?usp=drive_link" TargetMode="External"/><Relationship Id="rId1017" Type="http://schemas.openxmlformats.org/officeDocument/2006/relationships/hyperlink" Target="https://drive.google.com/file/d/1GSbiPFCKcZSExJmb5g4l-wBji1nPOO-D/view?usp=sharing" TargetMode="External"/><Relationship Id="rId1018" Type="http://schemas.openxmlformats.org/officeDocument/2006/relationships/hyperlink" Target="https://drive.google.com/file/d/1zB_BAOeDv5mc5sd5bW1Ye6kw7gin2hNn/view?usp=sharing" TargetMode="External"/><Relationship Id="rId1019" Type="http://schemas.openxmlformats.org/officeDocument/2006/relationships/hyperlink" Target="https://drive.google.com/file/d/1KDQolGR38Ab_mkFXixkb7Fqp5M_hhEvz/view?usp=sharing" TargetMode="External"/><Relationship Id="rId668" Type="http://schemas.openxmlformats.org/officeDocument/2006/relationships/hyperlink" Target="https://drive.google.com/file/d/1jVpAqZPoUUC6R-HOb_MXu4oJfl7W-1fr/view?usp=drive_link" TargetMode="External"/><Relationship Id="rId667" Type="http://schemas.openxmlformats.org/officeDocument/2006/relationships/hyperlink" Target="https://drive.google.com/file/d/1CfMQlBSNpSzxWMOR9jREXnUL62O-5oKZ/view?usp=drive_link" TargetMode="External"/><Relationship Id="rId666" Type="http://schemas.openxmlformats.org/officeDocument/2006/relationships/hyperlink" Target="https://drive.google.com/file/d/1jOfId9NlerzqpNMMA0ABBz0sP8DPQLPW/view?usp=drive_link" TargetMode="External"/><Relationship Id="rId665" Type="http://schemas.openxmlformats.org/officeDocument/2006/relationships/hyperlink" Target="https://drive.google.com/file/d/1vcPVLbpCCv0K2uqDzmDq6cK_tc2WseDa/view?usp=drive_link" TargetMode="External"/><Relationship Id="rId669" Type="http://schemas.openxmlformats.org/officeDocument/2006/relationships/hyperlink" Target="https://drive.google.com/file/d/19wQ-iEoUcehpMmu8qSu2tn32HEoaQkxi/view?usp=drive_link" TargetMode="External"/><Relationship Id="rId1490" Type="http://schemas.openxmlformats.org/officeDocument/2006/relationships/hyperlink" Target="https://drive.google.com/file/d/1mANKbObpsUlcEbVt9PUrKMmAdqWvgQiq/view?usp=drive_link" TargetMode="External"/><Relationship Id="rId660" Type="http://schemas.openxmlformats.org/officeDocument/2006/relationships/hyperlink" Target="https://drive.google.com/file/d/1gRCYv71ZlXsTHmKBllg3oCWRH7GDD56S/view?usp=drive_link" TargetMode="External"/><Relationship Id="rId1491" Type="http://schemas.openxmlformats.org/officeDocument/2006/relationships/hyperlink" Target="https://drive.google.com/file/d/1AihAscUqXkbnSL8igNe4uBEq8xJ0RyU5/view?usp=drive_link" TargetMode="External"/><Relationship Id="rId1492" Type="http://schemas.openxmlformats.org/officeDocument/2006/relationships/hyperlink" Target="https://drive.google.com/file/d/1YvKJF5Dm6Gu7oZGA00Sx51_xgyrfX8xZ/view?usp=drive_link" TargetMode="External"/><Relationship Id="rId1493" Type="http://schemas.openxmlformats.org/officeDocument/2006/relationships/hyperlink" Target="https://drive.google.com/file/d/13AE_qfNBbKC61oZMwFjmtoKKkGmamDNw/view?usp=drive_link" TargetMode="External"/><Relationship Id="rId1010" Type="http://schemas.openxmlformats.org/officeDocument/2006/relationships/hyperlink" Target="https://drive.google.com/file/d/1mJipx4lCpQjWZJU0GktoT3aO18nr2Fb6/view?usp=drive_link" TargetMode="External"/><Relationship Id="rId1494" Type="http://schemas.openxmlformats.org/officeDocument/2006/relationships/hyperlink" Target="https://drive.google.com/file/d/1Orbb2GavccyIbnUhHGy7ei-NP3ZIcUNi/view?usp=drive_link" TargetMode="External"/><Relationship Id="rId664" Type="http://schemas.openxmlformats.org/officeDocument/2006/relationships/hyperlink" Target="https://drive.google.com/file/d/1LhivhggcJ0FFoIvEyZuXVWkLzG73KW8A/view?usp=drive_link" TargetMode="External"/><Relationship Id="rId1011" Type="http://schemas.openxmlformats.org/officeDocument/2006/relationships/hyperlink" Target="https://drive.google.com/file/d/1ZAt1B4jlp0QJilJVEQcJfvr16N7xJrlB/view?usp=drive_link" TargetMode="External"/><Relationship Id="rId1495" Type="http://schemas.openxmlformats.org/officeDocument/2006/relationships/hyperlink" Target="https://drive.google.com/file/d/1t52Zq28Qb01aOE26G1-_8mSLzA_aa8TE/view?usp=drive_link" TargetMode="External"/><Relationship Id="rId663" Type="http://schemas.openxmlformats.org/officeDocument/2006/relationships/hyperlink" Target="https://drive.google.com/file/d/1sJPQVEUllSEzhr4LZYilTCN-bvBquNM0/view?usp=drive_link" TargetMode="External"/><Relationship Id="rId1012" Type="http://schemas.openxmlformats.org/officeDocument/2006/relationships/hyperlink" Target="https://drive.google.com/file/d/17liCDzNXYCZsShobJ62_7rrS4vn4MmUY/view?usp=drive_link" TargetMode="External"/><Relationship Id="rId1496" Type="http://schemas.openxmlformats.org/officeDocument/2006/relationships/hyperlink" Target="https://drive.google.com/file/d/1MC7yBXzYlWAi-DvE171PaLgSe6gKva_b/view?usp=drive_link" TargetMode="External"/><Relationship Id="rId662" Type="http://schemas.openxmlformats.org/officeDocument/2006/relationships/hyperlink" Target="https://drive.google.com/file/d/1KrAerSPzr24F0GJX9D34bIeU59Ez4R7c/view?usp=drive_link" TargetMode="External"/><Relationship Id="rId1013" Type="http://schemas.openxmlformats.org/officeDocument/2006/relationships/hyperlink" Target="https://drive.google.com/file/d/1bBuevQ4VFB0U4ySyMsGvaGOPUuAgetTC/view?usp=drive_link" TargetMode="External"/><Relationship Id="rId1497" Type="http://schemas.openxmlformats.org/officeDocument/2006/relationships/hyperlink" Target="https://drive.google.com/file/d/1fGY8msFXPmKLXkMy87--6ywuYkxICjLh/view?usp=drive_link" TargetMode="External"/><Relationship Id="rId661" Type="http://schemas.openxmlformats.org/officeDocument/2006/relationships/hyperlink" Target="https://drive.google.com/file/d/1x8TRuJ5sPn2HekfBtQopy3aek1VyFzeC/view?usp=drive_link" TargetMode="External"/><Relationship Id="rId1014" Type="http://schemas.openxmlformats.org/officeDocument/2006/relationships/hyperlink" Target="https://drive.google.com/file/d/1e4vE33MEVLNpts1M3uozSys90q31y1v6/view?usp=drive_link" TargetMode="External"/><Relationship Id="rId1498" Type="http://schemas.openxmlformats.org/officeDocument/2006/relationships/hyperlink" Target="https://drive.google.com/file/d/1iEjIaWkem1tYXkwwEZ_NlgvGOmzsSTqn/view?usp=drive_link" TargetMode="External"/><Relationship Id="rId1004" Type="http://schemas.openxmlformats.org/officeDocument/2006/relationships/hyperlink" Target="https://drive.google.com/file/d/1ej7sQr63LkrjPda5w_g9T6bMe2xObDi4/view?usp=sharing" TargetMode="External"/><Relationship Id="rId1488" Type="http://schemas.openxmlformats.org/officeDocument/2006/relationships/hyperlink" Target="https://drive.google.com/file/d/17ZRjT2PGuweThX2IkpKpWCOsyqRc3lyJ/view?usp=drive_link" TargetMode="External"/><Relationship Id="rId1005" Type="http://schemas.openxmlformats.org/officeDocument/2006/relationships/hyperlink" Target="https://drive.google.com/file/d/18X0ebG_nos1HWPRxNNDvsq49kMPMEM9s/view?usp=sharing" TargetMode="External"/><Relationship Id="rId1489" Type="http://schemas.openxmlformats.org/officeDocument/2006/relationships/hyperlink" Target="https://drive.google.com/file/d/1InklKt8-JzGCv9wngmyRs1aNgVlEhvRT/view?usp=drive_link" TargetMode="External"/><Relationship Id="rId1006" Type="http://schemas.openxmlformats.org/officeDocument/2006/relationships/hyperlink" Target="https://drive.google.com/file/d/1pNR7-sninAYkuQ0aZaRBLT1omNKRZnqK/view?usp=drive_link" TargetMode="External"/><Relationship Id="rId1007" Type="http://schemas.openxmlformats.org/officeDocument/2006/relationships/hyperlink" Target="https://drive.google.com/file/d/1juI7asC-bmV2IiteRDFJC3axZlSLERlV/view?usp=drive_link" TargetMode="External"/><Relationship Id="rId1008" Type="http://schemas.openxmlformats.org/officeDocument/2006/relationships/hyperlink" Target="https://drive.google.com/file/d/1POU4i3srfwhs06OFD8mczv5ocdbEFV6a/view?usp=drive_link" TargetMode="External"/><Relationship Id="rId1009" Type="http://schemas.openxmlformats.org/officeDocument/2006/relationships/hyperlink" Target="https://drive.google.com/file/d/10jxKViwUcVfoA_yGtbJqcVQmwhmwRA_I/view?usp=drive_link" TargetMode="External"/><Relationship Id="rId657" Type="http://schemas.openxmlformats.org/officeDocument/2006/relationships/hyperlink" Target="https://drive.google.com/file/d/1zexkM3KNJRTGcl2EPOqDyfLFgRHuSlvB/view?usp=drive_link" TargetMode="External"/><Relationship Id="rId656" Type="http://schemas.openxmlformats.org/officeDocument/2006/relationships/hyperlink" Target="https://drive.google.com/file/d/1yqDMb483EidECiJJAyfk9cVe_CKNf8g0/view?usp=drive_link" TargetMode="External"/><Relationship Id="rId655" Type="http://schemas.openxmlformats.org/officeDocument/2006/relationships/hyperlink" Target="https://drive.google.com/file/d/1nfXJQENC-pVqWfRW2FWsoqSxAe-CeiPM/view?usp=drive_link" TargetMode="External"/><Relationship Id="rId654" Type="http://schemas.openxmlformats.org/officeDocument/2006/relationships/hyperlink" Target="https://drive.google.com/file/d/1uSQNtiDWJtJ84CZufw8qnrHFcKynES_L/view?usp=drive_link" TargetMode="External"/><Relationship Id="rId659" Type="http://schemas.openxmlformats.org/officeDocument/2006/relationships/hyperlink" Target="https://drive.google.com/file/d/12FVIUhfnTZGetrTo5Ci8NxE32TnvR87Q/view?usp=drive_link" TargetMode="External"/><Relationship Id="rId658" Type="http://schemas.openxmlformats.org/officeDocument/2006/relationships/hyperlink" Target="https://drive.google.com/file/d/1ztaLHgO6nJT0jZlcGqtu8x8AcZZ60BN5/view?usp=drive_link" TargetMode="External"/><Relationship Id="rId1480" Type="http://schemas.openxmlformats.org/officeDocument/2006/relationships/hyperlink" Target="https://drive.google.com/file/d/1dJUzxYIzAi1VhsPja61sJ_DCPyxtqGWo/view?usp=drive_link" TargetMode="External"/><Relationship Id="rId1481" Type="http://schemas.openxmlformats.org/officeDocument/2006/relationships/hyperlink" Target="https://drive.google.com/file/d/1EOVo2ghmuRrSXqjca_GQnrWnCBgytzPT/view?usp=drive_link" TargetMode="External"/><Relationship Id="rId1482" Type="http://schemas.openxmlformats.org/officeDocument/2006/relationships/hyperlink" Target="https://drive.google.com/file/d/122ON0XPe9GexspY-JvlKDxlF_VQlONe6/view?usp=drive_link" TargetMode="External"/><Relationship Id="rId1483" Type="http://schemas.openxmlformats.org/officeDocument/2006/relationships/hyperlink" Target="https://drive.google.com/file/d/1kmkoxfViBrxxrMU0lFJwbmkqq1ERUOzY/view?usp=drive_link" TargetMode="External"/><Relationship Id="rId653" Type="http://schemas.openxmlformats.org/officeDocument/2006/relationships/hyperlink" Target="https://drive.google.com/file/d/1ngWLTRgHVLlLJ7mlaaYQ00_pr08Ohpg-/view?usp=drive_link" TargetMode="External"/><Relationship Id="rId1000" Type="http://schemas.openxmlformats.org/officeDocument/2006/relationships/hyperlink" Target="https://drive.google.com/file/d/1Du74EgNl8mGCLJAHMeK8k5NTcMNtUbJt/view?usp=drive_link" TargetMode="External"/><Relationship Id="rId1484" Type="http://schemas.openxmlformats.org/officeDocument/2006/relationships/hyperlink" Target="https://drive.google.com/file/d/1D23WF7xJsZ6ucsLjENMRUhvvpXEG5hO1/view?usp=drive_link" TargetMode="External"/><Relationship Id="rId652" Type="http://schemas.openxmlformats.org/officeDocument/2006/relationships/hyperlink" Target="https://drive.google.com/file/d/1Bs5b4ngJkLmbliokwrZvSW-UifMLgkEa/view?usp=drive_link" TargetMode="External"/><Relationship Id="rId1001" Type="http://schemas.openxmlformats.org/officeDocument/2006/relationships/hyperlink" Target="https://drive.google.com/file/d/1q6uZsdAM7dTbVL58mnj_xKWWyEbAxqJ8/view?usp=drive_link" TargetMode="External"/><Relationship Id="rId1485" Type="http://schemas.openxmlformats.org/officeDocument/2006/relationships/hyperlink" Target="https://drive.google.com/file/d/1L6Pr2m7ZUZc7G-kYV98JDDtwPEaAXkXV/view?usp=drive_link" TargetMode="External"/><Relationship Id="rId651" Type="http://schemas.openxmlformats.org/officeDocument/2006/relationships/hyperlink" Target="https://drive.google.com/file/d/1jP3XzQbCBlN6uSnMODLPS5IYpB3NI7kM/view?usp=drive_link" TargetMode="External"/><Relationship Id="rId1002" Type="http://schemas.openxmlformats.org/officeDocument/2006/relationships/hyperlink" Target="https://drive.google.com/file/d/1gfAKIRxOKRNTsCHC3_j-gK_YP-lGuoW2/view?usp=drive_link" TargetMode="External"/><Relationship Id="rId1486" Type="http://schemas.openxmlformats.org/officeDocument/2006/relationships/hyperlink" Target="https://drive.google.com/file/d/11DkpxIE_SlZmxz74FAMtiqP08O2z56vM/view?usp=drive_link" TargetMode="External"/><Relationship Id="rId650" Type="http://schemas.openxmlformats.org/officeDocument/2006/relationships/hyperlink" Target="https://drive.google.com/file/d/1bdsaCyfSoKDA1yDGBYP_cu9W0z5weEMN/view?usp=drive_link" TargetMode="External"/><Relationship Id="rId1003" Type="http://schemas.openxmlformats.org/officeDocument/2006/relationships/hyperlink" Target="https://drive.google.com/file/d/1lyG99lb65u-aWQBFQbYQKCV2dkVykOkH/view?usp=drive_link" TargetMode="External"/><Relationship Id="rId1487" Type="http://schemas.openxmlformats.org/officeDocument/2006/relationships/hyperlink" Target="https://drive.google.com/file/d/1uZbLoUjIzD7ybyJiJDttrUHaCAYXhbKs/view?usp=drive_link" TargetMode="External"/><Relationship Id="rId1037" Type="http://schemas.openxmlformats.org/officeDocument/2006/relationships/hyperlink" Target="https://drive.google.com/file/d/1S5dmeMmm9dN-fzFv-dYNzXi0Y6gxuq7l/view?usp=sharing" TargetMode="External"/><Relationship Id="rId1038" Type="http://schemas.openxmlformats.org/officeDocument/2006/relationships/hyperlink" Target="https://drive.google.com/file/d/1BmhFTbHVOiqXCzoh5CP73gXxMyJ7sIFG/view?usp=sharing" TargetMode="External"/><Relationship Id="rId1039" Type="http://schemas.openxmlformats.org/officeDocument/2006/relationships/hyperlink" Target="https://drive.google.com/file/d/1cXakPY8VUkynVnoqNEzQOuvOARmPrXbm/view?usp=sharing" TargetMode="External"/><Relationship Id="rId206" Type="http://schemas.openxmlformats.org/officeDocument/2006/relationships/hyperlink" Target="https://drive.google.com/file/d/1w73kOYVf4dGUw4Wi8WKA9lV2lN7Tm73h/view?usp=sharing" TargetMode="External"/><Relationship Id="rId205" Type="http://schemas.openxmlformats.org/officeDocument/2006/relationships/hyperlink" Target="https://drive.google.com/file/d/19Vto1pseHaDzfX6jHvLrE1tHXb5FeplM/view?usp=sharing" TargetMode="External"/><Relationship Id="rId689" Type="http://schemas.openxmlformats.org/officeDocument/2006/relationships/hyperlink" Target="https://drive.google.com/file/d/1AyvK03mjIukHRhmGCPyLgfDON1MKLfUZ/view?usp=drive_link" TargetMode="External"/><Relationship Id="rId204" Type="http://schemas.openxmlformats.org/officeDocument/2006/relationships/hyperlink" Target="https://drive.google.com/file/d/1fKYffwAJC1SLOyt4R4pXYp0X73zRGxRQ/view?usp=sharing" TargetMode="External"/><Relationship Id="rId688" Type="http://schemas.openxmlformats.org/officeDocument/2006/relationships/hyperlink" Target="https://drive.google.com/file/d/1M8P1LbWf8c5vev-v7QZ4eqX76R-6JAHI/view?usp=drive_link" TargetMode="External"/><Relationship Id="rId203" Type="http://schemas.openxmlformats.org/officeDocument/2006/relationships/hyperlink" Target="https://drive.google.com/file/d/1bFcymC9yv679IrUVzeIrKY4igrsAnGRG/view?usp=sharing" TargetMode="External"/><Relationship Id="rId687" Type="http://schemas.openxmlformats.org/officeDocument/2006/relationships/hyperlink" Target="https://drive.google.com/file/d/1UvSc2JV4Jucl30baYD82ZAG8gjAv8_li/view?usp=drive_link" TargetMode="External"/><Relationship Id="rId209" Type="http://schemas.openxmlformats.org/officeDocument/2006/relationships/hyperlink" Target="https://drive.google.com/file/d/1JR7_2eyJhEZNzV5RBetcsguwpB3Jxntj/view?usp=sharing" TargetMode="External"/><Relationship Id="rId208" Type="http://schemas.openxmlformats.org/officeDocument/2006/relationships/hyperlink" Target="https://drive.google.com/file/d/1y91ILPYAqG5eFpBZvPg6Dc_o0dxeiezM/view?usp=sharing" TargetMode="External"/><Relationship Id="rId207" Type="http://schemas.openxmlformats.org/officeDocument/2006/relationships/hyperlink" Target="https://drive.google.com/file/d/1DrX0SSnteOY5DmsUW9VeeX6FnXAeg7TQ/view?usp=sharing" TargetMode="External"/><Relationship Id="rId682" Type="http://schemas.openxmlformats.org/officeDocument/2006/relationships/hyperlink" Target="https://drive.google.com/file/d/1m9FxwEAztG3aMk88_KoHUK7AXDrDM_eq/view?usp=drive_link" TargetMode="External"/><Relationship Id="rId681" Type="http://schemas.openxmlformats.org/officeDocument/2006/relationships/hyperlink" Target="https://drive.google.com/file/d/1LJo03nAN4xU4NhbYEJDwgMhCEeSrBDFb/view?usp=drive_link" TargetMode="External"/><Relationship Id="rId1030" Type="http://schemas.openxmlformats.org/officeDocument/2006/relationships/hyperlink" Target="https://drive.google.com/file/d/1LvpFVzBQoJsgN4wf2DQBIftjTjaiDEPT/view?usp=sharing" TargetMode="External"/><Relationship Id="rId680" Type="http://schemas.openxmlformats.org/officeDocument/2006/relationships/hyperlink" Target="https://drive.google.com/file/d/1tBt5HrbIlNzRmlp6rPvGf2GJua_kVPQc/view?usp=drive_link" TargetMode="External"/><Relationship Id="rId1031" Type="http://schemas.openxmlformats.org/officeDocument/2006/relationships/hyperlink" Target="https://drive.google.com/file/d/1xFwnsfpw29mUbCVX16NMmRGASTffaz-J/view?usp=sharing" TargetMode="External"/><Relationship Id="rId1032" Type="http://schemas.openxmlformats.org/officeDocument/2006/relationships/hyperlink" Target="https://drive.google.com/file/d/1fJMS96Iy-USTWRkpStV5BMD9FvQK_LGt/view?usp=sharing" TargetMode="External"/><Relationship Id="rId202" Type="http://schemas.openxmlformats.org/officeDocument/2006/relationships/hyperlink" Target="https://drive.google.com/file/d/1Ox-OhF2q_AvxsF1IGr3C_t2TlWCs64kx/view?usp=sharing" TargetMode="External"/><Relationship Id="rId686" Type="http://schemas.openxmlformats.org/officeDocument/2006/relationships/hyperlink" Target="https://drive.google.com/file/d/1HcNpJMjyrtZdhOQu_qryoR8DDldrsOO2/view?usp=drive_link" TargetMode="External"/><Relationship Id="rId1033" Type="http://schemas.openxmlformats.org/officeDocument/2006/relationships/hyperlink" Target="https://drive.google.com/file/d/130fxYABw7Ogl3BupIsqcjw4RXeF-UM_L/view?usp=sharing" TargetMode="External"/><Relationship Id="rId201" Type="http://schemas.openxmlformats.org/officeDocument/2006/relationships/hyperlink" Target="https://drive.google.com/file/d/1MQ25xPu5oAS3VlTybcJquMGOZW1zlp82/view?usp=sharing" TargetMode="External"/><Relationship Id="rId685" Type="http://schemas.openxmlformats.org/officeDocument/2006/relationships/hyperlink" Target="https://drive.google.com/file/d/1ViRz1bxBO4Y4IHxhIAGH1Z6jK19Ye0eD/view?usp=drive_link" TargetMode="External"/><Relationship Id="rId1034" Type="http://schemas.openxmlformats.org/officeDocument/2006/relationships/hyperlink" Target="https://drive.google.com/file/d/1e4vE33MEVLNpts1M3uozSys90q31y1v6/view?usp=drive_link" TargetMode="External"/><Relationship Id="rId200" Type="http://schemas.openxmlformats.org/officeDocument/2006/relationships/hyperlink" Target="https://drive.google.com/file/d/187KZ0bRQ3Xd0mu5vueFCRZix1em4VzAf/view?usp=sharing" TargetMode="External"/><Relationship Id="rId684" Type="http://schemas.openxmlformats.org/officeDocument/2006/relationships/hyperlink" Target="https://drive.google.com/file/d/1f6xrG5OZvOA2wAoEkfGrX4y0kvtkgUNM/view?usp=drive_link" TargetMode="External"/><Relationship Id="rId1035" Type="http://schemas.openxmlformats.org/officeDocument/2006/relationships/hyperlink" Target="https://drive.google.com/file/d/12wOd8ljRazSkNSmp3Dvd4Lmri2uqWMKU/view?usp=drive_link" TargetMode="External"/><Relationship Id="rId683" Type="http://schemas.openxmlformats.org/officeDocument/2006/relationships/hyperlink" Target="https://drive.google.com/file/d/1RzqqmfWRzeNsqpCpqF0JCtsg6wG1vmXf/view?usp=drive_link" TargetMode="External"/><Relationship Id="rId1036" Type="http://schemas.openxmlformats.org/officeDocument/2006/relationships/hyperlink" Target="https://drive.google.com/file/d/1uZT8nB1x0zqnbcIs53m4PZOtWHBGrd2w/view?usp=sharing" TargetMode="External"/><Relationship Id="rId1026" Type="http://schemas.openxmlformats.org/officeDocument/2006/relationships/hyperlink" Target="https://drive.google.com/file/d/1pNR7-sninAYkuQ0aZaRBLT1omNKRZnqK/view?usp=drive_link" TargetMode="External"/><Relationship Id="rId1027" Type="http://schemas.openxmlformats.org/officeDocument/2006/relationships/hyperlink" Target="https://drive.google.com/file/d/1juI7asC-bmV2IiteRDFJC3axZlSLERlV/view?usp=drive_link" TargetMode="External"/><Relationship Id="rId1028" Type="http://schemas.openxmlformats.org/officeDocument/2006/relationships/hyperlink" Target="https://drive.google.com/file/d/1POU4i3srfwhs06OFD8mczv5ocdbEFV6a/view?usp=drive_link" TargetMode="External"/><Relationship Id="rId1029" Type="http://schemas.openxmlformats.org/officeDocument/2006/relationships/hyperlink" Target="https://drive.google.com/file/d/1gnax-A-ImyTJTvuhFnKWqdd2IgnR58ud/view?usp=sharing" TargetMode="External"/><Relationship Id="rId679" Type="http://schemas.openxmlformats.org/officeDocument/2006/relationships/hyperlink" Target="https://drive.google.com/file/d/16hvC-Lhv2kuB5cic0h80_8jvxyhu1c1I/view?usp=drive_link" TargetMode="External"/><Relationship Id="rId678" Type="http://schemas.openxmlformats.org/officeDocument/2006/relationships/hyperlink" Target="https://drive.google.com/file/d/1Dj20YrqlWSyFvGsrdY29wRiK-1y9c8BA/view?usp=drive_link" TargetMode="External"/><Relationship Id="rId677" Type="http://schemas.openxmlformats.org/officeDocument/2006/relationships/hyperlink" Target="https://drive.google.com/file/d/1XGjrg172ho0Xl-HmFdB7MaGzoGktZQbu/view?usp=drive_link" TargetMode="External"/><Relationship Id="rId676" Type="http://schemas.openxmlformats.org/officeDocument/2006/relationships/hyperlink" Target="https://drive.google.com/file/d/1eZLmFUqBakRQpW6fp9SA6xZMj2pzoYVU/view?usp=drive_link" TargetMode="External"/><Relationship Id="rId671" Type="http://schemas.openxmlformats.org/officeDocument/2006/relationships/hyperlink" Target="https://drive.google.com/file/d/1cIdz71zEF1w4dzKUXle8_cb7Ah20KrpH/view?usp=drive_link" TargetMode="External"/><Relationship Id="rId670" Type="http://schemas.openxmlformats.org/officeDocument/2006/relationships/hyperlink" Target="https://drive.google.com/file/d/1mYOk3MlpuMOTT_RJfJUGll9r091ZsOEb/view?usp=drive_link" TargetMode="External"/><Relationship Id="rId1020" Type="http://schemas.openxmlformats.org/officeDocument/2006/relationships/hyperlink" Target="https://drive.google.com/file/d/1ONBBjpjkCYH761xA8CmMO9CpEzWPvXFp/view?usp=sharing" TargetMode="External"/><Relationship Id="rId1021" Type="http://schemas.openxmlformats.org/officeDocument/2006/relationships/hyperlink" Target="https://drive.google.com/file/d/1jNie-mpglEfHlZ_4FTWKI0DP1nSpnMgH/view?usp=sharing" TargetMode="External"/><Relationship Id="rId675" Type="http://schemas.openxmlformats.org/officeDocument/2006/relationships/hyperlink" Target="https://drive.google.com/file/d/1gbVpSoxRre7dw_iA5HPXD2yIH0d2ZYZA/view?usp=drive_link" TargetMode="External"/><Relationship Id="rId1022" Type="http://schemas.openxmlformats.org/officeDocument/2006/relationships/hyperlink" Target="https://drive.google.com/file/d/19HwgJYnQisfHg7golmn9C29IyU-tO_7_/view?usp=sharing" TargetMode="External"/><Relationship Id="rId674" Type="http://schemas.openxmlformats.org/officeDocument/2006/relationships/hyperlink" Target="https://drive.google.com/file/d/1Ol0IEuhvQk6E3mPYL5O31l8679wa82qd/view?usp=drive_link" TargetMode="External"/><Relationship Id="rId1023" Type="http://schemas.openxmlformats.org/officeDocument/2006/relationships/hyperlink" Target="https://drive.google.com/file/d/1iquPXYHd1qkxC0fsvt_xOvVISz9EONID/view?usp=sharing" TargetMode="External"/><Relationship Id="rId673" Type="http://schemas.openxmlformats.org/officeDocument/2006/relationships/hyperlink" Target="https://drive.google.com/file/d/1yn79b2pSenZ0B5R6HlMMU99dMGxXRIX2/view?usp=drive_link" TargetMode="External"/><Relationship Id="rId1024" Type="http://schemas.openxmlformats.org/officeDocument/2006/relationships/hyperlink" Target="https://drive.google.com/file/d/1pojTsQMg9gJhzapEOBtq6PmAErwXLU6L/view?usp=sharing" TargetMode="External"/><Relationship Id="rId672" Type="http://schemas.openxmlformats.org/officeDocument/2006/relationships/hyperlink" Target="https://drive.google.com/file/d/1iYTyfl2O4xJrKYq7oKREQ9uUnvzDUQ0e/view?usp=drive_link" TargetMode="External"/><Relationship Id="rId1025" Type="http://schemas.openxmlformats.org/officeDocument/2006/relationships/hyperlink" Target="https://drive.google.com/file/d/1YSq00dRxR1bcdMCPNhomtE68lCJRJ_3R/view?usp=sharing" TargetMode="External"/><Relationship Id="rId190" Type="http://schemas.openxmlformats.org/officeDocument/2006/relationships/hyperlink" Target="https://drive.google.com/file/d/1ZMo3u2nBaoNj3FwuAuYeovm96eGZbvDz/view?usp=sharing" TargetMode="External"/><Relationship Id="rId194" Type="http://schemas.openxmlformats.org/officeDocument/2006/relationships/hyperlink" Target="https://drive.google.com/file/d/1IvhTmEDJtNaJ0tgAXDVUFnMdGW2S_Eap/view?usp=sharing" TargetMode="External"/><Relationship Id="rId193" Type="http://schemas.openxmlformats.org/officeDocument/2006/relationships/hyperlink" Target="https://drive.google.com/file/d/1QOIBzghbWmKFNeBti25zzqsOrb8beUeB/view?usp=sharing" TargetMode="External"/><Relationship Id="rId192" Type="http://schemas.openxmlformats.org/officeDocument/2006/relationships/hyperlink" Target="https://drive.google.com/file/d/1FADA9Sde25bQMAaQxf7-9Wlv_IGKP9O8/view?usp=drive_link" TargetMode="External"/><Relationship Id="rId191" Type="http://schemas.openxmlformats.org/officeDocument/2006/relationships/hyperlink" Target="https://drive.google.com/file/d/147bAJmlTKhWo9RCj2TnjPYqeCeO8Bi3Y/view?usp=sharing" TargetMode="External"/><Relationship Id="rId187" Type="http://schemas.openxmlformats.org/officeDocument/2006/relationships/hyperlink" Target="https://drive.google.com/file/d/1esz7_0EuxygW_-YC2pp3zhPqpctm4EfC/view?usp=sharing" TargetMode="External"/><Relationship Id="rId186" Type="http://schemas.openxmlformats.org/officeDocument/2006/relationships/hyperlink" Target="https://drive.google.com/file/d/1cX0KJ9Jf0zbaCx5cvvGpVzPFXQFpvOu6/view?usp=sharing" TargetMode="External"/><Relationship Id="rId185" Type="http://schemas.openxmlformats.org/officeDocument/2006/relationships/hyperlink" Target="https://drive.google.com/file/d/1BvHCSN-ELyvRhpEbcBGcSRxJgesni3mH/view?usp=sharing" TargetMode="External"/><Relationship Id="rId184" Type="http://schemas.openxmlformats.org/officeDocument/2006/relationships/hyperlink" Target="https://drive.google.com/file/d/1x9BCzUatb4FUoC9-S1GELoEiBUAXnTtu/view?usp=sharing" TargetMode="External"/><Relationship Id="rId189" Type="http://schemas.openxmlformats.org/officeDocument/2006/relationships/hyperlink" Target="https://drive.google.com/file/d/1DdRfHUcswaDpadH-w--OWO_kvdPa88DQ/view?usp=sharing" TargetMode="External"/><Relationship Id="rId188" Type="http://schemas.openxmlformats.org/officeDocument/2006/relationships/hyperlink" Target="https://drive.google.com/file/d/12neJfZSEP1xjjhwB8gTIkcqlRzyl0c8U/view?usp=sharing" TargetMode="External"/><Relationship Id="rId183" Type="http://schemas.openxmlformats.org/officeDocument/2006/relationships/hyperlink" Target="https://drive.google.com/file/d/1rEkbHd6vG5VlQhKK4aVeCUSKVs4-3iFF/view?usp=sharing" TargetMode="External"/><Relationship Id="rId182" Type="http://schemas.openxmlformats.org/officeDocument/2006/relationships/hyperlink" Target="https://drive.google.com/file/d/1i9YVHOcMoHe4s-pS6HA9hKoH2oB14EV3/view?usp=sharing" TargetMode="External"/><Relationship Id="rId181" Type="http://schemas.openxmlformats.org/officeDocument/2006/relationships/hyperlink" Target="https://drive.google.com/file/d/10T6Q7OFsJwUvNtI6y38F--2bs2mMMupY/view?usp=sharing" TargetMode="External"/><Relationship Id="rId180" Type="http://schemas.openxmlformats.org/officeDocument/2006/relationships/hyperlink" Target="https://drive.google.com/file/d/10Y3-VKed_CvZcUq4AMzAPqm03Qy9Rg8t/view?usp=sharing" TargetMode="External"/><Relationship Id="rId176" Type="http://schemas.openxmlformats.org/officeDocument/2006/relationships/hyperlink" Target="https://drive.google.com/file/d/1w73kOYVf4dGUw4Wi8WKA9lV2lN7Tm73h/view?usp=sharing" TargetMode="External"/><Relationship Id="rId175" Type="http://schemas.openxmlformats.org/officeDocument/2006/relationships/hyperlink" Target="https://drive.google.com/file/d/19Vto1pseHaDzfX6jHvLrE1tHXb5FeplM/view?usp=sharing" TargetMode="External"/><Relationship Id="rId174" Type="http://schemas.openxmlformats.org/officeDocument/2006/relationships/hyperlink" Target="https://drive.google.com/file/d/1fKYffwAJC1SLOyt4R4pXYp0X73zRGxRQ/view?usp=sharing" TargetMode="External"/><Relationship Id="rId173" Type="http://schemas.openxmlformats.org/officeDocument/2006/relationships/hyperlink" Target="https://drive.google.com/file/d/1bFcymC9yv679IrUVzeIrKY4igrsAnGRG/view?usp=sharing" TargetMode="External"/><Relationship Id="rId179" Type="http://schemas.openxmlformats.org/officeDocument/2006/relationships/hyperlink" Target="https://drive.google.com/file/d/1JR7_2eyJhEZNzV5RBetcsguwpB3Jxntj/view?usp=sharing" TargetMode="External"/><Relationship Id="rId178" Type="http://schemas.openxmlformats.org/officeDocument/2006/relationships/hyperlink" Target="https://drive.google.com/file/d/1y91ILPYAqG5eFpBZvPg6Dc_o0dxeiezM/view?usp=sharing" TargetMode="External"/><Relationship Id="rId177" Type="http://schemas.openxmlformats.org/officeDocument/2006/relationships/hyperlink" Target="https://drive.google.com/file/d/1DrX0SSnteOY5DmsUW9VeeX6FnXAeg7TQ/view?usp=sharing" TargetMode="External"/><Relationship Id="rId198" Type="http://schemas.openxmlformats.org/officeDocument/2006/relationships/hyperlink" Target="https://drive.google.com/file/d/1DixG9_Fl4bqCVL2fl2xsLtTx1JPvVT2_/view?usp=sharing" TargetMode="External"/><Relationship Id="rId197" Type="http://schemas.openxmlformats.org/officeDocument/2006/relationships/hyperlink" Target="https://drive.google.com/file/d/1HfdMfJUKfKAqF48E1F0LcYlEThhntDvS/view?usp=sharing" TargetMode="External"/><Relationship Id="rId196" Type="http://schemas.openxmlformats.org/officeDocument/2006/relationships/hyperlink" Target="https://drive.google.com/file/d/1XefzV9OtPi3t9PfTX97D4PpiUE7qSpfQ/view?usp=sharing" TargetMode="External"/><Relationship Id="rId195" Type="http://schemas.openxmlformats.org/officeDocument/2006/relationships/hyperlink" Target="https://drive.google.com/file/d/1-TgO-QtzxHF4o1fWGiMoKoPd6JV-2Bsu/view?usp=sharing" TargetMode="External"/><Relationship Id="rId199" Type="http://schemas.openxmlformats.org/officeDocument/2006/relationships/hyperlink" Target="https://drive.google.com/file/d/1HEzGgEfknmAYm-X4TQoZMAWnwhFxLHXJ/view?usp=sharing" TargetMode="External"/><Relationship Id="rId150" Type="http://schemas.openxmlformats.org/officeDocument/2006/relationships/hyperlink" Target="https://drive.google.com/file/d/1mVi8mVA27SfWprJlUT6GHIHaTG0MB9O2/view?usp=drive_link" TargetMode="External"/><Relationship Id="rId149" Type="http://schemas.openxmlformats.org/officeDocument/2006/relationships/hyperlink" Target="https://drive.google.com/file/d/1QU6mq9wPti7DvYkwK8PVv6jh8gbSvCWt/view?usp=drive_link" TargetMode="External"/><Relationship Id="rId148" Type="http://schemas.openxmlformats.org/officeDocument/2006/relationships/hyperlink" Target="https://drive.google.com/file/d/10QffUBT5pcm7IZLLdIUvGh8RwDF7fU07/view?usp=drive_link" TargetMode="External"/><Relationship Id="rId1090" Type="http://schemas.openxmlformats.org/officeDocument/2006/relationships/hyperlink" Target="https://drive.google.com/file/d/1e4vE33MEVLNpts1M3uozSys90q31y1v6/view?usp=drive_link" TargetMode="External"/><Relationship Id="rId1091" Type="http://schemas.openxmlformats.org/officeDocument/2006/relationships/hyperlink" Target="https://drive.google.com/file/d/12wOd8ljRazSkNSmp3Dvd4Lmri2uqWMKU/view?usp=drive_link" TargetMode="External"/><Relationship Id="rId1092" Type="http://schemas.openxmlformats.org/officeDocument/2006/relationships/hyperlink" Target="https://drive.google.com/file/d/1nMImpSX71Ihq9n8EmwlDa-eDgp-YWCXk/view?usp=sharing" TargetMode="External"/><Relationship Id="rId1093" Type="http://schemas.openxmlformats.org/officeDocument/2006/relationships/hyperlink" Target="https://drive.google.com/file/d/1Kw3e05mJuvwmkOa0Fa_YInUdD0zCYiFc/view?usp=sharing" TargetMode="External"/><Relationship Id="rId1094" Type="http://schemas.openxmlformats.org/officeDocument/2006/relationships/hyperlink" Target="https://drive.google.com/file/d/10WJdakuZwpm23Tx_3jlQ0PXgMOFwHQVn/view?usp=sharing" TargetMode="External"/><Relationship Id="rId143" Type="http://schemas.openxmlformats.org/officeDocument/2006/relationships/hyperlink" Target="https://drive.google.com/file/d/1-uulw_BWpD3F8f2b_KeOHTpG4IQ_NE2W/view?usp=drive_link" TargetMode="External"/><Relationship Id="rId1095" Type="http://schemas.openxmlformats.org/officeDocument/2006/relationships/hyperlink" Target="https://drive.google.com/file/d/185iAjSt4u_qEvYHJ7X1qPKOuCMU72g4c/view?usp=sharing" TargetMode="External"/><Relationship Id="rId142" Type="http://schemas.openxmlformats.org/officeDocument/2006/relationships/hyperlink" Target="https://drive.google.com/file/d/16Xj8uJd_-qamJAysBFtwsWsrIBTsHx8g/view?usp=drive_link" TargetMode="External"/><Relationship Id="rId1096" Type="http://schemas.openxmlformats.org/officeDocument/2006/relationships/hyperlink" Target="https://drive.google.com/file/d/19AwZSvvNumJ0tfimqWJjLP5js1RGAlb8/view?usp=sharing" TargetMode="External"/><Relationship Id="rId141" Type="http://schemas.openxmlformats.org/officeDocument/2006/relationships/hyperlink" Target="https://drive.google.com/file/d/1uocX8ILqOsctOJx8IvLOLcXY3E9mHEy4/view?usp=drive_link" TargetMode="External"/><Relationship Id="rId1097" Type="http://schemas.openxmlformats.org/officeDocument/2006/relationships/hyperlink" Target="https://drive.google.com/file/d/19vh06BQ7XZMHBh1I0oc0gHW18z5e5UJx/view?usp=sharing" TargetMode="External"/><Relationship Id="rId140" Type="http://schemas.openxmlformats.org/officeDocument/2006/relationships/hyperlink" Target="https://drive.google.com/file/d/1js6qqfnxJ7to72FZ-mkOMqvNQoDdUKdV/view?usp=drive_link" TargetMode="External"/><Relationship Id="rId1098" Type="http://schemas.openxmlformats.org/officeDocument/2006/relationships/hyperlink" Target="https://drive.google.com/file/d/1ILbSM-SFhjHdBqTgeKxwAM4C9cTqGuv5/view?usp=sharing" TargetMode="External"/><Relationship Id="rId147" Type="http://schemas.openxmlformats.org/officeDocument/2006/relationships/hyperlink" Target="https://drive.google.com/file/d/1NHWM1lgQoay1wbECLOs8SKQUDK2VGNo4/view?usp=drive_link" TargetMode="External"/><Relationship Id="rId1099" Type="http://schemas.openxmlformats.org/officeDocument/2006/relationships/hyperlink" Target="https://drive.google.com/file/d/1pojTsQMg9gJhzapEOBtq6PmAErwXLU6L/view?usp=sharing" TargetMode="External"/><Relationship Id="rId146" Type="http://schemas.openxmlformats.org/officeDocument/2006/relationships/hyperlink" Target="https://drive.google.com/file/d/1Nfb2bM1N5UUf0hT5yoXd9D7C-RSGE3UB/view?usp=drive_link" TargetMode="External"/><Relationship Id="rId145" Type="http://schemas.openxmlformats.org/officeDocument/2006/relationships/hyperlink" Target="https://drive.google.com/file/d/1QzBtB6KEBpNLFNB4MX1tXDt3TXzB4m7Q/view?usp=drive_link" TargetMode="External"/><Relationship Id="rId144" Type="http://schemas.openxmlformats.org/officeDocument/2006/relationships/hyperlink" Target="https://drive.google.com/file/d/11Ru2Iq90QKZP4BOCMG8pVUFsNHYiGGgs/view?usp=drive_link" TargetMode="External"/><Relationship Id="rId139" Type="http://schemas.openxmlformats.org/officeDocument/2006/relationships/hyperlink" Target="https://drive.google.com/file/d/15qCfLrp_quFGG4JekS9o5aoJcDquKEoJ/view?usp=drive_link" TargetMode="External"/><Relationship Id="rId138" Type="http://schemas.openxmlformats.org/officeDocument/2006/relationships/hyperlink" Target="https://drive.google.com/file/d/15frtnO563e-IGOe3p35jminnCgZo7Bch/view?usp=drive_link" TargetMode="External"/><Relationship Id="rId137" Type="http://schemas.openxmlformats.org/officeDocument/2006/relationships/hyperlink" Target="https://drive.google.com/file/d/1Ajqgxbz-QFXfoUWgGSyZ-1ao6dl4JVQ9/view?usp=drive_link" TargetMode="External"/><Relationship Id="rId1080" Type="http://schemas.openxmlformats.org/officeDocument/2006/relationships/hyperlink" Target="https://drive.google.com/file/d/1pojTsQMg9gJhzapEOBtq6PmAErwXLU6L/view?usp=sharing" TargetMode="External"/><Relationship Id="rId1081" Type="http://schemas.openxmlformats.org/officeDocument/2006/relationships/hyperlink" Target="https://drive.google.com/file/d/1YSq00dRxR1bcdMCPNhomtE68lCJRJ_3R/view?usp=sharing" TargetMode="External"/><Relationship Id="rId1082" Type="http://schemas.openxmlformats.org/officeDocument/2006/relationships/hyperlink" Target="https://drive.google.com/file/d/1pNR7-sninAYkuQ0aZaRBLT1omNKRZnqK/view?usp=drive_link" TargetMode="External"/><Relationship Id="rId1083" Type="http://schemas.openxmlformats.org/officeDocument/2006/relationships/hyperlink" Target="https://drive.google.com/file/d/1juI7asC-bmV2IiteRDFJC3axZlSLERlV/view?usp=drive_link" TargetMode="External"/><Relationship Id="rId132" Type="http://schemas.openxmlformats.org/officeDocument/2006/relationships/hyperlink" Target="https://drive.google.com/file/d/1gV41Ud-98eLVeLYdqUFJwQ9QvrS8-Ox6/view?usp=drive_link" TargetMode="External"/><Relationship Id="rId1084" Type="http://schemas.openxmlformats.org/officeDocument/2006/relationships/hyperlink" Target="https://drive.google.com/file/d/1POU4i3srfwhs06OFD8mczv5ocdbEFV6a/view?usp=drive_link" TargetMode="External"/><Relationship Id="rId131" Type="http://schemas.openxmlformats.org/officeDocument/2006/relationships/hyperlink" Target="https://drive.google.com/file/d/1Ncgo6BpDsU4LOiXxiqhVPkvwwfNktm0V/view?usp=drive_link" TargetMode="External"/><Relationship Id="rId1085" Type="http://schemas.openxmlformats.org/officeDocument/2006/relationships/hyperlink" Target="https://drive.google.com/file/d/1gnax-A-ImyTJTvuhFnKWqdd2IgnR58ud/view?usp=sharing" TargetMode="External"/><Relationship Id="rId130" Type="http://schemas.openxmlformats.org/officeDocument/2006/relationships/hyperlink" Target="https://drive.google.com/file/d/1J6IcL3pMTPONMQOQxsrd3Gm5Iit63I2-/view?usp=drive_link" TargetMode="External"/><Relationship Id="rId1086" Type="http://schemas.openxmlformats.org/officeDocument/2006/relationships/hyperlink" Target="https://drive.google.com/file/d/1LvpFVzBQoJsgN4wf2DQBIftjTjaiDEPT/view?usp=sharing" TargetMode="External"/><Relationship Id="rId1087" Type="http://schemas.openxmlformats.org/officeDocument/2006/relationships/hyperlink" Target="https://drive.google.com/file/d/1xFwnsfpw29mUbCVX16NMmRGASTffaz-J/view?usp=sharing" TargetMode="External"/><Relationship Id="rId136" Type="http://schemas.openxmlformats.org/officeDocument/2006/relationships/hyperlink" Target="https://drive.google.com/file/d/1nJRvbb2-NCuXFkz63C0hWolBVzMlYlGS/view?usp=drive_link" TargetMode="External"/><Relationship Id="rId1088" Type="http://schemas.openxmlformats.org/officeDocument/2006/relationships/hyperlink" Target="https://drive.google.com/file/d/1fJMS96Iy-USTWRkpStV5BMD9FvQK_LGt/view?usp=sharing" TargetMode="External"/><Relationship Id="rId135" Type="http://schemas.openxmlformats.org/officeDocument/2006/relationships/hyperlink" Target="https://drive.google.com/file/d/1PcHyYO7Kob5wxp7FL_4QY_qprNqijlrF/view?usp=drive_link" TargetMode="External"/><Relationship Id="rId1089" Type="http://schemas.openxmlformats.org/officeDocument/2006/relationships/hyperlink" Target="https://drive.google.com/file/d/130fxYABw7Ogl3BupIsqcjw4RXeF-UM_L/view?usp=sharing" TargetMode="External"/><Relationship Id="rId134" Type="http://schemas.openxmlformats.org/officeDocument/2006/relationships/hyperlink" Target="https://drive.google.com/file/d/1XnMv7vnQavsKECuKrxbgpKERya3UfNJ3/view?usp=drive_link" TargetMode="External"/><Relationship Id="rId133" Type="http://schemas.openxmlformats.org/officeDocument/2006/relationships/hyperlink" Target="https://drive.google.com/file/d/1czpeMS2s7ivnN-bLLwrydfwEVYqoRVBV/view?usp=drive_link" TargetMode="External"/><Relationship Id="rId172" Type="http://schemas.openxmlformats.org/officeDocument/2006/relationships/hyperlink" Target="https://drive.google.com/file/d/1Ox-OhF2q_AvxsF1IGr3C_t2TlWCs64kx/view?usp=sharing" TargetMode="External"/><Relationship Id="rId171" Type="http://schemas.openxmlformats.org/officeDocument/2006/relationships/hyperlink" Target="https://drive.google.com/file/d/1MQ25xPu5oAS3VlTybcJquMGOZW1zlp82/view?usp=sharing" TargetMode="External"/><Relationship Id="rId170" Type="http://schemas.openxmlformats.org/officeDocument/2006/relationships/hyperlink" Target="https://drive.google.com/file/d/187KZ0bRQ3Xd0mu5vueFCRZix1em4VzAf/view?usp=sharing" TargetMode="External"/><Relationship Id="rId165" Type="http://schemas.openxmlformats.org/officeDocument/2006/relationships/hyperlink" Target="https://drive.google.com/file/d/1-TgO-QtzxHF4o1fWGiMoKoPd6JV-2Bsu/view?usp=sharing" TargetMode="External"/><Relationship Id="rId164" Type="http://schemas.openxmlformats.org/officeDocument/2006/relationships/hyperlink" Target="https://drive.google.com/file/d/1IvhTmEDJtNaJ0tgAXDVUFnMdGW2S_Eap/view?usp=sharing" TargetMode="External"/><Relationship Id="rId163" Type="http://schemas.openxmlformats.org/officeDocument/2006/relationships/hyperlink" Target="https://drive.google.com/file/d/1QOIBzghbWmKFNeBti25zzqsOrb8beUeB/view?usp=sharing" TargetMode="External"/><Relationship Id="rId162" Type="http://schemas.openxmlformats.org/officeDocument/2006/relationships/hyperlink" Target="https://drive.google.com/file/d/1wTrUEiK_LWRo7d3TDkbHb_XQneiT55Ne/view?usp=drive_link" TargetMode="External"/><Relationship Id="rId169" Type="http://schemas.openxmlformats.org/officeDocument/2006/relationships/hyperlink" Target="https://drive.google.com/file/d/1HEzGgEfknmAYm-X4TQoZMAWnwhFxLHXJ/view?usp=sharing" TargetMode="External"/><Relationship Id="rId168" Type="http://schemas.openxmlformats.org/officeDocument/2006/relationships/hyperlink" Target="https://drive.google.com/file/d/1DixG9_Fl4bqCVL2fl2xsLtTx1JPvVT2_/view?usp=sharing" TargetMode="External"/><Relationship Id="rId167" Type="http://schemas.openxmlformats.org/officeDocument/2006/relationships/hyperlink" Target="https://drive.google.com/file/d/1HfdMfJUKfKAqF48E1F0LcYlEThhntDvS/view?usp=sharing" TargetMode="External"/><Relationship Id="rId166" Type="http://schemas.openxmlformats.org/officeDocument/2006/relationships/hyperlink" Target="https://drive.google.com/file/d/1XefzV9OtPi3t9PfTX97D4PpiUE7qSpfQ/view?usp=sharing" TargetMode="External"/><Relationship Id="rId161" Type="http://schemas.openxmlformats.org/officeDocument/2006/relationships/hyperlink" Target="https://drive.google.com/file/d/1bRq6Hk730rvYVejU_TnSU9SCbnts_w4u/view?usp=drive_link" TargetMode="External"/><Relationship Id="rId160" Type="http://schemas.openxmlformats.org/officeDocument/2006/relationships/hyperlink" Target="https://drive.google.com/file/d/1VaF56fUAss9TEHDVk1s3FvdAcRC-YfnR/view?usp=drive_link" TargetMode="External"/><Relationship Id="rId159" Type="http://schemas.openxmlformats.org/officeDocument/2006/relationships/hyperlink" Target="https://drive.google.com/file/d/1GYqjcPvWBWbpH7O9QFNL0w4rlPgmytVR/view?usp=drive_link" TargetMode="External"/><Relationship Id="rId154" Type="http://schemas.openxmlformats.org/officeDocument/2006/relationships/hyperlink" Target="https://drive.google.com/file/d/1SMbkCHbxfrIk33uUtZUzVm0xYGyx9LSf/view?usp=drive_link" TargetMode="External"/><Relationship Id="rId153" Type="http://schemas.openxmlformats.org/officeDocument/2006/relationships/hyperlink" Target="https://drive.google.com/file/d/1-fPpHm-KUoJ6z80Equ5ArgrVIcfJr279/view?usp=drive_link" TargetMode="External"/><Relationship Id="rId152" Type="http://schemas.openxmlformats.org/officeDocument/2006/relationships/hyperlink" Target="https://drive.google.com/file/d/12JiZ-Hl8sqWc1-mmyngvT1bNjIBHfpPq/view?usp=drive_link" TargetMode="External"/><Relationship Id="rId151" Type="http://schemas.openxmlformats.org/officeDocument/2006/relationships/hyperlink" Target="https://drive.google.com/file/d/1Pj5pNRsoc_NHaXsk7hiL_YQtYurwbNXo/view?usp=drive_link" TargetMode="External"/><Relationship Id="rId158" Type="http://schemas.openxmlformats.org/officeDocument/2006/relationships/hyperlink" Target="https://drive.google.com/file/d/14DA9I69hIqOgdfn0VK3CesgSKjTrdZFo/view?usp=drive_link" TargetMode="External"/><Relationship Id="rId157" Type="http://schemas.openxmlformats.org/officeDocument/2006/relationships/hyperlink" Target="https://drive.google.com/file/d/1P-Xfid1du3XY9joi02mFE6njdiYXUk0y/view?usp=drive_link" TargetMode="External"/><Relationship Id="rId156" Type="http://schemas.openxmlformats.org/officeDocument/2006/relationships/hyperlink" Target="https://drive.google.com/file/d/1QeJrqopQTLNs4ZHKdP9IhgvP2Vww7NFC/view?usp=drive_link" TargetMode="External"/><Relationship Id="rId155" Type="http://schemas.openxmlformats.org/officeDocument/2006/relationships/hyperlink" Target="https://drive.google.com/file/d/1HmpH2Sa0xEOPgGY12GIO9PFxyeJjRCeM/view?usp=drive_link" TargetMode="External"/><Relationship Id="rId1510" Type="http://schemas.openxmlformats.org/officeDocument/2006/relationships/hyperlink" Target="https://drive.google.com/file/d/1fnHCrg0Wq8zu6fITLPU4VkOp1fAcy42-/view?usp=drive_link" TargetMode="External"/><Relationship Id="rId1511" Type="http://schemas.openxmlformats.org/officeDocument/2006/relationships/hyperlink" Target="https://drive.google.com/file/d/1WMYfhBUppUgwW_N6H8fl0cycgQuTg4OC/view?usp=drive_link" TargetMode="External"/><Relationship Id="rId1512" Type="http://schemas.openxmlformats.org/officeDocument/2006/relationships/hyperlink" Target="https://drive.google.com/file/d/1NqxhzJgHbhX3nepbBEp-KJtBnUaSNNUd/view?usp=drive_link" TargetMode="External"/><Relationship Id="rId1513" Type="http://schemas.openxmlformats.org/officeDocument/2006/relationships/hyperlink" Target="https://drive.google.com/file/d/13euf9BO0I4b2bmqtqF6PdQs6P7BnInjT/view?usp=drive_link" TargetMode="External"/><Relationship Id="rId1514" Type="http://schemas.openxmlformats.org/officeDocument/2006/relationships/hyperlink" Target="https://drive.google.com/file/d/1H-pO_TV2fGDRDwY2z6aT5s3ylJon8sHn/view?usp=drive_link" TargetMode="External"/><Relationship Id="rId1515" Type="http://schemas.openxmlformats.org/officeDocument/2006/relationships/hyperlink" Target="https://drive.google.com/file/d/17Tjw6DvpdEuqSe5bglp5tf5-3XegB60H/view?usp=drive_link" TargetMode="External"/><Relationship Id="rId1516" Type="http://schemas.openxmlformats.org/officeDocument/2006/relationships/hyperlink" Target="https://drive.google.com/file/d/1DyDa4oSYBwG8QXaCgD127AxJz55OOZWh/view?usp=drive_link" TargetMode="External"/><Relationship Id="rId1517" Type="http://schemas.openxmlformats.org/officeDocument/2006/relationships/hyperlink" Target="https://drive.google.com/file/d/1qX3X8ONOnsxWbGB3oNFPGf7-xw6EHaQh/view?usp=drive_link" TargetMode="External"/><Relationship Id="rId1518" Type="http://schemas.openxmlformats.org/officeDocument/2006/relationships/hyperlink" Target="https://drive.google.com/file/d/1M8gqjD9xu-jcfop1VD32oT0Oa5HGzsv7/view?usp=drive_link" TargetMode="External"/><Relationship Id="rId1519" Type="http://schemas.openxmlformats.org/officeDocument/2006/relationships/hyperlink" Target="https://drive.google.com/file/d/1OoN-GWV8k3nhBIfv6O2XAN3Yqmn4MFP9/view?usp=drive_link" TargetMode="External"/><Relationship Id="rId1500" Type="http://schemas.openxmlformats.org/officeDocument/2006/relationships/hyperlink" Target="https://drive.google.com/file/d/10TVDm5UKd0EyIlRXem2l-fAST06phI_S/view?usp=drive_link" TargetMode="External"/><Relationship Id="rId1501" Type="http://schemas.openxmlformats.org/officeDocument/2006/relationships/hyperlink" Target="https://drive.google.com/file/d/11e7uoNXMIXIBVuhFjSRab5twK7Jv3oo_/view?usp=drive_link" TargetMode="External"/><Relationship Id="rId1502" Type="http://schemas.openxmlformats.org/officeDocument/2006/relationships/hyperlink" Target="https://drive.google.com/file/d/11IoUSDfh7JvvIYYBMY6-vNxJ5gQSxRYh/view?usp=drive_link" TargetMode="External"/><Relationship Id="rId1503" Type="http://schemas.openxmlformats.org/officeDocument/2006/relationships/hyperlink" Target="https://drive.google.com/file/d/1m98Fwfl-8qEC-KIzliXE8PumbblIiX_d/view?usp=drive_link" TargetMode="External"/><Relationship Id="rId1504" Type="http://schemas.openxmlformats.org/officeDocument/2006/relationships/hyperlink" Target="https://drive.google.com/file/d/1gp1Sry-7l6WrcNbsPxwTFh7qG0ungvuD/view?usp=drive_link" TargetMode="External"/><Relationship Id="rId1505" Type="http://schemas.openxmlformats.org/officeDocument/2006/relationships/hyperlink" Target="https://drive.google.com/file/d/1xBhMydJFy33VbHpXCTFxdBPUBptgrfMM/view?usp=drive_link" TargetMode="External"/><Relationship Id="rId1506" Type="http://schemas.openxmlformats.org/officeDocument/2006/relationships/hyperlink" Target="https://drive.google.com/file/d/159g6qW_gwjyGGOd8lu65oTDeNVLUM9Rv/view?usp=drive_link" TargetMode="External"/><Relationship Id="rId1507" Type="http://schemas.openxmlformats.org/officeDocument/2006/relationships/hyperlink" Target="https://drive.google.com/file/d/14NM-_qASiFXNdjqLJtIn4F_I2J6yqr7n/view?usp=drive_link" TargetMode="External"/><Relationship Id="rId1508" Type="http://schemas.openxmlformats.org/officeDocument/2006/relationships/hyperlink" Target="https://drive.google.com/file/d/1W7arwALlLsFibIa5df6yBcBbvEgDzxsz/view?usp=drive_link" TargetMode="External"/><Relationship Id="rId1509" Type="http://schemas.openxmlformats.org/officeDocument/2006/relationships/hyperlink" Target="https://drive.google.com/file/d/1yKkEC9K5c2Bv9bYowSjlm8w5Y3JQOJ05/view?usp=drive_link" TargetMode="External"/><Relationship Id="rId509" Type="http://schemas.openxmlformats.org/officeDocument/2006/relationships/hyperlink" Target="https://drive.google.com/file/d/12eBpfLlvVqTsiwk6229lrezcX3bDwM7f/view?usp=drive_link" TargetMode="External"/><Relationship Id="rId508" Type="http://schemas.openxmlformats.org/officeDocument/2006/relationships/hyperlink" Target="https://drive.google.com/file/d/12Co87xWBxNWzCr1yFnMw10neDgHW3kNr/view?usp=drive_link" TargetMode="External"/><Relationship Id="rId503" Type="http://schemas.openxmlformats.org/officeDocument/2006/relationships/hyperlink" Target="https://drive.google.com/file/d/1FXFmfPmEy72zHK0w-Cw5uUrEEgsfiObs/view?usp=drive_link" TargetMode="External"/><Relationship Id="rId987" Type="http://schemas.openxmlformats.org/officeDocument/2006/relationships/hyperlink" Target="https://drive.google.com/file/d/17YTYc7U-hwc_T0j-UJeYPZDPQRwVpvWX/view?usp=drive_link" TargetMode="External"/><Relationship Id="rId502" Type="http://schemas.openxmlformats.org/officeDocument/2006/relationships/hyperlink" Target="https://drive.google.com/file/d/1y84A6lLmtRk6R1oGMLrRfRaZ2AbIYZ0J/view?usp=drive_link" TargetMode="External"/><Relationship Id="rId986" Type="http://schemas.openxmlformats.org/officeDocument/2006/relationships/hyperlink" Target="https://drive.google.com/file/d/1JXmuaiPOTmjnQAhjAa2mE0xTD5hjYFWs/view?usp=drive_link" TargetMode="External"/><Relationship Id="rId501" Type="http://schemas.openxmlformats.org/officeDocument/2006/relationships/hyperlink" Target="https://drive.google.com/file/d/1OAjMgK2QI_HHEjvIeMn-3oPZcmLWGcWq/view?usp=drive_link" TargetMode="External"/><Relationship Id="rId985" Type="http://schemas.openxmlformats.org/officeDocument/2006/relationships/hyperlink" Target="https://drive.google.com/file/d/1Jwf2cY4Yz41prCRvskkLFDHiOiHw7mqA/view?usp=drive_link" TargetMode="External"/><Relationship Id="rId500" Type="http://schemas.openxmlformats.org/officeDocument/2006/relationships/hyperlink" Target="https://drive.google.com/file/d/1rgCpGPVlimCy_-ADRSLvT7smFVE57yGt/view?usp=drive_link" TargetMode="External"/><Relationship Id="rId984" Type="http://schemas.openxmlformats.org/officeDocument/2006/relationships/hyperlink" Target="https://drive.google.com/file/d/1DApO08XIAuFLZBYsbmv-1fnAo8HBrPFE/view?usp=drive_link" TargetMode="External"/><Relationship Id="rId507" Type="http://schemas.openxmlformats.org/officeDocument/2006/relationships/hyperlink" Target="https://drive.google.com/file/d/17e7OE-qrf8LYnoWKTTsKC3EbBC0qrAAm/view?usp=drive_link" TargetMode="External"/><Relationship Id="rId506" Type="http://schemas.openxmlformats.org/officeDocument/2006/relationships/hyperlink" Target="https://drive.google.com/file/d/1-_O1e5ysvUJLSGA8HIcklYeplAam2F7X/view?usp=drive_link" TargetMode="External"/><Relationship Id="rId505" Type="http://schemas.openxmlformats.org/officeDocument/2006/relationships/hyperlink" Target="https://drive.google.com/file/d/18_3uTvPOk194guooyvL8b3oPFV61CQV3/view?usp=drive_link" TargetMode="External"/><Relationship Id="rId989" Type="http://schemas.openxmlformats.org/officeDocument/2006/relationships/hyperlink" Target="https://drive.google.com/file/d/1W6SMExlLV4iWi8tMDAwWiJQkZB0DAR9W/view?usp=drive_link" TargetMode="External"/><Relationship Id="rId504" Type="http://schemas.openxmlformats.org/officeDocument/2006/relationships/hyperlink" Target="https://drive.google.com/file/d/1kP0rdg1sNmet3ouE6B09o7qzIiu_CGkz/view?usp=drive_link" TargetMode="External"/><Relationship Id="rId988" Type="http://schemas.openxmlformats.org/officeDocument/2006/relationships/hyperlink" Target="https://drive.google.com/file/d/1WWmrCRJ5aPEY5KyZZECkUbkjqnzN5Mir/view?usp=drive_link" TargetMode="External"/><Relationship Id="rId983" Type="http://schemas.openxmlformats.org/officeDocument/2006/relationships/hyperlink" Target="https://drive.google.com/file/d/1dx0vaUfb_Mzotcxc8_Ld8CKfRbiiPAag/view?usp=drive_link" TargetMode="External"/><Relationship Id="rId982" Type="http://schemas.openxmlformats.org/officeDocument/2006/relationships/hyperlink" Target="https://drive.google.com/file/d/1DFEQK4Fgo9mdTA1o_UYhb6FxeXOu20gM/view?usp=drive_link" TargetMode="External"/><Relationship Id="rId981" Type="http://schemas.openxmlformats.org/officeDocument/2006/relationships/hyperlink" Target="https://drive.google.com/file/d/199F9soy1po_peNDSwDqAhsJoyxnrwjf5/view?usp=drive_link" TargetMode="External"/><Relationship Id="rId980" Type="http://schemas.openxmlformats.org/officeDocument/2006/relationships/hyperlink" Target="https://drive.google.com/file/d/1ZZoTKD7hOramQ2uz8KldMy5haMiNQzzC/view?usp=drive_link" TargetMode="External"/><Relationship Id="rId976" Type="http://schemas.openxmlformats.org/officeDocument/2006/relationships/hyperlink" Target="https://drive.google.com/file/d/1nFJ43dq1fyA3WUC-Y06NIjNoxBuybLVA/view?usp=drive_link" TargetMode="External"/><Relationship Id="rId975" Type="http://schemas.openxmlformats.org/officeDocument/2006/relationships/hyperlink" Target="https://drive.google.com/file/d/1P5kwyNH5bgya92D8aJ1_-DogZRzgXQlw/view?usp=drive_link" TargetMode="External"/><Relationship Id="rId974" Type="http://schemas.openxmlformats.org/officeDocument/2006/relationships/hyperlink" Target="https://drive.google.com/file/d/1uW6jTvaal3LkzOzRHBDdV9adXhlRD-98/view?usp=drive_link" TargetMode="External"/><Relationship Id="rId973" Type="http://schemas.openxmlformats.org/officeDocument/2006/relationships/hyperlink" Target="https://drive.google.com/file/d/1fQgMSqwRJfSzfZSKHnUgs1GKo8NAwduv/view?usp=drive_link" TargetMode="External"/><Relationship Id="rId979" Type="http://schemas.openxmlformats.org/officeDocument/2006/relationships/hyperlink" Target="https://drive.google.com/file/d/1suv4ZFYdQiQWU4g6vptF_zQi_G3Hy4Ow/view?usp=drive_link" TargetMode="External"/><Relationship Id="rId978" Type="http://schemas.openxmlformats.org/officeDocument/2006/relationships/hyperlink" Target="https://drive.google.com/file/d/1N0rl4zEj6Sc3CpJvVvfnMUttYT2CyZRy/view?usp=drive_link" TargetMode="External"/><Relationship Id="rId977" Type="http://schemas.openxmlformats.org/officeDocument/2006/relationships/hyperlink" Target="https://drive.google.com/file/d/1W4yADTL9hPAoiW6K9ZruUw0BdJfiTgoa/view?usp=drive_link" TargetMode="External"/><Relationship Id="rId972" Type="http://schemas.openxmlformats.org/officeDocument/2006/relationships/hyperlink" Target="https://drive.google.com/file/d/1dm6Y2v4UU1poTziiiPVXzAj8jiBIq9YB/view?usp=drive_link" TargetMode="External"/><Relationship Id="rId971" Type="http://schemas.openxmlformats.org/officeDocument/2006/relationships/hyperlink" Target="https://drive.google.com/file/d/1whAQwbL3iNMeJVIn7o1l7PQDbxM2yt2F/view?usp=drive_link" TargetMode="External"/><Relationship Id="rId970" Type="http://schemas.openxmlformats.org/officeDocument/2006/relationships/hyperlink" Target="https://drive.google.com/file/d/1t7-dIQizdb-AptJZCrLKNa_pL9u2brk1/view?usp=drive_link" TargetMode="External"/><Relationship Id="rId1114" Type="http://schemas.openxmlformats.org/officeDocument/2006/relationships/hyperlink" Target="https://drive.google.com/file/d/1iquPXYHd1qkxC0fsvt_xOvVISz9EONID/view?usp=sharing" TargetMode="External"/><Relationship Id="rId1115" Type="http://schemas.openxmlformats.org/officeDocument/2006/relationships/hyperlink" Target="https://drive.google.com/file/d/1tKv_FLwOQK2rn7vONygb43vVNzGfrLBM/view?usp=sharing" TargetMode="External"/><Relationship Id="rId1116" Type="http://schemas.openxmlformats.org/officeDocument/2006/relationships/hyperlink" Target="https://drive.google.com/file/d/1NQkME5G8qUDAGHemHP_1EOeqGaHEz9hd/view?usp=sharing" TargetMode="External"/><Relationship Id="rId1117" Type="http://schemas.openxmlformats.org/officeDocument/2006/relationships/hyperlink" Target="https://drive.google.com/file/d/1Nrb7EIsQ6FxEStCdVFaRyDdJIaHEcAiy/view?usp=sharing" TargetMode="External"/><Relationship Id="rId1118" Type="http://schemas.openxmlformats.org/officeDocument/2006/relationships/hyperlink" Target="https://drive.google.com/file/d/1Z3fTEH6g8VRBzjyFM-tBAvcGZ4n_yZLs/view?usp=sharing" TargetMode="External"/><Relationship Id="rId1119" Type="http://schemas.openxmlformats.org/officeDocument/2006/relationships/hyperlink" Target="https://drive.google.com/file/d/1L7B7GD1ag7p6fTMwwwEhQbspcPntPk5k/view?usp=sharing" TargetMode="External"/><Relationship Id="rId525" Type="http://schemas.openxmlformats.org/officeDocument/2006/relationships/hyperlink" Target="https://drive.google.com/file/d/1URAHB0efSsVksJ6c3Y8wkVUtkyCvjv_v/view?usp=drive_link" TargetMode="External"/><Relationship Id="rId524" Type="http://schemas.openxmlformats.org/officeDocument/2006/relationships/hyperlink" Target="https://drive.google.com/file/d/1mJheTthNjL1iXWjx5hsHAlxH0VACktos/view?usp=drive_link" TargetMode="External"/><Relationship Id="rId523" Type="http://schemas.openxmlformats.org/officeDocument/2006/relationships/hyperlink" Target="https://drive.google.com/file/d/1wurpBFFWrEQMOIARvDXAXFnx0zKq1P9X/view?usp=drive_link" TargetMode="External"/><Relationship Id="rId522" Type="http://schemas.openxmlformats.org/officeDocument/2006/relationships/hyperlink" Target="https://drive.google.com/file/d/150Wny877KC0NWmQPtLFJAkF0KLh7bJ5A/view?usp=drive_link" TargetMode="External"/><Relationship Id="rId529" Type="http://schemas.openxmlformats.org/officeDocument/2006/relationships/hyperlink" Target="https://drive.google.com/file/d/15YRStZdb48LegQM3U0TtoTqRc1HGVAj7/view?usp=drive_link" TargetMode="External"/><Relationship Id="rId528" Type="http://schemas.openxmlformats.org/officeDocument/2006/relationships/hyperlink" Target="https://drive.google.com/file/d/1leurg-oKmXBQZFgPp511MzOZheDlAnbC/view?usp=sharing" TargetMode="External"/><Relationship Id="rId527" Type="http://schemas.openxmlformats.org/officeDocument/2006/relationships/hyperlink" Target="https://drive.google.com/file/d/1PEADFAErkoJ3qqjBFQqF39FFna6ealVM/view?usp=sharing" TargetMode="External"/><Relationship Id="rId526" Type="http://schemas.openxmlformats.org/officeDocument/2006/relationships/hyperlink" Target="https://drive.google.com/file/d/1SYt21Dm-mwGhdFMzkYwBTn25i0f4Ex5T/view?usp=sharing" TargetMode="External"/><Relationship Id="rId521" Type="http://schemas.openxmlformats.org/officeDocument/2006/relationships/hyperlink" Target="https://drive.google.com/file/d/1mhUBAKNaSv8P4QbygSG_VzTTltk0CAeD/view?usp=drive_link" TargetMode="External"/><Relationship Id="rId1110" Type="http://schemas.openxmlformats.org/officeDocument/2006/relationships/hyperlink" Target="https://drive.google.com/file/d/1KDQolGR38Ab_mkFXixkb7Fqp5M_hhEvz/view?usp=sharing" TargetMode="External"/><Relationship Id="rId520" Type="http://schemas.openxmlformats.org/officeDocument/2006/relationships/hyperlink" Target="https://drive.google.com/file/d/1HuLvnCicqxuJLlLbhRd4swiXrzx96xoz/view?usp=drive_link" TargetMode="External"/><Relationship Id="rId1111" Type="http://schemas.openxmlformats.org/officeDocument/2006/relationships/hyperlink" Target="https://drive.google.com/file/d/1ONBBjpjkCYH761xA8CmMO9CpEzWPvXFp/view?usp=sharing" TargetMode="External"/><Relationship Id="rId1112" Type="http://schemas.openxmlformats.org/officeDocument/2006/relationships/hyperlink" Target="https://drive.google.com/file/d/1jNie-mpglEfHlZ_4FTWKI0DP1nSpnMgH/view?usp=sharing" TargetMode="External"/><Relationship Id="rId1113" Type="http://schemas.openxmlformats.org/officeDocument/2006/relationships/hyperlink" Target="https://drive.google.com/file/d/19HwgJYnQisfHg7golmn9C29IyU-tO_7_/view?usp=sharing" TargetMode="External"/><Relationship Id="rId1103" Type="http://schemas.openxmlformats.org/officeDocument/2006/relationships/hyperlink" Target="https://drive.google.com/file/d/1nvqPTqxqaxWeLfqhPEAgXh03QNC4PW10/view?usp=sharing" TargetMode="External"/><Relationship Id="rId1104" Type="http://schemas.openxmlformats.org/officeDocument/2006/relationships/hyperlink" Target="https://drive.google.com/file/d/1gnax-A-ImyTJTvuhFnKWqdd2IgnR58ud/view?usp=sharing" TargetMode="External"/><Relationship Id="rId1105" Type="http://schemas.openxmlformats.org/officeDocument/2006/relationships/hyperlink" Target="https://drive.google.com/file/d/1LvpFVzBQoJsgN4wf2DQBIftjTjaiDEPT/view?usp=sharing" TargetMode="External"/><Relationship Id="rId1106" Type="http://schemas.openxmlformats.org/officeDocument/2006/relationships/hyperlink" Target="https://drive.google.com/file/d/1xFwnsfpw29mUbCVX16NMmRGASTffaz-J/view?usp=sharing" TargetMode="External"/><Relationship Id="rId1107" Type="http://schemas.openxmlformats.org/officeDocument/2006/relationships/hyperlink" Target="https://drive.google.com/file/d/1fJMS96Iy-USTWRkpStV5BMD9FvQK_LGt/view?usp=sharing" TargetMode="External"/><Relationship Id="rId1108" Type="http://schemas.openxmlformats.org/officeDocument/2006/relationships/hyperlink" Target="https://drive.google.com/file/d/1GSbiPFCKcZSExJmb5g4l-wBji1nPOO-D/view?usp=sharing" TargetMode="External"/><Relationship Id="rId1109" Type="http://schemas.openxmlformats.org/officeDocument/2006/relationships/hyperlink" Target="https://drive.google.com/file/d/1zB_BAOeDv5mc5sd5bW1Ye6kw7gin2hNn/view?usp=sharing" TargetMode="External"/><Relationship Id="rId519" Type="http://schemas.openxmlformats.org/officeDocument/2006/relationships/hyperlink" Target="https://drive.google.com/file/d/1OeTrvrx-qJKWzpTl2_3FDAmO4N3pUvoT/view?usp=drive_link" TargetMode="External"/><Relationship Id="rId514" Type="http://schemas.openxmlformats.org/officeDocument/2006/relationships/hyperlink" Target="https://drive.google.com/file/d/18i-0-Nt2-9o8soNBQFBdQzqOKm2DaaYJ/view?usp=drive_link" TargetMode="External"/><Relationship Id="rId998" Type="http://schemas.openxmlformats.org/officeDocument/2006/relationships/hyperlink" Target="https://drive.google.com/file/d/16uvIiwwpKHa7XDTHdlrDJwk2BrwO85eD/view?usp=drive_link" TargetMode="External"/><Relationship Id="rId513" Type="http://schemas.openxmlformats.org/officeDocument/2006/relationships/hyperlink" Target="https://drive.google.com/file/d/11UnG7mg0UPJmv13TWWprLanl4TNCm21w/view?usp=drive_link" TargetMode="External"/><Relationship Id="rId997" Type="http://schemas.openxmlformats.org/officeDocument/2006/relationships/hyperlink" Target="https://drive.google.com/file/d/1NjHG4ihskRCdSGyjWxqf4OrXehjUmnKH/view?usp=sharing" TargetMode="External"/><Relationship Id="rId512" Type="http://schemas.openxmlformats.org/officeDocument/2006/relationships/hyperlink" Target="https://drive.google.com/file/d/14-7vfvwUQ9K3cFoLtY3brb2kyavpntmy/view?usp=drive_link" TargetMode="External"/><Relationship Id="rId996" Type="http://schemas.openxmlformats.org/officeDocument/2006/relationships/hyperlink" Target="https://drive.google.com/file/d/1ALOajrMWtuzHF9YlpDR8UgsiEJW3bI16/view?usp=drive_link" TargetMode="External"/><Relationship Id="rId511" Type="http://schemas.openxmlformats.org/officeDocument/2006/relationships/hyperlink" Target="https://drive.google.com/file/d/1pUWg7_hu-sSFaH-cvkHnTh7pl8IsPtwW/view?usp=drive_link" TargetMode="External"/><Relationship Id="rId995" Type="http://schemas.openxmlformats.org/officeDocument/2006/relationships/hyperlink" Target="https://drive.google.com/file/d/1UTqUXjG4IPV2NzDBP_FlzKtqqjSr2TIV/view?usp=drive_link" TargetMode="External"/><Relationship Id="rId518" Type="http://schemas.openxmlformats.org/officeDocument/2006/relationships/hyperlink" Target="https://drive.google.com/file/d/1cuqzS4Rtr-_gJ3pZTvJiCAehBGYiVUQ9/view?usp=drive_link" TargetMode="External"/><Relationship Id="rId517" Type="http://schemas.openxmlformats.org/officeDocument/2006/relationships/hyperlink" Target="https://drive.google.com/file/d/19TX3Sl0Vcq3eC3jD4ykaA36dsbYI7dq9/view?usp=drive_link" TargetMode="External"/><Relationship Id="rId516" Type="http://schemas.openxmlformats.org/officeDocument/2006/relationships/hyperlink" Target="https://drive.google.com/file/d/1AmIuaUDrm7ooZ6vZDcscNIWD1NCdnXnz/view?usp=drive_link" TargetMode="External"/><Relationship Id="rId515" Type="http://schemas.openxmlformats.org/officeDocument/2006/relationships/hyperlink" Target="https://drive.google.com/file/d/1uZs_L7pcFlixp-eyUkI0yx8ROLYX1R60/view?usp=drive_link" TargetMode="External"/><Relationship Id="rId999" Type="http://schemas.openxmlformats.org/officeDocument/2006/relationships/hyperlink" Target="https://drive.google.com/file/d/18kVUPV0CUpDhv66NBJ4uqDaTj74PavbZ/view?usp=drive_link" TargetMode="External"/><Relationship Id="rId990" Type="http://schemas.openxmlformats.org/officeDocument/2006/relationships/hyperlink" Target="https://drive.google.com/file/d/1mJipx4lCpQjWZJU0GktoT3aO18nr2Fb6/view?usp=drive_link" TargetMode="External"/><Relationship Id="rId510" Type="http://schemas.openxmlformats.org/officeDocument/2006/relationships/hyperlink" Target="https://drive.google.com/file/d/14_8xvaAhrkVwlEN68wlSBtgLo1wdO4Kr/view?usp=drive_link" TargetMode="External"/><Relationship Id="rId994" Type="http://schemas.openxmlformats.org/officeDocument/2006/relationships/hyperlink" Target="https://drive.google.com/file/d/17j7BXBhUOrARORqvWPUAvnig2Gh6tNyA/view?usp=drive_link" TargetMode="External"/><Relationship Id="rId993" Type="http://schemas.openxmlformats.org/officeDocument/2006/relationships/hyperlink" Target="https://drive.google.com/file/d/1bBuevQ4VFB0U4ySyMsGvaGOPUuAgetTC/view?usp=drive_link" TargetMode="External"/><Relationship Id="rId1100" Type="http://schemas.openxmlformats.org/officeDocument/2006/relationships/hyperlink" Target="https://drive.google.com/file/d/1YSq00dRxR1bcdMCPNhomtE68lCJRJ_3R/view?usp=sharing" TargetMode="External"/><Relationship Id="rId992" Type="http://schemas.openxmlformats.org/officeDocument/2006/relationships/hyperlink" Target="https://drive.google.com/file/d/17liCDzNXYCZsShobJ62_7rrS4vn4MmUY/view?usp=drive_link" TargetMode="External"/><Relationship Id="rId1101" Type="http://schemas.openxmlformats.org/officeDocument/2006/relationships/hyperlink" Target="https://drive.google.com/file/d/1CoBm_OIsgvaWQcwe6OwEIpxTn6VXfU5n/view?usp=sharing" TargetMode="External"/><Relationship Id="rId991" Type="http://schemas.openxmlformats.org/officeDocument/2006/relationships/hyperlink" Target="https://drive.google.com/file/d/1ZAt1B4jlp0QJilJVEQcJfvr16N7xJrlB/view?usp=drive_link" TargetMode="External"/><Relationship Id="rId1102" Type="http://schemas.openxmlformats.org/officeDocument/2006/relationships/hyperlink" Target="https://drive.google.com/file/d/1W5rsVSfpV1jSO6ZWa3Zg0aeTpVlDhh8w/view?usp=sharing" TargetMode="External"/><Relationship Id="rId1532" Type="http://schemas.openxmlformats.org/officeDocument/2006/relationships/hyperlink" Target="https://drive.google.com/file/d/1uaTPQByPScPpD4m9FJJl3hkYMnFBEVcb/view?usp=drive_link" TargetMode="External"/><Relationship Id="rId1533" Type="http://schemas.openxmlformats.org/officeDocument/2006/relationships/hyperlink" Target="https://drive.google.com/file/d/18AVqEGwPytDE9tFKqoH1aS6NjmfDV5vR/view?usp=drive_link" TargetMode="External"/><Relationship Id="rId1534" Type="http://schemas.openxmlformats.org/officeDocument/2006/relationships/hyperlink" Target="https://drive.google.com/file/d/1_WVTRvhconpRWwluqrpSJqChOXW9hnul/view?usp=drive_link" TargetMode="External"/><Relationship Id="rId1535" Type="http://schemas.openxmlformats.org/officeDocument/2006/relationships/hyperlink" Target="https://drive.google.com/file/d/199I5JSA58-TXz0gcRQsaDzen1JGosFc0/view?usp=drive_link" TargetMode="External"/><Relationship Id="rId1536" Type="http://schemas.openxmlformats.org/officeDocument/2006/relationships/hyperlink" Target="https://drive.google.com/file/d/1WUTUhs9m-2Fl9cprs9ePJZtM-QnG0XLY/view?usp=drive_link" TargetMode="External"/><Relationship Id="rId1537" Type="http://schemas.openxmlformats.org/officeDocument/2006/relationships/hyperlink" Target="https://drive.google.com/file/d/1DCc2jGaahkh597Rh4xFYEFGNhRvITD_O/view?usp=drive_link" TargetMode="External"/><Relationship Id="rId1538" Type="http://schemas.openxmlformats.org/officeDocument/2006/relationships/hyperlink" Target="https://drive.google.com/file/d/13WbhG2R1biV7KK6SL9uZ6w4RZNGHApbv/view?usp=drive_link" TargetMode="External"/><Relationship Id="rId1539" Type="http://schemas.openxmlformats.org/officeDocument/2006/relationships/hyperlink" Target="https://drive.google.com/file/d/1W8UyrlYC_i-zbXrJ18Voj-fk_rd3G4pn/view?usp=drive_link" TargetMode="External"/><Relationship Id="rId949" Type="http://schemas.openxmlformats.org/officeDocument/2006/relationships/hyperlink" Target="https://drive.google.com/file/d/1CBAoKuvMUJtnmKieFFzH-03rI_-dWF0J/view?usp=drive_link" TargetMode="External"/><Relationship Id="rId948" Type="http://schemas.openxmlformats.org/officeDocument/2006/relationships/hyperlink" Target="https://drive.google.com/file/d/1MRTnkNlpqtpMcokUw7ebGtZOz2Uk8SUm/view?usp=drive_link" TargetMode="External"/><Relationship Id="rId943" Type="http://schemas.openxmlformats.org/officeDocument/2006/relationships/hyperlink" Target="https://drive.google.com/file/d/1YUCfswT2Vlj5dHKaHLEr23lV76ov0GKP/view?usp=drive_link" TargetMode="External"/><Relationship Id="rId942" Type="http://schemas.openxmlformats.org/officeDocument/2006/relationships/hyperlink" Target="https://drive.google.com/file/d/168radVY7mj7LG700pjBHjMfPVFLVDSxo/view?usp=drive_link" TargetMode="External"/><Relationship Id="rId941" Type="http://schemas.openxmlformats.org/officeDocument/2006/relationships/hyperlink" Target="https://drive.google.com/file/d/1dVWxaml7EElu3adhK6ohiwKguFZiP-vD/view?usp=drive_link" TargetMode="External"/><Relationship Id="rId940" Type="http://schemas.openxmlformats.org/officeDocument/2006/relationships/hyperlink" Target="https://drive.google.com/file/d/19ziIpACtt3wPBM1jncPJ4zRNHTrO4AeG/view?usp=drive_link" TargetMode="External"/><Relationship Id="rId947" Type="http://schemas.openxmlformats.org/officeDocument/2006/relationships/hyperlink" Target="https://drive.google.com/file/d/1traIuN0qMFNi24A9YnJ3dMAT5-LAXmOk/view?usp=drive_link" TargetMode="External"/><Relationship Id="rId946" Type="http://schemas.openxmlformats.org/officeDocument/2006/relationships/hyperlink" Target="https://drive.google.com/file/d/1uVTql_wIUAM6WJUAfr9EQaPt_KnhfzfE/view?usp=drive_link" TargetMode="External"/><Relationship Id="rId945" Type="http://schemas.openxmlformats.org/officeDocument/2006/relationships/hyperlink" Target="https://drive.google.com/file/d/1PmSGFcfn1KRHwe8kD317psOfkeM2I2QN/view?usp=drive_link" TargetMode="External"/><Relationship Id="rId944" Type="http://schemas.openxmlformats.org/officeDocument/2006/relationships/hyperlink" Target="https://drive.google.com/file/d/1YjPZGCv5abuW9h_dlf0-E0Ts6MYq5RZv/view?usp=drive_link" TargetMode="External"/><Relationship Id="rId1530" Type="http://schemas.openxmlformats.org/officeDocument/2006/relationships/hyperlink" Target="https://drive.google.com/file/d/1uLPB0Ozc9Rj6bb_CmEdWykAdb2sbDdm2/view?usp=drive_link" TargetMode="External"/><Relationship Id="rId1531" Type="http://schemas.openxmlformats.org/officeDocument/2006/relationships/hyperlink" Target="https://drive.google.com/file/d/1lbsFZQH2FP296N23aaUIvCw7_hwksbMP/view?usp=drive_link" TargetMode="External"/><Relationship Id="rId1521" Type="http://schemas.openxmlformats.org/officeDocument/2006/relationships/hyperlink" Target="https://drive.google.com/file/d/15HITbAtCaa-pam8mZE7JhyPnCPfFMVzm/view?usp=drive_link" TargetMode="External"/><Relationship Id="rId1522" Type="http://schemas.openxmlformats.org/officeDocument/2006/relationships/hyperlink" Target="https://drive.google.com/file/d/1TeJA8Ajq_S2Lr2iNhwknQ489z9Y1vXOw/view?usp=drive_link" TargetMode="External"/><Relationship Id="rId1523" Type="http://schemas.openxmlformats.org/officeDocument/2006/relationships/hyperlink" Target="https://drive.google.com/file/d/1pD8UasNa8T-wT3fjc3704zCGQeDhUvjg/view?usp=drive_link" TargetMode="External"/><Relationship Id="rId1524" Type="http://schemas.openxmlformats.org/officeDocument/2006/relationships/hyperlink" Target="https://drive.google.com/file/d/1MmZbV1qzaMOemRtcZi7bUHJXCrm-_9lZ/view?usp=drive_link" TargetMode="External"/><Relationship Id="rId1525" Type="http://schemas.openxmlformats.org/officeDocument/2006/relationships/hyperlink" Target="https://drive.google.com/file/d/1QHdM_8y34VoEAbUh_djtZPldY_z_c5vx/view?usp=drive_link" TargetMode="External"/><Relationship Id="rId1526" Type="http://schemas.openxmlformats.org/officeDocument/2006/relationships/hyperlink" Target="https://drive.google.com/file/d/1OOTiNyK4wDkXTw1jwkD5R1aI3xGAps57/view?usp=drive_link" TargetMode="External"/><Relationship Id="rId1527" Type="http://schemas.openxmlformats.org/officeDocument/2006/relationships/hyperlink" Target="https://drive.google.com/file/d/1wIdZrod4LW0KYlQBIavr0y4MzJkFfcwB/view?usp=drive_link" TargetMode="External"/><Relationship Id="rId1528" Type="http://schemas.openxmlformats.org/officeDocument/2006/relationships/hyperlink" Target="https://drive.google.com/file/d/16m5a7XXSb8woneglQZmmAGhOJFiZyYoy/view?usp=drive_link" TargetMode="External"/><Relationship Id="rId1529" Type="http://schemas.openxmlformats.org/officeDocument/2006/relationships/hyperlink" Target="https://drive.google.com/file/d/1S-dHu6GcoS2X7XNVLOPhT6LOd7MdjUiA/view?usp=drive_link" TargetMode="External"/><Relationship Id="rId939" Type="http://schemas.openxmlformats.org/officeDocument/2006/relationships/hyperlink" Target="https://drive.google.com/file/d/1TyGMUPzAKotKcqPmc7EUCvUIl_rLPjFA/view?usp=drive_link" TargetMode="External"/><Relationship Id="rId938" Type="http://schemas.openxmlformats.org/officeDocument/2006/relationships/hyperlink" Target="https://drive.google.com/file/d/1_BR5B5weDktxVPR7uX92WG-O1naIOXS7/view?usp=drive_link" TargetMode="External"/><Relationship Id="rId937" Type="http://schemas.openxmlformats.org/officeDocument/2006/relationships/hyperlink" Target="https://drive.google.com/file/d/11Bk0Pobfg9cZUfyoJcq03w8sjnUr0rJu/view?usp=drive_link" TargetMode="External"/><Relationship Id="rId932" Type="http://schemas.openxmlformats.org/officeDocument/2006/relationships/hyperlink" Target="https://drive.google.com/file/d/1AoTkxDUPW7bZoO9m9CBZ_DDhCzAfsQW2/view?usp=drive_link" TargetMode="External"/><Relationship Id="rId931" Type="http://schemas.openxmlformats.org/officeDocument/2006/relationships/hyperlink" Target="https://drive.google.com/file/d/1KBKBMLarma5_96hVaVTr_qEWmbzodnqj/view?usp=drive_link" TargetMode="External"/><Relationship Id="rId930" Type="http://schemas.openxmlformats.org/officeDocument/2006/relationships/hyperlink" Target="https://drive.google.com/file/d/1xIxWdUeK6CjrtgLFRRaddVecrLlbc_WN/view?usp=drive_link" TargetMode="External"/><Relationship Id="rId936" Type="http://schemas.openxmlformats.org/officeDocument/2006/relationships/hyperlink" Target="https://drive.google.com/file/d/14Oy6MLy53R9VXMy7r5QdGQp8YmpH4je8/view?usp=drive_link" TargetMode="External"/><Relationship Id="rId935" Type="http://schemas.openxmlformats.org/officeDocument/2006/relationships/hyperlink" Target="https://drive.google.com/file/d/151vvMLSQ69SFeIsgZDDjhY7qCaYJGuF_/view?usp=drive_link" TargetMode="External"/><Relationship Id="rId934" Type="http://schemas.openxmlformats.org/officeDocument/2006/relationships/hyperlink" Target="https://drive.google.com/file/d/1WZI9W44sXkO30luzQCX9ku7lBcs5cZrY/view?usp=drive_link" TargetMode="External"/><Relationship Id="rId933" Type="http://schemas.openxmlformats.org/officeDocument/2006/relationships/hyperlink" Target="https://drive.google.com/file/d/1KfpKnf1k3ZwrCOWgDdNUXhLWpUvcZUt3/view?usp=drive_link" TargetMode="External"/><Relationship Id="rId1520" Type="http://schemas.openxmlformats.org/officeDocument/2006/relationships/hyperlink" Target="https://drive.google.com/file/d/1rsf1MnnyETkp0AJZObaV4pLUTsYD3N8P/view?usp=drive_link" TargetMode="External"/><Relationship Id="rId1554" Type="http://schemas.openxmlformats.org/officeDocument/2006/relationships/drawing" Target="../drawings/drawing2.xml"/><Relationship Id="rId965" Type="http://schemas.openxmlformats.org/officeDocument/2006/relationships/hyperlink" Target="https://drive.google.com/file/d/18tUbejlhcymQ5muhqVc_Zt3PkSl1L17Y/view?usp=drive_link" TargetMode="External"/><Relationship Id="rId964" Type="http://schemas.openxmlformats.org/officeDocument/2006/relationships/hyperlink" Target="https://drive.google.com/file/d/1GA0QD-3qsyCgBPTiSHc4wszDIDMRoa9E/view?usp=drive_link" TargetMode="External"/><Relationship Id="rId963" Type="http://schemas.openxmlformats.org/officeDocument/2006/relationships/hyperlink" Target="https://drive.google.com/file/d/1jdDDDZp8s5imN47rjVoF_NvZ02pE8RjK/view?usp=drive_link" TargetMode="External"/><Relationship Id="rId962" Type="http://schemas.openxmlformats.org/officeDocument/2006/relationships/hyperlink" Target="https://drive.google.com/file/d/1g_6lid65tF55blF63WeDTZnP43fcDREe/view?usp=drive_link" TargetMode="External"/><Relationship Id="rId969" Type="http://schemas.openxmlformats.org/officeDocument/2006/relationships/hyperlink" Target="https://drive.google.com/file/d/1f5tAua4Z9l2yLGxYjTSFO26aBfeLOSSD/view?usp=drive_link" TargetMode="External"/><Relationship Id="rId968" Type="http://schemas.openxmlformats.org/officeDocument/2006/relationships/hyperlink" Target="https://drive.google.com/file/d/1y5wOknx4gjdirPcY0a0r4UtvW-zkbnD_/view?usp=drive_link" TargetMode="External"/><Relationship Id="rId967" Type="http://schemas.openxmlformats.org/officeDocument/2006/relationships/hyperlink" Target="https://drive.google.com/file/d/1CYEr8J4OkKCAfUwYBdzTnGv136qz6HSw/view?usp=drive_link" TargetMode="External"/><Relationship Id="rId966" Type="http://schemas.openxmlformats.org/officeDocument/2006/relationships/hyperlink" Target="https://drive.google.com/file/d/1Fan9HRXjwxQJDkK2L0sNxkbL5hekS8ty/view?usp=drive_link" TargetMode="External"/><Relationship Id="rId961" Type="http://schemas.openxmlformats.org/officeDocument/2006/relationships/hyperlink" Target="https://drive.google.com/file/d/1My6MsHYmD2PupPXMPBYKiMgHFhj-OHA3/view?usp=drive_link" TargetMode="External"/><Relationship Id="rId1550" Type="http://schemas.openxmlformats.org/officeDocument/2006/relationships/hyperlink" Target="https://drive.google.com/file/d/1XSQ6_ykN7btWKCbVE-DlToDOYfZ826Yq/view?usp=drive_link" TargetMode="External"/><Relationship Id="rId960" Type="http://schemas.openxmlformats.org/officeDocument/2006/relationships/hyperlink" Target="https://drive.google.com/file/d/1-FshG3okm_0yP3aalw5KItiw5La42C6G/view?usp=drive_link" TargetMode="External"/><Relationship Id="rId1551" Type="http://schemas.openxmlformats.org/officeDocument/2006/relationships/hyperlink" Target="https://drive.google.com/file/d/1XAhj7aWYwqL6nIRPxCVHMxRqJXWp-XsZ/view?usp=drive_link" TargetMode="External"/><Relationship Id="rId1552" Type="http://schemas.openxmlformats.org/officeDocument/2006/relationships/hyperlink" Target="https://drive.google.com/file/d/1-sXIkTuioG2OkbvKvfNVnWubORAn1-XH/view?usp=drive_link" TargetMode="External"/><Relationship Id="rId1553" Type="http://schemas.openxmlformats.org/officeDocument/2006/relationships/hyperlink" Target="https://drive.google.com/file/d/1qgTZdNGIPt_ohz8kcfvnH7mTlxTf9Lfo/view?usp=drive_link" TargetMode="External"/><Relationship Id="rId1543" Type="http://schemas.openxmlformats.org/officeDocument/2006/relationships/hyperlink" Target="https://drive.google.com/file/d/1e8dM8Yg3CXIkx3rI5-Kd4YyxosXw_PkH/view?usp=drive_link" TargetMode="External"/><Relationship Id="rId1544" Type="http://schemas.openxmlformats.org/officeDocument/2006/relationships/hyperlink" Target="https://drive.google.com/file/d/19SRKedVvo9mvzZCJSuRcpPmSmDWIlifl/view?usp=drive_link" TargetMode="External"/><Relationship Id="rId1545" Type="http://schemas.openxmlformats.org/officeDocument/2006/relationships/hyperlink" Target="https://drive.google.com/file/d/1wJYIV3BkZ1geWD-Y-q6O3QtLjkGy50SO/view?usp=drive_link" TargetMode="External"/><Relationship Id="rId1546" Type="http://schemas.openxmlformats.org/officeDocument/2006/relationships/hyperlink" Target="https://drive.google.com/file/d/1PDtBIwSrOuP7Xa2sVxzvVVX_FBfjRf9n/view?usp=drive_link" TargetMode="External"/><Relationship Id="rId1547" Type="http://schemas.openxmlformats.org/officeDocument/2006/relationships/hyperlink" Target="https://drive.google.com/file/d/18jhNg3U2u46sj2O2qU1H_umrKmdry-lF/view?usp=drive_link" TargetMode="External"/><Relationship Id="rId1548" Type="http://schemas.openxmlformats.org/officeDocument/2006/relationships/hyperlink" Target="https://drive.google.com/file/d/1eSfbuCHjGUVoiGStMgz4OsT3rmBPMy9-/view?usp=drive_link" TargetMode="External"/><Relationship Id="rId1549" Type="http://schemas.openxmlformats.org/officeDocument/2006/relationships/hyperlink" Target="https://drive.google.com/file/d/1q8RzMV9LFxUSdrQsCx9eriMB9DshCHCj/view?usp=drive_link" TargetMode="External"/><Relationship Id="rId959" Type="http://schemas.openxmlformats.org/officeDocument/2006/relationships/hyperlink" Target="https://drive.google.com/file/d/1Ndg2YdAe2fOqPfJHiBJoy5quiq1lnNIl/view?usp=drive_link" TargetMode="External"/><Relationship Id="rId954" Type="http://schemas.openxmlformats.org/officeDocument/2006/relationships/hyperlink" Target="https://drive.google.com/file/d/16lPDTYivyh1ftmDXSSzThnEmGmqQuYbn/view?usp=drive_link" TargetMode="External"/><Relationship Id="rId953" Type="http://schemas.openxmlformats.org/officeDocument/2006/relationships/hyperlink" Target="https://drive.google.com/file/d/1Ej2uGbfo27yXi8yN5fRiKA2Um2QhSA_b/view?usp=drive_link" TargetMode="External"/><Relationship Id="rId952" Type="http://schemas.openxmlformats.org/officeDocument/2006/relationships/hyperlink" Target="https://drive.google.com/file/d/1OiIpBhIVulcpRAWtUwnA0SYYeesc_CTz/view?usp=drive_link" TargetMode="External"/><Relationship Id="rId951" Type="http://schemas.openxmlformats.org/officeDocument/2006/relationships/hyperlink" Target="https://drive.google.com/file/d/10shQdIiQmuRcMjmd6Wj8F69HseXdxH4X/view?usp=drive_link" TargetMode="External"/><Relationship Id="rId958" Type="http://schemas.openxmlformats.org/officeDocument/2006/relationships/hyperlink" Target="https://drive.google.com/file/d/1J6ISdHXQ9xRXZrPz11hQyWcjQYZnQkQA/view?usp=drive_link" TargetMode="External"/><Relationship Id="rId957" Type="http://schemas.openxmlformats.org/officeDocument/2006/relationships/hyperlink" Target="https://drive.google.com/file/d/1kqUkf3u_uTrB7aUC658J6yJ6FlFjvMi9/view?usp=drive_link" TargetMode="External"/><Relationship Id="rId956" Type="http://schemas.openxmlformats.org/officeDocument/2006/relationships/hyperlink" Target="https://drive.google.com/file/d/1FU4DLhxPFOyxi_aRbsr-tE6Hj03xiKAx/view?usp=drive_link" TargetMode="External"/><Relationship Id="rId955" Type="http://schemas.openxmlformats.org/officeDocument/2006/relationships/hyperlink" Target="https://drive.google.com/file/d/1jKwj1nyCNCV8MbRTYz4sSNrq76ojCwSR/view?usp=drive_link" TargetMode="External"/><Relationship Id="rId950" Type="http://schemas.openxmlformats.org/officeDocument/2006/relationships/hyperlink" Target="https://drive.google.com/file/d/1O3P_k2Fy2lYIyJYS2APF1VUUdPTEw3id/view?usp=drive_link" TargetMode="External"/><Relationship Id="rId1540" Type="http://schemas.openxmlformats.org/officeDocument/2006/relationships/hyperlink" Target="https://drive.google.com/file/d/1x4RP7dHb6Pf_K_CbV6dXao2eb4twyhUe/view?usp=drive_link" TargetMode="External"/><Relationship Id="rId1541" Type="http://schemas.openxmlformats.org/officeDocument/2006/relationships/hyperlink" Target="https://drive.google.com/file/d/1_W8i0cbQHNe37IJJmAet7AmKavH38b8S/view?usp=drive_link" TargetMode="External"/><Relationship Id="rId1542" Type="http://schemas.openxmlformats.org/officeDocument/2006/relationships/hyperlink" Target="https://drive.google.com/file/d/1EwllaMbnrYJ-WpHWkzf5bz35BV1WUOT3/view?usp=drive_link" TargetMode="External"/><Relationship Id="rId590" Type="http://schemas.openxmlformats.org/officeDocument/2006/relationships/hyperlink" Target="https://drive.google.com/file/d/1QY84OZZRLFEh5iDh5MR2sNb49y5RH6vF/view?usp=drive_link" TargetMode="External"/><Relationship Id="rId107" Type="http://schemas.openxmlformats.org/officeDocument/2006/relationships/hyperlink" Target="https://drive.google.com/file/d/1cREgq1blFvro4231AM5fpSwVLjcmhpo6/view?usp=drive_link" TargetMode="External"/><Relationship Id="rId106" Type="http://schemas.openxmlformats.org/officeDocument/2006/relationships/hyperlink" Target="https://drive.google.com/file/d/1LERjUaUX2qtIL9APWaVAAq0b6nWHe2wu/view?usp=drive_link" TargetMode="External"/><Relationship Id="rId105" Type="http://schemas.openxmlformats.org/officeDocument/2006/relationships/hyperlink" Target="https://drive.google.com/file/d/18t1QmHoqlSd_OZC2CSDeMgCrLzsphV8h/view?usp=drive_link" TargetMode="External"/><Relationship Id="rId589" Type="http://schemas.openxmlformats.org/officeDocument/2006/relationships/hyperlink" Target="https://drive.google.com/file/d/10cmuCJht-rg_xN_h5c5c8LvQdluv3vFu/view?usp=drive_link" TargetMode="External"/><Relationship Id="rId104" Type="http://schemas.openxmlformats.org/officeDocument/2006/relationships/hyperlink" Target="https://drive.google.com/file/d/1HMKGSo53DcotTR61_L_txvFSYXFbiOuH/view?usp=drive_link" TargetMode="External"/><Relationship Id="rId588" Type="http://schemas.openxmlformats.org/officeDocument/2006/relationships/hyperlink" Target="https://drive.google.com/file/d/1lePabJmSqO0SKvkqhAvpcaLBjeB9yfzf/view?usp=drive_link" TargetMode="External"/><Relationship Id="rId109" Type="http://schemas.openxmlformats.org/officeDocument/2006/relationships/hyperlink" Target="https://drive.google.com/file/d/1JtcUUVVCKh-Jp956xo1KI5UA2QnjGA32/view?usp=drive_link" TargetMode="External"/><Relationship Id="rId1170" Type="http://schemas.openxmlformats.org/officeDocument/2006/relationships/hyperlink" Target="https://drive.google.com/file/d/1-I6gFbGVNpi7Mb5NMZhIOo7ezBNiZd-c/view?usp=sharing" TargetMode="External"/><Relationship Id="rId108" Type="http://schemas.openxmlformats.org/officeDocument/2006/relationships/hyperlink" Target="https://drive.google.com/file/d/1XUGdveOQYYvSRnpgkx9aiz7eVDTEUE7J/view?usp=drive_link" TargetMode="External"/><Relationship Id="rId1171" Type="http://schemas.openxmlformats.org/officeDocument/2006/relationships/hyperlink" Target="https://drive.google.com/file/d/1nMImpSX71Ihq9n8EmwlDa-eDgp-YWCXk/view?usp=sharing" TargetMode="External"/><Relationship Id="rId583" Type="http://schemas.openxmlformats.org/officeDocument/2006/relationships/hyperlink" Target="https://drive.google.com/file/d/1ELQ-Jjsl17HKxMraI97MCAssTYR1EgaQ/view?usp=drive_link" TargetMode="External"/><Relationship Id="rId1172" Type="http://schemas.openxmlformats.org/officeDocument/2006/relationships/hyperlink" Target="https://drive.google.com/file/d/1Kw3e05mJuvwmkOa0Fa_YInUdD0zCYiFc/view?usp=sharing" TargetMode="External"/><Relationship Id="rId582" Type="http://schemas.openxmlformats.org/officeDocument/2006/relationships/hyperlink" Target="https://drive.google.com/file/d/140t0sVyUcNne6Ht5IJ3JVgXITDfv-mMq/view?usp=drive_link" TargetMode="External"/><Relationship Id="rId1173" Type="http://schemas.openxmlformats.org/officeDocument/2006/relationships/hyperlink" Target="https://drive.google.com/file/d/10WJdakuZwpm23Tx_3jlQ0PXgMOFwHQVn/view?usp=sharing" TargetMode="External"/><Relationship Id="rId581" Type="http://schemas.openxmlformats.org/officeDocument/2006/relationships/hyperlink" Target="https://drive.google.com/file/d/1af6UBmizFy8G4KQKh7qXfCaMgQdtezec/view?usp=drive_link" TargetMode="External"/><Relationship Id="rId1174" Type="http://schemas.openxmlformats.org/officeDocument/2006/relationships/hyperlink" Target="https://drive.google.com/file/d/185iAjSt4u_qEvYHJ7X1qPKOuCMU72g4c/view?usp=sharing" TargetMode="External"/><Relationship Id="rId580" Type="http://schemas.openxmlformats.org/officeDocument/2006/relationships/hyperlink" Target="https://drive.google.com/file/d/1r71SaT3l6K9ktHK6jYt14mJqK-vfSVJn/view?usp=drive_link" TargetMode="External"/><Relationship Id="rId1175" Type="http://schemas.openxmlformats.org/officeDocument/2006/relationships/hyperlink" Target="https://drive.google.com/file/d/19AwZSvvNumJ0tfimqWJjLP5js1RGAlb8/view?usp=sharing" TargetMode="External"/><Relationship Id="rId103" Type="http://schemas.openxmlformats.org/officeDocument/2006/relationships/hyperlink" Target="https://drive.google.com/file/d/1sNj-KSGMFkAU-CJg99PkxKAKiFqpraqh/view?usp=drive_link" TargetMode="External"/><Relationship Id="rId587" Type="http://schemas.openxmlformats.org/officeDocument/2006/relationships/hyperlink" Target="https://drive.google.com/file/d/1yczIr-3McpWNp25qwcjy75FD3fFtHeSQ/view?usp=drive_link" TargetMode="External"/><Relationship Id="rId1176" Type="http://schemas.openxmlformats.org/officeDocument/2006/relationships/hyperlink" Target="https://drive.google.com/file/d/19vh06BQ7XZMHBh1I0oc0gHW18z5e5UJx/view?usp=sharing" TargetMode="External"/><Relationship Id="rId102" Type="http://schemas.openxmlformats.org/officeDocument/2006/relationships/hyperlink" Target="https://drive.google.com/file/d/1B_9J0G2eJNBazI3bpKfKNemqpAxcQN-W/view?usp=drive_link" TargetMode="External"/><Relationship Id="rId586" Type="http://schemas.openxmlformats.org/officeDocument/2006/relationships/hyperlink" Target="https://drive.google.com/file/d/1kzS-R2iNSnNNYxZvk265-tNwreMQvi6G/view?usp=drive_link" TargetMode="External"/><Relationship Id="rId1177" Type="http://schemas.openxmlformats.org/officeDocument/2006/relationships/hyperlink" Target="https://drive.google.com/file/d/1ILbSM-SFhjHdBqTgeKxwAM4C9cTqGuv5/view?usp=sharing" TargetMode="External"/><Relationship Id="rId101" Type="http://schemas.openxmlformats.org/officeDocument/2006/relationships/hyperlink" Target="https://drive.google.com/file/d/1gjNt9yUFwezjANfWPeW2e7Cba_syDcZH/view?usp=drive_link" TargetMode="External"/><Relationship Id="rId585" Type="http://schemas.openxmlformats.org/officeDocument/2006/relationships/hyperlink" Target="https://drive.google.com/file/d/1O7oY5q55eBsJAy340dC5xMuTtWfJ8bDa/view?usp=drive_link" TargetMode="External"/><Relationship Id="rId1178" Type="http://schemas.openxmlformats.org/officeDocument/2006/relationships/hyperlink" Target="https://drive.google.com/file/d/1sqyHjrFAJqx1ThG4a2IJV3L5aq7jH5jQ/view?usp=sharing" TargetMode="External"/><Relationship Id="rId100" Type="http://schemas.openxmlformats.org/officeDocument/2006/relationships/hyperlink" Target="https://drive.google.com/file/d/1w7Lb5_tGogEIHwHWkLTXKYpQ8AidebbD/view?usp=drive_link" TargetMode="External"/><Relationship Id="rId584" Type="http://schemas.openxmlformats.org/officeDocument/2006/relationships/hyperlink" Target="https://drive.google.com/file/d/1zDrs_CmFq0tpt5r_sc9ls-bPP2iBa_NP/view?usp=drive_link" TargetMode="External"/><Relationship Id="rId1179" Type="http://schemas.openxmlformats.org/officeDocument/2006/relationships/hyperlink" Target="https://drive.google.com/file/d/1i9jk7a4oCTXxEmh3Ruap916Yd8F_SKO5/view?usp=sharing" TargetMode="External"/><Relationship Id="rId1169" Type="http://schemas.openxmlformats.org/officeDocument/2006/relationships/hyperlink" Target="https://drive.google.com/file/d/1LZ1_GDAIcOStVl56n9JT7N_vRHpLSmZ7/view?usp=sharing" TargetMode="External"/><Relationship Id="rId579" Type="http://schemas.openxmlformats.org/officeDocument/2006/relationships/hyperlink" Target="https://drive.google.com/file/d/1D0qnFxGII8Xm20yxqD3fPzlIqDwKLXT3/view?usp=drive_link" TargetMode="External"/><Relationship Id="rId578" Type="http://schemas.openxmlformats.org/officeDocument/2006/relationships/hyperlink" Target="https://drive.google.com/file/d/1-Q2FmADB_1mBHp584YYXdtOFHKIgjzk3/view?usp=drive_link" TargetMode="External"/><Relationship Id="rId577" Type="http://schemas.openxmlformats.org/officeDocument/2006/relationships/hyperlink" Target="https://drive.google.com/file/d/1ImiinMJdxcC4DS5vs7on3y8l1vRX8Ejs/view?usp=drive_link" TargetMode="External"/><Relationship Id="rId1160" Type="http://schemas.openxmlformats.org/officeDocument/2006/relationships/hyperlink" Target="https://drive.google.com/file/d/1YSq00dRxR1bcdMCPNhomtE68lCJRJ_3R/view?usp=sharing" TargetMode="External"/><Relationship Id="rId572" Type="http://schemas.openxmlformats.org/officeDocument/2006/relationships/hyperlink" Target="https://drive.google.com/file/d/1VcnLvuLseuniS2GWFP4H1z4SdEr2KjCM/view?usp=drive_link" TargetMode="External"/><Relationship Id="rId1161" Type="http://schemas.openxmlformats.org/officeDocument/2006/relationships/hyperlink" Target="https://drive.google.com/file/d/1CoBm_OIsgvaWQcwe6OwEIpxTn6VXfU5n/view?usp=sharing" TargetMode="External"/><Relationship Id="rId571" Type="http://schemas.openxmlformats.org/officeDocument/2006/relationships/hyperlink" Target="https://drive.google.com/file/d/1r7gCkQuQbRwYPDMDS2E1xKgap7pSCjjZ/view?usp=drive_link" TargetMode="External"/><Relationship Id="rId1162" Type="http://schemas.openxmlformats.org/officeDocument/2006/relationships/hyperlink" Target="https://drive.google.com/file/d/1W5rsVSfpV1jSO6ZWa3Zg0aeTpVlDhh8w/view?usp=sharing" TargetMode="External"/><Relationship Id="rId570" Type="http://schemas.openxmlformats.org/officeDocument/2006/relationships/hyperlink" Target="https://drive.google.com/file/d/1ohjvDaq4u8iYsyr_oewj_jsvBznLIeD7/view?usp=drive_link" TargetMode="External"/><Relationship Id="rId1163" Type="http://schemas.openxmlformats.org/officeDocument/2006/relationships/hyperlink" Target="https://drive.google.com/file/d/1nvqPTqxqaxWeLfqhPEAgXh03QNC4PW10/view?usp=sharing" TargetMode="External"/><Relationship Id="rId1164" Type="http://schemas.openxmlformats.org/officeDocument/2006/relationships/hyperlink" Target="https://drive.google.com/file/d/1gnax-A-ImyTJTvuhFnKWqdd2IgnR58ud/view?usp=sharing" TargetMode="External"/><Relationship Id="rId576" Type="http://schemas.openxmlformats.org/officeDocument/2006/relationships/hyperlink" Target="https://drive.google.com/file/d/1fLkvx1egm5sTyFG3R_1H1mTbaMO8UOUM/view?usp=drive_link" TargetMode="External"/><Relationship Id="rId1165" Type="http://schemas.openxmlformats.org/officeDocument/2006/relationships/hyperlink" Target="https://drive.google.com/file/d/1LvpFVzBQoJsgN4wf2DQBIftjTjaiDEPT/view?usp=sharing" TargetMode="External"/><Relationship Id="rId575" Type="http://schemas.openxmlformats.org/officeDocument/2006/relationships/hyperlink" Target="https://drive.google.com/file/d/1rd0fg08le-UKoiBoBkaVuk1NWf3pPVEZ/view?usp=drive_link" TargetMode="External"/><Relationship Id="rId1166" Type="http://schemas.openxmlformats.org/officeDocument/2006/relationships/hyperlink" Target="https://drive.google.com/file/d/1xFwnsfpw29mUbCVX16NMmRGASTffaz-J/view?usp=sharing" TargetMode="External"/><Relationship Id="rId574" Type="http://schemas.openxmlformats.org/officeDocument/2006/relationships/hyperlink" Target="https://drive.google.com/file/d/1pvUeVp9flKekP0pnCyMI7Vx3dt19PFoS/view?usp=drive_link" TargetMode="External"/><Relationship Id="rId1167" Type="http://schemas.openxmlformats.org/officeDocument/2006/relationships/hyperlink" Target="https://drive.google.com/file/d/1fJMS96Iy-USTWRkpStV5BMD9FvQK_LGt/view?usp=sharing" TargetMode="External"/><Relationship Id="rId573" Type="http://schemas.openxmlformats.org/officeDocument/2006/relationships/hyperlink" Target="https://drive.google.com/file/d/1rARDyyWK-3_wLKNY32TyH3CA30kIyfD8/view?usp=drive_link" TargetMode="External"/><Relationship Id="rId1168" Type="http://schemas.openxmlformats.org/officeDocument/2006/relationships/hyperlink" Target="https://drive.google.com/file/d/130fxYABw7Ogl3BupIsqcjw4RXeF-UM_L/view?usp=sharing" TargetMode="External"/><Relationship Id="rId129" Type="http://schemas.openxmlformats.org/officeDocument/2006/relationships/hyperlink" Target="https://drive.google.com/file/d/15MY1aZUEq6DRVPeb40zGUTcfPpOUVybX/view?usp=drive_link" TargetMode="External"/><Relationship Id="rId128" Type="http://schemas.openxmlformats.org/officeDocument/2006/relationships/hyperlink" Target="https://drive.google.com/file/d/1SOG21GcspEgmlflP1wigMS2vfdFGhB7S/view?usp=drive_link" TargetMode="External"/><Relationship Id="rId127" Type="http://schemas.openxmlformats.org/officeDocument/2006/relationships/hyperlink" Target="https://drive.google.com/file/d/1twXS0lVNIgmaBR9j-NSdEgMIyuLiZvt2/view?usp=drive_link" TargetMode="External"/><Relationship Id="rId126" Type="http://schemas.openxmlformats.org/officeDocument/2006/relationships/hyperlink" Target="https://drive.google.com/file/d/1Wx1S_03IWcwTc3RFNY3h9kyR0SFzDann/view?usp=drive_link" TargetMode="External"/><Relationship Id="rId1190" Type="http://schemas.openxmlformats.org/officeDocument/2006/relationships/hyperlink" Target="https://drive.google.com/file/d/1IyqF3WTIk4JJ44lq-9gfxxt63qZ-m6cS/view?usp=sharing" TargetMode="External"/><Relationship Id="rId1191" Type="http://schemas.openxmlformats.org/officeDocument/2006/relationships/hyperlink" Target="https://drive.google.com/file/d/1-4lASAOrwnI133KJm-BbV7X1AJwtdbmX/view?usp=sharing" TargetMode="External"/><Relationship Id="rId1192" Type="http://schemas.openxmlformats.org/officeDocument/2006/relationships/hyperlink" Target="https://drive.google.com/file/d/1l6Zb2MXPMYgJm6Meu4pw8LvwUBKQAHdj/view?usp=sharing" TargetMode="External"/><Relationship Id="rId1193" Type="http://schemas.openxmlformats.org/officeDocument/2006/relationships/hyperlink" Target="https://drive.google.com/file/d/1hW4aTin-yuMRLfv93_6NWVpFrEuk3FhP/view?usp=sharing" TargetMode="External"/><Relationship Id="rId121" Type="http://schemas.openxmlformats.org/officeDocument/2006/relationships/hyperlink" Target="https://drive.google.com/file/d/1QcwQ4T4PcP3MstFJMv-oFCXjzG26aGws/view?usp=drive_link" TargetMode="External"/><Relationship Id="rId1194" Type="http://schemas.openxmlformats.org/officeDocument/2006/relationships/hyperlink" Target="https://drive.google.com/file/d/1GZr3NdScMXUMD3CUAc7d60AQxGipNmoa/view?usp=sharing" TargetMode="External"/><Relationship Id="rId120" Type="http://schemas.openxmlformats.org/officeDocument/2006/relationships/hyperlink" Target="https://drive.google.com/file/d/1tV1sNdFB9KrYzoup4LghQcNdWPGRL2pJ/view?usp=drive_link" TargetMode="External"/><Relationship Id="rId1195" Type="http://schemas.openxmlformats.org/officeDocument/2006/relationships/hyperlink" Target="https://drive.google.com/file/d/1PJZk2YZ3sFW0krX-csiHTazoyByQxldO/view?usp=sharing" TargetMode="External"/><Relationship Id="rId1196" Type="http://schemas.openxmlformats.org/officeDocument/2006/relationships/hyperlink" Target="https://drive.google.com/file/d/1tVwce7Tchmqh0WIrpjoO9QwzSCaK7yMj/view?usp=sharing" TargetMode="External"/><Relationship Id="rId1197" Type="http://schemas.openxmlformats.org/officeDocument/2006/relationships/hyperlink" Target="https://drive.google.com/file/d/1coVluUq9M69HBLZXea8mCtFZZofE27Op/view?usp=sharing" TargetMode="External"/><Relationship Id="rId125" Type="http://schemas.openxmlformats.org/officeDocument/2006/relationships/hyperlink" Target="https://drive.google.com/file/d/15cY5k2YQl9dWuwO5Z6fnyBjG7pTyNeQF/view?usp=drive_link" TargetMode="External"/><Relationship Id="rId1198" Type="http://schemas.openxmlformats.org/officeDocument/2006/relationships/hyperlink" Target="https://drive.google.com/file/d/1GHGoVRfCx3H2JxFdVTPLQjrSMUFMjdiM/view?usp=sharing" TargetMode="External"/><Relationship Id="rId124" Type="http://schemas.openxmlformats.org/officeDocument/2006/relationships/hyperlink" Target="https://drive.google.com/file/d/1pBoP11FReDTogYPfUkGyChPhnAHIov98/view?usp=drive_link" TargetMode="External"/><Relationship Id="rId1199" Type="http://schemas.openxmlformats.org/officeDocument/2006/relationships/hyperlink" Target="https://drive.google.com/file/d/1dR1EgSfAismjUwPkbigMWzj1SKa6-60f/view?usp=sharing" TargetMode="External"/><Relationship Id="rId123" Type="http://schemas.openxmlformats.org/officeDocument/2006/relationships/hyperlink" Target="https://drive.google.com/file/d/16PkEDFhbOnAsC5sVNqoE-t3uWxsoAKfX/view?usp=drive_link" TargetMode="External"/><Relationship Id="rId122" Type="http://schemas.openxmlformats.org/officeDocument/2006/relationships/hyperlink" Target="https://drive.google.com/file/d/1DG9XuMeLxjJ6FxwBd0hCcH_kxeCW4Cha/view?usp=drive_link" TargetMode="External"/><Relationship Id="rId118" Type="http://schemas.openxmlformats.org/officeDocument/2006/relationships/hyperlink" Target="https://drive.google.com/file/d/1pn0Ojusa95J6ArOvmGjA3sWTvoV3SiH3/view?usp=drive_link" TargetMode="External"/><Relationship Id="rId117" Type="http://schemas.openxmlformats.org/officeDocument/2006/relationships/hyperlink" Target="https://drive.google.com/file/d/1efRMLDe5E3E2CykSqQHqa0LZSo6_MsT3/view?usp=drive_link" TargetMode="External"/><Relationship Id="rId116" Type="http://schemas.openxmlformats.org/officeDocument/2006/relationships/hyperlink" Target="https://drive.google.com/file/d/17WpEasEtxR3SNtDl3Iyy8Wi_vFKQJsvC/view?usp=drive_link" TargetMode="External"/><Relationship Id="rId115" Type="http://schemas.openxmlformats.org/officeDocument/2006/relationships/hyperlink" Target="https://drive.google.com/file/d/1zMXq0wN439CfGEC-m7bdlFkZKMGhgQYS/view?usp=drive_link" TargetMode="External"/><Relationship Id="rId599" Type="http://schemas.openxmlformats.org/officeDocument/2006/relationships/hyperlink" Target="https://drive.google.com/file/d/1_j5ROgk9J-9tJrQL2eiv1TCm9Nd3f6NZ/view?usp=drive_link" TargetMode="External"/><Relationship Id="rId1180" Type="http://schemas.openxmlformats.org/officeDocument/2006/relationships/hyperlink" Target="https://drive.google.com/file/d/1ODLP_fC-_xurNZacHaucSCMu68FAryMH/view?usp=sharing" TargetMode="External"/><Relationship Id="rId1181" Type="http://schemas.openxmlformats.org/officeDocument/2006/relationships/hyperlink" Target="https://drive.google.com/file/d/1lLALe7DYY4qodH27w6k059CpZQSaOduX/view?usp=sharing" TargetMode="External"/><Relationship Id="rId119" Type="http://schemas.openxmlformats.org/officeDocument/2006/relationships/hyperlink" Target="https://drive.google.com/file/d/11Ad4UmolXGK9O1nfc9lTZdwfq8cQT7Jf/view?usp=drive_link" TargetMode="External"/><Relationship Id="rId1182" Type="http://schemas.openxmlformats.org/officeDocument/2006/relationships/hyperlink" Target="https://drive.google.com/file/d/1tut_qz1oHoSDjIdW_Ivj7jUfwk1SL8yp/view?usp=sharing" TargetMode="External"/><Relationship Id="rId110" Type="http://schemas.openxmlformats.org/officeDocument/2006/relationships/hyperlink" Target="https://drive.google.com/file/d/1tqvGmJ-xrRzGoB5kW3QfFyAKkXnro7jm/view?usp=drive_link" TargetMode="External"/><Relationship Id="rId594" Type="http://schemas.openxmlformats.org/officeDocument/2006/relationships/hyperlink" Target="https://drive.google.com/file/d/1SU7WabQuDLGTi44nMriM4YHfaqCpIN0e/view?usp=drive_link" TargetMode="External"/><Relationship Id="rId1183" Type="http://schemas.openxmlformats.org/officeDocument/2006/relationships/hyperlink" Target="https://drive.google.com/file/d/12TVdMPWANzie7EUg1wx8qtVpuTtlQKji/view?usp=sharing" TargetMode="External"/><Relationship Id="rId593" Type="http://schemas.openxmlformats.org/officeDocument/2006/relationships/hyperlink" Target="https://drive.google.com/file/d/1aOqjjEUQL5Ec_6dxTY4ttR_AnSXenZZP/view?usp=drive_link" TargetMode="External"/><Relationship Id="rId1184" Type="http://schemas.openxmlformats.org/officeDocument/2006/relationships/hyperlink" Target="https://drive.google.com/file/d/11j0g7lu79ZEINiRIDhxzIXfZ01mmUO3p/view?usp=sharing" TargetMode="External"/><Relationship Id="rId592" Type="http://schemas.openxmlformats.org/officeDocument/2006/relationships/hyperlink" Target="https://drive.google.com/file/d/17GyWImWdiS1ORfQkZVDZlX2dW6gqneln/view?usp=drive_link" TargetMode="External"/><Relationship Id="rId1185" Type="http://schemas.openxmlformats.org/officeDocument/2006/relationships/hyperlink" Target="https://drive.google.com/file/d/1wLAVmaMIRhq3Rhxaqn-G45Pt2dllN7Fu/view?usp=sharing" TargetMode="External"/><Relationship Id="rId591" Type="http://schemas.openxmlformats.org/officeDocument/2006/relationships/hyperlink" Target="https://drive.google.com/file/d/1RA7M5Zh-AOhXFHFwp6fbVKoSWT7lwyzg/view?usp=drive_link" TargetMode="External"/><Relationship Id="rId1186" Type="http://schemas.openxmlformats.org/officeDocument/2006/relationships/hyperlink" Target="https://drive.google.com/file/d/13Dtwqgtj5m5CETwjAEOMQFQgVmHSq2ub/view?usp=sharing" TargetMode="External"/><Relationship Id="rId114" Type="http://schemas.openxmlformats.org/officeDocument/2006/relationships/hyperlink" Target="https://drive.google.com/file/d/117jKZl3SUAzLv4mmtmUUWaGsgknYek6H/view?usp=drive_link" TargetMode="External"/><Relationship Id="rId598" Type="http://schemas.openxmlformats.org/officeDocument/2006/relationships/hyperlink" Target="https://drive.google.com/file/d/1UNC9cnxNdnWAYxRISji3nRJxAvporUka/view?usp=drive_link" TargetMode="External"/><Relationship Id="rId1187" Type="http://schemas.openxmlformats.org/officeDocument/2006/relationships/hyperlink" Target="https://drive.google.com/file/d/1v3Vj64wRXGGtwBk-L6C7A2rBUwgcX8px/view?usp=sharing" TargetMode="External"/><Relationship Id="rId113" Type="http://schemas.openxmlformats.org/officeDocument/2006/relationships/hyperlink" Target="https://drive.google.com/file/d/1YcRVfd8kiZz5vbc3mNKpvcEWN9bYVAcB/view?usp=drive_link" TargetMode="External"/><Relationship Id="rId597" Type="http://schemas.openxmlformats.org/officeDocument/2006/relationships/hyperlink" Target="https://drive.google.com/file/d/15gIb9LzDgpvQKTfPssy7mfsfwUb3tHV4/view?usp=drive_link" TargetMode="External"/><Relationship Id="rId1188" Type="http://schemas.openxmlformats.org/officeDocument/2006/relationships/hyperlink" Target="https://drive.google.com/file/d/1Fjibam0K10suSnQTrDWBcRY3iXY6hy66/view?usp=sharing" TargetMode="External"/><Relationship Id="rId112" Type="http://schemas.openxmlformats.org/officeDocument/2006/relationships/hyperlink" Target="https://drive.google.com/file/d/1U3DSI7DRLvMSA_SQqIGG1uLLxeyyVHBf/view?usp=drive_link" TargetMode="External"/><Relationship Id="rId596" Type="http://schemas.openxmlformats.org/officeDocument/2006/relationships/hyperlink" Target="https://drive.google.com/file/d/1cbRPLxK97Bjz985MHDOhy75gxzNlyvC3/view?usp=drive_link" TargetMode="External"/><Relationship Id="rId1189" Type="http://schemas.openxmlformats.org/officeDocument/2006/relationships/hyperlink" Target="https://drive.google.com/file/d/1Q1Q1jeXrVjC3UF3q5W_XUk402PL7rL8E/view?usp=sharing" TargetMode="External"/><Relationship Id="rId111" Type="http://schemas.openxmlformats.org/officeDocument/2006/relationships/hyperlink" Target="https://drive.google.com/file/d/1Hw-nNxE4xhTx5jAbbNKlg1WW8J-xIX8n/view?usp=drive_link" TargetMode="External"/><Relationship Id="rId595" Type="http://schemas.openxmlformats.org/officeDocument/2006/relationships/hyperlink" Target="https://drive.google.com/file/d/17R6TtmnJCTm-uPHse7Io3fE9qRP7rZGc/view?usp=drive_link" TargetMode="External"/><Relationship Id="rId1136" Type="http://schemas.openxmlformats.org/officeDocument/2006/relationships/hyperlink" Target="https://drive.google.com/file/d/1dn-2LNZCU8cLC8jDrPOoIV2muV2viCP2/view?usp=sharing" TargetMode="External"/><Relationship Id="rId1137" Type="http://schemas.openxmlformats.org/officeDocument/2006/relationships/hyperlink" Target="https://drive.google.com/file/d/1_QkrRZpQiTlzytHloB3x72s1kfzGQvWE/view?usp=sharing" TargetMode="External"/><Relationship Id="rId1138" Type="http://schemas.openxmlformats.org/officeDocument/2006/relationships/hyperlink" Target="https://drive.google.com/file/d/1LiCPmwREbtk0rIgnEdQ5opNDQCrmwlv6/view?usp=sharing" TargetMode="External"/><Relationship Id="rId1139" Type="http://schemas.openxmlformats.org/officeDocument/2006/relationships/hyperlink" Target="https://drive.google.com/file/d/10Lq7xDbal5kc4jP7u-8aYoJulrpgINvD/view?usp=sharing" TargetMode="External"/><Relationship Id="rId547" Type="http://schemas.openxmlformats.org/officeDocument/2006/relationships/hyperlink" Target="https://drive.google.com/file/d/1Ja17cZD6RXj9CYubfJd0skkzUjHm5q3Z/view?usp=drive_link" TargetMode="External"/><Relationship Id="rId546" Type="http://schemas.openxmlformats.org/officeDocument/2006/relationships/hyperlink" Target="https://drive.google.com/file/d/1wIFAOhY31b0NCUu7QxJ48AADO3dFLg_0/view?usp=drive_link" TargetMode="External"/><Relationship Id="rId545" Type="http://schemas.openxmlformats.org/officeDocument/2006/relationships/hyperlink" Target="https://drive.google.com/file/d/1AwNU-8InB_jtc7ZPaQyhsZ6alZ1G3dXA/view?usp=drive_link" TargetMode="External"/><Relationship Id="rId544" Type="http://schemas.openxmlformats.org/officeDocument/2006/relationships/hyperlink" Target="https://drive.google.com/file/d/1YHMbwpCCkrCzBc3-aupZ7WrenK7xbC6r/view?usp=sharing" TargetMode="External"/><Relationship Id="rId549" Type="http://schemas.openxmlformats.org/officeDocument/2006/relationships/hyperlink" Target="https://drive.google.com/file/d/1vNc58Kh99c_Wm85uob_Mdd8oLLTEMPkE/view?usp=drive_link" TargetMode="External"/><Relationship Id="rId548" Type="http://schemas.openxmlformats.org/officeDocument/2006/relationships/hyperlink" Target="https://drive.google.com/file/d/1sQo5PpHOmq7BRgSNDreBn5JrKrJJxb62/view?usp=drive_link" TargetMode="External"/><Relationship Id="rId1130" Type="http://schemas.openxmlformats.org/officeDocument/2006/relationships/hyperlink" Target="https://drive.google.com/file/d/1edYkUc51aCIsh3uIuc_KTp23VVgY21kj/view?usp=sharing" TargetMode="External"/><Relationship Id="rId1131" Type="http://schemas.openxmlformats.org/officeDocument/2006/relationships/hyperlink" Target="https://drive.google.com/file/d/1jy6LPmm2huML_ZUvburhsD7wxynsabsf/view?usp=sharing" TargetMode="External"/><Relationship Id="rId543" Type="http://schemas.openxmlformats.org/officeDocument/2006/relationships/hyperlink" Target="https://drive.google.com/file/d/1PScI-6cbH3g5uQZSaNzQ_GzjBVs0dVC4/view?usp=drive_link" TargetMode="External"/><Relationship Id="rId1132" Type="http://schemas.openxmlformats.org/officeDocument/2006/relationships/hyperlink" Target="https://drive.google.com/file/d/10OuEREgnUGQpnFCLzzTZ7mJ0tv4WwuFS/view?usp=sharing" TargetMode="External"/><Relationship Id="rId542" Type="http://schemas.openxmlformats.org/officeDocument/2006/relationships/hyperlink" Target="https://drive.google.com/file/d/1v0jBcd6-wdtiW9seYW7MqAh3E0oTIKKG/view?usp=drive_link" TargetMode="External"/><Relationship Id="rId1133" Type="http://schemas.openxmlformats.org/officeDocument/2006/relationships/hyperlink" Target="https://drive.google.com/file/d/1bZi3I1L1jPd4jX9C2ZlD6bgLTPX4AEHL/view?usp=sharing" TargetMode="External"/><Relationship Id="rId541" Type="http://schemas.openxmlformats.org/officeDocument/2006/relationships/hyperlink" Target="https://drive.google.com/file/d/1kNnw01CuUcW-wNEiZaez0o8T-XkrOskF/view?usp=drive_link" TargetMode="External"/><Relationship Id="rId1134" Type="http://schemas.openxmlformats.org/officeDocument/2006/relationships/hyperlink" Target="https://drive.google.com/file/d/1OqjbsHJhO6SbzlOR1GX6W1i8XbSmyydR/view?usp=sharing" TargetMode="External"/><Relationship Id="rId540" Type="http://schemas.openxmlformats.org/officeDocument/2006/relationships/hyperlink" Target="https://drive.google.com/file/d/1-h0YDarY_IB5Rrh5bY4RTOpwsrOs1oaH/view?usp=drive_link" TargetMode="External"/><Relationship Id="rId1135" Type="http://schemas.openxmlformats.org/officeDocument/2006/relationships/hyperlink" Target="https://drive.google.com/file/d/1qJp7qPkPGwxVw7RlNGfQcfBhJeupKnRL/view?usp=sharing" TargetMode="External"/><Relationship Id="rId1125" Type="http://schemas.openxmlformats.org/officeDocument/2006/relationships/hyperlink" Target="https://drive.google.com/file/d/1Rs_jKsNsXR9etDzUsZjxNnL66nqW1BGc/view?usp=sharing" TargetMode="External"/><Relationship Id="rId1126" Type="http://schemas.openxmlformats.org/officeDocument/2006/relationships/hyperlink" Target="https://drive.google.com/file/d/1HJFJU97jXruXV-MNS0K-PUtYv2EyRNWp/view?usp=sharing" TargetMode="External"/><Relationship Id="rId1127" Type="http://schemas.openxmlformats.org/officeDocument/2006/relationships/hyperlink" Target="https://drive.google.com/file/d/1yd-2316kB3XjydvbLzhkfYdb2kflvcEU/view?usp=sharing" TargetMode="External"/><Relationship Id="rId1128" Type="http://schemas.openxmlformats.org/officeDocument/2006/relationships/hyperlink" Target="https://drive.google.com/file/d/1QbeRzxAa9YO4dGSsCPMFHm6-Wyme67D2/view?usp=sharing" TargetMode="External"/><Relationship Id="rId1129" Type="http://schemas.openxmlformats.org/officeDocument/2006/relationships/hyperlink" Target="https://drive.google.com/file/d/1TPqgxaDCzOdPvKuAa335FIr6toSkgg8b/view?usp=sharing" TargetMode="External"/><Relationship Id="rId536" Type="http://schemas.openxmlformats.org/officeDocument/2006/relationships/hyperlink" Target="https://drive.google.com/file/d/1jAZ2pvTOcNRJqrWplx26BgUeaHvWmj_K/view?usp=sharing" TargetMode="External"/><Relationship Id="rId535" Type="http://schemas.openxmlformats.org/officeDocument/2006/relationships/hyperlink" Target="https://drive.google.com/file/d/1jTNZds09r8MvmOc_jTmxRPC9mcjL38sO/view?usp=drive_link" TargetMode="External"/><Relationship Id="rId534" Type="http://schemas.openxmlformats.org/officeDocument/2006/relationships/hyperlink" Target="https://drive.google.com/file/d/1ugwiucBImDT3O-rmr_gOtAtagrFEGaZi/view?usp=drive_link" TargetMode="External"/><Relationship Id="rId533" Type="http://schemas.openxmlformats.org/officeDocument/2006/relationships/hyperlink" Target="https://drive.google.com/file/d/1iDyIFa6cHFThCCXrEZULqEjmP8VPZMhi/view?usp=drive_link" TargetMode="External"/><Relationship Id="rId539" Type="http://schemas.openxmlformats.org/officeDocument/2006/relationships/hyperlink" Target="https://drive.google.com/file/d/1H5OZFiny1JjSMBnb92lVcxvIt06UDiLp/view?usp=drive_link" TargetMode="External"/><Relationship Id="rId538" Type="http://schemas.openxmlformats.org/officeDocument/2006/relationships/hyperlink" Target="https://drive.google.com/file/d/1icfjCPjuuadgPrRWK-9bOLcYefKLPjgG/view?usp=drive_link" TargetMode="External"/><Relationship Id="rId537" Type="http://schemas.openxmlformats.org/officeDocument/2006/relationships/hyperlink" Target="https://drive.google.com/file/d/1fry10Kpg5AWZrZIcbia14E3YzqhA89DC/view?usp=drive_link" TargetMode="External"/><Relationship Id="rId1120" Type="http://schemas.openxmlformats.org/officeDocument/2006/relationships/hyperlink" Target="https://drive.google.com/file/d/1Y1PENrnPhTLWThVjjeUzIG2XYYNs744d/view?usp=sharing" TargetMode="External"/><Relationship Id="rId532" Type="http://schemas.openxmlformats.org/officeDocument/2006/relationships/hyperlink" Target="https://drive.google.com/file/d/19AwWH8cJjNYJpQE90n5zA-Nyc_WICJok/view?usp=drive_link" TargetMode="External"/><Relationship Id="rId1121" Type="http://schemas.openxmlformats.org/officeDocument/2006/relationships/hyperlink" Target="https://drive.google.com/file/d/1Lafn1c6IOo9kPw2aWzmAesEhdOPLS1B8/view?usp=sharing" TargetMode="External"/><Relationship Id="rId531" Type="http://schemas.openxmlformats.org/officeDocument/2006/relationships/hyperlink" Target="https://drive.google.com/file/d/1HLbMeNfDu84_Iv7ppD4DViYcBKjQz8C6/view?usp=sharing" TargetMode="External"/><Relationship Id="rId1122" Type="http://schemas.openxmlformats.org/officeDocument/2006/relationships/hyperlink" Target="https://drive.google.com/file/d/14qHNAG_GbrVVXs-tu_Z0JQl9AA2DCvQ0/view?usp=sharing" TargetMode="External"/><Relationship Id="rId530" Type="http://schemas.openxmlformats.org/officeDocument/2006/relationships/hyperlink" Target="https://drive.google.com/file/d/1yoyYNGQGiv0QrFRITlqIZQb-683KkCAh/view?usp=sharing" TargetMode="External"/><Relationship Id="rId1123" Type="http://schemas.openxmlformats.org/officeDocument/2006/relationships/hyperlink" Target="https://drive.google.com/file/d/1-iQ9Npd0eksFCd-jiQjFfc3Orv7DA4dU/view?usp=sharing" TargetMode="External"/><Relationship Id="rId1124" Type="http://schemas.openxmlformats.org/officeDocument/2006/relationships/hyperlink" Target="https://drive.google.com/file/d/1x4BJtwhwJd_eCw8run9jBjUPAab9QqKp/view?usp=sharing" TargetMode="External"/><Relationship Id="rId1158" Type="http://schemas.openxmlformats.org/officeDocument/2006/relationships/hyperlink" Target="https://drive.google.com/file/d/1GyagH680lhAzgCZbf3MLgNutLbcqP3km/view?usp=sharing" TargetMode="External"/><Relationship Id="rId1159" Type="http://schemas.openxmlformats.org/officeDocument/2006/relationships/hyperlink" Target="https://drive.google.com/file/d/1pojTsQMg9gJhzapEOBtq6PmAErwXLU6L/view?usp=sharing" TargetMode="External"/><Relationship Id="rId569" Type="http://schemas.openxmlformats.org/officeDocument/2006/relationships/hyperlink" Target="https://drive.google.com/file/d/1602ACHyV3ohnVv8V_C8U7z-je2xQ1qws/view?usp=drive_link" TargetMode="External"/><Relationship Id="rId568" Type="http://schemas.openxmlformats.org/officeDocument/2006/relationships/hyperlink" Target="https://drive.google.com/file/d/1ClclRV0W1RF1qVE_s9EooOTh7y31D7bh/view?usp=drive_link" TargetMode="External"/><Relationship Id="rId567" Type="http://schemas.openxmlformats.org/officeDocument/2006/relationships/hyperlink" Target="https://drive.google.com/file/d/1l3ZZ5fe4HOYfSB1mMW3VDqFrLvqqtXdO/view?usp=drive_link" TargetMode="External"/><Relationship Id="rId566" Type="http://schemas.openxmlformats.org/officeDocument/2006/relationships/hyperlink" Target="https://drive.google.com/file/d/16Et8ZjRk4cPG9zcdvXHB6Mo1c0stIR7D/view?usp=drive_link" TargetMode="External"/><Relationship Id="rId561" Type="http://schemas.openxmlformats.org/officeDocument/2006/relationships/hyperlink" Target="https://drive.google.com/file/d/1-sjA-gvX9Gpa_B8W8W8QxAt958gc3ZB3/view?usp=drive_link" TargetMode="External"/><Relationship Id="rId1150" Type="http://schemas.openxmlformats.org/officeDocument/2006/relationships/hyperlink" Target="https://drive.google.com/file/d/1ej7sQr63LkrjPda5w_g9T6bMe2xObDi4/view?usp=sharing" TargetMode="External"/><Relationship Id="rId560" Type="http://schemas.openxmlformats.org/officeDocument/2006/relationships/hyperlink" Target="https://drive.google.com/file/d/1DdfWmGSMQ3Gjf7Ser8vZQPhOEi_IqjfN/view?usp=drive_link" TargetMode="External"/><Relationship Id="rId1151" Type="http://schemas.openxmlformats.org/officeDocument/2006/relationships/hyperlink" Target="https://drive.google.com/file/d/18X0ebG_nos1HWPRxNNDvsq49kMPMEM9s/view?usp=sharing" TargetMode="External"/><Relationship Id="rId1152" Type="http://schemas.openxmlformats.org/officeDocument/2006/relationships/hyperlink" Target="https://drive.google.com/file/d/1_k2mlx1huW9nzWoIa8_ULwOG2Cw-TEJe/view?usp=drive_link" TargetMode="External"/><Relationship Id="rId1153" Type="http://schemas.openxmlformats.org/officeDocument/2006/relationships/hyperlink" Target="https://drive.google.com/file/d/1B93s-5SV0RkRV_NGj77ossVX2gSnvoyO/view?usp=drive_link" TargetMode="External"/><Relationship Id="rId565" Type="http://schemas.openxmlformats.org/officeDocument/2006/relationships/hyperlink" Target="https://drive.google.com/file/d/163WuKzvJaBhVq8CeetEM1h9XFbVLxjpB/view?usp=drive_link" TargetMode="External"/><Relationship Id="rId1154" Type="http://schemas.openxmlformats.org/officeDocument/2006/relationships/hyperlink" Target="https://drive.google.com/file/d/1vtrFLLjH0qG8Lbf1-EXKplUbBJFuIudk/view?usp=sharing" TargetMode="External"/><Relationship Id="rId564" Type="http://schemas.openxmlformats.org/officeDocument/2006/relationships/hyperlink" Target="https://drive.google.com/file/d/1LEhjzsT4FMamUlARt02HjoiaJEwb70Jn/view?usp=drive_link" TargetMode="External"/><Relationship Id="rId1155" Type="http://schemas.openxmlformats.org/officeDocument/2006/relationships/hyperlink" Target="https://drive.google.com/file/d/13G9OiJ5bHpEGViOQjcKrSN1en4mjyQKl/view?usp=sharing" TargetMode="External"/><Relationship Id="rId563" Type="http://schemas.openxmlformats.org/officeDocument/2006/relationships/hyperlink" Target="https://drive.google.com/file/d/1H-LJDBohim8e8plMPVh70S9BtvsrrIdB/view?usp=drive_link" TargetMode="External"/><Relationship Id="rId1156" Type="http://schemas.openxmlformats.org/officeDocument/2006/relationships/hyperlink" Target="https://drive.google.com/file/d/1AIRbdDXDqpkMdwmVuzhF7XpDhhP-BiR4/view?usp=sharing" TargetMode="External"/><Relationship Id="rId562" Type="http://schemas.openxmlformats.org/officeDocument/2006/relationships/hyperlink" Target="https://drive.google.com/file/d/1cTN-7VkljXaGWWug8VB8c564B9xldlvf/view?usp=drive_link" TargetMode="External"/><Relationship Id="rId1157" Type="http://schemas.openxmlformats.org/officeDocument/2006/relationships/hyperlink" Target="https://drive.google.com/file/d/1dCDRKHfZmoEGwmu-7REf1qOiI5OzoM8w/view?usp=sharing" TargetMode="External"/><Relationship Id="rId1147" Type="http://schemas.openxmlformats.org/officeDocument/2006/relationships/hyperlink" Target="https://drive.google.com/file/d/16QEKna3KeARgwfHaHLVYBavfBd0nntpO/view?usp=sharing" TargetMode="External"/><Relationship Id="rId1148" Type="http://schemas.openxmlformats.org/officeDocument/2006/relationships/hyperlink" Target="https://drive.google.com/file/d/1Ki-9v9qmWehb2uJiBLalFVhNcYdIeIt8/view?usp=sharing" TargetMode="External"/><Relationship Id="rId1149" Type="http://schemas.openxmlformats.org/officeDocument/2006/relationships/hyperlink" Target="https://drive.google.com/file/d/1C8yLxIrinwcKXdnQIPRC3j0yMataY50b/view?usp=sharing" TargetMode="External"/><Relationship Id="rId558" Type="http://schemas.openxmlformats.org/officeDocument/2006/relationships/hyperlink" Target="https://drive.google.com/file/d/1f9UPRDZdvasRGBaVBLPA3A_r7JRGjbOI/view?usp=drive_link" TargetMode="External"/><Relationship Id="rId557" Type="http://schemas.openxmlformats.org/officeDocument/2006/relationships/hyperlink" Target="https://drive.google.com/file/d/1KGq0oR8570D4WVUwmA8EHlK95fLjwC-D/view?usp=drive_link" TargetMode="External"/><Relationship Id="rId556" Type="http://schemas.openxmlformats.org/officeDocument/2006/relationships/hyperlink" Target="https://drive.google.com/file/d/1XngpoTYJ79ud5DTpxe4kXCIT84qoOld2/view?usp=drive_link" TargetMode="External"/><Relationship Id="rId555" Type="http://schemas.openxmlformats.org/officeDocument/2006/relationships/hyperlink" Target="https://drive.google.com/file/d/1Gu8Ekme6dYwjK4qYWbjfxldU_JDP9toS/view?usp=drive_link" TargetMode="External"/><Relationship Id="rId559" Type="http://schemas.openxmlformats.org/officeDocument/2006/relationships/hyperlink" Target="https://drive.google.com/file/d/16lVRkKRXqip1xgBpnRXYtFofxINj39ld/view?usp=drive_link" TargetMode="External"/><Relationship Id="rId550" Type="http://schemas.openxmlformats.org/officeDocument/2006/relationships/hyperlink" Target="https://drive.google.com/file/d/1xtV0QblSurUIZuzKWi8GoQ2j_0daBkge/view?usp=drive_link" TargetMode="External"/><Relationship Id="rId1140" Type="http://schemas.openxmlformats.org/officeDocument/2006/relationships/hyperlink" Target="https://drive.google.com/file/d/15iW90udH7P3o3ULBfUPFFC4hpsqs4eUv/view?usp=sharing" TargetMode="External"/><Relationship Id="rId1141" Type="http://schemas.openxmlformats.org/officeDocument/2006/relationships/hyperlink" Target="https://drive.google.com/file/d/1NPfYd2KMvZuiMDjXANwZbi651YIfz9kO/view?usp=sharing" TargetMode="External"/><Relationship Id="rId1142" Type="http://schemas.openxmlformats.org/officeDocument/2006/relationships/hyperlink" Target="https://drive.google.com/file/d/19_2Gg39oyqsemIBXlQA9TMq4Y-5Yma9c/view?usp=sharing" TargetMode="External"/><Relationship Id="rId554" Type="http://schemas.openxmlformats.org/officeDocument/2006/relationships/hyperlink" Target="https://drive.google.com/file/d/1jixbL1hb133XAukhxDjTQ2Ju6k8Z8mhu/view?usp=drive_link" TargetMode="External"/><Relationship Id="rId1143" Type="http://schemas.openxmlformats.org/officeDocument/2006/relationships/hyperlink" Target="https://drive.google.com/file/d/1NjHG4ihskRCdSGyjWxqf4OrXehjUmnKH/view?usp=sharing" TargetMode="External"/><Relationship Id="rId553" Type="http://schemas.openxmlformats.org/officeDocument/2006/relationships/hyperlink" Target="https://drive.google.com/file/d/1lz3oZIPBNVjlXDl2VQGABz-n5OWchAjT/view?usp=drive_link" TargetMode="External"/><Relationship Id="rId1144" Type="http://schemas.openxmlformats.org/officeDocument/2006/relationships/hyperlink" Target="https://drive.google.com/file/d/1VKULcYWGPwzner6trhL-4JnMs_9TUylZ/view?usp=sharing" TargetMode="External"/><Relationship Id="rId552" Type="http://schemas.openxmlformats.org/officeDocument/2006/relationships/hyperlink" Target="https://drive.google.com/file/d/1mJa19PhsVuFpgxcXr4-u_dur2PNAvt35/view?usp=drive_link" TargetMode="External"/><Relationship Id="rId1145" Type="http://schemas.openxmlformats.org/officeDocument/2006/relationships/hyperlink" Target="https://drive.google.com/file/d/1cBtkSwPjZ9A0Nzdu7OXYkuxhJ0Ge751R/view?usp=sharing" TargetMode="External"/><Relationship Id="rId551" Type="http://schemas.openxmlformats.org/officeDocument/2006/relationships/hyperlink" Target="https://drive.google.com/file/d/1a2rHZNu-keMPWNTiBguw72zb9Hy6P7dx/view?usp=drive_link" TargetMode="External"/><Relationship Id="rId1146" Type="http://schemas.openxmlformats.org/officeDocument/2006/relationships/hyperlink" Target="https://drive.google.com/file/d/1I8bKbURiKtrCC-sai940KaOVoPdox2RB/view?usp=sharing" TargetMode="External"/><Relationship Id="rId495" Type="http://schemas.openxmlformats.org/officeDocument/2006/relationships/hyperlink" Target="https://drive.google.com/file/d/1y07S0rzW5rihUGJ-L61NiZ81T0iHnQyt/view?usp=sharing" TargetMode="External"/><Relationship Id="rId494" Type="http://schemas.openxmlformats.org/officeDocument/2006/relationships/hyperlink" Target="https://drive.google.com/file/d/1JAdeuG5UJluHxLu5uR5kITC2LRR_0zgr/view?usp=sharing" TargetMode="External"/><Relationship Id="rId493" Type="http://schemas.openxmlformats.org/officeDocument/2006/relationships/hyperlink" Target="https://drive.google.com/file/d/1ieL-J2bgzNdCZsg7jiFA7ZJcm0RM416G/view?usp=sharing" TargetMode="External"/><Relationship Id="rId492" Type="http://schemas.openxmlformats.org/officeDocument/2006/relationships/hyperlink" Target="https://drive.google.com/file/d/1Z0s21nVLDOdKFYJZnHbVwHr4DOHNVBWA/view?usp=sharing" TargetMode="External"/><Relationship Id="rId499" Type="http://schemas.openxmlformats.org/officeDocument/2006/relationships/hyperlink" Target="https://drive.google.com/file/d/1C5u9Wt8Yjty0n2Pp4F9XMpQpwk30XTCI/view?usp=drive_link" TargetMode="External"/><Relationship Id="rId498" Type="http://schemas.openxmlformats.org/officeDocument/2006/relationships/hyperlink" Target="https://drive.google.com/file/d/15CkW5VlS5JqSMwiLo2-C8fuBM5mm0fMT/view?usp=sharing" TargetMode="External"/><Relationship Id="rId497" Type="http://schemas.openxmlformats.org/officeDocument/2006/relationships/hyperlink" Target="https://drive.google.com/file/d/1HbdsokiyOcQVZSDqRzl8HMQJ0B6maM7T/view?usp=sharing" TargetMode="External"/><Relationship Id="rId496" Type="http://schemas.openxmlformats.org/officeDocument/2006/relationships/hyperlink" Target="https://drive.google.com/file/d/1HOQZSBUX23z2YyA3D_sf2UPgVJ3F8kiT/view?usp=sharing" TargetMode="External"/><Relationship Id="rId907" Type="http://schemas.openxmlformats.org/officeDocument/2006/relationships/hyperlink" Target="https://drive.google.com/file/d/1aMB62OA0cNI7SMdNxK5z7275jPCUDR6I/view?usp=sharing" TargetMode="External"/><Relationship Id="rId906" Type="http://schemas.openxmlformats.org/officeDocument/2006/relationships/hyperlink" Target="https://drive.google.com/file/d/135cr2T1nXcIKE4ebqzv2OTlXrsmghsg4/view?usp=sharing" TargetMode="External"/><Relationship Id="rId905" Type="http://schemas.openxmlformats.org/officeDocument/2006/relationships/hyperlink" Target="https://drive.google.com/file/d/1EidMDgdCsCv94nuv4oHoUmjAyvcpxgcr/view?usp=sharing" TargetMode="External"/><Relationship Id="rId904" Type="http://schemas.openxmlformats.org/officeDocument/2006/relationships/hyperlink" Target="https://drive.google.com/file/d/1nOrh5f1CxCb_9q0oEoRqu9i48xTkAjDs/view?usp=sharing" TargetMode="External"/><Relationship Id="rId909" Type="http://schemas.openxmlformats.org/officeDocument/2006/relationships/hyperlink" Target="https://drive.google.com/file/d/185_kM87wkQemqdFx3iMwT8KIRzZoRjkW/view?usp=sharing" TargetMode="External"/><Relationship Id="rId908" Type="http://schemas.openxmlformats.org/officeDocument/2006/relationships/hyperlink" Target="https://drive.google.com/file/d/1zkBkQKEJtPemUwm9dxmQ8mIwpiSk9WXr/view?usp=sharing" TargetMode="External"/><Relationship Id="rId903" Type="http://schemas.openxmlformats.org/officeDocument/2006/relationships/hyperlink" Target="https://drive.google.com/file/d/1gDJdsIrxqMs-PIY2hpWBOXvEjnamu3QA/view?usp=sharing" TargetMode="External"/><Relationship Id="rId902" Type="http://schemas.openxmlformats.org/officeDocument/2006/relationships/hyperlink" Target="https://drive.google.com/file/d/1BHBQMLpJmH6-tgluaAPJfi6g_gbKIb-C/view?usp=sharing" TargetMode="External"/><Relationship Id="rId901" Type="http://schemas.openxmlformats.org/officeDocument/2006/relationships/hyperlink" Target="https://drive.google.com/file/d/1NxyCcUuFQdHIJn5-zRql1VQpJJbva-gf/view?usp=sharing" TargetMode="External"/><Relationship Id="rId900" Type="http://schemas.openxmlformats.org/officeDocument/2006/relationships/hyperlink" Target="https://drive.google.com/file/d/13pt-vYryu5A9xousGtdypsQtzvx3AO2l/view?usp=sharing" TargetMode="External"/><Relationship Id="rId929" Type="http://schemas.openxmlformats.org/officeDocument/2006/relationships/hyperlink" Target="https://drive.google.com/file/d/18invzpq3Xz0HJ4czzxnMbhgjAv3xWCCD/view?usp=sharing" TargetMode="External"/><Relationship Id="rId928" Type="http://schemas.openxmlformats.org/officeDocument/2006/relationships/hyperlink" Target="https://drive.google.com/file/d/143WX54jOlgoWObdinuBrhP_bP8_CKI98/view?usp=sharing" TargetMode="External"/><Relationship Id="rId927" Type="http://schemas.openxmlformats.org/officeDocument/2006/relationships/hyperlink" Target="https://drive.google.com/file/d/1pJG7ngI2NhcbywTIwulXktXXcB5kPBj5/view?usp=drive_link" TargetMode="External"/><Relationship Id="rId926" Type="http://schemas.openxmlformats.org/officeDocument/2006/relationships/hyperlink" Target="https://drive.google.com/file/d/1VdSiz6pl7EM58tfmQfIMo9tKg0WT-YeO/view?usp=sharing" TargetMode="External"/><Relationship Id="rId921" Type="http://schemas.openxmlformats.org/officeDocument/2006/relationships/hyperlink" Target="https://drive.google.com/file/d/1Qt1DGLjFSkUPF4c0axOk1iA_6DP1FwuL/view?usp=drive_link" TargetMode="External"/><Relationship Id="rId920" Type="http://schemas.openxmlformats.org/officeDocument/2006/relationships/hyperlink" Target="https://drive.google.com/file/d/1Vun-5lKmqf7xpwjj0zjFuJJx9zbFcdDe/view?usp=drive_link" TargetMode="External"/><Relationship Id="rId925" Type="http://schemas.openxmlformats.org/officeDocument/2006/relationships/hyperlink" Target="https://drive.google.com/file/d/1btM_Gaqh-RKFjaBqrr67E2hxLZyVS8pw/view?usp=drive_link" TargetMode="External"/><Relationship Id="rId924" Type="http://schemas.openxmlformats.org/officeDocument/2006/relationships/hyperlink" Target="https://drive.google.com/file/d/1P2GFSNYYaDd0pV7ot3kuODNDWwhBw-Jw/view?usp=drive_link" TargetMode="External"/><Relationship Id="rId923" Type="http://schemas.openxmlformats.org/officeDocument/2006/relationships/hyperlink" Target="https://drive.google.com/file/d/1zk8caIp0bx6yJb_IehiULevsUG3hIUdx/view?usp=drive_link" TargetMode="External"/><Relationship Id="rId922" Type="http://schemas.openxmlformats.org/officeDocument/2006/relationships/hyperlink" Target="https://drive.google.com/file/d/1720uFz2s8MTL3liI6IMxsFt1PsDKxodr/view?usp=drive_link" TargetMode="External"/><Relationship Id="rId918" Type="http://schemas.openxmlformats.org/officeDocument/2006/relationships/hyperlink" Target="https://drive.google.com/file/d/12YIJ2O0AQn2sk-SWwoXFnvlbOAmWgs8Q/view?usp=drive_link" TargetMode="External"/><Relationship Id="rId917" Type="http://schemas.openxmlformats.org/officeDocument/2006/relationships/hyperlink" Target="https://drive.google.com/file/d/1v9aEW50itaThfdSYhO1BX0H-Ct1yfAkr/view?usp=drive_link" TargetMode="External"/><Relationship Id="rId916" Type="http://schemas.openxmlformats.org/officeDocument/2006/relationships/hyperlink" Target="https://drive.google.com/file/d/1TJjVA4ACNgU5R5r7PgtMI3kOI5kM6EoR/view?usp=drive_link" TargetMode="External"/><Relationship Id="rId915" Type="http://schemas.openxmlformats.org/officeDocument/2006/relationships/hyperlink" Target="https://drive.google.com/file/d/1QKJzVdziup8r5pC-mal4_ji9GmfQpUDj/view?usp=sharing" TargetMode="External"/><Relationship Id="rId919" Type="http://schemas.openxmlformats.org/officeDocument/2006/relationships/hyperlink" Target="https://drive.google.com/file/d/1_haw2owsYwxtGdkzltRaigQRmVcvepk0/view?usp=drive_link" TargetMode="External"/><Relationship Id="rId910" Type="http://schemas.openxmlformats.org/officeDocument/2006/relationships/hyperlink" Target="https://drive.google.com/file/d/1eqRCYUs4gyhRV6Dxs3yzuoNIbVeY4Le4/view?usp=sharing" TargetMode="External"/><Relationship Id="rId914" Type="http://schemas.openxmlformats.org/officeDocument/2006/relationships/hyperlink" Target="https://drive.google.com/file/d/1cjKAzhWVW-prlY4kTfuVot-MYcLJ-qQE/view?usp=sharing" TargetMode="External"/><Relationship Id="rId913" Type="http://schemas.openxmlformats.org/officeDocument/2006/relationships/hyperlink" Target="https://drive.google.com/file/d/13d80m2mMLOB54gmfiDsQD683IOil_Q6K/view?usp=drive_link" TargetMode="External"/><Relationship Id="rId912" Type="http://schemas.openxmlformats.org/officeDocument/2006/relationships/hyperlink" Target="https://drive.google.com/file/d/13gUDQsEh-X0UAAVHILKMioNFPhQstwHD/view?usp=sharing" TargetMode="External"/><Relationship Id="rId911" Type="http://schemas.openxmlformats.org/officeDocument/2006/relationships/hyperlink" Target="https://drive.google.com/file/d/1tmC57pMhJfTYWFdnWNLiL9x_XbWoN7Z5/view?usp=sharing" TargetMode="External"/><Relationship Id="rId1213" Type="http://schemas.openxmlformats.org/officeDocument/2006/relationships/hyperlink" Target="https://drive.google.com/file/d/18nJlxO2BorH9o2_-TFqHqyOWaolKUcpz/view?usp=sharing" TargetMode="External"/><Relationship Id="rId1214" Type="http://schemas.openxmlformats.org/officeDocument/2006/relationships/hyperlink" Target="https://drive.google.com/file/d/1UNm5eF2qlu_fTTT2DCh__4ilD-KALqLJ/view?usp=sharing" TargetMode="External"/><Relationship Id="rId1215" Type="http://schemas.openxmlformats.org/officeDocument/2006/relationships/hyperlink" Target="https://drive.google.com/file/d/1V5wW8YZuSLE7C9GMUBi6eroQe83W7Nn1/view?usp=sharing" TargetMode="External"/><Relationship Id="rId1216" Type="http://schemas.openxmlformats.org/officeDocument/2006/relationships/hyperlink" Target="https://drive.google.com/file/d/15J4VM1zIxbjvbPyedr7Gfp8B6lxDUFVH/view?usp=sharing" TargetMode="External"/><Relationship Id="rId1217" Type="http://schemas.openxmlformats.org/officeDocument/2006/relationships/hyperlink" Target="https://drive.google.com/file/d/1Vz02hIYE9uiIy3qTDxs2IZ00OCVCykVo/view?usp=sharing" TargetMode="External"/><Relationship Id="rId1218" Type="http://schemas.openxmlformats.org/officeDocument/2006/relationships/hyperlink" Target="https://drive.google.com/file/d/1jjVbKvcJUVRaPY4lIfrJdN_9NYSxjpnl/view?usp=sharing" TargetMode="External"/><Relationship Id="rId1219" Type="http://schemas.openxmlformats.org/officeDocument/2006/relationships/hyperlink" Target="https://drive.google.com/file/d/1dgTWDAHdNgm8Wk7qC5a6bxYUofKmRxPe/view?usp=sharing" TargetMode="External"/><Relationship Id="rId866" Type="http://schemas.openxmlformats.org/officeDocument/2006/relationships/hyperlink" Target="https://drive.google.com/file/d/1U5ZXfIQJYoCbh33pVmzB0vpgDHwR_OKX/view?usp=sharing" TargetMode="External"/><Relationship Id="rId865" Type="http://schemas.openxmlformats.org/officeDocument/2006/relationships/hyperlink" Target="https://drive.google.com/file/d/150an1e-T17ECPN6YkKkCi1onDFiRbUJr/view?usp=sharing" TargetMode="External"/><Relationship Id="rId864" Type="http://schemas.openxmlformats.org/officeDocument/2006/relationships/hyperlink" Target="https://drive.google.com/file/d/1F2kU_UYjyPvNMGt9aflA-c2rQPW1XL28/view?usp=sharing" TargetMode="External"/><Relationship Id="rId863" Type="http://schemas.openxmlformats.org/officeDocument/2006/relationships/hyperlink" Target="https://drive.google.com/file/d/1v3nLh8VUgN7lqzU_jhqEeXLZ5asaenZV/view?usp=sharing" TargetMode="External"/><Relationship Id="rId869" Type="http://schemas.openxmlformats.org/officeDocument/2006/relationships/hyperlink" Target="https://drive.google.com/file/d/1jtD2qc1GEwhrv79qwbLE1K4KIYVhuB_C/view?usp=sharing" TargetMode="External"/><Relationship Id="rId868" Type="http://schemas.openxmlformats.org/officeDocument/2006/relationships/hyperlink" Target="https://drive.google.com/file/d/1LpRYP21Xs-1ioDVAFDspLOUffvq9anm8/view?usp=sharing" TargetMode="External"/><Relationship Id="rId867" Type="http://schemas.openxmlformats.org/officeDocument/2006/relationships/hyperlink" Target="https://drive.google.com/file/d/1Hi7_sZMSzOmm3E_74ZiimU16eVG10SCs/view?usp=sharing" TargetMode="External"/><Relationship Id="rId862" Type="http://schemas.openxmlformats.org/officeDocument/2006/relationships/hyperlink" Target="https://drive.google.com/file/d/1iEzmp80IvnZWMxAwKnmkJ3u-eSps3cNV/view?usp=sharing" TargetMode="External"/><Relationship Id="rId861" Type="http://schemas.openxmlformats.org/officeDocument/2006/relationships/hyperlink" Target="https://drive.google.com/file/d/1BCMW9JG1Td1VRSNzJ8Fct-LwRaKjFlow/view?usp=sharing" TargetMode="External"/><Relationship Id="rId1210" Type="http://schemas.openxmlformats.org/officeDocument/2006/relationships/hyperlink" Target="https://drive.google.com/file/d/1CId1oiWKUquzwJyrtojTzJr6t3xVc0qb/view?usp=sharing" TargetMode="External"/><Relationship Id="rId860" Type="http://schemas.openxmlformats.org/officeDocument/2006/relationships/hyperlink" Target="https://drive.google.com/file/d/1m12gca6KzSuLr_mEOQiXry6I99Hqkzou/view?usp=sharing" TargetMode="External"/><Relationship Id="rId1211" Type="http://schemas.openxmlformats.org/officeDocument/2006/relationships/hyperlink" Target="https://drive.google.com/file/d/1BOMSKJHgffXBTayAEsl6cQ_fplYG7xmC/view?usp=sharing" TargetMode="External"/><Relationship Id="rId1212" Type="http://schemas.openxmlformats.org/officeDocument/2006/relationships/hyperlink" Target="https://drive.google.com/file/d/1f4A41fsTTaPPqVaLVREh7Ml6-GjMNFqD/view?usp=sharing" TargetMode="External"/><Relationship Id="rId1202" Type="http://schemas.openxmlformats.org/officeDocument/2006/relationships/hyperlink" Target="https://drive.google.com/file/d/19fgeIviRSP9VxU5b6lE9BnVHyuEy_RJj/view?usp=sharing" TargetMode="External"/><Relationship Id="rId1203" Type="http://schemas.openxmlformats.org/officeDocument/2006/relationships/hyperlink" Target="https://drive.google.com/file/d/1MWCtGS_2_R3aQrEKZhRDlrxidpDtua5B/view?usp=sharing" TargetMode="External"/><Relationship Id="rId1204" Type="http://schemas.openxmlformats.org/officeDocument/2006/relationships/hyperlink" Target="https://drive.google.com/file/d/1pzEul2LEg8IBvpSIfDdHzhARnFMX5K9d/view?usp=sharing" TargetMode="External"/><Relationship Id="rId1205" Type="http://schemas.openxmlformats.org/officeDocument/2006/relationships/hyperlink" Target="https://drive.google.com/file/d/1wabcmogPz2_DvOqzdaa_imN0fFXVZZp3/view?usp=sharing" TargetMode="External"/><Relationship Id="rId1206" Type="http://schemas.openxmlformats.org/officeDocument/2006/relationships/hyperlink" Target="https://drive.google.com/file/d/1czBGq_rQ8ce_-W611YlQaIpRrqtPnUGF/view?usp=sharing" TargetMode="External"/><Relationship Id="rId1207" Type="http://schemas.openxmlformats.org/officeDocument/2006/relationships/hyperlink" Target="https://drive.google.com/file/d/1vhbMLX6wqNMguPB4pR_DKB3qlf-i9wct/view?usp=sharing" TargetMode="External"/><Relationship Id="rId1208" Type="http://schemas.openxmlformats.org/officeDocument/2006/relationships/hyperlink" Target="https://drive.google.com/file/d/1Nb5dZ_NLGod-JyfFQeU_jDWqb75gO0iF/view?usp=sharing" TargetMode="External"/><Relationship Id="rId1209" Type="http://schemas.openxmlformats.org/officeDocument/2006/relationships/hyperlink" Target="https://drive.google.com/file/d/1ZlFbVBZAV2AWNPNoxARcVkYVGadvA23E/view?usp=sharing" TargetMode="External"/><Relationship Id="rId855" Type="http://schemas.openxmlformats.org/officeDocument/2006/relationships/hyperlink" Target="https://drive.google.com/file/d/1avF4PbnlnmsjGlF6qAJXQDVOcX3uYYWL/view?usp=sharing" TargetMode="External"/><Relationship Id="rId854" Type="http://schemas.openxmlformats.org/officeDocument/2006/relationships/hyperlink" Target="https://drive.google.com/file/d/1f-IpKdW9W5ouYvOPxf0EB7_DZVMfEVPa/view?usp=drive_link" TargetMode="External"/><Relationship Id="rId853" Type="http://schemas.openxmlformats.org/officeDocument/2006/relationships/hyperlink" Target="https://drive.google.com/file/d/1QsZbD5_GwSCYNiwRqKHi8U5gTGtSDy_k/view?usp=sharing" TargetMode="External"/><Relationship Id="rId852" Type="http://schemas.openxmlformats.org/officeDocument/2006/relationships/hyperlink" Target="https://drive.google.com/file/d/1o3hQTzAmqpyT_454VRxNksYQlPrNZDC7/view?usp=sharing" TargetMode="External"/><Relationship Id="rId859" Type="http://schemas.openxmlformats.org/officeDocument/2006/relationships/hyperlink" Target="https://drive.google.com/file/d/19WrCfoETL-CZNgbeaHKmSoP5nvJ8983o/view?usp=sharing" TargetMode="External"/><Relationship Id="rId858" Type="http://schemas.openxmlformats.org/officeDocument/2006/relationships/hyperlink" Target="https://drive.google.com/file/d/11C0zkD4PBoLBhXWhkD7-scVHij9PvgmM/view?usp=sharing" TargetMode="External"/><Relationship Id="rId857" Type="http://schemas.openxmlformats.org/officeDocument/2006/relationships/hyperlink" Target="https://drive.google.com/file/d/1TRUSUnVklGJ88hCBIq-azIEJkzw7IPoN/view?usp=sharing" TargetMode="External"/><Relationship Id="rId856" Type="http://schemas.openxmlformats.org/officeDocument/2006/relationships/hyperlink" Target="https://drive.google.com/file/d/1WR_9OvpxcQeoki74DkV6VuLwRqUeIDwi/view?usp=sharing" TargetMode="External"/><Relationship Id="rId851" Type="http://schemas.openxmlformats.org/officeDocument/2006/relationships/hyperlink" Target="https://drive.google.com/file/d/1IRbFYdZlWUldPQepdWSRGQts66WGAk3m/view?usp=sharing" TargetMode="External"/><Relationship Id="rId850" Type="http://schemas.openxmlformats.org/officeDocument/2006/relationships/hyperlink" Target="https://drive.google.com/file/d/1CiJukKXSRT-BwQSbdVNLzkJnMk9Ktiji/view?usp=sharing" TargetMode="External"/><Relationship Id="rId1200" Type="http://schemas.openxmlformats.org/officeDocument/2006/relationships/hyperlink" Target="https://drive.google.com/file/d/1Gc-JUAsYnJuarK9AyARM8UF-REwr6Dxr/view?usp=sharing" TargetMode="External"/><Relationship Id="rId1201" Type="http://schemas.openxmlformats.org/officeDocument/2006/relationships/hyperlink" Target="https://drive.google.com/file/d/18BH8RWe4HkvGyTP4B_HExa_xuSgj_7VE/view?usp=sharing" TargetMode="External"/><Relationship Id="rId1235" Type="http://schemas.openxmlformats.org/officeDocument/2006/relationships/hyperlink" Target="https://drive.google.com/file/d/1tG94TGyByIUmoSTxSaszT8Q6qDlch2CH/view?usp=sharing" TargetMode="External"/><Relationship Id="rId1236" Type="http://schemas.openxmlformats.org/officeDocument/2006/relationships/hyperlink" Target="https://drive.google.com/file/d/1n83NN-lvgi9k7goIoAOT6msmixeuMOvn/view?usp=sharing" TargetMode="External"/><Relationship Id="rId1237" Type="http://schemas.openxmlformats.org/officeDocument/2006/relationships/hyperlink" Target="https://drive.google.com/file/d/1AWwcihr-8y2FFTNzsG66-9K6690p0KSv/view?usp=sharing" TargetMode="External"/><Relationship Id="rId1238" Type="http://schemas.openxmlformats.org/officeDocument/2006/relationships/hyperlink" Target="https://drive.google.com/file/d/1ELG-pim28i2B-fI2Al5LiQ_jZUZdYxtV/view?usp=sharing" TargetMode="External"/><Relationship Id="rId1239" Type="http://schemas.openxmlformats.org/officeDocument/2006/relationships/hyperlink" Target="https://drive.google.com/file/d/1n5mNWpL17fEC8438ykZsav1FzWc9o8ux/view?usp=sharing" TargetMode="External"/><Relationship Id="rId409" Type="http://schemas.openxmlformats.org/officeDocument/2006/relationships/hyperlink" Target="https://drive.google.com/file/d/1HUSkQjJxhE_yUIJwCJXguyyvShmGUhHf/view?usp=sharing" TargetMode="External"/><Relationship Id="rId404" Type="http://schemas.openxmlformats.org/officeDocument/2006/relationships/hyperlink" Target="https://drive.google.com/file/d/1k88pt_pkexHb-Lcw1A5dSUjmpXrOsjqq/view?usp=sharing" TargetMode="External"/><Relationship Id="rId888" Type="http://schemas.openxmlformats.org/officeDocument/2006/relationships/hyperlink" Target="https://drive.google.com/file/d/1vHtdE4FepANT8S8W77NwT73XLEStayWB/view?usp=sharing" TargetMode="External"/><Relationship Id="rId403" Type="http://schemas.openxmlformats.org/officeDocument/2006/relationships/hyperlink" Target="https://drive.google.com/file/d/1Umlq2Dkspjrrx8AfPXamnOJnEHQDEmGJ/view?usp=sharing" TargetMode="External"/><Relationship Id="rId887" Type="http://schemas.openxmlformats.org/officeDocument/2006/relationships/hyperlink" Target="https://drive.google.com/file/d/1yjsRjkLpdrWimxSPG9mXZDHlnAkmMX1f/view?usp=sharing" TargetMode="External"/><Relationship Id="rId402" Type="http://schemas.openxmlformats.org/officeDocument/2006/relationships/hyperlink" Target="https://drive.google.com/file/d/1Wf84zveRTruhas0bd4tndHLZ4O7HuWAk/view?usp=sharing" TargetMode="External"/><Relationship Id="rId886" Type="http://schemas.openxmlformats.org/officeDocument/2006/relationships/hyperlink" Target="https://drive.google.com/file/d/1o-HMHwrqT3tHcRCGByEYp8wsoErJhU_P/view?usp=sharing" TargetMode="External"/><Relationship Id="rId401" Type="http://schemas.openxmlformats.org/officeDocument/2006/relationships/hyperlink" Target="https://drive.google.com/file/d/1T8NGZYAPttTNU_1CzC08m50KlytsklAW/view?usp=sharing" TargetMode="External"/><Relationship Id="rId885" Type="http://schemas.openxmlformats.org/officeDocument/2006/relationships/hyperlink" Target="https://drive.google.com/file/d/1QQCWJ5xV5y2dEtpAHswFVSgnksaRKFcQ/view?usp=sharing" TargetMode="External"/><Relationship Id="rId408" Type="http://schemas.openxmlformats.org/officeDocument/2006/relationships/hyperlink" Target="https://drive.google.com/file/d/1SHv_hAAZbb4Z49hwcJp-tKTfZ6EnNgkC/view?usp=sharing" TargetMode="External"/><Relationship Id="rId407" Type="http://schemas.openxmlformats.org/officeDocument/2006/relationships/hyperlink" Target="https://drive.google.com/file/d/1aUmYZUZYzPKj7smICcn-gtR_HHxIj5au/view?usp=sharing" TargetMode="External"/><Relationship Id="rId406" Type="http://schemas.openxmlformats.org/officeDocument/2006/relationships/hyperlink" Target="https://drive.google.com/file/d/1UlH2e7GVnhxp9KLqXsKHe3UnysZ9MXGx/view?usp=sharing" TargetMode="External"/><Relationship Id="rId405" Type="http://schemas.openxmlformats.org/officeDocument/2006/relationships/hyperlink" Target="https://drive.google.com/file/d/1dh_B1eFupEHO3WF2Ngo6ZscNI1eKMw3r/view?usp=sharing" TargetMode="External"/><Relationship Id="rId889" Type="http://schemas.openxmlformats.org/officeDocument/2006/relationships/hyperlink" Target="https://drive.google.com/file/d/1IbWgm9k1Z4uPuo12AHjyi_JTwtOsB7UF/view?usp=sharing" TargetMode="External"/><Relationship Id="rId880" Type="http://schemas.openxmlformats.org/officeDocument/2006/relationships/hyperlink" Target="https://drive.google.com/file/d/1RCQHHTzkjznPvkeNj27LWGlI6gJwgLo4/view?usp=sharing" TargetMode="External"/><Relationship Id="rId1230" Type="http://schemas.openxmlformats.org/officeDocument/2006/relationships/hyperlink" Target="https://drive.google.com/file/d/1IDCcTc_u-pLPwXDYEWi1usfMqDBjLTcg/view?usp=sharing" TargetMode="External"/><Relationship Id="rId400" Type="http://schemas.openxmlformats.org/officeDocument/2006/relationships/hyperlink" Target="https://drive.google.com/file/d/17NpawBgS18DKKBAhhoeNUffKgQE9bBAD/view?usp=sharing" TargetMode="External"/><Relationship Id="rId884" Type="http://schemas.openxmlformats.org/officeDocument/2006/relationships/hyperlink" Target="https://drive.google.com/file/d/1bXb5ibLYHwDC9yjMYQGUMglp14xX--Br/view?usp=sharing" TargetMode="External"/><Relationship Id="rId1231" Type="http://schemas.openxmlformats.org/officeDocument/2006/relationships/hyperlink" Target="https://drive.google.com/file/d/1E2SGGFmLlOnNoPT24iS-swp6QeROAapE/view?usp=sharing" TargetMode="External"/><Relationship Id="rId883" Type="http://schemas.openxmlformats.org/officeDocument/2006/relationships/hyperlink" Target="https://drive.google.com/file/d/1F6x2c6CKN3gVHe5cmePMfh_2WXhAKQBA/view?usp=sharing" TargetMode="External"/><Relationship Id="rId1232" Type="http://schemas.openxmlformats.org/officeDocument/2006/relationships/hyperlink" Target="https://drive.google.com/file/d/1Zing4Ql1ZX9hjs7OtsdINx1RQyyAn36z/view?usp=sharing" TargetMode="External"/><Relationship Id="rId882" Type="http://schemas.openxmlformats.org/officeDocument/2006/relationships/hyperlink" Target="https://drive.google.com/file/d/1eISiR2P9If7m2DC4dsGPXcsISjO_LByC/view?usp=sharing" TargetMode="External"/><Relationship Id="rId1233" Type="http://schemas.openxmlformats.org/officeDocument/2006/relationships/hyperlink" Target="https://drive.google.com/file/d/1b6o6iCfYfR4228KNDY42zfeMC2wWF3FT/view?usp=sharing" TargetMode="External"/><Relationship Id="rId881" Type="http://schemas.openxmlformats.org/officeDocument/2006/relationships/hyperlink" Target="https://drive.google.com/file/d/1J-L_hNM7uGBL2dOZJRNwvAAVm__PxN9z/view?usp=sharing" TargetMode="External"/><Relationship Id="rId1234" Type="http://schemas.openxmlformats.org/officeDocument/2006/relationships/hyperlink" Target="https://drive.google.com/file/d/1-6TTBMY2Og0DYrJuLPgjGAs1GOxwfKD5/view?usp=sharing" TargetMode="External"/><Relationship Id="rId1224" Type="http://schemas.openxmlformats.org/officeDocument/2006/relationships/hyperlink" Target="https://drive.google.com/file/d/1eKkYaJIK0li0gVtMd7KdRRHQqoguw6NU/view?usp=sharing" TargetMode="External"/><Relationship Id="rId1225" Type="http://schemas.openxmlformats.org/officeDocument/2006/relationships/hyperlink" Target="https://drive.google.com/file/d/1Rha8DOCKh7TxR_ie5ZdngaBovDug5jzw/view?usp=sharing" TargetMode="External"/><Relationship Id="rId1226" Type="http://schemas.openxmlformats.org/officeDocument/2006/relationships/hyperlink" Target="https://drive.google.com/file/d/1J7j6L9vTlGyeHQ2NtQk3EcjVElcz0fCy/view?usp=sharing" TargetMode="External"/><Relationship Id="rId1227" Type="http://schemas.openxmlformats.org/officeDocument/2006/relationships/hyperlink" Target="https://drive.google.com/file/d/1Jh5UbLWocFii6kUzv5YTcBZHYwFFvjca/view?usp=sharing" TargetMode="External"/><Relationship Id="rId1228" Type="http://schemas.openxmlformats.org/officeDocument/2006/relationships/hyperlink" Target="https://drive.google.com/file/d/1zAoHZ5IwqA4YsaQhoPXQL-t_LmKK8kep/view?usp=sharing" TargetMode="External"/><Relationship Id="rId1229" Type="http://schemas.openxmlformats.org/officeDocument/2006/relationships/hyperlink" Target="https://drive.google.com/file/d/1h7BgaAUD5-Gm1KGtrF1rYjVyXpNkfWUp/view?usp=sharing" TargetMode="External"/><Relationship Id="rId877" Type="http://schemas.openxmlformats.org/officeDocument/2006/relationships/hyperlink" Target="https://drive.google.com/file/d/1mQgePZkvaCkTP8aNjdSI7sdCqwN7OD_d/view?usp=sharing" TargetMode="External"/><Relationship Id="rId876" Type="http://schemas.openxmlformats.org/officeDocument/2006/relationships/hyperlink" Target="https://drive.google.com/file/d/18UpsxHJXphSvUQ600K97tHtFV-vGlj0c/view?usp=sharing" TargetMode="External"/><Relationship Id="rId875" Type="http://schemas.openxmlformats.org/officeDocument/2006/relationships/hyperlink" Target="https://drive.google.com/file/d/1_dj_bSI6OYnWfRIP5rpJP0KPtpBGxL51/view?usp=sharing" TargetMode="External"/><Relationship Id="rId874" Type="http://schemas.openxmlformats.org/officeDocument/2006/relationships/hyperlink" Target="https://drive.google.com/file/d/1zzVBzcA94UH5n4mRfZkBD48_R-liDo5R/view?usp=sharing" TargetMode="External"/><Relationship Id="rId879" Type="http://schemas.openxmlformats.org/officeDocument/2006/relationships/hyperlink" Target="https://drive.google.com/file/d/1NkPTZavfqY7yLLxV8vtlTi3KT_TuWipt/view?usp=sharing" TargetMode="External"/><Relationship Id="rId878" Type="http://schemas.openxmlformats.org/officeDocument/2006/relationships/hyperlink" Target="https://drive.google.com/file/d/1z4USzlWqAHT9eW7PD2vKRbZArDPiCAqw/view?usp=sharing" TargetMode="External"/><Relationship Id="rId873" Type="http://schemas.openxmlformats.org/officeDocument/2006/relationships/hyperlink" Target="https://drive.google.com/file/d/1ALxAiqzXHvJ3InHy3zW7fHnmWh5I13mi/view?usp=sharing" TargetMode="External"/><Relationship Id="rId1220" Type="http://schemas.openxmlformats.org/officeDocument/2006/relationships/hyperlink" Target="https://drive.google.com/file/d/18vpdXOud3_ObxSEPJ7_sefKQDFAzIJI_/view?usp=sharing" TargetMode="External"/><Relationship Id="rId872" Type="http://schemas.openxmlformats.org/officeDocument/2006/relationships/hyperlink" Target="https://drive.google.com/file/d/1TxVELTKZYzIp7uNlg6QEaCHWlxhgVNn2/view?usp=sharing" TargetMode="External"/><Relationship Id="rId1221" Type="http://schemas.openxmlformats.org/officeDocument/2006/relationships/hyperlink" Target="https://drive.google.com/file/d/1njSdN8CsaZ4rSS66lDnYmLsF7rLoRLcn/view?usp=sharing" TargetMode="External"/><Relationship Id="rId871" Type="http://schemas.openxmlformats.org/officeDocument/2006/relationships/hyperlink" Target="https://drive.google.com/file/d/1Qo8giWriNZyUZLVI-FdHEV0bwzXhWBai/view?usp=sharing" TargetMode="External"/><Relationship Id="rId1222" Type="http://schemas.openxmlformats.org/officeDocument/2006/relationships/hyperlink" Target="https://drive.google.com/file/d/1e8YMcJpTf1Z_nTtxB4L77RYnJIGVZPo1/view?usp=sharing" TargetMode="External"/><Relationship Id="rId870" Type="http://schemas.openxmlformats.org/officeDocument/2006/relationships/hyperlink" Target="https://drive.google.com/file/d/1U2tSrjXhKVMNu9ONr7YQgOzhDXv8GSub/view?usp=sharing" TargetMode="External"/><Relationship Id="rId1223" Type="http://schemas.openxmlformats.org/officeDocument/2006/relationships/hyperlink" Target="https://drive.google.com/file/d/1dMRzMBHJeeKJQJr_VXmkHAW2dz7hhQ7W/view?usp=sharing" TargetMode="External"/><Relationship Id="rId829" Type="http://schemas.openxmlformats.org/officeDocument/2006/relationships/hyperlink" Target="https://drive.google.com/file/d/1RCQHHTzkjznPvkeNj27LWGlI6gJwgLo4/view?usp=sharing" TargetMode="External"/><Relationship Id="rId828" Type="http://schemas.openxmlformats.org/officeDocument/2006/relationships/hyperlink" Target="https://drive.google.com/file/d/1NkPTZavfqY7yLLxV8vtlTi3KT_TuWipt/view?usp=sharing" TargetMode="External"/><Relationship Id="rId827" Type="http://schemas.openxmlformats.org/officeDocument/2006/relationships/hyperlink" Target="https://drive.google.com/file/d/1z4USzlWqAHT9eW7PD2vKRbZArDPiCAqw/view?usp=sharing" TargetMode="External"/><Relationship Id="rId822" Type="http://schemas.openxmlformats.org/officeDocument/2006/relationships/hyperlink" Target="https://drive.google.com/file/d/1ALxAiqzXHvJ3InHy3zW7fHnmWh5I13mi/view?usp=sharing" TargetMode="External"/><Relationship Id="rId821" Type="http://schemas.openxmlformats.org/officeDocument/2006/relationships/hyperlink" Target="https://drive.google.com/file/d/1TxVELTKZYzIp7uNlg6QEaCHWlxhgVNn2/view?usp=sharing" TargetMode="External"/><Relationship Id="rId820" Type="http://schemas.openxmlformats.org/officeDocument/2006/relationships/hyperlink" Target="https://drive.google.com/file/d/1Qo8giWriNZyUZLVI-FdHEV0bwzXhWBai/view?usp=sharing" TargetMode="External"/><Relationship Id="rId826" Type="http://schemas.openxmlformats.org/officeDocument/2006/relationships/hyperlink" Target="https://drive.google.com/file/d/1mQgePZkvaCkTP8aNjdSI7sdCqwN7OD_d/view?usp=sharing" TargetMode="External"/><Relationship Id="rId825" Type="http://schemas.openxmlformats.org/officeDocument/2006/relationships/hyperlink" Target="https://drive.google.com/file/d/18UpsxHJXphSvUQ600K97tHtFV-vGlj0c/view?usp=sharing" TargetMode="External"/><Relationship Id="rId824" Type="http://schemas.openxmlformats.org/officeDocument/2006/relationships/hyperlink" Target="https://drive.google.com/file/d/1_dj_bSI6OYnWfRIP5rpJP0KPtpBGxL51/view?usp=sharing" TargetMode="External"/><Relationship Id="rId823" Type="http://schemas.openxmlformats.org/officeDocument/2006/relationships/hyperlink" Target="https://drive.google.com/file/d/1zzVBzcA94UH5n4mRfZkBD48_R-liDo5R/view?usp=sharing" TargetMode="External"/><Relationship Id="rId819" Type="http://schemas.openxmlformats.org/officeDocument/2006/relationships/hyperlink" Target="https://drive.google.com/file/d/1U2tSrjXhKVMNu9ONr7YQgOzhDXv8GSub/view?usp=sharing" TargetMode="External"/><Relationship Id="rId818" Type="http://schemas.openxmlformats.org/officeDocument/2006/relationships/hyperlink" Target="https://drive.google.com/file/d/1jtD2qc1GEwhrv79qwbLE1K4KIYVhuB_C/view?usp=sharing" TargetMode="External"/><Relationship Id="rId817" Type="http://schemas.openxmlformats.org/officeDocument/2006/relationships/hyperlink" Target="https://drive.google.com/file/d/1LpRYP21Xs-1ioDVAFDspLOUffvq9anm8/view?usp=sharing" TargetMode="External"/><Relationship Id="rId816" Type="http://schemas.openxmlformats.org/officeDocument/2006/relationships/hyperlink" Target="https://drive.google.com/file/d/1Hi7_sZMSzOmm3E_74ZiimU16eVG10SCs/view?usp=sharing" TargetMode="External"/><Relationship Id="rId811" Type="http://schemas.openxmlformats.org/officeDocument/2006/relationships/hyperlink" Target="https://drive.google.com/file/d/1iEzmp80IvnZWMxAwKnmkJ3u-eSps3cNV/view?usp=sharing" TargetMode="External"/><Relationship Id="rId810" Type="http://schemas.openxmlformats.org/officeDocument/2006/relationships/hyperlink" Target="https://drive.google.com/file/d/1BCMW9JG1Td1VRSNzJ8Fct-LwRaKjFlow/view?usp=sharing" TargetMode="External"/><Relationship Id="rId815" Type="http://schemas.openxmlformats.org/officeDocument/2006/relationships/hyperlink" Target="https://drive.google.com/file/d/1U5ZXfIQJYoCbh33pVmzB0vpgDHwR_OKX/view?usp=sharing" TargetMode="External"/><Relationship Id="rId814" Type="http://schemas.openxmlformats.org/officeDocument/2006/relationships/hyperlink" Target="https://drive.google.com/file/d/150an1e-T17ECPN6YkKkCi1onDFiRbUJr/view?usp=sharing" TargetMode="External"/><Relationship Id="rId813" Type="http://schemas.openxmlformats.org/officeDocument/2006/relationships/hyperlink" Target="https://drive.google.com/file/d/1F2kU_UYjyPvNMGt9aflA-c2rQPW1XL28/view?usp=sharing" TargetMode="External"/><Relationship Id="rId812" Type="http://schemas.openxmlformats.org/officeDocument/2006/relationships/hyperlink" Target="https://drive.google.com/file/d/1v3nLh8VUgN7lqzU_jhqEeXLZ5asaenZV/view?usp=sharing" TargetMode="External"/><Relationship Id="rId849" Type="http://schemas.openxmlformats.org/officeDocument/2006/relationships/hyperlink" Target="https://drive.google.com/file/d/1moxpZs_5IwyLIUFV6dOpRuy2k5EETEtM/view?usp=sharing" TargetMode="External"/><Relationship Id="rId844" Type="http://schemas.openxmlformats.org/officeDocument/2006/relationships/hyperlink" Target="https://drive.google.com/file/d/1L3bb2MhjQbD0CR506qm4FNuUooPM3DeT/view?usp=sharing" TargetMode="External"/><Relationship Id="rId843" Type="http://schemas.openxmlformats.org/officeDocument/2006/relationships/hyperlink" Target="https://drive.google.com/file/d/1n_h3KLUKe1JpAZuDw55kSqBWPOSfD7VW/view?usp=drive_link" TargetMode="External"/><Relationship Id="rId842" Type="http://schemas.openxmlformats.org/officeDocument/2006/relationships/hyperlink" Target="https://drive.google.com/file/d/1ATl4x1EU_VIBNB9lT6MYGDXkpTC0CRGD/view?usp=sharing" TargetMode="External"/><Relationship Id="rId841" Type="http://schemas.openxmlformats.org/officeDocument/2006/relationships/hyperlink" Target="https://drive.google.com/file/d/1BtgEgQD0CPTiwfNUkC1rcl5Ou1WMp1Al/view?usp=sharing" TargetMode="External"/><Relationship Id="rId848" Type="http://schemas.openxmlformats.org/officeDocument/2006/relationships/hyperlink" Target="https://drive.google.com/file/d/1f2pmQG1XHj0wPWly3tuZdsejHfhT2-I0/view?usp=sharing" TargetMode="External"/><Relationship Id="rId847" Type="http://schemas.openxmlformats.org/officeDocument/2006/relationships/hyperlink" Target="https://drive.google.com/file/d/1RgkCtesL7l8bzwgBJBvj6fcyo8mY4Tnb/view?usp=sharing" TargetMode="External"/><Relationship Id="rId846" Type="http://schemas.openxmlformats.org/officeDocument/2006/relationships/hyperlink" Target="https://drive.google.com/file/d/1WFp8OLAkHs0GwY55xgsIf95syQ2I9Un4/view?usp=sharing" TargetMode="External"/><Relationship Id="rId845" Type="http://schemas.openxmlformats.org/officeDocument/2006/relationships/hyperlink" Target="https://drive.google.com/file/d/1ipAxmhQHgPpJmWgEHC0HLKRne53SMF1r/view?usp=sharing" TargetMode="External"/><Relationship Id="rId840" Type="http://schemas.openxmlformats.org/officeDocument/2006/relationships/hyperlink" Target="https://drive.google.com/file/d/1VFUFqBAHDL1GU6KJN4S_Q5uybXM7pv01/view?usp=sharing" TargetMode="External"/><Relationship Id="rId839" Type="http://schemas.openxmlformats.org/officeDocument/2006/relationships/hyperlink" Target="https://drive.google.com/file/d/1Z2Fen96E7Af3ppeJTu8ABGd2pBCW8HDR/view?usp=sharing" TargetMode="External"/><Relationship Id="rId838" Type="http://schemas.openxmlformats.org/officeDocument/2006/relationships/hyperlink" Target="https://drive.google.com/file/d/1IbWgm9k1Z4uPuo12AHjyi_JTwtOsB7UF/view?usp=sharing" TargetMode="External"/><Relationship Id="rId833" Type="http://schemas.openxmlformats.org/officeDocument/2006/relationships/hyperlink" Target="https://drive.google.com/file/d/1bXb5ibLYHwDC9yjMYQGUMglp14xX--Br/view?usp=sharing" TargetMode="External"/><Relationship Id="rId832" Type="http://schemas.openxmlformats.org/officeDocument/2006/relationships/hyperlink" Target="https://drive.google.com/file/d/1F6x2c6CKN3gVHe5cmePMfh_2WXhAKQBA/view?usp=sharing" TargetMode="External"/><Relationship Id="rId831" Type="http://schemas.openxmlformats.org/officeDocument/2006/relationships/hyperlink" Target="https://drive.google.com/file/d/1eISiR2P9If7m2DC4dsGPXcsISjO_LByC/view?usp=sharing" TargetMode="External"/><Relationship Id="rId830" Type="http://schemas.openxmlformats.org/officeDocument/2006/relationships/hyperlink" Target="https://drive.google.com/file/d/1J-L_hNM7uGBL2dOZJRNwvAAVm__PxN9z/view?usp=sharing" TargetMode="External"/><Relationship Id="rId837" Type="http://schemas.openxmlformats.org/officeDocument/2006/relationships/hyperlink" Target="https://drive.google.com/file/d/1vHtdE4FepANT8S8W77NwT73XLEStayWB/view?usp=sharing" TargetMode="External"/><Relationship Id="rId836" Type="http://schemas.openxmlformats.org/officeDocument/2006/relationships/hyperlink" Target="https://drive.google.com/file/d/1yjsRjkLpdrWimxSPG9mXZDHlnAkmMX1f/view?usp=sharing" TargetMode="External"/><Relationship Id="rId835" Type="http://schemas.openxmlformats.org/officeDocument/2006/relationships/hyperlink" Target="https://drive.google.com/file/d/1o-HMHwrqT3tHcRCGByEYp8wsoErJhU_P/view?usp=sharing" TargetMode="External"/><Relationship Id="rId834" Type="http://schemas.openxmlformats.org/officeDocument/2006/relationships/hyperlink" Target="https://drive.google.com/file/d/1QQCWJ5xV5y2dEtpAHswFVSgnksaRKFcQ/view?usp=sharing" TargetMode="External"/><Relationship Id="rId469" Type="http://schemas.openxmlformats.org/officeDocument/2006/relationships/hyperlink" Target="https://drive.google.com/file/d/1hUUe22M7cq4EjzNQxbiCmewfnRtLCeaF/view?usp=sharing" TargetMode="External"/><Relationship Id="rId468" Type="http://schemas.openxmlformats.org/officeDocument/2006/relationships/hyperlink" Target="https://drive.google.com/file/d/1-1XNZzTWz2um2SCgd1B3XaJ6dz898blG/view?usp=sharing" TargetMode="External"/><Relationship Id="rId467" Type="http://schemas.openxmlformats.org/officeDocument/2006/relationships/hyperlink" Target="https://drive.google.com/file/d/1NNJWjN7gKwoW2lb6fzeUr8Pu6G6PrV2K/view?usp=drive_link" TargetMode="External"/><Relationship Id="rId1290" Type="http://schemas.openxmlformats.org/officeDocument/2006/relationships/hyperlink" Target="https://drive.google.com/file/d/16MRA1gJfpAeQ5UbIjF1mjP86WSTomMfb/view?usp=drive_link" TargetMode="External"/><Relationship Id="rId1291" Type="http://schemas.openxmlformats.org/officeDocument/2006/relationships/hyperlink" Target="https://drive.google.com/file/d/1mrPsTZyy6HIbLWGZPmqbjEaCqlLlGeqK/view?usp=sharing" TargetMode="External"/><Relationship Id="rId1292" Type="http://schemas.openxmlformats.org/officeDocument/2006/relationships/hyperlink" Target="https://drive.google.com/file/d/1S9l9Wjp4J0dbAwXxBRan7Wyes_sw_sAm/view?usp=sharing" TargetMode="External"/><Relationship Id="rId462" Type="http://schemas.openxmlformats.org/officeDocument/2006/relationships/hyperlink" Target="https://drive.google.com/file/d/1hVLCGwJUN5g6nxegk5Hpb1UIPfsypr7y/view?usp=drive_link" TargetMode="External"/><Relationship Id="rId1293" Type="http://schemas.openxmlformats.org/officeDocument/2006/relationships/hyperlink" Target="https://drive.google.com/file/d/15T1-R2uiPPGTtC4Fsi8THZWbZhjYYyWc/view?usp=sharing" TargetMode="External"/><Relationship Id="rId461" Type="http://schemas.openxmlformats.org/officeDocument/2006/relationships/hyperlink" Target="https://drive.google.com/file/d/18DPK5so8S9H_i0p_KDw95uNtSvV77dnO/view?usp=drive_link" TargetMode="External"/><Relationship Id="rId1294" Type="http://schemas.openxmlformats.org/officeDocument/2006/relationships/hyperlink" Target="https://drive.google.com/file/d/1jEa3hweSrXhHKtafpGmwstml8U1QxQaN/view?usp=drive_link" TargetMode="External"/><Relationship Id="rId460" Type="http://schemas.openxmlformats.org/officeDocument/2006/relationships/hyperlink" Target="https://drive.google.com/file/d/1zJTXOPgcSK9U_xCgrABn2TlAejzderjX/view?usp=sharing" TargetMode="External"/><Relationship Id="rId1295" Type="http://schemas.openxmlformats.org/officeDocument/2006/relationships/hyperlink" Target="https://drive.google.com/file/d/1eKWK8r4n13jKEOB3jc9FJ05kkeDH_E70/view?usp=drive_link" TargetMode="External"/><Relationship Id="rId1296" Type="http://schemas.openxmlformats.org/officeDocument/2006/relationships/hyperlink" Target="https://drive.google.com/file/d/1vwPkkwrTP5LVHGswbp2jBdOr2MmNA0yL/view?usp=drive_link" TargetMode="External"/><Relationship Id="rId466" Type="http://schemas.openxmlformats.org/officeDocument/2006/relationships/hyperlink" Target="https://drive.google.com/file/d/1hpt-g23o86oi4rbHruTaVjsWxd85JrGL/view?usp=drive_link" TargetMode="External"/><Relationship Id="rId1297" Type="http://schemas.openxmlformats.org/officeDocument/2006/relationships/hyperlink" Target="https://drive.google.com/file/d/1a0ZULjhIszEI4jNrFtWPsV9DXG3Imq5U/view?usp=drive_link" TargetMode="External"/><Relationship Id="rId465" Type="http://schemas.openxmlformats.org/officeDocument/2006/relationships/hyperlink" Target="https://drive.google.com/file/d/1yjscD6tfruh6HVJAu-oX7fimQOBl-Hto/view?usp=sharing" TargetMode="External"/><Relationship Id="rId1298" Type="http://schemas.openxmlformats.org/officeDocument/2006/relationships/hyperlink" Target="https://drive.google.com/file/d/1lHOaXRgbTX-Jcr8TsNZNDXuALYabVEm0/view?usp=drive_link" TargetMode="External"/><Relationship Id="rId464" Type="http://schemas.openxmlformats.org/officeDocument/2006/relationships/hyperlink" Target="https://drive.google.com/file/d/1dcfc4oRgusp7H1ev49v0aIYxIafL3kKL/view?usp=sharing" TargetMode="External"/><Relationship Id="rId1299" Type="http://schemas.openxmlformats.org/officeDocument/2006/relationships/hyperlink" Target="https://drive.google.com/file/d/1FU6aYt2q5KUM1vawyCC8Ru83dTzr-09l/view?usp=drive_link" TargetMode="External"/><Relationship Id="rId463" Type="http://schemas.openxmlformats.org/officeDocument/2006/relationships/hyperlink" Target="https://drive.google.com/file/d/1M19k0Da6o_5MCkeM4cbu-cMNc4AaYbKv/view?usp=sharing" TargetMode="External"/><Relationship Id="rId459" Type="http://schemas.openxmlformats.org/officeDocument/2006/relationships/hyperlink" Target="https://drive.google.com/file/d/1biIX6ylgIbgjMd1KgsX67bCFHEsBuGXa/view?usp=sharing" TargetMode="External"/><Relationship Id="rId458" Type="http://schemas.openxmlformats.org/officeDocument/2006/relationships/hyperlink" Target="https://drive.google.com/file/d/1cZnC2CLrjiY2uoNdBtqRa4MoA0LiS-ZI/view?usp=drive_link" TargetMode="External"/><Relationship Id="rId457" Type="http://schemas.openxmlformats.org/officeDocument/2006/relationships/hyperlink" Target="https://drive.google.com/file/d/1yOfxHLMZaBydQur_T6LYnBQS0rUk_B-G/view?usp=drive_link" TargetMode="External"/><Relationship Id="rId456" Type="http://schemas.openxmlformats.org/officeDocument/2006/relationships/hyperlink" Target="https://drive.google.com/file/d/1XCgZzGFEOLzsRYoeYmQSpSGSK5mG0KkE/view?usp=drive_link" TargetMode="External"/><Relationship Id="rId1280" Type="http://schemas.openxmlformats.org/officeDocument/2006/relationships/hyperlink" Target="https://drive.google.com/file/d/11h-nDzHTIC-7G0dISxGbzXr0zxxg5jtY/view?usp=sharing" TargetMode="External"/><Relationship Id="rId1281" Type="http://schemas.openxmlformats.org/officeDocument/2006/relationships/hyperlink" Target="https://drive.google.com/file/d/1fClBkJmf0jrGwgmQCGRS7azAkr7Kw80j/view?usp=sharing" TargetMode="External"/><Relationship Id="rId451" Type="http://schemas.openxmlformats.org/officeDocument/2006/relationships/hyperlink" Target="https://drive.google.com/file/d/1z3XL5FeiqUY51L8z4197VngqV22usAJX/view?usp=sharing" TargetMode="External"/><Relationship Id="rId1282" Type="http://schemas.openxmlformats.org/officeDocument/2006/relationships/hyperlink" Target="https://drive.google.com/file/d/1uvGq1Oa0WF-SIjlKcFcBX3uvBKGYyAU4/view?usp=sharing" TargetMode="External"/><Relationship Id="rId450" Type="http://schemas.openxmlformats.org/officeDocument/2006/relationships/hyperlink" Target="https://drive.google.com/file/d/1bWh_Oam4cdqLnXbdNQ8K86mkflzn3VVE/view?usp=sharing" TargetMode="External"/><Relationship Id="rId1283" Type="http://schemas.openxmlformats.org/officeDocument/2006/relationships/hyperlink" Target="https://drive.google.com/file/d/1sK7O5FvrmwFCRyZOe-Cp05YJyKWRRDfe/view?usp=sharing" TargetMode="External"/><Relationship Id="rId1284" Type="http://schemas.openxmlformats.org/officeDocument/2006/relationships/hyperlink" Target="https://drive.google.com/file/d/1rwz75k0Bql_30i8ojbreBmu-cYOyrOnu/view?usp=sharing" TargetMode="External"/><Relationship Id="rId1285" Type="http://schemas.openxmlformats.org/officeDocument/2006/relationships/hyperlink" Target="https://drive.google.com/file/d/14x2-IgL0l9dPawSUL-eNL_Pw13w-oQkR/view?usp=sharing" TargetMode="External"/><Relationship Id="rId455" Type="http://schemas.openxmlformats.org/officeDocument/2006/relationships/hyperlink" Target="https://drive.google.com/file/d/1qpU9jHgnHzpmogcIqV8MGudbygu4Y4CR/view?usp=sharing" TargetMode="External"/><Relationship Id="rId1286" Type="http://schemas.openxmlformats.org/officeDocument/2006/relationships/hyperlink" Target="https://drive.google.com/file/d/1WdQddyxHEeKh4CWRBLUm57xhCwvH7jz_/view?usp=sharing" TargetMode="External"/><Relationship Id="rId454" Type="http://schemas.openxmlformats.org/officeDocument/2006/relationships/hyperlink" Target="https://drive.google.com/file/d/10dNlYO-2Am2Dkc-P2Tz2K-nuBc1Kz7rq/view?usp=sharing" TargetMode="External"/><Relationship Id="rId1287" Type="http://schemas.openxmlformats.org/officeDocument/2006/relationships/hyperlink" Target="https://drive.google.com/file/d/13or44eKLYKyn9QoVj9l-c8tPivSrbvat/view?usp=sharing" TargetMode="External"/><Relationship Id="rId453" Type="http://schemas.openxmlformats.org/officeDocument/2006/relationships/hyperlink" Target="https://drive.google.com/file/d/1Jr4iOgoZLunTGVREc1k_EkIORr40eCE8/view?usp=sharing" TargetMode="External"/><Relationship Id="rId1288" Type="http://schemas.openxmlformats.org/officeDocument/2006/relationships/hyperlink" Target="https://drive.google.com/file/d/13WppzTI2CFPv4QwZw1vd384c1jP4ru9t/view?usp=drive_link" TargetMode="External"/><Relationship Id="rId452" Type="http://schemas.openxmlformats.org/officeDocument/2006/relationships/hyperlink" Target="https://drive.google.com/file/d/1RIuVGnrYNrQUsol1OWO0RBajN59eFqWM/view?usp=sharing" TargetMode="External"/><Relationship Id="rId1289" Type="http://schemas.openxmlformats.org/officeDocument/2006/relationships/hyperlink" Target="https://drive.google.com/file/d/19DaVX5lozH4FtMGwIJFsZrJkZV4yFb3T/view?usp=drive_link" TargetMode="External"/><Relationship Id="rId491" Type="http://schemas.openxmlformats.org/officeDocument/2006/relationships/hyperlink" Target="https://drive.google.com/file/d/1DcWiCkLz4CAe0WZFc_7R_4QqlFtO54Gz/view?usp=sharing" TargetMode="External"/><Relationship Id="rId490" Type="http://schemas.openxmlformats.org/officeDocument/2006/relationships/hyperlink" Target="https://drive.google.com/file/d/1PezfcL3RfPZvNTmpP1_1Wm7rA0fXCQ14/view?usp=drive_link" TargetMode="External"/><Relationship Id="rId489" Type="http://schemas.openxmlformats.org/officeDocument/2006/relationships/hyperlink" Target="https://drive.google.com/file/d/1TFWOUV5SfQbbXHT5lKYbspPplUd4-i2D/view?usp=drive_link" TargetMode="External"/><Relationship Id="rId484" Type="http://schemas.openxmlformats.org/officeDocument/2006/relationships/hyperlink" Target="https://drive.google.com/file/d/1zWLS1900KhmW0K8rJhDmfFZDFihBYAwx/view?usp=drive_link" TargetMode="External"/><Relationship Id="rId483" Type="http://schemas.openxmlformats.org/officeDocument/2006/relationships/hyperlink" Target="https://drive.google.com/file/d/1EWX15Vaxac6Vp_9tAw4OjUfamnFKNzhG/view?usp=drive_link" TargetMode="External"/><Relationship Id="rId482" Type="http://schemas.openxmlformats.org/officeDocument/2006/relationships/hyperlink" Target="https://drive.google.com/file/d/16Uty4EfE6U0oqR3Id8432DA8093ihVCW/view?usp=drive_link" TargetMode="External"/><Relationship Id="rId481" Type="http://schemas.openxmlformats.org/officeDocument/2006/relationships/hyperlink" Target="https://drive.google.com/file/d/1So665K7YQu6p_GdcHgIVgxz7yc7E_5g4/view?usp=drive_link" TargetMode="External"/><Relationship Id="rId488" Type="http://schemas.openxmlformats.org/officeDocument/2006/relationships/hyperlink" Target="https://drive.google.com/file/d/17YGFQdGGa14iO63E9tgsF1ylYLPapHlD/view?usp=drive_link" TargetMode="External"/><Relationship Id="rId487" Type="http://schemas.openxmlformats.org/officeDocument/2006/relationships/hyperlink" Target="https://drive.google.com/file/d/1qLOxXNwos0RNk2PgAwGePI677UxGfWQa/view?usp=drive_link" TargetMode="External"/><Relationship Id="rId486" Type="http://schemas.openxmlformats.org/officeDocument/2006/relationships/hyperlink" Target="https://drive.google.com/file/d/1G-lOzCjOPeM8hzrXgoZ5PaPRQqYKbUpi/view?usp=drive_link" TargetMode="External"/><Relationship Id="rId485" Type="http://schemas.openxmlformats.org/officeDocument/2006/relationships/hyperlink" Target="https://drive.google.com/file/d/1srN48g5FPLEpf4Rb4IxtA1Xmex0gpVgV/view?usp=drive_link" TargetMode="External"/><Relationship Id="rId480" Type="http://schemas.openxmlformats.org/officeDocument/2006/relationships/hyperlink" Target="https://drive.google.com/file/d/1kB00rx-EI7oC3tNc8Vhj13UF_1fU9CsP/view?usp=drive_link" TargetMode="External"/><Relationship Id="rId479" Type="http://schemas.openxmlformats.org/officeDocument/2006/relationships/hyperlink" Target="https://drive.google.com/file/d/1ZkLPibzWz8zY8USmJSxn0wOjwQqY8Sdv/view?usp=drive_link" TargetMode="External"/><Relationship Id="rId478" Type="http://schemas.openxmlformats.org/officeDocument/2006/relationships/hyperlink" Target="https://drive.google.com/file/d/1l6Ac70KNiC30a1HfERDqyFXdAXdnc-rC/view?usp=drive_link" TargetMode="External"/><Relationship Id="rId473" Type="http://schemas.openxmlformats.org/officeDocument/2006/relationships/hyperlink" Target="https://drive.google.com/file/d/1OX8OgKdeokHlp1xEXi538Go6zEb_gFxi/view?usp=drive_link" TargetMode="External"/><Relationship Id="rId472" Type="http://schemas.openxmlformats.org/officeDocument/2006/relationships/hyperlink" Target="https://drive.google.com/file/d/1wrkpde3-HuTQztPKfjx9HYzChNVv4VNH/view?usp=sharing" TargetMode="External"/><Relationship Id="rId471" Type="http://schemas.openxmlformats.org/officeDocument/2006/relationships/hyperlink" Target="https://drive.google.com/file/d/1aa4fm3TTxcKupmDEKwb0FMOC4Gl19pVp/view?usp=drive_link" TargetMode="External"/><Relationship Id="rId470" Type="http://schemas.openxmlformats.org/officeDocument/2006/relationships/hyperlink" Target="https://drive.google.com/file/d/1sFbeHpBcEEcMBu5_ehtMXVaHu8fB4mEB/view?usp=drive_link" TargetMode="External"/><Relationship Id="rId477" Type="http://schemas.openxmlformats.org/officeDocument/2006/relationships/hyperlink" Target="https://drive.google.com/file/d/1Hs3Rwsw_7YsUGLEE5OXcb3SFF-lkLDBr/view?usp=drive_link" TargetMode="External"/><Relationship Id="rId476" Type="http://schemas.openxmlformats.org/officeDocument/2006/relationships/hyperlink" Target="https://drive.google.com/file/d/124TZM9TeHpx-QoumgoQAKl8svlP7mrAb/view?usp=drive_link" TargetMode="External"/><Relationship Id="rId475" Type="http://schemas.openxmlformats.org/officeDocument/2006/relationships/hyperlink" Target="https://drive.google.com/file/d/13mErH9OeAD80Wbues1DJCUFrjg16_FR_/view?usp=drive_link" TargetMode="External"/><Relationship Id="rId474" Type="http://schemas.openxmlformats.org/officeDocument/2006/relationships/hyperlink" Target="https://drive.google.com/file/d/1XX4Hx14kTEeU7Ayba4BElMjQV-giUjAJ/view?usp=drive_link" TargetMode="External"/><Relationship Id="rId1257" Type="http://schemas.openxmlformats.org/officeDocument/2006/relationships/hyperlink" Target="https://drive.google.com/file/d/1MVSkQAB9iMDNoS0IKhFUu_YmzFfvi7Sw/view?usp=sharing" TargetMode="External"/><Relationship Id="rId1258" Type="http://schemas.openxmlformats.org/officeDocument/2006/relationships/hyperlink" Target="https://drive.google.com/file/d/1bn3MaN2Q-_gcXOX6i38Lff-172aBFMPb/view?usp=sharing" TargetMode="External"/><Relationship Id="rId1259" Type="http://schemas.openxmlformats.org/officeDocument/2006/relationships/hyperlink" Target="https://drive.google.com/file/d/1voFLojoQICy4rSa3XnKhwOz6Jy0RlAod/view?usp=sharing" TargetMode="External"/><Relationship Id="rId426" Type="http://schemas.openxmlformats.org/officeDocument/2006/relationships/hyperlink" Target="https://drive.google.com/file/d/1OhKPxiKz0WlS4MtHgePylnWzBA5M8vxF/view?usp=sharing" TargetMode="External"/><Relationship Id="rId425" Type="http://schemas.openxmlformats.org/officeDocument/2006/relationships/hyperlink" Target="https://drive.google.com/file/d/1A59ythBbfdC6S5UGwvO0KCL9hHwTG-qB/view?usp=sharing" TargetMode="External"/><Relationship Id="rId424" Type="http://schemas.openxmlformats.org/officeDocument/2006/relationships/hyperlink" Target="https://drive.google.com/file/d/12D3g9faOeQmbDkttW2EKnfrYRV40j4SL/view?usp=sharing" TargetMode="External"/><Relationship Id="rId423" Type="http://schemas.openxmlformats.org/officeDocument/2006/relationships/hyperlink" Target="https://drive.google.com/file/d/16nwemtivk2t_dBS_4rvWpSPmRXXFALze/view?usp=sharing" TargetMode="External"/><Relationship Id="rId429" Type="http://schemas.openxmlformats.org/officeDocument/2006/relationships/hyperlink" Target="https://drive.google.com/file/d/10eU5I-QbP9-WhHNkOsZREt9yZ2bXUUwf/view?usp=sharing" TargetMode="External"/><Relationship Id="rId428" Type="http://schemas.openxmlformats.org/officeDocument/2006/relationships/hyperlink" Target="https://drive.google.com/file/d/1n1WPoC6LRkOOPtwlCBrcpSUfzmc9WbAy/view?usp=sharing" TargetMode="External"/><Relationship Id="rId427" Type="http://schemas.openxmlformats.org/officeDocument/2006/relationships/hyperlink" Target="https://drive.google.com/file/d/17F2QFnbzL6r333zgRl7OZxj_i1X_9Hqw/view?usp=sharing" TargetMode="External"/><Relationship Id="rId1250" Type="http://schemas.openxmlformats.org/officeDocument/2006/relationships/hyperlink" Target="https://drive.google.com/file/d/1U4b9mE5BvT69D8SGSteiy4CjHvxtRcVl/view?usp=sharing" TargetMode="External"/><Relationship Id="rId1251" Type="http://schemas.openxmlformats.org/officeDocument/2006/relationships/hyperlink" Target="https://drive.google.com/file/d/11x5GEHnXxj8wEAqeOSc2ECBbAj8JJzNB/view?usp=sharing" TargetMode="External"/><Relationship Id="rId1252" Type="http://schemas.openxmlformats.org/officeDocument/2006/relationships/hyperlink" Target="https://drive.google.com/file/d/1Ukx1mdzT2E6lChYVv3bJRXkROs0YOuAP/view?usp=sharing" TargetMode="External"/><Relationship Id="rId422" Type="http://schemas.openxmlformats.org/officeDocument/2006/relationships/hyperlink" Target="https://drive.google.com/file/d/1_HWVcVGmCrPXzRqD1mtQUVwH7eUei1im/view?usp=sharing" TargetMode="External"/><Relationship Id="rId1253" Type="http://schemas.openxmlformats.org/officeDocument/2006/relationships/hyperlink" Target="https://drive.google.com/file/d/1GL5oZiUqJF8AGxJj2UkBxsuy2gWDde-b/view?usp=sharing" TargetMode="External"/><Relationship Id="rId421" Type="http://schemas.openxmlformats.org/officeDocument/2006/relationships/hyperlink" Target="https://drive.google.com/file/d/1q9FXuq1BwFWd5IEwyrWN8wcBiP9_SUf-/view?usp=sharing" TargetMode="External"/><Relationship Id="rId1254" Type="http://schemas.openxmlformats.org/officeDocument/2006/relationships/hyperlink" Target="https://drive.google.com/file/d/1G7lYBaIBzJT9AcbmClShOc8Z1dIAqbmf/view?usp=sharing" TargetMode="External"/><Relationship Id="rId420" Type="http://schemas.openxmlformats.org/officeDocument/2006/relationships/hyperlink" Target="https://drive.google.com/file/d/1ypnia-shbjMGRKRYTXifgca28SM8XrI8/view?usp=sharing" TargetMode="External"/><Relationship Id="rId1255" Type="http://schemas.openxmlformats.org/officeDocument/2006/relationships/hyperlink" Target="https://drive.google.com/file/d/18RYo8PdgO9iA4b9SDmhqqxZH2BS5OY40/view?usp=sharing" TargetMode="External"/><Relationship Id="rId1256" Type="http://schemas.openxmlformats.org/officeDocument/2006/relationships/hyperlink" Target="https://drive.google.com/file/d/1UwnWsTADkuO5NPMaD39fnBTXpYUK6ym-/view?usp=sharing" TargetMode="External"/><Relationship Id="rId1246" Type="http://schemas.openxmlformats.org/officeDocument/2006/relationships/hyperlink" Target="https://drive.google.com/file/d/1s67GYtnkAsjIOt-30h20Qu5lfW-sho22/view?usp=sharing" TargetMode="External"/><Relationship Id="rId1247" Type="http://schemas.openxmlformats.org/officeDocument/2006/relationships/hyperlink" Target="https://drive.google.com/file/d/1j_OTkzyMHIB-WQsdPZtSsuLuGtAxwV1j/view?usp=sharing" TargetMode="External"/><Relationship Id="rId1248" Type="http://schemas.openxmlformats.org/officeDocument/2006/relationships/hyperlink" Target="https://drive.google.com/file/d/1lSP7bC2htBnD_RpxIqnlYWa10xLWHpYE/view?usp=sharing" TargetMode="External"/><Relationship Id="rId1249" Type="http://schemas.openxmlformats.org/officeDocument/2006/relationships/hyperlink" Target="https://drive.google.com/file/d/13GnkO85zllSw8NSyyOt0scfVEccI-ShL/view?usp=sharing" TargetMode="External"/><Relationship Id="rId415" Type="http://schemas.openxmlformats.org/officeDocument/2006/relationships/hyperlink" Target="https://drive.google.com/file/d/1--wX6Fa8u9FbYqQkr6ZxVV_fGk-h3coC/view?usp=sharing" TargetMode="External"/><Relationship Id="rId899" Type="http://schemas.openxmlformats.org/officeDocument/2006/relationships/hyperlink" Target="https://drive.google.com/file/d/19DtbEq7ske4YVQc4HuYKQ9oYsDi-y2_v/view?usp=sharing" TargetMode="External"/><Relationship Id="rId414" Type="http://schemas.openxmlformats.org/officeDocument/2006/relationships/hyperlink" Target="https://drive.google.com/file/d/1jTBgzetgga2BjynSUdVmsa4IhL73NZdV/view?usp=sharing" TargetMode="External"/><Relationship Id="rId898" Type="http://schemas.openxmlformats.org/officeDocument/2006/relationships/hyperlink" Target="https://drive.google.com/file/d/1PxFMNhAENXNk4sgDadpqnazc7q77iWjc/view?usp=sharing" TargetMode="External"/><Relationship Id="rId413" Type="http://schemas.openxmlformats.org/officeDocument/2006/relationships/hyperlink" Target="https://drive.google.com/file/d/1DN0haad991EM75VQqWWcvs31QUGXOEjj/view?usp=sharing" TargetMode="External"/><Relationship Id="rId897" Type="http://schemas.openxmlformats.org/officeDocument/2006/relationships/hyperlink" Target="https://drive.google.com/file/d/1MsO4B80ZxQUod_KOdzrZFZp2Fz8HZSHW/view?usp=sharing" TargetMode="External"/><Relationship Id="rId412" Type="http://schemas.openxmlformats.org/officeDocument/2006/relationships/hyperlink" Target="https://drive.google.com/file/d/1km1QM4qd6mX0ShL8AFjSGkneriQh4vsX/view?usp=sharing" TargetMode="External"/><Relationship Id="rId896" Type="http://schemas.openxmlformats.org/officeDocument/2006/relationships/hyperlink" Target="https://drive.google.com/file/d/1DeFj4r4fpBAVeqmtb-hTvi5LHkGRXKRj/view?usp=sharing" TargetMode="External"/><Relationship Id="rId419" Type="http://schemas.openxmlformats.org/officeDocument/2006/relationships/hyperlink" Target="https://drive.google.com/file/d/1jmjTTRx-D4HCKWBzVEUgr-zl-lqhD5x2/view?usp=sharing" TargetMode="External"/><Relationship Id="rId418" Type="http://schemas.openxmlformats.org/officeDocument/2006/relationships/hyperlink" Target="https://drive.google.com/file/d/1uBUW5ej-H8dVaZjtUIEd96E1wFqTXGwV/view?usp=sharing" TargetMode="External"/><Relationship Id="rId417" Type="http://schemas.openxmlformats.org/officeDocument/2006/relationships/hyperlink" Target="https://drive.google.com/file/d/18KScTK6-1SEgWg5BKMUoGOo4CqQ9dif7/view?usp=sharing" TargetMode="External"/><Relationship Id="rId416" Type="http://schemas.openxmlformats.org/officeDocument/2006/relationships/hyperlink" Target="https://drive.google.com/file/d/1dJgHgV5rKK8LqvpTTrytQq59yoiO27y4/view?usp=sharing" TargetMode="External"/><Relationship Id="rId891" Type="http://schemas.openxmlformats.org/officeDocument/2006/relationships/hyperlink" Target="https://drive.google.com/file/d/1WoXqXdepFmz4V0lMWfu18VhDJ095TvEW/view?usp=sharing" TargetMode="External"/><Relationship Id="rId890" Type="http://schemas.openxmlformats.org/officeDocument/2006/relationships/hyperlink" Target="https://drive.google.com/file/d/11fCTINJWLakVTPbOpiIycprDPQt3aWsp/view?usp=sharing" TargetMode="External"/><Relationship Id="rId1240" Type="http://schemas.openxmlformats.org/officeDocument/2006/relationships/hyperlink" Target="https://drive.google.com/file/d/1XyrRAEzBKOBp1j9SJw5yAA8u0v5TnTis/view?usp=sharing" TargetMode="External"/><Relationship Id="rId1241" Type="http://schemas.openxmlformats.org/officeDocument/2006/relationships/hyperlink" Target="https://drive.google.com/file/d/1oe7qL_odk9grQdBH4AicHC2xo2bHP6c5/view?usp=sharing" TargetMode="External"/><Relationship Id="rId411" Type="http://schemas.openxmlformats.org/officeDocument/2006/relationships/hyperlink" Target="https://drive.google.com/file/d/1gg4uZ3FMGDaW1mtDAwDcqwGpqQ9PAYVr/view?usp=sharing" TargetMode="External"/><Relationship Id="rId895" Type="http://schemas.openxmlformats.org/officeDocument/2006/relationships/hyperlink" Target="https://drive.google.com/file/d/1hki1n5t3qCVMR4dvkMCI5J58e19x8x8O/view?usp=sharing" TargetMode="External"/><Relationship Id="rId1242" Type="http://schemas.openxmlformats.org/officeDocument/2006/relationships/hyperlink" Target="https://drive.google.com/file/d/1An0ANx8Ee--bbSJgDTstaYwKmeEyebq7/view?usp=sharing" TargetMode="External"/><Relationship Id="rId410" Type="http://schemas.openxmlformats.org/officeDocument/2006/relationships/hyperlink" Target="https://drive.google.com/file/d/1tZeOek-Aue1os2GYmHS1LL7FIXVMjfdy/view?usp=sharing" TargetMode="External"/><Relationship Id="rId894" Type="http://schemas.openxmlformats.org/officeDocument/2006/relationships/hyperlink" Target="https://drive.google.com/file/d/1zOfGRcaMAnIv_NsLFNsulFpqqCrucz2v/view?usp=sharing" TargetMode="External"/><Relationship Id="rId1243" Type="http://schemas.openxmlformats.org/officeDocument/2006/relationships/hyperlink" Target="https://drive.google.com/file/d/1tOPFEKqjPwRVajYDMgQu8d6QRSBN3QrP/view?usp=sharing" TargetMode="External"/><Relationship Id="rId893" Type="http://schemas.openxmlformats.org/officeDocument/2006/relationships/hyperlink" Target="https://drive.google.com/file/d/1sAj_5OZwmIpeGP1RGiAgpU4JnWnkwfbX/view?usp=sharing" TargetMode="External"/><Relationship Id="rId1244" Type="http://schemas.openxmlformats.org/officeDocument/2006/relationships/hyperlink" Target="https://drive.google.com/file/d/1vI0gbBRgGYjrIdfN71ZchIwCKOjOrIqq/view?usp=sharing" TargetMode="External"/><Relationship Id="rId892" Type="http://schemas.openxmlformats.org/officeDocument/2006/relationships/hyperlink" Target="https://drive.google.com/file/d/136jsJkwuyiFKHzYfMRokmHAQPMLqYtZq/view?usp=sharing" TargetMode="External"/><Relationship Id="rId1245" Type="http://schemas.openxmlformats.org/officeDocument/2006/relationships/hyperlink" Target="https://drive.google.com/file/d/12UWS61EgCZ1cBi50H_q-0c8RvMbrRDhp/view?usp=sharing" TargetMode="External"/><Relationship Id="rId1279" Type="http://schemas.openxmlformats.org/officeDocument/2006/relationships/hyperlink" Target="https://drive.google.com/file/d/1SoEpacuzFTHCX2FRJR1gSTo8GZ9Q_nBQ/view?usp=sharing" TargetMode="External"/><Relationship Id="rId448" Type="http://schemas.openxmlformats.org/officeDocument/2006/relationships/hyperlink" Target="https://drive.google.com/file/d/1LlCHVDPeDH1zkZ7GVmLQrbSRd-Dztvk_/view?usp=sharing" TargetMode="External"/><Relationship Id="rId447" Type="http://schemas.openxmlformats.org/officeDocument/2006/relationships/hyperlink" Target="https://drive.google.com/file/d/1CS8BUHwFBbmPLOG8AFm1Jcva_fAuShP-/view?usp=sharing" TargetMode="External"/><Relationship Id="rId446" Type="http://schemas.openxmlformats.org/officeDocument/2006/relationships/hyperlink" Target="https://drive.google.com/file/d/1m8_dKI2oUF-iYwer6IPM_SqLFsRHQiT1/view?usp=sharing" TargetMode="External"/><Relationship Id="rId445" Type="http://schemas.openxmlformats.org/officeDocument/2006/relationships/hyperlink" Target="https://drive.google.com/file/d/1VkwpWBTi6aqzuO0MwHOYxlL8jsQKGCOJ/view?usp=sharing" TargetMode="External"/><Relationship Id="rId449" Type="http://schemas.openxmlformats.org/officeDocument/2006/relationships/hyperlink" Target="https://drive.google.com/file/d/1o8laxC6AXdsiIym44jnT65T6EMOTRuN_/view?usp=sharing" TargetMode="External"/><Relationship Id="rId1270" Type="http://schemas.openxmlformats.org/officeDocument/2006/relationships/hyperlink" Target="https://drive.google.com/file/d/1C_qrBr81feGq_p72Ps5XahfcehrCJqK9/view?usp=drive_link" TargetMode="External"/><Relationship Id="rId440" Type="http://schemas.openxmlformats.org/officeDocument/2006/relationships/hyperlink" Target="https://drive.google.com/file/d/1lmcVd6gQuwrZY8zsmVgsnPGjaCGAy-lE/view?usp=sharing" TargetMode="External"/><Relationship Id="rId1271" Type="http://schemas.openxmlformats.org/officeDocument/2006/relationships/hyperlink" Target="https://drive.google.com/file/d/15qacO1Zmi64hIIWbVOdyrX7GtgbrKw_Z/view?usp=drive_link" TargetMode="External"/><Relationship Id="rId1272" Type="http://schemas.openxmlformats.org/officeDocument/2006/relationships/hyperlink" Target="https://drive.google.com/file/d/1p-Lq59xZTpSMrpcbuaw606ZZvd8icfT3/view?usp=drive_link" TargetMode="External"/><Relationship Id="rId1273" Type="http://schemas.openxmlformats.org/officeDocument/2006/relationships/hyperlink" Target="https://drive.google.com/file/d/1DgIpQZdvVQwW7cbfL4ILpLjd_7qYVeB1/view?usp=drive_link" TargetMode="External"/><Relationship Id="rId1274" Type="http://schemas.openxmlformats.org/officeDocument/2006/relationships/hyperlink" Target="https://drive.google.com/file/d/1c4sJDcD8yPJ5F4GMJzW-vwyHFdz0DDNZ/view?usp=drive_link" TargetMode="External"/><Relationship Id="rId444" Type="http://schemas.openxmlformats.org/officeDocument/2006/relationships/hyperlink" Target="https://drive.google.com/file/d/1TsUu2QmS549xEwWhA0his4rYw-rrn3jx/view?usp=sharing" TargetMode="External"/><Relationship Id="rId1275" Type="http://schemas.openxmlformats.org/officeDocument/2006/relationships/hyperlink" Target="https://drive.google.com/file/d/1noeJJpzm6UtDGm7ldFQIOI8emCwI5Dt7/view?usp=drive_link" TargetMode="External"/><Relationship Id="rId443" Type="http://schemas.openxmlformats.org/officeDocument/2006/relationships/hyperlink" Target="https://drive.google.com/file/d/164pXTXgvIYcimhNWlAJq3N9NofY-CgN6/view?usp=sharing" TargetMode="External"/><Relationship Id="rId1276" Type="http://schemas.openxmlformats.org/officeDocument/2006/relationships/hyperlink" Target="https://drive.google.com/file/d/1GmPVwiLfenC4kd380mqkorduVMQadxhA/view?usp=drive_link" TargetMode="External"/><Relationship Id="rId442" Type="http://schemas.openxmlformats.org/officeDocument/2006/relationships/hyperlink" Target="https://drive.google.com/file/d/11RXik-jBbDqbxtJ7q5NGlk3MmfLsIess/view?usp=sharing" TargetMode="External"/><Relationship Id="rId1277" Type="http://schemas.openxmlformats.org/officeDocument/2006/relationships/hyperlink" Target="https://drive.google.com/file/d/1W4ovmbnPa06UbNviv9skV9Ous3ukxpZ_/view?usp=sharing" TargetMode="External"/><Relationship Id="rId441" Type="http://schemas.openxmlformats.org/officeDocument/2006/relationships/hyperlink" Target="https://drive.google.com/file/d/1q7TbjN1V50_QiZVffX9hw9ZiP8rgI0Zr/view?usp=sharing" TargetMode="External"/><Relationship Id="rId1278" Type="http://schemas.openxmlformats.org/officeDocument/2006/relationships/hyperlink" Target="https://drive.google.com/file/d/1en-rfT2I5ahqmy21nIDGHoJKuS5Hx4Pe/view?usp=sharing" TargetMode="External"/><Relationship Id="rId1268" Type="http://schemas.openxmlformats.org/officeDocument/2006/relationships/hyperlink" Target="https://drive.google.com/file/d/1szSbryKl_mJdkU7uj_D2Y78vBR5N4uLL/view?usp=sharing" TargetMode="External"/><Relationship Id="rId1269" Type="http://schemas.openxmlformats.org/officeDocument/2006/relationships/hyperlink" Target="https://drive.google.com/file/d/1I0on59QslueRrSdDBtLTnE_xfixM2oYO/view?usp=drive_link" TargetMode="External"/><Relationship Id="rId437" Type="http://schemas.openxmlformats.org/officeDocument/2006/relationships/hyperlink" Target="https://drive.google.com/file/d/1OgD7haahQaWrKzZSN-qi0WGYYpsdBmMA/view?usp=sharing" TargetMode="External"/><Relationship Id="rId436" Type="http://schemas.openxmlformats.org/officeDocument/2006/relationships/hyperlink" Target="https://drive.google.com/file/d/1LY2ghwcp0CdnYRWSZNuqGj_fbacucbsz/view?usp=sharing" TargetMode="External"/><Relationship Id="rId435" Type="http://schemas.openxmlformats.org/officeDocument/2006/relationships/hyperlink" Target="https://drive.google.com/file/d/1U0ABuy_aQ5UlceFnmnufux8L5z5NRzaH/view?usp=sharing" TargetMode="External"/><Relationship Id="rId434" Type="http://schemas.openxmlformats.org/officeDocument/2006/relationships/hyperlink" Target="https://drive.google.com/file/d/15nD7MCQ-EQONo5AXH0uAYoVkQZMeiZKn/view?usp=sharing" TargetMode="External"/><Relationship Id="rId439" Type="http://schemas.openxmlformats.org/officeDocument/2006/relationships/hyperlink" Target="https://drive.google.com/file/d/1ZAt2j-fA6Vby5abzpXf3v_hDPfcHcpYg/view?usp=sharing" TargetMode="External"/><Relationship Id="rId438" Type="http://schemas.openxmlformats.org/officeDocument/2006/relationships/hyperlink" Target="https://drive.google.com/file/d/1vIo3cAw6YtrCoiHI0ITxU1c32KPVPycS/view?usp=sharing" TargetMode="External"/><Relationship Id="rId1260" Type="http://schemas.openxmlformats.org/officeDocument/2006/relationships/hyperlink" Target="https://drive.google.com/file/d/1nzoMkfOVzJlZd9RamqDARvVhCK-qKK-F/view?usp=sharing" TargetMode="External"/><Relationship Id="rId1261" Type="http://schemas.openxmlformats.org/officeDocument/2006/relationships/hyperlink" Target="https://drive.google.com/file/d/1mmgeRIeauIya1b0gcsCBHxp7dQ0WbGht/view?usp=sharing" TargetMode="External"/><Relationship Id="rId1262" Type="http://schemas.openxmlformats.org/officeDocument/2006/relationships/hyperlink" Target="https://drive.google.com/file/d/1LDizQBC1RMm7Z0kENVb42Sniqe2J9XA1/view?usp=sharing" TargetMode="External"/><Relationship Id="rId1263" Type="http://schemas.openxmlformats.org/officeDocument/2006/relationships/hyperlink" Target="https://drive.google.com/file/d/1Mkt8YgdkQRwO64oR6je3YR-QZUVJfIfg/view?usp=sharing" TargetMode="External"/><Relationship Id="rId433" Type="http://schemas.openxmlformats.org/officeDocument/2006/relationships/hyperlink" Target="https://drive.google.com/file/d/1P4EYFDs8vfP5q1fG-1lxV6K1CxL-wVsT/view?usp=sharing" TargetMode="External"/><Relationship Id="rId1264" Type="http://schemas.openxmlformats.org/officeDocument/2006/relationships/hyperlink" Target="https://drive.google.com/file/d/1HYpKaENuap47KtjmsClmo9SPyd7ET3YS/view?usp=sharing" TargetMode="External"/><Relationship Id="rId432" Type="http://schemas.openxmlformats.org/officeDocument/2006/relationships/hyperlink" Target="https://drive.google.com/file/d/1a_3cq4eQJ5He-VZ_mwgEsNNllm0gAkpn/view?usp=sharing" TargetMode="External"/><Relationship Id="rId1265" Type="http://schemas.openxmlformats.org/officeDocument/2006/relationships/hyperlink" Target="https://drive.google.com/file/d/15dkgVQE9Wd44N_6LmE_jBN3sviRGrsTu/view?usp=sharing" TargetMode="External"/><Relationship Id="rId431" Type="http://schemas.openxmlformats.org/officeDocument/2006/relationships/hyperlink" Target="https://drive.google.com/file/d/1iiUjYqpUp_prIa2XshqehNrHD2fKFc5d/view?usp=sharing" TargetMode="External"/><Relationship Id="rId1266" Type="http://schemas.openxmlformats.org/officeDocument/2006/relationships/hyperlink" Target="https://drive.google.com/file/d/1TyJkXJ8Gs7mDunzCCzGLSNiseKStX-Es/view?usp=sharing" TargetMode="External"/><Relationship Id="rId430" Type="http://schemas.openxmlformats.org/officeDocument/2006/relationships/hyperlink" Target="https://drive.google.com/file/d/1I5ZwZ7Wh_2s3jvMK3nGYM_hGJobLdmMX/view?usp=sharing" TargetMode="External"/><Relationship Id="rId1267" Type="http://schemas.openxmlformats.org/officeDocument/2006/relationships/hyperlink" Target="https://drive.google.com/file/d/15CrQnHwINwYTHjCXKXZXXKZhhumLRgaP/view?usp=sharin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9.0" topLeftCell="A10" activePane="bottomLeft" state="frozen"/>
      <selection activeCell="B11" sqref="B11" pane="bottomLeft"/>
    </sheetView>
  </sheetViews>
  <sheetFormatPr customHeight="1" defaultColWidth="12.63" defaultRowHeight="15.75"/>
  <cols>
    <col customWidth="1" min="1" max="1" width="8.38"/>
    <col customWidth="1" min="5" max="5" width="4.25"/>
    <col customWidth="1" min="6" max="6" width="3.88"/>
    <col customWidth="1" min="7" max="7" width="8.13"/>
    <col customWidth="1" min="8" max="8" width="10.5"/>
    <col customWidth="1" min="9" max="9" width="52.63"/>
    <col customWidth="1" min="10" max="10" width="6.25"/>
    <col customWidth="1" min="11" max="11" width="4.13"/>
    <col customWidth="1" min="12" max="12" width="9.63"/>
    <col customWidth="1" min="13" max="13" width="5.63"/>
  </cols>
  <sheetData>
    <row r="1">
      <c r="A1" s="9" t="s">
        <v>18</v>
      </c>
      <c r="C1" s="5"/>
      <c r="D1" s="5"/>
      <c r="E1" s="5"/>
      <c r="F1" s="5"/>
      <c r="G1" s="5"/>
      <c r="H1" s="5"/>
      <c r="I1" s="12"/>
      <c r="J1" s="13"/>
      <c r="K1" s="13"/>
      <c r="L1" s="14"/>
      <c r="M1" s="14"/>
    </row>
    <row r="2">
      <c r="A2" s="15" t="s">
        <v>24</v>
      </c>
      <c r="C2" s="5"/>
      <c r="D2" s="5"/>
      <c r="E2" s="5"/>
      <c r="F2" s="5"/>
      <c r="G2" s="5"/>
      <c r="H2" s="5"/>
      <c r="I2" s="12"/>
      <c r="J2" s="13"/>
      <c r="K2" s="13"/>
      <c r="L2" s="14"/>
      <c r="N2" s="5"/>
    </row>
    <row r="3">
      <c r="A3" s="16" t="s">
        <v>28</v>
      </c>
      <c r="C3" s="5"/>
      <c r="D3" s="5"/>
      <c r="E3" s="5"/>
      <c r="F3" s="5"/>
      <c r="G3" s="5"/>
      <c r="H3" s="5"/>
      <c r="I3" s="12"/>
      <c r="J3" s="13"/>
      <c r="K3" s="13"/>
      <c r="L3" s="14"/>
    </row>
    <row r="4">
      <c r="A4" s="13" t="s">
        <v>29</v>
      </c>
      <c r="C4" s="5"/>
      <c r="D4" s="5"/>
      <c r="E4" s="5"/>
      <c r="F4" s="5"/>
      <c r="G4" s="5"/>
      <c r="H4" s="5"/>
      <c r="I4" s="12"/>
      <c r="J4" s="13"/>
      <c r="K4" s="13"/>
      <c r="L4" s="14"/>
      <c r="N4" s="5"/>
    </row>
    <row r="5">
      <c r="A5" s="5"/>
      <c r="B5" s="5"/>
      <c r="C5" s="13" t="s">
        <v>32</v>
      </c>
      <c r="D5" s="5"/>
      <c r="E5" s="5"/>
      <c r="F5" s="5"/>
      <c r="G5" s="5"/>
      <c r="H5" s="5"/>
      <c r="I5" s="12"/>
      <c r="L5" s="14"/>
      <c r="N5" s="5"/>
    </row>
    <row r="6">
      <c r="A6" s="18" t="str">
        <f>CONCATENATE(COUNTA(A10:A3316), " results")</f>
        <v>1779 results</v>
      </c>
      <c r="B6" s="5"/>
      <c r="C6" s="13" t="s">
        <v>39</v>
      </c>
      <c r="D6" s="5"/>
      <c r="E6" s="5"/>
      <c r="F6" s="5"/>
      <c r="G6" s="5"/>
      <c r="H6" s="5"/>
      <c r="I6" s="12"/>
      <c r="J6" s="13"/>
      <c r="K6" s="13"/>
      <c r="L6" s="14"/>
      <c r="N6" s="5"/>
    </row>
    <row r="7">
      <c r="B7" s="5"/>
      <c r="C7" s="5"/>
      <c r="D7" s="5"/>
      <c r="E7" s="5"/>
      <c r="F7" s="5"/>
      <c r="G7" s="5"/>
      <c r="H7" s="5"/>
      <c r="I7" s="12"/>
      <c r="J7" s="5"/>
      <c r="K7" s="5"/>
      <c r="L7" s="19"/>
      <c r="N7" s="5"/>
    </row>
    <row r="8">
      <c r="A8" s="19"/>
      <c r="B8" s="19"/>
      <c r="C8" s="19"/>
      <c r="D8" s="19"/>
      <c r="E8" s="19"/>
      <c r="F8" s="19"/>
      <c r="G8" s="19"/>
      <c r="H8" s="19"/>
      <c r="I8" s="12"/>
      <c r="J8" s="19"/>
      <c r="K8" s="19"/>
      <c r="L8" s="19"/>
      <c r="M8" s="20"/>
      <c r="N8" s="19"/>
    </row>
    <row r="9">
      <c r="A9" s="21" t="s">
        <v>0</v>
      </c>
      <c r="B9" s="22" t="s">
        <v>1</v>
      </c>
      <c r="C9" s="22" t="s">
        <v>2</v>
      </c>
      <c r="D9" s="22" t="s">
        <v>3</v>
      </c>
      <c r="E9" s="21" t="s">
        <v>4</v>
      </c>
      <c r="F9" s="21" t="s">
        <v>5</v>
      </c>
      <c r="G9" s="22" t="s">
        <v>6</v>
      </c>
      <c r="H9" s="23" t="s">
        <v>7</v>
      </c>
      <c r="I9" s="23" t="s">
        <v>8</v>
      </c>
      <c r="J9" s="22" t="s">
        <v>9</v>
      </c>
      <c r="K9" s="22" t="s">
        <v>10</v>
      </c>
      <c r="L9" s="21" t="s">
        <v>11</v>
      </c>
      <c r="M9" s="24" t="s">
        <v>12</v>
      </c>
      <c r="N9" s="24" t="s">
        <v>13</v>
      </c>
      <c r="O9" s="25"/>
      <c r="P9" s="25"/>
      <c r="Q9" s="25"/>
      <c r="R9" s="25"/>
      <c r="S9" s="25"/>
      <c r="T9" s="25"/>
      <c r="U9" s="25"/>
      <c r="V9" s="25"/>
      <c r="W9" s="25"/>
      <c r="X9" s="25"/>
      <c r="Y9" s="25"/>
      <c r="Z9" s="25"/>
    </row>
    <row r="10">
      <c r="A10" s="26" t="str">
        <f>IFERROR(__xludf.DUMMYFUNCTION("FILTER(IMPORTRANGE(""https://docs.google.com/spreadsheets/d/1QQldXNCAbCb1Ym4mR_l2SqKlc58x08_0G4g8YD-NC7E"", ""'The Table'!A2:N2000""), SEARCH(A8, IMPORTRANGE(""https://docs.google.com/spreadsheets/d/1QQldXNCAbCb1Ym4mR_l2SqKlc58x08_0G4g8YD-NC7E"", ""'The T"&amp;"able'!A2:A2000"")), SEARCH(B8, IMPORTRANGE(""https://docs.google.com/spreadsheets/d/1QQldXNCAbCb1Ym4mR_l2SqKlc58x08_0G4g8YD-NC7E"", ""'The Table'!B2:B2000"")), SEARCH(C8, IMPORTRANGE(""https://docs.google.com/spreadsheets/d/1QQldXNCAbCb1Ym4mR_l2SqKlc58x08"&amp;"_0G4g8YD-NC7E"", ""'The Table'!C2:C2000"")), SEARCH(D8, IMPORTRANGE(""https://docs.google.com/spreadsheets/d/1QQldXNCAbCb1Ym4mR_l2SqKlc58x08_0G4g8YD-NC7E"", ""'The Table'!D2:D2000"")), SEARCH(E8, IMPORTRANGE(""https://docs.google.com/spreadsheets/d/1QQldX"&amp;"NCAbCb1Ym4mR_l2SqKlc58x08_0G4g8YD-NC7E"", ""'The Table'!E2:E2000"")), SEARCH(F8, IMPORTRANGE(""https://docs.google.com/spreadsheets/d/1QQldXNCAbCb1Ym4mR_l2SqKlc58x08_0G4g8YD-NC7E"", ""'The Table'!F2:F2000"")), SEARCH(G8, IMPORTRANGE(""https://docs.google."&amp;"com/spreadsheets/d/1QQldXNCAbCb1Ym4mR_l2SqKlc58x08_0G4g8YD-NC7E"", ""'The Table'!G2:G2000"")), SEARCH(H8, IMPORTRANGE(""https://docs.google.com/spreadsheets/d/1QQldXNCAbCb1Ym4mR_l2SqKlc58x08_0G4g8YD-NC7E"", ""'The Table'!H2:H2000"")), SEARCH(J8, IMPORTRAN"&amp;"GE(""https://docs.google.com/spreadsheets/d/1QQldXNCAbCb1Ym4mR_l2SqKlc58x08_0G4g8YD-NC7E"", ""'The Table'!J2:J2000"")), SEARCH(K8, IMPORTRANGE(""https://docs.google.com/spreadsheets/d/1QQldXNCAbCb1Ym4mR_l2SqKlc58x08_0G4g8YD-NC7E"", ""'The Table'!K2:K2000"&amp;""")), SEARCH(L8, IMPORTRANGE(""https://docs.google.com/spreadsheets/d/1QQldXNCAbCb1Ym4mR_l2SqKlc58x08_0G4g8YD-NC7E"", ""'The Table'!L2:L2000"")), SEARCH(L7, IMPORTRANGE(""https://docs.google.com/spreadsheets/d/1QQldXNCAbCb1Ym4mR_l2SqKlc58x08_0G4g8YD-NC7E"&amp;""", ""'The Table'!L2:L2000"")), SEARCH(M8, IMPORTRANGE(""https://docs.google.com/spreadsheets/d/1QQldXNCAbCb1Ym4mR_l2SqKlc58x08_0G4g8YD-NC7E"", ""'The Table'!M2:M2000"")), SEARCH(N8, IMPORTRANGE(""https://docs.google.com/spreadsheets/d/1QQldXNCAbCb1Ym4mR_"&amp;"l2SqKlc58x08_0G4g8YD-NC7E"", ""'The Table'!N2:N2000"")), SEARCH(I8, IMPORTRANGE(""https://docs.google.com/spreadsheets/d/1QQldXNCAbCb1Ym4mR_l2SqKlc58x08_0G4g8YD-NC7E"", ""'The Table'!I2:I2000"")), SEARCH(I7, IMPORTRANGE(""https://docs.google.com/spreadshe"&amp;"ets/d/1QQldXNCAbCb1Ym4mR_l2SqKlc58x08_0G4g8YD-NC7E"", ""'The Table'!I2:I2000"")), SEARCH(I6, IMPORTRANGE(""https://docs.google.com/spreadsheets/d/1QQldXNCAbCb1Ym4mR_l2SqKlc58x08_0G4g8YD-NC7E"", ""'The Table'!I2:I2000"")), SEARCH(I5, IMPORTRANGE(""https://"&amp;"docs.google.com/spreadsheets/d/1QQldXNCAbCb1Ym4mR_l2SqKlc58x08_0G4g8YD-NC7E"", ""'The Table'!I2:I2000"")), SEARCH(I4, IMPORTRANGE(""https://docs.google.com/spreadsheets/d/1QQldXNCAbCb1Ym4mR_l2SqKlc58x08_0G4g8YD-NC7E"", ""'The Table'!I2:I2000"")), SEARCH(I"&amp;"3, IMPORTRANGE(""https://docs.google.com/spreadsheets/d/1QQldXNCAbCb1Ym4mR_l2SqKlc58x08_0G4g8YD-NC7E"", ""'The Table'!I2:I2000"")), SEARCH(I2, IMPORTRANGE(""https://docs.google.com/spreadsheets/d/1QQldXNCAbCb1Ym4mR_l2SqKlc58x08_0G4g8YD-NC7E"", ""'The Tabl"&amp;"e'!I2:I2000"")), SEARCH(I1, IMPORTRANGE(""https://docs.google.com/spreadsheets/d/1QQldXNCAbCb1Ym4mR_l2SqKlc58x08_0G4g8YD-NC7E"", ""'The Table'!I2:I2000"")))"),"E-001")</f>
        <v>E-001</v>
      </c>
      <c r="B10" s="27" t="str">
        <f>IFERROR(__xludf.DUMMYFUNCTION("""COMPUTED_VALUE"""),"Event")</f>
        <v>Event</v>
      </c>
      <c r="C10" s="27" t="str">
        <f>IFERROR(__xludf.DUMMYFUNCTION("""COMPUTED_VALUE"""),"The Will to Protect")</f>
        <v>The Will to Protect</v>
      </c>
      <c r="D10" s="27" t="str">
        <f>IFERROR(__xludf.DUMMYFUNCTION("""COMPUTED_VALUE"""),"-")</f>
        <v>-</v>
      </c>
      <c r="E10" s="27">
        <f>IFERROR(__xludf.DUMMYFUNCTION("""COMPUTED_VALUE"""),0.0)</f>
        <v>0</v>
      </c>
      <c r="F10" s="27" t="str">
        <f>IFERROR(__xludf.DUMMYFUNCTION("""COMPUTED_VALUE"""),"A")</f>
        <v>A</v>
      </c>
      <c r="G10" s="27" t="str">
        <f>IFERROR(__xludf.DUMMYFUNCTION("""COMPUTED_VALUE"""),"None")</f>
        <v>None</v>
      </c>
      <c r="H10" s="27" t="str">
        <f>IFERROR(__xludf.DUMMYFUNCTION("""COMPUTED_VALUE"""),"-")</f>
        <v>-</v>
      </c>
      <c r="I10" s="28" t="str">
        <f>IFERROR(__xludf.DUMMYFUNCTION("""COMPUTED_VALUE"""),"Add 3000 Power to 1 of your in-play MAMODO cards during the next turn. This effect is [STANDBY] until the START PHASE of the next turn, and [STAY] during the next turn.")</f>
        <v>Add 3000 Power to 1 of your in-play MAMODO cards during the next turn. This effect is [STANDBY] until the START PHASE of the next turn, and [STAY] during the next turn.</v>
      </c>
      <c r="J10" s="27" t="str">
        <f>IFERROR(__xludf.DUMMYFUNCTION("""COMPUTED_VALUE"""),"-")</f>
        <v>-</v>
      </c>
      <c r="K10" s="27" t="str">
        <f>IFERROR(__xludf.DUMMYFUNCTION("""COMPUTED_VALUE"""),"-")</f>
        <v>-</v>
      </c>
      <c r="L10" s="27" t="str">
        <f>IFERROR(__xludf.DUMMYFUNCTION("""COMPUTED_VALUE"""),"Series 1, Level 1")</f>
        <v>Series 1, Level 1</v>
      </c>
      <c r="M10" s="27" t="str">
        <f>IFERROR(__xludf.DUMMYFUNCTION("""COMPUTED_VALUE"""),"[C]")</f>
        <v>[C]</v>
      </c>
      <c r="N10" s="27" t="str">
        <f>IFERROR(__xludf.DUMMYFUNCTION("""COMPUTED_VALUE"""),"“Power grows stronger and stronger as we think of the people we want to protect.”")</f>
        <v>“Power grows stronger and stronger as we think of the people we want to protect.”</v>
      </c>
      <c r="O10" s="27"/>
      <c r="P10" s="27"/>
      <c r="Q10" s="27"/>
      <c r="R10" s="27"/>
      <c r="S10" s="27"/>
      <c r="T10" s="27"/>
      <c r="U10" s="27"/>
      <c r="V10" s="27"/>
      <c r="W10" s="27"/>
      <c r="X10" s="27"/>
      <c r="Y10" s="27"/>
      <c r="Z10" s="27"/>
    </row>
    <row r="11">
      <c r="A11" s="29" t="str">
        <f>IFERROR(__xludf.DUMMYFUNCTION("""COMPUTED_VALUE"""),"E-002")</f>
        <v>E-002</v>
      </c>
      <c r="B11" s="27" t="str">
        <f>IFERROR(__xludf.DUMMYFUNCTION("""COMPUTED_VALUE"""),"Event")</f>
        <v>Event</v>
      </c>
      <c r="C11" s="27" t="str">
        <f>IFERROR(__xludf.DUMMYFUNCTION("""COMPUTED_VALUE"""),"Tina")</f>
        <v>Tina</v>
      </c>
      <c r="D11" s="27" t="str">
        <f>IFERROR(__xludf.DUMMYFUNCTION("""COMPUTED_VALUE"""),"-")</f>
        <v>-</v>
      </c>
      <c r="E11" s="27">
        <f>IFERROR(__xludf.DUMMYFUNCTION("""COMPUTED_VALUE"""),2.0)</f>
        <v>2</v>
      </c>
      <c r="F11" s="27" t="str">
        <f>IFERROR(__xludf.DUMMYFUNCTION("""COMPUTED_VALUE"""),"A")</f>
        <v>A</v>
      </c>
      <c r="G11" s="27" t="str">
        <f>IFERROR(__xludf.DUMMYFUNCTION("""COMPUTED_VALUE"""),"None")</f>
        <v>None</v>
      </c>
      <c r="H11" s="27" t="str">
        <f>IFERROR(__xludf.DUMMYFUNCTION("""COMPUTED_VALUE"""),"-")</f>
        <v>-</v>
      </c>
      <c r="I11" s="28" t="str">
        <f>IFERROR(__xludf.DUMMYFUNCTION("""COMPUTED_VALUE"""),"[STAY] Both players cannot play any SPELL cards until the END PHASE of the next turn.")</f>
        <v>[STAY] Both players cannot play any SPELL cards until the END PHASE of the next turn.</v>
      </c>
      <c r="J11" s="27" t="str">
        <f>IFERROR(__xludf.DUMMYFUNCTION("""COMPUTED_VALUE"""),"-")</f>
        <v>-</v>
      </c>
      <c r="K11" s="27" t="str">
        <f>IFERROR(__xludf.DUMMYFUNCTION("""COMPUTED_VALUE"""),"-")</f>
        <v>-</v>
      </c>
      <c r="L11" s="27" t="str">
        <f>IFERROR(__xludf.DUMMYFUNCTION("""COMPUTED_VALUE"""),"Series 1, Level 1")</f>
        <v>Series 1, Level 1</v>
      </c>
      <c r="M11" s="27" t="str">
        <f>IFERROR(__xludf.DUMMYFUNCTION("""COMPUTED_VALUE"""),"[C]")</f>
        <v>[C]</v>
      </c>
      <c r="N11" s="27" t="str">
        <f>IFERROR(__xludf.DUMMYFUNCTION("""COMPUTED_VALUE"""),"The doll that Lori made for Kolulu.")</f>
        <v>The doll that Lori made for Kolulu.</v>
      </c>
      <c r="O11" s="27"/>
      <c r="P11" s="27"/>
      <c r="Q11" s="27"/>
      <c r="R11" s="27"/>
      <c r="S11" s="27"/>
      <c r="T11" s="27"/>
      <c r="U11" s="27"/>
      <c r="V11" s="27"/>
      <c r="W11" s="27"/>
      <c r="X11" s="27"/>
      <c r="Y11" s="27"/>
      <c r="Z11" s="27"/>
    </row>
    <row r="12">
      <c r="A12" s="29" t="str">
        <f>IFERROR(__xludf.DUMMYFUNCTION("""COMPUTED_VALUE"""),"E-003")</f>
        <v>E-003</v>
      </c>
      <c r="B12" s="27" t="str">
        <f>IFERROR(__xludf.DUMMYFUNCTION("""COMPUTED_VALUE"""),"Event")</f>
        <v>Event</v>
      </c>
      <c r="C12" s="27" t="str">
        <f>IFERROR(__xludf.DUMMYFUNCTION("""COMPUTED_VALUE"""),"Yellowtail")</f>
        <v>Yellowtail</v>
      </c>
      <c r="D12" s="27" t="str">
        <f>IFERROR(__xludf.DUMMYFUNCTION("""COMPUTED_VALUE"""),"-")</f>
        <v>-</v>
      </c>
      <c r="E12" s="27">
        <f>IFERROR(__xludf.DUMMYFUNCTION("""COMPUTED_VALUE"""),0.0)</f>
        <v>0</v>
      </c>
      <c r="F12" s="27" t="str">
        <f>IFERROR(__xludf.DUMMYFUNCTION("""COMPUTED_VALUE"""),"A")</f>
        <v>A</v>
      </c>
      <c r="G12" s="27" t="str">
        <f>IFERROR(__xludf.DUMMYFUNCTION("""COMPUTED_VALUE"""),"None")</f>
        <v>None</v>
      </c>
      <c r="H12" s="27" t="str">
        <f>IFERROR(__xludf.DUMMYFUNCTION("""COMPUTED_VALUE"""),"-")</f>
        <v>-</v>
      </c>
      <c r="I12" s="28" t="str">
        <f>IFERROR(__xludf.DUMMYFUNCTION("""COMPUTED_VALUE"""),"Get 2 MP.")</f>
        <v>Get 2 MP.</v>
      </c>
      <c r="J12" s="27" t="str">
        <f>IFERROR(__xludf.DUMMYFUNCTION("""COMPUTED_VALUE"""),"-")</f>
        <v>-</v>
      </c>
      <c r="K12" s="27" t="str">
        <f>IFERROR(__xludf.DUMMYFUNCTION("""COMPUTED_VALUE"""),"-")</f>
        <v>-</v>
      </c>
      <c r="L12" s="27" t="str">
        <f>IFERROR(__xludf.DUMMYFUNCTION("""COMPUTED_VALUE"""),"Series 1, Level 1")</f>
        <v>Series 1, Level 1</v>
      </c>
      <c r="M12" s="27" t="str">
        <f>IFERROR(__xludf.DUMMYFUNCTION("""COMPUTED_VALUE"""),"[C]")</f>
        <v>[C]</v>
      </c>
      <c r="N12" s="27" t="str">
        <f>IFERROR(__xludf.DUMMYFUNCTION("""COMPUTED_VALUE"""),"Zatch’s favorite food.")</f>
        <v>Zatch’s favorite food.</v>
      </c>
      <c r="O12" s="27"/>
      <c r="P12" s="27"/>
      <c r="Q12" s="27"/>
      <c r="R12" s="27"/>
      <c r="S12" s="27"/>
      <c r="T12" s="27"/>
      <c r="U12" s="27"/>
      <c r="V12" s="27"/>
      <c r="W12" s="27"/>
      <c r="X12" s="27"/>
      <c r="Y12" s="27"/>
      <c r="Z12" s="27"/>
    </row>
    <row r="13">
      <c r="A13" s="29" t="str">
        <f>IFERROR(__xludf.DUMMYFUNCTION("""COMPUTED_VALUE"""),"E-004")</f>
        <v>E-004</v>
      </c>
      <c r="B13" s="27" t="str">
        <f>IFERROR(__xludf.DUMMYFUNCTION("""COMPUTED_VALUE"""),"Event")</f>
        <v>Event</v>
      </c>
      <c r="C13" s="27" t="str">
        <f>IFERROR(__xludf.DUMMYFUNCTION("""COMPUTED_VALUE"""),"Friendship Curry")</f>
        <v>Friendship Curry</v>
      </c>
      <c r="D13" s="27" t="str">
        <f>IFERROR(__xludf.DUMMYFUNCTION("""COMPUTED_VALUE"""),"-")</f>
        <v>-</v>
      </c>
      <c r="E13" s="27">
        <f>IFERROR(__xludf.DUMMYFUNCTION("""COMPUTED_VALUE"""),5.0)</f>
        <v>5</v>
      </c>
      <c r="F13" s="27" t="str">
        <f>IFERROR(__xludf.DUMMYFUNCTION("""COMPUTED_VALUE"""),"A")</f>
        <v>A</v>
      </c>
      <c r="G13" s="27" t="str">
        <f>IFERROR(__xludf.DUMMYFUNCTION("""COMPUTED_VALUE"""),"None")</f>
        <v>None</v>
      </c>
      <c r="H13" s="27" t="str">
        <f>IFERROR(__xludf.DUMMYFUNCTION("""COMPUTED_VALUE"""),"-")</f>
        <v>-</v>
      </c>
      <c r="I13" s="28" t="str">
        <f>IFERROR(__xludf.DUMMYFUNCTION("""COMPUTED_VALUE"""),"Reduce both players' MP to 0. ※ When either player has 1 or more MP, this effect is considered to be reducing a player's MP.")</f>
        <v>Reduce both players' MP to 0. ※ When either player has 1 or more MP, this effect is considered to be reducing a player's MP.</v>
      </c>
      <c r="J13" s="27" t="str">
        <f>IFERROR(__xludf.DUMMYFUNCTION("""COMPUTED_VALUE"""),"-")</f>
        <v>-</v>
      </c>
      <c r="K13" s="27" t="str">
        <f>IFERROR(__xludf.DUMMYFUNCTION("""COMPUTED_VALUE"""),"-")</f>
        <v>-</v>
      </c>
      <c r="L13" s="27" t="str">
        <f>IFERROR(__xludf.DUMMYFUNCTION("""COMPUTED_VALUE"""),"Series 1, Level 1")</f>
        <v>Series 1, Level 1</v>
      </c>
      <c r="M13" s="27" t="str">
        <f>IFERROR(__xludf.DUMMYFUNCTION("""COMPUTED_VALUE"""),"[U]")</f>
        <v>[U]</v>
      </c>
      <c r="N13" s="27" t="str">
        <f>IFERROR(__xludf.DUMMYFUNCTION("""COMPUTED_VALUE"""),"Kiyo made the best(?) curry with help from his friends!")</f>
        <v>Kiyo made the best(?) curry with help from his friends!</v>
      </c>
      <c r="O13" s="27"/>
      <c r="P13" s="27"/>
      <c r="Q13" s="27"/>
      <c r="R13" s="27"/>
      <c r="S13" s="27"/>
      <c r="T13" s="27"/>
      <c r="U13" s="27"/>
      <c r="V13" s="27"/>
      <c r="W13" s="27"/>
      <c r="X13" s="27"/>
      <c r="Y13" s="27"/>
      <c r="Z13" s="27"/>
    </row>
    <row r="14">
      <c r="A14" s="29" t="str">
        <f>IFERROR(__xludf.DUMMYFUNCTION("""COMPUTED_VALUE"""),"E-005")</f>
        <v>E-005</v>
      </c>
      <c r="B14" s="27" t="str">
        <f>IFERROR(__xludf.DUMMYFUNCTION("""COMPUTED_VALUE"""),"Event")</f>
        <v>Event</v>
      </c>
      <c r="C14" s="27" t="str">
        <f>IFERROR(__xludf.DUMMYFUNCTION("""COMPUTED_VALUE"""),"Suzy's Lucky Fruit")</f>
        <v>Suzy's Lucky Fruit</v>
      </c>
      <c r="D14" s="27" t="str">
        <f>IFERROR(__xludf.DUMMYFUNCTION("""COMPUTED_VALUE"""),"-")</f>
        <v>-</v>
      </c>
      <c r="E14" s="27">
        <f>IFERROR(__xludf.DUMMYFUNCTION("""COMPUTED_VALUE"""),0.0)</f>
        <v>0</v>
      </c>
      <c r="F14" s="27" t="str">
        <f>IFERROR(__xludf.DUMMYFUNCTION("""COMPUTED_VALUE"""),"A")</f>
        <v>A</v>
      </c>
      <c r="G14" s="27" t="str">
        <f>IFERROR(__xludf.DUMMYFUNCTION("""COMPUTED_VALUE"""),"None")</f>
        <v>None</v>
      </c>
      <c r="H14" s="27" t="str">
        <f>IFERROR(__xludf.DUMMYFUNCTION("""COMPUTED_VALUE"""),"-")</f>
        <v>-</v>
      </c>
      <c r="I14" s="28" t="str">
        <f>IFERROR(__xludf.DUMMYFUNCTION("""COMPUTED_VALUE"""),"Flip a coin twice; • If you get heads twice, turn back 2 pages of your Spell Book. • If you get heads and tails, there is no effect. • If you get tails twice, turn 2 pages of your Spell Book.")</f>
        <v>Flip a coin twice; • If you get heads twice, turn back 2 pages of your Spell Book. • If you get heads and tails, there is no effect. • If you get tails twice, turn 2 pages of your Spell Book.</v>
      </c>
      <c r="J14" s="27" t="str">
        <f>IFERROR(__xludf.DUMMYFUNCTION("""COMPUTED_VALUE"""),"-")</f>
        <v>-</v>
      </c>
      <c r="K14" s="27" t="str">
        <f>IFERROR(__xludf.DUMMYFUNCTION("""COMPUTED_VALUE"""),"-")</f>
        <v>-</v>
      </c>
      <c r="L14" s="27" t="str">
        <f>IFERROR(__xludf.DUMMYFUNCTION("""COMPUTED_VALUE"""),"Series 1, Level 1, The Best Booster 1")</f>
        <v>Series 1, Level 1, The Best Booster 1</v>
      </c>
      <c r="M14" s="27" t="str">
        <f>IFERROR(__xludf.DUMMYFUNCTION("""COMPUTED_VALUE"""),"[C]")</f>
        <v>[C]</v>
      </c>
      <c r="N14" s="27" t="str">
        <f>IFERROR(__xludf.DUMMYFUNCTION("""COMPUTED_VALUE"""),"“A crybaby tangerine, smiley-face orange, and delighted grapefruit for you!”")</f>
        <v>“A crybaby tangerine, smiley-face orange, and delighted grapefruit for you!”</v>
      </c>
      <c r="O14" s="27"/>
      <c r="P14" s="27"/>
      <c r="Q14" s="27"/>
      <c r="R14" s="27"/>
      <c r="S14" s="27"/>
      <c r="T14" s="27"/>
      <c r="U14" s="27"/>
      <c r="V14" s="27"/>
      <c r="W14" s="27"/>
      <c r="X14" s="27"/>
      <c r="Y14" s="27"/>
      <c r="Z14" s="27"/>
    </row>
    <row r="15">
      <c r="A15" s="29" t="str">
        <f>IFERROR(__xludf.DUMMYFUNCTION("""COMPUTED_VALUE"""),"E-006")</f>
        <v>E-006</v>
      </c>
      <c r="B15" s="27" t="str">
        <f>IFERROR(__xludf.DUMMYFUNCTION("""COMPUTED_VALUE"""),"Event")</f>
        <v>Event</v>
      </c>
      <c r="C15" s="27" t="str">
        <f>IFERROR(__xludf.DUMMYFUNCTION("""COMPUTED_VALUE"""),"Yuta Akiyama")</f>
        <v>Yuta Akiyama</v>
      </c>
      <c r="D15" s="27" t="str">
        <f>IFERROR(__xludf.DUMMYFUNCTION("""COMPUTED_VALUE"""),"-")</f>
        <v>-</v>
      </c>
      <c r="E15" s="27">
        <f>IFERROR(__xludf.DUMMYFUNCTION("""COMPUTED_VALUE"""),0.0)</f>
        <v>0</v>
      </c>
      <c r="F15" s="27" t="str">
        <f>IFERROR(__xludf.DUMMYFUNCTION("""COMPUTED_VALUE"""),"A")</f>
        <v>A</v>
      </c>
      <c r="G15" s="27" t="str">
        <f>IFERROR(__xludf.DUMMYFUNCTION("""COMPUTED_VALUE"""),"None")</f>
        <v>None</v>
      </c>
      <c r="H15" s="27" t="str">
        <f>IFERROR(__xludf.DUMMYFUNCTION("""COMPUTED_VALUE"""),"-")</f>
        <v>-</v>
      </c>
      <c r="I15" s="28" t="str">
        <f>IFERROR(__xludf.DUMMYFUNCTION("""COMPUTED_VALUE"""),"Select 1 of your in-play MAMODO cards and flip a coin; if it's heads, turn the selected MAMODO card to Normal Status. If it's tails, add 1000 Power to the selected MAMODO card during this turn ([STAY]).")</f>
        <v>Select 1 of your in-play MAMODO cards and flip a coin; if it's heads, turn the selected MAMODO card to Normal Status. If it's tails, add 1000 Power to the selected MAMODO card during this turn ([STAY]).</v>
      </c>
      <c r="J15" s="27" t="str">
        <f>IFERROR(__xludf.DUMMYFUNCTION("""COMPUTED_VALUE"""),"-")</f>
        <v>-</v>
      </c>
      <c r="K15" s="27" t="str">
        <f>IFERROR(__xludf.DUMMYFUNCTION("""COMPUTED_VALUE"""),"-")</f>
        <v>-</v>
      </c>
      <c r="L15" s="27" t="str">
        <f>IFERROR(__xludf.DUMMYFUNCTION("""COMPUTED_VALUE"""),"Series 1, Level 1")</f>
        <v>Series 1, Level 1</v>
      </c>
      <c r="M15" s="27" t="str">
        <f>IFERROR(__xludf.DUMMYFUNCTION("""COMPUTED_VALUE"""),"[C]")</f>
        <v>[C]</v>
      </c>
      <c r="N15" s="27" t="str">
        <f>IFERROR(__xludf.DUMMYFUNCTION("""COMPUTED_VALUE"""),"He is Kiyo's roommate during Kiyo's hospital stay. Yuta is worried that is recovery is too slow.")</f>
        <v>He is Kiyo's roommate during Kiyo's hospital stay. Yuta is worried that is recovery is too slow.</v>
      </c>
      <c r="O15" s="27"/>
      <c r="P15" s="27"/>
      <c r="Q15" s="27"/>
      <c r="R15" s="27"/>
      <c r="S15" s="27"/>
      <c r="T15" s="27"/>
      <c r="U15" s="27"/>
      <c r="V15" s="27"/>
      <c r="W15" s="27"/>
      <c r="X15" s="27"/>
      <c r="Y15" s="27"/>
      <c r="Z15" s="27"/>
    </row>
    <row r="16">
      <c r="A16" s="29" t="str">
        <f>IFERROR(__xludf.DUMMYFUNCTION("""COMPUTED_VALUE"""),"E-007e")</f>
        <v>E-007e</v>
      </c>
      <c r="B16" s="27" t="str">
        <f>IFERROR(__xludf.DUMMYFUNCTION("""COMPUTED_VALUE"""),"Event")</f>
        <v>Event</v>
      </c>
      <c r="C16" s="27" t="str">
        <f>IFERROR(__xludf.DUMMYFUNCTION("""COMPUTED_VALUE"""),"Ivy Kinoyama")</f>
        <v>Ivy Kinoyama</v>
      </c>
      <c r="D16" s="27" t="str">
        <f>IFERROR(__xludf.DUMMYFUNCTION("""COMPUTED_VALUE"""),"-")</f>
        <v>-</v>
      </c>
      <c r="E16" s="27">
        <f>IFERROR(__xludf.DUMMYFUNCTION("""COMPUTED_VALUE"""),1.0)</f>
        <v>1</v>
      </c>
      <c r="F16" s="27" t="str">
        <f>IFERROR(__xludf.DUMMYFUNCTION("""COMPUTED_VALUE"""),"A")</f>
        <v>A</v>
      </c>
      <c r="G16" s="27" t="str">
        <f>IFERROR(__xludf.DUMMYFUNCTION("""COMPUTED_VALUE"""),"None")</f>
        <v>None</v>
      </c>
      <c r="H16" s="27" t="str">
        <f>IFERROR(__xludf.DUMMYFUNCTION("""COMPUTED_VALUE"""),"-")</f>
        <v>-</v>
      </c>
      <c r="I16" s="28" t="str">
        <f>IFERROR(__xludf.DUMMYFUNCTION("""COMPUTED_VALUE"""),"Turn 1 of your MAMODO cards to Normal Status.")</f>
        <v>Turn 1 of your MAMODO cards to Normal Status.</v>
      </c>
      <c r="J16" s="27" t="str">
        <f>IFERROR(__xludf.DUMMYFUNCTION("""COMPUTED_VALUE"""),"-")</f>
        <v>-</v>
      </c>
      <c r="K16" s="27" t="str">
        <f>IFERROR(__xludf.DUMMYFUNCTION("""COMPUTED_VALUE"""),"-")</f>
        <v>-</v>
      </c>
      <c r="L16" s="27" t="str">
        <f>IFERROR(__xludf.DUMMYFUNCTION("""COMPUTED_VALUE"""),"Series 1, Level 1")</f>
        <v>Series 1, Level 1</v>
      </c>
      <c r="M16" s="27" t="str">
        <f>IFERROR(__xludf.DUMMYFUNCTION("""COMPUTED_VALUE"""),"[C]")</f>
        <v>[C]</v>
      </c>
      <c r="N16" s="27" t="str">
        <f>IFERROR(__xludf.DUMMYFUNCTION("""COMPUTED_VALUE"""),"Manager of the Mochinoki Botanical Garden.")</f>
        <v>Manager of the Mochinoki Botanical Garden.</v>
      </c>
      <c r="O16" s="27"/>
      <c r="P16" s="27"/>
      <c r="Q16" s="27"/>
      <c r="R16" s="27"/>
      <c r="S16" s="27"/>
      <c r="T16" s="27"/>
      <c r="U16" s="27"/>
      <c r="V16" s="27"/>
      <c r="W16" s="27"/>
      <c r="X16" s="27"/>
      <c r="Y16" s="27"/>
      <c r="Z16" s="27"/>
    </row>
    <row r="17">
      <c r="A17" s="29" t="str">
        <f>IFERROR(__xludf.DUMMYFUNCTION("""COMPUTED_VALUE"""),"E-007j")</f>
        <v>E-007j</v>
      </c>
      <c r="B17" s="27" t="str">
        <f>IFERROR(__xludf.DUMMYFUNCTION("""COMPUTED_VALUE"""),"Event")</f>
        <v>Event</v>
      </c>
      <c r="C17" s="27" t="str">
        <f>IFERROR(__xludf.DUMMYFUNCTION("""COMPUTED_VALUE"""),"Ivy Kinoyama")</f>
        <v>Ivy Kinoyama</v>
      </c>
      <c r="D17" s="27" t="str">
        <f>IFERROR(__xludf.DUMMYFUNCTION("""COMPUTED_VALUE"""),"-")</f>
        <v>-</v>
      </c>
      <c r="E17" s="27">
        <f>IFERROR(__xludf.DUMMYFUNCTION("""COMPUTED_VALUE"""),1.0)</f>
        <v>1</v>
      </c>
      <c r="F17" s="27" t="str">
        <f>IFERROR(__xludf.DUMMYFUNCTION("""COMPUTED_VALUE"""),"A")</f>
        <v>A</v>
      </c>
      <c r="G17" s="27" t="str">
        <f>IFERROR(__xludf.DUMMYFUNCTION("""COMPUTED_VALUE"""),"None")</f>
        <v>None</v>
      </c>
      <c r="H17" s="27" t="str">
        <f>IFERROR(__xludf.DUMMYFUNCTION("""COMPUTED_VALUE"""),"-")</f>
        <v>-</v>
      </c>
      <c r="I17" s="28" t="str">
        <f>IFERROR(__xludf.DUMMYFUNCTION("""COMPUTED_VALUE"""),"Turn 1 of your Injured MAMODO cards to Normal Status.")</f>
        <v>Turn 1 of your Injured MAMODO cards to Normal Status.</v>
      </c>
      <c r="J17" s="27" t="str">
        <f>IFERROR(__xludf.DUMMYFUNCTION("""COMPUTED_VALUE"""),"-")</f>
        <v>-</v>
      </c>
      <c r="K17" s="27" t="str">
        <f>IFERROR(__xludf.DUMMYFUNCTION("""COMPUTED_VALUE"""),"-")</f>
        <v>-</v>
      </c>
      <c r="L17" s="27" t="str">
        <f>IFERROR(__xludf.DUMMYFUNCTION("""COMPUTED_VALUE"""),"Series 1, Level 1")</f>
        <v>Series 1, Level 1</v>
      </c>
      <c r="M17" s="27" t="str">
        <f>IFERROR(__xludf.DUMMYFUNCTION("""COMPUTED_VALUE"""),"[C]")</f>
        <v>[C]</v>
      </c>
      <c r="N17" s="27" t="str">
        <f>IFERROR(__xludf.DUMMYFUNCTION("""COMPUTED_VALUE"""),"Manager of the Mochinoki Botanical Garden.")</f>
        <v>Manager of the Mochinoki Botanical Garden.</v>
      </c>
      <c r="O17" s="27"/>
      <c r="P17" s="27"/>
      <c r="Q17" s="27"/>
      <c r="R17" s="27"/>
      <c r="S17" s="27"/>
      <c r="T17" s="27"/>
      <c r="U17" s="27"/>
      <c r="V17" s="27"/>
      <c r="W17" s="27"/>
      <c r="X17" s="27"/>
      <c r="Y17" s="27"/>
      <c r="Z17" s="27"/>
    </row>
    <row r="18">
      <c r="A18" s="29" t="str">
        <f>IFERROR(__xludf.DUMMYFUNCTION("""COMPUTED_VALUE"""),"E-008")</f>
        <v>E-008</v>
      </c>
      <c r="B18" s="27" t="str">
        <f>IFERROR(__xludf.DUMMYFUNCTION("""COMPUTED_VALUE"""),"Event")</f>
        <v>Event</v>
      </c>
      <c r="C18" s="27" t="str">
        <f>IFERROR(__xludf.DUMMYFUNCTION("""COMPUTED_VALUE"""),"Suzy Mizuno")</f>
        <v>Suzy Mizuno</v>
      </c>
      <c r="D18" s="27" t="str">
        <f>IFERROR(__xludf.DUMMYFUNCTION("""COMPUTED_VALUE"""),"-")</f>
        <v>-</v>
      </c>
      <c r="E18" s="27">
        <f>IFERROR(__xludf.DUMMYFUNCTION("""COMPUTED_VALUE"""),0.0)</f>
        <v>0</v>
      </c>
      <c r="F18" s="27" t="str">
        <f>IFERROR(__xludf.DUMMYFUNCTION("""COMPUTED_VALUE"""),"A")</f>
        <v>A</v>
      </c>
      <c r="G18" s="27" t="str">
        <f>IFERROR(__xludf.DUMMYFUNCTION("""COMPUTED_VALUE"""),"None")</f>
        <v>None</v>
      </c>
      <c r="H18" s="27" t="str">
        <f>IFERROR(__xludf.DUMMYFUNCTION("""COMPUTED_VALUE"""),"-")</f>
        <v>-</v>
      </c>
      <c r="I18" s="28" t="str">
        <f>IFERROR(__xludf.DUMMYFUNCTION("""COMPUTED_VALUE"""),"[STAY] Both players cannot apply the effects of their in-play PARTNER cards during this turn.")</f>
        <v>[STAY] Both players cannot apply the effects of their in-play PARTNER cards during this turn.</v>
      </c>
      <c r="J18" s="27" t="str">
        <f>IFERROR(__xludf.DUMMYFUNCTION("""COMPUTED_VALUE"""),"-")</f>
        <v>-</v>
      </c>
      <c r="K18" s="27" t="str">
        <f>IFERROR(__xludf.DUMMYFUNCTION("""COMPUTED_VALUE"""),"-")</f>
        <v>-</v>
      </c>
      <c r="L18" s="27" t="str">
        <f>IFERROR(__xludf.DUMMYFUNCTION("""COMPUTED_VALUE"""),"Series 1, Level 1")</f>
        <v>Series 1, Level 1</v>
      </c>
      <c r="M18" s="27" t="str">
        <f>IFERROR(__xludf.DUMMYFUNCTION("""COMPUTED_VALUE"""),"[U]")</f>
        <v>[U]</v>
      </c>
      <c r="N18" s="27" t="str">
        <f>IFERROR(__xludf.DUMMYFUNCTION("""COMPUTED_VALUE"""),"Kiyo's classmate, she understands him well.")</f>
        <v>Kiyo's classmate, she understands him well.</v>
      </c>
      <c r="O18" s="27"/>
      <c r="P18" s="27"/>
      <c r="Q18" s="27"/>
      <c r="R18" s="27"/>
      <c r="S18" s="27"/>
      <c r="T18" s="27"/>
      <c r="U18" s="27"/>
      <c r="V18" s="27"/>
      <c r="W18" s="27"/>
      <c r="X18" s="27"/>
      <c r="Y18" s="27"/>
      <c r="Z18" s="27"/>
    </row>
    <row r="19">
      <c r="A19" s="29" t="str">
        <f>IFERROR(__xludf.DUMMYFUNCTION("""COMPUTED_VALUE"""),"E-009")</f>
        <v>E-009</v>
      </c>
      <c r="B19" s="27" t="str">
        <f>IFERROR(__xludf.DUMMYFUNCTION("""COMPUTED_VALUE"""),"Event")</f>
        <v>Event</v>
      </c>
      <c r="C19" s="27" t="str">
        <f>IFERROR(__xludf.DUMMYFUNCTION("""COMPUTED_VALUE"""),"Kind King")</f>
        <v>Kind King</v>
      </c>
      <c r="D19" s="27" t="str">
        <f>IFERROR(__xludf.DUMMYFUNCTION("""COMPUTED_VALUE"""),"-")</f>
        <v>-</v>
      </c>
      <c r="E19" s="27">
        <f>IFERROR(__xludf.DUMMYFUNCTION("""COMPUTED_VALUE"""),3.0)</f>
        <v>3</v>
      </c>
      <c r="F19" s="27" t="str">
        <f>IFERROR(__xludf.DUMMYFUNCTION("""COMPUTED_VALUE"""),"A")</f>
        <v>A</v>
      </c>
      <c r="G19" s="27" t="str">
        <f>IFERROR(__xludf.DUMMYFUNCTION("""COMPUTED_VALUE"""),"None")</f>
        <v>None</v>
      </c>
      <c r="H19" s="27" t="str">
        <f>IFERROR(__xludf.DUMMYFUNCTION("""COMPUTED_VALUE"""),"-")</f>
        <v>-</v>
      </c>
      <c r="I19" s="28" t="str">
        <f>IFERROR(__xludf.DUMMYFUNCTION("""COMPUTED_VALUE"""),"[STAY] Add 3000 Power to 1 of your in-play MAMODO cards during this turn.")</f>
        <v>[STAY] Add 3000 Power to 1 of your in-play MAMODO cards during this turn.</v>
      </c>
      <c r="J19" s="27" t="str">
        <f>IFERROR(__xludf.DUMMYFUNCTION("""COMPUTED_VALUE"""),"-")</f>
        <v>-</v>
      </c>
      <c r="K19" s="27" t="str">
        <f>IFERROR(__xludf.DUMMYFUNCTION("""COMPUTED_VALUE"""),"-")</f>
        <v>-</v>
      </c>
      <c r="L19" s="27" t="str">
        <f>IFERROR(__xludf.DUMMYFUNCTION("""COMPUTED_VALUE"""),"Series 1, Level 1")</f>
        <v>Series 1, Level 1</v>
      </c>
      <c r="M19" s="27" t="str">
        <f>IFERROR(__xludf.DUMMYFUNCTION("""COMPUTED_VALUE"""),"[U]")</f>
        <v>[U]</v>
      </c>
      <c r="N19" s="27" t="str">
        <f>IFERROR(__xludf.DUMMYFUNCTION("""COMPUTED_VALUE"""),"""I was so upset when I saw Kolulu disappear back to the mamodo world.""")</f>
        <v>"I was so upset when I saw Kolulu disappear back to the mamodo world."</v>
      </c>
      <c r="O19" s="27"/>
      <c r="P19" s="27"/>
      <c r="Q19" s="27"/>
      <c r="R19" s="27"/>
      <c r="S19" s="27"/>
      <c r="T19" s="27"/>
      <c r="U19" s="27"/>
      <c r="V19" s="27"/>
      <c r="W19" s="27"/>
      <c r="X19" s="27"/>
      <c r="Y19" s="27"/>
      <c r="Z19" s="27"/>
    </row>
    <row r="20">
      <c r="A20" s="29" t="str">
        <f>IFERROR(__xludf.DUMMYFUNCTION("""COMPUTED_VALUE"""),"E-010e")</f>
        <v>E-010e</v>
      </c>
      <c r="B20" s="27" t="str">
        <f>IFERROR(__xludf.DUMMYFUNCTION("""COMPUTED_VALUE"""),"Event")</f>
        <v>Event</v>
      </c>
      <c r="C20" s="27" t="str">
        <f>IFERROR(__xludf.DUMMYFUNCTION("""COMPUTED_VALUE"""),"Kind Kiyo")</f>
        <v>Kind Kiyo</v>
      </c>
      <c r="D20" s="27" t="str">
        <f>IFERROR(__xludf.DUMMYFUNCTION("""COMPUTED_VALUE"""),"-")</f>
        <v>-</v>
      </c>
      <c r="E20" s="27">
        <f>IFERROR(__xludf.DUMMYFUNCTION("""COMPUTED_VALUE"""),3.0)</f>
        <v>3</v>
      </c>
      <c r="F20" s="27" t="str">
        <f>IFERROR(__xludf.DUMMYFUNCTION("""COMPUTED_VALUE"""),"A")</f>
        <v>A</v>
      </c>
      <c r="G20" s="27" t="str">
        <f>IFERROR(__xludf.DUMMYFUNCTION("""COMPUTED_VALUE"""),"None")</f>
        <v>None</v>
      </c>
      <c r="H20" s="27" t="str">
        <f>IFERROR(__xludf.DUMMYFUNCTION("""COMPUTED_VALUE"""),"-")</f>
        <v>-</v>
      </c>
      <c r="I20" s="28" t="str">
        <f>IFERROR(__xludf.DUMMYFUNCTION("""COMPUTED_VALUE"""),"[STANDBY] Select 1 of your opponent's in-play PARTNER cards. You can apply the effects of the selected PARTNER card as your own once during this turn (any PARTNER cards used through this effect with [Send this card to the Discard Pile] remain in play afte"&amp;"r applying their effects).")</f>
        <v>[STANDBY] Select 1 of your opponent's in-play PARTNER cards. You can apply the effects of the selected PARTNER card as your own once during this turn (any PARTNER cards used through this effect with [Send this card to the Discard Pile] remain in play after applying their effects).</v>
      </c>
      <c r="J20" s="27" t="str">
        <f>IFERROR(__xludf.DUMMYFUNCTION("""COMPUTED_VALUE"""),"-")</f>
        <v>-</v>
      </c>
      <c r="K20" s="27" t="str">
        <f>IFERROR(__xludf.DUMMYFUNCTION("""COMPUTED_VALUE"""),"-")</f>
        <v>-</v>
      </c>
      <c r="L20" s="27" t="str">
        <f>IFERROR(__xludf.DUMMYFUNCTION("""COMPUTED_VALUE"""),"Series 1, Level 1")</f>
        <v>Series 1, Level 1</v>
      </c>
      <c r="M20" s="27" t="str">
        <f>IFERROR(__xludf.DUMMYFUNCTION("""COMPUTED_VALUE"""),"[U]")</f>
        <v>[U]</v>
      </c>
      <c r="N20" s="27" t="str">
        <f>IFERROR(__xludf.DUMMYFUNCTION("""COMPUTED_VALUE"""),"Today, Kiyo is suddenly kind and is eating raw yellowtail head fisrt. Something seems different...")</f>
        <v>Today, Kiyo is suddenly kind and is eating raw yellowtail head fisrt. Something seems different...</v>
      </c>
      <c r="O20" s="27"/>
      <c r="P20" s="27"/>
      <c r="Q20" s="27"/>
      <c r="R20" s="27"/>
      <c r="S20" s="27"/>
      <c r="T20" s="27"/>
      <c r="U20" s="27"/>
      <c r="V20" s="27"/>
      <c r="W20" s="27"/>
      <c r="X20" s="27"/>
      <c r="Y20" s="27"/>
      <c r="Z20" s="27"/>
    </row>
    <row r="21">
      <c r="A21" s="29" t="str">
        <f>IFERROR(__xludf.DUMMYFUNCTION("""COMPUTED_VALUE"""),"E-010j")</f>
        <v>E-010j</v>
      </c>
      <c r="B21" s="27" t="str">
        <f>IFERROR(__xludf.DUMMYFUNCTION("""COMPUTED_VALUE"""),"Event")</f>
        <v>Event</v>
      </c>
      <c r="C21" s="27" t="str">
        <f>IFERROR(__xludf.DUMMYFUNCTION("""COMPUTED_VALUE"""),"Kind Kiyo")</f>
        <v>Kind Kiyo</v>
      </c>
      <c r="D21" s="27" t="str">
        <f>IFERROR(__xludf.DUMMYFUNCTION("""COMPUTED_VALUE"""),"-")</f>
        <v>-</v>
      </c>
      <c r="E21" s="27">
        <f>IFERROR(__xludf.DUMMYFUNCTION("""COMPUTED_VALUE"""),3.0)</f>
        <v>3</v>
      </c>
      <c r="F21" s="27" t="str">
        <f>IFERROR(__xludf.DUMMYFUNCTION("""COMPUTED_VALUE"""),"A")</f>
        <v>A</v>
      </c>
      <c r="G21" s="27" t="str">
        <f>IFERROR(__xludf.DUMMYFUNCTION("""COMPUTED_VALUE"""),"None")</f>
        <v>None</v>
      </c>
      <c r="H21" s="27" t="str">
        <f>IFERROR(__xludf.DUMMYFUNCTION("""COMPUTED_VALUE"""),"-")</f>
        <v>-</v>
      </c>
      <c r="I21" s="28" t="str">
        <f>IFERROR(__xludf.DUMMYFUNCTION("""COMPUTED_VALUE"""),"[STANDBY] Select 1 of your opponent's in-play PARTNER cards without [In Play]. You can apply the effects of the selected PARTNER card as your own once during this turn (any PARTNER cards used through this effect with [Send this card to the Discard Pile] r"&amp;"emain in play after applying their effects).")</f>
        <v>[STANDBY] Select 1 of your opponent's in-play PARTNER cards without [In Play]. You can apply the effects of the selected PARTNER card as your own once during this turn (any PARTNER cards used through this effect with [Send this card to the Discard Pile] remain in play after applying their effects).</v>
      </c>
      <c r="J21" s="27" t="str">
        <f>IFERROR(__xludf.DUMMYFUNCTION("""COMPUTED_VALUE"""),"-")</f>
        <v>-</v>
      </c>
      <c r="K21" s="27" t="str">
        <f>IFERROR(__xludf.DUMMYFUNCTION("""COMPUTED_VALUE"""),"-")</f>
        <v>-</v>
      </c>
      <c r="L21" s="27" t="str">
        <f>IFERROR(__xludf.DUMMYFUNCTION("""COMPUTED_VALUE"""),"Series 1, Level 1")</f>
        <v>Series 1, Level 1</v>
      </c>
      <c r="M21" s="27" t="str">
        <f>IFERROR(__xludf.DUMMYFUNCTION("""COMPUTED_VALUE"""),"[U]")</f>
        <v>[U]</v>
      </c>
      <c r="N21" s="27" t="str">
        <f>IFERROR(__xludf.DUMMYFUNCTION("""COMPUTED_VALUE"""),"Today, Kiyo is suddenly kind and is eating raw yellowtail head fisrt. Something seems different...")</f>
        <v>Today, Kiyo is suddenly kind and is eating raw yellowtail head fisrt. Something seems different...</v>
      </c>
      <c r="O21" s="27"/>
      <c r="P21" s="27"/>
      <c r="Q21" s="27"/>
      <c r="R21" s="27"/>
      <c r="S21" s="27"/>
      <c r="T21" s="27"/>
      <c r="U21" s="27"/>
      <c r="V21" s="27"/>
      <c r="W21" s="27"/>
      <c r="X21" s="27"/>
      <c r="Y21" s="27"/>
      <c r="Z21" s="27"/>
    </row>
    <row r="22">
      <c r="A22" s="29" t="str">
        <f>IFERROR(__xludf.DUMMYFUNCTION("""COMPUTED_VALUE"""),"E-011")</f>
        <v>E-011</v>
      </c>
      <c r="B22" s="27" t="str">
        <f>IFERROR(__xludf.DUMMYFUNCTION("""COMPUTED_VALUE"""),"Event")</f>
        <v>Event</v>
      </c>
      <c r="C22" s="27" t="str">
        <f>IFERROR(__xludf.DUMMYFUNCTION("""COMPUTED_VALUE"""),"Iron Man Folgore")</f>
        <v>Iron Man Folgore</v>
      </c>
      <c r="D22" s="27" t="str">
        <f>IFERROR(__xludf.DUMMYFUNCTION("""COMPUTED_VALUE"""),"-")</f>
        <v>-</v>
      </c>
      <c r="E22" s="27">
        <f>IFERROR(__xludf.DUMMYFUNCTION("""COMPUTED_VALUE"""),3.0)</f>
        <v>3</v>
      </c>
      <c r="F22" s="27" t="str">
        <f>IFERROR(__xludf.DUMMYFUNCTION("""COMPUTED_VALUE"""),"A")</f>
        <v>A</v>
      </c>
      <c r="G22" s="27" t="str">
        <f>IFERROR(__xludf.DUMMYFUNCTION("""COMPUTED_VALUE"""),"None")</f>
        <v>None</v>
      </c>
      <c r="H22" s="27" t="str">
        <f>IFERROR(__xludf.DUMMYFUNCTION("""COMPUTED_VALUE"""),"-")</f>
        <v>-</v>
      </c>
      <c r="I22" s="28" t="str">
        <f>IFERROR(__xludf.DUMMYFUNCTION("""COMPUTED_VALUE"""),"Flip a coin; if it's heads, move 1 PARTNER card from your Discard Pile into play. If it's tails, you may pay 2 MP to re-do the coin toss until you get heads.")</f>
        <v>Flip a coin; if it's heads, move 1 PARTNER card from your Discard Pile into play. If it's tails, you may pay 2 MP to re-do the coin toss until you get heads.</v>
      </c>
      <c r="J22" s="27" t="str">
        <f>IFERROR(__xludf.DUMMYFUNCTION("""COMPUTED_VALUE"""),"-")</f>
        <v>-</v>
      </c>
      <c r="K22" s="27" t="str">
        <f>IFERROR(__xludf.DUMMYFUNCTION("""COMPUTED_VALUE"""),"-")</f>
        <v>-</v>
      </c>
      <c r="L22" s="27" t="str">
        <f>IFERROR(__xludf.DUMMYFUNCTION("""COMPUTED_VALUE"""),"Series 1, Level 1")</f>
        <v>Series 1, Level 1</v>
      </c>
      <c r="M22" s="27" t="str">
        <f>IFERROR(__xludf.DUMMYFUNCTION("""COMPUTED_VALUE"""),"[U]")</f>
        <v>[U]</v>
      </c>
      <c r="N22" s="27" t="str">
        <f>IFERROR(__xludf.DUMMYFUNCTION("""COMPUTED_VALUE"""),"""Invincible Folgore~, Iron Man Folgore~!""")</f>
        <v>"Invincible Folgore~, Iron Man Folgore~!"</v>
      </c>
      <c r="O22" s="27"/>
      <c r="P22" s="27"/>
      <c r="Q22" s="27"/>
      <c r="R22" s="27"/>
      <c r="S22" s="27"/>
      <c r="T22" s="27"/>
      <c r="U22" s="27"/>
      <c r="V22" s="27"/>
      <c r="W22" s="27"/>
      <c r="X22" s="27"/>
      <c r="Y22" s="27"/>
      <c r="Z22" s="27"/>
    </row>
    <row r="23">
      <c r="A23" s="29" t="str">
        <f>IFERROR(__xludf.DUMMYFUNCTION("""COMPUTED_VALUE"""),"E-012")</f>
        <v>E-012</v>
      </c>
      <c r="B23" s="27" t="str">
        <f>IFERROR(__xludf.DUMMYFUNCTION("""COMPUTED_VALUE"""),"Event")</f>
        <v>Event</v>
      </c>
      <c r="C23" s="27" t="str">
        <f>IFERROR(__xludf.DUMMYFUNCTION("""COMPUTED_VALUE"""),"Here Comes Zatch Bell!")</f>
        <v>Here Comes Zatch Bell!</v>
      </c>
      <c r="D23" s="27" t="str">
        <f>IFERROR(__xludf.DUMMYFUNCTION("""COMPUTED_VALUE"""),"-")</f>
        <v>-</v>
      </c>
      <c r="E23" s="27">
        <f>IFERROR(__xludf.DUMMYFUNCTION("""COMPUTED_VALUE"""),3.0)</f>
        <v>3</v>
      </c>
      <c r="F23" s="27" t="str">
        <f>IFERROR(__xludf.DUMMYFUNCTION("""COMPUTED_VALUE"""),"A")</f>
        <v>A</v>
      </c>
      <c r="G23" s="27" t="str">
        <f>IFERROR(__xludf.DUMMYFUNCTION("""COMPUTED_VALUE"""),"None")</f>
        <v>None</v>
      </c>
      <c r="H23" s="27" t="str">
        <f>IFERROR(__xludf.DUMMYFUNCTION("""COMPUTED_VALUE"""),"-")</f>
        <v>-</v>
      </c>
      <c r="I23" s="28" t="str">
        <f>IFERROR(__xludf.DUMMYFUNCTION("""COMPUTED_VALUE"""),"Select 1 MAMODO card from any page of your Spell Book and put it in play.")</f>
        <v>Select 1 MAMODO card from any page of your Spell Book and put it in play.</v>
      </c>
      <c r="J23" s="27" t="str">
        <f>IFERROR(__xludf.DUMMYFUNCTION("""COMPUTED_VALUE"""),"-")</f>
        <v>-</v>
      </c>
      <c r="K23" s="27" t="str">
        <f>IFERROR(__xludf.DUMMYFUNCTION("""COMPUTED_VALUE"""),"-")</f>
        <v>-</v>
      </c>
      <c r="L23" s="27" t="str">
        <f>IFERROR(__xludf.DUMMYFUNCTION("""COMPUTED_VALUE"""),"Series 1, Level 1")</f>
        <v>Series 1, Level 1</v>
      </c>
      <c r="M23" s="27" t="str">
        <f>IFERROR(__xludf.DUMMYFUNCTION("""COMPUTED_VALUE"""),"[R]")</f>
        <v>[R]</v>
      </c>
      <c r="N23" s="27" t="str">
        <f>IFERROR(__xludf.DUMMYFUNCTION("""COMPUTED_VALUE"""),"Zatch flew on a big eagle from England.")</f>
        <v>Zatch flew on a big eagle from England.</v>
      </c>
      <c r="O23" s="27"/>
      <c r="P23" s="27"/>
      <c r="Q23" s="27"/>
      <c r="R23" s="27"/>
      <c r="S23" s="27"/>
      <c r="T23" s="27"/>
      <c r="U23" s="27"/>
      <c r="V23" s="27"/>
      <c r="W23" s="27"/>
      <c r="X23" s="27"/>
      <c r="Y23" s="27"/>
      <c r="Z23" s="27"/>
    </row>
    <row r="24">
      <c r="A24" s="29" t="str">
        <f>IFERROR(__xludf.DUMMYFUNCTION("""COMPUTED_VALUE"""),"E-013e")</f>
        <v>E-013e</v>
      </c>
      <c r="B24" s="27" t="str">
        <f>IFERROR(__xludf.DUMMYFUNCTION("""COMPUTED_VALUE"""),"Event")</f>
        <v>Event</v>
      </c>
      <c r="C24" s="27" t="str">
        <f>IFERROR(__xludf.DUMMYFUNCTION("""COMPUTED_VALUE"""),"Naomi")</f>
        <v>Naomi</v>
      </c>
      <c r="D24" s="27" t="str">
        <f>IFERROR(__xludf.DUMMYFUNCTION("""COMPUTED_VALUE"""),"-")</f>
        <v>-</v>
      </c>
      <c r="E24" s="27">
        <f>IFERROR(__xludf.DUMMYFUNCTION("""COMPUTED_VALUE"""),0.0)</f>
        <v>0</v>
      </c>
      <c r="F24" s="27" t="str">
        <f>IFERROR(__xludf.DUMMYFUNCTION("""COMPUTED_VALUE"""),"A")</f>
        <v>A</v>
      </c>
      <c r="G24" s="27" t="str">
        <f>IFERROR(__xludf.DUMMYFUNCTION("""COMPUTED_VALUE"""),"None")</f>
        <v>None</v>
      </c>
      <c r="H24" s="27" t="str">
        <f>IFERROR(__xludf.DUMMYFUNCTION("""COMPUTED_VALUE"""),"-")</f>
        <v>-</v>
      </c>
      <c r="I24" s="28" t="str">
        <f>IFERROR(__xludf.DUMMYFUNCTION("""COMPUTED_VALUE"""),"[STANDBY] Your opponent can neither SACRIFICE nor PROTECT their Spell Book from Damage during this turn.")</f>
        <v>[STANDBY] Your opponent can neither SACRIFICE nor PROTECT their Spell Book from Damage during this turn.</v>
      </c>
      <c r="J24" s="27" t="str">
        <f>IFERROR(__xludf.DUMMYFUNCTION("""COMPUTED_VALUE"""),"-")</f>
        <v>-</v>
      </c>
      <c r="K24" s="27" t="str">
        <f>IFERROR(__xludf.DUMMYFUNCTION("""COMPUTED_VALUE"""),"-")</f>
        <v>-</v>
      </c>
      <c r="L24" s="27" t="str">
        <f>IFERROR(__xludf.DUMMYFUNCTION("""COMPUTED_VALUE"""),"Series 1, Level 1, The Best Booster 1, Revised Edition")</f>
        <v>Series 1, Level 1, The Best Booster 1, Revised Edition</v>
      </c>
      <c r="M24" s="27" t="str">
        <f>IFERROR(__xludf.DUMMYFUNCTION("""COMPUTED_VALUE"""),"[R]")</f>
        <v>[R]</v>
      </c>
      <c r="N24" s="27" t="str">
        <f>IFERROR(__xludf.DUMMYFUNCTION("""COMPUTED_VALUE"""),"She keeps bullying Zatch. Her toy car's name is ""Je t'aime"".")</f>
        <v>She keeps bullying Zatch. Her toy car's name is "Je t'aime".</v>
      </c>
      <c r="O24" s="27"/>
      <c r="P24" s="27"/>
      <c r="Q24" s="27"/>
      <c r="R24" s="27"/>
      <c r="S24" s="27"/>
      <c r="T24" s="27"/>
      <c r="U24" s="27"/>
      <c r="V24" s="27"/>
      <c r="W24" s="27"/>
      <c r="X24" s="27"/>
      <c r="Y24" s="27"/>
      <c r="Z24" s="27"/>
    </row>
    <row r="25">
      <c r="A25" s="29" t="str">
        <f>IFERROR(__xludf.DUMMYFUNCTION("""COMPUTED_VALUE"""),"E-013j")</f>
        <v>E-013j</v>
      </c>
      <c r="B25" s="27" t="str">
        <f>IFERROR(__xludf.DUMMYFUNCTION("""COMPUTED_VALUE"""),"Event")</f>
        <v>Event</v>
      </c>
      <c r="C25" s="27" t="str">
        <f>IFERROR(__xludf.DUMMYFUNCTION("""COMPUTED_VALUE"""),"Naomi")</f>
        <v>Naomi</v>
      </c>
      <c r="D25" s="27" t="str">
        <f>IFERROR(__xludf.DUMMYFUNCTION("""COMPUTED_VALUE"""),"-")</f>
        <v>-</v>
      </c>
      <c r="E25" s="27">
        <f>IFERROR(__xludf.DUMMYFUNCTION("""COMPUTED_VALUE"""),0.0)</f>
        <v>0</v>
      </c>
      <c r="F25" s="27" t="str">
        <f>IFERROR(__xludf.DUMMYFUNCTION("""COMPUTED_VALUE"""),"A")</f>
        <v>A</v>
      </c>
      <c r="G25" s="27" t="str">
        <f>IFERROR(__xludf.DUMMYFUNCTION("""COMPUTED_VALUE"""),"None")</f>
        <v>None</v>
      </c>
      <c r="H25" s="27" t="str">
        <f>IFERROR(__xludf.DUMMYFUNCTION("""COMPUTED_VALUE"""),"-")</f>
        <v>-</v>
      </c>
      <c r="I25" s="28" t="str">
        <f>IFERROR(__xludf.DUMMYFUNCTION("""COMPUTED_VALUE"""),"[STANDBY] Your opponent can neither SACRIFICE nor PROTECT their Spell Book from Damage during the next Battle this turn.")</f>
        <v>[STANDBY] Your opponent can neither SACRIFICE nor PROTECT their Spell Book from Damage during the next Battle this turn.</v>
      </c>
      <c r="J25" s="27" t="str">
        <f>IFERROR(__xludf.DUMMYFUNCTION("""COMPUTED_VALUE"""),"-")</f>
        <v>-</v>
      </c>
      <c r="K25" s="27" t="str">
        <f>IFERROR(__xludf.DUMMYFUNCTION("""COMPUTED_VALUE"""),"-")</f>
        <v>-</v>
      </c>
      <c r="L25" s="27" t="str">
        <f>IFERROR(__xludf.DUMMYFUNCTION("""COMPUTED_VALUE"""),"Series 1, Level 1, The Best Booster 1, Revised Edition")</f>
        <v>Series 1, Level 1, The Best Booster 1, Revised Edition</v>
      </c>
      <c r="M25" s="27" t="str">
        <f>IFERROR(__xludf.DUMMYFUNCTION("""COMPUTED_VALUE"""),"[R]")</f>
        <v>[R]</v>
      </c>
      <c r="N25" s="27" t="str">
        <f>IFERROR(__xludf.DUMMYFUNCTION("""COMPUTED_VALUE"""),"She keeps bullying Zatch. Her toy car's name is ""Je t'aime"".")</f>
        <v>She keeps bullying Zatch. Her toy car's name is "Je t'aime".</v>
      </c>
      <c r="O25" s="27"/>
      <c r="P25" s="27"/>
      <c r="Q25" s="27"/>
      <c r="R25" s="27"/>
      <c r="S25" s="27"/>
      <c r="T25" s="27"/>
      <c r="U25" s="27"/>
      <c r="V25" s="27"/>
      <c r="W25" s="27"/>
      <c r="X25" s="27"/>
      <c r="Y25" s="27"/>
      <c r="Z25" s="27"/>
    </row>
    <row r="26">
      <c r="A26" s="29" t="str">
        <f>IFERROR(__xludf.DUMMYFUNCTION("""COMPUTED_VALUE"""),"E-014")</f>
        <v>E-014</v>
      </c>
      <c r="B26" s="27" t="str">
        <f>IFERROR(__xludf.DUMMYFUNCTION("""COMPUTED_VALUE"""),"Event")</f>
        <v>Event</v>
      </c>
      <c r="C26" s="27" t="str">
        <f>IFERROR(__xludf.DUMMYFUNCTION("""COMPUTED_VALUE"""),"Ponygon")</f>
        <v>Ponygon</v>
      </c>
      <c r="D26" s="27" t="str">
        <f>IFERROR(__xludf.DUMMYFUNCTION("""COMPUTED_VALUE"""),"-")</f>
        <v>-</v>
      </c>
      <c r="E26" s="27">
        <f>IFERROR(__xludf.DUMMYFUNCTION("""COMPUTED_VALUE"""),2.0)</f>
        <v>2</v>
      </c>
      <c r="F26" s="27" t="str">
        <f>IFERROR(__xludf.DUMMYFUNCTION("""COMPUTED_VALUE"""),"A")</f>
        <v>A</v>
      </c>
      <c r="G26" s="27" t="str">
        <f>IFERROR(__xludf.DUMMYFUNCTION("""COMPUTED_VALUE"""),"None")</f>
        <v>None</v>
      </c>
      <c r="H26" s="27" t="str">
        <f>IFERROR(__xludf.DUMMYFUNCTION("""COMPUTED_VALUE"""),"-")</f>
        <v>-</v>
      </c>
      <c r="I26" s="28" t="str">
        <f>IFERROR(__xludf.DUMMYFUNCTION("""COMPUTED_VALUE"""),"Turn 1 page of your opponent's Spell Book. Then, look at the currently open pages of your opponent's Spell Book.")</f>
        <v>Turn 1 page of your opponent's Spell Book. Then, look at the currently open pages of your opponent's Spell Book.</v>
      </c>
      <c r="J26" s="27" t="str">
        <f>IFERROR(__xludf.DUMMYFUNCTION("""COMPUTED_VALUE"""),"-")</f>
        <v>-</v>
      </c>
      <c r="K26" s="27" t="str">
        <f>IFERROR(__xludf.DUMMYFUNCTION("""COMPUTED_VALUE"""),"-")</f>
        <v>-</v>
      </c>
      <c r="L26" s="27" t="str">
        <f>IFERROR(__xludf.DUMMYFUNCTION("""COMPUTED_VALUE"""),"Series 1, Level 1, The Best Booster 1, Revised Edition, File 1: Zatch Bell &amp; Ponygon")</f>
        <v>Series 1, Level 1, The Best Booster 1, Revised Edition, File 1: Zatch Bell &amp; Ponygon</v>
      </c>
      <c r="M26" s="27" t="str">
        <f>IFERROR(__xludf.DUMMYFUNCTION("""COMPUTED_VALUE"""),"[SR]")</f>
        <v>[SR]</v>
      </c>
      <c r="N26" s="27" t="str">
        <f>IFERROR(__xludf.DUMMYFUNCTION("""COMPUTED_VALUE"""),"His real name is Schneider.")</f>
        <v>His real name is Schneider.</v>
      </c>
      <c r="O26" s="27"/>
      <c r="P26" s="27"/>
      <c r="Q26" s="27"/>
      <c r="R26" s="27"/>
      <c r="S26" s="27"/>
      <c r="T26" s="27"/>
      <c r="U26" s="27"/>
      <c r="V26" s="27"/>
      <c r="W26" s="27"/>
      <c r="X26" s="27"/>
      <c r="Y26" s="27"/>
      <c r="Z26" s="27"/>
    </row>
    <row r="27">
      <c r="A27" s="29" t="str">
        <f>IFERROR(__xludf.DUMMYFUNCTION("""COMPUTED_VALUE"""),"E-015")</f>
        <v>E-015</v>
      </c>
      <c r="B27" s="27" t="str">
        <f>IFERROR(__xludf.DUMMYFUNCTION("""COMPUTED_VALUE"""),"Event")</f>
        <v>Event</v>
      </c>
      <c r="C27" s="27" t="str">
        <f>IFERROR(__xludf.DUMMYFUNCTION("""COMPUTED_VALUE"""),"Volcan 300")</f>
        <v>Volcan 300</v>
      </c>
      <c r="D27" s="27" t="str">
        <f>IFERROR(__xludf.DUMMYFUNCTION("""COMPUTED_VALUE"""),"-")</f>
        <v>-</v>
      </c>
      <c r="E27" s="27">
        <f>IFERROR(__xludf.DUMMYFUNCTION("""COMPUTED_VALUE"""),0.0)</f>
        <v>0</v>
      </c>
      <c r="F27" s="27" t="str">
        <f>IFERROR(__xludf.DUMMYFUNCTION("""COMPUTED_VALUE"""),"A")</f>
        <v>A</v>
      </c>
      <c r="G27" s="27" t="str">
        <f>IFERROR(__xludf.DUMMYFUNCTION("""COMPUTED_VALUE"""),"None")</f>
        <v>None</v>
      </c>
      <c r="H27" s="27" t="str">
        <f>IFERROR(__xludf.DUMMYFUNCTION("""COMPUTED_VALUE"""),"-")</f>
        <v>-</v>
      </c>
      <c r="I27" s="28" t="str">
        <f>IFERROR(__xludf.DUMMYFUNCTION("""COMPUTED_VALUE"""),"[STAY] Add 2000 Power to 1 of your in-play MAMODO cards until the END PHASE of the next turn.")</f>
        <v>[STAY] Add 2000 Power to 1 of your in-play MAMODO cards until the END PHASE of the next turn.</v>
      </c>
      <c r="J27" s="27" t="str">
        <f>IFERROR(__xludf.DUMMYFUNCTION("""COMPUTED_VALUE"""),"-")</f>
        <v>-</v>
      </c>
      <c r="K27" s="27" t="str">
        <f>IFERROR(__xludf.DUMMYFUNCTION("""COMPUTED_VALUE"""),"-")</f>
        <v>-</v>
      </c>
      <c r="L27" s="27" t="str">
        <f>IFERROR(__xludf.DUMMYFUNCTION("""COMPUTED_VALUE"""),"Series 1, Level 1")</f>
        <v>Series 1, Level 1</v>
      </c>
      <c r="M27" s="27" t="str">
        <f>IFERROR(__xludf.DUMMYFUNCTION("""COMPUTED_VALUE"""),"[R]")</f>
        <v>[R]</v>
      </c>
      <c r="N27" s="27" t="str">
        <f>IFERROR(__xludf.DUMMYFUNCTION("""COMPUTED_VALUE"""),"Zatch's ""super-powered"" friend that is made from an empty snack box and chopsticks.")</f>
        <v>Zatch's "super-powered" friend that is made from an empty snack box and chopsticks.</v>
      </c>
      <c r="O27" s="27"/>
      <c r="P27" s="27"/>
      <c r="Q27" s="27"/>
      <c r="R27" s="27"/>
      <c r="S27" s="27"/>
      <c r="T27" s="27"/>
      <c r="U27" s="27"/>
      <c r="V27" s="27"/>
      <c r="W27" s="27"/>
      <c r="X27" s="27"/>
      <c r="Y27" s="27"/>
      <c r="Z27" s="27"/>
    </row>
    <row r="28">
      <c r="A28" s="29" t="str">
        <f>IFERROR(__xludf.DUMMYFUNCTION("""COMPUTED_VALUE"""),"E-016")</f>
        <v>E-016</v>
      </c>
      <c r="B28" s="27" t="str">
        <f>IFERROR(__xludf.DUMMYFUNCTION("""COMPUTED_VALUE"""),"Event")</f>
        <v>Event</v>
      </c>
      <c r="C28" s="27" t="str">
        <f>IFERROR(__xludf.DUMMYFUNCTION("""COMPUTED_VALUE"""),"Mr. Takamine (Seitaro Takamine)")</f>
        <v>Mr. Takamine (Seitaro Takamine)</v>
      </c>
      <c r="D28" s="27" t="str">
        <f>IFERROR(__xludf.DUMMYFUNCTION("""COMPUTED_VALUE"""),"-")</f>
        <v>-</v>
      </c>
      <c r="E28" s="27">
        <f>IFERROR(__xludf.DUMMYFUNCTION("""COMPUTED_VALUE"""),3.0)</f>
        <v>3</v>
      </c>
      <c r="F28" s="27" t="str">
        <f>IFERROR(__xludf.DUMMYFUNCTION("""COMPUTED_VALUE"""),"A")</f>
        <v>A</v>
      </c>
      <c r="G28" s="27" t="str">
        <f>IFERROR(__xludf.DUMMYFUNCTION("""COMPUTED_VALUE"""),"None")</f>
        <v>None</v>
      </c>
      <c r="H28" s="27" t="str">
        <f>IFERROR(__xludf.DUMMYFUNCTION("""COMPUTED_VALUE"""),"-")</f>
        <v>-</v>
      </c>
      <c r="I28" s="28" t="str">
        <f>IFERROR(__xludf.DUMMYFUNCTION("""COMPUTED_VALUE"""),"Look at your opponent's Spell Book. Select 1 SPELL card from any page (except the last page) and send it to the Discard Pile. Then, reduce your MP equal to the MP cost of the selected SPELL card (if you have less MP than that card's cost, reduce your MP t"&amp;"o 0).")</f>
        <v>Look at your opponent's Spell Book. Select 1 SPELL card from any page (except the last page) and send it to the Discard Pile. Then, reduce your MP equal to the MP cost of the selected SPELL card (if you have less MP than that card's cost, reduce your MP to 0).</v>
      </c>
      <c r="J28" s="27" t="str">
        <f>IFERROR(__xludf.DUMMYFUNCTION("""COMPUTED_VALUE"""),"-")</f>
        <v>-</v>
      </c>
      <c r="K28" s="27" t="str">
        <f>IFERROR(__xludf.DUMMYFUNCTION("""COMPUTED_VALUE"""),"-")</f>
        <v>-</v>
      </c>
      <c r="L28" s="27" t="str">
        <f>IFERROR(__xludf.DUMMYFUNCTION("""COMPUTED_VALUE"""),"Series 1, Level 2, The Best Booster 2")</f>
        <v>Series 1, Level 2, The Best Booster 2</v>
      </c>
      <c r="M28" s="27" t="str">
        <f>IFERROR(__xludf.DUMMYFUNCTION("""COMPUTED_VALUE"""),"[U]")</f>
        <v>[U]</v>
      </c>
      <c r="N28" s="27" t="str">
        <f>IFERROR(__xludf.DUMMYFUNCTION("""COMPUTED_VALUE"""),"Kiyo's father. He found and rescued Zatch in a forest in England.")</f>
        <v>Kiyo's father. He found and rescued Zatch in a forest in England.</v>
      </c>
      <c r="O28" s="27"/>
      <c r="P28" s="27"/>
      <c r="Q28" s="27"/>
      <c r="R28" s="27"/>
      <c r="S28" s="27"/>
      <c r="T28" s="27"/>
      <c r="U28" s="27"/>
      <c r="V28" s="27"/>
      <c r="W28" s="27"/>
      <c r="X28" s="27"/>
      <c r="Y28" s="27"/>
      <c r="Z28" s="27"/>
    </row>
    <row r="29">
      <c r="A29" s="29" t="str">
        <f>IFERROR(__xludf.DUMMYFUNCTION("""COMPUTED_VALUE"""),"E-017")</f>
        <v>E-017</v>
      </c>
      <c r="B29" s="27" t="str">
        <f>IFERROR(__xludf.DUMMYFUNCTION("""COMPUTED_VALUE"""),"Event")</f>
        <v>Event</v>
      </c>
      <c r="C29" s="27" t="str">
        <f>IFERROR(__xludf.DUMMYFUNCTION("""COMPUTED_VALUE"""),"Mrs. Takamine (Hana Takamine)")</f>
        <v>Mrs. Takamine (Hana Takamine)</v>
      </c>
      <c r="D29" s="27" t="str">
        <f>IFERROR(__xludf.DUMMYFUNCTION("""COMPUTED_VALUE"""),"-")</f>
        <v>-</v>
      </c>
      <c r="E29" s="27">
        <f>IFERROR(__xludf.DUMMYFUNCTION("""COMPUTED_VALUE"""),3.0)</f>
        <v>3</v>
      </c>
      <c r="F29" s="27" t="str">
        <f>IFERROR(__xludf.DUMMYFUNCTION("""COMPUTED_VALUE"""),"A")</f>
        <v>A</v>
      </c>
      <c r="G29" s="27" t="str">
        <f>IFERROR(__xludf.DUMMYFUNCTION("""COMPUTED_VALUE"""),"None")</f>
        <v>None</v>
      </c>
      <c r="H29" s="27" t="str">
        <f>IFERROR(__xludf.DUMMYFUNCTION("""COMPUTED_VALUE"""),"-")</f>
        <v>-</v>
      </c>
      <c r="I29" s="28" t="str">
        <f>IFERROR(__xludf.DUMMYFUNCTION("""COMPUTED_VALUE"""),"Look at your opponent's Spell Book. Select 1 EVENT card from any page and send it to the Discard Pile. Then, reduce your MP equal to the MP cost of the selected EVENT card (if you have less MP than that EVENT card's cost, reduce your MP to 0).")</f>
        <v>Look at your opponent's Spell Book. Select 1 EVENT card from any page and send it to the Discard Pile. Then, reduce your MP equal to the MP cost of the selected EVENT card (if you have less MP than that EVENT card's cost, reduce your MP to 0).</v>
      </c>
      <c r="J29" s="27" t="str">
        <f>IFERROR(__xludf.DUMMYFUNCTION("""COMPUTED_VALUE"""),"-")</f>
        <v>-</v>
      </c>
      <c r="K29" s="27" t="str">
        <f>IFERROR(__xludf.DUMMYFUNCTION("""COMPUTED_VALUE"""),"-")</f>
        <v>-</v>
      </c>
      <c r="L29" s="27" t="str">
        <f>IFERROR(__xludf.DUMMYFUNCTION("""COMPUTED_VALUE"""),"Series 1, Level 2, The Best Booster 2")</f>
        <v>Series 1, Level 2, The Best Booster 2</v>
      </c>
      <c r="M29" s="27" t="str">
        <f>IFERROR(__xludf.DUMMYFUNCTION("""COMPUTED_VALUE"""),"[C]")</f>
        <v>[C]</v>
      </c>
      <c r="N29" s="27" t="str">
        <f>IFERROR(__xludf.DUMMYFUNCTION("""COMPUTED_VALUE"""),"Kiyo's mother. She is aways concerned about Kiyo and Zatch.")</f>
        <v>Kiyo's mother. She is aways concerned about Kiyo and Zatch.</v>
      </c>
      <c r="O29" s="27"/>
      <c r="P29" s="27"/>
      <c r="Q29" s="27"/>
      <c r="R29" s="27"/>
      <c r="S29" s="27"/>
      <c r="T29" s="27"/>
      <c r="U29" s="27"/>
      <c r="V29" s="27"/>
      <c r="W29" s="27"/>
      <c r="X29" s="27"/>
      <c r="Y29" s="27"/>
      <c r="Z29" s="27"/>
    </row>
    <row r="30">
      <c r="A30" s="29" t="str">
        <f>IFERROR(__xludf.DUMMYFUNCTION("""COMPUTED_VALUE"""),"E-018e")</f>
        <v>E-018e</v>
      </c>
      <c r="B30" s="27" t="str">
        <f>IFERROR(__xludf.DUMMYFUNCTION("""COMPUTED_VALUE"""),"Event")</f>
        <v>Event</v>
      </c>
      <c r="C30" s="27" t="str">
        <f>IFERROR(__xludf.DUMMYFUNCTION("""COMPUTED_VALUE"""),"Folgore's Dance")</f>
        <v>Folgore's Dance</v>
      </c>
      <c r="D30" s="27" t="str">
        <f>IFERROR(__xludf.DUMMYFUNCTION("""COMPUTED_VALUE"""),"-")</f>
        <v>-</v>
      </c>
      <c r="E30" s="27">
        <f>IFERROR(__xludf.DUMMYFUNCTION("""COMPUTED_VALUE"""),2.0)</f>
        <v>2</v>
      </c>
      <c r="F30" s="27" t="str">
        <f>IFERROR(__xludf.DUMMYFUNCTION("""COMPUTED_VALUE"""),"AD")</f>
        <v>AD</v>
      </c>
      <c r="G30" s="27" t="str">
        <f>IFERROR(__xludf.DUMMYFUNCTION("""COMPUTED_VALUE"""),"None")</f>
        <v>None</v>
      </c>
      <c r="H30" s="27" t="str">
        <f>IFERROR(__xludf.DUMMYFUNCTION("""COMPUTED_VALUE"""),"-")</f>
        <v>-</v>
      </c>
      <c r="I30" s="28" t="str">
        <f>IFERROR(__xludf.DUMMYFUNCTION("""COMPUTED_VALUE"""),"Reduce your opponent's MP by 4.")</f>
        <v>Reduce your opponent's MP by 4.</v>
      </c>
      <c r="J30" s="27" t="str">
        <f>IFERROR(__xludf.DUMMYFUNCTION("""COMPUTED_VALUE"""),"-")</f>
        <v>-</v>
      </c>
      <c r="K30" s="27" t="str">
        <f>IFERROR(__xludf.DUMMYFUNCTION("""COMPUTED_VALUE"""),"-")</f>
        <v>-</v>
      </c>
      <c r="L30" s="27" t="str">
        <f>IFERROR(__xludf.DUMMYFUNCTION("""COMPUTED_VALUE"""),"Series 1, Level 2, The Best Booster 1, Revised Edition")</f>
        <v>Series 1, Level 2, The Best Booster 1, Revised Edition</v>
      </c>
      <c r="M30" s="27" t="str">
        <f>IFERROR(__xludf.DUMMYFUNCTION("""COMPUTED_VALUE"""),"[R]")</f>
        <v>[R]</v>
      </c>
      <c r="N30" s="27" t="str">
        <f>IFERROR(__xludf.DUMMYFUNCTION("""COMPUTED_VALUE"""),"""Hey, Hey, Let's Dance all Day. Boing Boing, Boogie, Boogie, Boogie.""")</f>
        <v>"Hey, Hey, Let's Dance all Day. Boing Boing, Boogie, Boogie, Boogie."</v>
      </c>
      <c r="O30" s="27"/>
      <c r="P30" s="27"/>
      <c r="Q30" s="27"/>
      <c r="R30" s="27"/>
      <c r="S30" s="27"/>
      <c r="T30" s="27"/>
      <c r="U30" s="27"/>
      <c r="V30" s="27"/>
      <c r="W30" s="27"/>
      <c r="X30" s="27"/>
      <c r="Y30" s="27"/>
      <c r="Z30" s="27"/>
    </row>
    <row r="31">
      <c r="A31" s="29" t="str">
        <f>IFERROR(__xludf.DUMMYFUNCTION("""COMPUTED_VALUE"""),"E-018j")</f>
        <v>E-018j</v>
      </c>
      <c r="B31" s="27" t="str">
        <f>IFERROR(__xludf.DUMMYFUNCTION("""COMPUTED_VALUE"""),"Event")</f>
        <v>Event</v>
      </c>
      <c r="C31" s="27" t="str">
        <f>IFERROR(__xludf.DUMMYFUNCTION("""COMPUTED_VALUE"""),"Folgore's Dance")</f>
        <v>Folgore's Dance</v>
      </c>
      <c r="D31" s="27" t="str">
        <f>IFERROR(__xludf.DUMMYFUNCTION("""COMPUTED_VALUE"""),"-")</f>
        <v>-</v>
      </c>
      <c r="E31" s="27">
        <f>IFERROR(__xludf.DUMMYFUNCTION("""COMPUTED_VALUE"""),2.0)</f>
        <v>2</v>
      </c>
      <c r="F31" s="27" t="str">
        <f>IFERROR(__xludf.DUMMYFUNCTION("""COMPUTED_VALUE"""),"AD")</f>
        <v>AD</v>
      </c>
      <c r="G31" s="27" t="str">
        <f>IFERROR(__xludf.DUMMYFUNCTION("""COMPUTED_VALUE"""),"None")</f>
        <v>None</v>
      </c>
      <c r="H31" s="27" t="str">
        <f>IFERROR(__xludf.DUMMYFUNCTION("""COMPUTED_VALUE"""),"-")</f>
        <v>-</v>
      </c>
      <c r="I31" s="28" t="str">
        <f>IFERROR(__xludf.DUMMYFUNCTION("""COMPUTED_VALUE"""),"Reduce your opponent's MP by 4. If you applied an effect that reduced your opponent's MP on the previous turn, no MP is reduced.")</f>
        <v>Reduce your opponent's MP by 4. If you applied an effect that reduced your opponent's MP on the previous turn, no MP is reduced.</v>
      </c>
      <c r="J31" s="27" t="str">
        <f>IFERROR(__xludf.DUMMYFUNCTION("""COMPUTED_VALUE"""),"-")</f>
        <v>-</v>
      </c>
      <c r="K31" s="27" t="str">
        <f>IFERROR(__xludf.DUMMYFUNCTION("""COMPUTED_VALUE"""),"-")</f>
        <v>-</v>
      </c>
      <c r="L31" s="27" t="str">
        <f>IFERROR(__xludf.DUMMYFUNCTION("""COMPUTED_VALUE"""),"Series 1, Level 2, The Best Booster 1, Revised Edition")</f>
        <v>Series 1, Level 2, The Best Booster 1, Revised Edition</v>
      </c>
      <c r="M31" s="27" t="str">
        <f>IFERROR(__xludf.DUMMYFUNCTION("""COMPUTED_VALUE"""),"[R]")</f>
        <v>[R]</v>
      </c>
      <c r="N31" s="27" t="str">
        <f>IFERROR(__xludf.DUMMYFUNCTION("""COMPUTED_VALUE"""),"""Hey, Hey, Let's Dance all Day. Boing Boing, Boogie, Boogie, Boogie.""")</f>
        <v>"Hey, Hey, Let's Dance all Day. Boing Boing, Boogie, Boogie, Boogie."</v>
      </c>
      <c r="O31" s="27"/>
      <c r="P31" s="27"/>
      <c r="Q31" s="27"/>
      <c r="R31" s="27"/>
      <c r="S31" s="27"/>
      <c r="T31" s="27"/>
      <c r="U31" s="27"/>
      <c r="V31" s="27"/>
      <c r="W31" s="27"/>
      <c r="X31" s="27"/>
      <c r="Y31" s="27"/>
      <c r="Z31" s="27"/>
    </row>
    <row r="32">
      <c r="A32" s="29" t="str">
        <f>IFERROR(__xludf.DUMMYFUNCTION("""COMPUTED_VALUE"""),"E-019")</f>
        <v>E-019</v>
      </c>
      <c r="B32" s="27" t="str">
        <f>IFERROR(__xludf.DUMMYFUNCTION("""COMPUTED_VALUE"""),"Event")</f>
        <v>Event</v>
      </c>
      <c r="C32" s="27" t="str">
        <f>IFERROR(__xludf.DUMMYFUNCTION("""COMPUTED_VALUE"""),"Kiyo's Anger")</f>
        <v>Kiyo's Anger</v>
      </c>
      <c r="D32" s="27" t="str">
        <f>IFERROR(__xludf.DUMMYFUNCTION("""COMPUTED_VALUE"""),"-")</f>
        <v>-</v>
      </c>
      <c r="E32" s="27">
        <f>IFERROR(__xludf.DUMMYFUNCTION("""COMPUTED_VALUE"""),0.0)</f>
        <v>0</v>
      </c>
      <c r="F32" s="27" t="str">
        <f>IFERROR(__xludf.DUMMYFUNCTION("""COMPUTED_VALUE"""),"A")</f>
        <v>A</v>
      </c>
      <c r="G32" s="27" t="str">
        <f>IFERROR(__xludf.DUMMYFUNCTION("""COMPUTED_VALUE"""),"None")</f>
        <v>None</v>
      </c>
      <c r="H32" s="27" t="str">
        <f>IFERROR(__xludf.DUMMYFUNCTION("""COMPUTED_VALUE"""),"-")</f>
        <v>-</v>
      </c>
      <c r="I32" s="28" t="str">
        <f>IFERROR(__xludf.DUMMYFUNCTION("""COMPUTED_VALUE"""),"Send 1 of your in-play MAMODO cards to the Discard Pile.")</f>
        <v>Send 1 of your in-play MAMODO cards to the Discard Pile.</v>
      </c>
      <c r="J32" s="27" t="str">
        <f>IFERROR(__xludf.DUMMYFUNCTION("""COMPUTED_VALUE"""),"-")</f>
        <v>-</v>
      </c>
      <c r="K32" s="27" t="str">
        <f>IFERROR(__xludf.DUMMYFUNCTION("""COMPUTED_VALUE"""),"-")</f>
        <v>-</v>
      </c>
      <c r="L32" s="27" t="str">
        <f>IFERROR(__xludf.DUMMYFUNCTION("""COMPUTED_VALUE"""),"Series 1, Level 2, The Best Booster 1, Revised Edition")</f>
        <v>Series 1, Level 2, The Best Booster 1, Revised Edition</v>
      </c>
      <c r="M32" s="27" t="str">
        <f>IFERROR(__xludf.DUMMYFUNCTION("""COMPUTED_VALUE"""),"[U]")</f>
        <v>[U]</v>
      </c>
      <c r="N32" s="27" t="str">
        <f>IFERROR(__xludf.DUMMYFUNCTION("""COMPUTED_VALUE"""),"""Guys...that's enough.""")</f>
        <v>"Guys...that's enough."</v>
      </c>
      <c r="O32" s="27"/>
      <c r="P32" s="27"/>
      <c r="Q32" s="27"/>
      <c r="R32" s="27"/>
      <c r="S32" s="27"/>
      <c r="T32" s="27"/>
      <c r="U32" s="27"/>
      <c r="V32" s="27"/>
      <c r="W32" s="27"/>
      <c r="X32" s="27"/>
      <c r="Y32" s="27"/>
      <c r="Z32" s="27"/>
    </row>
    <row r="33">
      <c r="A33" s="29" t="str">
        <f>IFERROR(__xludf.DUMMYFUNCTION("""COMPUTED_VALUE"""),"E-020")</f>
        <v>E-020</v>
      </c>
      <c r="B33" s="27" t="str">
        <f>IFERROR(__xludf.DUMMYFUNCTION("""COMPUTED_VALUE"""),"Event")</f>
        <v>Event</v>
      </c>
      <c r="C33" s="27" t="str">
        <f>IFERROR(__xludf.DUMMYFUNCTION("""COMPUTED_VALUE"""),"Megumi's Concert")</f>
        <v>Megumi's Concert</v>
      </c>
      <c r="D33" s="27" t="str">
        <f>IFERROR(__xludf.DUMMYFUNCTION("""COMPUTED_VALUE"""),"-")</f>
        <v>-</v>
      </c>
      <c r="E33" s="27">
        <f>IFERROR(__xludf.DUMMYFUNCTION("""COMPUTED_VALUE"""),0.0)</f>
        <v>0</v>
      </c>
      <c r="F33" s="27" t="str">
        <f>IFERROR(__xludf.DUMMYFUNCTION("""COMPUTED_VALUE"""),"A")</f>
        <v>A</v>
      </c>
      <c r="G33" s="27" t="str">
        <f>IFERROR(__xludf.DUMMYFUNCTION("""COMPUTED_VALUE"""),"None")</f>
        <v>None</v>
      </c>
      <c r="H33" s="27" t="str">
        <f>IFERROR(__xludf.DUMMYFUNCTION("""COMPUTED_VALUE"""),"-")</f>
        <v>-</v>
      </c>
      <c r="I33" s="28" t="str">
        <f>IFERROR(__xludf.DUMMYFUNCTION("""COMPUTED_VALUE"""),"Apply the following effects in order: ● Get 3 MP ● Your opponent flips a coin; if it's heads, your opponent gets 3 MP.")</f>
        <v>Apply the following effects in order: ● Get 3 MP ● Your opponent flips a coin; if it's heads, your opponent gets 3 MP.</v>
      </c>
      <c r="J33" s="27" t="str">
        <f>IFERROR(__xludf.DUMMYFUNCTION("""COMPUTED_VALUE"""),"-")</f>
        <v>-</v>
      </c>
      <c r="K33" s="27" t="str">
        <f>IFERROR(__xludf.DUMMYFUNCTION("""COMPUTED_VALUE"""),"-")</f>
        <v>-</v>
      </c>
      <c r="L33" s="27" t="str">
        <f>IFERROR(__xludf.DUMMYFUNCTION("""COMPUTED_VALUE"""),"Series 1, Level 2, The Best Booster 1")</f>
        <v>Series 1, Level 2, The Best Booster 1</v>
      </c>
      <c r="M33" s="27" t="str">
        <f>IFERROR(__xludf.DUMMYFUNCTION("""COMPUTED_VALUE"""),"[R]")</f>
        <v>[R]</v>
      </c>
      <c r="N33" s="27" t="str">
        <f>IFERROR(__xludf.DUMMYFUNCTION("""COMPUTED_VALUE"""),"""I sing because I want to make people happy.""")</f>
        <v>"I sing because I want to make people happy."</v>
      </c>
      <c r="O33" s="27"/>
      <c r="P33" s="27"/>
      <c r="Q33" s="27"/>
      <c r="R33" s="27"/>
      <c r="S33" s="27"/>
      <c r="T33" s="27"/>
      <c r="U33" s="27"/>
      <c r="V33" s="27"/>
      <c r="W33" s="27"/>
      <c r="X33" s="27"/>
      <c r="Y33" s="27"/>
      <c r="Z33" s="27"/>
    </row>
    <row r="34">
      <c r="A34" s="29" t="str">
        <f>IFERROR(__xludf.DUMMYFUNCTION("""COMPUTED_VALUE"""),"E-021e")</f>
        <v>E-021e</v>
      </c>
      <c r="B34" s="27" t="str">
        <f>IFERROR(__xludf.DUMMYFUNCTION("""COMPUTED_VALUE"""),"Event")</f>
        <v>Event</v>
      </c>
      <c r="C34" s="27" t="str">
        <f>IFERROR(__xludf.DUMMYFUNCTION("""COMPUTED_VALUE"""),"Big Relief!")</f>
        <v>Big Relief!</v>
      </c>
      <c r="D34" s="27" t="str">
        <f>IFERROR(__xludf.DUMMYFUNCTION("""COMPUTED_VALUE"""),"-")</f>
        <v>-</v>
      </c>
      <c r="E34" s="27">
        <f>IFERROR(__xludf.DUMMYFUNCTION("""COMPUTED_VALUE"""),0.0)</f>
        <v>0</v>
      </c>
      <c r="F34" s="27" t="str">
        <f>IFERROR(__xludf.DUMMYFUNCTION("""COMPUTED_VALUE"""),"A")</f>
        <v>A</v>
      </c>
      <c r="G34" s="27" t="str">
        <f>IFERROR(__xludf.DUMMYFUNCTION("""COMPUTED_VALUE"""),"None")</f>
        <v>None</v>
      </c>
      <c r="H34" s="27" t="str">
        <f>IFERROR(__xludf.DUMMYFUNCTION("""COMPUTED_VALUE"""),"-")</f>
        <v>-</v>
      </c>
      <c r="I34" s="28" t="str">
        <f>IFERROR(__xludf.DUMMYFUNCTION("""COMPUTED_VALUE"""),"This EVENT card can be played only when there are than 2 MAMODO cards in play. Apply 1 or both of the following effects: ● Turn 1 of your MAMODO cards to Normal Status. ● Get 2 MP.")</f>
        <v>This EVENT card can be played only when there are than 2 MAMODO cards in play. Apply 1 or both of the following effects: ● Turn 1 of your MAMODO cards to Normal Status. ● Get 2 MP.</v>
      </c>
      <c r="J34" s="27" t="str">
        <f>IFERROR(__xludf.DUMMYFUNCTION("""COMPUTED_VALUE"""),"-")</f>
        <v>-</v>
      </c>
      <c r="K34" s="27" t="str">
        <f>IFERROR(__xludf.DUMMYFUNCTION("""COMPUTED_VALUE"""),"-")</f>
        <v>-</v>
      </c>
      <c r="L34" s="27" t="str">
        <f>IFERROR(__xludf.DUMMYFUNCTION("""COMPUTED_VALUE"""),"Series 1, Level 2, The Best Booster 1")</f>
        <v>Series 1, Level 2, The Best Booster 1</v>
      </c>
      <c r="M34" s="27" t="str">
        <f>IFERROR(__xludf.DUMMYFUNCTION("""COMPUTED_VALUE"""),"[R]")</f>
        <v>[R]</v>
      </c>
      <c r="N34" s="27" t="str">
        <f>IFERROR(__xludf.DUMMYFUNCTION("""COMPUTED_VALUE"""),"""Finally, there is someone I can trust in this battle...""")</f>
        <v>"Finally, there is someone I can trust in this battle..."</v>
      </c>
      <c r="O34" s="27"/>
      <c r="P34" s="27"/>
      <c r="Q34" s="27"/>
      <c r="R34" s="27"/>
      <c r="S34" s="27"/>
      <c r="T34" s="27"/>
      <c r="U34" s="27"/>
      <c r="V34" s="27"/>
      <c r="W34" s="27"/>
      <c r="X34" s="27"/>
      <c r="Y34" s="27"/>
      <c r="Z34" s="27"/>
    </row>
    <row r="35">
      <c r="A35" s="29" t="str">
        <f>IFERROR(__xludf.DUMMYFUNCTION("""COMPUTED_VALUE"""),"E-021j")</f>
        <v>E-021j</v>
      </c>
      <c r="B35" s="27" t="str">
        <f>IFERROR(__xludf.DUMMYFUNCTION("""COMPUTED_VALUE"""),"Event")</f>
        <v>Event</v>
      </c>
      <c r="C35" s="27" t="str">
        <f>IFERROR(__xludf.DUMMYFUNCTION("""COMPUTED_VALUE"""),"Big Relief!")</f>
        <v>Big Relief!</v>
      </c>
      <c r="D35" s="27" t="str">
        <f>IFERROR(__xludf.DUMMYFUNCTION("""COMPUTED_VALUE"""),"-")</f>
        <v>-</v>
      </c>
      <c r="E35" s="27">
        <f>IFERROR(__xludf.DUMMYFUNCTION("""COMPUTED_VALUE"""),0.0)</f>
        <v>0</v>
      </c>
      <c r="F35" s="27" t="str">
        <f>IFERROR(__xludf.DUMMYFUNCTION("""COMPUTED_VALUE"""),"A")</f>
        <v>A</v>
      </c>
      <c r="G35" s="27" t="str">
        <f>IFERROR(__xludf.DUMMYFUNCTION("""COMPUTED_VALUE"""),"None")</f>
        <v>None</v>
      </c>
      <c r="H35" s="27" t="str">
        <f>IFERROR(__xludf.DUMMYFUNCTION("""COMPUTED_VALUE"""),"-")</f>
        <v>-</v>
      </c>
      <c r="I35" s="28" t="str">
        <f>IFERROR(__xludf.DUMMYFUNCTION("""COMPUTED_VALUE"""),"This EVENT card can be played only when you have 2 or more MAMODO cards in play. Apply 1 or both of the following effects: ● Turn 1 of your Injured MAMODO cards to Normal Status. ● Get 2 MP.")</f>
        <v>This EVENT card can be played only when you have 2 or more MAMODO cards in play. Apply 1 or both of the following effects: ● Turn 1 of your Injured MAMODO cards to Normal Status. ● Get 2 MP.</v>
      </c>
      <c r="J35" s="27" t="str">
        <f>IFERROR(__xludf.DUMMYFUNCTION("""COMPUTED_VALUE"""),"-")</f>
        <v>-</v>
      </c>
      <c r="K35" s="27" t="str">
        <f>IFERROR(__xludf.DUMMYFUNCTION("""COMPUTED_VALUE"""),"-")</f>
        <v>-</v>
      </c>
      <c r="L35" s="27" t="str">
        <f>IFERROR(__xludf.DUMMYFUNCTION("""COMPUTED_VALUE"""),"Series 1, Level 2, The Best Booster 1")</f>
        <v>Series 1, Level 2, The Best Booster 1</v>
      </c>
      <c r="M35" s="27" t="str">
        <f>IFERROR(__xludf.DUMMYFUNCTION("""COMPUTED_VALUE"""),"[R]")</f>
        <v>[R]</v>
      </c>
      <c r="N35" s="27" t="str">
        <f>IFERROR(__xludf.DUMMYFUNCTION("""COMPUTED_VALUE"""),"""Finally, there is someone I can trust in this battle...""")</f>
        <v>"Finally, there is someone I can trust in this battle..."</v>
      </c>
      <c r="O35" s="27"/>
      <c r="P35" s="27"/>
      <c r="Q35" s="27"/>
      <c r="R35" s="27"/>
      <c r="S35" s="27"/>
      <c r="T35" s="27"/>
      <c r="U35" s="27"/>
      <c r="V35" s="27"/>
      <c r="W35" s="27"/>
      <c r="X35" s="27"/>
      <c r="Y35" s="27"/>
      <c r="Z35" s="27"/>
    </row>
    <row r="36">
      <c r="A36" s="29" t="str">
        <f>IFERROR(__xludf.DUMMYFUNCTION("""COMPUTED_VALUE"""),"E-022e")</f>
        <v>E-022e</v>
      </c>
      <c r="B36" s="27" t="str">
        <f>IFERROR(__xludf.DUMMYFUNCTION("""COMPUTED_VALUE"""),"Event")</f>
        <v>Event</v>
      </c>
      <c r="C36" s="27" t="str">
        <f>IFERROR(__xludf.DUMMYFUNCTION("""COMPUTED_VALUE"""),"Kory")</f>
        <v>Kory</v>
      </c>
      <c r="D36" s="27" t="str">
        <f>IFERROR(__xludf.DUMMYFUNCTION("""COMPUTED_VALUE"""),"-")</f>
        <v>-</v>
      </c>
      <c r="E36" s="27">
        <f>IFERROR(__xludf.DUMMYFUNCTION("""COMPUTED_VALUE"""),0.0)</f>
        <v>0</v>
      </c>
      <c r="F36" s="27" t="str">
        <f>IFERROR(__xludf.DUMMYFUNCTION("""COMPUTED_VALUE"""),"A")</f>
        <v>A</v>
      </c>
      <c r="G36" s="27" t="str">
        <f>IFERROR(__xludf.DUMMYFUNCTION("""COMPUTED_VALUE"""),"None")</f>
        <v>None</v>
      </c>
      <c r="H36" s="27" t="str">
        <f>IFERROR(__xludf.DUMMYFUNCTION("""COMPUTED_VALUE"""),"-")</f>
        <v>-</v>
      </c>
      <c r="I36" s="28" t="str">
        <f>IFERROR(__xludf.DUMMYFUNCTION("""COMPUTED_VALUE"""),"Flip a coin; if it's heads, select 1 PARTNER card in your Discard Pile and put it in play.")</f>
        <v>Flip a coin; if it's heads, select 1 PARTNER card in your Discard Pile and put it in play.</v>
      </c>
      <c r="J36" s="27" t="str">
        <f>IFERROR(__xludf.DUMMYFUNCTION("""COMPUTED_VALUE"""),"-")</f>
        <v>-</v>
      </c>
      <c r="K36" s="27" t="str">
        <f>IFERROR(__xludf.DUMMYFUNCTION("""COMPUTED_VALUE"""),"-")</f>
        <v>-</v>
      </c>
      <c r="L36" s="27" t="str">
        <f>IFERROR(__xludf.DUMMYFUNCTION("""COMPUTED_VALUE"""),"Series 1, Level 2, The Best Booster 2")</f>
        <v>Series 1, Level 2, The Best Booster 2</v>
      </c>
      <c r="M36" s="27" t="str">
        <f>IFERROR(__xludf.DUMMYFUNCTION("""COMPUTED_VALUE"""),"[C]")</f>
        <v>[C]</v>
      </c>
      <c r="N36" s="27" t="str">
        <f>IFERROR(__xludf.DUMMYFUNCTION("""COMPUTED_VALUE"""),"""Hey, you wanna be my friend?""")</f>
        <v>"Hey, you wanna be my friend?"</v>
      </c>
      <c r="O36" s="27"/>
      <c r="P36" s="27"/>
      <c r="Q36" s="27"/>
      <c r="R36" s="27"/>
      <c r="S36" s="27"/>
      <c r="T36" s="27"/>
      <c r="U36" s="27"/>
      <c r="V36" s="27"/>
      <c r="W36" s="27"/>
      <c r="X36" s="27"/>
      <c r="Y36" s="27"/>
      <c r="Z36" s="27"/>
    </row>
    <row r="37">
      <c r="A37" s="29" t="str">
        <f>IFERROR(__xludf.DUMMYFUNCTION("""COMPUTED_VALUE"""),"E-022j")</f>
        <v>E-022j</v>
      </c>
      <c r="B37" s="27" t="str">
        <f>IFERROR(__xludf.DUMMYFUNCTION("""COMPUTED_VALUE"""),"Event")</f>
        <v>Event</v>
      </c>
      <c r="C37" s="27" t="str">
        <f>IFERROR(__xludf.DUMMYFUNCTION("""COMPUTED_VALUE"""),"Kory")</f>
        <v>Kory</v>
      </c>
      <c r="D37" s="27" t="str">
        <f>IFERROR(__xludf.DUMMYFUNCTION("""COMPUTED_VALUE"""),"-")</f>
        <v>-</v>
      </c>
      <c r="E37" s="27">
        <f>IFERROR(__xludf.DUMMYFUNCTION("""COMPUTED_VALUE"""),0.0)</f>
        <v>0</v>
      </c>
      <c r="F37" s="27" t="str">
        <f>IFERROR(__xludf.DUMMYFUNCTION("""COMPUTED_VALUE"""),"A")</f>
        <v>A</v>
      </c>
      <c r="G37" s="27" t="str">
        <f>IFERROR(__xludf.DUMMYFUNCTION("""COMPUTED_VALUE"""),"None")</f>
        <v>None</v>
      </c>
      <c r="H37" s="27" t="str">
        <f>IFERROR(__xludf.DUMMYFUNCTION("""COMPUTED_VALUE"""),"-")</f>
        <v>-</v>
      </c>
      <c r="I37" s="28" t="str">
        <f>IFERROR(__xludf.DUMMYFUNCTION("""COMPUTED_VALUE"""),"Flip a coin; if it's heads, select 1 PARTNER card in your Discard Pile that was sent to the Discard Pile on this turn and put it in play.")</f>
        <v>Flip a coin; if it's heads, select 1 PARTNER card in your Discard Pile that was sent to the Discard Pile on this turn and put it in play.</v>
      </c>
      <c r="J37" s="27" t="str">
        <f>IFERROR(__xludf.DUMMYFUNCTION("""COMPUTED_VALUE"""),"-")</f>
        <v>-</v>
      </c>
      <c r="K37" s="27" t="str">
        <f>IFERROR(__xludf.DUMMYFUNCTION("""COMPUTED_VALUE"""),"-")</f>
        <v>-</v>
      </c>
      <c r="L37" s="27" t="str">
        <f>IFERROR(__xludf.DUMMYFUNCTION("""COMPUTED_VALUE"""),"Series 1, Level 2, The Best Booster 2")</f>
        <v>Series 1, Level 2, The Best Booster 2</v>
      </c>
      <c r="M37" s="27" t="str">
        <f>IFERROR(__xludf.DUMMYFUNCTION("""COMPUTED_VALUE"""),"[C]")</f>
        <v>[C]</v>
      </c>
      <c r="N37" s="27" t="str">
        <f>IFERROR(__xludf.DUMMYFUNCTION("""COMPUTED_VALUE"""),"""Hey, you wanna be my friend?""")</f>
        <v>"Hey, you wanna be my friend?"</v>
      </c>
      <c r="O37" s="27"/>
      <c r="P37" s="27"/>
      <c r="Q37" s="27"/>
      <c r="R37" s="27"/>
      <c r="S37" s="27"/>
      <c r="T37" s="27"/>
      <c r="U37" s="27"/>
      <c r="V37" s="27"/>
      <c r="W37" s="27"/>
      <c r="X37" s="27"/>
      <c r="Y37" s="27"/>
      <c r="Z37" s="27"/>
    </row>
    <row r="38">
      <c r="A38" s="29" t="str">
        <f>IFERROR(__xludf.DUMMYFUNCTION("""COMPUTED_VALUE"""),"E-023")</f>
        <v>E-023</v>
      </c>
      <c r="B38" s="27" t="str">
        <f>IFERROR(__xludf.DUMMYFUNCTION("""COMPUTED_VALUE"""),"Event")</f>
        <v>Event</v>
      </c>
      <c r="C38" s="27" t="str">
        <f>IFERROR(__xludf.DUMMYFUNCTION("""COMPUTED_VALUE"""),"Purpose of the Battle")</f>
        <v>Purpose of the Battle</v>
      </c>
      <c r="D38" s="27" t="str">
        <f>IFERROR(__xludf.DUMMYFUNCTION("""COMPUTED_VALUE"""),"-")</f>
        <v>-</v>
      </c>
      <c r="E38" s="27">
        <f>IFERROR(__xludf.DUMMYFUNCTION("""COMPUTED_VALUE"""),0.0)</f>
        <v>0</v>
      </c>
      <c r="F38" s="27" t="str">
        <f>IFERROR(__xludf.DUMMYFUNCTION("""COMPUTED_VALUE"""),"A")</f>
        <v>A</v>
      </c>
      <c r="G38" s="27" t="str">
        <f>IFERROR(__xludf.DUMMYFUNCTION("""COMPUTED_VALUE"""),"None")</f>
        <v>None</v>
      </c>
      <c r="H38" s="27" t="str">
        <f>IFERROR(__xludf.DUMMYFUNCTION("""COMPUTED_VALUE"""),"-")</f>
        <v>-</v>
      </c>
      <c r="I38" s="28" t="str">
        <f>IFERROR(__xludf.DUMMYFUNCTION("""COMPUTED_VALUE"""),"[STAY] Add 2000 Power to all of your MAMODO cards with a PARTNER card attached until the END PHASE of the next turn.")</f>
        <v>[STAY] Add 2000 Power to all of your MAMODO cards with a PARTNER card attached until the END PHASE of the next turn.</v>
      </c>
      <c r="J38" s="27" t="str">
        <f>IFERROR(__xludf.DUMMYFUNCTION("""COMPUTED_VALUE"""),"-")</f>
        <v>-</v>
      </c>
      <c r="K38" s="27" t="str">
        <f>IFERROR(__xludf.DUMMYFUNCTION("""COMPUTED_VALUE"""),"-")</f>
        <v>-</v>
      </c>
      <c r="L38" s="27" t="str">
        <f>IFERROR(__xludf.DUMMYFUNCTION("""COMPUTED_VALUE"""),"Series 1, Level 2")</f>
        <v>Series 1, Level 2</v>
      </c>
      <c r="M38" s="27" t="str">
        <f>IFERROR(__xludf.DUMMYFUNCTION("""COMPUTED_VALUE"""),"[C]")</f>
        <v>[C]</v>
      </c>
      <c r="N38" s="27" t="str">
        <f>IFERROR(__xludf.DUMMYFUNCTION("""COMPUTED_VALUE"""),"""Why do I have to team with such weak humans in battle?""")</f>
        <v>"Why do I have to team with such weak humans in battle?"</v>
      </c>
      <c r="O38" s="27"/>
      <c r="P38" s="27"/>
      <c r="Q38" s="27"/>
      <c r="R38" s="27"/>
      <c r="S38" s="27"/>
      <c r="T38" s="27"/>
      <c r="U38" s="27"/>
      <c r="V38" s="27"/>
      <c r="W38" s="27"/>
      <c r="X38" s="27"/>
      <c r="Y38" s="27"/>
      <c r="Z38" s="27"/>
    </row>
    <row r="39">
      <c r="A39" s="29" t="str">
        <f>IFERROR(__xludf.DUMMYFUNCTION("""COMPUTED_VALUE"""),"E-024")</f>
        <v>E-024</v>
      </c>
      <c r="B39" s="27" t="str">
        <f>IFERROR(__xludf.DUMMYFUNCTION("""COMPUTED_VALUE"""),"Event")</f>
        <v>Event</v>
      </c>
      <c r="C39" s="27" t="str">
        <f>IFERROR(__xludf.DUMMYFUNCTION("""COMPUTED_VALUE"""),"Professor Dartagnan")</f>
        <v>Professor Dartagnan</v>
      </c>
      <c r="D39" s="27" t="str">
        <f>IFERROR(__xludf.DUMMYFUNCTION("""COMPUTED_VALUE"""),"-")</f>
        <v>-</v>
      </c>
      <c r="E39" s="27">
        <f>IFERROR(__xludf.DUMMYFUNCTION("""COMPUTED_VALUE"""),0.0)</f>
        <v>0</v>
      </c>
      <c r="F39" s="27" t="str">
        <f>IFERROR(__xludf.DUMMYFUNCTION("""COMPUTED_VALUE"""),"AD")</f>
        <v>AD</v>
      </c>
      <c r="G39" s="27" t="str">
        <f>IFERROR(__xludf.DUMMYFUNCTION("""COMPUTED_VALUE"""),"None")</f>
        <v>None</v>
      </c>
      <c r="H39" s="27" t="str">
        <f>IFERROR(__xludf.DUMMYFUNCTION("""COMPUTED_VALUE"""),"-")</f>
        <v>-</v>
      </c>
      <c r="I39" s="28" t="str">
        <f>IFERROR(__xludf.DUMMYFUNCTION("""COMPUTED_VALUE"""),"[STAY] Select 1 of your opponent's in-play MAMODO cards. Your opponent can neither play SPELL cards for nor apply the effects of the selected MAMODO card during this turn.")</f>
        <v>[STAY] Select 1 of your opponent's in-play MAMODO cards. Your opponent can neither play SPELL cards for nor apply the effects of the selected MAMODO card during this turn.</v>
      </c>
      <c r="J39" s="27" t="str">
        <f>IFERROR(__xludf.DUMMYFUNCTION("""COMPUTED_VALUE"""),"-")</f>
        <v>-</v>
      </c>
      <c r="K39" s="27" t="str">
        <f>IFERROR(__xludf.DUMMYFUNCTION("""COMPUTED_VALUE"""),"-")</f>
        <v>-</v>
      </c>
      <c r="L39" s="27" t="str">
        <f>IFERROR(__xludf.DUMMYFUNCTION("""COMPUTED_VALUE"""),"Series 1, Level 2, Level S, The Best Booster 1, Revised Edition")</f>
        <v>Series 1, Level 2, Level S, The Best Booster 1, Revised Edition</v>
      </c>
      <c r="M39" s="27" t="str">
        <f>IFERROR(__xludf.DUMMYFUNCTION("""COMPUTED_VALUE"""),"[SR]")</f>
        <v>[SR]</v>
      </c>
      <c r="N39" s="27" t="str">
        <f>IFERROR(__xludf.DUMMYFUNCTION("""COMPUTED_VALUE"""),"Forest Spirit?")</f>
        <v>Forest Spirit?</v>
      </c>
      <c r="O39" s="27"/>
      <c r="P39" s="27"/>
      <c r="Q39" s="27"/>
      <c r="R39" s="27"/>
      <c r="S39" s="27"/>
      <c r="T39" s="27"/>
      <c r="U39" s="27"/>
      <c r="V39" s="27"/>
      <c r="W39" s="27"/>
      <c r="X39" s="27"/>
      <c r="Y39" s="27"/>
      <c r="Z39" s="27"/>
    </row>
    <row r="40">
      <c r="A40" s="29" t="str">
        <f>IFERROR(__xludf.DUMMYFUNCTION("""COMPUTED_VALUE"""),"E-025")</f>
        <v>E-025</v>
      </c>
      <c r="B40" s="27" t="str">
        <f>IFERROR(__xludf.DUMMYFUNCTION("""COMPUTED_VALUE"""),"Event")</f>
        <v>Event</v>
      </c>
      <c r="C40" s="27" t="str">
        <f>IFERROR(__xludf.DUMMYFUNCTION("""COMPUTED_VALUE"""),"Yopopo's Dance")</f>
        <v>Yopopo's Dance</v>
      </c>
      <c r="D40" s="27" t="str">
        <f>IFERROR(__xludf.DUMMYFUNCTION("""COMPUTED_VALUE"""),"-")</f>
        <v>-</v>
      </c>
      <c r="E40" s="27">
        <f>IFERROR(__xludf.DUMMYFUNCTION("""COMPUTED_VALUE"""),0.0)</f>
        <v>0</v>
      </c>
      <c r="F40" s="27" t="str">
        <f>IFERROR(__xludf.DUMMYFUNCTION("""COMPUTED_VALUE"""),"AD")</f>
        <v>AD</v>
      </c>
      <c r="G40" s="27" t="str">
        <f>IFERROR(__xludf.DUMMYFUNCTION("""COMPUTED_VALUE"""),"None")</f>
        <v>None</v>
      </c>
      <c r="H40" s="27" t="str">
        <f>IFERROR(__xludf.DUMMYFUNCTION("""COMPUTED_VALUE"""),"-")</f>
        <v>-</v>
      </c>
      <c r="I40" s="28" t="str">
        <f>IFERROR(__xludf.DUMMYFUNCTION("""COMPUTED_VALUE"""),"[STAY] Your opponent cannot apply the effects of their MAMODO cards during this turn.")</f>
        <v>[STAY] Your opponent cannot apply the effects of their MAMODO cards during this turn.</v>
      </c>
      <c r="J40" s="27" t="str">
        <f>IFERROR(__xludf.DUMMYFUNCTION("""COMPUTED_VALUE"""),"-")</f>
        <v>-</v>
      </c>
      <c r="K40" s="27" t="str">
        <f>IFERROR(__xludf.DUMMYFUNCTION("""COMPUTED_VALUE"""),"-")</f>
        <v>-</v>
      </c>
      <c r="L40" s="27" t="str">
        <f>IFERROR(__xludf.DUMMYFUNCTION("""COMPUTED_VALUE"""),"Series 1, Level 2")</f>
        <v>Series 1, Level 2</v>
      </c>
      <c r="M40" s="27" t="str">
        <f>IFERROR(__xludf.DUMMYFUNCTION("""COMPUTED_VALUE"""),"[R]")</f>
        <v>[R]</v>
      </c>
      <c r="N40" s="27" t="str">
        <f>IFERROR(__xludf.DUMMYFUNCTION("""COMPUTED_VALUE"""),"Yopopo's mysterious song and dance somehow attracts other mamodo.")</f>
        <v>Yopopo's mysterious song and dance somehow attracts other mamodo.</v>
      </c>
      <c r="O40" s="27"/>
      <c r="P40" s="27"/>
      <c r="Q40" s="27"/>
      <c r="R40" s="27"/>
      <c r="S40" s="27"/>
      <c r="T40" s="27"/>
      <c r="U40" s="27"/>
      <c r="V40" s="27"/>
      <c r="W40" s="27"/>
      <c r="X40" s="27"/>
      <c r="Y40" s="27"/>
      <c r="Z40" s="27"/>
    </row>
    <row r="41">
      <c r="A41" s="29" t="str">
        <f>IFERROR(__xludf.DUMMYFUNCTION("""COMPUTED_VALUE"""),"E-026")</f>
        <v>E-026</v>
      </c>
      <c r="B41" s="27" t="str">
        <f>IFERROR(__xludf.DUMMYFUNCTION("""COMPUTED_VALUE"""),"Event")</f>
        <v>Event</v>
      </c>
      <c r="C41" s="27" t="str">
        <f>IFERROR(__xludf.DUMMYFUNCTION("""COMPUTED_VALUE"""),"I Asked For Fish!")</f>
        <v>I Asked For Fish!</v>
      </c>
      <c r="D41" s="27" t="str">
        <f>IFERROR(__xludf.DUMMYFUNCTION("""COMPUTED_VALUE"""),"-")</f>
        <v>-</v>
      </c>
      <c r="E41" s="27">
        <f>IFERROR(__xludf.DUMMYFUNCTION("""COMPUTED_VALUE"""),0.0)</f>
        <v>0</v>
      </c>
      <c r="F41" s="27" t="str">
        <f>IFERROR(__xludf.DUMMYFUNCTION("""COMPUTED_VALUE"""),"A")</f>
        <v>A</v>
      </c>
      <c r="G41" s="27" t="str">
        <f>IFERROR(__xludf.DUMMYFUNCTION("""COMPUTED_VALUE"""),"None")</f>
        <v>None</v>
      </c>
      <c r="H41" s="27" t="str">
        <f>IFERROR(__xludf.DUMMYFUNCTION("""COMPUTED_VALUE"""),"-")</f>
        <v>-</v>
      </c>
      <c r="I41" s="28" t="str">
        <f>IFERROR(__xludf.DUMMYFUNCTION("""COMPUTED_VALUE"""),"Flip a coin twice; get MP equal to the number of heads you get times 2.")</f>
        <v>Flip a coin twice; get MP equal to the number of heads you get times 2.</v>
      </c>
      <c r="J41" s="27" t="str">
        <f>IFERROR(__xludf.DUMMYFUNCTION("""COMPUTED_VALUE"""),"-")</f>
        <v>-</v>
      </c>
      <c r="K41" s="27" t="str">
        <f>IFERROR(__xludf.DUMMYFUNCTION("""COMPUTED_VALUE"""),"-")</f>
        <v>-</v>
      </c>
      <c r="L41" s="27" t="str">
        <f>IFERROR(__xludf.DUMMYFUNCTION("""COMPUTED_VALUE"""),"Series 1, Level 2")</f>
        <v>Series 1, Level 2</v>
      </c>
      <c r="M41" s="27" t="str">
        <f>IFERROR(__xludf.DUMMYFUNCTION("""COMPUTED_VALUE"""),"[C]")</f>
        <v>[C]</v>
      </c>
      <c r="N41" s="27" t="str">
        <f>IFERROR(__xludf.DUMMYFUNCTION("""COMPUTED_VALUE"""),"""Eat it raw, it's better for you...""")</f>
        <v>"Eat it raw, it's better for you..."</v>
      </c>
      <c r="O41" s="27"/>
      <c r="P41" s="27"/>
      <c r="Q41" s="27"/>
      <c r="R41" s="27"/>
      <c r="S41" s="27"/>
      <c r="T41" s="27"/>
      <c r="U41" s="27"/>
      <c r="V41" s="27"/>
      <c r="W41" s="27"/>
      <c r="X41" s="27"/>
      <c r="Y41" s="27"/>
      <c r="Z41" s="27"/>
    </row>
    <row r="42">
      <c r="A42" s="29" t="str">
        <f>IFERROR(__xludf.DUMMYFUNCTION("""COMPUTED_VALUE"""),"E-027")</f>
        <v>E-027</v>
      </c>
      <c r="B42" s="27" t="str">
        <f>IFERROR(__xludf.DUMMYFUNCTION("""COMPUTED_VALUE"""),"Event")</f>
        <v>Event</v>
      </c>
      <c r="C42" s="27" t="str">
        <f>IFERROR(__xludf.DUMMYFUNCTION("""COMPUTED_VALUE"""),"Best Friends")</f>
        <v>Best Friends</v>
      </c>
      <c r="D42" s="27" t="str">
        <f>IFERROR(__xludf.DUMMYFUNCTION("""COMPUTED_VALUE"""),"-")</f>
        <v>-</v>
      </c>
      <c r="E42" s="27">
        <f>IFERROR(__xludf.DUMMYFUNCTION("""COMPUTED_VALUE"""),0.0)</f>
        <v>0</v>
      </c>
      <c r="F42" s="27" t="str">
        <f>IFERROR(__xludf.DUMMYFUNCTION("""COMPUTED_VALUE"""),"A")</f>
        <v>A</v>
      </c>
      <c r="G42" s="27" t="str">
        <f>IFERROR(__xludf.DUMMYFUNCTION("""COMPUTED_VALUE"""),"None")</f>
        <v>None</v>
      </c>
      <c r="H42" s="27" t="str">
        <f>IFERROR(__xludf.DUMMYFUNCTION("""COMPUTED_VALUE"""),"-")</f>
        <v>-</v>
      </c>
      <c r="I42" s="28" t="str">
        <f>IFERROR(__xludf.DUMMYFUNCTION("""COMPUTED_VALUE"""),"Apply both of the following effects in order: ● Your opponent sends all but 1 of their in-play PARTNER cards to the Discard Pile. If they have no PARTNER cards in play, they select 1 PARTNER card from any page of their Spell Book and put it in play. ● Sen"&amp;"d all but 1 of your in-play PARTNER cards to the Discard Pile. If you have none in play, select 1 PARTNER card from any page of your Spell Book and put it in play.")</f>
        <v>Apply both of the following effects in order: ● Your opponent sends all but 1 of their in-play PARTNER cards to the Discard Pile. If they have no PARTNER cards in play, they select 1 PARTNER card from any page of their Spell Book and put it in play. ● Send all but 1 of your in-play PARTNER cards to the Discard Pile. If you have none in play, select 1 PARTNER card from any page of your Spell Book and put it in play.</v>
      </c>
      <c r="J42" s="27" t="str">
        <f>IFERROR(__xludf.DUMMYFUNCTION("""COMPUTED_VALUE"""),"-")</f>
        <v>-</v>
      </c>
      <c r="K42" s="27" t="str">
        <f>IFERROR(__xludf.DUMMYFUNCTION("""COMPUTED_VALUE"""),"-")</f>
        <v>-</v>
      </c>
      <c r="L42" s="27" t="str">
        <f>IFERROR(__xludf.DUMMYFUNCTION("""COMPUTED_VALUE"""),"Series 1, Level 2")</f>
        <v>Series 1, Level 2</v>
      </c>
      <c r="M42" s="27" t="str">
        <f>IFERROR(__xludf.DUMMYFUNCTION("""COMPUTED_VALUE"""),"[U]")</f>
        <v>[U]</v>
      </c>
      <c r="N42" s="27" t="str">
        <f>IFERROR(__xludf.DUMMYFUNCTION("""COMPUTED_VALUE"""),"""Together you and I will find a way to happiness. There's always a light at the end of the tunnel.""")</f>
        <v>"Together you and I will find a way to happiness. There's always a light at the end of the tunnel."</v>
      </c>
      <c r="O42" s="27"/>
      <c r="P42" s="27"/>
      <c r="Q42" s="27"/>
      <c r="R42" s="27"/>
      <c r="S42" s="27"/>
      <c r="T42" s="27"/>
      <c r="U42" s="27"/>
      <c r="V42" s="27"/>
      <c r="W42" s="27"/>
      <c r="X42" s="27"/>
      <c r="Y42" s="27"/>
      <c r="Z42" s="27"/>
    </row>
    <row r="43">
      <c r="A43" s="29" t="str">
        <f>IFERROR(__xludf.DUMMYFUNCTION("""COMPUTED_VALUE"""),"E-028")</f>
        <v>E-028</v>
      </c>
      <c r="B43" s="27" t="str">
        <f>IFERROR(__xludf.DUMMYFUNCTION("""COMPUTED_VALUE"""),"Event")</f>
        <v>Event</v>
      </c>
      <c r="C43" s="27" t="str">
        <f>IFERROR(__xludf.DUMMYFUNCTION("""COMPUTED_VALUE"""),"Nana Baba")</f>
        <v>Nana Baba</v>
      </c>
      <c r="D43" s="27" t="str">
        <f>IFERROR(__xludf.DUMMYFUNCTION("""COMPUTED_VALUE"""),"-")</f>
        <v>-</v>
      </c>
      <c r="E43" s="27">
        <f>IFERROR(__xludf.DUMMYFUNCTION("""COMPUTED_VALUE"""),0.0)</f>
        <v>0</v>
      </c>
      <c r="F43" s="27" t="str">
        <f>IFERROR(__xludf.DUMMYFUNCTION("""COMPUTED_VALUE"""),"A")</f>
        <v>A</v>
      </c>
      <c r="G43" s="27" t="str">
        <f>IFERROR(__xludf.DUMMYFUNCTION("""COMPUTED_VALUE"""),"None")</f>
        <v>None</v>
      </c>
      <c r="H43" s="27" t="str">
        <f>IFERROR(__xludf.DUMMYFUNCTION("""COMPUTED_VALUE"""),"-")</f>
        <v>-</v>
      </c>
      <c r="I43" s="28" t="str">
        <f>IFERROR(__xludf.DUMMYFUNCTION("""COMPUTED_VALUE"""),"This EVENT card can be played only if your MP was reduced by your opponent's card effects during this turn. Get MP equal to the number of MP reduced by your opponent's card effects this turn.")</f>
        <v>This EVENT card can be played only if your MP was reduced by your opponent's card effects during this turn. Get MP equal to the number of MP reduced by your opponent's card effects this turn.</v>
      </c>
      <c r="J43" s="27" t="str">
        <f>IFERROR(__xludf.DUMMYFUNCTION("""COMPUTED_VALUE"""),"-")</f>
        <v>-</v>
      </c>
      <c r="K43" s="27" t="str">
        <f>IFERROR(__xludf.DUMMYFUNCTION("""COMPUTED_VALUE"""),"-")</f>
        <v>-</v>
      </c>
      <c r="L43" s="27" t="str">
        <f>IFERROR(__xludf.DUMMYFUNCTION("""COMPUTED_VALUE"""),"Supreme Power of the Golden Spell, Series 2, Level 3")</f>
        <v>Supreme Power of the Golden Spell, Series 2, Level 3</v>
      </c>
      <c r="M43" s="27" t="str">
        <f>IFERROR(__xludf.DUMMYFUNCTION("""COMPUTED_VALUE"""),"[C]")</f>
        <v>[C]</v>
      </c>
      <c r="N43" s="27" t="str">
        <f>IFERROR(__xludf.DUMMYFUNCTION("""COMPUTED_VALUE"""),"""My son is Tadashi, his wife is Hiromi.""")</f>
        <v>"My son is Tadashi, his wife is Hiromi."</v>
      </c>
      <c r="O43" s="27"/>
      <c r="P43" s="27"/>
      <c r="Q43" s="27"/>
      <c r="R43" s="27"/>
      <c r="S43" s="27"/>
      <c r="T43" s="27"/>
      <c r="U43" s="27"/>
      <c r="V43" s="27"/>
      <c r="W43" s="27"/>
      <c r="X43" s="27"/>
      <c r="Y43" s="27"/>
      <c r="Z43" s="27"/>
    </row>
    <row r="44">
      <c r="A44" s="29" t="str">
        <f>IFERROR(__xludf.DUMMYFUNCTION("""COMPUTED_VALUE"""),"E-029")</f>
        <v>E-029</v>
      </c>
      <c r="B44" s="27" t="str">
        <f>IFERROR(__xludf.DUMMYFUNCTION("""COMPUTED_VALUE"""),"Event")</f>
        <v>Event</v>
      </c>
      <c r="C44" s="27" t="str">
        <f>IFERROR(__xludf.DUMMYFUNCTION("""COMPUTED_VALUE"""),"Kiyo's Summer Vacation")</f>
        <v>Kiyo's Summer Vacation</v>
      </c>
      <c r="D44" s="27" t="str">
        <f>IFERROR(__xludf.DUMMYFUNCTION("""COMPUTED_VALUE"""),"-")</f>
        <v>-</v>
      </c>
      <c r="E44" s="27">
        <f>IFERROR(__xludf.DUMMYFUNCTION("""COMPUTED_VALUE"""),4.0)</f>
        <v>4</v>
      </c>
      <c r="F44" s="27" t="str">
        <f>IFERROR(__xludf.DUMMYFUNCTION("""COMPUTED_VALUE"""),"A")</f>
        <v>A</v>
      </c>
      <c r="G44" s="27" t="str">
        <f>IFERROR(__xludf.DUMMYFUNCTION("""COMPUTED_VALUE"""),"None")</f>
        <v>None</v>
      </c>
      <c r="H44" s="27" t="str">
        <f>IFERROR(__xludf.DUMMYFUNCTION("""COMPUTED_VALUE"""),"-")</f>
        <v>-</v>
      </c>
      <c r="I44" s="28" t="str">
        <f>IFERROR(__xludf.DUMMYFUNCTION("""COMPUTED_VALUE"""),"[STAY] You can play up to 3 EVENT cards (including this card) during this turn.")</f>
        <v>[STAY] You can play up to 3 EVENT cards (including this card) during this turn.</v>
      </c>
      <c r="J44" s="27" t="str">
        <f>IFERROR(__xludf.DUMMYFUNCTION("""COMPUTED_VALUE"""),"-")</f>
        <v>-</v>
      </c>
      <c r="K44" s="27" t="str">
        <f>IFERROR(__xludf.DUMMYFUNCTION("""COMPUTED_VALUE"""),"-")</f>
        <v>-</v>
      </c>
      <c r="L44" s="27" t="str">
        <f>IFERROR(__xludf.DUMMYFUNCTION("""COMPUTED_VALUE"""),"Supreme Power of the Golden Spell, Series 2, Level 3")</f>
        <v>Supreme Power of the Golden Spell, Series 2, Level 3</v>
      </c>
      <c r="M44" s="27" t="str">
        <f>IFERROR(__xludf.DUMMYFUNCTION("""COMPUTED_VALUE"""),"[C]")</f>
        <v>[C]</v>
      </c>
      <c r="N44" s="27" t="str">
        <f>IFERROR(__xludf.DUMMYFUNCTION("""COMPUTED_VALUE"""),"""I promised my friend we'd go out together...""")</f>
        <v>"I promised my friend we'd go out together..."</v>
      </c>
      <c r="O44" s="27"/>
      <c r="P44" s="27"/>
      <c r="Q44" s="27"/>
      <c r="R44" s="27"/>
      <c r="S44" s="27"/>
      <c r="T44" s="27"/>
      <c r="U44" s="27"/>
      <c r="V44" s="27"/>
      <c r="W44" s="27"/>
      <c r="X44" s="27"/>
      <c r="Y44" s="27"/>
      <c r="Z44" s="27"/>
    </row>
    <row r="45">
      <c r="A45" s="29" t="str">
        <f>IFERROR(__xludf.DUMMYFUNCTION("""COMPUTED_VALUE"""),"E-030e")</f>
        <v>E-030e</v>
      </c>
      <c r="B45" s="27" t="str">
        <f>IFERROR(__xludf.DUMMYFUNCTION("""COMPUTED_VALUE"""),"Event")</f>
        <v>Event</v>
      </c>
      <c r="C45" s="27" t="str">
        <f>IFERROR(__xludf.DUMMYFUNCTION("""COMPUTED_VALUE"""),"Double – 0 Folgore! Super Spy!")</f>
        <v>Double – 0 Folgore! Super Spy!</v>
      </c>
      <c r="D45" s="27" t="str">
        <f>IFERROR(__xludf.DUMMYFUNCTION("""COMPUTED_VALUE"""),"-")</f>
        <v>-</v>
      </c>
      <c r="E45" s="27">
        <f>IFERROR(__xludf.DUMMYFUNCTION("""COMPUTED_VALUE"""),0.0)</f>
        <v>0</v>
      </c>
      <c r="F45" s="27" t="str">
        <f>IFERROR(__xludf.DUMMYFUNCTION("""COMPUTED_VALUE"""),"A")</f>
        <v>A</v>
      </c>
      <c r="G45" s="27" t="str">
        <f>IFERROR(__xludf.DUMMYFUNCTION("""COMPUTED_VALUE"""),"None")</f>
        <v>None</v>
      </c>
      <c r="H45" s="27" t="str">
        <f>IFERROR(__xludf.DUMMYFUNCTION("""COMPUTED_VALUE"""),"-")</f>
        <v>-</v>
      </c>
      <c r="I45" s="28" t="str">
        <f>IFERROR(__xludf.DUMMYFUNCTION("""COMPUTED_VALUE"""),"Send 1 of your opponent's in-play PARTNER cards to the Discard Pile.")</f>
        <v>Send 1 of your opponent's in-play PARTNER cards to the Discard Pile.</v>
      </c>
      <c r="J45" s="27" t="str">
        <f>IFERROR(__xludf.DUMMYFUNCTION("""COMPUTED_VALUE"""),"-")</f>
        <v>-</v>
      </c>
      <c r="K45" s="27" t="str">
        <f>IFERROR(__xludf.DUMMYFUNCTION("""COMPUTED_VALUE"""),"-")</f>
        <v>-</v>
      </c>
      <c r="L45" s="27" t="str">
        <f>IFERROR(__xludf.DUMMYFUNCTION("""COMPUTED_VALUE"""),"Supreme Power of the Golden Spell, Series 2, Level 3, The Best Booster 1")</f>
        <v>Supreme Power of the Golden Spell, Series 2, Level 3, The Best Booster 1</v>
      </c>
      <c r="M45" s="27" t="str">
        <f>IFERROR(__xludf.DUMMYFUNCTION("""COMPUTED_VALUE"""),"[SR]")</f>
        <v>[SR]</v>
      </c>
      <c r="N45" s="27" t="str">
        <f>IFERROR(__xludf.DUMMYFUNCTION("""COMPUTED_VALUE"""),"""You fell for me.""")</f>
        <v>"You fell for me."</v>
      </c>
      <c r="O45" s="27"/>
      <c r="P45" s="27"/>
      <c r="Q45" s="27"/>
      <c r="R45" s="27"/>
      <c r="S45" s="27"/>
      <c r="T45" s="27"/>
      <c r="U45" s="27"/>
      <c r="V45" s="27"/>
      <c r="W45" s="27"/>
      <c r="X45" s="27"/>
      <c r="Y45" s="27"/>
      <c r="Z45" s="27"/>
    </row>
    <row r="46">
      <c r="A46" s="29" t="str">
        <f>IFERROR(__xludf.DUMMYFUNCTION("""COMPUTED_VALUE"""),"E-030j")</f>
        <v>E-030j</v>
      </c>
      <c r="B46" s="27" t="str">
        <f>IFERROR(__xludf.DUMMYFUNCTION("""COMPUTED_VALUE"""),"Event")</f>
        <v>Event</v>
      </c>
      <c r="C46" s="27" t="str">
        <f>IFERROR(__xludf.DUMMYFUNCTION("""COMPUTED_VALUE"""),"Double – 0 Folgore! Super Spy!")</f>
        <v>Double – 0 Folgore! Super Spy!</v>
      </c>
      <c r="D46" s="27" t="str">
        <f>IFERROR(__xludf.DUMMYFUNCTION("""COMPUTED_VALUE"""),"-")</f>
        <v>-</v>
      </c>
      <c r="E46" s="27">
        <f>IFERROR(__xludf.DUMMYFUNCTION("""COMPUTED_VALUE"""),0.0)</f>
        <v>0</v>
      </c>
      <c r="F46" s="27" t="str">
        <f>IFERROR(__xludf.DUMMYFUNCTION("""COMPUTED_VALUE"""),"A")</f>
        <v>A</v>
      </c>
      <c r="G46" s="27" t="str">
        <f>IFERROR(__xludf.DUMMYFUNCTION("""COMPUTED_VALUE"""),"None")</f>
        <v>None</v>
      </c>
      <c r="H46" s="27" t="str">
        <f>IFERROR(__xludf.DUMMYFUNCTION("""COMPUTED_VALUE"""),"-")</f>
        <v>-</v>
      </c>
      <c r="I46" s="28" t="str">
        <f>IFERROR(__xludf.DUMMYFUNCTION("""COMPUTED_VALUE"""),"Send 1 of your opponent's in-play PARTNER cards to the Discard Pile.")</f>
        <v>Send 1 of your opponent's in-play PARTNER cards to the Discard Pile.</v>
      </c>
      <c r="J46" s="27" t="str">
        <f>IFERROR(__xludf.DUMMYFUNCTION("""COMPUTED_VALUE"""),"-")</f>
        <v>-</v>
      </c>
      <c r="K46" s="27" t="str">
        <f>IFERROR(__xludf.DUMMYFUNCTION("""COMPUTED_VALUE"""),"-")</f>
        <v>-</v>
      </c>
      <c r="L46" s="27" t="str">
        <f>IFERROR(__xludf.DUMMYFUNCTION("""COMPUTED_VALUE"""),"Supreme Power of the Golden Spell, Series 2, Level 3, The Best Booster 1")</f>
        <v>Supreme Power of the Golden Spell, Series 2, Level 3, The Best Booster 1</v>
      </c>
      <c r="M46" s="27" t="str">
        <f>IFERROR(__xludf.DUMMYFUNCTION("""COMPUTED_VALUE"""),"[SR]")</f>
        <v>[SR]</v>
      </c>
      <c r="N46" s="27" t="str">
        <f>IFERROR(__xludf.DUMMYFUNCTION("""COMPUTED_VALUE"""),"""Bang! Bang!""")</f>
        <v>"Bang! Bang!"</v>
      </c>
      <c r="O46" s="27"/>
      <c r="P46" s="27"/>
      <c r="Q46" s="27"/>
      <c r="R46" s="27"/>
      <c r="S46" s="27"/>
      <c r="T46" s="27"/>
      <c r="U46" s="27"/>
      <c r="V46" s="27"/>
      <c r="W46" s="27"/>
      <c r="X46" s="27"/>
      <c r="Y46" s="27"/>
      <c r="Z46" s="27"/>
    </row>
    <row r="47">
      <c r="A47" s="29" t="str">
        <f>IFERROR(__xludf.DUMMYFUNCTION("""COMPUTED_VALUE"""),"E-031")</f>
        <v>E-031</v>
      </c>
      <c r="B47" s="27" t="str">
        <f>IFERROR(__xludf.DUMMYFUNCTION("""COMPUTED_VALUE"""),"Event")</f>
        <v>Event</v>
      </c>
      <c r="C47" s="27" t="str">
        <f>IFERROR(__xludf.DUMMYFUNCTION("""COMPUTED_VALUE"""),"Naomi's Help")</f>
        <v>Naomi's Help</v>
      </c>
      <c r="D47" s="27" t="str">
        <f>IFERROR(__xludf.DUMMYFUNCTION("""COMPUTED_VALUE"""),"-")</f>
        <v>-</v>
      </c>
      <c r="E47" s="27">
        <f>IFERROR(__xludf.DUMMYFUNCTION("""COMPUTED_VALUE"""),0.0)</f>
        <v>0</v>
      </c>
      <c r="F47" s="27" t="str">
        <f>IFERROR(__xludf.DUMMYFUNCTION("""COMPUTED_VALUE"""),"D")</f>
        <v>D</v>
      </c>
      <c r="G47" s="27" t="str">
        <f>IFERROR(__xludf.DUMMYFUNCTION("""COMPUTED_VALUE"""),"None")</f>
        <v>None</v>
      </c>
      <c r="H47" s="27" t="str">
        <f>IFERROR(__xludf.DUMMYFUNCTION("""COMPUTED_VALUE"""),"-")</f>
        <v>-</v>
      </c>
      <c r="I47" s="28" t="str">
        <f>IFERROR(__xludf.DUMMYFUNCTION("""COMPUTED_VALUE"""),"[STAY] You can SACRIFICE and PROTECT your Spell Book from Damage during this turn even when you are prohibited to do so.")</f>
        <v>[STAY] You can SACRIFICE and PROTECT your Spell Book from Damage during this turn even when you are prohibited to do so.</v>
      </c>
      <c r="J47" s="27" t="str">
        <f>IFERROR(__xludf.DUMMYFUNCTION("""COMPUTED_VALUE"""),"-")</f>
        <v>-</v>
      </c>
      <c r="K47" s="27" t="str">
        <f>IFERROR(__xludf.DUMMYFUNCTION("""COMPUTED_VALUE"""),"-")</f>
        <v>-</v>
      </c>
      <c r="L47" s="27" t="str">
        <f>IFERROR(__xludf.DUMMYFUNCTION("""COMPUTED_VALUE"""),"Supreme Power of the Golden Spell, Series 2, Level 3, The Best Booster 2")</f>
        <v>Supreme Power of the Golden Spell, Series 2, Level 3, The Best Booster 2</v>
      </c>
      <c r="M47" s="27" t="str">
        <f>IFERROR(__xludf.DUMMYFUNCTION("""COMPUTED_VALUE"""),"[R]")</f>
        <v>[R]</v>
      </c>
      <c r="N47" s="27" t="str">
        <f>IFERROR(__xludf.DUMMYFUNCTION("""COMPUTED_VALUE"""),"""Nuaaaaaaaaaaaaaaa!""")</f>
        <v>"Nuaaaaaaaaaaaaaaa!"</v>
      </c>
      <c r="O47" s="27"/>
      <c r="P47" s="27"/>
      <c r="Q47" s="27"/>
      <c r="R47" s="27"/>
      <c r="S47" s="27"/>
      <c r="T47" s="27"/>
      <c r="U47" s="27"/>
      <c r="V47" s="27"/>
      <c r="W47" s="27"/>
      <c r="X47" s="27"/>
      <c r="Y47" s="27"/>
      <c r="Z47" s="27"/>
    </row>
    <row r="48">
      <c r="A48" s="29" t="str">
        <f>IFERROR(__xludf.DUMMYFUNCTION("""COMPUTED_VALUE"""),"E-032")</f>
        <v>E-032</v>
      </c>
      <c r="B48" s="27" t="str">
        <f>IFERROR(__xludf.DUMMYFUNCTION("""COMPUTED_VALUE"""),"Event")</f>
        <v>Event</v>
      </c>
      <c r="C48" s="27" t="str">
        <f>IFERROR(__xludf.DUMMYFUNCTION("""COMPUTED_VALUE"""),"Prime Yellowtail")</f>
        <v>Prime Yellowtail</v>
      </c>
      <c r="D48" s="27" t="str">
        <f>IFERROR(__xludf.DUMMYFUNCTION("""COMPUTED_VALUE"""),"-")</f>
        <v>-</v>
      </c>
      <c r="E48" s="27">
        <f>IFERROR(__xludf.DUMMYFUNCTION("""COMPUTED_VALUE"""),2.0)</f>
        <v>2</v>
      </c>
      <c r="F48" s="27" t="str">
        <f>IFERROR(__xludf.DUMMYFUNCTION("""COMPUTED_VALUE"""),"A")</f>
        <v>A</v>
      </c>
      <c r="G48" s="27" t="str">
        <f>IFERROR(__xludf.DUMMYFUNCTION("""COMPUTED_VALUE"""),"None")</f>
        <v>None</v>
      </c>
      <c r="H48" s="27" t="str">
        <f>IFERROR(__xludf.DUMMYFUNCTION("""COMPUTED_VALUE"""),"-")</f>
        <v>-</v>
      </c>
      <c r="I48" s="28" t="str">
        <f>IFERROR(__xludf.DUMMYFUNCTION("""COMPUTED_VALUE"""),"Get 5 MP.")</f>
        <v>Get 5 MP.</v>
      </c>
      <c r="J48" s="27" t="str">
        <f>IFERROR(__xludf.DUMMYFUNCTION("""COMPUTED_VALUE"""),"-")</f>
        <v>-</v>
      </c>
      <c r="K48" s="27" t="str">
        <f>IFERROR(__xludf.DUMMYFUNCTION("""COMPUTED_VALUE"""),"-")</f>
        <v>-</v>
      </c>
      <c r="L48" s="27" t="str">
        <f>IFERROR(__xludf.DUMMYFUNCTION("""COMPUTED_VALUE"""),"Supreme Power of the Golden Spell, Series 2, Level 3")</f>
        <v>Supreme Power of the Golden Spell, Series 2, Level 3</v>
      </c>
      <c r="M48" s="27" t="str">
        <f>IFERROR(__xludf.DUMMYFUNCTION("""COMPUTED_VALUE"""),"[R]")</f>
        <v>[R]</v>
      </c>
      <c r="N48" s="27" t="str">
        <f>IFERROR(__xludf.DUMMYFUNCTION("""COMPUTED_VALUE"""),"""Dig in Zatch! I'm all yours!""")</f>
        <v>"Dig in Zatch! I'm all yours!"</v>
      </c>
      <c r="O48" s="27"/>
      <c r="P48" s="27"/>
      <c r="Q48" s="27"/>
      <c r="R48" s="27"/>
      <c r="S48" s="27"/>
      <c r="T48" s="27"/>
      <c r="U48" s="27"/>
      <c r="V48" s="27"/>
      <c r="W48" s="27"/>
      <c r="X48" s="27"/>
      <c r="Y48" s="27"/>
      <c r="Z48" s="27"/>
    </row>
    <row r="49">
      <c r="A49" s="29" t="str">
        <f>IFERROR(__xludf.DUMMYFUNCTION("""COMPUTED_VALUE"""),"E-033")</f>
        <v>E-033</v>
      </c>
      <c r="B49" s="27" t="str">
        <f>IFERROR(__xludf.DUMMYFUNCTION("""COMPUTED_VALUE"""),"Event")</f>
        <v>Event</v>
      </c>
      <c r="C49" s="27" t="str">
        <f>IFERROR(__xludf.DUMMYFUNCTION("""COMPUTED_VALUE"""),"Completed Job")</f>
        <v>Completed Job</v>
      </c>
      <c r="D49" s="27" t="str">
        <f>IFERROR(__xludf.DUMMYFUNCTION("""COMPUTED_VALUE"""),"-")</f>
        <v>-</v>
      </c>
      <c r="E49" s="27">
        <f>IFERROR(__xludf.DUMMYFUNCTION("""COMPUTED_VALUE"""),1.0)</f>
        <v>1</v>
      </c>
      <c r="F49" s="27" t="str">
        <f>IFERROR(__xludf.DUMMYFUNCTION("""COMPUTED_VALUE"""),"A")</f>
        <v>A</v>
      </c>
      <c r="G49" s="27" t="str">
        <f>IFERROR(__xludf.DUMMYFUNCTION("""COMPUTED_VALUE"""),"None")</f>
        <v>None</v>
      </c>
      <c r="H49" s="27" t="str">
        <f>IFERROR(__xludf.DUMMYFUNCTION("""COMPUTED_VALUE"""),"-")</f>
        <v>-</v>
      </c>
      <c r="I49" s="28" t="str">
        <f>IFERROR(__xludf.DUMMYFUNCTION("""COMPUTED_VALUE"""),"Move 1 MAMODO card from your Discard Pile to an empty page of your Spell Book.")</f>
        <v>Move 1 MAMODO card from your Discard Pile to an empty page of your Spell Book.</v>
      </c>
      <c r="J49" s="27" t="str">
        <f>IFERROR(__xludf.DUMMYFUNCTION("""COMPUTED_VALUE"""),"-")</f>
        <v>-</v>
      </c>
      <c r="K49" s="27" t="str">
        <f>IFERROR(__xludf.DUMMYFUNCTION("""COMPUTED_VALUE"""),"-")</f>
        <v>-</v>
      </c>
      <c r="L49" s="27" t="str">
        <f>IFERROR(__xludf.DUMMYFUNCTION("""COMPUTED_VALUE"""),"Supreme Power of the Golden Spell, Series 2, Level 3, The Best Booster 1")</f>
        <v>Supreme Power of the Golden Spell, Series 2, Level 3, The Best Booster 1</v>
      </c>
      <c r="M49" s="27" t="str">
        <f>IFERROR(__xludf.DUMMYFUNCTION("""COMPUTED_VALUE"""),"[C]")</f>
        <v>[C]</v>
      </c>
      <c r="N49" s="27" t="str">
        <f>IFERROR(__xludf.DUMMYFUNCTION("""COMPUTED_VALUE"""),"""I owe you one my boy...""")</f>
        <v>"I owe you one my boy..."</v>
      </c>
      <c r="O49" s="27"/>
      <c r="P49" s="27"/>
      <c r="Q49" s="27"/>
      <c r="R49" s="27"/>
      <c r="S49" s="27"/>
      <c r="T49" s="27"/>
      <c r="U49" s="27"/>
      <c r="V49" s="27"/>
      <c r="W49" s="27"/>
      <c r="X49" s="27"/>
      <c r="Y49" s="27"/>
      <c r="Z49" s="27"/>
    </row>
    <row r="50">
      <c r="A50" s="29" t="str">
        <f>IFERROR(__xludf.DUMMYFUNCTION("""COMPUTED_VALUE"""),"E-034")</f>
        <v>E-034</v>
      </c>
      <c r="B50" s="27" t="str">
        <f>IFERROR(__xludf.DUMMYFUNCTION("""COMPUTED_VALUE"""),"Event")</f>
        <v>Event</v>
      </c>
      <c r="C50" s="27" t="str">
        <f>IFERROR(__xludf.DUMMYFUNCTION("""COMPUTED_VALUE"""),"Princess Marie")</f>
        <v>Princess Marie</v>
      </c>
      <c r="D50" s="27" t="str">
        <f>IFERROR(__xludf.DUMMYFUNCTION("""COMPUTED_VALUE"""),"-")</f>
        <v>-</v>
      </c>
      <c r="E50" s="27">
        <f>IFERROR(__xludf.DUMMYFUNCTION("""COMPUTED_VALUE"""),2.0)</f>
        <v>2</v>
      </c>
      <c r="F50" s="27" t="str">
        <f>IFERROR(__xludf.DUMMYFUNCTION("""COMPUTED_VALUE"""),"A")</f>
        <v>A</v>
      </c>
      <c r="G50" s="27" t="str">
        <f>IFERROR(__xludf.DUMMYFUNCTION("""COMPUTED_VALUE"""),"None")</f>
        <v>None</v>
      </c>
      <c r="H50" s="27" t="str">
        <f>IFERROR(__xludf.DUMMYFUNCTION("""COMPUTED_VALUE"""),"-")</f>
        <v>-</v>
      </c>
      <c r="I50" s="28" t="str">
        <f>IFERROR(__xludf.DUMMYFUNCTION("""COMPUTED_VALUE"""),"Select 1 Tia MAMODO card and 1 Megumi PARTNER card from any page of your Spell Book and put them in play.")</f>
        <v>Select 1 Tia MAMODO card and 1 Megumi PARTNER card from any page of your Spell Book and put them in play.</v>
      </c>
      <c r="J50" s="27" t="str">
        <f>IFERROR(__xludf.DUMMYFUNCTION("""COMPUTED_VALUE"""),"-")</f>
        <v>-</v>
      </c>
      <c r="K50" s="27" t="str">
        <f>IFERROR(__xludf.DUMMYFUNCTION("""COMPUTED_VALUE"""),"-")</f>
        <v>-</v>
      </c>
      <c r="L50" s="27" t="str">
        <f>IFERROR(__xludf.DUMMYFUNCTION("""COMPUTED_VALUE"""),"Supreme Power of the Golden Spell, Series 2, Level 3")</f>
        <v>Supreme Power of the Golden Spell, Series 2, Level 3</v>
      </c>
      <c r="M50" s="27" t="str">
        <f>IFERROR(__xludf.DUMMYFUNCTION("""COMPUTED_VALUE"""),"[U]")</f>
        <v>[U]</v>
      </c>
      <c r="N50" s="27" t="str">
        <f>IFERROR(__xludf.DUMMYFUNCTION("""COMPUTED_VALUE"""),"""The pride flowing in my blood cannot be disgraced by anyone!""")</f>
        <v>"The pride flowing in my blood cannot be disgraced by anyone!"</v>
      </c>
      <c r="O50" s="27"/>
      <c r="P50" s="27"/>
      <c r="Q50" s="27"/>
      <c r="R50" s="27"/>
      <c r="S50" s="27"/>
      <c r="T50" s="27"/>
      <c r="U50" s="27"/>
      <c r="V50" s="27"/>
      <c r="W50" s="27"/>
      <c r="X50" s="27"/>
      <c r="Y50" s="27"/>
      <c r="Z50" s="27"/>
    </row>
    <row r="51">
      <c r="A51" s="29" t="str">
        <f>IFERROR(__xludf.DUMMYFUNCTION("""COMPUTED_VALUE"""),"E-035")</f>
        <v>E-035</v>
      </c>
      <c r="B51" s="27" t="str">
        <f>IFERROR(__xludf.DUMMYFUNCTION("""COMPUTED_VALUE"""),"Event")</f>
        <v>Event</v>
      </c>
      <c r="C51" s="27" t="str">
        <f>IFERROR(__xludf.DUMMYFUNCTION("""COMPUTED_VALUE"""),"Praying Mantis Joe")</f>
        <v>Praying Mantis Joe</v>
      </c>
      <c r="D51" s="27" t="str">
        <f>IFERROR(__xludf.DUMMYFUNCTION("""COMPUTED_VALUE"""),"-")</f>
        <v>-</v>
      </c>
      <c r="E51" s="27">
        <f>IFERROR(__xludf.DUMMYFUNCTION("""COMPUTED_VALUE"""),0.0)</f>
        <v>0</v>
      </c>
      <c r="F51" s="27" t="str">
        <f>IFERROR(__xludf.DUMMYFUNCTION("""COMPUTED_VALUE"""),"AD")</f>
        <v>AD</v>
      </c>
      <c r="G51" s="27" t="str">
        <f>IFERROR(__xludf.DUMMYFUNCTION("""COMPUTED_VALUE"""),"None")</f>
        <v>None</v>
      </c>
      <c r="H51" s="27" t="str">
        <f>IFERROR(__xludf.DUMMYFUNCTION("""COMPUTED_VALUE"""),"-")</f>
        <v>-</v>
      </c>
      <c r="I51" s="28" t="str">
        <f>IFERROR(__xludf.DUMMYFUNCTION("""COMPUTED_VALUE"""),"This EVENT card can be played only if your MP was reduced by your opponent's card effects during this turn. Turn 2 pages of your opponent's Spell Book.")</f>
        <v>This EVENT card can be played only if your MP was reduced by your opponent's card effects during this turn. Turn 2 pages of your opponent's Spell Book.</v>
      </c>
      <c r="J51" s="27" t="str">
        <f>IFERROR(__xludf.DUMMYFUNCTION("""COMPUTED_VALUE"""),"-")</f>
        <v>-</v>
      </c>
      <c r="K51" s="27" t="str">
        <f>IFERROR(__xludf.DUMMYFUNCTION("""COMPUTED_VALUE"""),"-")</f>
        <v>-</v>
      </c>
      <c r="L51" s="27" t="str">
        <f>IFERROR(__xludf.DUMMYFUNCTION("""COMPUTED_VALUE"""),"Supreme Power of the Golden Spell, Series 2, Level 3, The Best Booster 1, Revised Edition")</f>
        <v>Supreme Power of the Golden Spell, Series 2, Level 3, The Best Booster 1, Revised Edition</v>
      </c>
      <c r="M51" s="27" t="str">
        <f>IFERROR(__xludf.DUMMYFUNCTION("""COMPUTED_VALUE"""),"[U]")</f>
        <v>[U]</v>
      </c>
      <c r="N51" s="27" t="str">
        <f>IFERROR(__xludf.DUMMYFUNCTION("""COMPUTED_VALUE"""),"A popular children's TV show hero.")</f>
        <v>A popular children's TV show hero.</v>
      </c>
      <c r="O51" s="27"/>
      <c r="P51" s="27"/>
      <c r="Q51" s="27"/>
      <c r="R51" s="27"/>
      <c r="S51" s="27"/>
      <c r="T51" s="27"/>
      <c r="U51" s="27"/>
      <c r="V51" s="27"/>
      <c r="W51" s="27"/>
      <c r="X51" s="27"/>
      <c r="Y51" s="27"/>
      <c r="Z51" s="27"/>
    </row>
    <row r="52">
      <c r="A52" s="29" t="str">
        <f>IFERROR(__xludf.DUMMYFUNCTION("""COMPUTED_VALUE"""),"E-036")</f>
        <v>E-036</v>
      </c>
      <c r="B52" s="27" t="str">
        <f>IFERROR(__xludf.DUMMYFUNCTION("""COMPUTED_VALUE"""),"Event")</f>
        <v>Event</v>
      </c>
      <c r="C52" s="27" t="str">
        <f>IFERROR(__xludf.DUMMYFUNCTION("""COMPUTED_VALUE"""),"Volunlun")</f>
        <v>Volunlun</v>
      </c>
      <c r="D52" s="27" t="str">
        <f>IFERROR(__xludf.DUMMYFUNCTION("""COMPUTED_VALUE"""),"-")</f>
        <v>-</v>
      </c>
      <c r="E52" s="27">
        <f>IFERROR(__xludf.DUMMYFUNCTION("""COMPUTED_VALUE"""),0.0)</f>
        <v>0</v>
      </c>
      <c r="F52" s="27" t="str">
        <f>IFERROR(__xludf.DUMMYFUNCTION("""COMPUTED_VALUE"""),"AD")</f>
        <v>AD</v>
      </c>
      <c r="G52" s="27" t="str">
        <f>IFERROR(__xludf.DUMMYFUNCTION("""COMPUTED_VALUE"""),"None")</f>
        <v>None</v>
      </c>
      <c r="H52" s="27" t="str">
        <f>IFERROR(__xludf.DUMMYFUNCTION("""COMPUTED_VALUE"""),"-")</f>
        <v>-</v>
      </c>
      <c r="I52" s="28" t="str">
        <f>IFERROR(__xludf.DUMMYFUNCTION("""COMPUTED_VALUE"""),"Negate all [Stay] and [Standby] effects that prohibit players from playing SPELL cards, SACRIFICING or PROTECTING their Spell Book from Damage, or applying the effects of their MAMODO cards.")</f>
        <v>Negate all [Stay] and [Standby] effects that prohibit players from playing SPELL cards, SACRIFICING or PROTECTING their Spell Book from Damage, or applying the effects of their MAMODO cards.</v>
      </c>
      <c r="J52" s="27" t="str">
        <f>IFERROR(__xludf.DUMMYFUNCTION("""COMPUTED_VALUE"""),"-")</f>
        <v>-</v>
      </c>
      <c r="K52" s="27" t="str">
        <f>IFERROR(__xludf.DUMMYFUNCTION("""COMPUTED_VALUE"""),"-")</f>
        <v>-</v>
      </c>
      <c r="L52" s="27" t="str">
        <f>IFERROR(__xludf.DUMMYFUNCTION("""COMPUTED_VALUE"""),"Supreme Power of the Golden Spell, Series 2, Level 3, The Best Booster 1, Revised Edition")</f>
        <v>Supreme Power of the Golden Spell, Series 2, Level 3, The Best Booster 1, Revised Edition</v>
      </c>
      <c r="M52" s="27" t="str">
        <f>IFERROR(__xludf.DUMMYFUNCTION("""COMPUTED_VALUE"""),"[SR]")</f>
        <v>[SR]</v>
      </c>
      <c r="N52" s="27" t="str">
        <f>IFERROR(__xludf.DUMMYFUNCTION("""COMPUTED_VALUE"""),"Volunlun was victorious in the fight with Volcan 300.")</f>
        <v>Volunlun was victorious in the fight with Volcan 300.</v>
      </c>
      <c r="O52" s="27"/>
      <c r="P52" s="27"/>
      <c r="Q52" s="27"/>
      <c r="R52" s="27"/>
      <c r="S52" s="27"/>
      <c r="T52" s="27"/>
      <c r="U52" s="27"/>
      <c r="V52" s="27"/>
      <c r="W52" s="27"/>
      <c r="X52" s="27"/>
      <c r="Y52" s="27"/>
      <c r="Z52" s="27"/>
    </row>
    <row r="53">
      <c r="A53" s="29" t="str">
        <f>IFERROR(__xludf.DUMMYFUNCTION("""COMPUTED_VALUE"""),"E-037")</f>
        <v>E-037</v>
      </c>
      <c r="B53" s="27" t="str">
        <f>IFERROR(__xludf.DUMMYFUNCTION("""COMPUTED_VALUE"""),"Event")</f>
        <v>Event</v>
      </c>
      <c r="C53" s="27" t="str">
        <f>IFERROR(__xludf.DUMMYFUNCTION("""COMPUTED_VALUE"""),"The Phantom Thief Doronma")</f>
        <v>The Phantom Thief Doronma</v>
      </c>
      <c r="D53" s="27" t="str">
        <f>IFERROR(__xludf.DUMMYFUNCTION("""COMPUTED_VALUE"""),"-")</f>
        <v>-</v>
      </c>
      <c r="E53" s="27">
        <f>IFERROR(__xludf.DUMMYFUNCTION("""COMPUTED_VALUE"""),4.0)</f>
        <v>4</v>
      </c>
      <c r="F53" s="27" t="str">
        <f>IFERROR(__xludf.DUMMYFUNCTION("""COMPUTED_VALUE"""),"A")</f>
        <v>A</v>
      </c>
      <c r="G53" s="27" t="str">
        <f>IFERROR(__xludf.DUMMYFUNCTION("""COMPUTED_VALUE"""),"None")</f>
        <v>None</v>
      </c>
      <c r="H53" s="27" t="str">
        <f>IFERROR(__xludf.DUMMYFUNCTION("""COMPUTED_VALUE"""),"-")</f>
        <v>-</v>
      </c>
      <c r="I53" s="28" t="str">
        <f>IFERROR(__xludf.DUMMYFUNCTION("""COMPUTED_VALUE"""),"Look at your opponent's Spell Book. Switch 1 card in the pages immediately before the currently open pages with 1 card in the pages immediately after the currently open pages (except the card in the last page).")</f>
        <v>Look at your opponent's Spell Book. Switch 1 card in the pages immediately before the currently open pages with 1 card in the pages immediately after the currently open pages (except the card in the last page).</v>
      </c>
      <c r="J53" s="27" t="str">
        <f>IFERROR(__xludf.DUMMYFUNCTION("""COMPUTED_VALUE"""),"-")</f>
        <v>-</v>
      </c>
      <c r="K53" s="27" t="str">
        <f>IFERROR(__xludf.DUMMYFUNCTION("""COMPUTED_VALUE"""),"-")</f>
        <v>-</v>
      </c>
      <c r="L53" s="27" t="str">
        <f>IFERROR(__xludf.DUMMYFUNCTION("""COMPUTED_VALUE"""),"The Gathering Storm, Series 3, Level 3, The Best Booster 1, File 1: Zatch Bell &amp; Ponygon")</f>
        <v>The Gathering Storm, Series 3, Level 3, The Best Booster 1, File 1: Zatch Bell &amp; Ponygon</v>
      </c>
      <c r="M53" s="27" t="str">
        <f>IFERROR(__xludf.DUMMYFUNCTION("""COMPUTED_VALUE"""),"[R]")</f>
        <v>[R]</v>
      </c>
      <c r="N53" s="27" t="str">
        <f>IFERROR(__xludf.DUMMYFUNCTION("""COMPUTED_VALUE"""),"""My name is Kotaro Doronma.""")</f>
        <v>"My name is Kotaro Doronma."</v>
      </c>
      <c r="O53" s="27"/>
      <c r="P53" s="27"/>
      <c r="Q53" s="27"/>
      <c r="R53" s="27"/>
      <c r="S53" s="27"/>
      <c r="T53" s="27"/>
      <c r="U53" s="27"/>
      <c r="V53" s="27"/>
      <c r="W53" s="27"/>
      <c r="X53" s="27"/>
      <c r="Y53" s="27"/>
      <c r="Z53" s="27"/>
    </row>
    <row r="54">
      <c r="A54" s="29" t="str">
        <f>IFERROR(__xludf.DUMMYFUNCTION("""COMPUTED_VALUE"""),"E-038")</f>
        <v>E-038</v>
      </c>
      <c r="B54" s="27" t="str">
        <f>IFERROR(__xludf.DUMMYFUNCTION("""COMPUTED_VALUE"""),"Event")</f>
        <v>Event</v>
      </c>
      <c r="C54" s="27" t="str">
        <f>IFERROR(__xludf.DUMMYFUNCTION("""COMPUTED_VALUE"""),"Tia's Homemade Dish")</f>
        <v>Tia's Homemade Dish</v>
      </c>
      <c r="D54" s="27" t="str">
        <f>IFERROR(__xludf.DUMMYFUNCTION("""COMPUTED_VALUE"""),"-")</f>
        <v>-</v>
      </c>
      <c r="E54" s="27">
        <f>IFERROR(__xludf.DUMMYFUNCTION("""COMPUTED_VALUE"""),0.0)</f>
        <v>0</v>
      </c>
      <c r="F54" s="27" t="str">
        <f>IFERROR(__xludf.DUMMYFUNCTION("""COMPUTED_VALUE"""),"A")</f>
        <v>A</v>
      </c>
      <c r="G54" s="27" t="str">
        <f>IFERROR(__xludf.DUMMYFUNCTION("""COMPUTED_VALUE"""),"None")</f>
        <v>None</v>
      </c>
      <c r="H54" s="27" t="str">
        <f>IFERROR(__xludf.DUMMYFUNCTION("""COMPUTED_VALUE"""),"-")</f>
        <v>-</v>
      </c>
      <c r="I54" s="28" t="str">
        <f>IFERROR(__xludf.DUMMYFUNCTION("""COMPUTED_VALUE"""),"[STANDBY] Get 4 MP at the END PHASE of this turn.")</f>
        <v>[STANDBY] Get 4 MP at the END PHASE of this turn.</v>
      </c>
      <c r="J54" s="27" t="str">
        <f>IFERROR(__xludf.DUMMYFUNCTION("""COMPUTED_VALUE"""),"-")</f>
        <v>-</v>
      </c>
      <c r="K54" s="27" t="str">
        <f>IFERROR(__xludf.DUMMYFUNCTION("""COMPUTED_VALUE"""),"-")</f>
        <v>-</v>
      </c>
      <c r="L54" s="27" t="str">
        <f>IFERROR(__xludf.DUMMYFUNCTION("""COMPUTED_VALUE"""),"Supreme Power of the Golden Spell, Series 2, Zatch Bell and His Friends")</f>
        <v>Supreme Power of the Golden Spell, Series 2, Zatch Bell and His Friends</v>
      </c>
      <c r="M54" s="27" t="str">
        <f>IFERROR(__xludf.DUMMYFUNCTION("""COMPUTED_VALUE"""),"[R]")</f>
        <v>[R]</v>
      </c>
      <c r="N54" s="27" t="str">
        <f>IFERROR(__xludf.DUMMYFUNCTION("""COMPUTED_VALUE"""),"""I cooked it with all my heart. Enjoy it.""")</f>
        <v>"I cooked it with all my heart. Enjoy it."</v>
      </c>
      <c r="O54" s="27"/>
      <c r="P54" s="27"/>
      <c r="Q54" s="27"/>
      <c r="R54" s="27"/>
      <c r="S54" s="27"/>
      <c r="T54" s="27"/>
      <c r="U54" s="27"/>
      <c r="V54" s="27"/>
      <c r="W54" s="27"/>
      <c r="X54" s="27"/>
      <c r="Y54" s="27"/>
      <c r="Z54" s="27"/>
    </row>
    <row r="55">
      <c r="A55" s="29" t="str">
        <f>IFERROR(__xludf.DUMMYFUNCTION("""COMPUTED_VALUE"""),"E-039e")</f>
        <v>E-039e</v>
      </c>
      <c r="B55" s="27" t="str">
        <f>IFERROR(__xludf.DUMMYFUNCTION("""COMPUTED_VALUE"""),"Event")</f>
        <v>Event</v>
      </c>
      <c r="C55" s="27" t="str">
        <f>IFERROR(__xludf.DUMMYFUNCTION("""COMPUTED_VALUE"""),"Rushka")</f>
        <v>Rushka</v>
      </c>
      <c r="D55" s="27" t="str">
        <f>IFERROR(__xludf.DUMMYFUNCTION("""COMPUTED_VALUE"""),"-")</f>
        <v>-</v>
      </c>
      <c r="E55" s="27">
        <f>IFERROR(__xludf.DUMMYFUNCTION("""COMPUTED_VALUE"""),0.0)</f>
        <v>0</v>
      </c>
      <c r="F55" s="27" t="str">
        <f>IFERROR(__xludf.DUMMYFUNCTION("""COMPUTED_VALUE"""),"A")</f>
        <v>A</v>
      </c>
      <c r="G55" s="27" t="str">
        <f>IFERROR(__xludf.DUMMYFUNCTION("""COMPUTED_VALUE"""),"None")</f>
        <v>None</v>
      </c>
      <c r="H55" s="27" t="str">
        <f>IFERROR(__xludf.DUMMYFUNCTION("""COMPUTED_VALUE"""),"-")</f>
        <v>-</v>
      </c>
      <c r="I55" s="28" t="str">
        <f>IFERROR(__xludf.DUMMYFUNCTION("""COMPUTED_VALUE"""),"Turn 1 page of your Spell Book and get 3 MP. In addition, you cannot play SPELL cards during this turn (this effect cannot be negated). Effects that turn pages of your Spell Book can be applied only once per turn (per player).")</f>
        <v>Turn 1 page of your Spell Book and get 3 MP. In addition, you cannot play SPELL cards during this turn (this effect cannot be negated). Effects that turn pages of your Spell Book can be applied only once per turn (per player).</v>
      </c>
      <c r="J55" s="27" t="str">
        <f>IFERROR(__xludf.DUMMYFUNCTION("""COMPUTED_VALUE"""),"-")</f>
        <v>-</v>
      </c>
      <c r="K55" s="27" t="str">
        <f>IFERROR(__xludf.DUMMYFUNCTION("""COMPUTED_VALUE"""),"-")</f>
        <v>-</v>
      </c>
      <c r="L55" s="27" t="str">
        <f>IFERROR(__xludf.DUMMYFUNCTION("""COMPUTED_VALUE"""),"Supreme Power of the Golden Spell, Series 2, Zatch Bell and His Friends, Revised Edition")</f>
        <v>Supreme Power of the Golden Spell, Series 2, Zatch Bell and His Friends, Revised Edition</v>
      </c>
      <c r="M55" s="27" t="str">
        <f>IFERROR(__xludf.DUMMYFUNCTION("""COMPUTED_VALUE"""),"[U]")</f>
        <v>[U]</v>
      </c>
      <c r="N55" s="27" t="str">
        <f>IFERROR(__xludf.DUMMYFUNCTION("""COMPUTED_VALUE"""),"""My brother... I'm so happy.""")</f>
        <v>"My brother... I'm so happy."</v>
      </c>
      <c r="O55" s="27"/>
      <c r="P55" s="27"/>
      <c r="Q55" s="27"/>
      <c r="R55" s="27"/>
      <c r="S55" s="27"/>
      <c r="T55" s="27"/>
      <c r="U55" s="27"/>
      <c r="V55" s="27"/>
      <c r="W55" s="27"/>
      <c r="X55" s="27"/>
      <c r="Y55" s="27"/>
      <c r="Z55" s="27"/>
    </row>
    <row r="56">
      <c r="A56" s="29" t="str">
        <f>IFERROR(__xludf.DUMMYFUNCTION("""COMPUTED_VALUE"""),"E-039j")</f>
        <v>E-039j</v>
      </c>
      <c r="B56" s="27" t="str">
        <f>IFERROR(__xludf.DUMMYFUNCTION("""COMPUTED_VALUE"""),"Event")</f>
        <v>Event</v>
      </c>
      <c r="C56" s="27" t="str">
        <f>IFERROR(__xludf.DUMMYFUNCTION("""COMPUTED_VALUE"""),"Rushka")</f>
        <v>Rushka</v>
      </c>
      <c r="D56" s="27" t="str">
        <f>IFERROR(__xludf.DUMMYFUNCTION("""COMPUTED_VALUE"""),"-")</f>
        <v>-</v>
      </c>
      <c r="E56" s="27">
        <f>IFERROR(__xludf.DUMMYFUNCTION("""COMPUTED_VALUE"""),0.0)</f>
        <v>0</v>
      </c>
      <c r="F56" s="27" t="str">
        <f>IFERROR(__xludf.DUMMYFUNCTION("""COMPUTED_VALUE"""),"A")</f>
        <v>A</v>
      </c>
      <c r="G56" s="27" t="str">
        <f>IFERROR(__xludf.DUMMYFUNCTION("""COMPUTED_VALUE"""),"None")</f>
        <v>None</v>
      </c>
      <c r="H56" s="27" t="str">
        <f>IFERROR(__xludf.DUMMYFUNCTION("""COMPUTED_VALUE"""),"-")</f>
        <v>-</v>
      </c>
      <c r="I56" s="28" t="str">
        <f>IFERROR(__xludf.DUMMYFUNCTION("""COMPUTED_VALUE"""),"Turn 1 page of your Spell Book and get 3 MP. In addition, you cannot Attack during this turn (this effect cannot be negated). Effects that turn pages of your Spell Book can be applied only once per turn (per player).")</f>
        <v>Turn 1 page of your Spell Book and get 3 MP. In addition, you cannot Attack during this turn (this effect cannot be negated). Effects that turn pages of your Spell Book can be applied only once per turn (per player).</v>
      </c>
      <c r="J56" s="27" t="str">
        <f>IFERROR(__xludf.DUMMYFUNCTION("""COMPUTED_VALUE"""),"-")</f>
        <v>-</v>
      </c>
      <c r="K56" s="27" t="str">
        <f>IFERROR(__xludf.DUMMYFUNCTION("""COMPUTED_VALUE"""),"-")</f>
        <v>-</v>
      </c>
      <c r="L56" s="27" t="str">
        <f>IFERROR(__xludf.DUMMYFUNCTION("""COMPUTED_VALUE"""),"Supreme Power of the Golden Spell, Series 2, Zatch Bell and His Friends, Revised Edition")</f>
        <v>Supreme Power of the Golden Spell, Series 2, Zatch Bell and His Friends, Revised Edition</v>
      </c>
      <c r="M56" s="27" t="str">
        <f>IFERROR(__xludf.DUMMYFUNCTION("""COMPUTED_VALUE"""),"[U]")</f>
        <v>[U]</v>
      </c>
      <c r="N56" s="27" t="str">
        <f>IFERROR(__xludf.DUMMYFUNCTION("""COMPUTED_VALUE"""),"""My brother... I'm so happy.""")</f>
        <v>"My brother... I'm so happy."</v>
      </c>
      <c r="O56" s="27"/>
      <c r="P56" s="27"/>
      <c r="Q56" s="27"/>
      <c r="R56" s="27"/>
      <c r="S56" s="27"/>
      <c r="T56" s="27"/>
      <c r="U56" s="27"/>
      <c r="V56" s="27"/>
      <c r="W56" s="27"/>
      <c r="X56" s="27"/>
      <c r="Y56" s="27"/>
      <c r="Z56" s="27"/>
    </row>
    <row r="57">
      <c r="A57" s="29" t="str">
        <f>IFERROR(__xludf.DUMMYFUNCTION("""COMPUTED_VALUE"""),"E-040")</f>
        <v>E-040</v>
      </c>
      <c r="B57" s="27" t="str">
        <f>IFERROR(__xludf.DUMMYFUNCTION("""COMPUTED_VALUE"""),"Event")</f>
        <v>Event</v>
      </c>
      <c r="C57" s="27" t="str">
        <f>IFERROR(__xludf.DUMMYFUNCTION("""COMPUTED_VALUE"""),"Friends")</f>
        <v>Friends</v>
      </c>
      <c r="D57" s="27" t="str">
        <f>IFERROR(__xludf.DUMMYFUNCTION("""COMPUTED_VALUE"""),"-")</f>
        <v>-</v>
      </c>
      <c r="E57" s="27">
        <f>IFERROR(__xludf.DUMMYFUNCTION("""COMPUTED_VALUE"""),0.0)</f>
        <v>0</v>
      </c>
      <c r="F57" s="27" t="str">
        <f>IFERROR(__xludf.DUMMYFUNCTION("""COMPUTED_VALUE"""),"A")</f>
        <v>A</v>
      </c>
      <c r="G57" s="27" t="str">
        <f>IFERROR(__xludf.DUMMYFUNCTION("""COMPUTED_VALUE"""),"None")</f>
        <v>None</v>
      </c>
      <c r="H57" s="27" t="str">
        <f>IFERROR(__xludf.DUMMYFUNCTION("""COMPUTED_VALUE"""),"-")</f>
        <v>-</v>
      </c>
      <c r="I57" s="28" t="str">
        <f>IFERROR(__xludf.DUMMYFUNCTION("""COMPUTED_VALUE"""),"This EVENT card can be played only when you have 2 or more MAMODO cards in play. Turn all of your in-play MAMODO cards to Normal Status.")</f>
        <v>This EVENT card can be played only when you have 2 or more MAMODO cards in play. Turn all of your in-play MAMODO cards to Normal Status.</v>
      </c>
      <c r="J57" s="27" t="str">
        <f>IFERROR(__xludf.DUMMYFUNCTION("""COMPUTED_VALUE"""),"-")</f>
        <v>-</v>
      </c>
      <c r="K57" s="27" t="str">
        <f>IFERROR(__xludf.DUMMYFUNCTION("""COMPUTED_VALUE"""),"-")</f>
        <v>-</v>
      </c>
      <c r="L57" s="27" t="str">
        <f>IFERROR(__xludf.DUMMYFUNCTION("""COMPUTED_VALUE"""),"Supreme Power of the Golden Spell, Series 2, Zatch Bell and His Friends")</f>
        <v>Supreme Power of the Golden Spell, Series 2, Zatch Bell and His Friends</v>
      </c>
      <c r="M57" s="27" t="str">
        <f>IFERROR(__xludf.DUMMYFUNCTION("""COMPUTED_VALUE"""),"[SR]")</f>
        <v>[SR]</v>
      </c>
      <c r="N57" s="27" t="str">
        <f>IFERROR(__xludf.DUMMYFUNCTION("""COMPUTED_VALUE"""),"1+1 can be 10... it's real friendship.")</f>
        <v>1+1 can be 10... it's real friendship.</v>
      </c>
      <c r="O57" s="27"/>
      <c r="P57" s="27"/>
      <c r="Q57" s="27"/>
      <c r="R57" s="27"/>
      <c r="S57" s="27"/>
      <c r="T57" s="27"/>
      <c r="U57" s="27"/>
      <c r="V57" s="27"/>
      <c r="W57" s="27"/>
      <c r="X57" s="27"/>
      <c r="Y57" s="27"/>
      <c r="Z57" s="27"/>
    </row>
    <row r="58">
      <c r="A58" s="29" t="str">
        <f>IFERROR(__xludf.DUMMYFUNCTION("""COMPUTED_VALUE"""),"E-041")</f>
        <v>E-041</v>
      </c>
      <c r="B58" s="27" t="str">
        <f>IFERROR(__xludf.DUMMYFUNCTION("""COMPUTED_VALUE"""),"Event")</f>
        <v>Event</v>
      </c>
      <c r="C58" s="27" t="str">
        <f>IFERROR(__xludf.DUMMYFUNCTION("""COMPUTED_VALUE"""),"My Irritation Isn't Going Away!")</f>
        <v>My Irritation Isn't Going Away!</v>
      </c>
      <c r="D58" s="27" t="str">
        <f>IFERROR(__xludf.DUMMYFUNCTION("""COMPUTED_VALUE"""),"-")</f>
        <v>-</v>
      </c>
      <c r="E58" s="27">
        <f>IFERROR(__xludf.DUMMYFUNCTION("""COMPUTED_VALUE"""),1.0)</f>
        <v>1</v>
      </c>
      <c r="F58" s="27" t="str">
        <f>IFERROR(__xludf.DUMMYFUNCTION("""COMPUTED_VALUE"""),"A")</f>
        <v>A</v>
      </c>
      <c r="G58" s="27" t="str">
        <f>IFERROR(__xludf.DUMMYFUNCTION("""COMPUTED_VALUE"""),"None")</f>
        <v>None</v>
      </c>
      <c r="H58" s="27" t="str">
        <f>IFERROR(__xludf.DUMMYFUNCTION("""COMPUTED_VALUE"""),"-")</f>
        <v>-</v>
      </c>
      <c r="I58" s="28" t="str">
        <f>IFERROR(__xludf.DUMMYFUNCTION("""COMPUTED_VALUE"""),"This EVENT card can be played only if you inflicted Damage or Injury during this turn. [STANDBY] Turn 1 page of your opponent's Spell Book at the END PHASE of this turn.")</f>
        <v>This EVENT card can be played only if you inflicted Damage or Injury during this turn. [STANDBY] Turn 1 page of your opponent's Spell Book at the END PHASE of this turn.</v>
      </c>
      <c r="J58" s="27" t="str">
        <f>IFERROR(__xludf.DUMMYFUNCTION("""COMPUTED_VALUE"""),"-")</f>
        <v>-</v>
      </c>
      <c r="K58" s="27" t="str">
        <f>IFERROR(__xludf.DUMMYFUNCTION("""COMPUTED_VALUE"""),"-")</f>
        <v>-</v>
      </c>
      <c r="L58" s="27" t="str">
        <f>IFERROR(__xludf.DUMMYFUNCTION("""COMPUTED_VALUE"""),"The Gathering Storm, Series 3, Zeno and the Most Powerful Mamodo")</f>
        <v>The Gathering Storm, Series 3, Zeno and the Most Powerful Mamodo</v>
      </c>
      <c r="M58" s="27" t="str">
        <f>IFERROR(__xludf.DUMMYFUNCTION("""COMPUTED_VALUE"""),"[R]")</f>
        <v>[R]</v>
      </c>
      <c r="N58" s="27" t="str">
        <f>IFERROR(__xludf.DUMMYFUNCTION("""COMPUTED_VALUE"""),"""How boring. That's it, you guys?""")</f>
        <v>"How boring. That's it, you guys?"</v>
      </c>
      <c r="O58" s="27"/>
      <c r="P58" s="27"/>
      <c r="Q58" s="27"/>
      <c r="R58" s="27"/>
      <c r="S58" s="27"/>
      <c r="T58" s="27"/>
      <c r="U58" s="27"/>
      <c r="V58" s="27"/>
      <c r="W58" s="27"/>
      <c r="X58" s="27"/>
      <c r="Y58" s="27"/>
      <c r="Z58" s="27"/>
    </row>
    <row r="59">
      <c r="A59" s="29" t="str">
        <f>IFERROR(__xludf.DUMMYFUNCTION("""COMPUTED_VALUE"""),"E-042")</f>
        <v>E-042</v>
      </c>
      <c r="B59" s="27" t="str">
        <f>IFERROR(__xludf.DUMMYFUNCTION("""COMPUTED_VALUE"""),"Event")</f>
        <v>Event</v>
      </c>
      <c r="C59" s="27" t="str">
        <f>IFERROR(__xludf.DUMMYFUNCTION("""COMPUTED_VALUE"""),"Light and Darkness")</f>
        <v>Light and Darkness</v>
      </c>
      <c r="D59" s="27" t="str">
        <f>IFERROR(__xludf.DUMMYFUNCTION("""COMPUTED_VALUE"""),"-")</f>
        <v>-</v>
      </c>
      <c r="E59" s="27">
        <f>IFERROR(__xludf.DUMMYFUNCTION("""COMPUTED_VALUE"""),8.0)</f>
        <v>8</v>
      </c>
      <c r="F59" s="27" t="str">
        <f>IFERROR(__xludf.DUMMYFUNCTION("""COMPUTED_VALUE"""),"A")</f>
        <v>A</v>
      </c>
      <c r="G59" s="27" t="str">
        <f>IFERROR(__xludf.DUMMYFUNCTION("""COMPUTED_VALUE"""),"None")</f>
        <v>None</v>
      </c>
      <c r="H59" s="27" t="str">
        <f>IFERROR(__xludf.DUMMYFUNCTION("""COMPUTED_VALUE"""),"-")</f>
        <v>-</v>
      </c>
      <c r="I59" s="28" t="str">
        <f>IFERROR(__xludf.DUMMYFUNCTION("""COMPUTED_VALUE"""),"[STANDBY] Both players select 1 of their own in-play MAMODO cards at the END PHASE of this turn. All other in-play MAMODO cards are sent to the Discard Pile.")</f>
        <v>[STANDBY] Both players select 1 of their own in-play MAMODO cards at the END PHASE of this turn. All other in-play MAMODO cards are sent to the Discard Pile.</v>
      </c>
      <c r="J59" s="27" t="str">
        <f>IFERROR(__xludf.DUMMYFUNCTION("""COMPUTED_VALUE"""),"-")</f>
        <v>-</v>
      </c>
      <c r="K59" s="27" t="str">
        <f>IFERROR(__xludf.DUMMYFUNCTION("""COMPUTED_VALUE"""),"-")</f>
        <v>-</v>
      </c>
      <c r="L59" s="27" t="str">
        <f>IFERROR(__xludf.DUMMYFUNCTION("""COMPUTED_VALUE"""),"Supreme Power of the Golden Spell, Series 2, Zeno and the Most Powerful Mamodo")</f>
        <v>Supreme Power of the Golden Spell, Series 2, Zeno and the Most Powerful Mamodo</v>
      </c>
      <c r="M59" s="27" t="str">
        <f>IFERROR(__xludf.DUMMYFUNCTION("""COMPUTED_VALUE"""),"[R]")</f>
        <v>[R]</v>
      </c>
      <c r="N59" s="27" t="str">
        <f>IFERROR(__xludf.DUMMYFUNCTION("""COMPUTED_VALUE"""),"They look so alike. What is their relationship?")</f>
        <v>They look so alike. What is their relationship?</v>
      </c>
      <c r="O59" s="27"/>
      <c r="P59" s="27"/>
      <c r="Q59" s="27"/>
      <c r="R59" s="27"/>
      <c r="S59" s="27"/>
      <c r="T59" s="27"/>
      <c r="U59" s="27"/>
      <c r="V59" s="27"/>
      <c r="W59" s="27"/>
      <c r="X59" s="27"/>
      <c r="Y59" s="27"/>
      <c r="Z59" s="27"/>
    </row>
    <row r="60">
      <c r="A60" s="29" t="str">
        <f>IFERROR(__xludf.DUMMYFUNCTION("""COMPUTED_VALUE"""),"E-043")</f>
        <v>E-043</v>
      </c>
      <c r="B60" s="27" t="str">
        <f>IFERROR(__xludf.DUMMYFUNCTION("""COMPUTED_VALUE"""),"Event")</f>
        <v>Event</v>
      </c>
      <c r="C60" s="27" t="str">
        <f>IFERROR(__xludf.DUMMYFUNCTION("""COMPUTED_VALUE"""),"The Most Powerful Mamodo")</f>
        <v>The Most Powerful Mamodo</v>
      </c>
      <c r="D60" s="27" t="str">
        <f>IFERROR(__xludf.DUMMYFUNCTION("""COMPUTED_VALUE"""),"-")</f>
        <v>-</v>
      </c>
      <c r="E60" s="27">
        <f>IFERROR(__xludf.DUMMYFUNCTION("""COMPUTED_VALUE"""),0.0)</f>
        <v>0</v>
      </c>
      <c r="F60" s="27" t="str">
        <f>IFERROR(__xludf.DUMMYFUNCTION("""COMPUTED_VALUE"""),"A")</f>
        <v>A</v>
      </c>
      <c r="G60" s="27" t="str">
        <f>IFERROR(__xludf.DUMMYFUNCTION("""COMPUTED_VALUE"""),"None")</f>
        <v>None</v>
      </c>
      <c r="H60" s="27" t="str">
        <f>IFERROR(__xludf.DUMMYFUNCTION("""COMPUTED_VALUE"""),"-")</f>
        <v>-</v>
      </c>
      <c r="I60" s="28" t="str">
        <f>IFERROR(__xludf.DUMMYFUNCTION("""COMPUTED_VALUE"""),"[STAY] Your opponent selects 1 of their in-play MAMODO cards. During this turn, your opponent cannot apply the effects of, nor can they SACRIFICE or PROTECT their Spell Book from Damage, with any other MAMODO cards they have in play except the selected MA"&amp;"MODO card.")</f>
        <v>[STAY] Your opponent selects 1 of their in-play MAMODO cards. During this turn, your opponent cannot apply the effects of, nor can they SACRIFICE or PROTECT their Spell Book from Damage, with any other MAMODO cards they have in play except the selected MAMODO card.</v>
      </c>
      <c r="J60" s="27" t="str">
        <f>IFERROR(__xludf.DUMMYFUNCTION("""COMPUTED_VALUE"""),"-")</f>
        <v>-</v>
      </c>
      <c r="K60" s="27" t="str">
        <f>IFERROR(__xludf.DUMMYFUNCTION("""COMPUTED_VALUE"""),"-")</f>
        <v>-</v>
      </c>
      <c r="L60" s="27" t="str">
        <f>IFERROR(__xludf.DUMMYFUNCTION("""COMPUTED_VALUE"""),"Supreme Power of the Golden Spell, Series 2, Zeno and the Most Powerful Mamodo")</f>
        <v>Supreme Power of the Golden Spell, Series 2, Zeno and the Most Powerful Mamodo</v>
      </c>
      <c r="M60" s="27" t="str">
        <f>IFERROR(__xludf.DUMMYFUNCTION("""COMPUTED_VALUE"""),"[SR]")</f>
        <v>[SR]</v>
      </c>
      <c r="N60" s="27" t="str">
        <f>IFERROR(__xludf.DUMMYFUNCTION("""COMPUTED_VALUE"""),"The lonely quest for each mamodo to become king continues.")</f>
        <v>The lonely quest for each mamodo to become king continues.</v>
      </c>
      <c r="O60" s="27"/>
      <c r="P60" s="27"/>
      <c r="Q60" s="27"/>
      <c r="R60" s="27"/>
      <c r="S60" s="27"/>
      <c r="T60" s="27"/>
      <c r="U60" s="27"/>
      <c r="V60" s="27"/>
      <c r="W60" s="27"/>
      <c r="X60" s="27"/>
      <c r="Y60" s="27"/>
      <c r="Z60" s="27"/>
    </row>
    <row r="61">
      <c r="A61" s="29" t="str">
        <f>IFERROR(__xludf.DUMMYFUNCTION("""COMPUTED_VALUE"""),"E-044")</f>
        <v>E-044</v>
      </c>
      <c r="B61" s="27" t="str">
        <f>IFERROR(__xludf.DUMMYFUNCTION("""COMPUTED_VALUE"""),"Event")</f>
        <v>Event</v>
      </c>
      <c r="C61" s="27" t="str">
        <f>IFERROR(__xludf.DUMMYFUNCTION("""COMPUTED_VALUE"""),"Express Train")</f>
        <v>Express Train</v>
      </c>
      <c r="D61" s="27" t="str">
        <f>IFERROR(__xludf.DUMMYFUNCTION("""COMPUTED_VALUE"""),"-")</f>
        <v>-</v>
      </c>
      <c r="E61" s="27">
        <f>IFERROR(__xludf.DUMMYFUNCTION("""COMPUTED_VALUE"""),1.0)</f>
        <v>1</v>
      </c>
      <c r="F61" s="27" t="str">
        <f>IFERROR(__xludf.DUMMYFUNCTION("""COMPUTED_VALUE"""),"D")</f>
        <v>D</v>
      </c>
      <c r="G61" s="27" t="str">
        <f>IFERROR(__xludf.DUMMYFUNCTION("""COMPUTED_VALUE"""),"None")</f>
        <v>None</v>
      </c>
      <c r="H61" s="27" t="str">
        <f>IFERROR(__xludf.DUMMYFUNCTION("""COMPUTED_VALUE"""),"-")</f>
        <v>-</v>
      </c>
      <c r="I61" s="28" t="str">
        <f>IFERROR(__xludf.DUMMYFUNCTION("""COMPUTED_VALUE"""),"Select 1 MAMODO or PARTNER card from the currently open pages of your Spell Book and put it in play.")</f>
        <v>Select 1 MAMODO or PARTNER card from the currently open pages of your Spell Book and put it in play.</v>
      </c>
      <c r="J61" s="27" t="str">
        <f>IFERROR(__xludf.DUMMYFUNCTION("""COMPUTED_VALUE"""),"-")</f>
        <v>-</v>
      </c>
      <c r="K61" s="27" t="str">
        <f>IFERROR(__xludf.DUMMYFUNCTION("""COMPUTED_VALUE"""),"-")</f>
        <v>-</v>
      </c>
      <c r="L61" s="27" t="str">
        <f>IFERROR(__xludf.DUMMYFUNCTION("""COMPUTED_VALUE"""),"The Gathering Storm, Series 3, Special Box, The Best Booster 2, File 1: Zatch Bell &amp; Ponygon")</f>
        <v>The Gathering Storm, Series 3, Special Box, The Best Booster 2, File 1: Zatch Bell &amp; Ponygon</v>
      </c>
      <c r="M61" s="27" t="str">
        <f>IFERROR(__xludf.DUMMYFUNCTION("""COMPUTED_VALUE"""),"[C]")</f>
        <v>[C]</v>
      </c>
      <c r="N61" s="27" t="str">
        <f>IFERROR(__xludf.DUMMYFUNCTION("""COMPUTED_VALUE"""),"“Zatch, wait a minute!”")</f>
        <v>“Zatch, wait a minute!”</v>
      </c>
      <c r="O61" s="27"/>
      <c r="P61" s="27"/>
      <c r="Q61" s="27"/>
      <c r="R61" s="27"/>
      <c r="S61" s="27"/>
      <c r="T61" s="27"/>
      <c r="U61" s="27"/>
      <c r="V61" s="27"/>
      <c r="W61" s="27"/>
      <c r="X61" s="27"/>
      <c r="Y61" s="27"/>
      <c r="Z61" s="27"/>
    </row>
    <row r="62">
      <c r="A62" s="29" t="str">
        <f>IFERROR(__xludf.DUMMYFUNCTION("""COMPUTED_VALUE"""),"E-045")</f>
        <v>E-045</v>
      </c>
      <c r="B62" s="27" t="str">
        <f>IFERROR(__xludf.DUMMYFUNCTION("""COMPUTED_VALUE"""),"Event")</f>
        <v>Event</v>
      </c>
      <c r="C62" s="27" t="str">
        <f>IFERROR(__xludf.DUMMYFUNCTION("""COMPUTED_VALUE"""),"King of Freedom")</f>
        <v>King of Freedom</v>
      </c>
      <c r="D62" s="27" t="str">
        <f>IFERROR(__xludf.DUMMYFUNCTION("""COMPUTED_VALUE"""),"-")</f>
        <v>-</v>
      </c>
      <c r="E62" s="27">
        <f>IFERROR(__xludf.DUMMYFUNCTION("""COMPUTED_VALUE"""),2.0)</f>
        <v>2</v>
      </c>
      <c r="F62" s="27" t="str">
        <f>IFERROR(__xludf.DUMMYFUNCTION("""COMPUTED_VALUE"""),"A")</f>
        <v>A</v>
      </c>
      <c r="G62" s="27" t="str">
        <f>IFERROR(__xludf.DUMMYFUNCTION("""COMPUTED_VALUE"""),"None")</f>
        <v>None</v>
      </c>
      <c r="H62" s="27" t="str">
        <f>IFERROR(__xludf.DUMMYFUNCTION("""COMPUTED_VALUE"""),"-")</f>
        <v>-</v>
      </c>
      <c r="I62" s="28" t="str">
        <f>IFERROR(__xludf.DUMMYFUNCTION("""COMPUTED_VALUE"""),"Look at your opponent's Spell Book. Select 1 card that prohibits you from applying MAMODO card effects, playing SPELL cards, OR SACRIFICING or PROTECTING your Spell Book from Damage, and send it to the Discard Pile.")</f>
        <v>Look at your opponent's Spell Book. Select 1 card that prohibits you from applying MAMODO card effects, playing SPELL cards, OR SACRIFICING or PROTECTING your Spell Book from Damage, and send it to the Discard Pile.</v>
      </c>
      <c r="J62" s="27" t="str">
        <f>IFERROR(__xludf.DUMMYFUNCTION("""COMPUTED_VALUE"""),"-")</f>
        <v>-</v>
      </c>
      <c r="K62" s="27" t="str">
        <f>IFERROR(__xludf.DUMMYFUNCTION("""COMPUTED_VALUE"""),"-")</f>
        <v>-</v>
      </c>
      <c r="L62" s="27" t="str">
        <f>IFERROR(__xludf.DUMMYFUNCTION("""COMPUTED_VALUE"""),"The Gathering Storm, Series 3, Special Box")</f>
        <v>The Gathering Storm, Series 3, Special Box</v>
      </c>
      <c r="M62" s="27" t="str">
        <f>IFERROR(__xludf.DUMMYFUNCTION("""COMPUTED_VALUE"""),"[C]")</f>
        <v>[C]</v>
      </c>
      <c r="N62" s="27" t="str">
        <f>IFERROR(__xludf.DUMMYFUNCTION("""COMPUTED_VALUE"""),"“I just want to travel freely.”")</f>
        <v>“I just want to travel freely.”</v>
      </c>
      <c r="O62" s="27"/>
      <c r="P62" s="27"/>
      <c r="Q62" s="27"/>
      <c r="R62" s="27"/>
      <c r="S62" s="27"/>
      <c r="T62" s="27"/>
      <c r="U62" s="27"/>
      <c r="V62" s="27"/>
      <c r="W62" s="27"/>
      <c r="X62" s="27"/>
      <c r="Y62" s="27"/>
      <c r="Z62" s="27"/>
    </row>
    <row r="63">
      <c r="A63" s="29" t="str">
        <f>IFERROR(__xludf.DUMMYFUNCTION("""COMPUTED_VALUE"""),"E-046")</f>
        <v>E-046</v>
      </c>
      <c r="B63" s="27" t="str">
        <f>IFERROR(__xludf.DUMMYFUNCTION("""COMPUTED_VALUE"""),"Event")</f>
        <v>Event</v>
      </c>
      <c r="C63" s="27" t="str">
        <f>IFERROR(__xludf.DUMMYFUNCTION("""COMPUTED_VALUE"""),"I'm Energized!")</f>
        <v>I'm Energized!</v>
      </c>
      <c r="D63" s="27" t="str">
        <f>IFERROR(__xludf.DUMMYFUNCTION("""COMPUTED_VALUE"""),"-")</f>
        <v>-</v>
      </c>
      <c r="E63" s="27">
        <f>IFERROR(__xludf.DUMMYFUNCTION("""COMPUTED_VALUE"""),0.0)</f>
        <v>0</v>
      </c>
      <c r="F63" s="27" t="str">
        <f>IFERROR(__xludf.DUMMYFUNCTION("""COMPUTED_VALUE"""),"A")</f>
        <v>A</v>
      </c>
      <c r="G63" s="27" t="str">
        <f>IFERROR(__xludf.DUMMYFUNCTION("""COMPUTED_VALUE"""),"None")</f>
        <v>None</v>
      </c>
      <c r="H63" s="27" t="str">
        <f>IFERROR(__xludf.DUMMYFUNCTION("""COMPUTED_VALUE"""),"-")</f>
        <v>-</v>
      </c>
      <c r="I63" s="28" t="str">
        <f>IFERROR(__xludf.DUMMYFUNCTION("""COMPUTED_VALUE"""),"Flip a coin a number of times equal to the number of your in-play MAMODO and PARTNER cards; get MP equal to the number of heads you get times 1.")</f>
        <v>Flip a coin a number of times equal to the number of your in-play MAMODO and PARTNER cards; get MP equal to the number of heads you get times 1.</v>
      </c>
      <c r="J63" s="27" t="str">
        <f>IFERROR(__xludf.DUMMYFUNCTION("""COMPUTED_VALUE"""),"-")</f>
        <v>-</v>
      </c>
      <c r="K63" s="27" t="str">
        <f>IFERROR(__xludf.DUMMYFUNCTION("""COMPUTED_VALUE"""),"-")</f>
        <v>-</v>
      </c>
      <c r="L63" s="27" t="str">
        <f>IFERROR(__xludf.DUMMYFUNCTION("""COMPUTED_VALUE"""),"The Gathering Storm, Series 3, Special Box")</f>
        <v>The Gathering Storm, Series 3, Special Box</v>
      </c>
      <c r="M63" s="27" t="str">
        <f>IFERROR(__xludf.DUMMYFUNCTION("""COMPUTED_VALUE"""),"[C]")</f>
        <v>[C]</v>
      </c>
      <c r="N63" s="27" t="str">
        <f>IFERROR(__xludf.DUMMYFUNCTION("""COMPUTED_VALUE"""),"“Let’s go, everybody!”")</f>
        <v>“Let’s go, everybody!”</v>
      </c>
      <c r="O63" s="27"/>
      <c r="P63" s="27"/>
      <c r="Q63" s="27"/>
      <c r="R63" s="27"/>
      <c r="S63" s="27"/>
      <c r="T63" s="27"/>
      <c r="U63" s="27"/>
      <c r="V63" s="27"/>
      <c r="W63" s="27"/>
      <c r="X63" s="27"/>
      <c r="Y63" s="27"/>
      <c r="Z63" s="27"/>
    </row>
    <row r="64">
      <c r="A64" s="29" t="str">
        <f>IFERROR(__xludf.DUMMYFUNCTION("""COMPUTED_VALUE"""),"E-047")</f>
        <v>E-047</v>
      </c>
      <c r="B64" s="27" t="str">
        <f>IFERROR(__xludf.DUMMYFUNCTION("""COMPUTED_VALUE"""),"Event")</f>
        <v>Event</v>
      </c>
      <c r="C64" s="27" t="str">
        <f>IFERROR(__xludf.DUMMYFUNCTION("""COMPUTED_VALUE"""),"Brutal Tia")</f>
        <v>Brutal Tia</v>
      </c>
      <c r="D64" s="27" t="str">
        <f>IFERROR(__xludf.DUMMYFUNCTION("""COMPUTED_VALUE"""),"-")</f>
        <v>-</v>
      </c>
      <c r="E64" s="27">
        <f>IFERROR(__xludf.DUMMYFUNCTION("""COMPUTED_VALUE"""),0.0)</f>
        <v>0</v>
      </c>
      <c r="F64" s="27" t="str">
        <f>IFERROR(__xludf.DUMMYFUNCTION("""COMPUTED_VALUE"""),"AD")</f>
        <v>AD</v>
      </c>
      <c r="G64" s="27" t="str">
        <f>IFERROR(__xludf.DUMMYFUNCTION("""COMPUTED_VALUE"""),"None")</f>
        <v>None</v>
      </c>
      <c r="H64" s="27" t="str">
        <f>IFERROR(__xludf.DUMMYFUNCTION("""COMPUTED_VALUE"""),"-")</f>
        <v>-</v>
      </c>
      <c r="I64" s="28" t="str">
        <f>IFERROR(__xludf.DUMMYFUNCTION("""COMPUTED_VALUE"""),"[STAY] Select 1 of your opponent's MAMODO cards. Your opponent cannot play SPELL cards for the selected MAMODO card during this turn.")</f>
        <v>[STAY] Select 1 of your opponent's MAMODO cards. Your opponent cannot play SPELL cards for the selected MAMODO card during this turn.</v>
      </c>
      <c r="J64" s="27" t="str">
        <f>IFERROR(__xludf.DUMMYFUNCTION("""COMPUTED_VALUE"""),"-")</f>
        <v>-</v>
      </c>
      <c r="K64" s="27" t="str">
        <f>IFERROR(__xludf.DUMMYFUNCTION("""COMPUTED_VALUE"""),"-")</f>
        <v>-</v>
      </c>
      <c r="L64" s="27" t="str">
        <f>IFERROR(__xludf.DUMMYFUNCTION("""COMPUTED_VALUE"""),"The Gathering Storm, Series 3, Special Box")</f>
        <v>The Gathering Storm, Series 3, Special Box</v>
      </c>
      <c r="M64" s="27" t="str">
        <f>IFERROR(__xludf.DUMMYFUNCTION("""COMPUTED_VALUE"""),"[U]")</f>
        <v>[U]</v>
      </c>
      <c r="N64" s="27" t="str">
        <f>IFERROR(__xludf.DUMMYFUNCTION("""COMPUTED_VALUE"""),"“Give me a break!”")</f>
        <v>“Give me a break!”</v>
      </c>
      <c r="O64" s="27"/>
      <c r="P64" s="27"/>
      <c r="Q64" s="27"/>
      <c r="R64" s="27"/>
      <c r="S64" s="27"/>
      <c r="T64" s="27"/>
      <c r="U64" s="27"/>
      <c r="V64" s="27"/>
      <c r="W64" s="27"/>
      <c r="X64" s="27"/>
      <c r="Y64" s="27"/>
      <c r="Z64" s="27"/>
    </row>
    <row r="65">
      <c r="A65" s="29" t="str">
        <f>IFERROR(__xludf.DUMMYFUNCTION("""COMPUTED_VALUE"""),"E-048")</f>
        <v>E-048</v>
      </c>
      <c r="B65" s="27" t="str">
        <f>IFERROR(__xludf.DUMMYFUNCTION("""COMPUTED_VALUE"""),"Event")</f>
        <v>Event</v>
      </c>
      <c r="C65" s="27" t="str">
        <f>IFERROR(__xludf.DUMMYFUNCTION("""COMPUTED_VALUE"""),"Trust")</f>
        <v>Trust</v>
      </c>
      <c r="D65" s="27" t="str">
        <f>IFERROR(__xludf.DUMMYFUNCTION("""COMPUTED_VALUE"""),"-")</f>
        <v>-</v>
      </c>
      <c r="E65" s="27">
        <f>IFERROR(__xludf.DUMMYFUNCTION("""COMPUTED_VALUE"""),0.0)</f>
        <v>0</v>
      </c>
      <c r="F65" s="27" t="str">
        <f>IFERROR(__xludf.DUMMYFUNCTION("""COMPUTED_VALUE"""),"A")</f>
        <v>A</v>
      </c>
      <c r="G65" s="27" t="str">
        <f>IFERROR(__xludf.DUMMYFUNCTION("""COMPUTED_VALUE"""),"None")</f>
        <v>None</v>
      </c>
      <c r="H65" s="27" t="str">
        <f>IFERROR(__xludf.DUMMYFUNCTION("""COMPUTED_VALUE"""),"-")</f>
        <v>-</v>
      </c>
      <c r="I65" s="28" t="str">
        <f>IFERROR(__xludf.DUMMYFUNCTION("""COMPUTED_VALUE"""),"[STAY] Add 1000 Power times the number of your in-play MAMODO cards to all of your in-play MAMODO cards until the END PHASE of the next turn.")</f>
        <v>[STAY] Add 1000 Power times the number of your in-play MAMODO cards to all of your in-play MAMODO cards until the END PHASE of the next turn.</v>
      </c>
      <c r="J65" s="27" t="str">
        <f>IFERROR(__xludf.DUMMYFUNCTION("""COMPUTED_VALUE"""),"-")</f>
        <v>-</v>
      </c>
      <c r="K65" s="27" t="str">
        <f>IFERROR(__xludf.DUMMYFUNCTION("""COMPUTED_VALUE"""),"-")</f>
        <v>-</v>
      </c>
      <c r="L65" s="27" t="str">
        <f>IFERROR(__xludf.DUMMYFUNCTION("""COMPUTED_VALUE"""),"The Gathering Storm, Series 3, Special Box, File 1: Zatch Bell &amp; Ponygon")</f>
        <v>The Gathering Storm, Series 3, Special Box, File 1: Zatch Bell &amp; Ponygon</v>
      </c>
      <c r="M65" s="27" t="str">
        <f>IFERROR(__xludf.DUMMYFUNCTION("""COMPUTED_VALUE"""),"[C]")</f>
        <v>[C]</v>
      </c>
      <c r="N65" s="27" t="str">
        <f>IFERROR(__xludf.DUMMYFUNCTION("""COMPUTED_VALUE"""),"The trust between everybody makes them grow stronger.")</f>
        <v>The trust between everybody makes them grow stronger.</v>
      </c>
      <c r="O65" s="27"/>
      <c r="P65" s="27"/>
      <c r="Q65" s="27"/>
      <c r="R65" s="27"/>
      <c r="S65" s="27"/>
      <c r="T65" s="27"/>
      <c r="U65" s="27"/>
      <c r="V65" s="27"/>
      <c r="W65" s="27"/>
      <c r="X65" s="27"/>
      <c r="Y65" s="27"/>
      <c r="Z65" s="27"/>
    </row>
    <row r="66">
      <c r="A66" s="29" t="str">
        <f>IFERROR(__xludf.DUMMYFUNCTION("""COMPUTED_VALUE"""),"E-049")</f>
        <v>E-049</v>
      </c>
      <c r="B66" s="27" t="str">
        <f>IFERROR(__xludf.DUMMYFUNCTION("""COMPUTED_VALUE"""),"Event")</f>
        <v>Event</v>
      </c>
      <c r="C66" s="27" t="str">
        <f>IFERROR(__xludf.DUMMYFUNCTION("""COMPUTED_VALUE"""),"Folgore's Radio-Controlled Car")</f>
        <v>Folgore's Radio-Controlled Car</v>
      </c>
      <c r="D66" s="27" t="str">
        <f>IFERROR(__xludf.DUMMYFUNCTION("""COMPUTED_VALUE"""),"-")</f>
        <v>-</v>
      </c>
      <c r="E66" s="27">
        <f>IFERROR(__xludf.DUMMYFUNCTION("""COMPUTED_VALUE"""),0.0)</f>
        <v>0</v>
      </c>
      <c r="F66" s="27" t="str">
        <f>IFERROR(__xludf.DUMMYFUNCTION("""COMPUTED_VALUE"""),"AD")</f>
        <v>AD</v>
      </c>
      <c r="G66" s="27" t="str">
        <f>IFERROR(__xludf.DUMMYFUNCTION("""COMPUTED_VALUE"""),"None")</f>
        <v>None</v>
      </c>
      <c r="H66" s="27" t="str">
        <f>IFERROR(__xludf.DUMMYFUNCTION("""COMPUTED_VALUE"""),"-")</f>
        <v>-</v>
      </c>
      <c r="I66" s="28" t="str">
        <f>IFERROR(__xludf.DUMMYFUNCTION("""COMPUTED_VALUE"""),"Apply 1 of the following effects: ● Both players get 2 MP. ● Reduce both players' MP by 2.")</f>
        <v>Apply 1 of the following effects: ● Both players get 2 MP. ● Reduce both players' MP by 2.</v>
      </c>
      <c r="J66" s="27" t="str">
        <f>IFERROR(__xludf.DUMMYFUNCTION("""COMPUTED_VALUE"""),"-")</f>
        <v>-</v>
      </c>
      <c r="K66" s="27" t="str">
        <f>IFERROR(__xludf.DUMMYFUNCTION("""COMPUTED_VALUE"""),"-")</f>
        <v>-</v>
      </c>
      <c r="L66" s="27" t="str">
        <f>IFERROR(__xludf.DUMMYFUNCTION("""COMPUTED_VALUE"""),"The Gathering Storm, Series 3, Special Box, The Best Booster 2")</f>
        <v>The Gathering Storm, Series 3, Special Box, The Best Booster 2</v>
      </c>
      <c r="M66" s="27" t="str">
        <f>IFERROR(__xludf.DUMMYFUNCTION("""COMPUTED_VALUE"""),"[U]")</f>
        <v>[U]</v>
      </c>
      <c r="N66" s="27" t="str">
        <f>IFERROR(__xludf.DUMMYFUNCTION("""COMPUTED_VALUE"""),"“Oh, cool!”")</f>
        <v>“Oh, cool!”</v>
      </c>
      <c r="O66" s="27"/>
      <c r="P66" s="27"/>
      <c r="Q66" s="27"/>
      <c r="R66" s="27"/>
      <c r="S66" s="27"/>
      <c r="T66" s="27"/>
      <c r="U66" s="27"/>
      <c r="V66" s="27"/>
      <c r="W66" s="27"/>
      <c r="X66" s="27"/>
      <c r="Y66" s="27"/>
      <c r="Z66" s="27"/>
    </row>
    <row r="67">
      <c r="A67" s="29" t="str">
        <f>IFERROR(__xludf.DUMMYFUNCTION("""COMPUTED_VALUE"""),"E-050")</f>
        <v>E-050</v>
      </c>
      <c r="B67" s="27" t="str">
        <f>IFERROR(__xludf.DUMMYFUNCTION("""COMPUTED_VALUE"""),"Event")</f>
        <v>Event</v>
      </c>
      <c r="C67" s="27" t="str">
        <f>IFERROR(__xludf.DUMMYFUNCTION("""COMPUTED_VALUE"""),"Wife")</f>
        <v>Wife</v>
      </c>
      <c r="D67" s="27" t="str">
        <f>IFERROR(__xludf.DUMMYFUNCTION("""COMPUTED_VALUE"""),"-")</f>
        <v>-</v>
      </c>
      <c r="E67" s="27">
        <f>IFERROR(__xludf.DUMMYFUNCTION("""COMPUTED_VALUE"""),1.0)</f>
        <v>1</v>
      </c>
      <c r="F67" s="27" t="str">
        <f>IFERROR(__xludf.DUMMYFUNCTION("""COMPUTED_VALUE"""),"A")</f>
        <v>A</v>
      </c>
      <c r="G67" s="27" t="str">
        <f>IFERROR(__xludf.DUMMYFUNCTION("""COMPUTED_VALUE"""),"None")</f>
        <v>None</v>
      </c>
      <c r="H67" s="27" t="str">
        <f>IFERROR(__xludf.DUMMYFUNCTION("""COMPUTED_VALUE"""),"-")</f>
        <v>-</v>
      </c>
      <c r="I67" s="28" t="str">
        <f>IFERROR(__xludf.DUMMYFUNCTION("""COMPUTED_VALUE"""),"Look at your opponent's Spell Book and their Discard Pile. Select 1 card from any of the pages that shares a card name with a card in their Discard Pile and send it to the Discard Pile.")</f>
        <v>Look at your opponent's Spell Book and their Discard Pile. Select 1 card from any of the pages that shares a card name with a card in their Discard Pile and send it to the Discard Pile.</v>
      </c>
      <c r="J67" s="27" t="str">
        <f>IFERROR(__xludf.DUMMYFUNCTION("""COMPUTED_VALUE"""),"-")</f>
        <v>-</v>
      </c>
      <c r="K67" s="27" t="str">
        <f>IFERROR(__xludf.DUMMYFUNCTION("""COMPUTED_VALUE"""),"-")</f>
        <v>-</v>
      </c>
      <c r="L67" s="27" t="str">
        <f>IFERROR(__xludf.DUMMYFUNCTION("""COMPUTED_VALUE"""),"Supreme Power of the Golden Spell, Series 2, Level 4, The Best Booster 1")</f>
        <v>Supreme Power of the Golden Spell, Series 2, Level 4, The Best Booster 1</v>
      </c>
      <c r="M67" s="27" t="str">
        <f>IFERROR(__xludf.DUMMYFUNCTION("""COMPUTED_VALUE"""),"[U]")</f>
        <v>[U]</v>
      </c>
      <c r="N67" s="27" t="str">
        <f>IFERROR(__xludf.DUMMYFUNCTION("""COMPUTED_VALUE"""),"""Oh, happy day! Oh, wonderful day!""")</f>
        <v>"Oh, happy day! Oh, wonderful day!"</v>
      </c>
      <c r="O67" s="27"/>
      <c r="P67" s="27"/>
      <c r="Q67" s="27"/>
      <c r="R67" s="27"/>
      <c r="S67" s="27"/>
      <c r="T67" s="27"/>
      <c r="U67" s="27"/>
      <c r="V67" s="27"/>
      <c r="W67" s="27"/>
      <c r="X67" s="27"/>
      <c r="Y67" s="27"/>
      <c r="Z67" s="27"/>
    </row>
    <row r="68">
      <c r="A68" s="29" t="str">
        <f>IFERROR(__xludf.DUMMYFUNCTION("""COMPUTED_VALUE"""),"E-051")</f>
        <v>E-051</v>
      </c>
      <c r="B68" s="27" t="str">
        <f>IFERROR(__xludf.DUMMYFUNCTION("""COMPUTED_VALUE"""),"Event")</f>
        <v>Event</v>
      </c>
      <c r="C68" s="27" t="str">
        <f>IFERROR(__xludf.DUMMYFUNCTION("""COMPUTED_VALUE"""),"Will You Help Me Fight?")</f>
        <v>Will You Help Me Fight?</v>
      </c>
      <c r="D68" s="27" t="str">
        <f>IFERROR(__xludf.DUMMYFUNCTION("""COMPUTED_VALUE"""),"-")</f>
        <v>-</v>
      </c>
      <c r="E68" s="27">
        <f>IFERROR(__xludf.DUMMYFUNCTION("""COMPUTED_VALUE"""),3.0)</f>
        <v>3</v>
      </c>
      <c r="F68" s="27" t="str">
        <f>IFERROR(__xludf.DUMMYFUNCTION("""COMPUTED_VALUE"""),"A")</f>
        <v>A</v>
      </c>
      <c r="G68" s="27" t="str">
        <f>IFERROR(__xludf.DUMMYFUNCTION("""COMPUTED_VALUE"""),"None")</f>
        <v>None</v>
      </c>
      <c r="H68" s="27" t="str">
        <f>IFERROR(__xludf.DUMMYFUNCTION("""COMPUTED_VALUE"""),"-")</f>
        <v>-</v>
      </c>
      <c r="I68" s="28" t="str">
        <f>IFERROR(__xludf.DUMMYFUNCTION("""COMPUTED_VALUE"""),"Select as many PARTNER cards as you desire from any page of your Spell Book and put them in play (only 1 PARTNER card can be attached to each MAMODO card unless stated otherwise).")</f>
        <v>Select as many PARTNER cards as you desire from any page of your Spell Book and put them in play (only 1 PARTNER card can be attached to each MAMODO card unless stated otherwise).</v>
      </c>
      <c r="J68" s="27" t="str">
        <f>IFERROR(__xludf.DUMMYFUNCTION("""COMPUTED_VALUE"""),"-")</f>
        <v>-</v>
      </c>
      <c r="K68" s="27" t="str">
        <f>IFERROR(__xludf.DUMMYFUNCTION("""COMPUTED_VALUE"""),"-")</f>
        <v>-</v>
      </c>
      <c r="L68" s="27" t="str">
        <f>IFERROR(__xludf.DUMMYFUNCTION("""COMPUTED_VALUE"""),"Supreme Power of the Golden Spell, Series 2, Level 4, The Best Booster 2")</f>
        <v>Supreme Power of the Golden Spell, Series 2, Level 4, The Best Booster 2</v>
      </c>
      <c r="M68" s="27" t="str">
        <f>IFERROR(__xludf.DUMMYFUNCTION("""COMPUTED_VALUE"""),"[U]")</f>
        <v>[U]</v>
      </c>
      <c r="N68" s="27" t="str">
        <f>IFERROR(__xludf.DUMMYFUNCTION("""COMPUTED_VALUE"""),"""Folgore, will you help me fight?"" ""Why not, Kanchome?""")</f>
        <v>"Folgore, will you help me fight?" "Why not, Kanchome?"</v>
      </c>
      <c r="O68" s="27"/>
      <c r="P68" s="27"/>
      <c r="Q68" s="27"/>
      <c r="R68" s="27"/>
      <c r="S68" s="27"/>
      <c r="T68" s="27"/>
      <c r="U68" s="27"/>
      <c r="V68" s="27"/>
      <c r="W68" s="27"/>
      <c r="X68" s="27"/>
      <c r="Y68" s="27"/>
      <c r="Z68" s="27"/>
    </row>
    <row r="69">
      <c r="A69" s="29" t="str">
        <f>IFERROR(__xludf.DUMMYFUNCTION("""COMPUTED_VALUE"""),"E-052")</f>
        <v>E-052</v>
      </c>
      <c r="B69" s="27" t="str">
        <f>IFERROR(__xludf.DUMMYFUNCTION("""COMPUTED_VALUE"""),"Event")</f>
        <v>Event</v>
      </c>
      <c r="C69" s="27" t="str">
        <f>IFERROR(__xludf.DUMMYFUNCTION("""COMPUTED_VALUE"""),"Lying")</f>
        <v>Lying</v>
      </c>
      <c r="D69" s="27" t="str">
        <f>IFERROR(__xludf.DUMMYFUNCTION("""COMPUTED_VALUE"""),"-")</f>
        <v>-</v>
      </c>
      <c r="E69" s="27">
        <f>IFERROR(__xludf.DUMMYFUNCTION("""COMPUTED_VALUE"""),0.0)</f>
        <v>0</v>
      </c>
      <c r="F69" s="27" t="str">
        <f>IFERROR(__xludf.DUMMYFUNCTION("""COMPUTED_VALUE"""),"AD")</f>
        <v>AD</v>
      </c>
      <c r="G69" s="27" t="str">
        <f>IFERROR(__xludf.DUMMYFUNCTION("""COMPUTED_VALUE"""),"None")</f>
        <v>None</v>
      </c>
      <c r="H69" s="27" t="str">
        <f>IFERROR(__xludf.DUMMYFUNCTION("""COMPUTED_VALUE"""),"-")</f>
        <v>-</v>
      </c>
      <c r="I69" s="28" t="str">
        <f>IFERROR(__xludf.DUMMYFUNCTION("""COMPUTED_VALUE"""),"Select 1 card's effects that were negated by your opponent during this turn. That card and/or its effects are considered to be unused, and any MP costs paid and cards that were sent to the Discard Pile to apply the effects are restored.")</f>
        <v>Select 1 card's effects that were negated by your opponent during this turn. That card and/or its effects are considered to be unused, and any MP costs paid and cards that were sent to the Discard Pile to apply the effects are restored.</v>
      </c>
      <c r="J69" s="27" t="str">
        <f>IFERROR(__xludf.DUMMYFUNCTION("""COMPUTED_VALUE"""),"-")</f>
        <v>-</v>
      </c>
      <c r="K69" s="27" t="str">
        <f>IFERROR(__xludf.DUMMYFUNCTION("""COMPUTED_VALUE"""),"-")</f>
        <v>-</v>
      </c>
      <c r="L69" s="27" t="str">
        <f>IFERROR(__xludf.DUMMYFUNCTION("""COMPUTED_VALUE"""),"The Gathering Storm, Series 3, Level 4, The Best Booster 1")</f>
        <v>The Gathering Storm, Series 3, Level 4, The Best Booster 1</v>
      </c>
      <c r="M69" s="27" t="str">
        <f>IFERROR(__xludf.DUMMYFUNCTION("""COMPUTED_VALUE"""),"[C]")</f>
        <v>[C]</v>
      </c>
      <c r="N69" s="27" t="str">
        <f>IFERROR(__xludf.DUMMYFUNCTION("""COMPUTED_VALUE"""),"""Hahahaha... I told you a lie.""")</f>
        <v>"Hahahaha... I told you a lie."</v>
      </c>
      <c r="O69" s="27"/>
      <c r="P69" s="27"/>
      <c r="Q69" s="27"/>
      <c r="R69" s="27"/>
      <c r="S69" s="27"/>
      <c r="T69" s="27"/>
      <c r="U69" s="27"/>
      <c r="V69" s="27"/>
      <c r="W69" s="27"/>
      <c r="X69" s="27"/>
      <c r="Y69" s="27"/>
      <c r="Z69" s="27"/>
    </row>
    <row r="70">
      <c r="A70" s="29" t="str">
        <f>IFERROR(__xludf.DUMMYFUNCTION("""COMPUTED_VALUE"""),"E-053")</f>
        <v>E-053</v>
      </c>
      <c r="B70" s="27" t="str">
        <f>IFERROR(__xludf.DUMMYFUNCTION("""COMPUTED_VALUE"""),"Event")</f>
        <v>Event</v>
      </c>
      <c r="C70" s="27" t="str">
        <f>IFERROR(__xludf.DUMMYFUNCTION("""COMPUTED_VALUE"""),"I Won't Let You Pass!")</f>
        <v>I Won't Let You Pass!</v>
      </c>
      <c r="D70" s="27" t="str">
        <f>IFERROR(__xludf.DUMMYFUNCTION("""COMPUTED_VALUE"""),"-")</f>
        <v>-</v>
      </c>
      <c r="E70" s="27">
        <f>IFERROR(__xludf.DUMMYFUNCTION("""COMPUTED_VALUE"""),0.0)</f>
        <v>0</v>
      </c>
      <c r="F70" s="27" t="str">
        <f>IFERROR(__xludf.DUMMYFUNCTION("""COMPUTED_VALUE"""),"D")</f>
        <v>D</v>
      </c>
      <c r="G70" s="27" t="str">
        <f>IFERROR(__xludf.DUMMYFUNCTION("""COMPUTED_VALUE"""),"None")</f>
        <v>None</v>
      </c>
      <c r="H70" s="27" t="str">
        <f>IFERROR(__xludf.DUMMYFUNCTION("""COMPUTED_VALUE"""),"-")</f>
        <v>-</v>
      </c>
      <c r="I70" s="28" t="str">
        <f>IFERROR(__xludf.DUMMYFUNCTION("""COMPUTED_VALUE"""),"Injure 1 of your in-play MAMODO cards and negate your opponent's Attack, regardless of whether the Attack would inflict Damage or not.")</f>
        <v>Injure 1 of your in-play MAMODO cards and negate your opponent's Attack, regardless of whether the Attack would inflict Damage or not.</v>
      </c>
      <c r="J70" s="27" t="str">
        <f>IFERROR(__xludf.DUMMYFUNCTION("""COMPUTED_VALUE"""),"-")</f>
        <v>-</v>
      </c>
      <c r="K70" s="27" t="str">
        <f>IFERROR(__xludf.DUMMYFUNCTION("""COMPUTED_VALUE"""),"-")</f>
        <v>-</v>
      </c>
      <c r="L70" s="27" t="str">
        <f>IFERROR(__xludf.DUMMYFUNCTION("""COMPUTED_VALUE"""),"The Gathering Storm, Series 3, Level 4, File 1: Zatch Bell &amp; Ponygon, Revised Edition")</f>
        <v>The Gathering Storm, Series 3, Level 4, File 1: Zatch Bell &amp; Ponygon, Revised Edition</v>
      </c>
      <c r="M70" s="27" t="str">
        <f>IFERROR(__xludf.DUMMYFUNCTION("""COMPUTED_VALUE"""),"[U]")</f>
        <v>[U]</v>
      </c>
      <c r="N70" s="27" t="str">
        <f>IFERROR(__xludf.DUMMYFUNCTION("""COMPUTED_VALUE"""),"Bari's fist froze when he saw the strong will in Zatch's eyes.")</f>
        <v>Bari's fist froze when he saw the strong will in Zatch's eyes.</v>
      </c>
      <c r="O70" s="27"/>
      <c r="P70" s="27"/>
      <c r="Q70" s="27"/>
      <c r="R70" s="27"/>
      <c r="S70" s="27"/>
      <c r="T70" s="27"/>
      <c r="U70" s="27"/>
      <c r="V70" s="27"/>
      <c r="W70" s="27"/>
      <c r="X70" s="27"/>
      <c r="Y70" s="27"/>
      <c r="Z70" s="27"/>
    </row>
    <row r="71">
      <c r="A71" s="29" t="str">
        <f>IFERROR(__xludf.DUMMYFUNCTION("""COMPUTED_VALUE"""),"E-054")</f>
        <v>E-054</v>
      </c>
      <c r="B71" s="27" t="str">
        <f>IFERROR(__xludf.DUMMYFUNCTION("""COMPUTED_VALUE"""),"Event")</f>
        <v>Event</v>
      </c>
      <c r="C71" s="27" t="str">
        <f>IFERROR(__xludf.DUMMYFUNCTION("""COMPUTED_VALUE"""),"Mysterious Stone Tablets")</f>
        <v>Mysterious Stone Tablets</v>
      </c>
      <c r="D71" s="27" t="str">
        <f>IFERROR(__xludf.DUMMYFUNCTION("""COMPUTED_VALUE"""),"-")</f>
        <v>-</v>
      </c>
      <c r="E71" s="27">
        <f>IFERROR(__xludf.DUMMYFUNCTION("""COMPUTED_VALUE"""),2.0)</f>
        <v>2</v>
      </c>
      <c r="F71" s="27" t="str">
        <f>IFERROR(__xludf.DUMMYFUNCTION("""COMPUTED_VALUE"""),"A")</f>
        <v>A</v>
      </c>
      <c r="G71" s="27" t="str">
        <f>IFERROR(__xludf.DUMMYFUNCTION("""COMPUTED_VALUE"""),"None")</f>
        <v>None</v>
      </c>
      <c r="H71" s="27" t="str">
        <f>IFERROR(__xludf.DUMMYFUNCTION("""COMPUTED_VALUE"""),"-")</f>
        <v>-</v>
      </c>
      <c r="I71" s="28" t="str">
        <f>IFERROR(__xludf.DUMMYFUNCTION("""COMPUTED_VALUE"""),"Send 1 of your opponent's in-play MAMODO cards with [Send this card to the Discard Pile] to the Discard Pile.")</f>
        <v>Send 1 of your opponent's in-play MAMODO cards with [Send this card to the Discard Pile] to the Discard Pile.</v>
      </c>
      <c r="J71" s="27" t="str">
        <f>IFERROR(__xludf.DUMMYFUNCTION("""COMPUTED_VALUE"""),"-")</f>
        <v>-</v>
      </c>
      <c r="K71" s="27" t="str">
        <f>IFERROR(__xludf.DUMMYFUNCTION("""COMPUTED_VALUE"""),"-")</f>
        <v>-</v>
      </c>
      <c r="L71" s="27" t="str">
        <f>IFERROR(__xludf.DUMMYFUNCTION("""COMPUTED_VALUE"""),"The Gathering Storm, Series 3, Level 4")</f>
        <v>The Gathering Storm, Series 3, Level 4</v>
      </c>
      <c r="M71" s="27" t="str">
        <f>IFERROR(__xludf.DUMMYFUNCTION("""COMPUTED_VALUE"""),"[R]")</f>
        <v>[R]</v>
      </c>
      <c r="N71" s="27" t="str">
        <f>IFERROR(__xludf.DUMMYFUNCTION("""COMPUTED_VALUE"""),"Kiyo decided to explore the mysterious stone tablet with an open mind.")</f>
        <v>Kiyo decided to explore the mysterious stone tablet with an open mind.</v>
      </c>
      <c r="O71" s="27"/>
      <c r="P71" s="27"/>
      <c r="Q71" s="27"/>
      <c r="R71" s="27"/>
      <c r="S71" s="27"/>
      <c r="T71" s="27"/>
      <c r="U71" s="27"/>
      <c r="V71" s="27"/>
      <c r="W71" s="27"/>
      <c r="X71" s="27"/>
      <c r="Y71" s="27"/>
      <c r="Z71" s="27"/>
    </row>
    <row r="72">
      <c r="A72" s="29" t="str">
        <f>IFERROR(__xludf.DUMMYFUNCTION("""COMPUTED_VALUE"""),"E-055")</f>
        <v>E-055</v>
      </c>
      <c r="B72" s="27" t="str">
        <f>IFERROR(__xludf.DUMMYFUNCTION("""COMPUTED_VALUE"""),"Event")</f>
        <v>Event</v>
      </c>
      <c r="C72" s="27" t="str">
        <f>IFERROR(__xludf.DUMMYFUNCTION("""COMPUTED_VALUE"""),"Kane")</f>
        <v>Kane</v>
      </c>
      <c r="D72" s="27" t="str">
        <f>IFERROR(__xludf.DUMMYFUNCTION("""COMPUTED_VALUE"""),"-")</f>
        <v>-</v>
      </c>
      <c r="E72" s="27">
        <f>IFERROR(__xludf.DUMMYFUNCTION("""COMPUTED_VALUE"""),4.0)</f>
        <v>4</v>
      </c>
      <c r="F72" s="27" t="str">
        <f>IFERROR(__xludf.DUMMYFUNCTION("""COMPUTED_VALUE"""),"A")</f>
        <v>A</v>
      </c>
      <c r="G72" s="27" t="str">
        <f>IFERROR(__xludf.DUMMYFUNCTION("""COMPUTED_VALUE"""),"None")</f>
        <v>None</v>
      </c>
      <c r="H72" s="27" t="str">
        <f>IFERROR(__xludf.DUMMYFUNCTION("""COMPUTED_VALUE"""),"-")</f>
        <v>-</v>
      </c>
      <c r="I72" s="28" t="str">
        <f>IFERROR(__xludf.DUMMYFUNCTION("""COMPUTED_VALUE"""),"[STAY] Select 1 of your opponent's in-play MAMODO cards with no PARTNER card attached. The selected MAMODO card cannot have any PARTNER cards attached to it during this game.")</f>
        <v>[STAY] Select 1 of your opponent's in-play MAMODO cards with no PARTNER card attached. The selected MAMODO card cannot have any PARTNER cards attached to it during this game.</v>
      </c>
      <c r="J72" s="27" t="str">
        <f>IFERROR(__xludf.DUMMYFUNCTION("""COMPUTED_VALUE"""),"-")</f>
        <v>-</v>
      </c>
      <c r="K72" s="27" t="str">
        <f>IFERROR(__xludf.DUMMYFUNCTION("""COMPUTED_VALUE"""),"-")</f>
        <v>-</v>
      </c>
      <c r="L72" s="27" t="str">
        <f>IFERROR(__xludf.DUMMYFUNCTION("""COMPUTED_VALUE"""),"Dawn of the Ancients, Series 4, Level 5")</f>
        <v>Dawn of the Ancients, Series 4, Level 5</v>
      </c>
      <c r="M72" s="27" t="str">
        <f>IFERROR(__xludf.DUMMYFUNCTION("""COMPUTED_VALUE"""),"[C]")</f>
        <v>[C]</v>
      </c>
      <c r="N72" s="27" t="str">
        <f>IFERROR(__xludf.DUMMYFUNCTION("""COMPUTED_VALUE"""),"A bully in Kiyo's class who becomes his friend before he knows it.")</f>
        <v>A bully in Kiyo's class who becomes his friend before he knows it.</v>
      </c>
      <c r="O72" s="27"/>
      <c r="P72" s="27"/>
      <c r="Q72" s="27"/>
      <c r="R72" s="27"/>
      <c r="S72" s="27"/>
      <c r="T72" s="27"/>
      <c r="U72" s="27"/>
      <c r="V72" s="27"/>
      <c r="W72" s="27"/>
      <c r="X72" s="27"/>
      <c r="Y72" s="27"/>
      <c r="Z72" s="27"/>
    </row>
    <row r="73">
      <c r="A73" s="29" t="str">
        <f>IFERROR(__xludf.DUMMYFUNCTION("""COMPUTED_VALUE"""),"E-056")</f>
        <v>E-056</v>
      </c>
      <c r="B73" s="27" t="str">
        <f>IFERROR(__xludf.DUMMYFUNCTION("""COMPUTED_VALUE"""),"Event")</f>
        <v>Event</v>
      </c>
      <c r="C73" s="27" t="str">
        <f>IFERROR(__xludf.DUMMYFUNCTION("""COMPUTED_VALUE"""),"Please Don't, My Lord")</f>
        <v>Please Don't, My Lord</v>
      </c>
      <c r="D73" s="27" t="str">
        <f>IFERROR(__xludf.DUMMYFUNCTION("""COMPUTED_VALUE"""),"-")</f>
        <v>-</v>
      </c>
      <c r="E73" s="27">
        <f>IFERROR(__xludf.DUMMYFUNCTION("""COMPUTED_VALUE"""),1.0)</f>
        <v>1</v>
      </c>
      <c r="F73" s="27" t="str">
        <f>IFERROR(__xludf.DUMMYFUNCTION("""COMPUTED_VALUE"""),"AD")</f>
        <v>AD</v>
      </c>
      <c r="G73" s="27" t="str">
        <f>IFERROR(__xludf.DUMMYFUNCTION("""COMPUTED_VALUE"""),"None")</f>
        <v>None</v>
      </c>
      <c r="H73" s="27" t="str">
        <f>IFERROR(__xludf.DUMMYFUNCTION("""COMPUTED_VALUE"""),"-")</f>
        <v>-</v>
      </c>
      <c r="I73" s="28" t="str">
        <f>IFERROR(__xludf.DUMMYFUNCTION("""COMPUTED_VALUE"""),"[STAY] Your opponent cannot apply the effects of their in-play cards during this turn.")</f>
        <v>[STAY] Your opponent cannot apply the effects of their in-play cards during this turn.</v>
      </c>
      <c r="J73" s="27" t="str">
        <f>IFERROR(__xludf.DUMMYFUNCTION("""COMPUTED_VALUE"""),"-")</f>
        <v>-</v>
      </c>
      <c r="K73" s="27" t="str">
        <f>IFERROR(__xludf.DUMMYFUNCTION("""COMPUTED_VALUE"""),"-")</f>
        <v>-</v>
      </c>
      <c r="L73" s="27" t="str">
        <f>IFERROR(__xludf.DUMMYFUNCTION("""COMPUTED_VALUE"""),"Dawn of the Ancients, Series 4, Level 5, Level S, Revised Edition")</f>
        <v>Dawn of the Ancients, Series 4, Level 5, Level S, Revised Edition</v>
      </c>
      <c r="M73" s="27" t="str">
        <f>IFERROR(__xludf.DUMMYFUNCTION("""COMPUTED_VALUE"""),"[SR]")</f>
        <v>[SR]</v>
      </c>
      <c r="N73" s="27" t="str">
        <f>IFERROR(__xludf.DUMMYFUNCTION("""COMPUTED_VALUE"""),"""Please don't~ my lord~""")</f>
        <v>"Please don't~ my lord~"</v>
      </c>
      <c r="O73" s="27"/>
      <c r="P73" s="27"/>
      <c r="Q73" s="27"/>
      <c r="R73" s="27"/>
      <c r="S73" s="27"/>
      <c r="T73" s="27"/>
      <c r="U73" s="27"/>
      <c r="V73" s="27"/>
      <c r="W73" s="27"/>
      <c r="X73" s="27"/>
      <c r="Y73" s="27"/>
      <c r="Z73" s="27"/>
    </row>
    <row r="74">
      <c r="A74" s="29" t="str">
        <f>IFERROR(__xludf.DUMMYFUNCTION("""COMPUTED_VALUE"""),"E-056 alt")</f>
        <v>E-056 alt</v>
      </c>
      <c r="B74" s="27" t="str">
        <f>IFERROR(__xludf.DUMMYFUNCTION("""COMPUTED_VALUE"""),"Event")</f>
        <v>Event</v>
      </c>
      <c r="C74" s="27" t="str">
        <f>IFERROR(__xludf.DUMMYFUNCTION("""COMPUTED_VALUE"""),"Please Don't, My Lord")</f>
        <v>Please Don't, My Lord</v>
      </c>
      <c r="D74" s="27" t="str">
        <f>IFERROR(__xludf.DUMMYFUNCTION("""COMPUTED_VALUE"""),"-")</f>
        <v>-</v>
      </c>
      <c r="E74" s="27">
        <f>IFERROR(__xludf.DUMMYFUNCTION("""COMPUTED_VALUE"""),1.0)</f>
        <v>1</v>
      </c>
      <c r="F74" s="27" t="str">
        <f>IFERROR(__xludf.DUMMYFUNCTION("""COMPUTED_VALUE"""),"AD")</f>
        <v>AD</v>
      </c>
      <c r="G74" s="27" t="str">
        <f>IFERROR(__xludf.DUMMYFUNCTION("""COMPUTED_VALUE"""),"None")</f>
        <v>None</v>
      </c>
      <c r="H74" s="27" t="str">
        <f>IFERROR(__xludf.DUMMYFUNCTION("""COMPUTED_VALUE"""),"-")</f>
        <v>-</v>
      </c>
      <c r="I74" s="28" t="str">
        <f>IFERROR(__xludf.DUMMYFUNCTION("""COMPUTED_VALUE"""),"[STAY] Your opponent cannot apply the effects of their in-play cards during this turn.")</f>
        <v>[STAY] Your opponent cannot apply the effects of their in-play cards during this turn.</v>
      </c>
      <c r="J74" s="27" t="str">
        <f>IFERROR(__xludf.DUMMYFUNCTION("""COMPUTED_VALUE"""),"-")</f>
        <v>-</v>
      </c>
      <c r="K74" s="27" t="str">
        <f>IFERROR(__xludf.DUMMYFUNCTION("""COMPUTED_VALUE"""),"-")</f>
        <v>-</v>
      </c>
      <c r="L74" s="27" t="str">
        <f>IFERROR(__xludf.DUMMYFUNCTION("""COMPUTED_VALUE"""),"Dawn of the Ancients, Series 4, Level 5, Level S, Revised Edition")</f>
        <v>Dawn of the Ancients, Series 4, Level 5, Level S, Revised Edition</v>
      </c>
      <c r="M74" s="27" t="str">
        <f>IFERROR(__xludf.DUMMYFUNCTION("""COMPUTED_VALUE"""),"[SR]")</f>
        <v>[SR]</v>
      </c>
      <c r="N74" s="27" t="str">
        <f>IFERROR(__xludf.DUMMYFUNCTION("""COMPUTED_VALUE"""),"""Please don't~ my lord~""")</f>
        <v>"Please don't~ my lord~"</v>
      </c>
      <c r="O74" s="27"/>
      <c r="P74" s="27"/>
      <c r="Q74" s="27"/>
      <c r="R74" s="27"/>
      <c r="S74" s="27"/>
      <c r="T74" s="27"/>
      <c r="U74" s="27"/>
      <c r="V74" s="27"/>
      <c r="W74" s="27"/>
      <c r="X74" s="27"/>
      <c r="Y74" s="27"/>
      <c r="Z74" s="27"/>
    </row>
    <row r="75">
      <c r="A75" s="29" t="str">
        <f>IFERROR(__xludf.DUMMYFUNCTION("""COMPUTED_VALUE"""),"E-057")</f>
        <v>E-057</v>
      </c>
      <c r="B75" s="27" t="str">
        <f>IFERROR(__xludf.DUMMYFUNCTION("""COMPUTED_VALUE"""),"Event")</f>
        <v>Event</v>
      </c>
      <c r="C75" s="27" t="str">
        <f>IFERROR(__xludf.DUMMYFUNCTION("""COMPUTED_VALUE"""),"Cook")</f>
        <v>Cook</v>
      </c>
      <c r="D75" s="27" t="str">
        <f>IFERROR(__xludf.DUMMYFUNCTION("""COMPUTED_VALUE"""),"-")</f>
        <v>-</v>
      </c>
      <c r="E75" s="27">
        <f>IFERROR(__xludf.DUMMYFUNCTION("""COMPUTED_VALUE"""),0.0)</f>
        <v>0</v>
      </c>
      <c r="F75" s="27" t="str">
        <f>IFERROR(__xludf.DUMMYFUNCTION("""COMPUTED_VALUE"""),"A")</f>
        <v>A</v>
      </c>
      <c r="G75" s="27" t="str">
        <f>IFERROR(__xludf.DUMMYFUNCTION("""COMPUTED_VALUE"""),"None")</f>
        <v>None</v>
      </c>
      <c r="H75" s="27" t="str">
        <f>IFERROR(__xludf.DUMMYFUNCTION("""COMPUTED_VALUE"""),"-")</f>
        <v>-</v>
      </c>
      <c r="I75" s="28" t="str">
        <f>IFERROR(__xludf.DUMMYFUNCTION("""COMPUTED_VALUE"""),"Select 1 of your opponent's MAMODO cards with 2 or more cards on it. Leave the bottom card and send the rest to the Discard Pile. [STAY] Your opponent cannot apply the effects of the selected MAMODO card during this turn.")</f>
        <v>Select 1 of your opponent's MAMODO cards with 2 or more cards on it. Leave the bottom card and send the rest to the Discard Pile. [STAY] Your opponent cannot apply the effects of the selected MAMODO card during this turn.</v>
      </c>
      <c r="J75" s="27" t="str">
        <f>IFERROR(__xludf.DUMMYFUNCTION("""COMPUTED_VALUE"""),"-")</f>
        <v>-</v>
      </c>
      <c r="K75" s="27" t="str">
        <f>IFERROR(__xludf.DUMMYFUNCTION("""COMPUTED_VALUE"""),"-")</f>
        <v>-</v>
      </c>
      <c r="L75" s="27" t="str">
        <f>IFERROR(__xludf.DUMMYFUNCTION("""COMPUTED_VALUE"""),"Dawn of the Ancients, Series 4 Level 5")</f>
        <v>Dawn of the Ancients, Series 4 Level 5</v>
      </c>
      <c r="M75" s="27" t="str">
        <f>IFERROR(__xludf.DUMMYFUNCTION("""COMPUTED_VALUE"""),"[C]")</f>
        <v>[C]</v>
      </c>
      <c r="N75" s="27" t="str">
        <f>IFERROR(__xludf.DUMMYFUNCTION("""COMPUTED_VALUE"""),"A cook who had been trapped in an old castle. He told Zatch Baltro's weak point.")</f>
        <v>A cook who had been trapped in an old castle. He told Zatch Baltro's weak point.</v>
      </c>
      <c r="O75" s="27"/>
      <c r="P75" s="27"/>
      <c r="Q75" s="27"/>
      <c r="R75" s="27"/>
      <c r="S75" s="27"/>
      <c r="T75" s="27"/>
      <c r="U75" s="27"/>
      <c r="V75" s="27"/>
      <c r="W75" s="27"/>
      <c r="X75" s="27"/>
      <c r="Y75" s="27"/>
      <c r="Z75" s="27"/>
    </row>
    <row r="76">
      <c r="A76" s="29" t="str">
        <f>IFERROR(__xludf.DUMMYFUNCTION("""COMPUTED_VALUE"""),"E-058")</f>
        <v>E-058</v>
      </c>
      <c r="B76" s="27" t="str">
        <f>IFERROR(__xludf.DUMMYFUNCTION("""COMPUTED_VALUE"""),"Event")</f>
        <v>Event</v>
      </c>
      <c r="C76" s="27" t="str">
        <f>IFERROR(__xludf.DUMMYFUNCTION("""COMPUTED_VALUE"""),"This Must Be Love")</f>
        <v>This Must Be Love</v>
      </c>
      <c r="D76" s="27" t="str">
        <f>IFERROR(__xludf.DUMMYFUNCTION("""COMPUTED_VALUE"""),"-")</f>
        <v>-</v>
      </c>
      <c r="E76" s="27">
        <f>IFERROR(__xludf.DUMMYFUNCTION("""COMPUTED_VALUE"""),1.0)</f>
        <v>1</v>
      </c>
      <c r="F76" s="27" t="str">
        <f>IFERROR(__xludf.DUMMYFUNCTION("""COMPUTED_VALUE"""),"A")</f>
        <v>A</v>
      </c>
      <c r="G76" s="27" t="str">
        <f>IFERROR(__xludf.DUMMYFUNCTION("""COMPUTED_VALUE"""),"None")</f>
        <v>None</v>
      </c>
      <c r="H76" s="27" t="str">
        <f>IFERROR(__xludf.DUMMYFUNCTION("""COMPUTED_VALUE"""),"-")</f>
        <v>-</v>
      </c>
      <c r="I76" s="28" t="str">
        <f>IFERROR(__xludf.DUMMYFUNCTION("""COMPUTED_VALUE"""),"Flip a coin until you get tails; get the same number of MP as heads you get during the flip(s) times 2. If you get 5 or more heads during your flips, turn 1 page of your Spell Book instead.")</f>
        <v>Flip a coin until you get tails; get the same number of MP as heads you get during the flip(s) times 2. If you get 5 or more heads during your flips, turn 1 page of your Spell Book instead.</v>
      </c>
      <c r="J76" s="27" t="str">
        <f>IFERROR(__xludf.DUMMYFUNCTION("""COMPUTED_VALUE"""),"-")</f>
        <v>-</v>
      </c>
      <c r="K76" s="27" t="str">
        <f>IFERROR(__xludf.DUMMYFUNCTION("""COMPUTED_VALUE"""),"-")</f>
        <v>-</v>
      </c>
      <c r="L76" s="27" t="str">
        <f>IFERROR(__xludf.DUMMYFUNCTION("""COMPUTED_VALUE"""),"Dawn of the Ancients, Series 4, Level 5")</f>
        <v>Dawn of the Ancients, Series 4, Level 5</v>
      </c>
      <c r="M76" s="27" t="str">
        <f>IFERROR(__xludf.DUMMYFUNCTION("""COMPUTED_VALUE"""),"[C]")</f>
        <v>[C]</v>
      </c>
      <c r="N76" s="27" t="str">
        <f>IFERROR(__xludf.DUMMYFUNCTION("""COMPUTED_VALUE"""),"""My heart flew right out of my chest... It felt like it was going to burst!""")</f>
        <v>"My heart flew right out of my chest... It felt like it was going to burst!"</v>
      </c>
      <c r="O76" s="27"/>
      <c r="P76" s="27"/>
      <c r="Q76" s="27"/>
      <c r="R76" s="27"/>
      <c r="S76" s="27"/>
      <c r="T76" s="27"/>
      <c r="U76" s="27"/>
      <c r="V76" s="27"/>
      <c r="W76" s="27"/>
      <c r="X76" s="27"/>
      <c r="Y76" s="27"/>
      <c r="Z76" s="27"/>
    </row>
    <row r="77">
      <c r="A77" s="29" t="str">
        <f>IFERROR(__xludf.DUMMYFUNCTION("""COMPUTED_VALUE"""),"E-059")</f>
        <v>E-059</v>
      </c>
      <c r="B77" s="27" t="str">
        <f>IFERROR(__xludf.DUMMYFUNCTION("""COMPUTED_VALUE"""),"Event")</f>
        <v>Event</v>
      </c>
      <c r="C77" s="27" t="str">
        <f>IFERROR(__xludf.DUMMYFUNCTION("""COMPUTED_VALUE"""),"Present")</f>
        <v>Present</v>
      </c>
      <c r="D77" s="27" t="str">
        <f>IFERROR(__xludf.DUMMYFUNCTION("""COMPUTED_VALUE"""),"-")</f>
        <v>-</v>
      </c>
      <c r="E77" s="27">
        <f>IFERROR(__xludf.DUMMYFUNCTION("""COMPUTED_VALUE"""),0.0)</f>
        <v>0</v>
      </c>
      <c r="F77" s="27" t="str">
        <f>IFERROR(__xludf.DUMMYFUNCTION("""COMPUTED_VALUE"""),"A")</f>
        <v>A</v>
      </c>
      <c r="G77" s="27" t="str">
        <f>IFERROR(__xludf.DUMMYFUNCTION("""COMPUTED_VALUE"""),"None")</f>
        <v>None</v>
      </c>
      <c r="H77" s="27" t="str">
        <f>IFERROR(__xludf.DUMMYFUNCTION("""COMPUTED_VALUE"""),"-")</f>
        <v>-</v>
      </c>
      <c r="I77" s="28" t="str">
        <f>IFERROR(__xludf.DUMMYFUNCTION("""COMPUTED_VALUE"""),"Reduce your MP by 1 to give your opponent 1 MP. [STANDBY] Your opponent reduces their MP by 3 to give you 3 MP at the END PHASE of the next turn. If your opponent has less than 3 MP at the END PHASE of the next turn, turn 1 page of their Spell Book instea"&amp;"d.")</f>
        <v>Reduce your MP by 1 to give your opponent 1 MP. [STANDBY] Your opponent reduces their MP by 3 to give you 3 MP at the END PHASE of the next turn. If your opponent has less than 3 MP at the END PHASE of the next turn, turn 1 page of their Spell Book instead.</v>
      </c>
      <c r="J77" s="27" t="str">
        <f>IFERROR(__xludf.DUMMYFUNCTION("""COMPUTED_VALUE"""),"-")</f>
        <v>-</v>
      </c>
      <c r="K77" s="27" t="str">
        <f>IFERROR(__xludf.DUMMYFUNCTION("""COMPUTED_VALUE"""),"-")</f>
        <v>-</v>
      </c>
      <c r="L77" s="27" t="str">
        <f>IFERROR(__xludf.DUMMYFUNCTION("""COMPUTED_VALUE"""),"Dawn of the Ancients, Series 4, Level 5")</f>
        <v>Dawn of the Ancients, Series 4, Level 5</v>
      </c>
      <c r="M77" s="27" t="str">
        <f>IFERROR(__xludf.DUMMYFUNCTION("""COMPUTED_VALUE"""),"[U]")</f>
        <v>[U]</v>
      </c>
      <c r="N77" s="27" t="str">
        <f>IFERROR(__xludf.DUMMYFUNCTION("""COMPUTED_VALUE"""),"""This is for you, Zatch. It was true love... True love!""")</f>
        <v>"This is for you, Zatch. It was true love... True love!"</v>
      </c>
      <c r="O77" s="27"/>
      <c r="P77" s="27"/>
      <c r="Q77" s="27"/>
      <c r="R77" s="27"/>
      <c r="S77" s="27"/>
      <c r="T77" s="27"/>
      <c r="U77" s="27"/>
      <c r="V77" s="27"/>
      <c r="W77" s="27"/>
      <c r="X77" s="27"/>
      <c r="Y77" s="27"/>
      <c r="Z77" s="27"/>
    </row>
    <row r="78">
      <c r="A78" s="29" t="str">
        <f>IFERROR(__xludf.DUMMYFUNCTION("""COMPUTED_VALUE"""),"E-060e")</f>
        <v>E-060e</v>
      </c>
      <c r="B78" s="27" t="str">
        <f>IFERROR(__xludf.DUMMYFUNCTION("""COMPUTED_VALUE"""),"Event")</f>
        <v>Event</v>
      </c>
      <c r="C78" s="27" t="str">
        <f>IFERROR(__xludf.DUMMYFUNCTION("""COMPUTED_VALUE"""),"Wake Up Mamodo from a Thousand Years Ago")</f>
        <v>Wake Up Mamodo from a Thousand Years Ago</v>
      </c>
      <c r="D78" s="27" t="str">
        <f>IFERROR(__xludf.DUMMYFUNCTION("""COMPUTED_VALUE"""),"-")</f>
        <v>-</v>
      </c>
      <c r="E78" s="27">
        <f>IFERROR(__xludf.DUMMYFUNCTION("""COMPUTED_VALUE"""),1.0)</f>
        <v>1</v>
      </c>
      <c r="F78" s="27" t="str">
        <f>IFERROR(__xludf.DUMMYFUNCTION("""COMPUTED_VALUE"""),"A")</f>
        <v>A</v>
      </c>
      <c r="G78" s="27" t="str">
        <f>IFERROR(__xludf.DUMMYFUNCTION("""COMPUTED_VALUE"""),"None")</f>
        <v>None</v>
      </c>
      <c r="H78" s="27" t="str">
        <f>IFERROR(__xludf.DUMMYFUNCTION("""COMPUTED_VALUE"""),"-")</f>
        <v>-</v>
      </c>
      <c r="I78" s="28" t="str">
        <f>IFERROR(__xludf.DUMMYFUNCTION("""COMPUTED_VALUE"""),"Select as many Stone Tablet MAMODO cards as you desire from any pages of your Spell Book and put them in play (maximum 3 MAMODO cards in play per player).")</f>
        <v>Select as many Stone Tablet MAMODO cards as you desire from any pages of your Spell Book and put them in play (maximum 3 MAMODO cards in play per player).</v>
      </c>
      <c r="J78" s="27" t="str">
        <f>IFERROR(__xludf.DUMMYFUNCTION("""COMPUTED_VALUE"""),"-")</f>
        <v>-</v>
      </c>
      <c r="K78" s="27" t="str">
        <f>IFERROR(__xludf.DUMMYFUNCTION("""COMPUTED_VALUE"""),"-")</f>
        <v>-</v>
      </c>
      <c r="L78" s="27" t="str">
        <f>IFERROR(__xludf.DUMMYFUNCTION("""COMPUTED_VALUE"""),"Dawn of the Ancients, Series 4, Level 5, Revised Edition")</f>
        <v>Dawn of the Ancients, Series 4, Level 5, Revised Edition</v>
      </c>
      <c r="M78" s="27" t="str">
        <f>IFERROR(__xludf.DUMMYFUNCTION("""COMPUTED_VALUE"""),"[SR]")</f>
        <v>[SR]</v>
      </c>
      <c r="N78" s="27" t="str">
        <f>IFERROR(__xludf.DUMMYFUNCTION("""COMPUTED_VALUE"""),"""Now, wake up!""")</f>
        <v>"Now, wake up!"</v>
      </c>
      <c r="O78" s="27"/>
      <c r="P78" s="27"/>
      <c r="Q78" s="27"/>
      <c r="R78" s="27"/>
      <c r="S78" s="27"/>
      <c r="T78" s="27"/>
      <c r="U78" s="27"/>
      <c r="V78" s="27"/>
      <c r="W78" s="27"/>
      <c r="X78" s="27"/>
      <c r="Y78" s="27"/>
      <c r="Z78" s="27"/>
    </row>
    <row r="79">
      <c r="A79" s="29" t="str">
        <f>IFERROR(__xludf.DUMMYFUNCTION("""COMPUTED_VALUE"""),"E-060j")</f>
        <v>E-060j</v>
      </c>
      <c r="B79" s="27" t="str">
        <f>IFERROR(__xludf.DUMMYFUNCTION("""COMPUTED_VALUE"""),"Event")</f>
        <v>Event</v>
      </c>
      <c r="C79" s="27" t="str">
        <f>IFERROR(__xludf.DUMMYFUNCTION("""COMPUTED_VALUE"""),"Wake Up Mamodo from a Thousand Years Ago")</f>
        <v>Wake Up Mamodo from a Thousand Years Ago</v>
      </c>
      <c r="D79" s="27" t="str">
        <f>IFERROR(__xludf.DUMMYFUNCTION("""COMPUTED_VALUE"""),"-")</f>
        <v>-</v>
      </c>
      <c r="E79" s="27">
        <f>IFERROR(__xludf.DUMMYFUNCTION("""COMPUTED_VALUE"""),1.0)</f>
        <v>1</v>
      </c>
      <c r="F79" s="27" t="str">
        <f>IFERROR(__xludf.DUMMYFUNCTION("""COMPUTED_VALUE"""),"A")</f>
        <v>A</v>
      </c>
      <c r="G79" s="27" t="str">
        <f>IFERROR(__xludf.DUMMYFUNCTION("""COMPUTED_VALUE"""),"None")</f>
        <v>None</v>
      </c>
      <c r="H79" s="27" t="str">
        <f>IFERROR(__xludf.DUMMYFUNCTION("""COMPUTED_VALUE"""),"-")</f>
        <v>-</v>
      </c>
      <c r="I79" s="28" t="str">
        <f>IFERROR(__xludf.DUMMYFUNCTION("""COMPUTED_VALUE"""),"Apply 1 or both of the following effects in any order: ● Select as many Stone Tablet MAMODO cards as you desire from any pages of your Spell Book and put them in play (maximum 3 MAMODO cards in play per player). ● Turn all of your Petrified MAMODO cards t"&amp;"o Normal Status.")</f>
        <v>Apply 1 or both of the following effects in any order: ● Select as many Stone Tablet MAMODO cards as you desire from any pages of your Spell Book and put them in play (maximum 3 MAMODO cards in play per player). ● Turn all of your Petrified MAMODO cards to Normal Status.</v>
      </c>
      <c r="J79" s="27" t="str">
        <f>IFERROR(__xludf.DUMMYFUNCTION("""COMPUTED_VALUE"""),"-")</f>
        <v>-</v>
      </c>
      <c r="K79" s="27" t="str">
        <f>IFERROR(__xludf.DUMMYFUNCTION("""COMPUTED_VALUE"""),"-")</f>
        <v>-</v>
      </c>
      <c r="L79" s="27" t="str">
        <f>IFERROR(__xludf.DUMMYFUNCTION("""COMPUTED_VALUE"""),"Dawn of the Ancients, Series 4, Level 5, Revised Edition")</f>
        <v>Dawn of the Ancients, Series 4, Level 5, Revised Edition</v>
      </c>
      <c r="M79" s="27" t="str">
        <f>IFERROR(__xludf.DUMMYFUNCTION("""COMPUTED_VALUE"""),"[SR]")</f>
        <v>[SR]</v>
      </c>
      <c r="N79" s="27" t="str">
        <f>IFERROR(__xludf.DUMMYFUNCTION("""COMPUTED_VALUE"""),"""Now, wake up!""")</f>
        <v>"Now, wake up!"</v>
      </c>
      <c r="O79" s="27"/>
      <c r="P79" s="27"/>
      <c r="Q79" s="27"/>
      <c r="R79" s="27"/>
      <c r="S79" s="27"/>
      <c r="T79" s="27"/>
      <c r="U79" s="27"/>
      <c r="V79" s="27"/>
      <c r="W79" s="27"/>
      <c r="X79" s="27"/>
      <c r="Y79" s="27"/>
      <c r="Z79" s="27"/>
    </row>
    <row r="80">
      <c r="A80" s="29" t="str">
        <f>IFERROR(__xludf.DUMMYFUNCTION("""COMPUTED_VALUE"""),"E-061")</f>
        <v>E-061</v>
      </c>
      <c r="B80" s="27" t="str">
        <f>IFERROR(__xludf.DUMMYFUNCTION("""COMPUTED_VALUE"""),"Event")</f>
        <v>Event</v>
      </c>
      <c r="C80" s="27" t="str">
        <f>IFERROR(__xludf.DUMMYFUNCTION("""COMPUTED_VALUE"""),"I Told You I'd Be Back!")</f>
        <v>I Told You I'd Be Back!</v>
      </c>
      <c r="D80" s="27" t="str">
        <f>IFERROR(__xludf.DUMMYFUNCTION("""COMPUTED_VALUE"""),"-")</f>
        <v>-</v>
      </c>
      <c r="E80" s="27">
        <f>IFERROR(__xludf.DUMMYFUNCTION("""COMPUTED_VALUE"""),2.0)</f>
        <v>2</v>
      </c>
      <c r="F80" s="27" t="str">
        <f>IFERROR(__xludf.DUMMYFUNCTION("""COMPUTED_VALUE"""),"AD")</f>
        <v>AD</v>
      </c>
      <c r="G80" s="27" t="str">
        <f>IFERROR(__xludf.DUMMYFUNCTION("""COMPUTED_VALUE"""),"None")</f>
        <v>None</v>
      </c>
      <c r="H80" s="27" t="str">
        <f>IFERROR(__xludf.DUMMYFUNCTION("""COMPUTED_VALUE"""),"-")</f>
        <v>-</v>
      </c>
      <c r="I80" s="28" t="str">
        <f>IFERROR(__xludf.DUMMYFUNCTION("""COMPUTED_VALUE"""),"Move 1 MAMODO card from your Discard Pile into play.")</f>
        <v>Move 1 MAMODO card from your Discard Pile into play.</v>
      </c>
      <c r="J80" s="27" t="str">
        <f>IFERROR(__xludf.DUMMYFUNCTION("""COMPUTED_VALUE"""),"-")</f>
        <v>-</v>
      </c>
      <c r="K80" s="27" t="str">
        <f>IFERROR(__xludf.DUMMYFUNCTION("""COMPUTED_VALUE"""),"-")</f>
        <v>-</v>
      </c>
      <c r="L80" s="27" t="str">
        <f>IFERROR(__xludf.DUMMYFUNCTION("""COMPUTED_VALUE"""),"-")</f>
        <v>-</v>
      </c>
      <c r="M80" s="27" t="str">
        <f>IFERROR(__xludf.DUMMYFUNCTION("""COMPUTED_VALUE"""),"[SR]")</f>
        <v>[SR]</v>
      </c>
      <c r="N80" s="27" t="str">
        <f>IFERROR(__xludf.DUMMYFUNCTION("""COMPUTED_VALUE"""),"""I'm back for you, Zaaaaaaatch!!""")</f>
        <v>"I'm back for you, Zaaaaaaatch!!"</v>
      </c>
      <c r="O80" s="27"/>
      <c r="P80" s="27"/>
      <c r="Q80" s="27"/>
      <c r="R80" s="27"/>
      <c r="S80" s="27"/>
      <c r="T80" s="27"/>
      <c r="U80" s="27"/>
      <c r="V80" s="27"/>
      <c r="W80" s="27"/>
      <c r="X80" s="27"/>
      <c r="Y80" s="27"/>
      <c r="Z80" s="27"/>
    </row>
    <row r="81">
      <c r="A81" s="29" t="str">
        <f>IFERROR(__xludf.DUMMYFUNCTION("""COMPUTED_VALUE"""),"E-062")</f>
        <v>E-062</v>
      </c>
      <c r="B81" s="27" t="str">
        <f>IFERROR(__xludf.DUMMYFUNCTION("""COMPUTED_VALUE"""),"Event")</f>
        <v>Event</v>
      </c>
      <c r="C81" s="27" t="str">
        <f>IFERROR(__xludf.DUMMYFUNCTION("""COMPUTED_VALUE"""),"I Can See The Light...")</f>
        <v>I Can See The Light...</v>
      </c>
      <c r="D81" s="27" t="str">
        <f>IFERROR(__xludf.DUMMYFUNCTION("""COMPUTED_VALUE"""),"-")</f>
        <v>-</v>
      </c>
      <c r="E81" s="27">
        <f>IFERROR(__xludf.DUMMYFUNCTION("""COMPUTED_VALUE"""),0.0)</f>
        <v>0</v>
      </c>
      <c r="F81" s="27" t="str">
        <f>IFERROR(__xludf.DUMMYFUNCTION("""COMPUTED_VALUE"""),"AD")</f>
        <v>AD</v>
      </c>
      <c r="G81" s="27" t="str">
        <f>IFERROR(__xludf.DUMMYFUNCTION("""COMPUTED_VALUE"""),"None")</f>
        <v>None</v>
      </c>
      <c r="H81" s="27" t="str">
        <f>IFERROR(__xludf.DUMMYFUNCTION("""COMPUTED_VALUE"""),"-")</f>
        <v>-</v>
      </c>
      <c r="I81" s="28" t="str">
        <f>IFERROR(__xludf.DUMMYFUNCTION("""COMPUTED_VALUE"""),"This EVENT card can be played only if you have 1 MP or less. Adjust your MP until you have 5 MP. This effect can be applied even when you are prohibited to get MP.")</f>
        <v>This EVENT card can be played only if you have 1 MP or less. Adjust your MP until you have 5 MP. This effect can be applied even when you are prohibited to get MP.</v>
      </c>
      <c r="J81" s="27" t="str">
        <f>IFERROR(__xludf.DUMMYFUNCTION("""COMPUTED_VALUE"""),"-")</f>
        <v>-</v>
      </c>
      <c r="K81" s="27" t="str">
        <f>IFERROR(__xludf.DUMMYFUNCTION("""COMPUTED_VALUE"""),"-")</f>
        <v>-</v>
      </c>
      <c r="L81" s="27" t="str">
        <f>IFERROR(__xludf.DUMMYFUNCTION("""COMPUTED_VALUE"""),"-")</f>
        <v>-</v>
      </c>
      <c r="M81" s="27" t="str">
        <f>IFERROR(__xludf.DUMMYFUNCTION("""COMPUTED_VALUE"""),"[SR]")</f>
        <v>[SR]</v>
      </c>
      <c r="N81" s="27" t="str">
        <f>IFERROR(__xludf.DUMMYFUNCTION("""COMPUTED_VALUE"""),"""Thank you... Tia, Megumi. We'll fight, together...""")</f>
        <v>"Thank you... Tia, Megumi. We'll fight, together..."</v>
      </c>
      <c r="O81" s="27"/>
      <c r="P81" s="27"/>
      <c r="Q81" s="27"/>
      <c r="R81" s="27"/>
      <c r="S81" s="27"/>
      <c r="T81" s="27"/>
      <c r="U81" s="27"/>
      <c r="V81" s="27"/>
      <c r="W81" s="27"/>
      <c r="X81" s="27"/>
      <c r="Y81" s="27"/>
      <c r="Z81" s="27"/>
    </row>
    <row r="82">
      <c r="A82" s="29" t="str">
        <f>IFERROR(__xludf.DUMMYFUNCTION("""COMPUTED_VALUE"""),"E-063")</f>
        <v>E-063</v>
      </c>
      <c r="B82" s="27" t="str">
        <f>IFERROR(__xludf.DUMMYFUNCTION("""COMPUTED_VALUE"""),"Event")</f>
        <v>Event</v>
      </c>
      <c r="C82" s="27" t="str">
        <f>IFERROR(__xludf.DUMMYFUNCTION("""COMPUTED_VALUE"""),"We'll Win No Matter What!")</f>
        <v>We'll Win No Matter What!</v>
      </c>
      <c r="D82" s="27" t="str">
        <f>IFERROR(__xludf.DUMMYFUNCTION("""COMPUTED_VALUE"""),"-")</f>
        <v>-</v>
      </c>
      <c r="E82" s="27">
        <f>IFERROR(__xludf.DUMMYFUNCTION("""COMPUTED_VALUE"""),2.0)</f>
        <v>2</v>
      </c>
      <c r="F82" s="27" t="str">
        <f>IFERROR(__xludf.DUMMYFUNCTION("""COMPUTED_VALUE"""),"A")</f>
        <v>A</v>
      </c>
      <c r="G82" s="27" t="str">
        <f>IFERROR(__xludf.DUMMYFUNCTION("""COMPUTED_VALUE"""),"Superior")</f>
        <v>Superior</v>
      </c>
      <c r="H82" s="27" t="str">
        <f>IFERROR(__xludf.DUMMYFUNCTION("""COMPUTED_VALUE"""),"-")</f>
        <v>-</v>
      </c>
      <c r="I82" s="28" t="str">
        <f>IFERROR(__xludf.DUMMYFUNCTION("""COMPUTED_VALUE"""),"This EVENT card can be played only if you have fewer remaining pages in your Spell Book than your opponent. Turn 2 pages of your opponent's Spell Book.")</f>
        <v>This EVENT card can be played only if you have fewer remaining pages in your Spell Book than your opponent. Turn 2 pages of your opponent's Spell Book.</v>
      </c>
      <c r="J82" s="27" t="str">
        <f>IFERROR(__xludf.DUMMYFUNCTION("""COMPUTED_VALUE"""),"-")</f>
        <v>-</v>
      </c>
      <c r="K82" s="27" t="str">
        <f>IFERROR(__xludf.DUMMYFUNCTION("""COMPUTED_VALUE"""),"-")</f>
        <v>-</v>
      </c>
      <c r="L82" s="27" t="str">
        <f>IFERROR(__xludf.DUMMYFUNCTION("""COMPUTED_VALUE"""),"-")</f>
        <v>-</v>
      </c>
      <c r="M82" s="27" t="str">
        <f>IFERROR(__xludf.DUMMYFUNCTION("""COMPUTED_VALUE"""),"[SR]")</f>
        <v>[SR]</v>
      </c>
      <c r="N82" s="27" t="str">
        <f>IFERROR(__xludf.DUMMYFUNCTION("""COMPUTED_VALUE"""),"""Zatch and Kiyo and everyone else are putting up a good fight, so I have to do my part!""")</f>
        <v>"Zatch and Kiyo and everyone else are putting up a good fight, so I have to do my part!"</v>
      </c>
      <c r="O82" s="27"/>
      <c r="P82" s="27"/>
      <c r="Q82" s="27"/>
      <c r="R82" s="27"/>
      <c r="S82" s="27"/>
      <c r="T82" s="27"/>
      <c r="U82" s="27"/>
      <c r="V82" s="27"/>
      <c r="W82" s="27"/>
      <c r="X82" s="27"/>
      <c r="Y82" s="27"/>
      <c r="Z82" s="27"/>
    </row>
    <row r="83">
      <c r="A83" s="29" t="str">
        <f>IFERROR(__xludf.DUMMYFUNCTION("""COMPUTED_VALUE"""),"E-064")</f>
        <v>E-064</v>
      </c>
      <c r="B83" s="27" t="str">
        <f>IFERROR(__xludf.DUMMYFUNCTION("""COMPUTED_VALUE"""),"Event")</f>
        <v>Event</v>
      </c>
      <c r="C83" s="27" t="str">
        <f>IFERROR(__xludf.DUMMYFUNCTION("""COMPUTED_VALUE"""),"Don't Underestimate Us")</f>
        <v>Don't Underestimate Us</v>
      </c>
      <c r="D83" s="27" t="str">
        <f>IFERROR(__xludf.DUMMYFUNCTION("""COMPUTED_VALUE"""),"-")</f>
        <v>-</v>
      </c>
      <c r="E83" s="27">
        <f>IFERROR(__xludf.DUMMYFUNCTION("""COMPUTED_VALUE"""),2.0)</f>
        <v>2</v>
      </c>
      <c r="F83" s="27" t="str">
        <f>IFERROR(__xludf.DUMMYFUNCTION("""COMPUTED_VALUE"""),"AD")</f>
        <v>AD</v>
      </c>
      <c r="G83" s="27" t="str">
        <f>IFERROR(__xludf.DUMMYFUNCTION("""COMPUTED_VALUE"""),"None")</f>
        <v>None</v>
      </c>
      <c r="H83" s="27" t="str">
        <f>IFERROR(__xludf.DUMMYFUNCTION("""COMPUTED_VALUE"""),"-")</f>
        <v>-</v>
      </c>
      <c r="I83" s="28" t="str">
        <f>IFERROR(__xludf.DUMMYFUNCTION("""COMPUTED_VALUE"""),"[STAY] Your opponent cannot play EVENT cards during this turn.")</f>
        <v>[STAY] Your opponent cannot play EVENT cards during this turn.</v>
      </c>
      <c r="J83" s="27" t="str">
        <f>IFERROR(__xludf.DUMMYFUNCTION("""COMPUTED_VALUE"""),"-")</f>
        <v>-</v>
      </c>
      <c r="K83" s="27" t="str">
        <f>IFERROR(__xludf.DUMMYFUNCTION("""COMPUTED_VALUE"""),"-")</f>
        <v>-</v>
      </c>
      <c r="L83" s="27" t="str">
        <f>IFERROR(__xludf.DUMMYFUNCTION("""COMPUTED_VALUE"""),"-")</f>
        <v>-</v>
      </c>
      <c r="M83" s="27" t="str">
        <f>IFERROR(__xludf.DUMMYFUNCTION("""COMPUTED_VALUE"""),"[C]")</f>
        <v>[C]</v>
      </c>
      <c r="N83" s="27" t="str">
        <f>IFERROR(__xludf.DUMMYFUNCTION("""COMPUTED_VALUE"""),"""A good warrior would know better than to take my shield lightly!""")</f>
        <v>"A good warrior would know better than to take my shield lightly!"</v>
      </c>
      <c r="O83" s="27"/>
      <c r="P83" s="27"/>
      <c r="Q83" s="27"/>
      <c r="R83" s="27"/>
      <c r="S83" s="27"/>
      <c r="T83" s="27"/>
      <c r="U83" s="27"/>
      <c r="V83" s="27"/>
      <c r="W83" s="27"/>
      <c r="X83" s="27"/>
      <c r="Y83" s="27"/>
      <c r="Z83" s="27"/>
    </row>
    <row r="84">
      <c r="A84" s="29" t="str">
        <f>IFERROR(__xludf.DUMMYFUNCTION("""COMPUTED_VALUE"""),"E-065")</f>
        <v>E-065</v>
      </c>
      <c r="B84" s="27" t="str">
        <f>IFERROR(__xludf.DUMMYFUNCTION("""COMPUTED_VALUE"""),"Event")</f>
        <v>Event</v>
      </c>
      <c r="C84" s="27" t="str">
        <f>IFERROR(__xludf.DUMMYFUNCTION("""COMPUTED_VALUE"""),"Relaxation")</f>
        <v>Relaxation</v>
      </c>
      <c r="D84" s="27" t="str">
        <f>IFERROR(__xludf.DUMMYFUNCTION("""COMPUTED_VALUE"""),"-")</f>
        <v>-</v>
      </c>
      <c r="E84" s="27">
        <f>IFERROR(__xludf.DUMMYFUNCTION("""COMPUTED_VALUE"""),3.0)</f>
        <v>3</v>
      </c>
      <c r="F84" s="27" t="str">
        <f>IFERROR(__xludf.DUMMYFUNCTION("""COMPUTED_VALUE"""),"A")</f>
        <v>A</v>
      </c>
      <c r="G84" s="27" t="str">
        <f>IFERROR(__xludf.DUMMYFUNCTION("""COMPUTED_VALUE"""),"None")</f>
        <v>None</v>
      </c>
      <c r="H84" s="27" t="str">
        <f>IFERROR(__xludf.DUMMYFUNCTION("""COMPUTED_VALUE"""),"-")</f>
        <v>-</v>
      </c>
      <c r="I84" s="28" t="str">
        <f>IFERROR(__xludf.DUMMYFUNCTION("""COMPUTED_VALUE"""),"[STANDBY] At the END PHASE of this turn, you do not turn 1 page of your Spell Book, nor do you get 2 MP.")</f>
        <v>[STANDBY] At the END PHASE of this turn, you do not turn 1 page of your Spell Book, nor do you get 2 MP.</v>
      </c>
      <c r="J84" s="27" t="str">
        <f>IFERROR(__xludf.DUMMYFUNCTION("""COMPUTED_VALUE"""),"-")</f>
        <v>-</v>
      </c>
      <c r="K84" s="27" t="str">
        <f>IFERROR(__xludf.DUMMYFUNCTION("""COMPUTED_VALUE"""),"-")</f>
        <v>-</v>
      </c>
      <c r="L84" s="27" t="str">
        <f>IFERROR(__xludf.DUMMYFUNCTION("""COMPUTED_VALUE"""),"-")</f>
        <v>-</v>
      </c>
      <c r="M84" s="27" t="str">
        <f>IFERROR(__xludf.DUMMYFUNCTION("""COMPUTED_VALUE"""),"[C]")</f>
        <v>[C]</v>
      </c>
      <c r="N84" s="27" t="str">
        <f>IFERROR(__xludf.DUMMYFUNCTION("""COMPUTED_VALUE"""),"""You're contaminating our drinking water!""")</f>
        <v>"You're contaminating our drinking water!"</v>
      </c>
      <c r="O84" s="27"/>
      <c r="P84" s="27"/>
      <c r="Q84" s="27"/>
      <c r="R84" s="27"/>
      <c r="S84" s="27"/>
      <c r="T84" s="27"/>
      <c r="U84" s="27"/>
      <c r="V84" s="27"/>
      <c r="W84" s="27"/>
      <c r="X84" s="27"/>
      <c r="Y84" s="27"/>
      <c r="Z84" s="27"/>
    </row>
    <row r="85">
      <c r="A85" s="29" t="str">
        <f>IFERROR(__xludf.DUMMYFUNCTION("""COMPUTED_VALUE"""),"E-066")</f>
        <v>E-066</v>
      </c>
      <c r="B85" s="27" t="str">
        <f>IFERROR(__xludf.DUMMYFUNCTION("""COMPUTED_VALUE"""),"Event")</f>
        <v>Event</v>
      </c>
      <c r="C85" s="27" t="str">
        <f>IFERROR(__xludf.DUMMYFUNCTION("""COMPUTED_VALUE"""),"Assume The ""V"" Position!")</f>
        <v>Assume The "V" Position!</v>
      </c>
      <c r="D85" s="27" t="str">
        <f>IFERROR(__xludf.DUMMYFUNCTION("""COMPUTED_VALUE"""),"-")</f>
        <v>-</v>
      </c>
      <c r="E85" s="27">
        <f>IFERROR(__xludf.DUMMYFUNCTION("""COMPUTED_VALUE"""),0.0)</f>
        <v>0</v>
      </c>
      <c r="F85" s="27" t="str">
        <f>IFERROR(__xludf.DUMMYFUNCTION("""COMPUTED_VALUE"""),"D")</f>
        <v>D</v>
      </c>
      <c r="G85" s="27" t="str">
        <f>IFERROR(__xludf.DUMMYFUNCTION("""COMPUTED_VALUE"""),"None")</f>
        <v>None</v>
      </c>
      <c r="H85" s="27" t="str">
        <f>IFERROR(__xludf.DUMMYFUNCTION("""COMPUTED_VALUE"""),"-")</f>
        <v>-</v>
      </c>
      <c r="I85" s="28" t="str">
        <f>IFERROR(__xludf.DUMMYFUNCTION("""COMPUTED_VALUE"""),"Select 1 of your in-play MAMODO cards. During the next turn, SPELL cards can be played for the selected MAMODO card, and its effects can be applied, even when you are prohibited to do so. This effect is [STANDBY] during this turn, and [STAY] during the ne"&amp;"xt turn.")</f>
        <v>Select 1 of your in-play MAMODO cards. During the next turn, SPELL cards can be played for the selected MAMODO card, and its effects can be applied, even when you are prohibited to do so. This effect is [STANDBY] during this turn, and [STAY] during the next turn.</v>
      </c>
      <c r="J85" s="27" t="str">
        <f>IFERROR(__xludf.DUMMYFUNCTION("""COMPUTED_VALUE"""),"-")</f>
        <v>-</v>
      </c>
      <c r="K85" s="27" t="str">
        <f>IFERROR(__xludf.DUMMYFUNCTION("""COMPUTED_VALUE"""),"-")</f>
        <v>-</v>
      </c>
      <c r="L85" s="27" t="str">
        <f>IFERROR(__xludf.DUMMYFUNCTION("""COMPUTED_VALUE"""),"-")</f>
        <v>-</v>
      </c>
      <c r="M85" s="27" t="str">
        <f>IFERROR(__xludf.DUMMYFUNCTION("""COMPUTED_VALUE"""),"[SR]")</f>
        <v>[SR]</v>
      </c>
      <c r="N85" s="27" t="str">
        <f>IFERROR(__xludf.DUMMYFUNCTION("""COMPUTED_VALUE"""),"""So... So cool!!""")</f>
        <v>"So... So cool!!"</v>
      </c>
      <c r="O85" s="27"/>
      <c r="P85" s="27"/>
      <c r="Q85" s="27"/>
      <c r="R85" s="27"/>
      <c r="S85" s="27"/>
      <c r="T85" s="27"/>
      <c r="U85" s="27"/>
      <c r="V85" s="27"/>
      <c r="W85" s="27"/>
      <c r="X85" s="27"/>
      <c r="Y85" s="27"/>
      <c r="Z85" s="27"/>
    </row>
    <row r="86">
      <c r="A86" s="29" t="str">
        <f>IFERROR(__xludf.DUMMYFUNCTION("""COMPUTED_VALUE"""),"E-067")</f>
        <v>E-067</v>
      </c>
      <c r="B86" s="27" t="str">
        <f>IFERROR(__xludf.DUMMYFUNCTION("""COMPUTED_VALUE"""),"Event")</f>
        <v>Event</v>
      </c>
      <c r="C86" s="27" t="str">
        <f>IFERROR(__xludf.DUMMYFUNCTION("""COMPUTED_VALUE"""),"Naomi")</f>
        <v>Naomi</v>
      </c>
      <c r="D86" s="27" t="str">
        <f>IFERROR(__xludf.DUMMYFUNCTION("""COMPUTED_VALUE"""),"-")</f>
        <v>-</v>
      </c>
      <c r="E86" s="27">
        <f>IFERROR(__xludf.DUMMYFUNCTION("""COMPUTED_VALUE"""),0.0)</f>
        <v>0</v>
      </c>
      <c r="F86" s="27" t="str">
        <f>IFERROR(__xludf.DUMMYFUNCTION("""COMPUTED_VALUE"""),"A")</f>
        <v>A</v>
      </c>
      <c r="G86" s="27" t="str">
        <f>IFERROR(__xludf.DUMMYFUNCTION("""COMPUTED_VALUE"""),"None")</f>
        <v>None</v>
      </c>
      <c r="H86" s="27" t="str">
        <f>IFERROR(__xludf.DUMMYFUNCTION("""COMPUTED_VALUE"""),"-")</f>
        <v>-</v>
      </c>
      <c r="I86" s="28" t="str">
        <f>IFERROR(__xludf.DUMMYFUNCTION("""COMPUTED_VALUE"""),"[STANDBY] Your opponent can neither SACRIFICE nor PROTECT their Spell Book from Damage during the next Battle this turn.")</f>
        <v>[STANDBY] Your opponent can neither SACRIFICE nor PROTECT their Spell Book from Damage during the next Battle this turn.</v>
      </c>
      <c r="J86" s="27" t="str">
        <f>IFERROR(__xludf.DUMMYFUNCTION("""COMPUTED_VALUE"""),"-")</f>
        <v>-</v>
      </c>
      <c r="K86" s="27" t="str">
        <f>IFERROR(__xludf.DUMMYFUNCTION("""COMPUTED_VALUE"""),"-")</f>
        <v>-</v>
      </c>
      <c r="L86" s="27" t="str">
        <f>IFERROR(__xludf.DUMMYFUNCTION("""COMPUTED_VALUE"""),"Dawn of the Ancients, Series 4, Level 0")</f>
        <v>Dawn of the Ancients, Series 4, Level 0</v>
      </c>
      <c r="M86" s="27" t="str">
        <f>IFERROR(__xludf.DUMMYFUNCTION("""COMPUTED_VALUE"""),"[U]")</f>
        <v>[U]</v>
      </c>
      <c r="N86" s="27" t="str">
        <f>IFERROR(__xludf.DUMMYFUNCTION("""COMPUTED_VALUE"""),"""Gogogogogogo...""")</f>
        <v>"Gogogogogogo..."</v>
      </c>
      <c r="O86" s="27"/>
      <c r="P86" s="27"/>
      <c r="Q86" s="27"/>
      <c r="R86" s="27"/>
      <c r="S86" s="27"/>
      <c r="T86" s="27"/>
      <c r="U86" s="27"/>
      <c r="V86" s="27"/>
      <c r="W86" s="27"/>
      <c r="X86" s="27"/>
      <c r="Y86" s="27"/>
      <c r="Z86" s="27"/>
    </row>
    <row r="87">
      <c r="A87" s="29" t="str">
        <f>IFERROR(__xludf.DUMMYFUNCTION("""COMPUTED_VALUE"""),"E-068")</f>
        <v>E-068</v>
      </c>
      <c r="B87" s="27" t="str">
        <f>IFERROR(__xludf.DUMMYFUNCTION("""COMPUTED_VALUE"""),"Event")</f>
        <v>Event</v>
      </c>
      <c r="C87" s="27" t="str">
        <f>IFERROR(__xludf.DUMMYFUNCTION("""COMPUTED_VALUE"""),"His Name is Zeno")</f>
        <v>His Name is Zeno</v>
      </c>
      <c r="D87" s="27" t="str">
        <f>IFERROR(__xludf.DUMMYFUNCTION("""COMPUTED_VALUE"""),"-")</f>
        <v>-</v>
      </c>
      <c r="E87" s="27">
        <f>IFERROR(__xludf.DUMMYFUNCTION("""COMPUTED_VALUE"""),3.0)</f>
        <v>3</v>
      </c>
      <c r="F87" s="27" t="str">
        <f>IFERROR(__xludf.DUMMYFUNCTION("""COMPUTED_VALUE"""),"A")</f>
        <v>A</v>
      </c>
      <c r="G87" s="27" t="str">
        <f>IFERROR(__xludf.DUMMYFUNCTION("""COMPUTED_VALUE"""),"None")</f>
        <v>None</v>
      </c>
      <c r="H87" s="27" t="str">
        <f>IFERROR(__xludf.DUMMYFUNCTION("""COMPUTED_VALUE"""),"-")</f>
        <v>-</v>
      </c>
      <c r="I87" s="28" t="str">
        <f>IFERROR(__xludf.DUMMYFUNCTION("""COMPUTED_VALUE"""),"Injure 1 of your opponent's in-play MAMODO cards.")</f>
        <v>Injure 1 of your opponent's in-play MAMODO cards.</v>
      </c>
      <c r="J87" s="27" t="str">
        <f>IFERROR(__xludf.DUMMYFUNCTION("""COMPUTED_VALUE"""),"-")</f>
        <v>-</v>
      </c>
      <c r="K87" s="27" t="str">
        <f>IFERROR(__xludf.DUMMYFUNCTION("""COMPUTED_VALUE"""),"-")</f>
        <v>-</v>
      </c>
      <c r="L87" s="27" t="str">
        <f>IFERROR(__xludf.DUMMYFUNCTION("""COMPUTED_VALUE"""),"Dawn of the Ancients, Series 4, Level 0")</f>
        <v>Dawn of the Ancients, Series 4, Level 0</v>
      </c>
      <c r="M87" s="27" t="str">
        <f>IFERROR(__xludf.DUMMYFUNCTION("""COMPUTED_VALUE"""),"[R]")</f>
        <v>[R]</v>
      </c>
      <c r="N87" s="27" t="str">
        <f>IFERROR(__xludf.DUMMYFUNCTION("""COMPUTED_VALUE"""),"Zeno. He resembles Zatch, but his true character is...")</f>
        <v>Zeno. He resembles Zatch, but his true character is...</v>
      </c>
      <c r="O87" s="27"/>
      <c r="P87" s="27"/>
      <c r="Q87" s="27"/>
      <c r="R87" s="27"/>
      <c r="S87" s="27"/>
      <c r="T87" s="27"/>
      <c r="U87" s="27"/>
      <c r="V87" s="27"/>
      <c r="W87" s="27"/>
      <c r="X87" s="27"/>
      <c r="Y87" s="27"/>
      <c r="Z87" s="27"/>
    </row>
    <row r="88">
      <c r="A88" s="29" t="str">
        <f>IFERROR(__xludf.DUMMYFUNCTION("""COMPUTED_VALUE"""),"E-069")</f>
        <v>E-069</v>
      </c>
      <c r="B88" s="27" t="str">
        <f>IFERROR(__xludf.DUMMYFUNCTION("""COMPUTED_VALUE"""),"Event")</f>
        <v>Event</v>
      </c>
      <c r="C88" s="27" t="str">
        <f>IFERROR(__xludf.DUMMYFUNCTION("""COMPUTED_VALUE"""),"Following in their Footsteps")</f>
        <v>Following in their Footsteps</v>
      </c>
      <c r="D88" s="27" t="str">
        <f>IFERROR(__xludf.DUMMYFUNCTION("""COMPUTED_VALUE"""),"-")</f>
        <v>-</v>
      </c>
      <c r="E88" s="27">
        <f>IFERROR(__xludf.DUMMYFUNCTION("""COMPUTED_VALUE"""),2.0)</f>
        <v>2</v>
      </c>
      <c r="F88" s="27" t="str">
        <f>IFERROR(__xludf.DUMMYFUNCTION("""COMPUTED_VALUE"""),"A")</f>
        <v>A</v>
      </c>
      <c r="G88" s="27" t="str">
        <f>IFERROR(__xludf.DUMMYFUNCTION("""COMPUTED_VALUE"""),"None")</f>
        <v>None</v>
      </c>
      <c r="H88" s="27" t="str">
        <f>IFERROR(__xludf.DUMMYFUNCTION("""COMPUTED_VALUE"""),"-")</f>
        <v>-</v>
      </c>
      <c r="I88" s="28" t="str">
        <f>IFERROR(__xludf.DUMMYFUNCTION("""COMPUTED_VALUE"""),"[STANDBY] Select 1 MAMODO card from your Discard Pile. Only once during this turn (per player), the selected card's effects with [X MP], [Declare to use], and [Send this card to the Discard Pile] can be applied (for [X MP], pay the MP cost as normal, for "&amp;"[Send this card to the Discard Pile], declare the effect without discarding).")</f>
        <v>[STANDBY] Select 1 MAMODO card from your Discard Pile. Only once during this turn (per player), the selected card's effects with [X MP], [Declare to use], and [Send this card to the Discard Pile] can be applied (for [X MP], pay the MP cost as normal, for [Send this card to the Discard Pile], declare the effect without discarding).</v>
      </c>
      <c r="J88" s="27" t="str">
        <f>IFERROR(__xludf.DUMMYFUNCTION("""COMPUTED_VALUE"""),"-")</f>
        <v>-</v>
      </c>
      <c r="K88" s="27" t="str">
        <f>IFERROR(__xludf.DUMMYFUNCTION("""COMPUTED_VALUE"""),"-")</f>
        <v>-</v>
      </c>
      <c r="L88" s="27" t="str">
        <f>IFERROR(__xludf.DUMMYFUNCTION("""COMPUTED_VALUE"""),"Secrets of the Ruins, Level 0")</f>
        <v>Secrets of the Ruins, Level 0</v>
      </c>
      <c r="M88" s="27" t="str">
        <f>IFERROR(__xludf.DUMMYFUNCTION("""COMPUTED_VALUE"""),"[C]")</f>
        <v>[C]</v>
      </c>
      <c r="N88" s="27" t="str">
        <f>IFERROR(__xludf.DUMMYFUNCTION("""COMPUTED_VALUE"""),"Carrying each of their feelings within his heart, Zatch continues to grow big and strong.")</f>
        <v>Carrying each of their feelings within his heart, Zatch continues to grow big and strong.</v>
      </c>
      <c r="O88" s="27"/>
      <c r="P88" s="27"/>
      <c r="Q88" s="27"/>
      <c r="R88" s="27"/>
      <c r="S88" s="27"/>
      <c r="T88" s="27"/>
      <c r="U88" s="27"/>
      <c r="V88" s="27"/>
      <c r="W88" s="27"/>
      <c r="X88" s="27"/>
      <c r="Y88" s="27"/>
      <c r="Z88" s="27"/>
    </row>
    <row r="89">
      <c r="A89" s="29" t="str">
        <f>IFERROR(__xludf.DUMMYFUNCTION("""COMPUTED_VALUE"""),"E-070")</f>
        <v>E-070</v>
      </c>
      <c r="B89" s="27" t="str">
        <f>IFERROR(__xludf.DUMMYFUNCTION("""COMPUTED_VALUE"""),"Event")</f>
        <v>Event</v>
      </c>
      <c r="C89" s="27" t="str">
        <f>IFERROR(__xludf.DUMMYFUNCTION("""COMPUTED_VALUE"""),"The Dark Road to Supremacy")</f>
        <v>The Dark Road to Supremacy</v>
      </c>
      <c r="D89" s="27" t="str">
        <f>IFERROR(__xludf.DUMMYFUNCTION("""COMPUTED_VALUE"""),"-")</f>
        <v>-</v>
      </c>
      <c r="E89" s="27">
        <f>IFERROR(__xludf.DUMMYFUNCTION("""COMPUTED_VALUE"""),1.0)</f>
        <v>1</v>
      </c>
      <c r="F89" s="27" t="str">
        <f>IFERROR(__xludf.DUMMYFUNCTION("""COMPUTED_VALUE"""),"AD")</f>
        <v>AD</v>
      </c>
      <c r="G89" s="27" t="str">
        <f>IFERROR(__xludf.DUMMYFUNCTION("""COMPUTED_VALUE"""),"None")</f>
        <v>None</v>
      </c>
      <c r="H89" s="27" t="str">
        <f>IFERROR(__xludf.DUMMYFUNCTION("""COMPUTED_VALUE"""),"-")</f>
        <v>-</v>
      </c>
      <c r="I89" s="28" t="str">
        <f>IFERROR(__xludf.DUMMYFUNCTION("""COMPUTED_VALUE"""),"Send 1 of your opponent's in-play cards (except MAMODO cards) to the Discard Pile.")</f>
        <v>Send 1 of your opponent's in-play cards (except MAMODO cards) to the Discard Pile.</v>
      </c>
      <c r="J89" s="27" t="str">
        <f>IFERROR(__xludf.DUMMYFUNCTION("""COMPUTED_VALUE"""),"-")</f>
        <v>-</v>
      </c>
      <c r="K89" s="27" t="str">
        <f>IFERROR(__xludf.DUMMYFUNCTION("""COMPUTED_VALUE"""),"-")</f>
        <v>-</v>
      </c>
      <c r="L89" s="27" t="str">
        <f>IFERROR(__xludf.DUMMYFUNCTION("""COMPUTED_VALUE"""),"Secrets of the Ruins, Level 0")</f>
        <v>Secrets of the Ruins, Level 0</v>
      </c>
      <c r="M89" s="27" t="str">
        <f>IFERROR(__xludf.DUMMYFUNCTION("""COMPUTED_VALUE"""),"[SR]")</f>
        <v>[SR]</v>
      </c>
      <c r="N89" s="27" t="str">
        <f>IFERROR(__xludf.DUMMYFUNCTION("""COMPUTED_VALUE"""),"""Those two... are the tremendous wall that we'll have to scale someday.""")</f>
        <v>"Those two... are the tremendous wall that we'll have to scale someday."</v>
      </c>
      <c r="O89" s="27"/>
      <c r="P89" s="27"/>
      <c r="Q89" s="27"/>
      <c r="R89" s="27"/>
      <c r="S89" s="27"/>
      <c r="T89" s="27"/>
      <c r="U89" s="27"/>
      <c r="V89" s="27"/>
      <c r="W89" s="27"/>
      <c r="X89" s="27"/>
      <c r="Y89" s="27"/>
      <c r="Z89" s="27"/>
    </row>
    <row r="90">
      <c r="A90" s="29" t="str">
        <f>IFERROR(__xludf.DUMMYFUNCTION("""COMPUTED_VALUE"""),"E-071")</f>
        <v>E-071</v>
      </c>
      <c r="B90" s="27" t="str">
        <f>IFERROR(__xludf.DUMMYFUNCTION("""COMPUTED_VALUE"""),"Event")</f>
        <v>Event</v>
      </c>
      <c r="C90" s="27" t="str">
        <f>IFERROR(__xludf.DUMMYFUNCTION("""COMPUTED_VALUE"""),"The Entrusted Book")</f>
        <v>The Entrusted Book</v>
      </c>
      <c r="D90" s="27" t="str">
        <f>IFERROR(__xludf.DUMMYFUNCTION("""COMPUTED_VALUE"""),"-")</f>
        <v>-</v>
      </c>
      <c r="E90" s="27">
        <f>IFERROR(__xludf.DUMMYFUNCTION("""COMPUTED_VALUE"""),1.0)</f>
        <v>1</v>
      </c>
      <c r="F90" s="27" t="str">
        <f>IFERROR(__xludf.DUMMYFUNCTION("""COMPUTED_VALUE"""),"D")</f>
        <v>D</v>
      </c>
      <c r="G90" s="27" t="str">
        <f>IFERROR(__xludf.DUMMYFUNCTION("""COMPUTED_VALUE"""),"None")</f>
        <v>None</v>
      </c>
      <c r="H90" s="27" t="str">
        <f>IFERROR(__xludf.DUMMYFUNCTION("""COMPUTED_VALUE"""),"-")</f>
        <v>-</v>
      </c>
      <c r="I90" s="28" t="str">
        <f>IFERROR(__xludf.DUMMYFUNCTION("""COMPUTED_VALUE"""),"Apply both of the following effects: ● [STAY] During this turn, your Spell Book does not receive Damage and your opponent cannot turn pages of your Spell Book with their effects. ● [STAY] You cannot play SPELL and EVENT cards until the END PHASE of the ne"&amp;"xt turn (this effect cannot be negated).")</f>
        <v>Apply both of the following effects: ● [STAY] During this turn, your Spell Book does not receive Damage and your opponent cannot turn pages of your Spell Book with their effects. ● [STAY] You cannot play SPELL and EVENT cards until the END PHASE of the next turn (this effect cannot be negated).</v>
      </c>
      <c r="J90" s="27" t="str">
        <f>IFERROR(__xludf.DUMMYFUNCTION("""COMPUTED_VALUE"""),"-")</f>
        <v>-</v>
      </c>
      <c r="K90" s="27" t="str">
        <f>IFERROR(__xludf.DUMMYFUNCTION("""COMPUTED_VALUE"""),"-")</f>
        <v>-</v>
      </c>
      <c r="L90" s="27" t="str">
        <f>IFERROR(__xludf.DUMMYFUNCTION("""COMPUTED_VALUE"""),"-")</f>
        <v>-</v>
      </c>
      <c r="M90" s="27" t="str">
        <f>IFERROR(__xludf.DUMMYFUNCTION("""COMPUTED_VALUE"""),"[U]")</f>
        <v>[U]</v>
      </c>
      <c r="N90" s="27" t="str">
        <f>IFERROR(__xludf.DUMMYFUNCTION("""COMPUTED_VALUE"""),"""As long as Zatch's book is here, he can't disappear.""")</f>
        <v>"As long as Zatch's book is here, he can't disappear."</v>
      </c>
      <c r="O90" s="27"/>
      <c r="P90" s="27"/>
      <c r="Q90" s="27"/>
      <c r="R90" s="27"/>
      <c r="S90" s="27"/>
      <c r="T90" s="27"/>
      <c r="U90" s="27"/>
      <c r="V90" s="27"/>
      <c r="W90" s="27"/>
      <c r="X90" s="27"/>
      <c r="Y90" s="27"/>
      <c r="Z90" s="27"/>
    </row>
    <row r="91">
      <c r="A91" s="29" t="str">
        <f>IFERROR(__xludf.DUMMYFUNCTION("""COMPUTED_VALUE"""),"E-072")</f>
        <v>E-072</v>
      </c>
      <c r="B91" s="27" t="str">
        <f>IFERROR(__xludf.DUMMYFUNCTION("""COMPUTED_VALUE"""),"Event")</f>
        <v>Event</v>
      </c>
      <c r="C91" s="27" t="str">
        <f>IFERROR(__xludf.DUMMYFUNCTION("""COMPUTED_VALUE"""),"Lend Us Your Power")</f>
        <v>Lend Us Your Power</v>
      </c>
      <c r="D91" s="27" t="str">
        <f>IFERROR(__xludf.DUMMYFUNCTION("""COMPUTED_VALUE"""),"-")</f>
        <v>-</v>
      </c>
      <c r="E91" s="27">
        <f>IFERROR(__xludf.DUMMYFUNCTION("""COMPUTED_VALUE"""),2.0)</f>
        <v>2</v>
      </c>
      <c r="F91" s="27" t="str">
        <f>IFERROR(__xludf.DUMMYFUNCTION("""COMPUTED_VALUE"""),"AD")</f>
        <v>AD</v>
      </c>
      <c r="G91" s="27" t="str">
        <f>IFERROR(__xludf.DUMMYFUNCTION("""COMPUTED_VALUE"""),"None")</f>
        <v>None</v>
      </c>
      <c r="H91" s="27" t="str">
        <f>IFERROR(__xludf.DUMMYFUNCTION("""COMPUTED_VALUE"""),"-")</f>
        <v>-</v>
      </c>
      <c r="I91" s="28" t="str">
        <f>IFERROR(__xludf.DUMMYFUNCTION("""COMPUTED_VALUE"""),"1 effect that targets a specific MAMODO card or the MAMODO card of a PARTNER card you have in play can be applied for any of your in-play MAMODO cards.")</f>
        <v>1 effect that targets a specific MAMODO card or the MAMODO card of a PARTNER card you have in play can be applied for any of your in-play MAMODO cards.</v>
      </c>
      <c r="J91" s="27" t="str">
        <f>IFERROR(__xludf.DUMMYFUNCTION("""COMPUTED_VALUE"""),"-")</f>
        <v>-</v>
      </c>
      <c r="K91" s="27" t="str">
        <f>IFERROR(__xludf.DUMMYFUNCTION("""COMPUTED_VALUE"""),"-")</f>
        <v>-</v>
      </c>
      <c r="L91" s="27" t="str">
        <f>IFERROR(__xludf.DUMMYFUNCTION("""COMPUTED_VALUE"""),"-")</f>
        <v>-</v>
      </c>
      <c r="M91" s="27" t="str">
        <f>IFERROR(__xludf.DUMMYFUNCTION("""COMPUTED_VALUE"""),"[C]")</f>
        <v>[C]</v>
      </c>
      <c r="N91" s="27" t="str">
        <f>IFERROR(__xludf.DUMMYFUNCTION("""COMPUTED_VALUE"""),"""Energy is flowing through our hearts. I feel new power... from our friends!""")</f>
        <v>"Energy is flowing through our hearts. I feel new power... from our friends!"</v>
      </c>
      <c r="O91" s="27"/>
      <c r="P91" s="27"/>
      <c r="Q91" s="27"/>
      <c r="R91" s="27"/>
      <c r="S91" s="27"/>
      <c r="T91" s="27"/>
      <c r="U91" s="27"/>
      <c r="V91" s="27"/>
      <c r="W91" s="27"/>
      <c r="X91" s="27"/>
      <c r="Y91" s="27"/>
      <c r="Z91" s="27"/>
    </row>
    <row r="92">
      <c r="A92" s="29" t="str">
        <f>IFERROR(__xludf.DUMMYFUNCTION("""COMPUTED_VALUE"""),"E-073")</f>
        <v>E-073</v>
      </c>
      <c r="B92" s="27" t="str">
        <f>IFERROR(__xludf.DUMMYFUNCTION("""COMPUTED_VALUE"""),"Event")</f>
        <v>Event</v>
      </c>
      <c r="C92" s="27" t="str">
        <f>IFERROR(__xludf.DUMMYFUNCTION("""COMPUTED_VALUE"""),"Combination Dance")</f>
        <v>Combination Dance</v>
      </c>
      <c r="D92" s="27" t="str">
        <f>IFERROR(__xludf.DUMMYFUNCTION("""COMPUTED_VALUE"""),"-")</f>
        <v>-</v>
      </c>
      <c r="E92" s="27">
        <f>IFERROR(__xludf.DUMMYFUNCTION("""COMPUTED_VALUE"""),3.0)</f>
        <v>3</v>
      </c>
      <c r="F92" s="27" t="str">
        <f>IFERROR(__xludf.DUMMYFUNCTION("""COMPUTED_VALUE"""),"AD")</f>
        <v>AD</v>
      </c>
      <c r="G92" s="27" t="str">
        <f>IFERROR(__xludf.DUMMYFUNCTION("""COMPUTED_VALUE"""),"None")</f>
        <v>None</v>
      </c>
      <c r="H92" s="27" t="str">
        <f>IFERROR(__xludf.DUMMYFUNCTION("""COMPUTED_VALUE"""),"-")</f>
        <v>-</v>
      </c>
      <c r="I92" s="28" t="str">
        <f>IFERROR(__xludf.DUMMYFUNCTION("""COMPUTED_VALUE"""),"Reduce your opponent's MP by 6. If you applied an effect that reduced your opponent's MP on the previous turn, no MP is reduced.")</f>
        <v>Reduce your opponent's MP by 6. If you applied an effect that reduced your opponent's MP on the previous turn, no MP is reduced.</v>
      </c>
      <c r="J92" s="27" t="str">
        <f>IFERROR(__xludf.DUMMYFUNCTION("""COMPUTED_VALUE"""),"-")</f>
        <v>-</v>
      </c>
      <c r="K92" s="27" t="str">
        <f>IFERROR(__xludf.DUMMYFUNCTION("""COMPUTED_VALUE"""),"-")</f>
        <v>-</v>
      </c>
      <c r="L92" s="27" t="str">
        <f>IFERROR(__xludf.DUMMYFUNCTION("""COMPUTED_VALUE"""),"-")</f>
        <v>-</v>
      </c>
      <c r="M92" s="27" t="str">
        <f>IFERROR(__xludf.DUMMYFUNCTION("""COMPUTED_VALUE"""),"[U]")</f>
        <v>[U]</v>
      </c>
      <c r="N92" s="27" t="str">
        <f>IFERROR(__xludf.DUMMYFUNCTION("""COMPUTED_VALUE"""),"""If he thinks this is boring, we're done for!""")</f>
        <v>"If he thinks this is boring, we're done for!"</v>
      </c>
      <c r="O92" s="27"/>
      <c r="P92" s="27"/>
      <c r="Q92" s="27"/>
      <c r="R92" s="27"/>
      <c r="S92" s="27"/>
      <c r="T92" s="27"/>
      <c r="U92" s="27"/>
      <c r="V92" s="27"/>
      <c r="W92" s="27"/>
      <c r="X92" s="27"/>
      <c r="Y92" s="27"/>
      <c r="Z92" s="27"/>
    </row>
    <row r="93">
      <c r="A93" s="29" t="str">
        <f>IFERROR(__xludf.DUMMYFUNCTION("""COMPUTED_VALUE"""),"E-074")</f>
        <v>E-074</v>
      </c>
      <c r="B93" s="27" t="str">
        <f>IFERROR(__xludf.DUMMYFUNCTION("""COMPUTED_VALUE"""),"Event")</f>
        <v>Event</v>
      </c>
      <c r="C93" s="27" t="str">
        <f>IFERROR(__xludf.DUMMYFUNCTION("""COMPUTED_VALUE"""),"Punish Directly with the Chair")</f>
        <v>Punish Directly with the Chair</v>
      </c>
      <c r="D93" s="27" t="str">
        <f>IFERROR(__xludf.DUMMYFUNCTION("""COMPUTED_VALUE"""),"-")</f>
        <v>-</v>
      </c>
      <c r="E93" s="27">
        <f>IFERROR(__xludf.DUMMYFUNCTION("""COMPUTED_VALUE"""),1.0)</f>
        <v>1</v>
      </c>
      <c r="F93" s="27" t="str">
        <f>IFERROR(__xludf.DUMMYFUNCTION("""COMPUTED_VALUE"""),"A")</f>
        <v>A</v>
      </c>
      <c r="G93" s="27" t="str">
        <f>IFERROR(__xludf.DUMMYFUNCTION("""COMPUTED_VALUE"""),"None")</f>
        <v>None</v>
      </c>
      <c r="H93" s="27" t="str">
        <f>IFERROR(__xludf.DUMMYFUNCTION("""COMPUTED_VALUE"""),"-")</f>
        <v>-</v>
      </c>
      <c r="I93" s="28" t="str">
        <f>IFERROR(__xludf.DUMMYFUNCTION("""COMPUTED_VALUE"""),"This EVENT card can be played if you or your MAMODO cards received Damage or Injury during this turn. Injure 1 of your opponent's MAMODO cards. This Injury can neither be SACRIFICED nor PROTECTED against.")</f>
        <v>This EVENT card can be played if you or your MAMODO cards received Damage or Injury during this turn. Injure 1 of your opponent's MAMODO cards. This Injury can neither be SACRIFICED nor PROTECTED against.</v>
      </c>
      <c r="J93" s="27" t="str">
        <f>IFERROR(__xludf.DUMMYFUNCTION("""COMPUTED_VALUE"""),"-")</f>
        <v>-</v>
      </c>
      <c r="K93" s="27" t="str">
        <f>IFERROR(__xludf.DUMMYFUNCTION("""COMPUTED_VALUE"""),"-")</f>
        <v>-</v>
      </c>
      <c r="L93" s="27" t="str">
        <f>IFERROR(__xludf.DUMMYFUNCTION("""COMPUTED_VALUE"""),"-")</f>
        <v>-</v>
      </c>
      <c r="M93" s="27" t="str">
        <f>IFERROR(__xludf.DUMMYFUNCTION("""COMPUTED_VALUE"""),"[C]")</f>
        <v>[C]</v>
      </c>
      <c r="N93" s="27" t="str">
        <f>IFERROR(__xludf.DUMMYFUNCTION("""COMPUTED_VALUE"""),"""You're... you're able to stand?!""")</f>
        <v>"You're... you're able to stand?!"</v>
      </c>
      <c r="O93" s="27"/>
      <c r="P93" s="27"/>
      <c r="Q93" s="27"/>
      <c r="R93" s="27"/>
      <c r="S93" s="27"/>
      <c r="T93" s="27"/>
      <c r="U93" s="27"/>
      <c r="V93" s="27"/>
      <c r="W93" s="27"/>
      <c r="X93" s="27"/>
      <c r="Y93" s="27"/>
      <c r="Z93" s="27"/>
    </row>
    <row r="94">
      <c r="A94" s="29" t="str">
        <f>IFERROR(__xludf.DUMMYFUNCTION("""COMPUTED_VALUE"""),"E-075")</f>
        <v>E-075</v>
      </c>
      <c r="B94" s="27" t="str">
        <f>IFERROR(__xludf.DUMMYFUNCTION("""COMPUTED_VALUE"""),"Event")</f>
        <v>Event</v>
      </c>
      <c r="C94" s="27" t="str">
        <f>IFERROR(__xludf.DUMMYFUNCTION("""COMPUTED_VALUE"""),"The Bad Omen Force")</f>
        <v>The Bad Omen Force</v>
      </c>
      <c r="D94" s="27" t="str">
        <f>IFERROR(__xludf.DUMMYFUNCTION("""COMPUTED_VALUE"""),"-")</f>
        <v>-</v>
      </c>
      <c r="E94" s="27" t="str">
        <f>IFERROR(__xludf.DUMMYFUNCTION("""COMPUTED_VALUE"""),"-")</f>
        <v>-</v>
      </c>
      <c r="F94" s="27" t="str">
        <f>IFERROR(__xludf.DUMMYFUNCTION("""COMPUTED_VALUE"""),"-")</f>
        <v>-</v>
      </c>
      <c r="G94" s="27" t="str">
        <f>IFERROR(__xludf.DUMMYFUNCTION("""COMPUTED_VALUE"""),"None")</f>
        <v>None</v>
      </c>
      <c r="H94" s="27" t="str">
        <f>IFERROR(__xludf.DUMMYFUNCTION("""COMPUTED_VALUE"""),"-")</f>
        <v>-</v>
      </c>
      <c r="I94" s="28" t="str">
        <f>IFERROR(__xludf.DUMMYFUNCTION("""COMPUTED_VALUE"""),"This EVENT card is put in play by the ""Animuto"" effect (as many times as you desire). The following effects can be applied when this EVENT card is in play. Applying these effects is not considered to be playing an EVENT card. ● [1 MP] This card may Atta"&amp;"ck without using a SPELL card (Total Power=6000, Damage=1). ● [IN PLAY] This EVENT card can SACRIFICE or PROTECT your Spell Book from 1 infliction of Damage. When this card receives Damage or Injury, send it to the Discard Pile.")</f>
        <v>This EVENT card is put in play by the "Animuto" effect (as many times as you desire). The following effects can be applied when this EVENT card is in play. Applying these effects is not considered to be playing an EVENT card. ● [1 MP] This card may Attack without using a SPELL card (Total Power=6000, Damage=1). ● [IN PLAY] This EVENT card can SACRIFICE or PROTECT your Spell Book from 1 infliction of Damage. When this card receives Damage or Injury, send it to the Discard Pile.</v>
      </c>
      <c r="J94" s="27" t="str">
        <f>IFERROR(__xludf.DUMMYFUNCTION("""COMPUTED_VALUE"""),"-")</f>
        <v>-</v>
      </c>
      <c r="K94" s="27" t="str">
        <f>IFERROR(__xludf.DUMMYFUNCTION("""COMPUTED_VALUE"""),"-")</f>
        <v>-</v>
      </c>
      <c r="L94" s="27" t="str">
        <f>IFERROR(__xludf.DUMMYFUNCTION("""COMPUTED_VALUE"""),"-")</f>
        <v>-</v>
      </c>
      <c r="M94" s="27" t="str">
        <f>IFERROR(__xludf.DUMMYFUNCTION("""COMPUTED_VALUE"""),"[U]")</f>
        <v>[U]</v>
      </c>
      <c r="N94" s="27" t="str">
        <f>IFERROR(__xludf.DUMMYFUNCTION("""COMPUTED_VALUE"""),"A group of evil fortune-tellers who appear in the popular manga, ""Soldiers of Destiny: The Good Omen Force.""")</f>
        <v>A group of evil fortune-tellers who appear in the popular manga, "Soldiers of Destiny: The Good Omen Force."</v>
      </c>
      <c r="O94" s="27"/>
      <c r="P94" s="27"/>
      <c r="Q94" s="27"/>
      <c r="R94" s="27"/>
      <c r="S94" s="27"/>
      <c r="T94" s="27"/>
      <c r="U94" s="27"/>
      <c r="V94" s="27"/>
      <c r="W94" s="27"/>
      <c r="X94" s="27"/>
      <c r="Y94" s="27"/>
      <c r="Z94" s="27"/>
    </row>
    <row r="95">
      <c r="A95" s="29" t="str">
        <f>IFERROR(__xludf.DUMMYFUNCTION("""COMPUTED_VALUE"""),"E-076")</f>
        <v>E-076</v>
      </c>
      <c r="B95" s="27" t="str">
        <f>IFERROR(__xludf.DUMMYFUNCTION("""COMPUTED_VALUE"""),"Event")</f>
        <v>Event</v>
      </c>
      <c r="C95" s="27" t="str">
        <f>IFERROR(__xludf.DUMMYFUNCTION("""COMPUTED_VALUE"""),"Stone of Moonlight Fragment")</f>
        <v>Stone of Moonlight Fragment</v>
      </c>
      <c r="D95" s="27" t="str">
        <f>IFERROR(__xludf.DUMMYFUNCTION("""COMPUTED_VALUE"""),"-")</f>
        <v>-</v>
      </c>
      <c r="E95" s="27">
        <f>IFERROR(__xludf.DUMMYFUNCTION("""COMPUTED_VALUE"""),1.0)</f>
        <v>1</v>
      </c>
      <c r="F95" s="27" t="str">
        <f>IFERROR(__xludf.DUMMYFUNCTION("""COMPUTED_VALUE"""),"A")</f>
        <v>A</v>
      </c>
      <c r="G95" s="27" t="str">
        <f>IFERROR(__xludf.DUMMYFUNCTION("""COMPUTED_VALUE"""),"None")</f>
        <v>None</v>
      </c>
      <c r="H95" s="27" t="str">
        <f>IFERROR(__xludf.DUMMYFUNCTION("""COMPUTED_VALUE"""),"-")</f>
        <v>-</v>
      </c>
      <c r="I95" s="28" t="str">
        <f>IFERROR(__xludf.DUMMYFUNCTION("""COMPUTED_VALUE"""),"Apply 1 or both of the following effects in any order: ● Get 4 MP. ● Turn all your Petrified MAMODO cards to Normal Status.")</f>
        <v>Apply 1 or both of the following effects in any order: ● Get 4 MP. ● Turn all your Petrified MAMODO cards to Normal Status.</v>
      </c>
      <c r="J95" s="27" t="str">
        <f>IFERROR(__xludf.DUMMYFUNCTION("""COMPUTED_VALUE"""),"-")</f>
        <v>-</v>
      </c>
      <c r="K95" s="27" t="str">
        <f>IFERROR(__xludf.DUMMYFUNCTION("""COMPUTED_VALUE"""),"-")</f>
        <v>-</v>
      </c>
      <c r="L95" s="27" t="str">
        <f>IFERROR(__xludf.DUMMYFUNCTION("""COMPUTED_VALUE"""),"-")</f>
        <v>-</v>
      </c>
      <c r="M95" s="27" t="str">
        <f>IFERROR(__xludf.DUMMYFUNCTION("""COMPUTED_VALUE"""),"[SR]")</f>
        <v>[SR]</v>
      </c>
      <c r="N95" s="27" t="str">
        <f>IFERROR(__xludf.DUMMYFUNCTION("""COMPUTED_VALUE"""),"""This is the moonlight that released us from the stone tablets.""")</f>
        <v>"This is the moonlight that released us from the stone tablets."</v>
      </c>
      <c r="O95" s="27"/>
      <c r="P95" s="27"/>
      <c r="Q95" s="27"/>
      <c r="R95" s="27"/>
      <c r="S95" s="27"/>
      <c r="T95" s="27"/>
      <c r="U95" s="27"/>
      <c r="V95" s="27"/>
      <c r="W95" s="27"/>
      <c r="X95" s="27"/>
      <c r="Y95" s="27"/>
      <c r="Z95" s="27"/>
    </row>
    <row r="96">
      <c r="A96" s="29" t="str">
        <f>IFERROR(__xludf.DUMMYFUNCTION("""COMPUTED_VALUE"""),"E-077")</f>
        <v>E-077</v>
      </c>
      <c r="B96" s="27" t="str">
        <f>IFERROR(__xludf.DUMMYFUNCTION("""COMPUTED_VALUE"""),"Event")</f>
        <v>Event</v>
      </c>
      <c r="C96" s="27" t="str">
        <f>IFERROR(__xludf.DUMMYFUNCTION("""COMPUTED_VALUE"""),"My King")</f>
        <v>My King</v>
      </c>
      <c r="D96" s="27" t="str">
        <f>IFERROR(__xludf.DUMMYFUNCTION("""COMPUTED_VALUE"""),"-")</f>
        <v>-</v>
      </c>
      <c r="E96" s="27">
        <f>IFERROR(__xludf.DUMMYFUNCTION("""COMPUTED_VALUE"""),1.0)</f>
        <v>1</v>
      </c>
      <c r="F96" s="27" t="str">
        <f>IFERROR(__xludf.DUMMYFUNCTION("""COMPUTED_VALUE"""),"A")</f>
        <v>A</v>
      </c>
      <c r="G96" s="27" t="str">
        <f>IFERROR(__xludf.DUMMYFUNCTION("""COMPUTED_VALUE"""),"Superior")</f>
        <v>Superior</v>
      </c>
      <c r="H96" s="27" t="str">
        <f>IFERROR(__xludf.DUMMYFUNCTION("""COMPUTED_VALUE"""),"-")</f>
        <v>-</v>
      </c>
      <c r="I96" s="28" t="str">
        <f>IFERROR(__xludf.DUMMYFUNCTION("""COMPUTED_VALUE"""),"[STANDBY] Select 1 EVENT card from any page of your Spell Book. The selected EVENT card can be played with a 0 MP cost during this turn (the number of EVENT cards you can play during this turn will then be 2, including this card).")</f>
        <v>[STANDBY] Select 1 EVENT card from any page of your Spell Book. The selected EVENT card can be played with a 0 MP cost during this turn (the number of EVENT cards you can play during this turn will then be 2, including this card).</v>
      </c>
      <c r="J96" s="27" t="str">
        <f>IFERROR(__xludf.DUMMYFUNCTION("""COMPUTED_VALUE"""),"-")</f>
        <v>-</v>
      </c>
      <c r="K96" s="27" t="str">
        <f>IFERROR(__xludf.DUMMYFUNCTION("""COMPUTED_VALUE"""),"-")</f>
        <v>-</v>
      </c>
      <c r="L96" s="27" t="str">
        <f>IFERROR(__xludf.DUMMYFUNCTION("""COMPUTED_VALUE"""),"-")</f>
        <v>-</v>
      </c>
      <c r="M96" s="27" t="str">
        <f>IFERROR(__xludf.DUMMYFUNCTION("""COMPUTED_VALUE"""),"[SR]")</f>
        <v>[SR]</v>
      </c>
      <c r="N96" s="27" t="str">
        <f>IFERROR(__xludf.DUMMYFUNCTION("""COMPUTED_VALUE"""),"“I want to tell you, Dr. Riddles... that you’ll always be my king.”")</f>
        <v>“I want to tell you, Dr. Riddles... that you’ll always be my king.”</v>
      </c>
      <c r="O96" s="27"/>
      <c r="P96" s="27"/>
      <c r="Q96" s="27"/>
      <c r="R96" s="27"/>
      <c r="S96" s="27"/>
      <c r="T96" s="27"/>
      <c r="U96" s="27"/>
      <c r="V96" s="27"/>
      <c r="W96" s="27"/>
      <c r="X96" s="27"/>
      <c r="Y96" s="27"/>
      <c r="Z96" s="27"/>
    </row>
    <row r="97">
      <c r="A97" s="29" t="str">
        <f>IFERROR(__xludf.DUMMYFUNCTION("""COMPUTED_VALUE"""),"E-078")</f>
        <v>E-078</v>
      </c>
      <c r="B97" s="27" t="str">
        <f>IFERROR(__xludf.DUMMYFUNCTION("""COMPUTED_VALUE"""),"Event")</f>
        <v>Event</v>
      </c>
      <c r="C97" s="27" t="str">
        <f>IFERROR(__xludf.DUMMYFUNCTION("""COMPUTED_VALUE"""),"Groovy!")</f>
        <v>Groovy!</v>
      </c>
      <c r="D97" s="27" t="str">
        <f>IFERROR(__xludf.DUMMYFUNCTION("""COMPUTED_VALUE"""),"-")</f>
        <v>-</v>
      </c>
      <c r="E97" s="27">
        <f>IFERROR(__xludf.DUMMYFUNCTION("""COMPUTED_VALUE"""),2.0)</f>
        <v>2</v>
      </c>
      <c r="F97" s="27" t="str">
        <f>IFERROR(__xludf.DUMMYFUNCTION("""COMPUTED_VALUE"""),"A")</f>
        <v>A</v>
      </c>
      <c r="G97" s="27" t="str">
        <f>IFERROR(__xludf.DUMMYFUNCTION("""COMPUTED_VALUE"""),"None")</f>
        <v>None</v>
      </c>
      <c r="H97" s="27" t="str">
        <f>IFERROR(__xludf.DUMMYFUNCTION("""COMPUTED_VALUE"""),"-")</f>
        <v>-</v>
      </c>
      <c r="I97" s="28" t="str">
        <f>IFERROR(__xludf.DUMMYFUNCTION("""COMPUTED_VALUE"""),"This EVENT card can be played only if you inflicted Damage or Injury during this turn. Turn back 1 page of your Spell Book. Effects that turn back pages of your Spell Book can be applied only once per turn (per player).")</f>
        <v>This EVENT card can be played only if you inflicted Damage or Injury during this turn. Turn back 1 page of your Spell Book. Effects that turn back pages of your Spell Book can be applied only once per turn (per player).</v>
      </c>
      <c r="J97" s="27" t="str">
        <f>IFERROR(__xludf.DUMMYFUNCTION("""COMPUTED_VALUE"""),"-")</f>
        <v>-</v>
      </c>
      <c r="K97" s="27" t="str">
        <f>IFERROR(__xludf.DUMMYFUNCTION("""COMPUTED_VALUE"""),"-")</f>
        <v>-</v>
      </c>
      <c r="L97" s="27" t="str">
        <f>IFERROR(__xludf.DUMMYFUNCTION("""COMPUTED_VALUE"""),"-")</f>
        <v>-</v>
      </c>
      <c r="M97" s="27" t="str">
        <f>IFERROR(__xludf.DUMMYFUNCTION("""COMPUTED_VALUE"""),"[SR]")</f>
        <v>[SR]</v>
      </c>
      <c r="N97" s="27" t="str">
        <f>IFERROR(__xludf.DUMMYFUNCTION("""COMPUTED_VALUE"""),"""Ponygon... that was groovy.""")</f>
        <v>"Ponygon... that was groovy."</v>
      </c>
      <c r="O97" s="27"/>
      <c r="P97" s="27"/>
      <c r="Q97" s="27"/>
      <c r="R97" s="27"/>
      <c r="S97" s="27"/>
      <c r="T97" s="27"/>
      <c r="U97" s="27"/>
      <c r="V97" s="27"/>
      <c r="W97" s="27"/>
      <c r="X97" s="27"/>
      <c r="Y97" s="27"/>
      <c r="Z97" s="27"/>
    </row>
    <row r="98">
      <c r="A98" s="29" t="str">
        <f>IFERROR(__xludf.DUMMYFUNCTION("""COMPUTED_VALUE"""),"E-079")</f>
        <v>E-079</v>
      </c>
      <c r="B98" s="27" t="str">
        <f>IFERROR(__xludf.DUMMYFUNCTION("""COMPUTED_VALUE"""),"Event")</f>
        <v>Event</v>
      </c>
      <c r="C98" s="27" t="str">
        <f>IFERROR(__xludf.DUMMYFUNCTION("""COMPUTED_VALUE"""),"Might x Blight")</f>
        <v>Might x Blight</v>
      </c>
      <c r="D98" s="27" t="str">
        <f>IFERROR(__xludf.DUMMYFUNCTION("""COMPUTED_VALUE"""),"-")</f>
        <v>-</v>
      </c>
      <c r="E98" s="27">
        <f>IFERROR(__xludf.DUMMYFUNCTION("""COMPUTED_VALUE"""),7.0)</f>
        <v>7</v>
      </c>
      <c r="F98" s="27" t="str">
        <f>IFERROR(__xludf.DUMMYFUNCTION("""COMPUTED_VALUE"""),"A")</f>
        <v>A</v>
      </c>
      <c r="G98" s="27" t="str">
        <f>IFERROR(__xludf.DUMMYFUNCTION("""COMPUTED_VALUE"""),"None")</f>
        <v>None</v>
      </c>
      <c r="H98" s="27" t="str">
        <f>IFERROR(__xludf.DUMMYFUNCTION("""COMPUTED_VALUE"""),"-")</f>
        <v>-</v>
      </c>
      <c r="I98" s="28" t="str">
        <f>IFERROR(__xludf.DUMMYFUNCTION("""COMPUTED_VALUE"""),"Apply 1 or both of the following effects in order: ● Select 1 MAMODO card you have in play with the highest Power and send all of your other in-play MAMODO cards to the Discard Pile. ● When you only have 1 MAMODO card in play, select 1 MAMODO card your op"&amp;"ponent has in play with the highest Power (if it's a tie, they choose which one) and send all of their other in-play MAMODO cards to the Discard Pile.")</f>
        <v>Apply 1 or both of the following effects in order: ● Select 1 MAMODO card you have in play with the highest Power and send all of your other in-play MAMODO cards to the Discard Pile. ● When you only have 1 MAMODO card in play, select 1 MAMODO card your opponent has in play with the highest Power (if it's a tie, they choose which one) and send all of their other in-play MAMODO cards to the Discard Pile.</v>
      </c>
      <c r="J98" s="27" t="str">
        <f>IFERROR(__xludf.DUMMYFUNCTION("""COMPUTED_VALUE"""),"-")</f>
        <v>-</v>
      </c>
      <c r="K98" s="27" t="str">
        <f>IFERROR(__xludf.DUMMYFUNCTION("""COMPUTED_VALUE"""),"-")</f>
        <v>-</v>
      </c>
      <c r="L98" s="27" t="str">
        <f>IFERROR(__xludf.DUMMYFUNCTION("""COMPUTED_VALUE"""),"-")</f>
        <v>-</v>
      </c>
      <c r="M98" s="27" t="str">
        <f>IFERROR(__xludf.DUMMYFUNCTION("""COMPUTED_VALUE"""),"[SR]")</f>
        <v>[SR]</v>
      </c>
      <c r="N98" s="27" t="str">
        <f>IFERROR(__xludf.DUMMYFUNCTION("""COMPUTED_VALUE"""),"To turn back the gears of fate, the final battle begins.")</f>
        <v>To turn back the gears of fate, the final battle begins.</v>
      </c>
      <c r="O98" s="27"/>
      <c r="P98" s="27"/>
      <c r="Q98" s="27"/>
      <c r="R98" s="27"/>
      <c r="S98" s="27"/>
      <c r="T98" s="27"/>
      <c r="U98" s="27"/>
      <c r="V98" s="27"/>
      <c r="W98" s="27"/>
      <c r="X98" s="27"/>
      <c r="Y98" s="27"/>
      <c r="Z98" s="27"/>
    </row>
    <row r="99">
      <c r="A99" s="29" t="str">
        <f>IFERROR(__xludf.DUMMYFUNCTION("""COMPUTED_VALUE"""),"E-080")</f>
        <v>E-080</v>
      </c>
      <c r="B99" s="27" t="str">
        <f>IFERROR(__xludf.DUMMYFUNCTION("""COMPUTED_VALUE"""),"Event")</f>
        <v>Event</v>
      </c>
      <c r="C99" s="27" t="str">
        <f>IFERROR(__xludf.DUMMYFUNCTION("""COMPUTED_VALUE"""),"Skydiving")</f>
        <v>Skydiving</v>
      </c>
      <c r="D99" s="27" t="str">
        <f>IFERROR(__xludf.DUMMYFUNCTION("""COMPUTED_VALUE"""),"-")</f>
        <v>-</v>
      </c>
      <c r="E99" s="27">
        <f>IFERROR(__xludf.DUMMYFUNCTION("""COMPUTED_VALUE"""),1.0)</f>
        <v>1</v>
      </c>
      <c r="F99" s="27" t="str">
        <f>IFERROR(__xludf.DUMMYFUNCTION("""COMPUTED_VALUE"""),"A")</f>
        <v>A</v>
      </c>
      <c r="G99" s="27" t="str">
        <f>IFERROR(__xludf.DUMMYFUNCTION("""COMPUTED_VALUE"""),"None")</f>
        <v>None</v>
      </c>
      <c r="H99" s="27" t="str">
        <f>IFERROR(__xludf.DUMMYFUNCTION("""COMPUTED_VALUE"""),"-")</f>
        <v>-</v>
      </c>
      <c r="I99" s="28" t="str">
        <f>IFERROR(__xludf.DUMMYFUNCTION("""COMPUTED_VALUE"""),"Select up to 3 MAMODO cards (except Stone Tablet MAMODO cards) or PARTNER cards (that are not attached to Stone Tablet MAMODO cards) from any page of your Spell Book and put them in play.")</f>
        <v>Select up to 3 MAMODO cards (except Stone Tablet MAMODO cards) or PARTNER cards (that are not attached to Stone Tablet MAMODO cards) from any page of your Spell Book and put them in play.</v>
      </c>
      <c r="J99" s="27" t="str">
        <f>IFERROR(__xludf.DUMMYFUNCTION("""COMPUTED_VALUE"""),"-")</f>
        <v>-</v>
      </c>
      <c r="K99" s="27" t="str">
        <f>IFERROR(__xludf.DUMMYFUNCTION("""COMPUTED_VALUE"""),"-")</f>
        <v>-</v>
      </c>
      <c r="L99" s="27" t="str">
        <f>IFERROR(__xludf.DUMMYFUNCTION("""COMPUTED_VALUE"""),"-")</f>
        <v>-</v>
      </c>
      <c r="M99" s="27" t="str">
        <f>IFERROR(__xludf.DUMMYFUNCTION("""COMPUTED_VALUE"""),"[U]")</f>
        <v>[U]</v>
      </c>
      <c r="N99" s="27" t="str">
        <f>IFERROR(__xludf.DUMMYFUNCTION("""COMPUTED_VALUE"""),"Kiyo and his friends decided to camp by the shores of Mt. Fuji during their summer vacation.")</f>
        <v>Kiyo and his friends decided to camp by the shores of Mt. Fuji during their summer vacation.</v>
      </c>
      <c r="O99" s="27"/>
      <c r="P99" s="27"/>
      <c r="Q99" s="27"/>
      <c r="R99" s="27"/>
      <c r="S99" s="27"/>
      <c r="T99" s="27"/>
      <c r="U99" s="27"/>
      <c r="V99" s="27"/>
      <c r="W99" s="27"/>
      <c r="X99" s="27"/>
      <c r="Y99" s="27"/>
      <c r="Z99" s="27"/>
    </row>
    <row r="100">
      <c r="A100" s="29" t="str">
        <f>IFERROR(__xludf.DUMMYFUNCTION("""COMPUTED_VALUE"""),"E-081")</f>
        <v>E-081</v>
      </c>
      <c r="B100" s="27" t="str">
        <f>IFERROR(__xludf.DUMMYFUNCTION("""COMPUTED_VALUE"""),"Event")</f>
        <v>Event</v>
      </c>
      <c r="C100" s="27" t="str">
        <f>IFERROR(__xludf.DUMMYFUNCTION("""COMPUTED_VALUE"""),"Gateway to the Mamodo World")</f>
        <v>Gateway to the Mamodo World</v>
      </c>
      <c r="D100" s="27" t="str">
        <f>IFERROR(__xludf.DUMMYFUNCTION("""COMPUTED_VALUE"""),"-")</f>
        <v>-</v>
      </c>
      <c r="E100" s="27">
        <f>IFERROR(__xludf.DUMMYFUNCTION("""COMPUTED_VALUE"""),1.0)</f>
        <v>1</v>
      </c>
      <c r="F100" s="27" t="str">
        <f>IFERROR(__xludf.DUMMYFUNCTION("""COMPUTED_VALUE"""),"A")</f>
        <v>A</v>
      </c>
      <c r="G100" s="27" t="str">
        <f>IFERROR(__xludf.DUMMYFUNCTION("""COMPUTED_VALUE"""),"None")</f>
        <v>None</v>
      </c>
      <c r="H100" s="27" t="str">
        <f>IFERROR(__xludf.DUMMYFUNCTION("""COMPUTED_VALUE"""),"-")</f>
        <v>-</v>
      </c>
      <c r="I100" s="28" t="str">
        <f>IFERROR(__xludf.DUMMYFUNCTION("""COMPUTED_VALUE"""),"Select each of your opponent's in-play MAMODO cards and send them to the Discard Pile if the selected MAMODO's card name matches the name of any cards in your opponent's Discard Pile.")</f>
        <v>Select each of your opponent's in-play MAMODO cards and send them to the Discard Pile if the selected MAMODO's card name matches the name of any cards in your opponent's Discard Pile.</v>
      </c>
      <c r="J100" s="27" t="str">
        <f>IFERROR(__xludf.DUMMYFUNCTION("""COMPUTED_VALUE"""),"-")</f>
        <v>-</v>
      </c>
      <c r="K100" s="27" t="str">
        <f>IFERROR(__xludf.DUMMYFUNCTION("""COMPUTED_VALUE"""),"-")</f>
        <v>-</v>
      </c>
      <c r="L100" s="27" t="str">
        <f>IFERROR(__xludf.DUMMYFUNCTION("""COMPUTED_VALUE"""),"-")</f>
        <v>-</v>
      </c>
      <c r="M100" s="27" t="str">
        <f>IFERROR(__xludf.DUMMYFUNCTION("""COMPUTED_VALUE"""),"[U]")</f>
        <v>[U]</v>
      </c>
      <c r="N100" s="27" t="str">
        <f>IFERROR(__xludf.DUMMYFUNCTION("""COMPUTED_VALUE"""),"Any mamodo who fails to return to the human world within 24 hours will forcibly have their spell book sapped of all its magical energy.")</f>
        <v>Any mamodo who fails to return to the human world within 24 hours will forcibly have their spell book sapped of all its magical energy.</v>
      </c>
      <c r="O100" s="27"/>
      <c r="P100" s="27"/>
      <c r="Q100" s="27"/>
      <c r="R100" s="27"/>
      <c r="S100" s="27"/>
      <c r="T100" s="27"/>
      <c r="U100" s="27"/>
      <c r="V100" s="27"/>
      <c r="W100" s="27"/>
      <c r="X100" s="27"/>
      <c r="Y100" s="27"/>
      <c r="Z100" s="27"/>
    </row>
    <row r="101">
      <c r="A101" s="29" t="str">
        <f>IFERROR(__xludf.DUMMYFUNCTION("""COMPUTED_VALUE"""),"E-082")</f>
        <v>E-082</v>
      </c>
      <c r="B101" s="27" t="str">
        <f>IFERROR(__xludf.DUMMYFUNCTION("""COMPUTED_VALUE"""),"Event")</f>
        <v>Event</v>
      </c>
      <c r="C101" s="27" t="str">
        <f>IFERROR(__xludf.DUMMYFUNCTION("""COMPUTED_VALUE"""),"Believing in Zatch")</f>
        <v>Believing in Zatch</v>
      </c>
      <c r="D101" s="27" t="str">
        <f>IFERROR(__xludf.DUMMYFUNCTION("""COMPUTED_VALUE"""),"-")</f>
        <v>-</v>
      </c>
      <c r="E101" s="27">
        <f>IFERROR(__xludf.DUMMYFUNCTION("""COMPUTED_VALUE"""),0.0)</f>
        <v>0</v>
      </c>
      <c r="F101" s="27" t="str">
        <f>IFERROR(__xludf.DUMMYFUNCTION("""COMPUTED_VALUE"""),"D")</f>
        <v>D</v>
      </c>
      <c r="G101" s="27" t="str">
        <f>IFERROR(__xludf.DUMMYFUNCTION("""COMPUTED_VALUE"""),"None")</f>
        <v>None</v>
      </c>
      <c r="H101" s="27" t="str">
        <f>IFERROR(__xludf.DUMMYFUNCTION("""COMPUTED_VALUE"""),"-")</f>
        <v>-</v>
      </c>
      <c r="I101" s="28" t="str">
        <f>IFERROR(__xludf.DUMMYFUNCTION("""COMPUTED_VALUE"""),"[STAY] Until the END PHASE of the next turn, you are considered to have 1 each of Kanchomé, Tia, and Ponygon Token MAMODO cards in play (they are exempt from the 3 MAMODO card limit and the duplicate card names limit). • Send all 3 Token MAMODO cards to t"&amp;"he Discard Pile when this effect expires. • Their attached PARTNER cards are sent to the Discard Pile when this effect expires. • DUAL / VS MAMODO put in play are not discarded when this effect expires.")</f>
        <v>[STAY] Until the END PHASE of the next turn, you are considered to have 1 each of Kanchomé, Tia, and Ponygon Token MAMODO cards in play (they are exempt from the 3 MAMODO card limit and the duplicate card names limit). • Send all 3 Token MAMODO cards to the Discard Pile when this effect expires. • Their attached PARTNER cards are sent to the Discard Pile when this effect expires. • DUAL / VS MAMODO put in play are not discarded when this effect expires.</v>
      </c>
      <c r="J101" s="27" t="str">
        <f>IFERROR(__xludf.DUMMYFUNCTION("""COMPUTED_VALUE"""),"-")</f>
        <v>-</v>
      </c>
      <c r="K101" s="27" t="str">
        <f>IFERROR(__xludf.DUMMYFUNCTION("""COMPUTED_VALUE"""),"-")</f>
        <v>-</v>
      </c>
      <c r="L101" s="27" t="str">
        <f>IFERROR(__xludf.DUMMYFUNCTION("""COMPUTED_VALUE"""),"-")</f>
        <v>-</v>
      </c>
      <c r="M101" s="27" t="str">
        <f>IFERROR(__xludf.DUMMYFUNCTION("""COMPUTED_VALUE"""),"[C]")</f>
        <v>[C]</v>
      </c>
      <c r="N101" s="27" t="str">
        <f>IFERROR(__xludf.DUMMYFUNCTION("""COMPUTED_VALUE"""),"“When Zatch gets back, he’ll break your nose! I just know he will!”")</f>
        <v>“When Zatch gets back, he’ll break your nose! I just know he will!”</v>
      </c>
      <c r="O101" s="27"/>
      <c r="P101" s="27"/>
      <c r="Q101" s="27"/>
      <c r="R101" s="27"/>
      <c r="S101" s="27"/>
      <c r="T101" s="27"/>
      <c r="U101" s="27"/>
      <c r="V101" s="27"/>
      <c r="W101" s="27"/>
      <c r="X101" s="27"/>
      <c r="Y101" s="27"/>
      <c r="Z101" s="27"/>
    </row>
    <row r="102">
      <c r="A102" s="29" t="str">
        <f>IFERROR(__xludf.DUMMYFUNCTION("""COMPUTED_VALUE"""),"E-082-TM1")</f>
        <v>E-082-TM1</v>
      </c>
      <c r="B102" s="27" t="str">
        <f>IFERROR(__xludf.DUMMYFUNCTION("""COMPUTED_VALUE"""),"Event")</f>
        <v>Event</v>
      </c>
      <c r="C102" s="27" t="str">
        <f>IFERROR(__xludf.DUMMYFUNCTION("""COMPUTED_VALUE"""),"Kanchomé")</f>
        <v>Kanchomé</v>
      </c>
      <c r="D102" s="27" t="str">
        <f>IFERROR(__xludf.DUMMYFUNCTION("""COMPUTED_VALUE"""),"Kanchomé")</f>
        <v>Kanchomé</v>
      </c>
      <c r="E102" s="27" t="str">
        <f>IFERROR(__xludf.DUMMYFUNCTION("""COMPUTED_VALUE"""),"-")</f>
        <v>-</v>
      </c>
      <c r="F102" s="27" t="str">
        <f>IFERROR(__xludf.DUMMYFUNCTION("""COMPUTED_VALUE"""),"-")</f>
        <v>-</v>
      </c>
      <c r="G102" s="27" t="str">
        <f>IFERROR(__xludf.DUMMYFUNCTION("""COMPUTED_VALUE"""),"Token")</f>
        <v>Token</v>
      </c>
      <c r="H102" s="27" t="str">
        <f>IFERROR(__xludf.DUMMYFUNCTION("""COMPUTED_VALUE"""),"Believing in Zatch")</f>
        <v>Believing in Zatch</v>
      </c>
      <c r="I102" s="28" t="str">
        <f>IFERROR(__xludf.DUMMYFUNCTION("""COMPUTED_VALUE"""),"This card is put in play in Injured Status by the effect of the Believing in Zatch EVENT card and is removed from the game when it is sent to the Discard Pile. SPELL cards can be played for this MAMODO card and a Parco Folgore PARTNER card can be attached"&amp;" to this MAMODO card. This MAMODO card can also be discarded to put DUAL and VS MAMODO in play.")</f>
        <v>This card is put in play in Injured Status by the effect of the Believing in Zatch EVENT card and is removed from the game when it is sent to the Discard Pile. SPELL cards can be played for this MAMODO card and a Parco Folgore PARTNER card can be attached to this MAMODO card. This MAMODO card can also be discarded to put DUAL and VS MAMODO in play.</v>
      </c>
      <c r="J102" s="27">
        <f>IFERROR(__xludf.DUMMYFUNCTION("""COMPUTED_VALUE"""),0.0)</f>
        <v>0</v>
      </c>
      <c r="K102" s="27" t="str">
        <f>IFERROR(__xludf.DUMMYFUNCTION("""COMPUTED_VALUE"""),"-")</f>
        <v>-</v>
      </c>
      <c r="L102" s="27" t="str">
        <f>IFERROR(__xludf.DUMMYFUNCTION("""COMPUTED_VALUE"""),"-")</f>
        <v>-</v>
      </c>
      <c r="M102" s="27" t="str">
        <f>IFERROR(__xludf.DUMMYFUNCTION("""COMPUTED_VALUE"""),"-")</f>
        <v>-</v>
      </c>
      <c r="N102" s="27" t="str">
        <f>IFERROR(__xludf.DUMMYFUNCTION("""COMPUTED_VALUE"""),"Kanchomé... Tia... Ponygon... The faith they all have in Zatch has pushed them to great new heights.")</f>
        <v>Kanchomé... Tia... Ponygon... The faith they all have in Zatch has pushed them to great new heights.</v>
      </c>
      <c r="O102" s="27"/>
      <c r="P102" s="27"/>
      <c r="Q102" s="27"/>
      <c r="R102" s="27"/>
      <c r="S102" s="27"/>
      <c r="T102" s="27"/>
      <c r="U102" s="27"/>
      <c r="V102" s="27"/>
      <c r="W102" s="27"/>
      <c r="X102" s="27"/>
      <c r="Y102" s="27"/>
      <c r="Z102" s="27"/>
    </row>
    <row r="103">
      <c r="A103" s="29" t="str">
        <f>IFERROR(__xludf.DUMMYFUNCTION("""COMPUTED_VALUE"""),"E-082-TM2")</f>
        <v>E-082-TM2</v>
      </c>
      <c r="B103" s="27" t="str">
        <f>IFERROR(__xludf.DUMMYFUNCTION("""COMPUTED_VALUE"""),"Event")</f>
        <v>Event</v>
      </c>
      <c r="C103" s="27" t="str">
        <f>IFERROR(__xludf.DUMMYFUNCTION("""COMPUTED_VALUE"""),"Tia")</f>
        <v>Tia</v>
      </c>
      <c r="D103" s="27" t="str">
        <f>IFERROR(__xludf.DUMMYFUNCTION("""COMPUTED_VALUE"""),"Tia")</f>
        <v>Tia</v>
      </c>
      <c r="E103" s="27" t="str">
        <f>IFERROR(__xludf.DUMMYFUNCTION("""COMPUTED_VALUE"""),"-")</f>
        <v>-</v>
      </c>
      <c r="F103" s="27" t="str">
        <f>IFERROR(__xludf.DUMMYFUNCTION("""COMPUTED_VALUE"""),"-")</f>
        <v>-</v>
      </c>
      <c r="G103" s="27" t="str">
        <f>IFERROR(__xludf.DUMMYFUNCTION("""COMPUTED_VALUE"""),"Token")</f>
        <v>Token</v>
      </c>
      <c r="H103" s="27" t="str">
        <f>IFERROR(__xludf.DUMMYFUNCTION("""COMPUTED_VALUE"""),"Believing in Zatch")</f>
        <v>Believing in Zatch</v>
      </c>
      <c r="I103" s="28" t="str">
        <f>IFERROR(__xludf.DUMMYFUNCTION("""COMPUTED_VALUE"""),"This card is put in play in Injured Status by the effect of the Believing in Zatch EVENT card and is removed from the game when it is sent to the Discard Pile. SPELL cards can be played for this MAMODO card and a Megumi PARTNER card can be attached to thi"&amp;"s MAMODO card. This MAMODO card can also be discarded to put DUAL and VS MAMODO in play.")</f>
        <v>This card is put in play in Injured Status by the effect of the Believing in Zatch EVENT card and is removed from the game when it is sent to the Discard Pile. SPELL cards can be played for this MAMODO card and a Megumi PARTNER card can be attached to this MAMODO card. This MAMODO card can also be discarded to put DUAL and VS MAMODO in play.</v>
      </c>
      <c r="J103" s="27">
        <f>IFERROR(__xludf.DUMMYFUNCTION("""COMPUTED_VALUE"""),0.0)</f>
        <v>0</v>
      </c>
      <c r="K103" s="27" t="str">
        <f>IFERROR(__xludf.DUMMYFUNCTION("""COMPUTED_VALUE"""),"-")</f>
        <v>-</v>
      </c>
      <c r="L103" s="27" t="str">
        <f>IFERROR(__xludf.DUMMYFUNCTION("""COMPUTED_VALUE"""),"-")</f>
        <v>-</v>
      </c>
      <c r="M103" s="27" t="str">
        <f>IFERROR(__xludf.DUMMYFUNCTION("""COMPUTED_VALUE"""),"-")</f>
        <v>-</v>
      </c>
      <c r="N103" s="27" t="str">
        <f>IFERROR(__xludf.DUMMYFUNCTION("""COMPUTED_VALUE"""),"Kanchomé... Tia... Ponygon... The faith they all have in Zatch has pushed them to great new heights.")</f>
        <v>Kanchomé... Tia... Ponygon... The faith they all have in Zatch has pushed them to great new heights.</v>
      </c>
      <c r="O103" s="27"/>
      <c r="P103" s="27"/>
      <c r="Q103" s="27"/>
      <c r="R103" s="27"/>
      <c r="S103" s="27"/>
      <c r="T103" s="27"/>
      <c r="U103" s="27"/>
      <c r="V103" s="27"/>
      <c r="W103" s="27"/>
      <c r="X103" s="27"/>
      <c r="Y103" s="27"/>
      <c r="Z103" s="27"/>
    </row>
    <row r="104">
      <c r="A104" s="29" t="str">
        <f>IFERROR(__xludf.DUMMYFUNCTION("""COMPUTED_VALUE"""),"E-082-TM3")</f>
        <v>E-082-TM3</v>
      </c>
      <c r="B104" s="27" t="str">
        <f>IFERROR(__xludf.DUMMYFUNCTION("""COMPUTED_VALUE"""),"Event")</f>
        <v>Event</v>
      </c>
      <c r="C104" s="27" t="str">
        <f>IFERROR(__xludf.DUMMYFUNCTION("""COMPUTED_VALUE"""),"Ponygon")</f>
        <v>Ponygon</v>
      </c>
      <c r="D104" s="27" t="str">
        <f>IFERROR(__xludf.DUMMYFUNCTION("""COMPUTED_VALUE"""),"Ponygon")</f>
        <v>Ponygon</v>
      </c>
      <c r="E104" s="27" t="str">
        <f>IFERROR(__xludf.DUMMYFUNCTION("""COMPUTED_VALUE"""),"-")</f>
        <v>-</v>
      </c>
      <c r="F104" s="27" t="str">
        <f>IFERROR(__xludf.DUMMYFUNCTION("""COMPUTED_VALUE"""),"-")</f>
        <v>-</v>
      </c>
      <c r="G104" s="27" t="str">
        <f>IFERROR(__xludf.DUMMYFUNCTION("""COMPUTED_VALUE"""),"Token")</f>
        <v>Token</v>
      </c>
      <c r="H104" s="27" t="str">
        <f>IFERROR(__xludf.DUMMYFUNCTION("""COMPUTED_VALUE"""),"Believing in Zatch")</f>
        <v>Believing in Zatch</v>
      </c>
      <c r="I104" s="28" t="str">
        <f>IFERROR(__xludf.DUMMYFUNCTION("""COMPUTED_VALUE"""),"This card is put in play in Injured Status by the effect of the Believing in Zatch EVENT card and is removed from the game when it is sent to the Discard Pile. SPELL cards can be played for this MAMODO card and a Kafk Sunbeam PARTNER card can be attached "&amp;"to this MAMODO card. This MAMODO card can also be discarded to put DUAL and VS MAMODO in play.")</f>
        <v>This card is put in play in Injured Status by the effect of the Believing in Zatch EVENT card and is removed from the game when it is sent to the Discard Pile. SPELL cards can be played for this MAMODO card and a Kafk Sunbeam PARTNER card can be attached to this MAMODO card. This MAMODO card can also be discarded to put DUAL and VS MAMODO in play.</v>
      </c>
      <c r="J104" s="27">
        <f>IFERROR(__xludf.DUMMYFUNCTION("""COMPUTED_VALUE"""),0.0)</f>
        <v>0</v>
      </c>
      <c r="K104" s="27" t="str">
        <f>IFERROR(__xludf.DUMMYFUNCTION("""COMPUTED_VALUE"""),"-")</f>
        <v>-</v>
      </c>
      <c r="L104" s="27" t="str">
        <f>IFERROR(__xludf.DUMMYFUNCTION("""COMPUTED_VALUE"""),"-")</f>
        <v>-</v>
      </c>
      <c r="M104" s="27" t="str">
        <f>IFERROR(__xludf.DUMMYFUNCTION("""COMPUTED_VALUE"""),"-")</f>
        <v>-</v>
      </c>
      <c r="N104" s="27" t="str">
        <f>IFERROR(__xludf.DUMMYFUNCTION("""COMPUTED_VALUE"""),"Kanchomé... Tia... Ponygon... The faith they all have in Zatch has pushed them to great new heights.")</f>
        <v>Kanchomé... Tia... Ponygon... The faith they all have in Zatch has pushed them to great new heights.</v>
      </c>
      <c r="O104" s="27"/>
      <c r="P104" s="27"/>
      <c r="Q104" s="27"/>
      <c r="R104" s="27"/>
      <c r="S104" s="27"/>
      <c r="T104" s="27"/>
      <c r="U104" s="27"/>
      <c r="V104" s="27"/>
      <c r="W104" s="27"/>
      <c r="X104" s="27"/>
      <c r="Y104" s="27"/>
      <c r="Z104" s="27"/>
    </row>
    <row r="105">
      <c r="A105" s="29" t="str">
        <f>IFERROR(__xludf.DUMMYFUNCTION("""COMPUTED_VALUE"""),"E-083")</f>
        <v>E-083</v>
      </c>
      <c r="B105" s="27" t="str">
        <f>IFERROR(__xludf.DUMMYFUNCTION("""COMPUTED_VALUE"""),"Event")</f>
        <v>Event</v>
      </c>
      <c r="C105" s="27" t="str">
        <f>IFERROR(__xludf.DUMMYFUNCTION("""COMPUTED_VALUE"""),"Beating Up My Body?!")</f>
        <v>Beating Up My Body?!</v>
      </c>
      <c r="D105" s="27" t="str">
        <f>IFERROR(__xludf.DUMMYFUNCTION("""COMPUTED_VALUE"""),"-")</f>
        <v>-</v>
      </c>
      <c r="E105" s="27">
        <f>IFERROR(__xludf.DUMMYFUNCTION("""COMPUTED_VALUE"""),1.0)</f>
        <v>1</v>
      </c>
      <c r="F105" s="27" t="str">
        <f>IFERROR(__xludf.DUMMYFUNCTION("""COMPUTED_VALUE"""),"D")</f>
        <v>D</v>
      </c>
      <c r="G105" s="27" t="str">
        <f>IFERROR(__xludf.DUMMYFUNCTION("""COMPUTED_VALUE"""),"None")</f>
        <v>None</v>
      </c>
      <c r="H105" s="27" t="str">
        <f>IFERROR(__xludf.DUMMYFUNCTION("""COMPUTED_VALUE"""),"-")</f>
        <v>-</v>
      </c>
      <c r="I105" s="28" t="str">
        <f>IFERROR(__xludf.DUMMYFUNCTION("""COMPUTED_VALUE"""),"This EVENT card can be played only if your opponent Attacked more than once during this turn. Turn pages of your opponent's Spell Book equal to the number of times your opponent Attacked during this turn times 1.")</f>
        <v>This EVENT card can be played only if your opponent Attacked more than once during this turn. Turn pages of your opponent's Spell Book equal to the number of times your opponent Attacked during this turn times 1.</v>
      </c>
      <c r="J105" s="27" t="str">
        <f>IFERROR(__xludf.DUMMYFUNCTION("""COMPUTED_VALUE"""),"-")</f>
        <v>-</v>
      </c>
      <c r="K105" s="27" t="str">
        <f>IFERROR(__xludf.DUMMYFUNCTION("""COMPUTED_VALUE"""),"-")</f>
        <v>-</v>
      </c>
      <c r="L105" s="27" t="str">
        <f>IFERROR(__xludf.DUMMYFUNCTION("""COMPUTED_VALUE"""),"-")</f>
        <v>-</v>
      </c>
      <c r="M105" s="27" t="str">
        <f>IFERROR(__xludf.DUMMYFUNCTION("""COMPUTED_VALUE"""),"[C]")</f>
        <v>[C]</v>
      </c>
      <c r="N105" s="27" t="str">
        <f>IFERROR(__xludf.DUMMYFUNCTION("""COMPUTED_VALUE"""),"""What is happening?! My body is receiving a pounding!""")</f>
        <v>"What is happening?! My body is receiving a pounding!"</v>
      </c>
      <c r="O105" s="27"/>
      <c r="P105" s="27"/>
      <c r="Q105" s="27"/>
      <c r="R105" s="27"/>
      <c r="S105" s="27"/>
      <c r="T105" s="27"/>
      <c r="U105" s="27"/>
      <c r="V105" s="27"/>
      <c r="W105" s="27"/>
      <c r="X105" s="27"/>
      <c r="Y105" s="27"/>
      <c r="Z105" s="27"/>
    </row>
    <row r="106">
      <c r="A106" s="29" t="str">
        <f>IFERROR(__xludf.DUMMYFUNCTION("""COMPUTED_VALUE"""),"E-084")</f>
        <v>E-084</v>
      </c>
      <c r="B106" s="27" t="str">
        <f>IFERROR(__xludf.DUMMYFUNCTION("""COMPUTED_VALUE"""),"Event")</f>
        <v>Event</v>
      </c>
      <c r="C106" s="27" t="str">
        <f>IFERROR(__xludf.DUMMYFUNCTION("""COMPUTED_VALUE"""),"Don't Bully My Beautiful Body!")</f>
        <v>Don't Bully My Beautiful Body!</v>
      </c>
      <c r="D106" s="27" t="str">
        <f>IFERROR(__xludf.DUMMYFUNCTION("""COMPUTED_VALUE"""),"-")</f>
        <v>-</v>
      </c>
      <c r="E106" s="27">
        <f>IFERROR(__xludf.DUMMYFUNCTION("""COMPUTED_VALUE"""),2.0)</f>
        <v>2</v>
      </c>
      <c r="F106" s="27" t="str">
        <f>IFERROR(__xludf.DUMMYFUNCTION("""COMPUTED_VALUE"""),"AD")</f>
        <v>AD</v>
      </c>
      <c r="G106" s="27" t="str">
        <f>IFERROR(__xludf.DUMMYFUNCTION("""COMPUTED_VALUE"""),"None")</f>
        <v>None</v>
      </c>
      <c r="H106" s="27" t="str">
        <f>IFERROR(__xludf.DUMMYFUNCTION("""COMPUTED_VALUE"""),"-")</f>
        <v>-</v>
      </c>
      <c r="I106" s="28" t="str">
        <f>IFERROR(__xludf.DUMMYFUNCTION("""COMPUTED_VALUE"""),"[STAY] Select 1 of the following card types: MAMODO, PARTNER, MJ12, or EVENT cards. Neither player can apply the effects of the selected card type during this turn (this card's effects are still applied regardless).")</f>
        <v>[STAY] Select 1 of the following card types: MAMODO, PARTNER, MJ12, or EVENT cards. Neither player can apply the effects of the selected card type during this turn (this card's effects are still applied regardless).</v>
      </c>
      <c r="J106" s="27" t="str">
        <f>IFERROR(__xludf.DUMMYFUNCTION("""COMPUTED_VALUE"""),"-")</f>
        <v>-</v>
      </c>
      <c r="K106" s="27" t="str">
        <f>IFERROR(__xludf.DUMMYFUNCTION("""COMPUTED_VALUE"""),"-")</f>
        <v>-</v>
      </c>
      <c r="L106" s="27" t="str">
        <f>IFERROR(__xludf.DUMMYFUNCTION("""COMPUTED_VALUE"""),"-")</f>
        <v>-</v>
      </c>
      <c r="M106" s="27" t="str">
        <f>IFERROR(__xludf.DUMMYFUNCTION("""COMPUTED_VALUE"""),"[C]")</f>
        <v>[C]</v>
      </c>
      <c r="N106" s="27" t="str">
        <f>IFERROR(__xludf.DUMMYFUNCTION("""COMPUTED_VALUE"""),"""Ow, oww!!""")</f>
        <v>"Ow, oww!!"</v>
      </c>
      <c r="O106" s="27"/>
      <c r="P106" s="27"/>
      <c r="Q106" s="27"/>
      <c r="R106" s="27"/>
      <c r="S106" s="27"/>
      <c r="T106" s="27"/>
      <c r="U106" s="27"/>
      <c r="V106" s="27"/>
      <c r="W106" s="27"/>
      <c r="X106" s="27"/>
      <c r="Y106" s="27"/>
      <c r="Z106" s="27"/>
    </row>
    <row r="107">
      <c r="A107" s="29" t="str">
        <f>IFERROR(__xludf.DUMMYFUNCTION("""COMPUTED_VALUE"""),"E-085")</f>
        <v>E-085</v>
      </c>
      <c r="B107" s="27" t="str">
        <f>IFERROR(__xludf.DUMMYFUNCTION("""COMPUTED_VALUE"""),"Event")</f>
        <v>Event</v>
      </c>
      <c r="C107" s="27" t="str">
        <f>IFERROR(__xludf.DUMMYFUNCTION("""COMPUTED_VALUE"""),"Eve of a Decisive Battle")</f>
        <v>Eve of a Decisive Battle</v>
      </c>
      <c r="D107" s="27" t="str">
        <f>IFERROR(__xludf.DUMMYFUNCTION("""COMPUTED_VALUE"""),"-")</f>
        <v>-</v>
      </c>
      <c r="E107" s="27">
        <f>IFERROR(__xludf.DUMMYFUNCTION("""COMPUTED_VALUE"""),0.0)</f>
        <v>0</v>
      </c>
      <c r="F107" s="27" t="str">
        <f>IFERROR(__xludf.DUMMYFUNCTION("""COMPUTED_VALUE"""),"A")</f>
        <v>A</v>
      </c>
      <c r="G107" s="27" t="str">
        <f>IFERROR(__xludf.DUMMYFUNCTION("""COMPUTED_VALUE"""),"None")</f>
        <v>None</v>
      </c>
      <c r="H107" s="27" t="str">
        <f>IFERROR(__xludf.DUMMYFUNCTION("""COMPUTED_VALUE"""),"-")</f>
        <v>-</v>
      </c>
      <c r="I107" s="28" t="str">
        <f>IFERROR(__xludf.DUMMYFUNCTION("""COMPUTED_VALUE"""),"[STANDBY] At the END PHASE of this turn, apply 1 or both of the following effects in any order: ● Negate all of your opponent's [Stay] and [Standby] effects. ● Turn all of your Petrified MAMODO cards to Normal Status.")</f>
        <v>[STANDBY] At the END PHASE of this turn, apply 1 or both of the following effects in any order: ● Negate all of your opponent's [Stay] and [Standby] effects. ● Turn all of your Petrified MAMODO cards to Normal Status.</v>
      </c>
      <c r="J107" s="27" t="str">
        <f>IFERROR(__xludf.DUMMYFUNCTION("""COMPUTED_VALUE"""),"-")</f>
        <v>-</v>
      </c>
      <c r="K107" s="27" t="str">
        <f>IFERROR(__xludf.DUMMYFUNCTION("""COMPUTED_VALUE"""),"-")</f>
        <v>-</v>
      </c>
      <c r="L107" s="27" t="str">
        <f>IFERROR(__xludf.DUMMYFUNCTION("""COMPUTED_VALUE"""),"-")</f>
        <v>-</v>
      </c>
      <c r="M107" s="27" t="str">
        <f>IFERROR(__xludf.DUMMYFUNCTION("""COMPUTED_VALUE"""),"[U]")</f>
        <v>[U]</v>
      </c>
      <c r="N107" s="27" t="str">
        <f>IFERROR(__xludf.DUMMYFUNCTION("""COMPUTED_VALUE"""),"Victoream and Laila. They share various things in common with their assigned human partners.")</f>
        <v>Victoream and Laila. They share various things in common with their assigned human partners.</v>
      </c>
      <c r="O107" s="27"/>
      <c r="P107" s="27"/>
      <c r="Q107" s="27"/>
      <c r="R107" s="27"/>
      <c r="S107" s="27"/>
      <c r="T107" s="27"/>
      <c r="U107" s="27"/>
      <c r="V107" s="27"/>
      <c r="W107" s="27"/>
      <c r="X107" s="27"/>
      <c r="Y107" s="27"/>
      <c r="Z107" s="27"/>
    </row>
    <row r="108">
      <c r="A108" s="29" t="str">
        <f>IFERROR(__xludf.DUMMYFUNCTION("""COMPUTED_VALUE"""),"E-086")</f>
        <v>E-086</v>
      </c>
      <c r="B108" s="27" t="str">
        <f>IFERROR(__xludf.DUMMYFUNCTION("""COMPUTED_VALUE"""),"Event")</f>
        <v>Event</v>
      </c>
      <c r="C108" s="27" t="str">
        <f>IFERROR(__xludf.DUMMYFUNCTION("""COMPUTED_VALUE"""),"Nurse")</f>
        <v>Nurse</v>
      </c>
      <c r="D108" s="27" t="str">
        <f>IFERROR(__xludf.DUMMYFUNCTION("""COMPUTED_VALUE"""),"-")</f>
        <v>-</v>
      </c>
      <c r="E108" s="27">
        <f>IFERROR(__xludf.DUMMYFUNCTION("""COMPUTED_VALUE"""),3.0)</f>
        <v>3</v>
      </c>
      <c r="F108" s="27" t="str">
        <f>IFERROR(__xludf.DUMMYFUNCTION("""COMPUTED_VALUE"""),"A")</f>
        <v>A</v>
      </c>
      <c r="G108" s="27" t="str">
        <f>IFERROR(__xludf.DUMMYFUNCTION("""COMPUTED_VALUE"""),"None")</f>
        <v>None</v>
      </c>
      <c r="H108" s="27" t="str">
        <f>IFERROR(__xludf.DUMMYFUNCTION("""COMPUTED_VALUE"""),"-")</f>
        <v>-</v>
      </c>
      <c r="I108" s="28" t="str">
        <f>IFERROR(__xludf.DUMMYFUNCTION("""COMPUTED_VALUE"""),"Move 1 MAMODO, PARTNER, or MJ12 card from your Discard Pile into play.")</f>
        <v>Move 1 MAMODO, PARTNER, or MJ12 card from your Discard Pile into play.</v>
      </c>
      <c r="J108" s="27" t="str">
        <f>IFERROR(__xludf.DUMMYFUNCTION("""COMPUTED_VALUE"""),"-")</f>
        <v>-</v>
      </c>
      <c r="K108" s="27" t="str">
        <f>IFERROR(__xludf.DUMMYFUNCTION("""COMPUTED_VALUE"""),"-")</f>
        <v>-</v>
      </c>
      <c r="L108" s="27" t="str">
        <f>IFERROR(__xludf.DUMMYFUNCTION("""COMPUTED_VALUE"""),"-")</f>
        <v>-</v>
      </c>
      <c r="M108" s="27" t="str">
        <f>IFERROR(__xludf.DUMMYFUNCTION("""COMPUTED_VALUE"""),"[R]")</f>
        <v>[R]</v>
      </c>
      <c r="N108" s="27" t="str">
        <f>IFERROR(__xludf.DUMMYFUNCTION("""COMPUTED_VALUE"""),"""Now, now... We can't have this, Kiyo.""")</f>
        <v>"Now, now... We can't have this, Kiyo."</v>
      </c>
      <c r="O108" s="27"/>
      <c r="P108" s="27"/>
      <c r="Q108" s="27"/>
      <c r="R108" s="27"/>
      <c r="S108" s="27"/>
      <c r="T108" s="27"/>
      <c r="U108" s="27"/>
      <c r="V108" s="27"/>
      <c r="W108" s="27"/>
      <c r="X108" s="27"/>
      <c r="Y108" s="27"/>
      <c r="Z108" s="27"/>
    </row>
    <row r="109">
      <c r="A109" s="29" t="str">
        <f>IFERROR(__xludf.DUMMYFUNCTION("""COMPUTED_VALUE"""),"E-087")</f>
        <v>E-087</v>
      </c>
      <c r="B109" s="27" t="str">
        <f>IFERROR(__xludf.DUMMYFUNCTION("""COMPUTED_VALUE"""),"Event")</f>
        <v>Event</v>
      </c>
      <c r="C109" s="27" t="str">
        <f>IFERROR(__xludf.DUMMYFUNCTION("""COMPUTED_VALUE"""),"Lady Susan Chop")</f>
        <v>Lady Susan Chop</v>
      </c>
      <c r="D109" s="27" t="str">
        <f>IFERROR(__xludf.DUMMYFUNCTION("""COMPUTED_VALUE"""),"-")</f>
        <v>-</v>
      </c>
      <c r="E109" s="27">
        <f>IFERROR(__xludf.DUMMYFUNCTION("""COMPUTED_VALUE"""),1.0)</f>
        <v>1</v>
      </c>
      <c r="F109" s="27" t="str">
        <f>IFERROR(__xludf.DUMMYFUNCTION("""COMPUTED_VALUE"""),"AD")</f>
        <v>AD</v>
      </c>
      <c r="G109" s="27" t="str">
        <f>IFERROR(__xludf.DUMMYFUNCTION("""COMPUTED_VALUE"""),"None")</f>
        <v>None</v>
      </c>
      <c r="H109" s="27" t="str">
        <f>IFERROR(__xludf.DUMMYFUNCTION("""COMPUTED_VALUE"""),"-")</f>
        <v>-</v>
      </c>
      <c r="I109" s="28" t="str">
        <f>IFERROR(__xludf.DUMMYFUNCTION("""COMPUTED_VALUE"""),"This EVENT card can be played only if you have a Lady Susan MJ12 card in play. [STAY] Your opponent can neither Attack nor Defend during this turn.")</f>
        <v>This EVENT card can be played only if you have a Lady Susan MJ12 card in play. [STAY] Your opponent can neither Attack nor Defend during this turn.</v>
      </c>
      <c r="J109" s="27" t="str">
        <f>IFERROR(__xludf.DUMMYFUNCTION("""COMPUTED_VALUE"""),"-")</f>
        <v>-</v>
      </c>
      <c r="K109" s="27" t="str">
        <f>IFERROR(__xludf.DUMMYFUNCTION("""COMPUTED_VALUE"""),"-")</f>
        <v>-</v>
      </c>
      <c r="L109" s="27" t="str">
        <f>IFERROR(__xludf.DUMMYFUNCTION("""COMPUTED_VALUE"""),"-")</f>
        <v>-</v>
      </c>
      <c r="M109" s="27" t="str">
        <f>IFERROR(__xludf.DUMMYFUNCTION("""COMPUTED_VALUE"""),"[SR]")</f>
        <v>[SR]</v>
      </c>
      <c r="N109" s="27" t="str">
        <f>IFERROR(__xludf.DUMMYFUNCTION("""COMPUTED_VALUE"""),"""Yeaaah!""")</f>
        <v>"Yeaaah!"</v>
      </c>
      <c r="O109" s="27"/>
      <c r="P109" s="27"/>
      <c r="Q109" s="27"/>
      <c r="R109" s="27"/>
      <c r="S109" s="27"/>
      <c r="T109" s="27"/>
      <c r="U109" s="27"/>
      <c r="V109" s="27"/>
      <c r="W109" s="27"/>
      <c r="X109" s="27"/>
      <c r="Y109" s="27"/>
      <c r="Z109" s="27"/>
    </row>
    <row r="110">
      <c r="A110" s="29" t="str">
        <f>IFERROR(__xludf.DUMMYFUNCTION("""COMPUTED_VALUE"""),"E-088")</f>
        <v>E-088</v>
      </c>
      <c r="B110" s="27" t="str">
        <f>IFERROR(__xludf.DUMMYFUNCTION("""COMPUTED_VALUE"""),"Event")</f>
        <v>Event</v>
      </c>
      <c r="C110" s="27" t="str">
        <f>IFERROR(__xludf.DUMMYFUNCTION("""COMPUTED_VALUE"""),"My Voice Is Reaching You")</f>
        <v>My Voice Is Reaching You</v>
      </c>
      <c r="D110" s="27" t="str">
        <f>IFERROR(__xludf.DUMMYFUNCTION("""COMPUTED_VALUE"""),"-")</f>
        <v>-</v>
      </c>
      <c r="E110" s="27">
        <f>IFERROR(__xludf.DUMMYFUNCTION("""COMPUTED_VALUE"""),1.0)</f>
        <v>1</v>
      </c>
      <c r="F110" s="27" t="str">
        <f>IFERROR(__xludf.DUMMYFUNCTION("""COMPUTED_VALUE"""),"AD")</f>
        <v>AD</v>
      </c>
      <c r="G110" s="27" t="str">
        <f>IFERROR(__xludf.DUMMYFUNCTION("""COMPUTED_VALUE"""),"None")</f>
        <v>None</v>
      </c>
      <c r="H110" s="27" t="str">
        <f>IFERROR(__xludf.DUMMYFUNCTION("""COMPUTED_VALUE"""),"-")</f>
        <v>-</v>
      </c>
      <c r="I110" s="28" t="str">
        <f>IFERROR(__xludf.DUMMYFUNCTION("""COMPUTED_VALUE"""),"Select 1 of your in-play MAMODO or Stone Tablet MAMODO cards and apply 1 or both of the following effects in any order: ● Turn the selected MAMODO card to Normal Status. ● Negate all [Stay] and [Standby] effects that prohibit the selected MAMODO card from"&amp;" playing SPELL cards, applying its effects, and/or applying the effects of its attached PARTNER card (any unselected cards remain as targets for these effects).")</f>
        <v>Select 1 of your in-play MAMODO or Stone Tablet MAMODO cards and apply 1 or both of the following effects in any order: ● Turn the selected MAMODO card to Normal Status. ● Negate all [Stay] and [Standby] effects that prohibit the selected MAMODO card from playing SPELL cards, applying its effects, and/or applying the effects of its attached PARTNER card (any unselected cards remain as targets for these effects).</v>
      </c>
      <c r="J110" s="27" t="str">
        <f>IFERROR(__xludf.DUMMYFUNCTION("""COMPUTED_VALUE"""),"-")</f>
        <v>-</v>
      </c>
      <c r="K110" s="27" t="str">
        <f>IFERROR(__xludf.DUMMYFUNCTION("""COMPUTED_VALUE"""),"-")</f>
        <v>-</v>
      </c>
      <c r="L110" s="27" t="str">
        <f>IFERROR(__xludf.DUMMYFUNCTION("""COMPUTED_VALUE"""),"-")</f>
        <v>-</v>
      </c>
      <c r="M110" s="27" t="str">
        <f>IFERROR(__xludf.DUMMYFUNCTION("""COMPUTED_VALUE"""),"[SR]")</f>
        <v>[SR]</v>
      </c>
      <c r="N110" s="27" t="str">
        <f>IFERROR(__xludf.DUMMYFUNCTION("""COMPUTED_VALUE"""),"""Albert...? You're listening... My voice is reaching you!""")</f>
        <v>"Albert...? You're listening... My voice is reaching you!"</v>
      </c>
      <c r="O110" s="27"/>
      <c r="P110" s="27"/>
      <c r="Q110" s="27"/>
      <c r="R110" s="27"/>
      <c r="S110" s="27"/>
      <c r="T110" s="27"/>
      <c r="U110" s="27"/>
      <c r="V110" s="27"/>
      <c r="W110" s="27"/>
      <c r="X110" s="27"/>
      <c r="Y110" s="27"/>
      <c r="Z110" s="27"/>
    </row>
    <row r="111">
      <c r="A111" s="29" t="str">
        <f>IFERROR(__xludf.DUMMYFUNCTION("""COMPUTED_VALUE"""),"E-089")</f>
        <v>E-089</v>
      </c>
      <c r="B111" s="27" t="str">
        <f>IFERROR(__xludf.DUMMYFUNCTION("""COMPUTED_VALUE"""),"Event")</f>
        <v>Event</v>
      </c>
      <c r="C111" s="27" t="str">
        <f>IFERROR(__xludf.DUMMYFUNCTION("""COMPUTED_VALUE"""),"Marriage")</f>
        <v>Marriage</v>
      </c>
      <c r="D111" s="27" t="str">
        <f>IFERROR(__xludf.DUMMYFUNCTION("""COMPUTED_VALUE"""),"-")</f>
        <v>-</v>
      </c>
      <c r="E111" s="27">
        <f>IFERROR(__xludf.DUMMYFUNCTION("""COMPUTED_VALUE"""),2.0)</f>
        <v>2</v>
      </c>
      <c r="F111" s="27" t="str">
        <f>IFERROR(__xludf.DUMMYFUNCTION("""COMPUTED_VALUE"""),"A")</f>
        <v>A</v>
      </c>
      <c r="G111" s="27" t="str">
        <f>IFERROR(__xludf.DUMMYFUNCTION("""COMPUTED_VALUE"""),"None")</f>
        <v>None</v>
      </c>
      <c r="H111" s="27" t="str">
        <f>IFERROR(__xludf.DUMMYFUNCTION("""COMPUTED_VALUE"""),"-")</f>
        <v>-</v>
      </c>
      <c r="I111" s="28" t="str">
        <f>IFERROR(__xludf.DUMMYFUNCTION("""COMPUTED_VALUE"""),"Select 1 of your in-play MAMODO cards and 1 of your opponent's in-play MAMODO cards. Then, apply 1 of of the following effects: ● If your opponent accepts, both players move their selected MAMODO card to an empty page of their Spell Book. ● If your oppone"&amp;"nt does not accept, turn 1 page of their Spell Book.")</f>
        <v>Select 1 of your in-play MAMODO cards and 1 of your opponent's in-play MAMODO cards. Then, apply 1 of of the following effects: ● If your opponent accepts, both players move their selected MAMODO card to an empty page of their Spell Book. ● If your opponent does not accept, turn 1 page of their Spell Book.</v>
      </c>
      <c r="J111" s="27" t="str">
        <f>IFERROR(__xludf.DUMMYFUNCTION("""COMPUTED_VALUE"""),"-")</f>
        <v>-</v>
      </c>
      <c r="K111" s="27" t="str">
        <f>IFERROR(__xludf.DUMMYFUNCTION("""COMPUTED_VALUE"""),"-")</f>
        <v>-</v>
      </c>
      <c r="L111" s="27" t="str">
        <f>IFERROR(__xludf.DUMMYFUNCTION("""COMPUTED_VALUE"""),"-")</f>
        <v>-</v>
      </c>
      <c r="M111" s="27" t="str">
        <f>IFERROR(__xludf.DUMMYFUNCTION("""COMPUTED_VALUE"""),"[SR]")</f>
        <v>[SR]</v>
      </c>
      <c r="N111" s="27" t="str">
        <f>IFERROR(__xludf.DUMMYFUNCTION("""COMPUTED_VALUE"""),"""If I marry her... the next thing you know, she’ll wanna have a little baby mamodo...""")</f>
        <v>"If I marry her... the next thing you know, she’ll wanna have a little baby mamodo..."</v>
      </c>
      <c r="O111" s="27"/>
      <c r="P111" s="27"/>
      <c r="Q111" s="27"/>
      <c r="R111" s="27"/>
      <c r="S111" s="27"/>
      <c r="T111" s="27"/>
      <c r="U111" s="27"/>
      <c r="V111" s="27"/>
      <c r="W111" s="27"/>
      <c r="X111" s="27"/>
      <c r="Y111" s="27"/>
      <c r="Z111" s="27"/>
    </row>
    <row r="112">
      <c r="A112" s="29" t="str">
        <f>IFERROR(__xludf.DUMMYFUNCTION("""COMPUTED_VALUE"""),"E-090")</f>
        <v>E-090</v>
      </c>
      <c r="B112" s="27" t="str">
        <f>IFERROR(__xludf.DUMMYFUNCTION("""COMPUTED_VALUE"""),"Event")</f>
        <v>Event</v>
      </c>
      <c r="C112" s="27" t="str">
        <f>IFERROR(__xludf.DUMMYFUNCTION("""COMPUTED_VALUE"""),"The Stone of Moonlight")</f>
        <v>The Stone of Moonlight</v>
      </c>
      <c r="D112" s="27" t="str">
        <f>IFERROR(__xludf.DUMMYFUNCTION("""COMPUTED_VALUE"""),"-")</f>
        <v>-</v>
      </c>
      <c r="E112" s="27">
        <f>IFERROR(__xludf.DUMMYFUNCTION("""COMPUTED_VALUE"""),6.0)</f>
        <v>6</v>
      </c>
      <c r="F112" s="27" t="str">
        <f>IFERROR(__xludf.DUMMYFUNCTION("""COMPUTED_VALUE"""),"A")</f>
        <v>A</v>
      </c>
      <c r="G112" s="27" t="str">
        <f>IFERROR(__xludf.DUMMYFUNCTION("""COMPUTED_VALUE"""),"None")</f>
        <v>None</v>
      </c>
      <c r="H112" s="27" t="str">
        <f>IFERROR(__xludf.DUMMYFUNCTION("""COMPUTED_VALUE"""),"-")</f>
        <v>-</v>
      </c>
      <c r="I112" s="28" t="str">
        <f>IFERROR(__xludf.DUMMYFUNCTION("""COMPUTED_VALUE"""),"Apply both of the following effects: ● [STAY] At each player's END PHASE during this game, both players turn their Injured and Petrified MAMODO to Normal Status. ● [STAY] Get 1 MP at each player's END PHASE during this game (this effect cannot be duplicat"&amp;"ed).")</f>
        <v>Apply both of the following effects: ● [STAY] At each player's END PHASE during this game, both players turn their Injured and Petrified MAMODO to Normal Status. ● [STAY] Get 1 MP at each player's END PHASE during this game (this effect cannot be duplicated).</v>
      </c>
      <c r="J112" s="27" t="str">
        <f>IFERROR(__xludf.DUMMYFUNCTION("""COMPUTED_VALUE"""),"-")</f>
        <v>-</v>
      </c>
      <c r="K112" s="27" t="str">
        <f>IFERROR(__xludf.DUMMYFUNCTION("""COMPUTED_VALUE"""),"-")</f>
        <v>-</v>
      </c>
      <c r="L112" s="27" t="str">
        <f>IFERROR(__xludf.DUMMYFUNCTION("""COMPUTED_VALUE"""),"-")</f>
        <v>-</v>
      </c>
      <c r="M112" s="27" t="str">
        <f>IFERROR(__xludf.DUMMYFUNCTION("""COMPUTED_VALUE"""),"[R]")</f>
        <v>[R]</v>
      </c>
      <c r="N112" s="27" t="str">
        <f>IFERROR(__xludf.DUMMYFUNCTION("""COMPUTED_VALUE"""),"A huge stone of moonlight is kept in a room on the top floor of the Devolo Ruins.")</f>
        <v>A huge stone of moonlight is kept in a room on the top floor of the Devolo Ruins.</v>
      </c>
      <c r="O112" s="27"/>
      <c r="P112" s="27"/>
      <c r="Q112" s="27"/>
      <c r="R112" s="27"/>
      <c r="S112" s="27"/>
      <c r="T112" s="27"/>
      <c r="U112" s="27"/>
      <c r="V112" s="27"/>
      <c r="W112" s="27"/>
      <c r="X112" s="27"/>
      <c r="Y112" s="27"/>
      <c r="Z112" s="27"/>
    </row>
    <row r="113">
      <c r="A113" s="29" t="str">
        <f>IFERROR(__xludf.DUMMYFUNCTION("""COMPUTED_VALUE"""),"E-091")</f>
        <v>E-091</v>
      </c>
      <c r="B113" s="27" t="str">
        <f>IFERROR(__xludf.DUMMYFUNCTION("""COMPUTED_VALUE"""),"Event")</f>
        <v>Event</v>
      </c>
      <c r="C113" s="27" t="str">
        <f>IFERROR(__xludf.DUMMYFUNCTION("""COMPUTED_VALUE"""),"Open Your Eyes")</f>
        <v>Open Your Eyes</v>
      </c>
      <c r="D113" s="27" t="str">
        <f>IFERROR(__xludf.DUMMYFUNCTION("""COMPUTED_VALUE"""),"-")</f>
        <v>-</v>
      </c>
      <c r="E113" s="27">
        <f>IFERROR(__xludf.DUMMYFUNCTION("""COMPUTED_VALUE"""),0.0)</f>
        <v>0</v>
      </c>
      <c r="F113" s="27" t="str">
        <f>IFERROR(__xludf.DUMMYFUNCTION("""COMPUTED_VALUE"""),"AD")</f>
        <v>AD</v>
      </c>
      <c r="G113" s="27" t="str">
        <f>IFERROR(__xludf.DUMMYFUNCTION("""COMPUTED_VALUE"""),"None")</f>
        <v>None</v>
      </c>
      <c r="H113" s="27" t="str">
        <f>IFERROR(__xludf.DUMMYFUNCTION("""COMPUTED_VALUE"""),"-")</f>
        <v>-</v>
      </c>
      <c r="I113" s="28" t="str">
        <f>IFERROR(__xludf.DUMMYFUNCTION("""COMPUTED_VALUE"""),"Turn 1 of your Injured or Petrified MAMODO cards to Normal Status. Then, get 2 MP. This effect cannot be negated by your opponent's cut-in effects.")</f>
        <v>Turn 1 of your Injured or Petrified MAMODO cards to Normal Status. Then, get 2 MP. This effect cannot be negated by your opponent's cut-in effects.</v>
      </c>
      <c r="J113" s="27" t="str">
        <f>IFERROR(__xludf.DUMMYFUNCTION("""COMPUTED_VALUE"""),"-")</f>
        <v>-</v>
      </c>
      <c r="K113" s="27" t="str">
        <f>IFERROR(__xludf.DUMMYFUNCTION("""COMPUTED_VALUE"""),"-")</f>
        <v>-</v>
      </c>
      <c r="L113" s="27" t="str">
        <f>IFERROR(__xludf.DUMMYFUNCTION("""COMPUTED_VALUE"""),"-")</f>
        <v>-</v>
      </c>
      <c r="M113" s="27" t="str">
        <f>IFERROR(__xludf.DUMMYFUNCTION("""COMPUTED_VALUE"""),"[C]")</f>
        <v>[C]</v>
      </c>
      <c r="N113" s="27" t="str">
        <f>IFERROR(__xludf.DUMMYFUNCTION("""COMPUTED_VALUE"""),"""Please... open your eyes... Wonrei... please...""")</f>
        <v>"Please... open your eyes... Wonrei... please..."</v>
      </c>
      <c r="O113" s="27"/>
      <c r="P113" s="27"/>
      <c r="Q113" s="27"/>
      <c r="R113" s="27"/>
      <c r="S113" s="27"/>
      <c r="T113" s="27"/>
      <c r="U113" s="27"/>
      <c r="V113" s="27"/>
      <c r="W113" s="27"/>
      <c r="X113" s="27"/>
      <c r="Y113" s="27"/>
      <c r="Z113" s="27"/>
    </row>
    <row r="114">
      <c r="A114" s="29" t="str">
        <f>IFERROR(__xludf.DUMMYFUNCTION("""COMPUTED_VALUE"""),"E-092")</f>
        <v>E-092</v>
      </c>
      <c r="B114" s="27" t="str">
        <f>IFERROR(__xludf.DUMMYFUNCTION("""COMPUTED_VALUE"""),"Event")</f>
        <v>Event</v>
      </c>
      <c r="C114" s="27" t="str">
        <f>IFERROR(__xludf.DUMMYFUNCTION("""COMPUTED_VALUE"""),"I'm Sorry")</f>
        <v>I'm Sorry</v>
      </c>
      <c r="D114" s="27" t="str">
        <f>IFERROR(__xludf.DUMMYFUNCTION("""COMPUTED_VALUE"""),"-")</f>
        <v>-</v>
      </c>
      <c r="E114" s="27">
        <f>IFERROR(__xludf.DUMMYFUNCTION("""COMPUTED_VALUE"""),1.0)</f>
        <v>1</v>
      </c>
      <c r="F114" s="27" t="str">
        <f>IFERROR(__xludf.DUMMYFUNCTION("""COMPUTED_VALUE"""),"AD")</f>
        <v>AD</v>
      </c>
      <c r="G114" s="27" t="str">
        <f>IFERROR(__xludf.DUMMYFUNCTION("""COMPUTED_VALUE"""),"None")</f>
        <v>None</v>
      </c>
      <c r="H114" s="27" t="str">
        <f>IFERROR(__xludf.DUMMYFUNCTION("""COMPUTED_VALUE"""),"-")</f>
        <v>-</v>
      </c>
      <c r="I114" s="28" t="str">
        <f>IFERROR(__xludf.DUMMYFUNCTION("""COMPUTED_VALUE"""),"Move up to 2 MAMODO cards without [Send this card to the Discard Pile] from your Discard Pile into play.")</f>
        <v>Move up to 2 MAMODO cards without [Send this card to the Discard Pile] from your Discard Pile into play.</v>
      </c>
      <c r="J114" s="27" t="str">
        <f>IFERROR(__xludf.DUMMYFUNCTION("""COMPUTED_VALUE"""),"-")</f>
        <v>-</v>
      </c>
      <c r="K114" s="27" t="str">
        <f>IFERROR(__xludf.DUMMYFUNCTION("""COMPUTED_VALUE"""),"-")</f>
        <v>-</v>
      </c>
      <c r="L114" s="27" t="str">
        <f>IFERROR(__xludf.DUMMYFUNCTION("""COMPUTED_VALUE"""),"-")</f>
        <v>-</v>
      </c>
      <c r="M114" s="27" t="str">
        <f>IFERROR(__xludf.DUMMYFUNCTION("""COMPUTED_VALUE"""),"[R]")</f>
        <v>[R]</v>
      </c>
      <c r="N114" s="27" t="str">
        <f>IFERROR(__xludf.DUMMYFUNCTION("""COMPUTED_VALUE"""),"""I'm so sorry, Zatch... My love...""")</f>
        <v>"I'm so sorry, Zatch... My love..."</v>
      </c>
      <c r="O114" s="27"/>
      <c r="P114" s="27"/>
      <c r="Q114" s="27"/>
      <c r="R114" s="27"/>
      <c r="S114" s="27"/>
      <c r="T114" s="27"/>
      <c r="U114" s="27"/>
      <c r="V114" s="27"/>
      <c r="W114" s="27"/>
      <c r="X114" s="27"/>
      <c r="Y114" s="27"/>
      <c r="Z114" s="27"/>
    </row>
    <row r="115">
      <c r="A115" s="29" t="str">
        <f>IFERROR(__xludf.DUMMYFUNCTION("""COMPUTED_VALUE"""),"E-093")</f>
        <v>E-093</v>
      </c>
      <c r="B115" s="27" t="str">
        <f>IFERROR(__xludf.DUMMYFUNCTION("""COMPUTED_VALUE"""),"Event")</f>
        <v>Event</v>
      </c>
      <c r="C115" s="27" t="str">
        <f>IFERROR(__xludf.DUMMYFUNCTION("""COMPUTED_VALUE"""),"A Dark Hope")</f>
        <v>A Dark Hope</v>
      </c>
      <c r="D115" s="27" t="str">
        <f>IFERROR(__xludf.DUMMYFUNCTION("""COMPUTED_VALUE"""),"-")</f>
        <v>-</v>
      </c>
      <c r="E115" s="27">
        <f>IFERROR(__xludf.DUMMYFUNCTION("""COMPUTED_VALUE"""),2.0)</f>
        <v>2</v>
      </c>
      <c r="F115" s="27" t="str">
        <f>IFERROR(__xludf.DUMMYFUNCTION("""COMPUTED_VALUE"""),"A")</f>
        <v>A</v>
      </c>
      <c r="G115" s="27" t="str">
        <f>IFERROR(__xludf.DUMMYFUNCTION("""COMPUTED_VALUE"""),"None")</f>
        <v>None</v>
      </c>
      <c r="H115" s="27" t="str">
        <f>IFERROR(__xludf.DUMMYFUNCTION("""COMPUTED_VALUE"""),"-")</f>
        <v>-</v>
      </c>
      <c r="I115" s="28" t="str">
        <f>IFERROR(__xludf.DUMMYFUNCTION("""COMPUTED_VALUE"""),"[STANDBY] After applying this effect, only once during this game (per player), you may select 1 MAMODO card from any page of your Spell Book and put it in play during either player's BATTLE PHASE.")</f>
        <v>[STANDBY] After applying this effect, only once during this game (per player), you may select 1 MAMODO card from any page of your Spell Book and put it in play during either player's BATTLE PHASE.</v>
      </c>
      <c r="J115" s="27" t="str">
        <f>IFERROR(__xludf.DUMMYFUNCTION("""COMPUTED_VALUE"""),"-")</f>
        <v>-</v>
      </c>
      <c r="K115" s="27" t="str">
        <f>IFERROR(__xludf.DUMMYFUNCTION("""COMPUTED_VALUE"""),"-")</f>
        <v>-</v>
      </c>
      <c r="L115" s="27" t="str">
        <f>IFERROR(__xludf.DUMMYFUNCTION("""COMPUTED_VALUE"""),"-")</f>
        <v>-</v>
      </c>
      <c r="M115" s="27" t="str">
        <f>IFERROR(__xludf.DUMMYFUNCTION("""COMPUTED_VALUE"""),"[C]")</f>
        <v>[C]</v>
      </c>
      <c r="N115" s="27" t="str">
        <f>IFERROR(__xludf.DUMMYFUNCTION("""COMPUTED_VALUE"""),"In the throes of a desperate situation... Brago and Sherry appeared.")</f>
        <v>In the throes of a desperate situation... Brago and Sherry appeared.</v>
      </c>
      <c r="O115" s="27"/>
      <c r="P115" s="27"/>
      <c r="Q115" s="27"/>
      <c r="R115" s="27"/>
      <c r="S115" s="27"/>
      <c r="T115" s="27"/>
      <c r="U115" s="27"/>
      <c r="V115" s="27"/>
      <c r="W115" s="27"/>
      <c r="X115" s="27"/>
      <c r="Y115" s="27"/>
      <c r="Z115" s="27"/>
    </row>
    <row r="116">
      <c r="A116" s="29" t="str">
        <f>IFERROR(__xludf.DUMMYFUNCTION("""COMPUTED_VALUE"""),"E-094")</f>
        <v>E-094</v>
      </c>
      <c r="B116" s="27" t="str">
        <f>IFERROR(__xludf.DUMMYFUNCTION("""COMPUTED_VALUE"""),"Event")</f>
        <v>Event</v>
      </c>
      <c r="C116" s="27" t="str">
        <f>IFERROR(__xludf.DUMMYFUNCTION("""COMPUTED_VALUE"""),"Bonjour")</f>
        <v>Bonjour</v>
      </c>
      <c r="D116" s="27" t="str">
        <f>IFERROR(__xludf.DUMMYFUNCTION("""COMPUTED_VALUE"""),"-")</f>
        <v>-</v>
      </c>
      <c r="E116" s="27">
        <f>IFERROR(__xludf.DUMMYFUNCTION("""COMPUTED_VALUE"""),4.0)</f>
        <v>4</v>
      </c>
      <c r="F116" s="27" t="str">
        <f>IFERROR(__xludf.DUMMYFUNCTION("""COMPUTED_VALUE"""),"AD")</f>
        <v>AD</v>
      </c>
      <c r="G116" s="27" t="str">
        <f>IFERROR(__xludf.DUMMYFUNCTION("""COMPUTED_VALUE"""),"Intermediate")</f>
        <v>Intermediate</v>
      </c>
      <c r="H116" s="27" t="str">
        <f>IFERROR(__xludf.DUMMYFUNCTION("""COMPUTED_VALUE"""),"-")</f>
        <v>-</v>
      </c>
      <c r="I116" s="28" t="str">
        <f>IFERROR(__xludf.DUMMYFUNCTION("""COMPUTED_VALUE"""),"This EVENT card can be played only when both players each have exactly 1 MAMODO card in play. [STAY] Neither player can put any more MAMODO cards in play during this game. This effect is negated when either player no longer has any MAMODO cards in play.")</f>
        <v>This EVENT card can be played only when both players each have exactly 1 MAMODO card in play. [STAY] Neither player can put any more MAMODO cards in play during this game. This effect is negated when either player no longer has any MAMODO cards in play.</v>
      </c>
      <c r="J116" s="27" t="str">
        <f>IFERROR(__xludf.DUMMYFUNCTION("""COMPUTED_VALUE"""),"-")</f>
        <v>-</v>
      </c>
      <c r="K116" s="27" t="str">
        <f>IFERROR(__xludf.DUMMYFUNCTION("""COMPUTED_VALUE"""),"-")</f>
        <v>-</v>
      </c>
      <c r="L116" s="27" t="str">
        <f>IFERROR(__xludf.DUMMYFUNCTION("""COMPUTED_VALUE"""),"-")</f>
        <v>-</v>
      </c>
      <c r="M116" s="27" t="str">
        <f>IFERROR(__xludf.DUMMYFUNCTION("""COMPUTED_VALUE"""),"[U]")</f>
        <v>[U]</v>
      </c>
      <c r="N116" s="27" t="str">
        <f>IFERROR(__xludf.DUMMYFUNCTION("""COMPUTED_VALUE"""),"""Bonjour, Sherry.""")</f>
        <v>"Bonjour, Sherry."</v>
      </c>
      <c r="O116" s="27"/>
      <c r="P116" s="27"/>
      <c r="Q116" s="27"/>
      <c r="R116" s="27"/>
      <c r="S116" s="27"/>
      <c r="T116" s="27"/>
      <c r="U116" s="27"/>
      <c r="V116" s="27"/>
      <c r="W116" s="27"/>
      <c r="X116" s="27"/>
      <c r="Y116" s="27"/>
      <c r="Z116" s="27"/>
    </row>
    <row r="117">
      <c r="A117" s="29" t="str">
        <f>IFERROR(__xludf.DUMMYFUNCTION("""COMPUTED_VALUE"""),"E-095")</f>
        <v>E-095</v>
      </c>
      <c r="B117" s="27" t="str">
        <f>IFERROR(__xludf.DUMMYFUNCTION("""COMPUTED_VALUE"""),"Event")</f>
        <v>Event</v>
      </c>
      <c r="C117" s="27" t="str">
        <f>IFERROR(__xludf.DUMMYFUNCTION("""COMPUTED_VALUE"""),"The Strongest Will")</f>
        <v>The Strongest Will</v>
      </c>
      <c r="D117" s="27" t="str">
        <f>IFERROR(__xludf.DUMMYFUNCTION("""COMPUTED_VALUE"""),"-")</f>
        <v>-</v>
      </c>
      <c r="E117" s="27">
        <f>IFERROR(__xludf.DUMMYFUNCTION("""COMPUTED_VALUE"""),1.0)</f>
        <v>1</v>
      </c>
      <c r="F117" s="27" t="str">
        <f>IFERROR(__xludf.DUMMYFUNCTION("""COMPUTED_VALUE"""),"D")</f>
        <v>D</v>
      </c>
      <c r="G117" s="27" t="str">
        <f>IFERROR(__xludf.DUMMYFUNCTION("""COMPUTED_VALUE"""),"None")</f>
        <v>None</v>
      </c>
      <c r="H117" s="27" t="str">
        <f>IFERROR(__xludf.DUMMYFUNCTION("""COMPUTED_VALUE"""),"-")</f>
        <v>-</v>
      </c>
      <c r="I117" s="28" t="str">
        <f>IFERROR(__xludf.DUMMYFUNCTION("""COMPUTED_VALUE"""),"Injure 1 of your MAMODO cards. Then, your opponent cannot declare an Attack during this turn ([STAY]).")</f>
        <v>Injure 1 of your MAMODO cards. Then, your opponent cannot declare an Attack during this turn ([STAY]).</v>
      </c>
      <c r="J117" s="27" t="str">
        <f>IFERROR(__xludf.DUMMYFUNCTION("""COMPUTED_VALUE"""),"-")</f>
        <v>-</v>
      </c>
      <c r="K117" s="27" t="str">
        <f>IFERROR(__xludf.DUMMYFUNCTION("""COMPUTED_VALUE"""),"-")</f>
        <v>-</v>
      </c>
      <c r="L117" s="27" t="str">
        <f>IFERROR(__xludf.DUMMYFUNCTION("""COMPUTED_VALUE"""),"-")</f>
        <v>-</v>
      </c>
      <c r="M117" s="27" t="str">
        <f>IFERROR(__xludf.DUMMYFUNCTION("""COMPUTED_VALUE"""),"[C]")</f>
        <v>[C]</v>
      </c>
      <c r="N117" s="27" t="str">
        <f>IFERROR(__xludf.DUMMYFUNCTION("""COMPUTED_VALUE"""),"Brago was forced to take Zofis' strongest attack spell head-on.")</f>
        <v>Brago was forced to take Zofis' strongest attack spell head-on.</v>
      </c>
      <c r="O117" s="27"/>
      <c r="P117" s="27"/>
      <c r="Q117" s="27"/>
      <c r="R117" s="27"/>
      <c r="S117" s="27"/>
      <c r="T117" s="27"/>
      <c r="U117" s="27"/>
      <c r="V117" s="27"/>
      <c r="W117" s="27"/>
      <c r="X117" s="27"/>
      <c r="Y117" s="27"/>
      <c r="Z117" s="27"/>
    </row>
    <row r="118">
      <c r="A118" s="29" t="str">
        <f>IFERROR(__xludf.DUMMYFUNCTION("""COMPUTED_VALUE"""),"E-096")</f>
        <v>E-096</v>
      </c>
      <c r="B118" s="27" t="str">
        <f>IFERROR(__xludf.DUMMYFUNCTION("""COMPUTED_VALUE"""),"Event")</f>
        <v>Event</v>
      </c>
      <c r="C118" s="27" t="str">
        <f>IFERROR(__xludf.DUMMYFUNCTION("""COMPUTED_VALUE"""),"The Sun and The Moon")</f>
        <v>The Sun and The Moon</v>
      </c>
      <c r="D118" s="27" t="str">
        <f>IFERROR(__xludf.DUMMYFUNCTION("""COMPUTED_VALUE"""),"-")</f>
        <v>-</v>
      </c>
      <c r="E118" s="27">
        <f>IFERROR(__xludf.DUMMYFUNCTION("""COMPUTED_VALUE"""),2.0)</f>
        <v>2</v>
      </c>
      <c r="F118" s="27" t="str">
        <f>IFERROR(__xludf.DUMMYFUNCTION("""COMPUTED_VALUE"""),"AD")</f>
        <v>AD</v>
      </c>
      <c r="G118" s="27" t="str">
        <f>IFERROR(__xludf.DUMMYFUNCTION("""COMPUTED_VALUE"""),"None")</f>
        <v>None</v>
      </c>
      <c r="H118" s="27" t="str">
        <f>IFERROR(__xludf.DUMMYFUNCTION("""COMPUTED_VALUE"""),"-")</f>
        <v>-</v>
      </c>
      <c r="I118" s="28" t="str">
        <f>IFERROR(__xludf.DUMMYFUNCTION("""COMPUTED_VALUE"""),"Negate 1 [Stay] or [Standby] effect that remains active for the duration of the game.")</f>
        <v>Negate 1 [Stay] or [Standby] effect that remains active for the duration of the game.</v>
      </c>
      <c r="J118" s="27" t="str">
        <f>IFERROR(__xludf.DUMMYFUNCTION("""COMPUTED_VALUE"""),"-")</f>
        <v>-</v>
      </c>
      <c r="K118" s="27" t="str">
        <f>IFERROR(__xludf.DUMMYFUNCTION("""COMPUTED_VALUE"""),"-")</f>
        <v>-</v>
      </c>
      <c r="L118" s="27" t="str">
        <f>IFERROR(__xludf.DUMMYFUNCTION("""COMPUTED_VALUE"""),"-")</f>
        <v>-</v>
      </c>
      <c r="M118" s="27" t="str">
        <f>IFERROR(__xludf.DUMMYFUNCTION("""COMPUTED_VALUE"""),"[C]")</f>
        <v>[C]</v>
      </c>
      <c r="N118" s="27" t="str">
        <f>IFERROR(__xludf.DUMMYFUNCTION("""COMPUTED_VALUE"""),"“Put these rings on and wear them during bad times. In the daytime, the sun… at night, the moon. Their light will protect us from harm.”")</f>
        <v>“Put these rings on and wear them during bad times. In the daytime, the sun… at night, the moon. Their light will protect us from harm.”</v>
      </c>
      <c r="O118" s="27"/>
      <c r="P118" s="27"/>
      <c r="Q118" s="27"/>
      <c r="R118" s="27"/>
      <c r="S118" s="27"/>
      <c r="T118" s="27"/>
      <c r="U118" s="27"/>
      <c r="V118" s="27"/>
      <c r="W118" s="27"/>
      <c r="X118" s="27"/>
      <c r="Y118" s="27"/>
      <c r="Z118" s="27"/>
    </row>
    <row r="119">
      <c r="A119" s="29" t="str">
        <f>IFERROR(__xludf.DUMMYFUNCTION("""COMPUTED_VALUE"""),"E-097")</f>
        <v>E-097</v>
      </c>
      <c r="B119" s="27" t="str">
        <f>IFERROR(__xludf.DUMMYFUNCTION("""COMPUTED_VALUE"""),"Event")</f>
        <v>Event</v>
      </c>
      <c r="C119" s="27" t="str">
        <f>IFERROR(__xludf.DUMMYFUNCTION("""COMPUTED_VALUE"""),"Plan E (Emergency)")</f>
        <v>Plan E (Emergency)</v>
      </c>
      <c r="D119" s="27" t="str">
        <f>IFERROR(__xludf.DUMMYFUNCTION("""COMPUTED_VALUE"""),"-")</f>
        <v>-</v>
      </c>
      <c r="E119" s="27">
        <f>IFERROR(__xludf.DUMMYFUNCTION("""COMPUTED_VALUE"""),2.0)</f>
        <v>2</v>
      </c>
      <c r="F119" s="27" t="str">
        <f>IFERROR(__xludf.DUMMYFUNCTION("""COMPUTED_VALUE"""),"A")</f>
        <v>A</v>
      </c>
      <c r="G119" s="27" t="str">
        <f>IFERROR(__xludf.DUMMYFUNCTION("""COMPUTED_VALUE"""),"None")</f>
        <v>None</v>
      </c>
      <c r="H119" s="27" t="str">
        <f>IFERROR(__xludf.DUMMYFUNCTION("""COMPUTED_VALUE"""),"-")</f>
        <v>-</v>
      </c>
      <c r="I119" s="28" t="str">
        <f>IFERROR(__xludf.DUMMYFUNCTION("""COMPUTED_VALUE"""),"[STANDBY] After applying this effect, only once during this game (per player), you may negate 1 of your opponent's card effects that target 2 or more of your in-play MAMODO cards.")</f>
        <v>[STANDBY] After applying this effect, only once during this game (per player), you may negate 1 of your opponent's card effects that target 2 or more of your in-play MAMODO cards.</v>
      </c>
      <c r="J119" s="27" t="str">
        <f>IFERROR(__xludf.DUMMYFUNCTION("""COMPUTED_VALUE"""),"-")</f>
        <v>-</v>
      </c>
      <c r="K119" s="27" t="str">
        <f>IFERROR(__xludf.DUMMYFUNCTION("""COMPUTED_VALUE"""),"-")</f>
        <v>-</v>
      </c>
      <c r="L119" s="27" t="str">
        <f>IFERROR(__xludf.DUMMYFUNCTION("""COMPUTED_VALUE"""),"-")</f>
        <v>-</v>
      </c>
      <c r="M119" s="27" t="str">
        <f>IFERROR(__xludf.DUMMYFUNCTION("""COMPUTED_VALUE"""),"[U]")</f>
        <v>[U]</v>
      </c>
      <c r="N119" s="27" t="str">
        <f>IFERROR(__xludf.DUMMYFUNCTION("""COMPUTED_VALUE"""),"""Take the hand of the one next to you and fight together as two teams!""")</f>
        <v>"Take the hand of the one next to you and fight together as two teams!"</v>
      </c>
      <c r="O119" s="27"/>
      <c r="P119" s="27"/>
      <c r="Q119" s="27"/>
      <c r="R119" s="27"/>
      <c r="S119" s="27"/>
      <c r="T119" s="27"/>
      <c r="U119" s="27"/>
      <c r="V119" s="27"/>
      <c r="W119" s="27"/>
      <c r="X119" s="27"/>
      <c r="Y119" s="27"/>
      <c r="Z119" s="27"/>
    </row>
    <row r="120">
      <c r="A120" s="29" t="str">
        <f>IFERROR(__xludf.DUMMYFUNCTION("""COMPUTED_VALUE"""),"E-098")</f>
        <v>E-098</v>
      </c>
      <c r="B120" s="27" t="str">
        <f>IFERROR(__xludf.DUMMYFUNCTION("""COMPUTED_VALUE"""),"Event")</f>
        <v>Event</v>
      </c>
      <c r="C120" s="27" t="str">
        <f>IFERROR(__xludf.DUMMYFUNCTION("""COMPUTED_VALUE"""),"I Will Be Your Friend!")</f>
        <v>I Will Be Your Friend!</v>
      </c>
      <c r="D120" s="27" t="str">
        <f>IFERROR(__xludf.DUMMYFUNCTION("""COMPUTED_VALUE"""),"-")</f>
        <v>-</v>
      </c>
      <c r="E120" s="27">
        <f>IFERROR(__xludf.DUMMYFUNCTION("""COMPUTED_VALUE"""),5.0)</f>
        <v>5</v>
      </c>
      <c r="F120" s="27" t="str">
        <f>IFERROR(__xludf.DUMMYFUNCTION("""COMPUTED_VALUE"""),"A")</f>
        <v>A</v>
      </c>
      <c r="G120" s="27" t="str">
        <f>IFERROR(__xludf.DUMMYFUNCTION("""COMPUTED_VALUE"""),"Intermediate")</f>
        <v>Intermediate</v>
      </c>
      <c r="H120" s="27" t="str">
        <f>IFERROR(__xludf.DUMMYFUNCTION("""COMPUTED_VALUE"""),"-")</f>
        <v>-</v>
      </c>
      <c r="I120" s="28" t="str">
        <f>IFERROR(__xludf.DUMMYFUNCTION("""COMPUTED_VALUE"""),"[STAY] Select 1 of your opponent's MAMODO cards and move it to your side of play until the END PHASE of your next turn. This effect can be applied only once per game (per player). MAMODO card area rules still apply for the selected card. ● The selected MA"&amp;"MODO card can be used as if it were your own. ● At the END PHASE of your next turn, your opponent can either send the selected MAMODO card to the Discard Pile (even when prohibited), or return it to their side of play.")</f>
        <v>[STAY] Select 1 of your opponent's MAMODO cards and move it to your side of play until the END PHASE of your next turn. This effect can be applied only once per game (per player). MAMODO card area rules still apply for the selected card. ● The selected MAMODO card can be used as if it were your own. ● At the END PHASE of your next turn, your opponent can either send the selected MAMODO card to the Discard Pile (even when prohibited), or return it to their side of play.</v>
      </c>
      <c r="J120" s="27" t="str">
        <f>IFERROR(__xludf.DUMMYFUNCTION("""COMPUTED_VALUE"""),"-")</f>
        <v>-</v>
      </c>
      <c r="K120" s="27" t="str">
        <f>IFERROR(__xludf.DUMMYFUNCTION("""COMPUTED_VALUE"""),"-")</f>
        <v>-</v>
      </c>
      <c r="L120" s="27" t="str">
        <f>IFERROR(__xludf.DUMMYFUNCTION("""COMPUTED_VALUE"""),"-")</f>
        <v>-</v>
      </c>
      <c r="M120" s="27" t="str">
        <f>IFERROR(__xludf.DUMMYFUNCTION("""COMPUTED_VALUE"""),"[C]")</f>
        <v>[C]</v>
      </c>
      <c r="N120" s="27" t="str">
        <f>IFERROR(__xludf.DUMMYFUNCTION("""COMPUTED_VALUE"""),"I won't let them turn you back into stone, no matter what...""")</f>
        <v>I won't let them turn you back into stone, no matter what..."</v>
      </c>
      <c r="O120" s="27"/>
      <c r="P120" s="27"/>
      <c r="Q120" s="27"/>
      <c r="R120" s="27"/>
      <c r="S120" s="27"/>
      <c r="T120" s="27"/>
      <c r="U120" s="27"/>
      <c r="V120" s="27"/>
      <c r="W120" s="27"/>
      <c r="X120" s="27"/>
      <c r="Y120" s="27"/>
      <c r="Z120" s="27"/>
    </row>
    <row r="121">
      <c r="A121" s="29" t="str">
        <f>IFERROR(__xludf.DUMMYFUNCTION("""COMPUTED_VALUE"""),"E-099")</f>
        <v>E-099</v>
      </c>
      <c r="B121" s="27" t="str">
        <f>IFERROR(__xludf.DUMMYFUNCTION("""COMPUTED_VALUE"""),"Event")</f>
        <v>Event</v>
      </c>
      <c r="C121" s="27" t="str">
        <f>IFERROR(__xludf.DUMMYFUNCTION("""COMPUTED_VALUE"""),"Holding Hands")</f>
        <v>Holding Hands</v>
      </c>
      <c r="D121" s="27" t="str">
        <f>IFERROR(__xludf.DUMMYFUNCTION("""COMPUTED_VALUE"""),"-")</f>
        <v>-</v>
      </c>
      <c r="E121" s="27">
        <f>IFERROR(__xludf.DUMMYFUNCTION("""COMPUTED_VALUE"""),2.0)</f>
        <v>2</v>
      </c>
      <c r="F121" s="27" t="str">
        <f>IFERROR(__xludf.DUMMYFUNCTION("""COMPUTED_VALUE"""),"A")</f>
        <v>A</v>
      </c>
      <c r="G121" s="27" t="str">
        <f>IFERROR(__xludf.DUMMYFUNCTION("""COMPUTED_VALUE"""),"None")</f>
        <v>None</v>
      </c>
      <c r="H121" s="27" t="str">
        <f>IFERROR(__xludf.DUMMYFUNCTION("""COMPUTED_VALUE"""),"-")</f>
        <v>-</v>
      </c>
      <c r="I121" s="28" t="str">
        <f>IFERROR(__xludf.DUMMYFUNCTION("""COMPUTED_VALUE"""),"Apply 1 of the following effects: ● Move all cards in your Discard Pile to empty pages of your Spell Book. ● Your opponent moves all cards in their Discard Pile to empty pages of their Spell Book.")</f>
        <v>Apply 1 of the following effects: ● Move all cards in your Discard Pile to empty pages of your Spell Book. ● Your opponent moves all cards in their Discard Pile to empty pages of their Spell Book.</v>
      </c>
      <c r="J121" s="27" t="str">
        <f>IFERROR(__xludf.DUMMYFUNCTION("""COMPUTED_VALUE"""),"-")</f>
        <v>-</v>
      </c>
      <c r="K121" s="27" t="str">
        <f>IFERROR(__xludf.DUMMYFUNCTION("""COMPUTED_VALUE"""),"-")</f>
        <v>-</v>
      </c>
      <c r="L121" s="27" t="str">
        <f>IFERROR(__xludf.DUMMYFUNCTION("""COMPUTED_VALUE"""),"-")</f>
        <v>-</v>
      </c>
      <c r="M121" s="27" t="str">
        <f>IFERROR(__xludf.DUMMYFUNCTION("""COMPUTED_VALUE"""),"[C]")</f>
        <v>[C]</v>
      </c>
      <c r="N121" s="27" t="str">
        <f>IFERROR(__xludf.DUMMYFUNCTION("""COMPUTED_VALUE"""),"""I can't wait to play with you all... in the mamodo world...""")</f>
        <v>"I can't wait to play with you all... in the mamodo world..."</v>
      </c>
      <c r="O121" s="27"/>
      <c r="P121" s="27"/>
      <c r="Q121" s="27"/>
      <c r="R121" s="27"/>
      <c r="S121" s="27"/>
      <c r="T121" s="27"/>
      <c r="U121" s="27"/>
      <c r="V121" s="27"/>
      <c r="W121" s="27"/>
      <c r="X121" s="27"/>
      <c r="Y121" s="27"/>
      <c r="Z121" s="27"/>
    </row>
    <row r="122">
      <c r="A122" s="29" t="str">
        <f>IFERROR(__xludf.DUMMYFUNCTION("""COMPUTED_VALUE"""),"E-100")</f>
        <v>E-100</v>
      </c>
      <c r="B122" s="27" t="str">
        <f>IFERROR(__xludf.DUMMYFUNCTION("""COMPUTED_VALUE"""),"Event")</f>
        <v>Event</v>
      </c>
      <c r="C122" s="27" t="str">
        <f>IFERROR(__xludf.DUMMYFUNCTION("""COMPUTED_VALUE"""),"Something Inside, Welling Up")</f>
        <v>Something Inside, Welling Up</v>
      </c>
      <c r="D122" s="27" t="str">
        <f>IFERROR(__xludf.DUMMYFUNCTION("""COMPUTED_VALUE"""),"-")</f>
        <v>-</v>
      </c>
      <c r="E122" s="27">
        <f>IFERROR(__xludf.DUMMYFUNCTION("""COMPUTED_VALUE"""),0.0)</f>
        <v>0</v>
      </c>
      <c r="F122" s="27" t="str">
        <f>IFERROR(__xludf.DUMMYFUNCTION("""COMPUTED_VALUE"""),"A")</f>
        <v>A</v>
      </c>
      <c r="G122" s="27" t="str">
        <f>IFERROR(__xludf.DUMMYFUNCTION("""COMPUTED_VALUE"""),"Superior")</f>
        <v>Superior</v>
      </c>
      <c r="H122" s="27" t="str">
        <f>IFERROR(__xludf.DUMMYFUNCTION("""COMPUTED_VALUE"""),"-")</f>
        <v>-</v>
      </c>
      <c r="I122" s="28" t="str">
        <f>IFERROR(__xludf.DUMMYFUNCTION("""COMPUTED_VALUE"""),"[STANDBY] You can play 1 SPELL card from any page of your Spell Book. In addition, reduce the MP cost of the SPELL card by 5. This effect can be applied only once per game (per player).")</f>
        <v>[STANDBY] You can play 1 SPELL card from any page of your Spell Book. In addition, reduce the MP cost of the SPELL card by 5. This effect can be applied only once per game (per player).</v>
      </c>
      <c r="J122" s="27" t="str">
        <f>IFERROR(__xludf.DUMMYFUNCTION("""COMPUTED_VALUE"""),"-")</f>
        <v>-</v>
      </c>
      <c r="K122" s="27" t="str">
        <f>IFERROR(__xludf.DUMMYFUNCTION("""COMPUTED_VALUE"""),"-")</f>
        <v>-</v>
      </c>
      <c r="L122" s="27" t="str">
        <f>IFERROR(__xludf.DUMMYFUNCTION("""COMPUTED_VALUE"""),"-")</f>
        <v>-</v>
      </c>
      <c r="M122" s="27" t="str">
        <f>IFERROR(__xludf.DUMMYFUNCTION("""COMPUTED_VALUE"""),"[U]")</f>
        <v>[U]</v>
      </c>
      <c r="N122" s="27" t="str">
        <f>IFERROR(__xludf.DUMMYFUNCTION("""COMPUTED_VALUE"""),"The spell book glows, and a new spell appears. ""Become the key to finishing this battle!""")</f>
        <v>The spell book glows, and a new spell appears. "Become the key to finishing this battle!"</v>
      </c>
      <c r="O122" s="27"/>
      <c r="P122" s="27"/>
      <c r="Q122" s="27"/>
      <c r="R122" s="27"/>
      <c r="S122" s="27"/>
      <c r="T122" s="27"/>
      <c r="U122" s="27"/>
      <c r="V122" s="27"/>
      <c r="W122" s="27"/>
      <c r="X122" s="27"/>
      <c r="Y122" s="27"/>
      <c r="Z122" s="27"/>
    </row>
    <row r="123">
      <c r="A123" s="29" t="str">
        <f>IFERROR(__xludf.DUMMYFUNCTION("""COMPUTED_VALUE"""),"E-101")</f>
        <v>E-101</v>
      </c>
      <c r="B123" s="27" t="str">
        <f>IFERROR(__xludf.DUMMYFUNCTION("""COMPUTED_VALUE"""),"Event")</f>
        <v>Event</v>
      </c>
      <c r="C123" s="27" t="str">
        <f>IFERROR(__xludf.DUMMYFUNCTION("""COMPUTED_VALUE"""),"Very Melon")</f>
        <v>Very Melon</v>
      </c>
      <c r="D123" s="27" t="str">
        <f>IFERROR(__xludf.DUMMYFUNCTION("""COMPUTED_VALUE"""),"-")</f>
        <v>-</v>
      </c>
      <c r="E123" s="27">
        <f>IFERROR(__xludf.DUMMYFUNCTION("""COMPUTED_VALUE"""),2.0)</f>
        <v>2</v>
      </c>
      <c r="F123" s="27" t="str">
        <f>IFERROR(__xludf.DUMMYFUNCTION("""COMPUTED_VALUE"""),"A")</f>
        <v>A</v>
      </c>
      <c r="G123" s="27" t="str">
        <f>IFERROR(__xludf.DUMMYFUNCTION("""COMPUTED_VALUE"""),"None")</f>
        <v>None</v>
      </c>
      <c r="H123" s="27" t="str">
        <f>IFERROR(__xludf.DUMMYFUNCTION("""COMPUTED_VALUE"""),"-")</f>
        <v>-</v>
      </c>
      <c r="I123" s="28" t="str">
        <f>IFERROR(__xludf.DUMMYFUNCTION("""COMPUTED_VALUE"""),"Apply 1 or both of the following effects in order: ● Negate either all active [Stay] OR [Standby] card effects. ● [STAY] Your opponent cannot apply the effects of their EVENT cards during this turn.")</f>
        <v>Apply 1 or both of the following effects in order: ● Negate either all active [Stay] OR [Standby] card effects. ● [STAY] Your opponent cannot apply the effects of their EVENT cards during this turn.</v>
      </c>
      <c r="J123" s="27" t="str">
        <f>IFERROR(__xludf.DUMMYFUNCTION("""COMPUTED_VALUE"""),"-")</f>
        <v>-</v>
      </c>
      <c r="K123" s="27" t="str">
        <f>IFERROR(__xludf.DUMMYFUNCTION("""COMPUTED_VALUE"""),"-")</f>
        <v>-</v>
      </c>
      <c r="L123" s="27" t="str">
        <f>IFERROR(__xludf.DUMMYFUNCTION("""COMPUTED_VALUE"""),"-")</f>
        <v>-</v>
      </c>
      <c r="M123" s="27" t="str">
        <f>IFERROR(__xludf.DUMMYFUNCTION("""COMPUTED_VALUE"""),"[C]")</f>
        <v>[C]</v>
      </c>
      <c r="N123" s="27" t="str">
        <f>IFERROR(__xludf.DUMMYFUNCTION("""COMPUTED_VALUE"""),"""Melting in your mouth, Very Melon! One-two, one-two... Very Melon!""")</f>
        <v>"Melting in your mouth, Very Melon! One-two, one-two... Very Melon!"</v>
      </c>
      <c r="O123" s="27"/>
      <c r="P123" s="27"/>
      <c r="Q123" s="27"/>
      <c r="R123" s="27"/>
      <c r="S123" s="27"/>
      <c r="T123" s="27"/>
      <c r="U123" s="27"/>
      <c r="V123" s="27"/>
      <c r="W123" s="27"/>
      <c r="X123" s="27"/>
      <c r="Y123" s="27"/>
      <c r="Z123" s="27"/>
    </row>
    <row r="124">
      <c r="A124" s="29" t="str">
        <f>IFERROR(__xludf.DUMMYFUNCTION("""COMPUTED_VALUE"""),"E-102")</f>
        <v>E-102</v>
      </c>
      <c r="B124" s="27" t="str">
        <f>IFERROR(__xludf.DUMMYFUNCTION("""COMPUTED_VALUE"""),"Event")</f>
        <v>Event</v>
      </c>
      <c r="C124" s="27" t="str">
        <f>IFERROR(__xludf.DUMMYFUNCTION("""COMPUTED_VALUE"""),"Let's Sing Together")</f>
        <v>Let's Sing Together</v>
      </c>
      <c r="D124" s="27" t="str">
        <f>IFERROR(__xludf.DUMMYFUNCTION("""COMPUTED_VALUE"""),"-")</f>
        <v>-</v>
      </c>
      <c r="E124" s="27">
        <f>IFERROR(__xludf.DUMMYFUNCTION("""COMPUTED_VALUE"""),0.0)</f>
        <v>0</v>
      </c>
      <c r="F124" s="27" t="str">
        <f>IFERROR(__xludf.DUMMYFUNCTION("""COMPUTED_VALUE"""),"A")</f>
        <v>A</v>
      </c>
      <c r="G124" s="27" t="str">
        <f>IFERROR(__xludf.DUMMYFUNCTION("""COMPUTED_VALUE"""),"None")</f>
        <v>None</v>
      </c>
      <c r="H124" s="27" t="str">
        <f>IFERROR(__xludf.DUMMYFUNCTION("""COMPUTED_VALUE"""),"-")</f>
        <v>-</v>
      </c>
      <c r="I124" s="28" t="str">
        <f>IFERROR(__xludf.DUMMYFUNCTION("""COMPUTED_VALUE"""),"Apply both of the following effects in order: ● Get 3 MP. ● Your opponent flips a coin; if it's heads, they get 3 MP; if it's tails, reduce their MP by 3.")</f>
        <v>Apply both of the following effects in order: ● Get 3 MP. ● Your opponent flips a coin; if it's heads, they get 3 MP; if it's tails, reduce their MP by 3.</v>
      </c>
      <c r="J124" s="27" t="str">
        <f>IFERROR(__xludf.DUMMYFUNCTION("""COMPUTED_VALUE"""),"-")</f>
        <v>-</v>
      </c>
      <c r="K124" s="27" t="str">
        <f>IFERROR(__xludf.DUMMYFUNCTION("""COMPUTED_VALUE"""),"-")</f>
        <v>-</v>
      </c>
      <c r="L124" s="27" t="str">
        <f>IFERROR(__xludf.DUMMYFUNCTION("""COMPUTED_VALUE"""),"-")</f>
        <v>-</v>
      </c>
      <c r="M124" s="27" t="str">
        <f>IFERROR(__xludf.DUMMYFUNCTION("""COMPUTED_VALUE"""),"[C]")</f>
        <v>[C]</v>
      </c>
      <c r="N124" s="27" t="str">
        <f>IFERROR(__xludf.DUMMYFUNCTION("""COMPUTED_VALUE"""),"""Can I sing along with you guys too? I wanna sing along!""")</f>
        <v>"Can I sing along with you guys too? I wanna sing along!"</v>
      </c>
      <c r="O124" s="27"/>
      <c r="P124" s="27"/>
      <c r="Q124" s="27"/>
      <c r="R124" s="27"/>
      <c r="S124" s="27"/>
      <c r="T124" s="27"/>
      <c r="U124" s="27"/>
      <c r="V124" s="27"/>
      <c r="W124" s="27"/>
      <c r="X124" s="27"/>
      <c r="Y124" s="27"/>
      <c r="Z124" s="27"/>
    </row>
    <row r="125">
      <c r="A125" s="29" t="str">
        <f>IFERROR(__xludf.DUMMYFUNCTION("""COMPUTED_VALUE"""),"E-103")</f>
        <v>E-103</v>
      </c>
      <c r="B125" s="27" t="str">
        <f>IFERROR(__xludf.DUMMYFUNCTION("""COMPUTED_VALUE"""),"Event")</f>
        <v>Event</v>
      </c>
      <c r="C125" s="27" t="str">
        <f>IFERROR(__xludf.DUMMYFUNCTION("""COMPUTED_VALUE"""),"Decisive Battle")</f>
        <v>Decisive Battle</v>
      </c>
      <c r="D125" s="27" t="str">
        <f>IFERROR(__xludf.DUMMYFUNCTION("""COMPUTED_VALUE"""),"-")</f>
        <v>-</v>
      </c>
      <c r="E125" s="27">
        <f>IFERROR(__xludf.DUMMYFUNCTION("""COMPUTED_VALUE"""),2.0)</f>
        <v>2</v>
      </c>
      <c r="F125" s="27" t="str">
        <f>IFERROR(__xludf.DUMMYFUNCTION("""COMPUTED_VALUE"""),"A")</f>
        <v>A</v>
      </c>
      <c r="G125" s="27" t="str">
        <f>IFERROR(__xludf.DUMMYFUNCTION("""COMPUTED_VALUE"""),"Intermediate")</f>
        <v>Intermediate</v>
      </c>
      <c r="H125" s="27" t="str">
        <f>IFERROR(__xludf.DUMMYFUNCTION("""COMPUTED_VALUE"""),"-")</f>
        <v>-</v>
      </c>
      <c r="I125" s="28" t="str">
        <f>IFERROR(__xludf.DUMMYFUNCTION("""COMPUTED_VALUE"""),"Apply 1 or both of the following effects in order: ● Send any number of your in-play MAMODO cards to the Discard Pile. ● Select any number of Stone Tablet MAMODO cards from any page of your Spell Book or your Discard Pile and put them in play (except MAMO"&amp;"DO cards sent to the Discard Pile by this card's effect).")</f>
        <v>Apply 1 or both of the following effects in order: ● Send any number of your in-play MAMODO cards to the Discard Pile. ● Select any number of Stone Tablet MAMODO cards from any page of your Spell Book or your Discard Pile and put them in play (except MAMODO cards sent to the Discard Pile by this card's effect).</v>
      </c>
      <c r="J125" s="27" t="str">
        <f>IFERROR(__xludf.DUMMYFUNCTION("""COMPUTED_VALUE"""),"-")</f>
        <v>-</v>
      </c>
      <c r="K125" s="27" t="str">
        <f>IFERROR(__xludf.DUMMYFUNCTION("""COMPUTED_VALUE"""),"-")</f>
        <v>-</v>
      </c>
      <c r="L125" s="27" t="str">
        <f>IFERROR(__xludf.DUMMYFUNCTION("""COMPUTED_VALUE"""),"-")</f>
        <v>-</v>
      </c>
      <c r="M125" s="27" t="str">
        <f>IFERROR(__xludf.DUMMYFUNCTION("""COMPUTED_VALUE"""),"[U]")</f>
        <v>[U]</v>
      </c>
      <c r="N125" s="27" t="str">
        <f>IFERROR(__xludf.DUMMYFUNCTION("""COMPUTED_VALUE"""),"""You may come out now, my ancient warriors!""")</f>
        <v>"You may come out now, my ancient warriors!"</v>
      </c>
      <c r="O125" s="27"/>
      <c r="P125" s="27"/>
      <c r="Q125" s="27"/>
      <c r="R125" s="27"/>
      <c r="S125" s="27"/>
      <c r="T125" s="27"/>
      <c r="U125" s="27"/>
      <c r="V125" s="27"/>
      <c r="W125" s="27"/>
      <c r="X125" s="27"/>
      <c r="Y125" s="27"/>
      <c r="Z125" s="27"/>
    </row>
    <row r="126">
      <c r="A126" s="29" t="str">
        <f>IFERROR(__xludf.DUMMYFUNCTION("""COMPUTED_VALUE"""),"E-104")</f>
        <v>E-104</v>
      </c>
      <c r="B126" s="27" t="str">
        <f>IFERROR(__xludf.DUMMYFUNCTION("""COMPUTED_VALUE"""),"Event")</f>
        <v>Event</v>
      </c>
      <c r="C126" s="27" t="str">
        <f>IFERROR(__xludf.DUMMYFUNCTION("""COMPUTED_VALUE"""),"The Stone Curse")</f>
        <v>The Stone Curse</v>
      </c>
      <c r="D126" s="27" t="str">
        <f>IFERROR(__xludf.DUMMYFUNCTION("""COMPUTED_VALUE"""),"-")</f>
        <v>-</v>
      </c>
      <c r="E126" s="27">
        <f>IFERROR(__xludf.DUMMYFUNCTION("""COMPUTED_VALUE"""),2.0)</f>
        <v>2</v>
      </c>
      <c r="F126" s="27" t="str">
        <f>IFERROR(__xludf.DUMMYFUNCTION("""COMPUTED_VALUE"""),"A")</f>
        <v>A</v>
      </c>
      <c r="G126" s="27" t="str">
        <f>IFERROR(__xludf.DUMMYFUNCTION("""COMPUTED_VALUE"""),"None")</f>
        <v>None</v>
      </c>
      <c r="H126" s="27" t="str">
        <f>IFERROR(__xludf.DUMMYFUNCTION("""COMPUTED_VALUE"""),"-")</f>
        <v>-</v>
      </c>
      <c r="I126" s="28" t="str">
        <f>IFERROR(__xludf.DUMMYFUNCTION("""COMPUTED_VALUE"""),"[STANDBY] After applying this effect, only once during this game (per player), you may perform 1 of the following Actions: ● Petrify 1 of either player's in-play MAMODO cards. ● Turn 1 of either player's Petrified MAMODO cards to Normal Status.")</f>
        <v>[STANDBY] After applying this effect, only once during this game (per player), you may perform 1 of the following Actions: ● Petrify 1 of either player's in-play MAMODO cards. ● Turn 1 of either player's Petrified MAMODO cards to Normal Status.</v>
      </c>
      <c r="J126" s="27" t="str">
        <f>IFERROR(__xludf.DUMMYFUNCTION("""COMPUTED_VALUE"""),"-")</f>
        <v>-</v>
      </c>
      <c r="K126" s="27" t="str">
        <f>IFERROR(__xludf.DUMMYFUNCTION("""COMPUTED_VALUE"""),"-")</f>
        <v>-</v>
      </c>
      <c r="L126" s="27" t="str">
        <f>IFERROR(__xludf.DUMMYFUNCTION("""COMPUTED_VALUE"""),"-")</f>
        <v>-</v>
      </c>
      <c r="M126" s="27" t="str">
        <f>IFERROR(__xludf.DUMMYFUNCTION("""COMPUTED_VALUE"""),"[U]")</f>
        <v>[U]</v>
      </c>
      <c r="N126" s="27" t="str">
        <f>IFERROR(__xludf.DUMMYFUNCTION("""COMPUTED_VALUE"""),"""If this light ceases to shine on you... you will turn back into stone!""")</f>
        <v>"If this light ceases to shine on you... you will turn back into stone!"</v>
      </c>
      <c r="O126" s="27"/>
      <c r="P126" s="27"/>
      <c r="Q126" s="27"/>
      <c r="R126" s="27"/>
      <c r="S126" s="27"/>
      <c r="T126" s="27"/>
      <c r="U126" s="27"/>
      <c r="V126" s="27"/>
      <c r="W126" s="27"/>
      <c r="X126" s="27"/>
      <c r="Y126" s="27"/>
      <c r="Z126" s="27"/>
    </row>
    <row r="127">
      <c r="A127" s="29" t="str">
        <f>IFERROR(__xludf.DUMMYFUNCTION("""COMPUTED_VALUE"""),"E-105")</f>
        <v>E-105</v>
      </c>
      <c r="B127" s="27" t="str">
        <f>IFERROR(__xludf.DUMMYFUNCTION("""COMPUTED_VALUE"""),"Event")</f>
        <v>Event</v>
      </c>
      <c r="C127" s="27" t="str">
        <f>IFERROR(__xludf.DUMMYFUNCTION("""COMPUTED_VALUE"""),"You Fool!")</f>
        <v>You Fool!</v>
      </c>
      <c r="D127" s="27" t="str">
        <f>IFERROR(__xludf.DUMMYFUNCTION("""COMPUTED_VALUE"""),"-")</f>
        <v>-</v>
      </c>
      <c r="E127" s="27">
        <f>IFERROR(__xludf.DUMMYFUNCTION("""COMPUTED_VALUE"""),0.0)</f>
        <v>0</v>
      </c>
      <c r="F127" s="27" t="str">
        <f>IFERROR(__xludf.DUMMYFUNCTION("""COMPUTED_VALUE"""),"A")</f>
        <v>A</v>
      </c>
      <c r="G127" s="27" t="str">
        <f>IFERROR(__xludf.DUMMYFUNCTION("""COMPUTED_VALUE"""),"None")</f>
        <v>None</v>
      </c>
      <c r="H127" s="27" t="str">
        <f>IFERROR(__xludf.DUMMYFUNCTION("""COMPUTED_VALUE"""),"-")</f>
        <v>-</v>
      </c>
      <c r="I127" s="28" t="str">
        <f>IFERROR(__xludf.DUMMYFUNCTION("""COMPUTED_VALUE"""),"Apply 1 or both of the following effects in order: ● Send any number of your in-play PARTNER cards to the Discard Pile. ● Select a number of PARTNER cards from any page of your Spell Book or Discard Pile equal to the amount you sent to the Discard Pile by"&amp;" the previous effect and put them in play (except PARTNER cards that were sent to the Discard Pile by the previous effect).")</f>
        <v>Apply 1 or both of the following effects in order: ● Send any number of your in-play PARTNER cards to the Discard Pile. ● Select a number of PARTNER cards from any page of your Spell Book or Discard Pile equal to the amount you sent to the Discard Pile by the previous effect and put them in play (except PARTNER cards that were sent to the Discard Pile by the previous effect).</v>
      </c>
      <c r="J127" s="27" t="str">
        <f>IFERROR(__xludf.DUMMYFUNCTION("""COMPUTED_VALUE"""),"-")</f>
        <v>-</v>
      </c>
      <c r="K127" s="27" t="str">
        <f>IFERROR(__xludf.DUMMYFUNCTION("""COMPUTED_VALUE"""),"-")</f>
        <v>-</v>
      </c>
      <c r="L127" s="27" t="str">
        <f>IFERROR(__xludf.DUMMYFUNCTION("""COMPUTED_VALUE"""),"-")</f>
        <v>-</v>
      </c>
      <c r="M127" s="27" t="str">
        <f>IFERROR(__xludf.DUMMYFUNCTION("""COMPUTED_VALUE"""),"[R]")</f>
        <v>[R]</v>
      </c>
      <c r="N127" s="27" t="str">
        <f>IFERROR(__xludf.DUMMYFUNCTION("""COMPUTED_VALUE"""),"""What the heck are you doing? Why can't you use the spell?!""")</f>
        <v>"What the heck are you doing? Why can't you use the spell?!"</v>
      </c>
      <c r="O127" s="27"/>
      <c r="P127" s="27"/>
      <c r="Q127" s="27"/>
      <c r="R127" s="27"/>
      <c r="S127" s="27"/>
      <c r="T127" s="27"/>
      <c r="U127" s="27"/>
      <c r="V127" s="27"/>
      <c r="W127" s="27"/>
      <c r="X127" s="27"/>
      <c r="Y127" s="27"/>
      <c r="Z127" s="27"/>
    </row>
    <row r="128">
      <c r="A128" s="29" t="str">
        <f>IFERROR(__xludf.DUMMYFUNCTION("""COMPUTED_VALUE"""),"E-106")</f>
        <v>E-106</v>
      </c>
      <c r="B128" s="27" t="str">
        <f>IFERROR(__xludf.DUMMYFUNCTION("""COMPUTED_VALUE"""),"Event")</f>
        <v>Event</v>
      </c>
      <c r="C128" s="27" t="str">
        <f>IFERROR(__xludf.DUMMYFUNCTION("""COMPUTED_VALUE"""),"I've Got You, Koko...")</f>
        <v>I've Got You, Koko...</v>
      </c>
      <c r="D128" s="27" t="str">
        <f>IFERROR(__xludf.DUMMYFUNCTION("""COMPUTED_VALUE"""),"-")</f>
        <v>-</v>
      </c>
      <c r="E128" s="27">
        <f>IFERROR(__xludf.DUMMYFUNCTION("""COMPUTED_VALUE"""),3.0)</f>
        <v>3</v>
      </c>
      <c r="F128" s="27" t="str">
        <f>IFERROR(__xludf.DUMMYFUNCTION("""COMPUTED_VALUE"""),"AD")</f>
        <v>AD</v>
      </c>
      <c r="G128" s="27" t="str">
        <f>IFERROR(__xludf.DUMMYFUNCTION("""COMPUTED_VALUE"""),"None")</f>
        <v>None</v>
      </c>
      <c r="H128" s="27" t="str">
        <f>IFERROR(__xludf.DUMMYFUNCTION("""COMPUTED_VALUE"""),"-")</f>
        <v>-</v>
      </c>
      <c r="I128" s="28" t="str">
        <f>IFERROR(__xludf.DUMMYFUNCTION("""COMPUTED_VALUE"""),"[STAY] Select 1 of your opponent's in-play PARTNER cards. Your opponent cannot apply the effects of any PARTNER cards with the same card name as the selected PARTNER card during this game.")</f>
        <v>[STAY] Select 1 of your opponent's in-play PARTNER cards. Your opponent cannot apply the effects of any PARTNER cards with the same card name as the selected PARTNER card during this game.</v>
      </c>
      <c r="J128" s="27" t="str">
        <f>IFERROR(__xludf.DUMMYFUNCTION("""COMPUTED_VALUE"""),"-")</f>
        <v>-</v>
      </c>
      <c r="K128" s="27" t="str">
        <f>IFERROR(__xludf.DUMMYFUNCTION("""COMPUTED_VALUE"""),"-")</f>
        <v>-</v>
      </c>
      <c r="L128" s="27" t="str">
        <f>IFERROR(__xludf.DUMMYFUNCTION("""COMPUTED_VALUE"""),"-")</f>
        <v>-</v>
      </c>
      <c r="M128" s="27" t="str">
        <f>IFERROR(__xludf.DUMMYFUNCTION("""COMPUTED_VALUE"""),"[R]")</f>
        <v>[R]</v>
      </c>
      <c r="N128" s="27" t="str">
        <f>IFERROR(__xludf.DUMMYFUNCTION("""COMPUTED_VALUE"""),"""I've got you, Koko... Finally... finally...""")</f>
        <v>"I've got you, Koko... Finally... finally..."</v>
      </c>
      <c r="O128" s="27"/>
      <c r="P128" s="27"/>
      <c r="Q128" s="27"/>
      <c r="R128" s="27"/>
      <c r="S128" s="27"/>
      <c r="T128" s="27"/>
      <c r="U128" s="27"/>
      <c r="V128" s="27"/>
      <c r="W128" s="27"/>
      <c r="X128" s="27"/>
      <c r="Y128" s="27"/>
      <c r="Z128" s="27"/>
    </row>
    <row r="129">
      <c r="A129" s="29" t="str">
        <f>IFERROR(__xludf.DUMMYFUNCTION("""COMPUTED_VALUE"""),"E-107")</f>
        <v>E-107</v>
      </c>
      <c r="B129" s="27" t="str">
        <f>IFERROR(__xludf.DUMMYFUNCTION("""COMPUTED_VALUE"""),"Event")</f>
        <v>Event</v>
      </c>
      <c r="C129" s="27" t="str">
        <f>IFERROR(__xludf.DUMMYFUNCTION("""COMPUTED_VALUE"""),"The Last Kiss")</f>
        <v>The Last Kiss</v>
      </c>
      <c r="D129" s="27" t="str">
        <f>IFERROR(__xludf.DUMMYFUNCTION("""COMPUTED_VALUE"""),"-")</f>
        <v>-</v>
      </c>
      <c r="E129" s="27">
        <f>IFERROR(__xludf.DUMMYFUNCTION("""COMPUTED_VALUE"""),1.0)</f>
        <v>1</v>
      </c>
      <c r="F129" s="27" t="str">
        <f>IFERROR(__xludf.DUMMYFUNCTION("""COMPUTED_VALUE"""),"A")</f>
        <v>A</v>
      </c>
      <c r="G129" s="27" t="str">
        <f>IFERROR(__xludf.DUMMYFUNCTION("""COMPUTED_VALUE"""),"Superior")</f>
        <v>Superior</v>
      </c>
      <c r="H129" s="27" t="str">
        <f>IFERROR(__xludf.DUMMYFUNCTION("""COMPUTED_VALUE"""),"-")</f>
        <v>-</v>
      </c>
      <c r="I129" s="28" t="str">
        <f>IFERROR(__xludf.DUMMYFUNCTION("""COMPUTED_VALUE"""),"Move 1 PARTNER card from your Discard Pile into play, even if you don't have the respective MAMODO card in play to attach it to. This effect can be applied only once per game (per player). ● Regardless of whether you have a MAMODO card to attach it to or "&amp;"not, the selected PARTNER card remains in play after this turn. ● The effects of a PARTNER card in play that is not attached to a MAMODO card can be applied.")</f>
        <v>Move 1 PARTNER card from your Discard Pile into play, even if you don't have the respective MAMODO card in play to attach it to. This effect can be applied only once per game (per player). ● Regardless of whether you have a MAMODO card to attach it to or not, the selected PARTNER card remains in play after this turn. ● The effects of a PARTNER card in play that is not attached to a MAMODO card can be applied.</v>
      </c>
      <c r="J129" s="27" t="str">
        <f>IFERROR(__xludf.DUMMYFUNCTION("""COMPUTED_VALUE"""),"-")</f>
        <v>-</v>
      </c>
      <c r="K129" s="27" t="str">
        <f>IFERROR(__xludf.DUMMYFUNCTION("""COMPUTED_VALUE"""),"-")</f>
        <v>-</v>
      </c>
      <c r="L129" s="27" t="str">
        <f>IFERROR(__xludf.DUMMYFUNCTION("""COMPUTED_VALUE"""),"-")</f>
        <v>-</v>
      </c>
      <c r="M129" s="27" t="str">
        <f>IFERROR(__xludf.DUMMYFUNCTION("""COMPUTED_VALUE"""),"[SR]")</f>
        <v>[SR]</v>
      </c>
      <c r="N129" s="27" t="str">
        <f>IFERROR(__xludf.DUMMYFUNCTION("""COMPUTED_VALUE"""),"“You were the best partner a mamodo could ever have. Thank you.”")</f>
        <v>“You were the best partner a mamodo could ever have. Thank you.”</v>
      </c>
      <c r="O129" s="27"/>
      <c r="P129" s="27"/>
      <c r="Q129" s="27"/>
      <c r="R129" s="27"/>
      <c r="S129" s="27"/>
      <c r="T129" s="27"/>
      <c r="U129" s="27"/>
      <c r="V129" s="27"/>
      <c r="W129" s="27"/>
      <c r="X129" s="27"/>
      <c r="Y129" s="27"/>
      <c r="Z129" s="27"/>
    </row>
    <row r="130">
      <c r="A130" s="29" t="str">
        <f>IFERROR(__xludf.DUMMYFUNCTION("""COMPUTED_VALUE"""),"E-108")</f>
        <v>E-108</v>
      </c>
      <c r="B130" s="27" t="str">
        <f>IFERROR(__xludf.DUMMYFUNCTION("""COMPUTED_VALUE"""),"Event")</f>
        <v>Event</v>
      </c>
      <c r="C130" s="27" t="str">
        <f>IFERROR(__xludf.DUMMYFUNCTION("""COMPUTED_VALUE"""),"Welcome Back!")</f>
        <v>Welcome Back!</v>
      </c>
      <c r="D130" s="27" t="str">
        <f>IFERROR(__xludf.DUMMYFUNCTION("""COMPUTED_VALUE"""),"-")</f>
        <v>-</v>
      </c>
      <c r="E130" s="27">
        <f>IFERROR(__xludf.DUMMYFUNCTION("""COMPUTED_VALUE"""),1.0)</f>
        <v>1</v>
      </c>
      <c r="F130" s="27" t="str">
        <f>IFERROR(__xludf.DUMMYFUNCTION("""COMPUTED_VALUE"""),"A")</f>
        <v>A</v>
      </c>
      <c r="G130" s="27" t="str">
        <f>IFERROR(__xludf.DUMMYFUNCTION("""COMPUTED_VALUE"""),"Superior")</f>
        <v>Superior</v>
      </c>
      <c r="H130" s="27" t="str">
        <f>IFERROR(__xludf.DUMMYFUNCTION("""COMPUTED_VALUE"""),"-")</f>
        <v>-</v>
      </c>
      <c r="I130" s="28" t="str">
        <f>IFERROR(__xludf.DUMMYFUNCTION("""COMPUTED_VALUE"""),"This EVENT card can be played only when you are on the 22nd page or higher of your Spell Book and you have no MAMODO cards in your Discard Pile. Turn 2 pages of your opponent's Spell Book. This effect can be applied only once per game (per player).")</f>
        <v>This EVENT card can be played only when you are on the 22nd page or higher of your Spell Book and you have no MAMODO cards in your Discard Pile. Turn 2 pages of your opponent's Spell Book. This effect can be applied only once per game (per player).</v>
      </c>
      <c r="J130" s="27" t="str">
        <f>IFERROR(__xludf.DUMMYFUNCTION("""COMPUTED_VALUE"""),"-")</f>
        <v>-</v>
      </c>
      <c r="K130" s="27" t="str">
        <f>IFERROR(__xludf.DUMMYFUNCTION("""COMPUTED_VALUE"""),"-")</f>
        <v>-</v>
      </c>
      <c r="L130" s="27" t="str">
        <f>IFERROR(__xludf.DUMMYFUNCTION("""COMPUTED_VALUE"""),"-")</f>
        <v>-</v>
      </c>
      <c r="M130" s="27" t="str">
        <f>IFERROR(__xludf.DUMMYFUNCTION("""COMPUTED_VALUE"""),"[SR]")</f>
        <v>[SR]</v>
      </c>
      <c r="N130" s="27" t="str">
        <f>IFERROR(__xludf.DUMMYFUNCTION("""COMPUTED_VALUE"""),"""Zatch and Kiyo are coming back today! I don't know how I know, but I just do!""")</f>
        <v>"Zatch and Kiyo are coming back today! I don't know how I know, but I just do!"</v>
      </c>
      <c r="O130" s="27"/>
      <c r="P130" s="27"/>
      <c r="Q130" s="27"/>
      <c r="R130" s="27"/>
      <c r="S130" s="27"/>
      <c r="T130" s="27"/>
      <c r="U130" s="27"/>
      <c r="V130" s="27"/>
      <c r="W130" s="27"/>
      <c r="X130" s="27"/>
      <c r="Y130" s="27"/>
      <c r="Z130" s="27"/>
    </row>
    <row r="131">
      <c r="A131" s="29" t="str">
        <f>IFERROR(__xludf.DUMMYFUNCTION("""COMPUTED_VALUE"""),"E-109")</f>
        <v>E-109</v>
      </c>
      <c r="B131" s="27" t="str">
        <f>IFERROR(__xludf.DUMMYFUNCTION("""COMPUTED_VALUE"""),"Event")</f>
        <v>Event</v>
      </c>
      <c r="C131" s="27" t="str">
        <f>IFERROR(__xludf.DUMMYFUNCTION("""COMPUTED_VALUE"""),"I Will Make You King!")</f>
        <v>I Will Make You King!</v>
      </c>
      <c r="D131" s="27" t="str">
        <f>IFERROR(__xludf.DUMMYFUNCTION("""COMPUTED_VALUE"""),"-")</f>
        <v>-</v>
      </c>
      <c r="E131" s="27">
        <f>IFERROR(__xludf.DUMMYFUNCTION("""COMPUTED_VALUE"""),2.0)</f>
        <v>2</v>
      </c>
      <c r="F131" s="27" t="str">
        <f>IFERROR(__xludf.DUMMYFUNCTION("""COMPUTED_VALUE"""),"AD")</f>
        <v>AD</v>
      </c>
      <c r="G131" s="27" t="str">
        <f>IFERROR(__xludf.DUMMYFUNCTION("""COMPUTED_VALUE"""),"Superior")</f>
        <v>Superior</v>
      </c>
      <c r="H131" s="27" t="str">
        <f>IFERROR(__xludf.DUMMYFUNCTION("""COMPUTED_VALUE"""),"-")</f>
        <v>-</v>
      </c>
      <c r="I131" s="28" t="str">
        <f>IFERROR(__xludf.DUMMYFUNCTION("""COMPUTED_VALUE"""),"[STAY] Select 1 of your in-play MAMODO cards. The selected MAMODO card can neither be sent to the Discard Pile by your opponent's card effects, nor can it receive Damage or Injury by your opponent, during this game (except when it SACRIFICES or PROTECTS y"&amp;"our Spell Book from Damage).")</f>
        <v>[STAY] Select 1 of your in-play MAMODO cards. The selected MAMODO card can neither be sent to the Discard Pile by your opponent's card effects, nor can it receive Damage or Injury by your opponent, during this game (except when it SACRIFICES or PROTECTS your Spell Book from Damage).</v>
      </c>
      <c r="J131" s="27" t="str">
        <f>IFERROR(__xludf.DUMMYFUNCTION("""COMPUTED_VALUE"""),"-")</f>
        <v>-</v>
      </c>
      <c r="K131" s="27" t="str">
        <f>IFERROR(__xludf.DUMMYFUNCTION("""COMPUTED_VALUE"""),"-")</f>
        <v>-</v>
      </c>
      <c r="L131" s="27" t="str">
        <f>IFERROR(__xludf.DUMMYFUNCTION("""COMPUTED_VALUE"""),"-")</f>
        <v>-</v>
      </c>
      <c r="M131" s="27" t="str">
        <f>IFERROR(__xludf.DUMMYFUNCTION("""COMPUTED_VALUE"""),"[R]")</f>
        <v>[R]</v>
      </c>
      <c r="N131" s="27" t="str">
        <f>IFERROR(__xludf.DUMMYFUNCTION("""COMPUTED_VALUE"""),"""I will make you king even if it costs me my life! I swear... I swear!""")</f>
        <v>"I will make you king even if it costs me my life! I swear... I swear!"</v>
      </c>
      <c r="O131" s="27"/>
      <c r="P131" s="27"/>
      <c r="Q131" s="27"/>
      <c r="R131" s="27"/>
      <c r="S131" s="27"/>
      <c r="T131" s="27"/>
      <c r="U131" s="27"/>
      <c r="V131" s="27"/>
      <c r="W131" s="27"/>
      <c r="X131" s="27"/>
      <c r="Y131" s="27"/>
      <c r="Z131" s="27"/>
    </row>
    <row r="132">
      <c r="A132" s="29" t="str">
        <f>IFERROR(__xludf.DUMMYFUNCTION("""COMPUTED_VALUE"""),"E-110")</f>
        <v>E-110</v>
      </c>
      <c r="B132" s="27" t="str">
        <f>IFERROR(__xludf.DUMMYFUNCTION("""COMPUTED_VALUE"""),"Event")</f>
        <v>Event</v>
      </c>
      <c r="C132" s="27" t="str">
        <f>IFERROR(__xludf.DUMMYFUNCTION("""COMPUTED_VALUE"""),"Mr. Nakata (Hidetoshi Nakata)")</f>
        <v>Mr. Nakata (Hidetoshi Nakata)</v>
      </c>
      <c r="D132" s="27" t="str">
        <f>IFERROR(__xludf.DUMMYFUNCTION("""COMPUTED_VALUE"""),"-")</f>
        <v>-</v>
      </c>
      <c r="E132" s="27">
        <f>IFERROR(__xludf.DUMMYFUNCTION("""COMPUTED_VALUE"""),0.0)</f>
        <v>0</v>
      </c>
      <c r="F132" s="27" t="str">
        <f>IFERROR(__xludf.DUMMYFUNCTION("""COMPUTED_VALUE"""),"A")</f>
        <v>A</v>
      </c>
      <c r="G132" s="27" t="str">
        <f>IFERROR(__xludf.DUMMYFUNCTION("""COMPUTED_VALUE"""),"None")</f>
        <v>None</v>
      </c>
      <c r="H132" s="27" t="str">
        <f>IFERROR(__xludf.DUMMYFUNCTION("""COMPUTED_VALUE"""),"-")</f>
        <v>-</v>
      </c>
      <c r="I132" s="28" t="str">
        <f>IFERROR(__xludf.DUMMYFUNCTION("""COMPUTED_VALUE"""),"Count the total number of [Stay] and [Standby] effects that are currently in effect for this game (effects that are unable to be confirmed when you declare the play of this card are excluded). If there are 3 or more, all of those effects are negated.")</f>
        <v>Count the total number of [Stay] and [Standby] effects that are currently in effect for this game (effects that are unable to be confirmed when you declare the play of this card are excluded). If there are 3 or more, all of those effects are negated.</v>
      </c>
      <c r="J132" s="27" t="str">
        <f>IFERROR(__xludf.DUMMYFUNCTION("""COMPUTED_VALUE"""),"-")</f>
        <v>-</v>
      </c>
      <c r="K132" s="27" t="str">
        <f>IFERROR(__xludf.DUMMYFUNCTION("""COMPUTED_VALUE"""),"-")</f>
        <v>-</v>
      </c>
      <c r="L132" s="27" t="str">
        <f>IFERROR(__xludf.DUMMYFUNCTION("""COMPUTED_VALUE"""),"-")</f>
        <v>-</v>
      </c>
      <c r="M132" s="27" t="str">
        <f>IFERROR(__xludf.DUMMYFUNCTION("""COMPUTED_VALUE"""),"[C]")</f>
        <v>[C]</v>
      </c>
      <c r="N132" s="27" t="str">
        <f>IFERROR(__xludf.DUMMYFUNCTION("""COMPUTED_VALUE"""),"Kiyo's math teacher. He loves his wife very much.")</f>
        <v>Kiyo's math teacher. He loves his wife very much.</v>
      </c>
      <c r="O132" s="27"/>
      <c r="P132" s="27"/>
      <c r="Q132" s="27"/>
      <c r="R132" s="27"/>
      <c r="S132" s="27"/>
      <c r="T132" s="27"/>
      <c r="U132" s="27"/>
      <c r="V132" s="27"/>
      <c r="W132" s="27"/>
      <c r="X132" s="27"/>
      <c r="Y132" s="27"/>
      <c r="Z132" s="27"/>
    </row>
    <row r="133">
      <c r="A133" s="29" t="str">
        <f>IFERROR(__xludf.DUMMYFUNCTION("""COMPUTED_VALUE"""),"E-111")</f>
        <v>E-111</v>
      </c>
      <c r="B133" s="27" t="str">
        <f>IFERROR(__xludf.DUMMYFUNCTION("""COMPUTED_VALUE"""),"Event")</f>
        <v>Event</v>
      </c>
      <c r="C133" s="27" t="str">
        <f>IFERROR(__xludf.DUMMYFUNCTION("""COMPUTED_VALUE"""),"Mr. Toyama")</f>
        <v>Mr. Toyama</v>
      </c>
      <c r="D133" s="27" t="str">
        <f>IFERROR(__xludf.DUMMYFUNCTION("""COMPUTED_VALUE"""),"-")</f>
        <v>-</v>
      </c>
      <c r="E133" s="27">
        <f>IFERROR(__xludf.DUMMYFUNCTION("""COMPUTED_VALUE"""),1.0)</f>
        <v>1</v>
      </c>
      <c r="F133" s="27" t="str">
        <f>IFERROR(__xludf.DUMMYFUNCTION("""COMPUTED_VALUE"""),"AD")</f>
        <v>AD</v>
      </c>
      <c r="G133" s="27" t="str">
        <f>IFERROR(__xludf.DUMMYFUNCTION("""COMPUTED_VALUE"""),"None")</f>
        <v>None</v>
      </c>
      <c r="H133" s="27" t="str">
        <f>IFERROR(__xludf.DUMMYFUNCTION("""COMPUTED_VALUE"""),"-")</f>
        <v>-</v>
      </c>
      <c r="I133" s="28" t="str">
        <f>IFERROR(__xludf.DUMMYFUNCTION("""COMPUTED_VALUE"""),"This EVENT card can be played only when your opponent has 0 MP. [STAY] Your opponent cannot get MP during this turn (including at their END PHASE).")</f>
        <v>This EVENT card can be played only when your opponent has 0 MP. [STAY] Your opponent cannot get MP during this turn (including at their END PHASE).</v>
      </c>
      <c r="J133" s="27" t="str">
        <f>IFERROR(__xludf.DUMMYFUNCTION("""COMPUTED_VALUE"""),"-")</f>
        <v>-</v>
      </c>
      <c r="K133" s="27" t="str">
        <f>IFERROR(__xludf.DUMMYFUNCTION("""COMPUTED_VALUE"""),"-")</f>
        <v>-</v>
      </c>
      <c r="L133" s="27" t="str">
        <f>IFERROR(__xludf.DUMMYFUNCTION("""COMPUTED_VALUE"""),"-")</f>
        <v>-</v>
      </c>
      <c r="M133" s="27" t="str">
        <f>IFERROR(__xludf.DUMMYFUNCTION("""COMPUTED_VALUE"""),"[C]")</f>
        <v>[C]</v>
      </c>
      <c r="N133" s="27" t="str">
        <f>IFERROR(__xludf.DUMMYFUNCTION("""COMPUTED_VALUE"""),"""Fine! Maybe I am the worst teacher in the whole world!""")</f>
        <v>"Fine! Maybe I am the worst teacher in the whole world!"</v>
      </c>
      <c r="O133" s="27"/>
      <c r="P133" s="27"/>
      <c r="Q133" s="27"/>
      <c r="R133" s="27"/>
      <c r="S133" s="27"/>
      <c r="T133" s="27"/>
      <c r="U133" s="27"/>
      <c r="V133" s="27"/>
      <c r="W133" s="27"/>
      <c r="X133" s="27"/>
      <c r="Y133" s="27"/>
      <c r="Z133" s="27"/>
    </row>
    <row r="134">
      <c r="A134" s="29" t="str">
        <f>IFERROR(__xludf.DUMMYFUNCTION("""COMPUTED_VALUE"""),"E-112")</f>
        <v>E-112</v>
      </c>
      <c r="B134" s="27" t="str">
        <f>IFERROR(__xludf.DUMMYFUNCTION("""COMPUTED_VALUE"""),"Event")</f>
        <v>Event</v>
      </c>
      <c r="C134" s="27" t="str">
        <f>IFERROR(__xludf.DUMMYFUNCTION("""COMPUTED_VALUE"""),"Miss Wriggle")</f>
        <v>Miss Wriggle</v>
      </c>
      <c r="D134" s="27" t="str">
        <f>IFERROR(__xludf.DUMMYFUNCTION("""COMPUTED_VALUE"""),"-")</f>
        <v>-</v>
      </c>
      <c r="E134" s="27">
        <f>IFERROR(__xludf.DUMMYFUNCTION("""COMPUTED_VALUE"""),1.0)</f>
        <v>1</v>
      </c>
      <c r="F134" s="27" t="str">
        <f>IFERROR(__xludf.DUMMYFUNCTION("""COMPUTED_VALUE"""),"A")</f>
        <v>A</v>
      </c>
      <c r="G134" s="27" t="str">
        <f>IFERROR(__xludf.DUMMYFUNCTION("""COMPUTED_VALUE"""),"None")</f>
        <v>None</v>
      </c>
      <c r="H134" s="27" t="str">
        <f>IFERROR(__xludf.DUMMYFUNCTION("""COMPUTED_VALUE"""),"-")</f>
        <v>-</v>
      </c>
      <c r="I134" s="28" t="str">
        <f>IFERROR(__xludf.DUMMYFUNCTION("""COMPUTED_VALUE"""),"This EVENT card can be played only when you are on the 11th page or lower of your Spell Book. [STAY] Your Spell Book and all of your MAMODO cards can neither receive Damage or Injury, nor can your MAMODO cards be sent to the Discard Pile by your opponent'"&amp;"s card effects, during this turn.")</f>
        <v>This EVENT card can be played only when you are on the 11th page or lower of your Spell Book. [STAY] Your Spell Book and all of your MAMODO cards can neither receive Damage or Injury, nor can your MAMODO cards be sent to the Discard Pile by your opponent's card effects, during this turn.</v>
      </c>
      <c r="J134" s="27" t="str">
        <f>IFERROR(__xludf.DUMMYFUNCTION("""COMPUTED_VALUE"""),"-")</f>
        <v>-</v>
      </c>
      <c r="K134" s="27" t="str">
        <f>IFERROR(__xludf.DUMMYFUNCTION("""COMPUTED_VALUE"""),"-")</f>
        <v>-</v>
      </c>
      <c r="L134" s="27" t="str">
        <f>IFERROR(__xludf.DUMMYFUNCTION("""COMPUTED_VALUE"""),"-")</f>
        <v>-</v>
      </c>
      <c r="M134" s="27" t="str">
        <f>IFERROR(__xludf.DUMMYFUNCTION("""COMPUTED_VALUE"""),"[R]")</f>
        <v>[R]</v>
      </c>
      <c r="N134" s="27" t="str">
        <f>IFERROR(__xludf.DUMMYFUNCTION("""COMPUTED_VALUE"""),"""Oh ho ho. Come on, bring on the lovesickness. More lovesickness! ♡""")</f>
        <v>"Oh ho ho. Come on, bring on the lovesickness. More lovesickness! ♡"</v>
      </c>
      <c r="O134" s="27"/>
      <c r="P134" s="27"/>
      <c r="Q134" s="27"/>
      <c r="R134" s="27"/>
      <c r="S134" s="27"/>
      <c r="T134" s="27"/>
      <c r="U134" s="27"/>
      <c r="V134" s="27"/>
      <c r="W134" s="27"/>
      <c r="X134" s="27"/>
      <c r="Y134" s="27"/>
      <c r="Z134" s="27"/>
    </row>
    <row r="135">
      <c r="A135" s="29" t="str">
        <f>IFERROR(__xludf.DUMMYFUNCTION("""COMPUTED_VALUE"""),"E-113")</f>
        <v>E-113</v>
      </c>
      <c r="B135" s="27" t="str">
        <f>IFERROR(__xludf.DUMMYFUNCTION("""COMPUTED_VALUE"""),"Event")</f>
        <v>Event</v>
      </c>
      <c r="C135" s="27" t="str">
        <f>IFERROR(__xludf.DUMMYFUNCTION("""COMPUTED_VALUE"""),"Searching For A Gift!")</f>
        <v>Searching For A Gift!</v>
      </c>
      <c r="D135" s="27" t="str">
        <f>IFERROR(__xludf.DUMMYFUNCTION("""COMPUTED_VALUE"""),"-")</f>
        <v>-</v>
      </c>
      <c r="E135" s="27">
        <f>IFERROR(__xludf.DUMMYFUNCTION("""COMPUTED_VALUE"""),3.0)</f>
        <v>3</v>
      </c>
      <c r="F135" s="27" t="str">
        <f>IFERROR(__xludf.DUMMYFUNCTION("""COMPUTED_VALUE"""),"A")</f>
        <v>A</v>
      </c>
      <c r="G135" s="27" t="str">
        <f>IFERROR(__xludf.DUMMYFUNCTION("""COMPUTED_VALUE"""),"None")</f>
        <v>None</v>
      </c>
      <c r="H135" s="27" t="str">
        <f>IFERROR(__xludf.DUMMYFUNCTION("""COMPUTED_VALUE"""),"-")</f>
        <v>-</v>
      </c>
      <c r="I135" s="28" t="str">
        <f>IFERROR(__xludf.DUMMYFUNCTION("""COMPUTED_VALUE"""),"Declare 1 card name without looking at your opponent’s Spell Book. Your opponent sends 1 card of the same card name from any page of their Spell Book to the Discard Pile. If your opponent does not have a card of that name, you can look through their Spell"&amp;" Book to check (this is not considered to be looking at your opponent’s Spell Book). This effect can be applied only once per game (per player).")</f>
        <v>Declare 1 card name without looking at your opponent’s Spell Book. Your opponent sends 1 card of the same card name from any page of their Spell Book to the Discard Pile. If your opponent does not have a card of that name, you can look through their Spell Book to check (this is not considered to be looking at your opponent’s Spell Book). This effect can be applied only once per game (per player).</v>
      </c>
      <c r="J135" s="27" t="str">
        <f>IFERROR(__xludf.DUMMYFUNCTION("""COMPUTED_VALUE"""),"-")</f>
        <v>-</v>
      </c>
      <c r="K135" s="27" t="str">
        <f>IFERROR(__xludf.DUMMYFUNCTION("""COMPUTED_VALUE"""),"-")</f>
        <v>-</v>
      </c>
      <c r="L135" s="27" t="str">
        <f>IFERROR(__xludf.DUMMYFUNCTION("""COMPUTED_VALUE"""),"-")</f>
        <v>-</v>
      </c>
      <c r="M135" s="27" t="str">
        <f>IFERROR(__xludf.DUMMYFUNCTION("""COMPUTED_VALUE"""),"[U]")</f>
        <v>[U]</v>
      </c>
      <c r="N135" s="27" t="str">
        <f>IFERROR(__xludf.DUMMYFUNCTION("""COMPUTED_VALUE"""),"""Let's all look for a housewarming gift for Mr. Sunbeam!""")</f>
        <v>"Let's all look for a housewarming gift for Mr. Sunbeam!"</v>
      </c>
      <c r="O135" s="27"/>
      <c r="P135" s="27"/>
      <c r="Q135" s="27"/>
      <c r="R135" s="27"/>
      <c r="S135" s="27"/>
      <c r="T135" s="27"/>
      <c r="U135" s="27"/>
      <c r="V135" s="27"/>
      <c r="W135" s="27"/>
      <c r="X135" s="27"/>
      <c r="Y135" s="27"/>
      <c r="Z135" s="27"/>
    </row>
    <row r="136">
      <c r="A136" s="29" t="str">
        <f>IFERROR(__xludf.DUMMYFUNCTION("""COMPUTED_VALUE"""),"E-114")</f>
        <v>E-114</v>
      </c>
      <c r="B136" s="27" t="str">
        <f>IFERROR(__xludf.DUMMYFUNCTION("""COMPUTED_VALUE"""),"Event")</f>
        <v>Event</v>
      </c>
      <c r="C136" s="27" t="str">
        <f>IFERROR(__xludf.DUMMYFUNCTION("""COMPUTED_VALUE"""),"An Awkward Friendship")</f>
        <v>An Awkward Friendship</v>
      </c>
      <c r="D136" s="27" t="str">
        <f>IFERROR(__xludf.DUMMYFUNCTION("""COMPUTED_VALUE"""),"-")</f>
        <v>-</v>
      </c>
      <c r="E136" s="27">
        <f>IFERROR(__xludf.DUMMYFUNCTION("""COMPUTED_VALUE"""),1.0)</f>
        <v>1</v>
      </c>
      <c r="F136" s="27" t="str">
        <f>IFERROR(__xludf.DUMMYFUNCTION("""COMPUTED_VALUE"""),"A")</f>
        <v>A</v>
      </c>
      <c r="G136" s="27" t="str">
        <f>IFERROR(__xludf.DUMMYFUNCTION("""COMPUTED_VALUE"""),"None")</f>
        <v>None</v>
      </c>
      <c r="H136" s="27" t="str">
        <f>IFERROR(__xludf.DUMMYFUNCTION("""COMPUTED_VALUE"""),"-")</f>
        <v>-</v>
      </c>
      <c r="I136" s="28" t="str">
        <f>IFERROR(__xludf.DUMMYFUNCTION("""COMPUTED_VALUE"""),"[STAY] Add 2000 Power to 2 of of your in-play MAMODO cards during this game. This effect is negated when either of those MAMODO cards leave play. This effect can be applied only once per game (per player).")</f>
        <v>[STAY] Add 2000 Power to 2 of of your in-play MAMODO cards during this game. This effect is negated when either of those MAMODO cards leave play. This effect can be applied only once per game (per player).</v>
      </c>
      <c r="J136" s="27" t="str">
        <f>IFERROR(__xludf.DUMMYFUNCTION("""COMPUTED_VALUE"""),"-")</f>
        <v>-</v>
      </c>
      <c r="K136" s="27" t="str">
        <f>IFERROR(__xludf.DUMMYFUNCTION("""COMPUTED_VALUE"""),"-")</f>
        <v>-</v>
      </c>
      <c r="L136" s="27" t="str">
        <f>IFERROR(__xludf.DUMMYFUNCTION("""COMPUTED_VALUE"""),"-")</f>
        <v>-</v>
      </c>
      <c r="M136" s="27" t="str">
        <f>IFERROR(__xludf.DUMMYFUNCTION("""COMPUTED_VALUE"""),"[R]")</f>
        <v>[R]</v>
      </c>
      <c r="N136" s="27" t="str">
        <f>IFERROR(__xludf.DUMMYFUNCTION("""COMPUTED_VALUE"""),"""Hey, hold your hand out. I'm gonna give you my last gumball.""")</f>
        <v>"Hey, hold your hand out. I'm gonna give you my last gumball."</v>
      </c>
      <c r="O136" s="27"/>
      <c r="P136" s="27"/>
      <c r="Q136" s="27"/>
      <c r="R136" s="27"/>
      <c r="S136" s="27"/>
      <c r="T136" s="27"/>
      <c r="U136" s="27"/>
      <c r="V136" s="27"/>
      <c r="W136" s="27"/>
      <c r="X136" s="27"/>
      <c r="Y136" s="27"/>
      <c r="Z136" s="27"/>
    </row>
    <row r="137">
      <c r="A137" s="29" t="str">
        <f>IFERROR(__xludf.DUMMYFUNCTION("""COMPUTED_VALUE"""),"E-115")</f>
        <v>E-115</v>
      </c>
      <c r="B137" s="27" t="str">
        <f>IFERROR(__xludf.DUMMYFUNCTION("""COMPUTED_VALUE"""),"Event")</f>
        <v>Event</v>
      </c>
      <c r="C137" s="27" t="str">
        <f>IFERROR(__xludf.DUMMYFUNCTION("""COMPUTED_VALUE"""),"Speaking to the Wind")</f>
        <v>Speaking to the Wind</v>
      </c>
      <c r="D137" s="27" t="str">
        <f>IFERROR(__xludf.DUMMYFUNCTION("""COMPUTED_VALUE"""),"-")</f>
        <v>-</v>
      </c>
      <c r="E137" s="27">
        <f>IFERROR(__xludf.DUMMYFUNCTION("""COMPUTED_VALUE"""),0.0)</f>
        <v>0</v>
      </c>
      <c r="F137" s="27" t="str">
        <f>IFERROR(__xludf.DUMMYFUNCTION("""COMPUTED_VALUE"""),"A")</f>
        <v>A</v>
      </c>
      <c r="G137" s="27" t="str">
        <f>IFERROR(__xludf.DUMMYFUNCTION("""COMPUTED_VALUE"""),"None")</f>
        <v>None</v>
      </c>
      <c r="H137" s="27" t="str">
        <f>IFERROR(__xludf.DUMMYFUNCTION("""COMPUTED_VALUE"""),"-")</f>
        <v>-</v>
      </c>
      <c r="I137" s="28" t="str">
        <f>IFERROR(__xludf.DUMMYFUNCTION("""COMPUTED_VALUE"""),"This EVENT card can be played only when you have 2 MAMODO and PARTNER cards in play. Get 4 MP.")</f>
        <v>This EVENT card can be played only when you have 2 MAMODO and PARTNER cards in play. Get 4 MP.</v>
      </c>
      <c r="J137" s="27" t="str">
        <f>IFERROR(__xludf.DUMMYFUNCTION("""COMPUTED_VALUE"""),"-")</f>
        <v>-</v>
      </c>
      <c r="K137" s="27" t="str">
        <f>IFERROR(__xludf.DUMMYFUNCTION("""COMPUTED_VALUE"""),"-")</f>
        <v>-</v>
      </c>
      <c r="L137" s="27" t="str">
        <f>IFERROR(__xludf.DUMMYFUNCTION("""COMPUTED_VALUE"""),"-")</f>
        <v>-</v>
      </c>
      <c r="M137" s="27" t="str">
        <f>IFERROR(__xludf.DUMMYFUNCTION("""COMPUTED_VALUE"""),"[U]")</f>
        <v>[U]</v>
      </c>
      <c r="N137" s="27" t="str">
        <f>IFERROR(__xludf.DUMMYFUNCTION("""COMPUTED_VALUE"""),"""I think this town is fine. The ocean is close, and the way the wind blows isn't bad either.""")</f>
        <v>"I think this town is fine. The ocean is close, and the way the wind blows isn't bad either."</v>
      </c>
      <c r="O137" s="27"/>
      <c r="P137" s="27"/>
      <c r="Q137" s="27"/>
      <c r="R137" s="27"/>
      <c r="S137" s="27"/>
      <c r="T137" s="27"/>
      <c r="U137" s="27"/>
      <c r="V137" s="27"/>
      <c r="W137" s="27"/>
      <c r="X137" s="27"/>
      <c r="Y137" s="27"/>
      <c r="Z137" s="27"/>
    </row>
    <row r="138">
      <c r="A138" s="29" t="str">
        <f>IFERROR(__xludf.DUMMYFUNCTION("""COMPUTED_VALUE"""),"E-116")</f>
        <v>E-116</v>
      </c>
      <c r="B138" s="27" t="str">
        <f>IFERROR(__xludf.DUMMYFUNCTION("""COMPUTED_VALUE"""),"Event")</f>
        <v>Event</v>
      </c>
      <c r="C138" s="27" t="str">
        <f>IFERROR(__xludf.DUMMYFUNCTION("""COMPUTED_VALUE"""),"Secret Base")</f>
        <v>Secret Base</v>
      </c>
      <c r="D138" s="27" t="str">
        <f>IFERROR(__xludf.DUMMYFUNCTION("""COMPUTED_VALUE"""),"-")</f>
        <v>-</v>
      </c>
      <c r="E138" s="27">
        <f>IFERROR(__xludf.DUMMYFUNCTION("""COMPUTED_VALUE"""),1.0)</f>
        <v>1</v>
      </c>
      <c r="F138" s="27" t="str">
        <f>IFERROR(__xludf.DUMMYFUNCTION("""COMPUTED_VALUE"""),"D")</f>
        <v>D</v>
      </c>
      <c r="G138" s="27" t="str">
        <f>IFERROR(__xludf.DUMMYFUNCTION("""COMPUTED_VALUE"""),"None")</f>
        <v>None</v>
      </c>
      <c r="H138" s="27" t="str">
        <f>IFERROR(__xludf.DUMMYFUNCTION("""COMPUTED_VALUE"""),"-")</f>
        <v>-</v>
      </c>
      <c r="I138" s="28" t="str">
        <f>IFERROR(__xludf.DUMMYFUNCTION("""COMPUTED_VALUE"""),"This EVENT card can be played only when you are on the 11th page or lower of your Spell Book. [STAY] Your Spell Book and all of your MAMODO cards can neither receive Damage or Injury, nor can your MAMODO cards be sent to the Discard Pile by your opponent'"&amp;"s card effects, during this turn.")</f>
        <v>This EVENT card can be played only when you are on the 11th page or lower of your Spell Book. [STAY] Your Spell Book and all of your MAMODO cards can neither receive Damage or Injury, nor can your MAMODO cards be sent to the Discard Pile by your opponent's card effects, during this turn.</v>
      </c>
      <c r="J138" s="27" t="str">
        <f>IFERROR(__xludf.DUMMYFUNCTION("""COMPUTED_VALUE"""),"-")</f>
        <v>-</v>
      </c>
      <c r="K138" s="27" t="str">
        <f>IFERROR(__xludf.DUMMYFUNCTION("""COMPUTED_VALUE"""),"-")</f>
        <v>-</v>
      </c>
      <c r="L138" s="27" t="str">
        <f>IFERROR(__xludf.DUMMYFUNCTION("""COMPUTED_VALUE"""),"-")</f>
        <v>-</v>
      </c>
      <c r="M138" s="27" t="str">
        <f>IFERROR(__xludf.DUMMYFUNCTION("""COMPUTED_VALUE"""),"[C]")</f>
        <v>[C]</v>
      </c>
      <c r="N138" s="27" t="str">
        <f>IFERROR(__xludf.DUMMYFUNCTION("""COMPUTED_VALUE"""),"""Who are you?! You've walked in on my secret base!""")</f>
        <v>"Who are you?! You've walked in on my secret base!"</v>
      </c>
      <c r="O138" s="27"/>
      <c r="P138" s="27"/>
      <c r="Q138" s="27"/>
      <c r="R138" s="27"/>
      <c r="S138" s="27"/>
      <c r="T138" s="27"/>
      <c r="U138" s="27"/>
      <c r="V138" s="27"/>
      <c r="W138" s="27"/>
      <c r="X138" s="27"/>
      <c r="Y138" s="27"/>
      <c r="Z138" s="27"/>
    </row>
    <row r="139">
      <c r="A139" s="29" t="str">
        <f>IFERROR(__xludf.DUMMYFUNCTION("""COMPUTED_VALUE"""),"E-117")</f>
        <v>E-117</v>
      </c>
      <c r="B139" s="27" t="str">
        <f>IFERROR(__xludf.DUMMYFUNCTION("""COMPUTED_VALUE"""),"Event")</f>
        <v>Event</v>
      </c>
      <c r="C139" s="27" t="str">
        <f>IFERROR(__xludf.DUMMYFUNCTION("""COMPUTED_VALUE"""),"Strategic Retreat!")</f>
        <v>Strategic Retreat!</v>
      </c>
      <c r="D139" s="27" t="str">
        <f>IFERROR(__xludf.DUMMYFUNCTION("""COMPUTED_VALUE"""),"-")</f>
        <v>-</v>
      </c>
      <c r="E139" s="27">
        <f>IFERROR(__xludf.DUMMYFUNCTION("""COMPUTED_VALUE"""),2.0)</f>
        <v>2</v>
      </c>
      <c r="F139" s="27" t="str">
        <f>IFERROR(__xludf.DUMMYFUNCTION("""COMPUTED_VALUE"""),"A")</f>
        <v>A</v>
      </c>
      <c r="G139" s="27" t="str">
        <f>IFERROR(__xludf.DUMMYFUNCTION("""COMPUTED_VALUE"""),"None")</f>
        <v>None</v>
      </c>
      <c r="H139" s="27" t="str">
        <f>IFERROR(__xludf.DUMMYFUNCTION("""COMPUTED_VALUE"""),"-")</f>
        <v>-</v>
      </c>
      <c r="I139" s="28" t="str">
        <f>IFERROR(__xludf.DUMMYFUNCTION("""COMPUTED_VALUE"""),"Move as many of your in-play cards as you desire to any of the empty pages of your Spell Book.")</f>
        <v>Move as many of your in-play cards as you desire to any of the empty pages of your Spell Book.</v>
      </c>
      <c r="J139" s="27" t="str">
        <f>IFERROR(__xludf.DUMMYFUNCTION("""COMPUTED_VALUE"""),"-")</f>
        <v>-</v>
      </c>
      <c r="K139" s="27" t="str">
        <f>IFERROR(__xludf.DUMMYFUNCTION("""COMPUTED_VALUE"""),"-")</f>
        <v>-</v>
      </c>
      <c r="L139" s="27" t="str">
        <f>IFERROR(__xludf.DUMMYFUNCTION("""COMPUTED_VALUE"""),"-")</f>
        <v>-</v>
      </c>
      <c r="M139" s="27" t="str">
        <f>IFERROR(__xludf.DUMMYFUNCTION("""COMPUTED_VALUE"""),"[U]")</f>
        <v>[U]</v>
      </c>
      <c r="N139" s="27" t="str">
        <f>IFERROR(__xludf.DUMMYFUNCTION("""COMPUTED_VALUE"""),"""We'll withdraw, Arth. Drop your sword.""")</f>
        <v>"We'll withdraw, Arth. Drop your sword."</v>
      </c>
      <c r="O139" s="27"/>
      <c r="P139" s="27"/>
      <c r="Q139" s="27"/>
      <c r="R139" s="27"/>
      <c r="S139" s="27"/>
      <c r="T139" s="27"/>
      <c r="U139" s="27"/>
      <c r="V139" s="27"/>
      <c r="W139" s="27"/>
      <c r="X139" s="27"/>
      <c r="Y139" s="27"/>
      <c r="Z139" s="27"/>
    </row>
    <row r="140">
      <c r="A140" s="29" t="str">
        <f>IFERROR(__xludf.DUMMYFUNCTION("""COMPUTED_VALUE"""),"E-118")</f>
        <v>E-118</v>
      </c>
      <c r="B140" s="27" t="str">
        <f>IFERROR(__xludf.DUMMYFUNCTION("""COMPUTED_VALUE"""),"Event")</f>
        <v>Event</v>
      </c>
      <c r="C140" s="27" t="str">
        <f>IFERROR(__xludf.DUMMYFUNCTION("""COMPUTED_VALUE"""),"The Two Menaces")</f>
        <v>The Two Menaces</v>
      </c>
      <c r="D140" s="27" t="str">
        <f>IFERROR(__xludf.DUMMYFUNCTION("""COMPUTED_VALUE"""),"-")</f>
        <v>-</v>
      </c>
      <c r="E140" s="27">
        <f>IFERROR(__xludf.DUMMYFUNCTION("""COMPUTED_VALUE"""),5.0)</f>
        <v>5</v>
      </c>
      <c r="F140" s="27" t="str">
        <f>IFERROR(__xludf.DUMMYFUNCTION("""COMPUTED_VALUE"""),"A")</f>
        <v>A</v>
      </c>
      <c r="G140" s="27" t="str">
        <f>IFERROR(__xludf.DUMMYFUNCTION("""COMPUTED_VALUE"""),"Intermediate")</f>
        <v>Intermediate</v>
      </c>
      <c r="H140" s="27" t="str">
        <f>IFERROR(__xludf.DUMMYFUNCTION("""COMPUTED_VALUE"""),"-")</f>
        <v>-</v>
      </c>
      <c r="I140" s="28" t="str">
        <f>IFERROR(__xludf.DUMMYFUNCTION("""COMPUTED_VALUE"""),"Look at your opponent's Spell Book. Select 1 SPELL and 1 EVENT card from any of the pages (except the currently open pages) and send them to the Discard Pile.")</f>
        <v>Look at your opponent's Spell Book. Select 1 SPELL and 1 EVENT card from any of the pages (except the currently open pages) and send them to the Discard Pile.</v>
      </c>
      <c r="J140" s="27" t="str">
        <f>IFERROR(__xludf.DUMMYFUNCTION("""COMPUTED_VALUE"""),"-")</f>
        <v>-</v>
      </c>
      <c r="K140" s="27" t="str">
        <f>IFERROR(__xludf.DUMMYFUNCTION("""COMPUTED_VALUE"""),"-")</f>
        <v>-</v>
      </c>
      <c r="L140" s="27" t="str">
        <f>IFERROR(__xludf.DUMMYFUNCTION("""COMPUTED_VALUE"""),"-")</f>
        <v>-</v>
      </c>
      <c r="M140" s="27" t="str">
        <f>IFERROR(__xludf.DUMMYFUNCTION("""COMPUTED_VALUE"""),"[U]")</f>
        <v>[U]</v>
      </c>
      <c r="N140" s="27" t="str">
        <f>IFERROR(__xludf.DUMMYFUNCTION("""COMPUTED_VALUE"""),"One is Bao, and the other is Faudo. What are the two threats?")</f>
        <v>One is Bao, and the other is Faudo. What are the two threats?</v>
      </c>
      <c r="O140" s="27"/>
      <c r="P140" s="27"/>
      <c r="Q140" s="27"/>
      <c r="R140" s="27"/>
      <c r="S140" s="27"/>
      <c r="T140" s="27"/>
      <c r="U140" s="27"/>
      <c r="V140" s="27"/>
      <c r="W140" s="27"/>
      <c r="X140" s="27"/>
      <c r="Y140" s="27"/>
      <c r="Z140" s="27"/>
    </row>
    <row r="141">
      <c r="A141" s="29" t="str">
        <f>IFERROR(__xludf.DUMMYFUNCTION("""COMPUTED_VALUE"""),"E-119")</f>
        <v>E-119</v>
      </c>
      <c r="B141" s="27" t="str">
        <f>IFERROR(__xludf.DUMMYFUNCTION("""COMPUTED_VALUE"""),"Event")</f>
        <v>Event</v>
      </c>
      <c r="C141" s="27" t="str">
        <f>IFERROR(__xludf.DUMMYFUNCTION("""COMPUTED_VALUE"""),"Promise to Become the King")</f>
        <v>Promise to Become the King</v>
      </c>
      <c r="D141" s="27" t="str">
        <f>IFERROR(__xludf.DUMMYFUNCTION("""COMPUTED_VALUE"""),"-")</f>
        <v>-</v>
      </c>
      <c r="E141" s="27">
        <f>IFERROR(__xludf.DUMMYFUNCTION("""COMPUTED_VALUE"""),2.0)</f>
        <v>2</v>
      </c>
      <c r="F141" s="27" t="str">
        <f>IFERROR(__xludf.DUMMYFUNCTION("""COMPUTED_VALUE"""),"AD")</f>
        <v>AD</v>
      </c>
      <c r="G141" s="27" t="str">
        <f>IFERROR(__xludf.DUMMYFUNCTION("""COMPUTED_VALUE"""),"Intermediate")</f>
        <v>Intermediate</v>
      </c>
      <c r="H141" s="27" t="str">
        <f>IFERROR(__xludf.DUMMYFUNCTION("""COMPUTED_VALUE"""),"-")</f>
        <v>-</v>
      </c>
      <c r="I141" s="28" t="str">
        <f>IFERROR(__xludf.DUMMYFUNCTION("""COMPUTED_VALUE"""),"[STANDBY] Select 3 of your in-play MAMODO cards. After applying this effect, if you have only 1 MAMODO card in play at any time during the game, and it is one of the 3 selected MAMODO cards, turn 2 pages of your opponent's Spell Book (this effect cannot b"&amp;"e duplicated).")</f>
        <v>[STANDBY] Select 3 of your in-play MAMODO cards. After applying this effect, if you have only 1 MAMODO card in play at any time during the game, and it is one of the 3 selected MAMODO cards, turn 2 pages of your opponent's Spell Book (this effect cannot be duplicated).</v>
      </c>
      <c r="J141" s="27" t="str">
        <f>IFERROR(__xludf.DUMMYFUNCTION("""COMPUTED_VALUE"""),"-")</f>
        <v>-</v>
      </c>
      <c r="K141" s="27" t="str">
        <f>IFERROR(__xludf.DUMMYFUNCTION("""COMPUTED_VALUE"""),"-")</f>
        <v>-</v>
      </c>
      <c r="L141" s="27" t="str">
        <f>IFERROR(__xludf.DUMMYFUNCTION("""COMPUTED_VALUE"""),"-")</f>
        <v>-</v>
      </c>
      <c r="M141" s="27" t="str">
        <f>IFERROR(__xludf.DUMMYFUNCTION("""COMPUTED_VALUE"""),"[SR]")</f>
        <v>[SR]</v>
      </c>
      <c r="N141" s="27" t="str">
        <f>IFERROR(__xludf.DUMMYFUNCTION("""COMPUTED_VALUE"""),"""One of you standing here... will surely become the king of the mamodo world!""")</f>
        <v>"One of you standing here... will surely become the king of the mamodo world!"</v>
      </c>
      <c r="O141" s="27"/>
      <c r="P141" s="27"/>
      <c r="Q141" s="27"/>
      <c r="R141" s="27"/>
      <c r="S141" s="27"/>
      <c r="T141" s="27"/>
      <c r="U141" s="27"/>
      <c r="V141" s="27"/>
      <c r="W141" s="27"/>
      <c r="X141" s="27"/>
      <c r="Y141" s="27"/>
      <c r="Z141" s="27"/>
    </row>
    <row r="142">
      <c r="A142" s="29" t="str">
        <f>IFERROR(__xludf.DUMMYFUNCTION("""COMPUTED_VALUE"""),"E-120")</f>
        <v>E-120</v>
      </c>
      <c r="B142" s="27" t="str">
        <f>IFERROR(__xludf.DUMMYFUNCTION("""COMPUTED_VALUE"""),"Event")</f>
        <v>Event</v>
      </c>
      <c r="C142" s="27" t="str">
        <f>IFERROR(__xludf.DUMMYFUNCTION("""COMPUTED_VALUE"""),"Volcan VS Volunlun")</f>
        <v>Volcan VS Volunlun</v>
      </c>
      <c r="D142" s="27" t="str">
        <f>IFERROR(__xludf.DUMMYFUNCTION("""COMPUTED_VALUE"""),"-")</f>
        <v>-</v>
      </c>
      <c r="E142" s="27">
        <f>IFERROR(__xludf.DUMMYFUNCTION("""COMPUTED_VALUE"""),2.0)</f>
        <v>2</v>
      </c>
      <c r="F142" s="27" t="str">
        <f>IFERROR(__xludf.DUMMYFUNCTION("""COMPUTED_VALUE"""),"AD")</f>
        <v>AD</v>
      </c>
      <c r="G142" s="27" t="str">
        <f>IFERROR(__xludf.DUMMYFUNCTION("""COMPUTED_VALUE"""),"None")</f>
        <v>None</v>
      </c>
      <c r="H142" s="27" t="str">
        <f>IFERROR(__xludf.DUMMYFUNCTION("""COMPUTED_VALUE"""),"-")</f>
        <v>-</v>
      </c>
      <c r="I142" s="28" t="str">
        <f>IFERROR(__xludf.DUMMYFUNCTION("""COMPUTED_VALUE"""),"Apply both of the following effects in order: ● Negate all [Stay] and [Standby] effects that prohibit either player from playing SPELL cards, applying MAMODO card effects, and SACRIFICING or PROTECTING their Spell Book from Damage. ● [STAY] Add 3000 Power"&amp;" to all of your in-play MAMODO during this turn.")</f>
        <v>Apply both of the following effects in order: ● Negate all [Stay] and [Standby] effects that prohibit either player from playing SPELL cards, applying MAMODO card effects, and SACRIFICING or PROTECTING their Spell Book from Damage. ● [STAY] Add 3000 Power to all of your in-play MAMODO during this turn.</v>
      </c>
      <c r="J142" s="27" t="str">
        <f>IFERROR(__xludf.DUMMYFUNCTION("""COMPUTED_VALUE"""),"-")</f>
        <v>-</v>
      </c>
      <c r="K142" s="27" t="str">
        <f>IFERROR(__xludf.DUMMYFUNCTION("""COMPUTED_VALUE"""),"-")</f>
        <v>-</v>
      </c>
      <c r="L142" s="27" t="str">
        <f>IFERROR(__xludf.DUMMYFUNCTION("""COMPUTED_VALUE"""),"-")</f>
        <v>-</v>
      </c>
      <c r="M142" s="27" t="str">
        <f>IFERROR(__xludf.DUMMYFUNCTION("""COMPUTED_VALUE"""),"[R]")</f>
        <v>[R]</v>
      </c>
      <c r="N142" s="27" t="str">
        <f>IFERROR(__xludf.DUMMYFUNCTION("""COMPUTED_VALUE"""),"Volcan 300 and Volunlun. It's boys versus girls in the ultimate showdown!")</f>
        <v>Volcan 300 and Volunlun. It's boys versus girls in the ultimate showdown!</v>
      </c>
      <c r="O142" s="27"/>
      <c r="P142" s="27"/>
      <c r="Q142" s="27"/>
      <c r="R142" s="27"/>
      <c r="S142" s="27"/>
      <c r="T142" s="27"/>
      <c r="U142" s="27"/>
      <c r="V142" s="27"/>
      <c r="W142" s="27"/>
      <c r="X142" s="27"/>
      <c r="Y142" s="27"/>
      <c r="Z142" s="27"/>
    </row>
    <row r="143">
      <c r="A143" s="29" t="str">
        <f>IFERROR(__xludf.DUMMYFUNCTION("""COMPUTED_VALUE"""),"E-121")</f>
        <v>E-121</v>
      </c>
      <c r="B143" s="27" t="str">
        <f>IFERROR(__xludf.DUMMYFUNCTION("""COMPUTED_VALUE"""),"Event")</f>
        <v>Event</v>
      </c>
      <c r="C143" s="27" t="str">
        <f>IFERROR(__xludf.DUMMYFUNCTION("""COMPUTED_VALUE"""),"Ponygon's Mama")</f>
        <v>Ponygon's Mama</v>
      </c>
      <c r="D143" s="27" t="str">
        <f>IFERROR(__xludf.DUMMYFUNCTION("""COMPUTED_VALUE"""),"-")</f>
        <v>-</v>
      </c>
      <c r="E143" s="27">
        <f>IFERROR(__xludf.DUMMYFUNCTION("""COMPUTED_VALUE"""),0.0)</f>
        <v>0</v>
      </c>
      <c r="F143" s="27" t="str">
        <f>IFERROR(__xludf.DUMMYFUNCTION("""COMPUTED_VALUE"""),"AD")</f>
        <v>AD</v>
      </c>
      <c r="G143" s="27" t="str">
        <f>IFERROR(__xludf.DUMMYFUNCTION("""COMPUTED_VALUE"""),"None")</f>
        <v>None</v>
      </c>
      <c r="H143" s="27" t="str">
        <f>IFERROR(__xludf.DUMMYFUNCTION("""COMPUTED_VALUE"""),"-")</f>
        <v>-</v>
      </c>
      <c r="I143" s="28" t="str">
        <f>IFERROR(__xludf.DUMMYFUNCTION("""COMPUTED_VALUE"""),"[STAY] Any cards you have in play and in your Spell Book with the card name ""Ponygon"" cannot be sent to the Discard Pile by card effects during this game. ● Cards named Ponygon with parentheses ""()"" are named ""Ponygon"". ● In-play Dual and VS MAMODO "&amp;"cards with Ponygon in the card name are considered to be named ""Ponygon"". ● Dual and VS MAMODO cards in your Spell Book with Ponygon in the card name are not considered to be named ""Ponygon"".")</f>
        <v>[STAY] Any cards you have in play and in your Spell Book with the card name "Ponygon" cannot be sent to the Discard Pile by card effects during this game. ● Cards named Ponygon with parentheses "()" are named "Ponygon". ● In-play Dual and VS MAMODO cards with Ponygon in the card name are considered to be named "Ponygon". ● Dual and VS MAMODO cards in your Spell Book with Ponygon in the card name are not considered to be named "Ponygon".</v>
      </c>
      <c r="J143" s="27" t="str">
        <f>IFERROR(__xludf.DUMMYFUNCTION("""COMPUTED_VALUE"""),"-")</f>
        <v>-</v>
      </c>
      <c r="K143" s="27" t="str">
        <f>IFERROR(__xludf.DUMMYFUNCTION("""COMPUTED_VALUE"""),"-")</f>
        <v>-</v>
      </c>
      <c r="L143" s="27" t="str">
        <f>IFERROR(__xludf.DUMMYFUNCTION("""COMPUTED_VALUE"""),"-")</f>
        <v>-</v>
      </c>
      <c r="M143" s="27" t="str">
        <f>IFERROR(__xludf.DUMMYFUNCTION("""COMPUTED_VALUE"""),"[R]")</f>
        <v>[R]</v>
      </c>
      <c r="N143" s="27" t="str">
        <f>IFERROR(__xludf.DUMMYFUNCTION("""COMPUTED_VALUE"""),"“Schneider, are you still worried about who the owner of your book is going to be?”")</f>
        <v>“Schneider, are you still worried about who the owner of your book is going to be?”</v>
      </c>
      <c r="O143" s="27"/>
      <c r="P143" s="27"/>
      <c r="Q143" s="27"/>
      <c r="R143" s="27"/>
      <c r="S143" s="27"/>
      <c r="T143" s="27"/>
      <c r="U143" s="27"/>
      <c r="V143" s="27"/>
      <c r="W143" s="27"/>
      <c r="X143" s="27"/>
      <c r="Y143" s="27"/>
      <c r="Z143" s="27"/>
    </row>
    <row r="144">
      <c r="A144" s="29" t="str">
        <f>IFERROR(__xludf.DUMMYFUNCTION("""COMPUTED_VALUE"""),"E-122")</f>
        <v>E-122</v>
      </c>
      <c r="B144" s="27" t="str">
        <f>IFERROR(__xludf.DUMMYFUNCTION("""COMPUTED_VALUE"""),"Event")</f>
        <v>Event</v>
      </c>
      <c r="C144" s="27" t="str">
        <f>IFERROR(__xludf.DUMMYFUNCTION("""COMPUTED_VALUE"""),"Follow the Light")</f>
        <v>Follow the Light</v>
      </c>
      <c r="D144" s="27" t="str">
        <f>IFERROR(__xludf.DUMMYFUNCTION("""COMPUTED_VALUE"""),"-")</f>
        <v>-</v>
      </c>
      <c r="E144" s="27">
        <f>IFERROR(__xludf.DUMMYFUNCTION("""COMPUTED_VALUE"""),1.0)</f>
        <v>1</v>
      </c>
      <c r="F144" s="27" t="str">
        <f>IFERROR(__xludf.DUMMYFUNCTION("""COMPUTED_VALUE"""),"AD")</f>
        <v>AD</v>
      </c>
      <c r="G144" s="27" t="str">
        <f>IFERROR(__xludf.DUMMYFUNCTION("""COMPUTED_VALUE"""),"None")</f>
        <v>None</v>
      </c>
      <c r="H144" s="27" t="str">
        <f>IFERROR(__xludf.DUMMYFUNCTION("""COMPUTED_VALUE"""),"-")</f>
        <v>-</v>
      </c>
      <c r="I144" s="28" t="str">
        <f>IFERROR(__xludf.DUMMYFUNCTION("""COMPUTED_VALUE"""),"[STAY] Select 1 of your in-play MAMODO cards with a PARTNER card attached. SPELL cards can be played for the selected MAMODO, and the effects of the selected MAMODO and attached PARTNER can be applied, even when you are prohibited to do so, until the END "&amp;"PHASE of the next turn.")</f>
        <v>[STAY] Select 1 of your in-play MAMODO cards with a PARTNER card attached. SPELL cards can be played for the selected MAMODO, and the effects of the selected MAMODO and attached PARTNER can be applied, even when you are prohibited to do so, until the END PHASE of the next turn.</v>
      </c>
      <c r="J144" s="27" t="str">
        <f>IFERROR(__xludf.DUMMYFUNCTION("""COMPUTED_VALUE"""),"-")</f>
        <v>-</v>
      </c>
      <c r="K144" s="27" t="str">
        <f>IFERROR(__xludf.DUMMYFUNCTION("""COMPUTED_VALUE"""),"-")</f>
        <v>-</v>
      </c>
      <c r="L144" s="27" t="str">
        <f>IFERROR(__xludf.DUMMYFUNCTION("""COMPUTED_VALUE"""),"-")</f>
        <v>-</v>
      </c>
      <c r="M144" s="27" t="str">
        <f>IFERROR(__xludf.DUMMYFUNCTION("""COMPUTED_VALUE"""),"[SR]")</f>
        <v>[SR]</v>
      </c>
      <c r="N144" s="27" t="str">
        <f>IFERROR(__xludf.DUMMYFUNCTION("""COMPUTED_VALUE"""),"""Follow the light, and it will guide us through the night~ Believe in me as I believe in you~""")</f>
        <v>"Follow the light, and it will guide us through the night~ Believe in me as I believe in you~"</v>
      </c>
      <c r="O144" s="27"/>
      <c r="P144" s="27"/>
      <c r="Q144" s="27"/>
      <c r="R144" s="27"/>
      <c r="S144" s="27"/>
      <c r="T144" s="27"/>
      <c r="U144" s="27"/>
      <c r="V144" s="27"/>
      <c r="W144" s="27"/>
      <c r="X144" s="27"/>
      <c r="Y144" s="27"/>
      <c r="Z144" s="27"/>
    </row>
    <row r="145">
      <c r="A145" s="29" t="str">
        <f>IFERROR(__xludf.DUMMYFUNCTION("""COMPUTED_VALUE"""),"E-123")</f>
        <v>E-123</v>
      </c>
      <c r="B145" s="27" t="str">
        <f>IFERROR(__xludf.DUMMYFUNCTION("""COMPUTED_VALUE"""),"Event")</f>
        <v>Event</v>
      </c>
      <c r="C145" s="27" t="str">
        <f>IFERROR(__xludf.DUMMYFUNCTION("""COMPUTED_VALUE"""),"Suzy Mizuno")</f>
        <v>Suzy Mizuno</v>
      </c>
      <c r="D145" s="27" t="str">
        <f>IFERROR(__xludf.DUMMYFUNCTION("""COMPUTED_VALUE"""),"-")</f>
        <v>-</v>
      </c>
      <c r="E145" s="27">
        <f>IFERROR(__xludf.DUMMYFUNCTION("""COMPUTED_VALUE"""),1.0)</f>
        <v>1</v>
      </c>
      <c r="F145" s="27" t="str">
        <f>IFERROR(__xludf.DUMMYFUNCTION("""COMPUTED_VALUE"""),"AD")</f>
        <v>AD</v>
      </c>
      <c r="G145" s="27" t="str">
        <f>IFERROR(__xludf.DUMMYFUNCTION("""COMPUTED_VALUE"""),"None")</f>
        <v>None</v>
      </c>
      <c r="H145" s="27" t="str">
        <f>IFERROR(__xludf.DUMMYFUNCTION("""COMPUTED_VALUE"""),"-")</f>
        <v>-</v>
      </c>
      <c r="I145" s="28" t="str">
        <f>IFERROR(__xludf.DUMMYFUNCTION("""COMPUTED_VALUE"""),"[STAY] Your opponent can neither play SPELL or EVENT cards with a 0 MP cost, nor can they apply the effects of MAMODO cards with [Declare to use], during this turn.")</f>
        <v>[STAY] Your opponent can neither play SPELL or EVENT cards with a 0 MP cost, nor can they apply the effects of MAMODO cards with [Declare to use], during this turn.</v>
      </c>
      <c r="J145" s="27" t="str">
        <f>IFERROR(__xludf.DUMMYFUNCTION("""COMPUTED_VALUE"""),"-")</f>
        <v>-</v>
      </c>
      <c r="K145" s="27" t="str">
        <f>IFERROR(__xludf.DUMMYFUNCTION("""COMPUTED_VALUE"""),"-")</f>
        <v>-</v>
      </c>
      <c r="L145" s="27" t="str">
        <f>IFERROR(__xludf.DUMMYFUNCTION("""COMPUTED_VALUE"""),"-")</f>
        <v>-</v>
      </c>
      <c r="M145" s="27" t="str">
        <f>IFERROR(__xludf.DUMMYFUNCTION("""COMPUTED_VALUE"""),"[SR]")</f>
        <v>[SR]</v>
      </c>
      <c r="N145" s="27" t="str">
        <f>IFERROR(__xludf.DUMMYFUNCTION("""COMPUTED_VALUE"""),"“Whenever I find something perfectly round, it really puts me in the mood to draw on it!”")</f>
        <v>“Whenever I find something perfectly round, it really puts me in the mood to draw on it!”</v>
      </c>
      <c r="O145" s="27"/>
      <c r="P145" s="27"/>
      <c r="Q145" s="27"/>
      <c r="R145" s="27"/>
      <c r="S145" s="27"/>
      <c r="T145" s="27"/>
      <c r="U145" s="27"/>
      <c r="V145" s="27"/>
      <c r="W145" s="27"/>
      <c r="X145" s="27"/>
      <c r="Y145" s="27"/>
      <c r="Z145" s="27"/>
    </row>
    <row r="146">
      <c r="A146" s="29" t="str">
        <f>IFERROR(__xludf.DUMMYFUNCTION("""COMPUTED_VALUE"""),"E-124")</f>
        <v>E-124</v>
      </c>
      <c r="B146" s="27" t="str">
        <f>IFERROR(__xludf.DUMMYFUNCTION("""COMPUTED_VALUE"""),"Event")</f>
        <v>Event</v>
      </c>
      <c r="C146" s="27" t="str">
        <f>IFERROR(__xludf.DUMMYFUNCTION("""COMPUTED_VALUE"""),"Chain Reaction")</f>
        <v>Chain Reaction</v>
      </c>
      <c r="D146" s="27" t="str">
        <f>IFERROR(__xludf.DUMMYFUNCTION("""COMPUTED_VALUE"""),"-")</f>
        <v>-</v>
      </c>
      <c r="E146" s="27">
        <f>IFERROR(__xludf.DUMMYFUNCTION("""COMPUTED_VALUE"""),2.0)</f>
        <v>2</v>
      </c>
      <c r="F146" s="27" t="str">
        <f>IFERROR(__xludf.DUMMYFUNCTION("""COMPUTED_VALUE"""),"A")</f>
        <v>A</v>
      </c>
      <c r="G146" s="27" t="str">
        <f>IFERROR(__xludf.DUMMYFUNCTION("""COMPUTED_VALUE"""),"None")</f>
        <v>None</v>
      </c>
      <c r="H146" s="27" t="str">
        <f>IFERROR(__xludf.DUMMYFUNCTION("""COMPUTED_VALUE"""),"-")</f>
        <v>-</v>
      </c>
      <c r="I146" s="28" t="str">
        <f>IFERROR(__xludf.DUMMYFUNCTION("""COMPUTED_VALUE"""),"This EVENT card can be played only when you have already played a SPELL card during this turn. If there are 2 SPELL cards in the pages immediately following your currently open pages, turn 1 page of your Spell Book.")</f>
        <v>This EVENT card can be played only when you have already played a SPELL card during this turn. If there are 2 SPELL cards in the pages immediately following your currently open pages, turn 1 page of your Spell Book.</v>
      </c>
      <c r="J146" s="27" t="str">
        <f>IFERROR(__xludf.DUMMYFUNCTION("""COMPUTED_VALUE"""),"-")</f>
        <v>-</v>
      </c>
      <c r="K146" s="27" t="str">
        <f>IFERROR(__xludf.DUMMYFUNCTION("""COMPUTED_VALUE"""),"-")</f>
        <v>-</v>
      </c>
      <c r="L146" s="27" t="str">
        <f>IFERROR(__xludf.DUMMYFUNCTION("""COMPUTED_VALUE"""),"-")</f>
        <v>-</v>
      </c>
      <c r="M146" s="27" t="str">
        <f>IFERROR(__xludf.DUMMYFUNCTION("""COMPUTED_VALUE"""),"[U]")</f>
        <v>[U]</v>
      </c>
      <c r="N146" s="27" t="str">
        <f>IFERROR(__xludf.DUMMYFUNCTION("""COMPUTED_VALUE"""),"""You've noticed, huh? But it's too late now! We've already set up the chain reaction!""")</f>
        <v>"You've noticed, huh? But it's too late now! We've already set up the chain reaction!"</v>
      </c>
      <c r="O146" s="27"/>
      <c r="P146" s="27"/>
      <c r="Q146" s="27"/>
      <c r="R146" s="27"/>
      <c r="S146" s="27"/>
      <c r="T146" s="27"/>
      <c r="U146" s="27"/>
      <c r="V146" s="27"/>
      <c r="W146" s="27"/>
      <c r="X146" s="27"/>
      <c r="Y146" s="27"/>
      <c r="Z146" s="27"/>
    </row>
    <row r="147">
      <c r="A147" s="29" t="str">
        <f>IFERROR(__xludf.DUMMYFUNCTION("""COMPUTED_VALUE"""),"E-125")</f>
        <v>E-125</v>
      </c>
      <c r="B147" s="27" t="str">
        <f>IFERROR(__xludf.DUMMYFUNCTION("""COMPUTED_VALUE"""),"Event")</f>
        <v>Event</v>
      </c>
      <c r="C147" s="27" t="str">
        <f>IFERROR(__xludf.DUMMYFUNCTION("""COMPUTED_VALUE"""),"Fight With Your Heart")</f>
        <v>Fight With Your Heart</v>
      </c>
      <c r="D147" s="27" t="str">
        <f>IFERROR(__xludf.DUMMYFUNCTION("""COMPUTED_VALUE"""),"-")</f>
        <v>-</v>
      </c>
      <c r="E147" s="27">
        <f>IFERROR(__xludf.DUMMYFUNCTION("""COMPUTED_VALUE"""),0.0)</f>
        <v>0</v>
      </c>
      <c r="F147" s="27" t="str">
        <f>IFERROR(__xludf.DUMMYFUNCTION("""COMPUTED_VALUE"""),"A")</f>
        <v>A</v>
      </c>
      <c r="G147" s="27" t="str">
        <f>IFERROR(__xludf.DUMMYFUNCTION("""COMPUTED_VALUE"""),"None")</f>
        <v>None</v>
      </c>
      <c r="H147" s="27" t="str">
        <f>IFERROR(__xludf.DUMMYFUNCTION("""COMPUTED_VALUE"""),"-")</f>
        <v>-</v>
      </c>
      <c r="I147" s="28" t="str">
        <f>IFERROR(__xludf.DUMMYFUNCTION("""COMPUTED_VALUE"""),"[STAY] Both players can only apply the effects of MAMODO cards once per turn (per player) during this game (except effects with [In Play]).")</f>
        <v>[STAY] Both players can only apply the effects of MAMODO cards once per turn (per player) during this game (except effects with [In Play]).</v>
      </c>
      <c r="J147" s="27" t="str">
        <f>IFERROR(__xludf.DUMMYFUNCTION("""COMPUTED_VALUE"""),"-")</f>
        <v>-</v>
      </c>
      <c r="K147" s="27" t="str">
        <f>IFERROR(__xludf.DUMMYFUNCTION("""COMPUTED_VALUE"""),"-")</f>
        <v>-</v>
      </c>
      <c r="L147" s="27" t="str">
        <f>IFERROR(__xludf.DUMMYFUNCTION("""COMPUTED_VALUE"""),"-")</f>
        <v>-</v>
      </c>
      <c r="M147" s="27" t="str">
        <f>IFERROR(__xludf.DUMMYFUNCTION("""COMPUTED_VALUE"""),"[C]")</f>
        <v>[C]</v>
      </c>
      <c r="N147" s="27" t="str">
        <f>IFERROR(__xludf.DUMMYFUNCTION("""COMPUTED_VALUE"""),"""Our battles aren't about technique... it's about what's in here.""")</f>
        <v>"Our battles aren't about technique... it's about what's in here."</v>
      </c>
      <c r="O147" s="27"/>
      <c r="P147" s="27"/>
      <c r="Q147" s="27"/>
      <c r="R147" s="27"/>
      <c r="S147" s="27"/>
      <c r="T147" s="27"/>
      <c r="U147" s="27"/>
      <c r="V147" s="27"/>
      <c r="W147" s="27"/>
      <c r="X147" s="27"/>
      <c r="Y147" s="27"/>
      <c r="Z147" s="27"/>
    </row>
    <row r="148">
      <c r="A148" s="29" t="str">
        <f>IFERROR(__xludf.DUMMYFUNCTION("""COMPUTED_VALUE"""),"E-126")</f>
        <v>E-126</v>
      </c>
      <c r="B148" s="27" t="str">
        <f>IFERROR(__xludf.DUMMYFUNCTION("""COMPUTED_VALUE"""),"Event")</f>
        <v>Event</v>
      </c>
      <c r="C148" s="27" t="str">
        <f>IFERROR(__xludf.DUMMYFUNCTION("""COMPUTED_VALUE"""),"Just Don't Call Me ""Susie""")</f>
        <v>Just Don't Call Me "Susie"</v>
      </c>
      <c r="D148" s="27" t="str">
        <f>IFERROR(__xludf.DUMMYFUNCTION("""COMPUTED_VALUE"""),"-")</f>
        <v>-</v>
      </c>
      <c r="E148" s="27">
        <f>IFERROR(__xludf.DUMMYFUNCTION("""COMPUTED_VALUE"""),3.0)</f>
        <v>3</v>
      </c>
      <c r="F148" s="27" t="str">
        <f>IFERROR(__xludf.DUMMYFUNCTION("""COMPUTED_VALUE"""),"AD")</f>
        <v>AD</v>
      </c>
      <c r="G148" s="27" t="str">
        <f>IFERROR(__xludf.DUMMYFUNCTION("""COMPUTED_VALUE"""),"None")</f>
        <v>None</v>
      </c>
      <c r="H148" s="27" t="str">
        <f>IFERROR(__xludf.DUMMYFUNCTION("""COMPUTED_VALUE"""),"-")</f>
        <v>-</v>
      </c>
      <c r="I148" s="28" t="str">
        <f>IFERROR(__xludf.DUMMYFUNCTION("""COMPUTED_VALUE"""),"You can play up to 2 EVENT cards during the next turn. This effect is [STANDBY] until the START PHASE of the next turn, and [STAY] during the next turn.")</f>
        <v>You can play up to 2 EVENT cards during the next turn. This effect is [STANDBY] until the START PHASE of the next turn, and [STAY] during the next turn.</v>
      </c>
      <c r="J148" s="27" t="str">
        <f>IFERROR(__xludf.DUMMYFUNCTION("""COMPUTED_VALUE"""),"-")</f>
        <v>-</v>
      </c>
      <c r="K148" s="27" t="str">
        <f>IFERROR(__xludf.DUMMYFUNCTION("""COMPUTED_VALUE"""),"-")</f>
        <v>-</v>
      </c>
      <c r="L148" s="27" t="str">
        <f>IFERROR(__xludf.DUMMYFUNCTION("""COMPUTED_VALUE"""),"-")</f>
        <v>-</v>
      </c>
      <c r="M148" s="27" t="str">
        <f>IFERROR(__xludf.DUMMYFUNCTION("""COMPUTED_VALUE"""),"[SR]")</f>
        <v>[SR]</v>
      </c>
      <c r="N148" s="27" t="str">
        <f>IFERROR(__xludf.DUMMYFUNCTION("""COMPUTED_VALUE"""),"""My name's Lady Susan, and I'm here to stay... Just don't call me 'Susie', okay?""")</f>
        <v>"My name's Lady Susan, and I'm here to stay... Just don't call me 'Susie', okay?"</v>
      </c>
      <c r="O148" s="27"/>
      <c r="P148" s="27"/>
      <c r="Q148" s="27"/>
      <c r="R148" s="27"/>
      <c r="S148" s="27"/>
      <c r="T148" s="27"/>
      <c r="U148" s="27"/>
      <c r="V148" s="27"/>
      <c r="W148" s="27"/>
      <c r="X148" s="27"/>
      <c r="Y148" s="27"/>
      <c r="Z148" s="27"/>
    </row>
    <row r="149">
      <c r="A149" s="29" t="str">
        <f>IFERROR(__xludf.DUMMYFUNCTION("""COMPUTED_VALUE"""),"E-127")</f>
        <v>E-127</v>
      </c>
      <c r="B149" s="27" t="str">
        <f>IFERROR(__xludf.DUMMYFUNCTION("""COMPUTED_VALUE"""),"Event")</f>
        <v>Event</v>
      </c>
      <c r="C149" s="27" t="str">
        <f>IFERROR(__xludf.DUMMYFUNCTION("""COMPUTED_VALUE"""),"Mary Lou Nakamura")</f>
        <v>Mary Lou Nakamura</v>
      </c>
      <c r="D149" s="27" t="str">
        <f>IFERROR(__xludf.DUMMYFUNCTION("""COMPUTED_VALUE"""),"-")</f>
        <v>-</v>
      </c>
      <c r="E149" s="27">
        <f>IFERROR(__xludf.DUMMYFUNCTION("""COMPUTED_VALUE"""),0.0)</f>
        <v>0</v>
      </c>
      <c r="F149" s="27" t="str">
        <f>IFERROR(__xludf.DUMMYFUNCTION("""COMPUTED_VALUE"""),"AD")</f>
        <v>AD</v>
      </c>
      <c r="G149" s="27" t="str">
        <f>IFERROR(__xludf.DUMMYFUNCTION("""COMPUTED_VALUE"""),"None")</f>
        <v>None</v>
      </c>
      <c r="H149" s="27" t="str">
        <f>IFERROR(__xludf.DUMMYFUNCTION("""COMPUTED_VALUE"""),"-")</f>
        <v>-</v>
      </c>
      <c r="I149" s="28" t="str">
        <f>IFERROR(__xludf.DUMMYFUNCTION("""COMPUTED_VALUE"""),"[STAY] Your opponent cannot play cards or put cards in play from any pages of their Spell Book that are not the currently open pages during this turn. This EVENT card cannot be negated by a cut-in effect.")</f>
        <v>[STAY] Your opponent cannot play cards or put cards in play from any pages of their Spell Book that are not the currently open pages during this turn. This EVENT card cannot be negated by a cut-in effect.</v>
      </c>
      <c r="J149" s="27" t="str">
        <f>IFERROR(__xludf.DUMMYFUNCTION("""COMPUTED_VALUE"""),"-")</f>
        <v>-</v>
      </c>
      <c r="K149" s="27" t="str">
        <f>IFERROR(__xludf.DUMMYFUNCTION("""COMPUTED_VALUE"""),"-")</f>
        <v>-</v>
      </c>
      <c r="L149" s="27" t="str">
        <f>IFERROR(__xludf.DUMMYFUNCTION("""COMPUTED_VALUE"""),"-")</f>
        <v>-</v>
      </c>
      <c r="M149" s="27" t="str">
        <f>IFERROR(__xludf.DUMMYFUNCTION("""COMPUTED_VALUE"""),"[C]")</f>
        <v>[C]</v>
      </c>
      <c r="N149" s="27" t="str">
        <f>IFERROR(__xludf.DUMMYFUNCTION("""COMPUTED_VALUE"""),"""I even rented a figure skating uniform...""")</f>
        <v>"I even rented a figure skating uniform..."</v>
      </c>
      <c r="O149" s="27"/>
      <c r="P149" s="27"/>
      <c r="Q149" s="27"/>
      <c r="R149" s="27"/>
      <c r="S149" s="27"/>
      <c r="T149" s="27"/>
      <c r="U149" s="27"/>
      <c r="V149" s="27"/>
      <c r="W149" s="27"/>
      <c r="X149" s="27"/>
      <c r="Y149" s="27"/>
      <c r="Z149" s="27"/>
    </row>
    <row r="150">
      <c r="A150" s="29" t="str">
        <f>IFERROR(__xludf.DUMMYFUNCTION("""COMPUTED_VALUE"""),"E-128")</f>
        <v>E-128</v>
      </c>
      <c r="B150" s="27" t="str">
        <f>IFERROR(__xludf.DUMMYFUNCTION("""COMPUTED_VALUE"""),"Event")</f>
        <v>Event</v>
      </c>
      <c r="C150" s="27" t="str">
        <f>IFERROR(__xludf.DUMMYFUNCTION("""COMPUTED_VALUE"""),"Hiroshi Yamanaka")</f>
        <v>Hiroshi Yamanaka</v>
      </c>
      <c r="D150" s="27" t="str">
        <f>IFERROR(__xludf.DUMMYFUNCTION("""COMPUTED_VALUE"""),"-")</f>
        <v>-</v>
      </c>
      <c r="E150" s="27">
        <f>IFERROR(__xludf.DUMMYFUNCTION("""COMPUTED_VALUE"""),0.0)</f>
        <v>0</v>
      </c>
      <c r="F150" s="27" t="str">
        <f>IFERROR(__xludf.DUMMYFUNCTION("""COMPUTED_VALUE"""),"AD")</f>
        <v>AD</v>
      </c>
      <c r="G150" s="27" t="str">
        <f>IFERROR(__xludf.DUMMYFUNCTION("""COMPUTED_VALUE"""),"None")</f>
        <v>None</v>
      </c>
      <c r="H150" s="27" t="str">
        <f>IFERROR(__xludf.DUMMYFUNCTION("""COMPUTED_VALUE"""),"-")</f>
        <v>-</v>
      </c>
      <c r="I150" s="28" t="str">
        <f>IFERROR(__xludf.DUMMYFUNCTION("""COMPUTED_VALUE"""),"[STAY] Your opponent cannot apply card effects that would reduce or adjust your MP to 0 during this game.")</f>
        <v>[STAY] Your opponent cannot apply card effects that would reduce or adjust your MP to 0 during this game.</v>
      </c>
      <c r="J150" s="27" t="str">
        <f>IFERROR(__xludf.DUMMYFUNCTION("""COMPUTED_VALUE"""),"-")</f>
        <v>-</v>
      </c>
      <c r="K150" s="27" t="str">
        <f>IFERROR(__xludf.DUMMYFUNCTION("""COMPUTED_VALUE"""),"-")</f>
        <v>-</v>
      </c>
      <c r="L150" s="27" t="str">
        <f>IFERROR(__xludf.DUMMYFUNCTION("""COMPUTED_VALUE"""),"-")</f>
        <v>-</v>
      </c>
      <c r="M150" s="27" t="str">
        <f>IFERROR(__xludf.DUMMYFUNCTION("""COMPUTED_VALUE"""),"[C]")</f>
        <v>[C]</v>
      </c>
      <c r="N150" s="27" t="str">
        <f>IFERROR(__xludf.DUMMYFUNCTION("""COMPUTED_VALUE"""),"""My new secret weapon! I'm gonna keep throwing this pitch to you until my 'Flaming Vanishing Ball' is perfect.""")</f>
        <v>"My new secret weapon! I'm gonna keep throwing this pitch to you until my 'Flaming Vanishing Ball' is perfect."</v>
      </c>
      <c r="O150" s="27"/>
      <c r="P150" s="27"/>
      <c r="Q150" s="27"/>
      <c r="R150" s="27"/>
      <c r="S150" s="27"/>
      <c r="T150" s="27"/>
      <c r="U150" s="27"/>
      <c r="V150" s="27"/>
      <c r="W150" s="27"/>
      <c r="X150" s="27"/>
      <c r="Y150" s="27"/>
      <c r="Z150" s="27"/>
    </row>
    <row r="151">
      <c r="A151" s="29" t="str">
        <f>IFERROR(__xludf.DUMMYFUNCTION("""COMPUTED_VALUE"""),"E-129")</f>
        <v>E-129</v>
      </c>
      <c r="B151" s="27" t="str">
        <f>IFERROR(__xludf.DUMMYFUNCTION("""COMPUTED_VALUE"""),"Event")</f>
        <v>Event</v>
      </c>
      <c r="C151" s="27" t="str">
        <f>IFERROR(__xludf.DUMMYFUNCTION("""COMPUTED_VALUE"""),"Mamoru Iwashima")</f>
        <v>Mamoru Iwashima</v>
      </c>
      <c r="D151" s="27" t="str">
        <f>IFERROR(__xludf.DUMMYFUNCTION("""COMPUTED_VALUE"""),"-")</f>
        <v>-</v>
      </c>
      <c r="E151" s="27">
        <f>IFERROR(__xludf.DUMMYFUNCTION("""COMPUTED_VALUE"""),0.0)</f>
        <v>0</v>
      </c>
      <c r="F151" s="27" t="str">
        <f>IFERROR(__xludf.DUMMYFUNCTION("""COMPUTED_VALUE"""),"A")</f>
        <v>A</v>
      </c>
      <c r="G151" s="27" t="str">
        <f>IFERROR(__xludf.DUMMYFUNCTION("""COMPUTED_VALUE"""),"None")</f>
        <v>None</v>
      </c>
      <c r="H151" s="27" t="str">
        <f>IFERROR(__xludf.DUMMYFUNCTION("""COMPUTED_VALUE"""),"-")</f>
        <v>-</v>
      </c>
      <c r="I151" s="28" t="str">
        <f>IFERROR(__xludf.DUMMYFUNCTION("""COMPUTED_VALUE"""),"Select up to 2 MJ12 cards from any page of your Spell Book or Discard Pile and put them in play. ")</f>
        <v>Select up to 2 MJ12 cards from any page of your Spell Book or Discard Pile and put them in play. </v>
      </c>
      <c r="J151" s="27" t="str">
        <f>IFERROR(__xludf.DUMMYFUNCTION("""COMPUTED_VALUE"""),"-")</f>
        <v>-</v>
      </c>
      <c r="K151" s="27" t="str">
        <f>IFERROR(__xludf.DUMMYFUNCTION("""COMPUTED_VALUE"""),"-")</f>
        <v>-</v>
      </c>
      <c r="L151" s="27" t="str">
        <f>IFERROR(__xludf.DUMMYFUNCTION("""COMPUTED_VALUE"""),"-")</f>
        <v>-</v>
      </c>
      <c r="M151" s="27" t="str">
        <f>IFERROR(__xludf.DUMMYFUNCTION("""COMPUTED_VALUE"""),"[C]")</f>
        <v>[C]</v>
      </c>
      <c r="N151" s="27" t="str">
        <f>IFERROR(__xludf.DUMMYFUNCTION("""COMPUTED_VALUE"""),"HEINY HEINY HO~~!""")</f>
        <v>HEINY HEINY HO~~!"</v>
      </c>
      <c r="O151" s="27"/>
      <c r="P151" s="27"/>
      <c r="Q151" s="27"/>
      <c r="R151" s="27"/>
      <c r="S151" s="27"/>
      <c r="T151" s="27"/>
      <c r="U151" s="27"/>
      <c r="V151" s="27"/>
      <c r="W151" s="27"/>
      <c r="X151" s="27"/>
      <c r="Y151" s="27"/>
      <c r="Z151" s="27"/>
    </row>
    <row r="152">
      <c r="A152" s="29" t="str">
        <f>IFERROR(__xludf.DUMMYFUNCTION("""COMPUTED_VALUE"""),"E-130")</f>
        <v>E-130</v>
      </c>
      <c r="B152" s="27" t="str">
        <f>IFERROR(__xludf.DUMMYFUNCTION("""COMPUTED_VALUE"""),"Event")</f>
        <v>Event</v>
      </c>
      <c r="C152" s="27" t="str">
        <f>IFERROR(__xludf.DUMMYFUNCTION("""COMPUTED_VALUE"""),"Falling Flat")</f>
        <v>Falling Flat</v>
      </c>
      <c r="D152" s="27" t="str">
        <f>IFERROR(__xludf.DUMMYFUNCTION("""COMPUTED_VALUE"""),"-")</f>
        <v>-</v>
      </c>
      <c r="E152" s="27">
        <f>IFERROR(__xludf.DUMMYFUNCTION("""COMPUTED_VALUE"""),5.0)</f>
        <v>5</v>
      </c>
      <c r="F152" s="27" t="str">
        <f>IFERROR(__xludf.DUMMYFUNCTION("""COMPUTED_VALUE"""),"-")</f>
        <v>-</v>
      </c>
      <c r="G152" s="27" t="str">
        <f>IFERROR(__xludf.DUMMYFUNCTION("""COMPUTED_VALUE"""),"None")</f>
        <v>None</v>
      </c>
      <c r="H152" s="27" t="str">
        <f>IFERROR(__xludf.DUMMYFUNCTION("""COMPUTED_VALUE"""),"-")</f>
        <v>-</v>
      </c>
      <c r="I152" s="28" t="str">
        <f>IFERROR(__xludf.DUMMYFUNCTION("""COMPUTED_VALUE"""),"Turn all of your opponent's MAMODO cards to Injured Status.")</f>
        <v>Turn all of your opponent's MAMODO cards to Injured Status.</v>
      </c>
      <c r="J152" s="27" t="str">
        <f>IFERROR(__xludf.DUMMYFUNCTION("""COMPUTED_VALUE"""),"-")</f>
        <v>-</v>
      </c>
      <c r="K152" s="27" t="str">
        <f>IFERROR(__xludf.DUMMYFUNCTION("""COMPUTED_VALUE"""),"-")</f>
        <v>-</v>
      </c>
      <c r="L152" s="27" t="str">
        <f>IFERROR(__xludf.DUMMYFUNCTION("""COMPUTED_VALUE"""),"-")</f>
        <v>-</v>
      </c>
      <c r="M152" s="27" t="str">
        <f>IFERROR(__xludf.DUMMYFUNCTION("""COMPUTED_VALUE"""),"[R]")</f>
        <v>[R]</v>
      </c>
      <c r="N152" s="27" t="str">
        <f>IFERROR(__xludf.DUMMYFUNCTION("""COMPUTED_VALUE"""),"""Let's go already! Start! GAAAAAAAAAAH!""")</f>
        <v>"Let's go already! Start! GAAAAAAAAAAH!"</v>
      </c>
      <c r="O152" s="27"/>
      <c r="P152" s="27"/>
      <c r="Q152" s="27"/>
      <c r="R152" s="27"/>
      <c r="S152" s="27"/>
      <c r="T152" s="27"/>
      <c r="U152" s="27"/>
      <c r="V152" s="27"/>
      <c r="W152" s="27"/>
      <c r="X152" s="27"/>
      <c r="Y152" s="27"/>
      <c r="Z152" s="27"/>
    </row>
    <row r="153">
      <c r="A153" s="29" t="str">
        <f>IFERROR(__xludf.DUMMYFUNCTION("""COMPUTED_VALUE"""),"E-131")</f>
        <v>E-131</v>
      </c>
      <c r="B153" s="27" t="str">
        <f>IFERROR(__xludf.DUMMYFUNCTION("""COMPUTED_VALUE"""),"Event")</f>
        <v>Event</v>
      </c>
      <c r="C153" s="27" t="str">
        <f>IFERROR(__xludf.DUMMYFUNCTION("""COMPUTED_VALUE"""),"Into the In-Between World")</f>
        <v>Into the In-Between World</v>
      </c>
      <c r="D153" s="27" t="str">
        <f>IFERROR(__xludf.DUMMYFUNCTION("""COMPUTED_VALUE"""),"-")</f>
        <v>-</v>
      </c>
      <c r="E153" s="27">
        <f>IFERROR(__xludf.DUMMYFUNCTION("""COMPUTED_VALUE"""),3.0)</f>
        <v>3</v>
      </c>
      <c r="F153" s="27" t="str">
        <f>IFERROR(__xludf.DUMMYFUNCTION("""COMPUTED_VALUE"""),"A")</f>
        <v>A</v>
      </c>
      <c r="G153" s="27" t="str">
        <f>IFERROR(__xludf.DUMMYFUNCTION("""COMPUTED_VALUE"""),"None")</f>
        <v>None</v>
      </c>
      <c r="H153" s="27" t="str">
        <f>IFERROR(__xludf.DUMMYFUNCTION("""COMPUTED_VALUE"""),"-")</f>
        <v>-</v>
      </c>
      <c r="I153" s="28" t="str">
        <f>IFERROR(__xludf.DUMMYFUNCTION("""COMPUTED_VALUE"""),"Select as many cards in your opponent's Discard Pile as you desire and flip them face-down. ● Unless stated otherwise, cards in the Discard Pile that are flipped face-down are not considered to be in the Discard Pile.")</f>
        <v>Select as many cards in your opponent's Discard Pile as you desire and flip them face-down. ● Unless stated otherwise, cards in the Discard Pile that are flipped face-down are not considered to be in the Discard Pile.</v>
      </c>
      <c r="J153" s="27" t="str">
        <f>IFERROR(__xludf.DUMMYFUNCTION("""COMPUTED_VALUE"""),"-")</f>
        <v>-</v>
      </c>
      <c r="K153" s="27" t="str">
        <f>IFERROR(__xludf.DUMMYFUNCTION("""COMPUTED_VALUE"""),"-")</f>
        <v>-</v>
      </c>
      <c r="L153" s="27" t="str">
        <f>IFERROR(__xludf.DUMMYFUNCTION("""COMPUTED_VALUE"""),"-")</f>
        <v>-</v>
      </c>
      <c r="M153" s="27" t="str">
        <f>IFERROR(__xludf.DUMMYFUNCTION("""COMPUTED_VALUE"""),"[R]")</f>
        <v>[R]</v>
      </c>
      <c r="N153" s="27" t="str">
        <f>IFERROR(__xludf.DUMMYFUNCTION("""COMPUTED_VALUE"""),"""This is the in-between world, the gap between the human world and the mamodo world.""")</f>
        <v>"This is the in-between world, the gap between the human world and the mamodo world."</v>
      </c>
      <c r="O153" s="27"/>
      <c r="P153" s="27"/>
      <c r="Q153" s="27"/>
      <c r="R153" s="27"/>
      <c r="S153" s="27"/>
      <c r="T153" s="27"/>
      <c r="U153" s="27"/>
      <c r="V153" s="27"/>
      <c r="W153" s="27"/>
      <c r="X153" s="27"/>
      <c r="Y153" s="27"/>
      <c r="Z153" s="27"/>
    </row>
    <row r="154">
      <c r="A154" s="29" t="str">
        <f>IFERROR(__xludf.DUMMYFUNCTION("""COMPUTED_VALUE"""),"E-132")</f>
        <v>E-132</v>
      </c>
      <c r="B154" s="27" t="str">
        <f>IFERROR(__xludf.DUMMYFUNCTION("""COMPUTED_VALUE"""),"Event")</f>
        <v>Event</v>
      </c>
      <c r="C154" s="27" t="str">
        <f>IFERROR(__xludf.DUMMYFUNCTION("""COMPUTED_VALUE"""),"The Rematch")</f>
        <v>The Rematch</v>
      </c>
      <c r="D154" s="27" t="str">
        <f>IFERROR(__xludf.DUMMYFUNCTION("""COMPUTED_VALUE"""),"-")</f>
        <v>-</v>
      </c>
      <c r="E154" s="27">
        <f>IFERROR(__xludf.DUMMYFUNCTION("""COMPUTED_VALUE"""),3.0)</f>
        <v>3</v>
      </c>
      <c r="F154" s="27" t="str">
        <f>IFERROR(__xludf.DUMMYFUNCTION("""COMPUTED_VALUE"""),"A")</f>
        <v>A</v>
      </c>
      <c r="G154" s="27" t="str">
        <f>IFERROR(__xludf.DUMMYFUNCTION("""COMPUTED_VALUE"""),"Intermediate")</f>
        <v>Intermediate</v>
      </c>
      <c r="H154" s="27" t="str">
        <f>IFERROR(__xludf.DUMMYFUNCTION("""COMPUTED_VALUE"""),"-")</f>
        <v>-</v>
      </c>
      <c r="I154" s="28" t="str">
        <f>IFERROR(__xludf.DUMMYFUNCTION("""COMPUTED_VALUE"""),"Select 1 effect with ""This effect can be applied only once per game (per player)"" that you already applied during this game and re-apply it (it cannot be applied a third time). Your opponent then selects 1 effect with ""This effect can be applied only o"&amp;"nce per game (per player)"" that they already applied during this game and re-applies it (it cannot be applied a third time).")</f>
        <v>Select 1 effect with "This effect can be applied only once per game (per player)" that you already applied during this game and re-apply it (it cannot be applied a third time). Your opponent then selects 1 effect with "This effect can be applied only once per game (per player)" that they already applied during this game and re-applies it (it cannot be applied a third time).</v>
      </c>
      <c r="J154" s="27" t="str">
        <f>IFERROR(__xludf.DUMMYFUNCTION("""COMPUTED_VALUE"""),"-")</f>
        <v>-</v>
      </c>
      <c r="K154" s="27" t="str">
        <f>IFERROR(__xludf.DUMMYFUNCTION("""COMPUTED_VALUE"""),"-")</f>
        <v>-</v>
      </c>
      <c r="L154" s="27" t="str">
        <f>IFERROR(__xludf.DUMMYFUNCTION("""COMPUTED_VALUE"""),"-")</f>
        <v>-</v>
      </c>
      <c r="M154" s="27" t="str">
        <f>IFERROR(__xludf.DUMMYFUNCTION("""COMPUTED_VALUE"""),"[SR]")</f>
        <v>[SR]</v>
      </c>
      <c r="N154" s="27" t="str">
        <f>IFERROR(__xludf.DUMMYFUNCTION("""COMPUTED_VALUE"""),"""Boy of the red book, you've become storng. But, next time...""")</f>
        <v>"Boy of the red book, you've become storng. But, next time..."</v>
      </c>
      <c r="O154" s="27"/>
      <c r="P154" s="27"/>
      <c r="Q154" s="27"/>
      <c r="R154" s="27"/>
      <c r="S154" s="27"/>
      <c r="T154" s="27"/>
      <c r="U154" s="27"/>
      <c r="V154" s="27"/>
      <c r="W154" s="27"/>
      <c r="X154" s="27"/>
      <c r="Y154" s="27"/>
      <c r="Z154" s="27"/>
    </row>
    <row r="155">
      <c r="A155" s="29" t="str">
        <f>IFERROR(__xludf.DUMMYFUNCTION("""COMPUTED_VALUE"""),"E-133")</f>
        <v>E-133</v>
      </c>
      <c r="B155" s="27" t="str">
        <f>IFERROR(__xludf.DUMMYFUNCTION("""COMPUTED_VALUE"""),"Event")</f>
        <v>Event</v>
      </c>
      <c r="C155" s="27" t="str">
        <f>IFERROR(__xludf.DUMMYFUNCTION("""COMPUTED_VALUE"""),"Omelet Breakfast")</f>
        <v>Omelet Breakfast</v>
      </c>
      <c r="D155" s="27" t="str">
        <f>IFERROR(__xludf.DUMMYFUNCTION("""COMPUTED_VALUE"""),"-")</f>
        <v>-</v>
      </c>
      <c r="E155" s="27">
        <f>IFERROR(__xludf.DUMMYFUNCTION("""COMPUTED_VALUE"""),0.0)</f>
        <v>0</v>
      </c>
      <c r="F155" s="27" t="str">
        <f>IFERROR(__xludf.DUMMYFUNCTION("""COMPUTED_VALUE"""),"D")</f>
        <v>D</v>
      </c>
      <c r="G155" s="27" t="str">
        <f>IFERROR(__xludf.DUMMYFUNCTION("""COMPUTED_VALUE"""),"None")</f>
        <v>None</v>
      </c>
      <c r="H155" s="27" t="str">
        <f>IFERROR(__xludf.DUMMYFUNCTION("""COMPUTED_VALUE"""),"-")</f>
        <v>-</v>
      </c>
      <c r="I155" s="28" t="str">
        <f>IFERROR(__xludf.DUMMYFUNCTION("""COMPUTED_VALUE"""),"[STANDBY] Get 4 MP at the START PHASE of the next turn.")</f>
        <v>[STANDBY] Get 4 MP at the START PHASE of the next turn.</v>
      </c>
      <c r="J155" s="27" t="str">
        <f>IFERROR(__xludf.DUMMYFUNCTION("""COMPUTED_VALUE"""),"-")</f>
        <v>-</v>
      </c>
      <c r="K155" s="27" t="str">
        <f>IFERROR(__xludf.DUMMYFUNCTION("""COMPUTED_VALUE"""),"-")</f>
        <v>-</v>
      </c>
      <c r="L155" s="27" t="str">
        <f>IFERROR(__xludf.DUMMYFUNCTION("""COMPUTED_VALUE"""),"-")</f>
        <v>-</v>
      </c>
      <c r="M155" s="27" t="str">
        <f>IFERROR(__xludf.DUMMYFUNCTION("""COMPUTED_VALUE"""),"[R]")</f>
        <v>[R]</v>
      </c>
      <c r="N155" s="27" t="str">
        <f>IFERROR(__xludf.DUMMYFUNCTION("""COMPUTED_VALUE"""),"""YUMMY! You're like an expert at making omelets, lady!""")</f>
        <v>"YUMMY! You're like an expert at making omelets, lady!"</v>
      </c>
      <c r="O155" s="27"/>
      <c r="P155" s="27"/>
      <c r="Q155" s="27"/>
      <c r="R155" s="27"/>
      <c r="S155" s="27"/>
      <c r="T155" s="27"/>
      <c r="U155" s="27"/>
      <c r="V155" s="27"/>
      <c r="W155" s="27"/>
      <c r="X155" s="27"/>
      <c r="Y155" s="27"/>
      <c r="Z155" s="27"/>
    </row>
    <row r="156">
      <c r="A156" s="29" t="str">
        <f>IFERROR(__xludf.DUMMYFUNCTION("""COMPUTED_VALUE"""),"E-134")</f>
        <v>E-134</v>
      </c>
      <c r="B156" s="27" t="str">
        <f>IFERROR(__xludf.DUMMYFUNCTION("""COMPUTED_VALUE"""),"Event")</f>
        <v>Event</v>
      </c>
      <c r="C156" s="27" t="str">
        <f>IFERROR(__xludf.DUMMYFUNCTION("""COMPUTED_VALUE"""),"A Distant Memory")</f>
        <v>A Distant Memory</v>
      </c>
      <c r="D156" s="27" t="str">
        <f>IFERROR(__xludf.DUMMYFUNCTION("""COMPUTED_VALUE"""),"-")</f>
        <v>-</v>
      </c>
      <c r="E156" s="27">
        <f>IFERROR(__xludf.DUMMYFUNCTION("""COMPUTED_VALUE"""),3.0)</f>
        <v>3</v>
      </c>
      <c r="F156" s="27" t="str">
        <f>IFERROR(__xludf.DUMMYFUNCTION("""COMPUTED_VALUE"""),"AD")</f>
        <v>AD</v>
      </c>
      <c r="G156" s="27" t="str">
        <f>IFERROR(__xludf.DUMMYFUNCTION("""COMPUTED_VALUE"""),"Intermediate")</f>
        <v>Intermediate</v>
      </c>
      <c r="H156" s="27" t="str">
        <f>IFERROR(__xludf.DUMMYFUNCTION("""COMPUTED_VALUE"""),"-")</f>
        <v>-</v>
      </c>
      <c r="I156" s="28" t="str">
        <f>IFERROR(__xludf.DUMMYFUNCTION("""COMPUTED_VALUE"""),"Select 2 cards from any of the previous pages of your Spell Book, and switch them with 2 cards in your currently open pages (2 cards must be selected, including this card).")</f>
        <v>Select 2 cards from any of the previous pages of your Spell Book, and switch them with 2 cards in your currently open pages (2 cards must be selected, including this card).</v>
      </c>
      <c r="J156" s="27" t="str">
        <f>IFERROR(__xludf.DUMMYFUNCTION("""COMPUTED_VALUE"""),"-")</f>
        <v>-</v>
      </c>
      <c r="K156" s="27" t="str">
        <f>IFERROR(__xludf.DUMMYFUNCTION("""COMPUTED_VALUE"""),"-")</f>
        <v>-</v>
      </c>
      <c r="L156" s="27" t="str">
        <f>IFERROR(__xludf.DUMMYFUNCTION("""COMPUTED_VALUE"""),"-")</f>
        <v>-</v>
      </c>
      <c r="M156" s="27" t="str">
        <f>IFERROR(__xludf.DUMMYFUNCTION("""COMPUTED_VALUE"""),"[SR]")</f>
        <v>[SR]</v>
      </c>
      <c r="N156" s="27" t="str">
        <f>IFERROR(__xludf.DUMMYFUNCTION("""COMPUTED_VALUE"""),"""No... it's not a recent memory... That's right, it was in the king's library of the mamodo world... the forbidden bookshelves!""")</f>
        <v>"No... it's not a recent memory... That's right, it was in the king's library of the mamodo world... the forbidden bookshelves!"</v>
      </c>
      <c r="O156" s="27"/>
      <c r="P156" s="27"/>
      <c r="Q156" s="27"/>
      <c r="R156" s="27"/>
      <c r="S156" s="27"/>
      <c r="T156" s="27"/>
      <c r="U156" s="27"/>
      <c r="V156" s="27"/>
      <c r="W156" s="27"/>
      <c r="X156" s="27"/>
      <c r="Y156" s="27"/>
      <c r="Z156" s="27"/>
    </row>
    <row r="157">
      <c r="A157" s="29" t="str">
        <f>IFERROR(__xludf.DUMMYFUNCTION("""COMPUTED_VALUE"""),"E-135")</f>
        <v>E-135</v>
      </c>
      <c r="B157" s="27" t="str">
        <f>IFERROR(__xludf.DUMMYFUNCTION("""COMPUTED_VALUE"""),"Event")</f>
        <v>Event</v>
      </c>
      <c r="C157" s="27" t="str">
        <f>IFERROR(__xludf.DUMMYFUNCTION("""COMPUTED_VALUE"""),"A Letter To Zatch")</f>
        <v>A Letter To Zatch</v>
      </c>
      <c r="D157" s="27" t="str">
        <f>IFERROR(__xludf.DUMMYFUNCTION("""COMPUTED_VALUE"""),"-")</f>
        <v>-</v>
      </c>
      <c r="E157" s="27">
        <f>IFERROR(__xludf.DUMMYFUNCTION("""COMPUTED_VALUE"""),0.0)</f>
        <v>0</v>
      </c>
      <c r="F157" s="27" t="str">
        <f>IFERROR(__xludf.DUMMYFUNCTION("""COMPUTED_VALUE"""),"AD")</f>
        <v>AD</v>
      </c>
      <c r="G157" s="27" t="str">
        <f>IFERROR(__xludf.DUMMYFUNCTION("""COMPUTED_VALUE"""),"Intermediate")</f>
        <v>Intermediate</v>
      </c>
      <c r="H157" s="27" t="str">
        <f>IFERROR(__xludf.DUMMYFUNCTION("""COMPUTED_VALUE"""),"-")</f>
        <v>-</v>
      </c>
      <c r="I157" s="28" t="str">
        <f>IFERROR(__xludf.DUMMYFUNCTION("""COMPUTED_VALUE"""),"Select up to 2 MAMODO and PARTNER cards in any of the previous pages of your Spell Book and put them in play.")</f>
        <v>Select up to 2 MAMODO and PARTNER cards in any of the previous pages of your Spell Book and put them in play.</v>
      </c>
      <c r="J157" s="27" t="str">
        <f>IFERROR(__xludf.DUMMYFUNCTION("""COMPUTED_VALUE"""),"-")</f>
        <v>-</v>
      </c>
      <c r="K157" s="27" t="str">
        <f>IFERROR(__xludf.DUMMYFUNCTION("""COMPUTED_VALUE"""),"-")</f>
        <v>-</v>
      </c>
      <c r="L157" s="27" t="str">
        <f>IFERROR(__xludf.DUMMYFUNCTION("""COMPUTED_VALUE"""),"-")</f>
        <v>-</v>
      </c>
      <c r="M157" s="27" t="str">
        <f>IFERROR(__xludf.DUMMYFUNCTION("""COMPUTED_VALUE"""),"[U]")</f>
        <v>[U]</v>
      </c>
      <c r="N157" s="27" t="str">
        <f>IFERROR(__xludf.DUMMYFUNCTION("""COMPUTED_VALUE"""),"""Hey, Kiyo! Kiyo! I got a letter. I got a letter addressed to me!""")</f>
        <v>"Hey, Kiyo! Kiyo! I got a letter. I got a letter addressed to me!"</v>
      </c>
      <c r="O157" s="27"/>
      <c r="P157" s="27"/>
      <c r="Q157" s="27"/>
      <c r="R157" s="27"/>
      <c r="S157" s="27"/>
      <c r="T157" s="27"/>
      <c r="U157" s="27"/>
      <c r="V157" s="27"/>
      <c r="W157" s="27"/>
      <c r="X157" s="27"/>
      <c r="Y157" s="27"/>
      <c r="Z157" s="27"/>
    </row>
    <row r="158">
      <c r="A158" s="29" t="str">
        <f>IFERROR(__xludf.DUMMYFUNCTION("""COMPUTED_VALUE"""),"E-136")</f>
        <v>E-136</v>
      </c>
      <c r="B158" s="27" t="str">
        <f>IFERROR(__xludf.DUMMYFUNCTION("""COMPUTED_VALUE"""),"Event")</f>
        <v>Event</v>
      </c>
      <c r="C158" s="27" t="str">
        <f>IFERROR(__xludf.DUMMYFUNCTION("""COMPUTED_VALUE"""),"A Terrifying Appearance")</f>
        <v>A Terrifying Appearance</v>
      </c>
      <c r="D158" s="27" t="str">
        <f>IFERROR(__xludf.DUMMYFUNCTION("""COMPUTED_VALUE"""),"-")</f>
        <v>-</v>
      </c>
      <c r="E158" s="27">
        <f>IFERROR(__xludf.DUMMYFUNCTION("""COMPUTED_VALUE"""),0.0)</f>
        <v>0</v>
      </c>
      <c r="F158" s="27" t="str">
        <f>IFERROR(__xludf.DUMMYFUNCTION("""COMPUTED_VALUE"""),"AD")</f>
        <v>AD</v>
      </c>
      <c r="G158" s="27" t="str">
        <f>IFERROR(__xludf.DUMMYFUNCTION("""COMPUTED_VALUE"""),"None")</f>
        <v>None</v>
      </c>
      <c r="H158" s="27" t="str">
        <f>IFERROR(__xludf.DUMMYFUNCTION("""COMPUTED_VALUE"""),"-")</f>
        <v>-</v>
      </c>
      <c r="I158" s="28" t="str">
        <f>IFERROR(__xludf.DUMMYFUNCTION("""COMPUTED_VALUE"""),"Select 1 of your in-play MAMODO cards and apply 1 or both of the following effects in any order: ● The selected MAMODO card and the attached PARTNER card are no longer a target of any [Stay] or [Standby] effects that prohibit them from playing SPELL cards"&amp;" and/or applying their effects (any unselected cards remain as targets for these effects). ● Flip a coin; if it's heads, send 1 of your opponent's in-play PARTNER cards to the Discard Pile. If it's tails, send the attached PARTNER card of the selected MAM"&amp;"ODO card to the Discard Pile.")</f>
        <v>Select 1 of your in-play MAMODO cards and apply 1 or both of the following effects in any order: ● The selected MAMODO card and the attached PARTNER card are no longer a target of any [Stay] or [Standby] effects that prohibit them from playing SPELL cards and/or applying their effects (any unselected cards remain as targets for these effects). ● Flip a coin; if it's heads, send 1 of your opponent's in-play PARTNER cards to the Discard Pile. If it's tails, send the attached PARTNER card of the selected MAMODO card to the Discard Pile.</v>
      </c>
      <c r="J158" s="27" t="str">
        <f>IFERROR(__xludf.DUMMYFUNCTION("""COMPUTED_VALUE"""),"-")</f>
        <v>-</v>
      </c>
      <c r="K158" s="27" t="str">
        <f>IFERROR(__xludf.DUMMYFUNCTION("""COMPUTED_VALUE"""),"-")</f>
        <v>-</v>
      </c>
      <c r="L158" s="27" t="str">
        <f>IFERROR(__xludf.DUMMYFUNCTION("""COMPUTED_VALUE"""),"-")</f>
        <v>-</v>
      </c>
      <c r="M158" s="27" t="str">
        <f>IFERROR(__xludf.DUMMYFUNCTION("""COMPUTED_VALUE"""),"[R]")</f>
        <v>[R]</v>
      </c>
      <c r="N158" s="27" t="str">
        <f>IFERROR(__xludf.DUMMYFUNCTION("""COMPUTED_VALUE"""),"""When somebody gets really serious, they look scary. Especially when they're trying to protect somebody they love.""")</f>
        <v>"When somebody gets really serious, they look scary. Especially when they're trying to protect somebody they love."</v>
      </c>
      <c r="O158" s="27"/>
      <c r="P158" s="27"/>
      <c r="Q158" s="27"/>
      <c r="R158" s="27"/>
      <c r="S158" s="27"/>
      <c r="T158" s="27"/>
      <c r="U158" s="27"/>
      <c r="V158" s="27"/>
      <c r="W158" s="27"/>
      <c r="X158" s="27"/>
      <c r="Y158" s="27"/>
      <c r="Z158" s="27"/>
    </row>
    <row r="159">
      <c r="A159" s="29" t="str">
        <f>IFERROR(__xludf.DUMMYFUNCTION("""COMPUTED_VALUE"""),"E-137")</f>
        <v>E-137</v>
      </c>
      <c r="B159" s="27" t="str">
        <f>IFERROR(__xludf.DUMMYFUNCTION("""COMPUTED_VALUE"""),"Event")</f>
        <v>Event</v>
      </c>
      <c r="C159" s="27" t="str">
        <f>IFERROR(__xludf.DUMMYFUNCTION("""COMPUTED_VALUE"""),"Together!")</f>
        <v>Together!</v>
      </c>
      <c r="D159" s="27" t="str">
        <f>IFERROR(__xludf.DUMMYFUNCTION("""COMPUTED_VALUE"""),"-")</f>
        <v>-</v>
      </c>
      <c r="E159" s="27">
        <f>IFERROR(__xludf.DUMMYFUNCTION("""COMPUTED_VALUE"""),0.0)</f>
        <v>0</v>
      </c>
      <c r="F159" s="27" t="str">
        <f>IFERROR(__xludf.DUMMYFUNCTION("""COMPUTED_VALUE"""),"AD")</f>
        <v>AD</v>
      </c>
      <c r="G159" s="27" t="str">
        <f>IFERROR(__xludf.DUMMYFUNCTION("""COMPUTED_VALUE"""),"None")</f>
        <v>None</v>
      </c>
      <c r="H159" s="27" t="str">
        <f>IFERROR(__xludf.DUMMYFUNCTION("""COMPUTED_VALUE"""),"-")</f>
        <v>-</v>
      </c>
      <c r="I159" s="28" t="str">
        <f>IFERROR(__xludf.DUMMYFUNCTION("""COMPUTED_VALUE"""),"[STAY] During this game, your MAMODO cards can SACRIFICE or PROTECT your Spell Book from Damage even when prohibited to do so when they have a PARTNER card attached.")</f>
        <v>[STAY] During this game, your MAMODO cards can SACRIFICE or PROTECT your Spell Book from Damage even when prohibited to do so when they have a PARTNER card attached.</v>
      </c>
      <c r="J159" s="27" t="str">
        <f>IFERROR(__xludf.DUMMYFUNCTION("""COMPUTED_VALUE"""),"-")</f>
        <v>-</v>
      </c>
      <c r="K159" s="27" t="str">
        <f>IFERROR(__xludf.DUMMYFUNCTION("""COMPUTED_VALUE"""),"-")</f>
        <v>-</v>
      </c>
      <c r="L159" s="27" t="str">
        <f>IFERROR(__xludf.DUMMYFUNCTION("""COMPUTED_VALUE"""),"-")</f>
        <v>-</v>
      </c>
      <c r="M159" s="27" t="str">
        <f>IFERROR(__xludf.DUMMYFUNCTION("""COMPUTED_VALUE"""),"[C]")</f>
        <v>[C]</v>
      </c>
      <c r="N159" s="27" t="str">
        <f>IFERROR(__xludf.DUMMYFUNCTION("""COMPUTED_VALUE"""),"""Very good! Let's save him together!!""")</f>
        <v>"Very good! Let's save him together!!"</v>
      </c>
      <c r="O159" s="27"/>
      <c r="P159" s="27"/>
      <c r="Q159" s="27"/>
      <c r="R159" s="27"/>
      <c r="S159" s="27"/>
      <c r="T159" s="27"/>
      <c r="U159" s="27"/>
      <c r="V159" s="27"/>
      <c r="W159" s="27"/>
      <c r="X159" s="27"/>
      <c r="Y159" s="27"/>
      <c r="Z159" s="27"/>
    </row>
    <row r="160">
      <c r="A160" s="29" t="str">
        <f>IFERROR(__xludf.DUMMYFUNCTION("""COMPUTED_VALUE"""),"E-138")</f>
        <v>E-138</v>
      </c>
      <c r="B160" s="27" t="str">
        <f>IFERROR(__xludf.DUMMYFUNCTION("""COMPUTED_VALUE"""),"Event")</f>
        <v>Event</v>
      </c>
      <c r="C160" s="27" t="str">
        <f>IFERROR(__xludf.DUMMYFUNCTION("""COMPUTED_VALUE"""),"Transformation")</f>
        <v>Transformation</v>
      </c>
      <c r="D160" s="27" t="str">
        <f>IFERROR(__xludf.DUMMYFUNCTION("""COMPUTED_VALUE"""),"-")</f>
        <v>-</v>
      </c>
      <c r="E160" s="27">
        <f>IFERROR(__xludf.DUMMYFUNCTION("""COMPUTED_VALUE"""),0.0)</f>
        <v>0</v>
      </c>
      <c r="F160" s="27" t="str">
        <f>IFERROR(__xludf.DUMMYFUNCTION("""COMPUTED_VALUE"""),"A")</f>
        <v>A</v>
      </c>
      <c r="G160" s="27" t="str">
        <f>IFERROR(__xludf.DUMMYFUNCTION("""COMPUTED_VALUE"""),"None")</f>
        <v>None</v>
      </c>
      <c r="H160" s="27" t="str">
        <f>IFERROR(__xludf.DUMMYFUNCTION("""COMPUTED_VALUE"""),"-")</f>
        <v>-</v>
      </c>
      <c r="I160" s="28" t="str">
        <f>IFERROR(__xludf.DUMMYFUNCTION("""COMPUTED_VALUE"""),"Send 1 of your in-play MAMODO cards to the Discard Pile. Then, select 1 MAMODO card with the same card name as the MAMODO card you sent to the Discard Pile from any page of your Spell Book or Discard Pile and put it in play. The PARTNER card attached to t"&amp;"he selected MAMODO card remains in play and is attached to the new MAMODO card.")</f>
        <v>Send 1 of your in-play MAMODO cards to the Discard Pile. Then, select 1 MAMODO card with the same card name as the MAMODO card you sent to the Discard Pile from any page of your Spell Book or Discard Pile and put it in play. The PARTNER card attached to the selected MAMODO card remains in play and is attached to the new MAMODO card.</v>
      </c>
      <c r="J160" s="27" t="str">
        <f>IFERROR(__xludf.DUMMYFUNCTION("""COMPUTED_VALUE"""),"-")</f>
        <v>-</v>
      </c>
      <c r="K160" s="27" t="str">
        <f>IFERROR(__xludf.DUMMYFUNCTION("""COMPUTED_VALUE"""),"-")</f>
        <v>-</v>
      </c>
      <c r="L160" s="27" t="str">
        <f>IFERROR(__xludf.DUMMYFUNCTION("""COMPUTED_VALUE"""),"-")</f>
        <v>-</v>
      </c>
      <c r="M160" s="27" t="str">
        <f>IFERROR(__xludf.DUMMYFUNCTION("""COMPUTED_VALUE"""),"[C]")</f>
        <v>[C]</v>
      </c>
      <c r="N160" s="27" t="str">
        <f>IFERROR(__xludf.DUMMYFUNCTION("""COMPUTED_VALUE"""),"""So that's it... He can disguise himself as a human...""")</f>
        <v>"So that's it... He can disguise himself as a human..."</v>
      </c>
      <c r="O160" s="27"/>
      <c r="P160" s="27"/>
      <c r="Q160" s="27"/>
      <c r="R160" s="27"/>
      <c r="S160" s="27"/>
      <c r="T160" s="27"/>
      <c r="U160" s="27"/>
      <c r="V160" s="27"/>
      <c r="W160" s="27"/>
      <c r="X160" s="27"/>
      <c r="Y160" s="27"/>
      <c r="Z160" s="27"/>
    </row>
    <row r="161">
      <c r="A161" s="29" t="str">
        <f>IFERROR(__xludf.DUMMYFUNCTION("""COMPUTED_VALUE"""),"E-139")</f>
        <v>E-139</v>
      </c>
      <c r="B161" s="27" t="str">
        <f>IFERROR(__xludf.DUMMYFUNCTION("""COMPUTED_VALUE"""),"Event")</f>
        <v>Event</v>
      </c>
      <c r="C161" s="27" t="str">
        <f>IFERROR(__xludf.DUMMYFUNCTION("""COMPUTED_VALUE"""),"Tia's Underwear")</f>
        <v>Tia's Underwear</v>
      </c>
      <c r="D161" s="27" t="str">
        <f>IFERROR(__xludf.DUMMYFUNCTION("""COMPUTED_VALUE"""),"-")</f>
        <v>-</v>
      </c>
      <c r="E161" s="27">
        <f>IFERROR(__xludf.DUMMYFUNCTION("""COMPUTED_VALUE"""),0.0)</f>
        <v>0</v>
      </c>
      <c r="F161" s="27" t="str">
        <f>IFERROR(__xludf.DUMMYFUNCTION("""COMPUTED_VALUE"""),"AD")</f>
        <v>AD</v>
      </c>
      <c r="G161" s="27" t="str">
        <f>IFERROR(__xludf.DUMMYFUNCTION("""COMPUTED_VALUE"""),"None")</f>
        <v>None</v>
      </c>
      <c r="H161" s="27" t="str">
        <f>IFERROR(__xludf.DUMMYFUNCTION("""COMPUTED_VALUE"""),"-")</f>
        <v>-</v>
      </c>
      <c r="I161" s="28" t="str">
        <f>IFERROR(__xludf.DUMMYFUNCTION("""COMPUTED_VALUE"""),"Negate the effect your opponent just applied that allows them to look at your Spell Book. Then, turn 2 pages of their Spell Book.")</f>
        <v>Negate the effect your opponent just applied that allows them to look at your Spell Book. Then, turn 2 pages of their Spell Book.</v>
      </c>
      <c r="J161" s="27" t="str">
        <f>IFERROR(__xludf.DUMMYFUNCTION("""COMPUTED_VALUE"""),"-")</f>
        <v>-</v>
      </c>
      <c r="K161" s="27" t="str">
        <f>IFERROR(__xludf.DUMMYFUNCTION("""COMPUTED_VALUE"""),"-")</f>
        <v>-</v>
      </c>
      <c r="L161" s="27" t="str">
        <f>IFERROR(__xludf.DUMMYFUNCTION("""COMPUTED_VALUE"""),"-")</f>
        <v>-</v>
      </c>
      <c r="M161" s="27" t="str">
        <f>IFERROR(__xludf.DUMMYFUNCTION("""COMPUTED_VALUE"""),"[SR]")</f>
        <v>[SR]</v>
      </c>
      <c r="N161" s="27" t="str">
        <f>IFERROR(__xludf.DUMMYFUNCTION("""COMPUTED_VALUE"""),"""HOW DARE YOU LOOK!!""")</f>
        <v>"HOW DARE YOU LOOK!!"</v>
      </c>
      <c r="O161" s="27"/>
      <c r="P161" s="27"/>
      <c r="Q161" s="27"/>
      <c r="R161" s="27"/>
      <c r="S161" s="27"/>
      <c r="T161" s="27"/>
      <c r="U161" s="27"/>
      <c r="V161" s="27"/>
      <c r="W161" s="27"/>
      <c r="X161" s="27"/>
      <c r="Y161" s="27"/>
      <c r="Z161" s="27"/>
    </row>
    <row r="162">
      <c r="A162" s="29" t="str">
        <f>IFERROR(__xludf.DUMMYFUNCTION("""COMPUTED_VALUE"""),"E-140")</f>
        <v>E-140</v>
      </c>
      <c r="B162" s="27" t="str">
        <f>IFERROR(__xludf.DUMMYFUNCTION("""COMPUTED_VALUE"""),"Event")</f>
        <v>Event</v>
      </c>
      <c r="C162" s="27" t="str">
        <f>IFERROR(__xludf.DUMMYFUNCTION("""COMPUTED_VALUE"""),"Front Row Seat")</f>
        <v>Front Row Seat</v>
      </c>
      <c r="D162" s="27" t="str">
        <f>IFERROR(__xludf.DUMMYFUNCTION("""COMPUTED_VALUE"""),"-")</f>
        <v>-</v>
      </c>
      <c r="E162" s="27">
        <f>IFERROR(__xludf.DUMMYFUNCTION("""COMPUTED_VALUE"""),3.0)</f>
        <v>3</v>
      </c>
      <c r="F162" s="27" t="str">
        <f>IFERROR(__xludf.DUMMYFUNCTION("""COMPUTED_VALUE"""),"D")</f>
        <v>D</v>
      </c>
      <c r="G162" s="27" t="str">
        <f>IFERROR(__xludf.DUMMYFUNCTION("""COMPUTED_VALUE"""),"None")</f>
        <v>None</v>
      </c>
      <c r="H162" s="27" t="str">
        <f>IFERROR(__xludf.DUMMYFUNCTION("""COMPUTED_VALUE"""),"-")</f>
        <v>-</v>
      </c>
      <c r="I162" s="28" t="str">
        <f>IFERROR(__xludf.DUMMYFUNCTION("""COMPUTED_VALUE"""),"Look at your opponent's Spell Book and count the number of cards in all the pages that have effects that turn pages of a Spell Book. Turn a number of pages of your opponent's Spell Book equal to the number of cards counted times 1. Momon has a front row s"&amp;"eat to... Tia's underwear...")</f>
        <v>Look at your opponent's Spell Book and count the number of cards in all the pages that have effects that turn pages of a Spell Book. Turn a number of pages of your opponent's Spell Book equal to the number of cards counted times 1. Momon has a front row seat to... Tia's underwear...</v>
      </c>
      <c r="J162" s="27" t="str">
        <f>IFERROR(__xludf.DUMMYFUNCTION("""COMPUTED_VALUE"""),"-")</f>
        <v>-</v>
      </c>
      <c r="K162" s="27" t="str">
        <f>IFERROR(__xludf.DUMMYFUNCTION("""COMPUTED_VALUE"""),"-")</f>
        <v>-</v>
      </c>
      <c r="L162" s="27" t="str">
        <f>IFERROR(__xludf.DUMMYFUNCTION("""COMPUTED_VALUE"""),"-")</f>
        <v>-</v>
      </c>
      <c r="M162" s="27" t="str">
        <f>IFERROR(__xludf.DUMMYFUNCTION("""COMPUTED_VALUE"""),"[R]")</f>
        <v>[R]</v>
      </c>
      <c r="N162" s="27" t="str">
        <f>IFERROR(__xludf.DUMMYFUNCTION("""COMPUTED_VALUE"""),"""Momon! Stop that at once!""")</f>
        <v>"Momon! Stop that at once!"</v>
      </c>
      <c r="O162" s="27"/>
      <c r="P162" s="27"/>
      <c r="Q162" s="27"/>
      <c r="R162" s="27"/>
      <c r="S162" s="27"/>
      <c r="T162" s="27"/>
      <c r="U162" s="27"/>
      <c r="V162" s="27"/>
      <c r="W162" s="27"/>
      <c r="X162" s="27"/>
      <c r="Y162" s="27"/>
      <c r="Z162" s="27"/>
    </row>
    <row r="163">
      <c r="A163" s="29" t="str">
        <f>IFERROR(__xludf.DUMMYFUNCTION("""COMPUTED_VALUE"""),"E-141")</f>
        <v>E-141</v>
      </c>
      <c r="B163" s="27" t="str">
        <f>IFERROR(__xludf.DUMMYFUNCTION("""COMPUTED_VALUE"""),"Event")</f>
        <v>Event</v>
      </c>
      <c r="C163" s="27" t="str">
        <f>IFERROR(__xludf.DUMMYFUNCTION("""COMPUTED_VALUE"""),"Awakening")</f>
        <v>Awakening</v>
      </c>
      <c r="D163" s="27" t="str">
        <f>IFERROR(__xludf.DUMMYFUNCTION("""COMPUTED_VALUE"""),"-")</f>
        <v>-</v>
      </c>
      <c r="E163" s="27">
        <f>IFERROR(__xludf.DUMMYFUNCTION("""COMPUTED_VALUE"""),0.0)</f>
        <v>0</v>
      </c>
      <c r="F163" s="27" t="str">
        <f>IFERROR(__xludf.DUMMYFUNCTION("""COMPUTED_VALUE"""),"A")</f>
        <v>A</v>
      </c>
      <c r="G163" s="27" t="str">
        <f>IFERROR(__xludf.DUMMYFUNCTION("""COMPUTED_VALUE"""),"None")</f>
        <v>None</v>
      </c>
      <c r="H163" s="27" t="str">
        <f>IFERROR(__xludf.DUMMYFUNCTION("""COMPUTED_VALUE"""),"-")</f>
        <v>-</v>
      </c>
      <c r="I163" s="28" t="str">
        <f>IFERROR(__xludf.DUMMYFUNCTION("""COMPUTED_VALUE"""),"This EVENT card can be played only once during this game (per player) when your opponent has turned pages of your Spell Book with their card effects during this game (except from Damage). Apply both of the following effects in order: ● Reduce your opponen"&amp;"t's MP by 5. ● Get 5 MP.")</f>
        <v>This EVENT card can be played only once during this game (per player) when your opponent has turned pages of your Spell Book with their card effects during this game (except from Damage). Apply both of the following effects in order: ● Reduce your opponent's MP by 5. ● Get 5 MP.</v>
      </c>
      <c r="J163" s="27" t="str">
        <f>IFERROR(__xludf.DUMMYFUNCTION("""COMPUTED_VALUE"""),"-")</f>
        <v>-</v>
      </c>
      <c r="K163" s="27" t="str">
        <f>IFERROR(__xludf.DUMMYFUNCTION("""COMPUTED_VALUE"""),"-")</f>
        <v>-</v>
      </c>
      <c r="L163" s="27" t="str">
        <f>IFERROR(__xludf.DUMMYFUNCTION("""COMPUTED_VALUE"""),"-")</f>
        <v>-</v>
      </c>
      <c r="M163" s="27" t="str">
        <f>IFERROR(__xludf.DUMMYFUNCTION("""COMPUTED_VALUE"""),"[R]")</f>
        <v>[R]</v>
      </c>
      <c r="N163" s="27" t="str">
        <f>IFERROR(__xludf.DUMMYFUNCTION("""COMPUTED_VALUE"""),"""I feel it coming from the bottom of my heart!!! The new... AWAKENING!!!""")</f>
        <v>"I feel it coming from the bottom of my heart!!! The new... AWAKENING!!!"</v>
      </c>
      <c r="O163" s="27"/>
      <c r="P163" s="27"/>
      <c r="Q163" s="27"/>
      <c r="R163" s="27"/>
      <c r="S163" s="27"/>
      <c r="T163" s="27"/>
      <c r="U163" s="27"/>
      <c r="V163" s="27"/>
      <c r="W163" s="27"/>
      <c r="X163" s="27"/>
      <c r="Y163" s="27"/>
      <c r="Z163" s="27"/>
    </row>
    <row r="164">
      <c r="A164" s="29" t="str">
        <f>IFERROR(__xludf.DUMMYFUNCTION("""COMPUTED_VALUE"""),"E-142")</f>
        <v>E-142</v>
      </c>
      <c r="B164" s="27" t="str">
        <f>IFERROR(__xludf.DUMMYFUNCTION("""COMPUTED_VALUE"""),"Event")</f>
        <v>Event</v>
      </c>
      <c r="C164" s="27" t="str">
        <f>IFERROR(__xludf.DUMMYFUNCTION("""COMPUTED_VALUE"""),"You'll Come Back, Right?")</f>
        <v>You'll Come Back, Right?</v>
      </c>
      <c r="D164" s="27" t="str">
        <f>IFERROR(__xludf.DUMMYFUNCTION("""COMPUTED_VALUE"""),"-")</f>
        <v>-</v>
      </c>
      <c r="E164" s="27">
        <f>IFERROR(__xludf.DUMMYFUNCTION("""COMPUTED_VALUE"""),0.0)</f>
        <v>0</v>
      </c>
      <c r="F164" s="27" t="str">
        <f>IFERROR(__xludf.DUMMYFUNCTION("""COMPUTED_VALUE"""),"A")</f>
        <v>A</v>
      </c>
      <c r="G164" s="27" t="str">
        <f>IFERROR(__xludf.DUMMYFUNCTION("""COMPUTED_VALUE"""),"None")</f>
        <v>None</v>
      </c>
      <c r="H164" s="27" t="str">
        <f>IFERROR(__xludf.DUMMYFUNCTION("""COMPUTED_VALUE"""),"-")</f>
        <v>-</v>
      </c>
      <c r="I164" s="28" t="str">
        <f>IFERROR(__xludf.DUMMYFUNCTION("""COMPUTED_VALUE"""),"[STANDBY] Select 1 of your in-play cards. After applying this effect, only once during this game (per player), you can move the selected card from your Discard Pile into play.")</f>
        <v>[STANDBY] Select 1 of your in-play cards. After applying this effect, only once during this game (per player), you can move the selected card from your Discard Pile into play.</v>
      </c>
      <c r="J164" s="27" t="str">
        <f>IFERROR(__xludf.DUMMYFUNCTION("""COMPUTED_VALUE"""),"-")</f>
        <v>-</v>
      </c>
      <c r="K164" s="27" t="str">
        <f>IFERROR(__xludf.DUMMYFUNCTION("""COMPUTED_VALUE"""),"-")</f>
        <v>-</v>
      </c>
      <c r="L164" s="27" t="str">
        <f>IFERROR(__xludf.DUMMYFUNCTION("""COMPUTED_VALUE"""),"-")</f>
        <v>-</v>
      </c>
      <c r="M164" s="27" t="str">
        <f>IFERROR(__xludf.DUMMYFUNCTION("""COMPUTED_VALUE"""),"[R]")</f>
        <v>[R]</v>
      </c>
      <c r="N164" s="27" t="str">
        <f>IFERROR(__xludf.DUMMYFUNCTION("""COMPUTED_VALUE"""),"""You'll come back, right? You're gonna help me study again, right?""")</f>
        <v>"You'll come back, right? You're gonna help me study again, right?"</v>
      </c>
      <c r="O164" s="27"/>
      <c r="P164" s="27"/>
      <c r="Q164" s="27"/>
      <c r="R164" s="27"/>
      <c r="S164" s="27"/>
      <c r="T164" s="27"/>
      <c r="U164" s="27"/>
      <c r="V164" s="27"/>
      <c r="W164" s="27"/>
      <c r="X164" s="27"/>
      <c r="Y164" s="27"/>
      <c r="Z164" s="27"/>
    </row>
    <row r="165">
      <c r="A165" s="29" t="str">
        <f>IFERROR(__xludf.DUMMYFUNCTION("""COMPUTED_VALUE"""),"E-143")</f>
        <v>E-143</v>
      </c>
      <c r="B165" s="27" t="str">
        <f>IFERROR(__xludf.DUMMYFUNCTION("""COMPUTED_VALUE"""),"Event")</f>
        <v>Event</v>
      </c>
      <c r="C165" s="27" t="str">
        <f>IFERROR(__xludf.DUMMYFUNCTION("""COMPUTED_VALUE"""),"The Hurricane Test Battle")</f>
        <v>The Hurricane Test Battle</v>
      </c>
      <c r="D165" s="27" t="str">
        <f>IFERROR(__xludf.DUMMYFUNCTION("""COMPUTED_VALUE"""),"-")</f>
        <v>-</v>
      </c>
      <c r="E165" s="27">
        <f>IFERROR(__xludf.DUMMYFUNCTION("""COMPUTED_VALUE"""),1.0)</f>
        <v>1</v>
      </c>
      <c r="F165" s="27" t="str">
        <f>IFERROR(__xludf.DUMMYFUNCTION("""COMPUTED_VALUE"""),"AD")</f>
        <v>AD</v>
      </c>
      <c r="G165" s="27" t="str">
        <f>IFERROR(__xludf.DUMMYFUNCTION("""COMPUTED_VALUE"""),"Intermediate")</f>
        <v>Intermediate</v>
      </c>
      <c r="H165" s="27" t="str">
        <f>IFERROR(__xludf.DUMMYFUNCTION("""COMPUTED_VALUE"""),"-")</f>
        <v>-</v>
      </c>
      <c r="I165" s="28" t="str">
        <f>IFERROR(__xludf.DUMMYFUNCTION("""COMPUTED_VALUE"""),"[STANDBY] Select 1 EVENT card from any page of your Spell Book with ""Hidetoshi Nakata"", ""Mr. Toyama"", or ""Miss Wriggle"" in its card name. You can play the selected card with its MP cost considered to be 0 during this turn, regardless of Icons or the"&amp;" range of pages you are currently on. In addition, you can play up to 2 EVENT cards (including this card) during this turn.")</f>
        <v>[STANDBY] Select 1 EVENT card from any page of your Spell Book with "Hidetoshi Nakata", "Mr. Toyama", or "Miss Wriggle" in its card name. You can play the selected card with its MP cost considered to be 0 during this turn, regardless of Icons or the range of pages you are currently on. In addition, you can play up to 2 EVENT cards (including this card) during this turn.</v>
      </c>
      <c r="J165" s="27" t="str">
        <f>IFERROR(__xludf.DUMMYFUNCTION("""COMPUTED_VALUE"""),"-")</f>
        <v>-</v>
      </c>
      <c r="K165" s="27" t="str">
        <f>IFERROR(__xludf.DUMMYFUNCTION("""COMPUTED_VALUE"""),"-")</f>
        <v>-</v>
      </c>
      <c r="L165" s="27" t="str">
        <f>IFERROR(__xludf.DUMMYFUNCTION("""COMPUTED_VALUE"""),"-")</f>
        <v>-</v>
      </c>
      <c r="M165" s="27" t="str">
        <f>IFERROR(__xludf.DUMMYFUNCTION("""COMPUTED_VALUE"""),"[U]")</f>
        <v>[U]</v>
      </c>
      <c r="N165" s="27" t="str">
        <f>IFERROR(__xludf.DUMMYFUNCTION("""COMPUTED_VALUE"""),"""Oh ho ho ho! Are you feeling a little lovesick? Are you getting lovesick?""")</f>
        <v>"Oh ho ho ho! Are you feeling a little lovesick? Are you getting lovesick?"</v>
      </c>
      <c r="O165" s="27"/>
      <c r="P165" s="27"/>
      <c r="Q165" s="27"/>
      <c r="R165" s="27"/>
      <c r="S165" s="27"/>
      <c r="T165" s="27"/>
      <c r="U165" s="27"/>
      <c r="V165" s="27"/>
      <c r="W165" s="27"/>
      <c r="X165" s="27"/>
      <c r="Y165" s="27"/>
      <c r="Z165" s="27"/>
    </row>
    <row r="166">
      <c r="A166" s="29" t="str">
        <f>IFERROR(__xludf.DUMMYFUNCTION("""COMPUTED_VALUE"""),"E-144")</f>
        <v>E-144</v>
      </c>
      <c r="B166" s="27" t="str">
        <f>IFERROR(__xludf.DUMMYFUNCTION("""COMPUTED_VALUE"""),"Event")</f>
        <v>Event</v>
      </c>
      <c r="C166" s="27" t="str">
        <f>IFERROR(__xludf.DUMMYFUNCTION("""COMPUTED_VALUE"""),"Electromagnetic Field")</f>
        <v>Electromagnetic Field</v>
      </c>
      <c r="D166" s="27" t="str">
        <f>IFERROR(__xludf.DUMMYFUNCTION("""COMPUTED_VALUE"""),"-")</f>
        <v>-</v>
      </c>
      <c r="E166" s="27">
        <f>IFERROR(__xludf.DUMMYFUNCTION("""COMPUTED_VALUE"""),4.0)</f>
        <v>4</v>
      </c>
      <c r="F166" s="27" t="str">
        <f>IFERROR(__xludf.DUMMYFUNCTION("""COMPUTED_VALUE"""),"A")</f>
        <v>A</v>
      </c>
      <c r="G166" s="27" t="str">
        <f>IFERROR(__xludf.DUMMYFUNCTION("""COMPUTED_VALUE"""),"None")</f>
        <v>None</v>
      </c>
      <c r="H166" s="27" t="str">
        <f>IFERROR(__xludf.DUMMYFUNCTION("""COMPUTED_VALUE"""),"-")</f>
        <v>-</v>
      </c>
      <c r="I166" s="28" t="str">
        <f>IFERROR(__xludf.DUMMYFUNCTION("""COMPUTED_VALUE"""),"[STAY] After applying this effect, only once during this game (per player), reduce the Damage your opponent would inflict to your Spell Book by 1 (this effect can be duplicated).")</f>
        <v>[STAY] After applying this effect, only once during this game (per player), reduce the Damage your opponent would inflict to your Spell Book by 1 (this effect can be duplicated).</v>
      </c>
      <c r="J166" s="27" t="str">
        <f>IFERROR(__xludf.DUMMYFUNCTION("""COMPUTED_VALUE"""),"-")</f>
        <v>-</v>
      </c>
      <c r="K166" s="27" t="str">
        <f>IFERROR(__xludf.DUMMYFUNCTION("""COMPUTED_VALUE"""),"-")</f>
        <v>-</v>
      </c>
      <c r="L166" s="27" t="str">
        <f>IFERROR(__xludf.DUMMYFUNCTION("""COMPUTED_VALUE"""),"-")</f>
        <v>-</v>
      </c>
      <c r="M166" s="27" t="str">
        <f>IFERROR(__xludf.DUMMYFUNCTION("""COMPUTED_VALUE"""),"[C]")</f>
        <v>[C]</v>
      </c>
      <c r="N166" s="27" t="str">
        <f>IFERROR(__xludf.DUMMYFUNCTION("""COMPUTED_VALUE"""),"Maestro amplifies his own power several times over with the magnetic energy of the coils, which absorbs the excess energy of enemy spells.")</f>
        <v>Maestro amplifies his own power several times over with the magnetic energy of the coils, which absorbs the excess energy of enemy spells.</v>
      </c>
      <c r="O166" s="27"/>
      <c r="P166" s="27"/>
      <c r="Q166" s="27"/>
      <c r="R166" s="27"/>
      <c r="S166" s="27"/>
      <c r="T166" s="27"/>
      <c r="U166" s="27"/>
      <c r="V166" s="27"/>
      <c r="W166" s="27"/>
      <c r="X166" s="27"/>
      <c r="Y166" s="27"/>
      <c r="Z166" s="27"/>
    </row>
    <row r="167">
      <c r="A167" s="29" t="str">
        <f>IFERROR(__xludf.DUMMYFUNCTION("""COMPUTED_VALUE"""),"E-145")</f>
        <v>E-145</v>
      </c>
      <c r="B167" s="27" t="str">
        <f>IFERROR(__xludf.DUMMYFUNCTION("""COMPUTED_VALUE"""),"Event")</f>
        <v>Event</v>
      </c>
      <c r="C167" s="27" t="str">
        <f>IFERROR(__xludf.DUMMYFUNCTION("""COMPUTED_VALUE"""),"Black and White Harmony")</f>
        <v>Black and White Harmony</v>
      </c>
      <c r="D167" s="27" t="str">
        <f>IFERROR(__xludf.DUMMYFUNCTION("""COMPUTED_VALUE"""),"-")</f>
        <v>-</v>
      </c>
      <c r="E167" s="27">
        <f>IFERROR(__xludf.DUMMYFUNCTION("""COMPUTED_VALUE"""),1.0)</f>
        <v>1</v>
      </c>
      <c r="F167" s="27" t="str">
        <f>IFERROR(__xludf.DUMMYFUNCTION("""COMPUTED_VALUE"""),"AD")</f>
        <v>AD</v>
      </c>
      <c r="G167" s="27" t="str">
        <f>IFERROR(__xludf.DUMMYFUNCTION("""COMPUTED_VALUE"""),"None")</f>
        <v>None</v>
      </c>
      <c r="H167" s="27" t="str">
        <f>IFERROR(__xludf.DUMMYFUNCTION("""COMPUTED_VALUE"""),"-")</f>
        <v>-</v>
      </c>
      <c r="I167" s="28" t="str">
        <f>IFERROR(__xludf.DUMMYFUNCTION("""COMPUTED_VALUE"""),"Select 1 PARTNER card from any page of your Spell Book and put it in play. Then, get 4 MP. ")</f>
        <v>Select 1 PARTNER card from any page of your Spell Book and put it in play. Then, get 4 MP. </v>
      </c>
      <c r="J167" s="27" t="str">
        <f>IFERROR(__xludf.DUMMYFUNCTION("""COMPUTED_VALUE"""),"-")</f>
        <v>-</v>
      </c>
      <c r="K167" s="27" t="str">
        <f>IFERROR(__xludf.DUMMYFUNCTION("""COMPUTED_VALUE"""),"-")</f>
        <v>-</v>
      </c>
      <c r="L167" s="27" t="str">
        <f>IFERROR(__xludf.DUMMYFUNCTION("""COMPUTED_VALUE"""),"-")</f>
        <v>-</v>
      </c>
      <c r="M167" s="27" t="str">
        <f>IFERROR(__xludf.DUMMYFUNCTION("""COMPUTED_VALUE"""),"[R]")</f>
        <v>[R]</v>
      </c>
      <c r="N167" s="27" t="str">
        <f>IFERROR(__xludf.DUMMYFUNCTION("""COMPUTED_VALUE"""),"""I've been thinking this whole time about something Brago said. Thinking about what his words mean to me...""")</f>
        <v>"I've been thinking this whole time about something Brago said. Thinking about what his words mean to me..."</v>
      </c>
      <c r="O167" s="27"/>
      <c r="P167" s="27"/>
      <c r="Q167" s="27"/>
      <c r="R167" s="27"/>
      <c r="S167" s="27"/>
      <c r="T167" s="27"/>
      <c r="U167" s="27"/>
      <c r="V167" s="27"/>
      <c r="W167" s="27"/>
      <c r="X167" s="27"/>
      <c r="Y167" s="27"/>
      <c r="Z167" s="27"/>
    </row>
    <row r="168">
      <c r="A168" s="29" t="str">
        <f>IFERROR(__xludf.DUMMYFUNCTION("""COMPUTED_VALUE"""),"E-146")</f>
        <v>E-146</v>
      </c>
      <c r="B168" s="27" t="str">
        <f>IFERROR(__xludf.DUMMYFUNCTION("""COMPUTED_VALUE"""),"Event")</f>
        <v>Event</v>
      </c>
      <c r="C168" s="27" t="str">
        <f>IFERROR(__xludf.DUMMYFUNCTION("""COMPUTED_VALUE"""),"United Front")</f>
        <v>United Front</v>
      </c>
      <c r="D168" s="27" t="str">
        <f>IFERROR(__xludf.DUMMYFUNCTION("""COMPUTED_VALUE"""),"-")</f>
        <v>-</v>
      </c>
      <c r="E168" s="27">
        <f>IFERROR(__xludf.DUMMYFUNCTION("""COMPUTED_VALUE"""),0.0)</f>
        <v>0</v>
      </c>
      <c r="F168" s="27" t="str">
        <f>IFERROR(__xludf.DUMMYFUNCTION("""COMPUTED_VALUE"""),"A")</f>
        <v>A</v>
      </c>
      <c r="G168" s="27" t="str">
        <f>IFERROR(__xludf.DUMMYFUNCTION("""COMPUTED_VALUE"""),"Intermediate")</f>
        <v>Intermediate</v>
      </c>
      <c r="H168" s="27" t="str">
        <f>IFERROR(__xludf.DUMMYFUNCTION("""COMPUTED_VALUE"""),"-")</f>
        <v>-</v>
      </c>
      <c r="I168" s="28" t="str">
        <f>IFERROR(__xludf.DUMMYFUNCTION("""COMPUTED_VALUE"""),"This EVENT card can be played only when there are 2 SPELL cards with different MAMODO names in the pages immediately following the currently open pages of your Spell Book, and the conditions are met for you to play them both. Apply both of the following e"&amp;"ffects in order: ● Turn 1 page of your opponent's Spell Book. ● [STAY] Increase the Damage of the 2 SPELL cards in those pages by 1 during this turn.")</f>
        <v>This EVENT card can be played only when there are 2 SPELL cards with different MAMODO names in the pages immediately following the currently open pages of your Spell Book, and the conditions are met for you to play them both. Apply both of the following effects in order: ● Turn 1 page of your opponent's Spell Book. ● [STAY] Increase the Damage of the 2 SPELL cards in those pages by 1 during this turn.</v>
      </c>
      <c r="J168" s="27" t="str">
        <f>IFERROR(__xludf.DUMMYFUNCTION("""COMPUTED_VALUE"""),"-")</f>
        <v>-</v>
      </c>
      <c r="K168" s="27" t="str">
        <f>IFERROR(__xludf.DUMMYFUNCTION("""COMPUTED_VALUE"""),"-")</f>
        <v>-</v>
      </c>
      <c r="L168" s="27" t="str">
        <f>IFERROR(__xludf.DUMMYFUNCTION("""COMPUTED_VALUE"""),"-")</f>
        <v>-</v>
      </c>
      <c r="M168" s="27" t="str">
        <f>IFERROR(__xludf.DUMMYFUNCTION("""COMPUTED_VALUE"""),"[SR]")</f>
        <v>[SR]</v>
      </c>
      <c r="N168" s="27" t="str">
        <f>IFERROR(__xludf.DUMMYFUNCTION("""COMPUTED_VALUE"""),"""Yeah? Same to you.""")</f>
        <v>"Yeah? Same to you."</v>
      </c>
      <c r="O168" s="27"/>
      <c r="P168" s="27"/>
      <c r="Q168" s="27"/>
      <c r="R168" s="27"/>
      <c r="S168" s="27"/>
      <c r="T168" s="27"/>
      <c r="U168" s="27"/>
      <c r="V168" s="27"/>
      <c r="W168" s="27"/>
      <c r="X168" s="27"/>
      <c r="Y168" s="27"/>
      <c r="Z168" s="27"/>
    </row>
    <row r="169">
      <c r="A169" s="29" t="str">
        <f>IFERROR(__xludf.DUMMYFUNCTION("""COMPUTED_VALUE"""),"E-147")</f>
        <v>E-147</v>
      </c>
      <c r="B169" s="27" t="str">
        <f>IFERROR(__xludf.DUMMYFUNCTION("""COMPUTED_VALUE"""),"Event")</f>
        <v>Event</v>
      </c>
      <c r="C169" s="27" t="str">
        <f>IFERROR(__xludf.DUMMYFUNCTION("""COMPUTED_VALUE"""),"Scarfing Down Yellowtail")</f>
        <v>Scarfing Down Yellowtail</v>
      </c>
      <c r="D169" s="27" t="str">
        <f>IFERROR(__xludf.DUMMYFUNCTION("""COMPUTED_VALUE"""),"-")</f>
        <v>-</v>
      </c>
      <c r="E169" s="27">
        <f>IFERROR(__xludf.DUMMYFUNCTION("""COMPUTED_VALUE"""),1.0)</f>
        <v>1</v>
      </c>
      <c r="F169" s="27" t="str">
        <f>IFERROR(__xludf.DUMMYFUNCTION("""COMPUTED_VALUE"""),"A")</f>
        <v>A</v>
      </c>
      <c r="G169" s="27" t="str">
        <f>IFERROR(__xludf.DUMMYFUNCTION("""COMPUTED_VALUE"""),"None")</f>
        <v>None</v>
      </c>
      <c r="H169" s="27" t="str">
        <f>IFERROR(__xludf.DUMMYFUNCTION("""COMPUTED_VALUE"""),"-")</f>
        <v>-</v>
      </c>
      <c r="I169" s="28" t="str">
        <f>IFERROR(__xludf.DUMMYFUNCTION("""COMPUTED_VALUE"""),"Apply 1 of the following effects: ● Get 3 MP. ● Select 1 of your in-play MAMODO cards (including Petrified MAMODO cards) and turn it to Normal Status.")</f>
        <v>Apply 1 of the following effects: ● Get 3 MP. ● Select 1 of your in-play MAMODO cards (including Petrified MAMODO cards) and turn it to Normal Status.</v>
      </c>
      <c r="J169" s="27" t="str">
        <f>IFERROR(__xludf.DUMMYFUNCTION("""COMPUTED_VALUE"""),"-")</f>
        <v>-</v>
      </c>
      <c r="K169" s="27" t="str">
        <f>IFERROR(__xludf.DUMMYFUNCTION("""COMPUTED_VALUE"""),"-")</f>
        <v>-</v>
      </c>
      <c r="L169" s="27" t="str">
        <f>IFERROR(__xludf.DUMMYFUNCTION("""COMPUTED_VALUE"""),"-")</f>
        <v>-</v>
      </c>
      <c r="M169" s="27" t="str">
        <f>IFERROR(__xludf.DUMMYFUNCTION("""COMPUTED_VALUE"""),"[C]")</f>
        <v>[C]</v>
      </c>
      <c r="N169" s="27" t="str">
        <f>IFERROR(__xludf.DUMMYFUNCTION("""COMPUTED_VALUE"""),"Yellowtail is Zatch's favorite food. He prefers to bite into them headfirst.")</f>
        <v>Yellowtail is Zatch's favorite food. He prefers to bite into them headfirst.</v>
      </c>
      <c r="O169" s="27"/>
      <c r="P169" s="27"/>
      <c r="Q169" s="27"/>
      <c r="R169" s="27"/>
      <c r="S169" s="27"/>
      <c r="T169" s="27"/>
      <c r="U169" s="27"/>
      <c r="V169" s="27"/>
      <c r="W169" s="27"/>
      <c r="X169" s="27"/>
      <c r="Y169" s="27"/>
      <c r="Z169" s="27"/>
    </row>
    <row r="170">
      <c r="A170" s="29" t="str">
        <f>IFERROR(__xludf.DUMMYFUNCTION("""COMPUTED_VALUE"""),"E-148")</f>
        <v>E-148</v>
      </c>
      <c r="B170" s="27" t="str">
        <f>IFERROR(__xludf.DUMMYFUNCTION("""COMPUTED_VALUE"""),"Event")</f>
        <v>Event</v>
      </c>
      <c r="C170" s="27" t="str">
        <f>IFERROR(__xludf.DUMMYFUNCTION("""COMPUTED_VALUE"""),"Leveling Up!")</f>
        <v>Leveling Up!</v>
      </c>
      <c r="D170" s="27" t="str">
        <f>IFERROR(__xludf.DUMMYFUNCTION("""COMPUTED_VALUE"""),"-")</f>
        <v>-</v>
      </c>
      <c r="E170" s="27">
        <f>IFERROR(__xludf.DUMMYFUNCTION("""COMPUTED_VALUE"""),0.0)</f>
        <v>0</v>
      </c>
      <c r="F170" s="27" t="str">
        <f>IFERROR(__xludf.DUMMYFUNCTION("""COMPUTED_VALUE"""),"A")</f>
        <v>A</v>
      </c>
      <c r="G170" s="27" t="str">
        <f>IFERROR(__xludf.DUMMYFUNCTION("""COMPUTED_VALUE"""),"Intermediate")</f>
        <v>Intermediate</v>
      </c>
      <c r="H170" s="27" t="str">
        <f>IFERROR(__xludf.DUMMYFUNCTION("""COMPUTED_VALUE"""),"-")</f>
        <v>-</v>
      </c>
      <c r="I170" s="28" t="str">
        <f>IFERROR(__xludf.DUMMYFUNCTION("""COMPUTED_VALUE"""),"This EVENT card can be played only when you are on the 12th page or higher of your Spell Book. Select 1 S-MAMODO card from any page of your Spell Book and place it on its appropriate MAMODO card. This effect cannot be negated by a cut-in effect.")</f>
        <v>This EVENT card can be played only when you are on the 12th page or higher of your Spell Book. Select 1 S-MAMODO card from any page of your Spell Book and place it on its appropriate MAMODO card. This effect cannot be negated by a cut-in effect.</v>
      </c>
      <c r="J170" s="27" t="str">
        <f>IFERROR(__xludf.DUMMYFUNCTION("""COMPUTED_VALUE"""),"-")</f>
        <v>-</v>
      </c>
      <c r="K170" s="27" t="str">
        <f>IFERROR(__xludf.DUMMYFUNCTION("""COMPUTED_VALUE"""),"-")</f>
        <v>-</v>
      </c>
      <c r="L170" s="27" t="str">
        <f>IFERROR(__xludf.DUMMYFUNCTION("""COMPUTED_VALUE"""),"-")</f>
        <v>-</v>
      </c>
      <c r="M170" s="27" t="str">
        <f>IFERROR(__xludf.DUMMYFUNCTION("""COMPUTED_VALUE"""),"[U]")</f>
        <v>[U]</v>
      </c>
      <c r="N170" s="27" t="str">
        <f>IFERROR(__xludf.DUMMYFUNCTION("""COMPUTED_VALUE"""),"Each wound he incurs, and every tear he sheds... becomes fuel for the fire of Zatch's extraordinary potential.")</f>
        <v>Each wound he incurs, and every tear he sheds... becomes fuel for the fire of Zatch's extraordinary potential.</v>
      </c>
      <c r="O170" s="27"/>
      <c r="P170" s="27"/>
      <c r="Q170" s="27"/>
      <c r="R170" s="27"/>
      <c r="S170" s="27"/>
      <c r="T170" s="27"/>
      <c r="U170" s="27"/>
      <c r="V170" s="27"/>
      <c r="W170" s="27"/>
      <c r="X170" s="27"/>
      <c r="Y170" s="27"/>
      <c r="Z170" s="27"/>
    </row>
    <row r="171">
      <c r="A171" s="29" t="str">
        <f>IFERROR(__xludf.DUMMYFUNCTION("""COMPUTED_VALUE"""),"E-149")</f>
        <v>E-149</v>
      </c>
      <c r="B171" s="27" t="str">
        <f>IFERROR(__xludf.DUMMYFUNCTION("""COMPUTED_VALUE"""),"Event")</f>
        <v>Event</v>
      </c>
      <c r="C171" s="27" t="str">
        <f>IFERROR(__xludf.DUMMYFUNCTION("""COMPUTED_VALUE"""),"New Battles Ahead")</f>
        <v>New Battles Ahead</v>
      </c>
      <c r="D171" s="27" t="str">
        <f>IFERROR(__xludf.DUMMYFUNCTION("""COMPUTED_VALUE"""),"-")</f>
        <v>-</v>
      </c>
      <c r="E171" s="27">
        <f>IFERROR(__xludf.DUMMYFUNCTION("""COMPUTED_VALUE"""),1.0)</f>
        <v>1</v>
      </c>
      <c r="F171" s="27" t="str">
        <f>IFERROR(__xludf.DUMMYFUNCTION("""COMPUTED_VALUE"""),"A")</f>
        <v>A</v>
      </c>
      <c r="G171" s="27" t="str">
        <f>IFERROR(__xludf.DUMMYFUNCTION("""COMPUTED_VALUE"""),"None")</f>
        <v>None</v>
      </c>
      <c r="H171" s="27" t="str">
        <f>IFERROR(__xludf.DUMMYFUNCTION("""COMPUTED_VALUE"""),"-")</f>
        <v>-</v>
      </c>
      <c r="I171" s="28" t="str">
        <f>IFERROR(__xludf.DUMMYFUNCTION("""COMPUTED_VALUE"""),"Apply 1 or both of the following effects in order: ● Send any number of your in-play MAMODO cards (including Petrified MAMODO cards) to the Discard Pile. ● Select up to 2 cards from any page of your Spell Book and put them in play.")</f>
        <v>Apply 1 or both of the following effects in order: ● Send any number of your in-play MAMODO cards (including Petrified MAMODO cards) to the Discard Pile. ● Select up to 2 cards from any page of your Spell Book and put them in play.</v>
      </c>
      <c r="J171" s="27" t="str">
        <f>IFERROR(__xludf.DUMMYFUNCTION("""COMPUTED_VALUE"""),"-")</f>
        <v>-</v>
      </c>
      <c r="K171" s="27" t="str">
        <f>IFERROR(__xludf.DUMMYFUNCTION("""COMPUTED_VALUE"""),"-")</f>
        <v>-</v>
      </c>
      <c r="L171" s="27" t="str">
        <f>IFERROR(__xludf.DUMMYFUNCTION("""COMPUTED_VALUE"""),"-")</f>
        <v>-</v>
      </c>
      <c r="M171" s="27" t="str">
        <f>IFERROR(__xludf.DUMMYFUNCTION("""COMPUTED_VALUE"""),"[SR]")</f>
        <v>[SR]</v>
      </c>
      <c r="N171" s="27" t="str">
        <f>IFERROR(__xludf.DUMMYFUNCTION("""COMPUTED_VALUE"""),"Not long after Zofis' ambitions were foiled, a series of battles against new mamodo is about to unfold.")</f>
        <v>Not long after Zofis' ambitions were foiled, a series of battles against new mamodo is about to unfold.</v>
      </c>
      <c r="O171" s="27"/>
      <c r="P171" s="27"/>
      <c r="Q171" s="27"/>
      <c r="R171" s="27"/>
      <c r="S171" s="27"/>
      <c r="T171" s="27"/>
      <c r="U171" s="27"/>
      <c r="V171" s="27"/>
      <c r="W171" s="27"/>
      <c r="X171" s="27"/>
      <c r="Y171" s="27"/>
      <c r="Z171" s="27"/>
    </row>
    <row r="172">
      <c r="A172" s="29" t="str">
        <f>IFERROR(__xludf.DUMMYFUNCTION("""COMPUTED_VALUE"""),"E-150")</f>
        <v>E-150</v>
      </c>
      <c r="B172" s="27" t="str">
        <f>IFERROR(__xludf.DUMMYFUNCTION("""COMPUTED_VALUE"""),"Event")</f>
        <v>Event</v>
      </c>
      <c r="C172" s="27" t="str">
        <f>IFERROR(__xludf.DUMMYFUNCTION("""COMPUTED_VALUE"""),"Everybody, Very Melon")</f>
        <v>Everybody, Very Melon</v>
      </c>
      <c r="D172" s="27" t="str">
        <f>IFERROR(__xludf.DUMMYFUNCTION("""COMPUTED_VALUE"""),"-")</f>
        <v>-</v>
      </c>
      <c r="E172" s="27">
        <f>IFERROR(__xludf.DUMMYFUNCTION("""COMPUTED_VALUE"""),2.0)</f>
        <v>2</v>
      </c>
      <c r="F172" s="27" t="str">
        <f>IFERROR(__xludf.DUMMYFUNCTION("""COMPUTED_VALUE"""),"A")</f>
        <v>A</v>
      </c>
      <c r="G172" s="27" t="str">
        <f>IFERROR(__xludf.DUMMYFUNCTION("""COMPUTED_VALUE"""),"None")</f>
        <v>None</v>
      </c>
      <c r="H172" s="27" t="str">
        <f>IFERROR(__xludf.DUMMYFUNCTION("""COMPUTED_VALUE"""),"-")</f>
        <v>-</v>
      </c>
      <c r="I172" s="28" t="str">
        <f>IFERROR(__xludf.DUMMYFUNCTION("""COMPUTED_VALUE"""),"Apply both of the following effects in order: ● Negate either all active [Stay] OR [Standby] effects. ● [STAY] During this game, neither player can apply [Stay] effects that remain active for the duration of the game (except this effect).")</f>
        <v>Apply both of the following effects in order: ● Negate either all active [Stay] OR [Standby] effects. ● [STAY] During this game, neither player can apply [Stay] effects that remain active for the duration of the game (except this effect).</v>
      </c>
      <c r="J172" s="27" t="str">
        <f>IFERROR(__xludf.DUMMYFUNCTION("""COMPUTED_VALUE"""),"-")</f>
        <v>-</v>
      </c>
      <c r="K172" s="27" t="str">
        <f>IFERROR(__xludf.DUMMYFUNCTION("""COMPUTED_VALUE"""),"-")</f>
        <v>-</v>
      </c>
      <c r="L172" s="27" t="str">
        <f>IFERROR(__xludf.DUMMYFUNCTION("""COMPUTED_VALUE"""),"-")</f>
        <v>-</v>
      </c>
      <c r="M172" s="27" t="str">
        <f>IFERROR(__xludf.DUMMYFUNCTION("""COMPUTED_VALUE"""),"[R]")</f>
        <v>[R]</v>
      </c>
      <c r="N172" s="27" t="str">
        <f>IFERROR(__xludf.DUMMYFUNCTION("""COMPUTED_VALUE"""),"""Very Melon!!""")</f>
        <v>"Very Melon!!"</v>
      </c>
      <c r="O172" s="27"/>
      <c r="P172" s="27"/>
      <c r="Q172" s="27"/>
      <c r="R172" s="27"/>
      <c r="S172" s="27"/>
      <c r="T172" s="27"/>
      <c r="U172" s="27"/>
      <c r="V172" s="27"/>
      <c r="W172" s="27"/>
      <c r="X172" s="27"/>
      <c r="Y172" s="27"/>
      <c r="Z172" s="27"/>
    </row>
    <row r="173">
      <c r="A173" s="29" t="str">
        <f>IFERROR(__xludf.DUMMYFUNCTION("""COMPUTED_VALUE"""),"E-151")</f>
        <v>E-151</v>
      </c>
      <c r="B173" s="27" t="str">
        <f>IFERROR(__xludf.DUMMYFUNCTION("""COMPUTED_VALUE"""),"Event")</f>
        <v>Event</v>
      </c>
      <c r="C173" s="27" t="str">
        <f>IFERROR(__xludf.DUMMYFUNCTION("""COMPUTED_VALUE"""),"Faudo's True Form")</f>
        <v>Faudo's True Form</v>
      </c>
      <c r="D173" s="27" t="str">
        <f>IFERROR(__xludf.DUMMYFUNCTION("""COMPUTED_VALUE"""),"-")</f>
        <v>-</v>
      </c>
      <c r="E173" s="27">
        <f>IFERROR(__xludf.DUMMYFUNCTION("""COMPUTED_VALUE"""),9.0)</f>
        <v>9</v>
      </c>
      <c r="F173" s="27" t="str">
        <f>IFERROR(__xludf.DUMMYFUNCTION("""COMPUTED_VALUE"""),"A")</f>
        <v>A</v>
      </c>
      <c r="G173" s="27" t="str">
        <f>IFERROR(__xludf.DUMMYFUNCTION("""COMPUTED_VALUE"""),"Superior")</f>
        <v>Superior</v>
      </c>
      <c r="H173" s="27" t="str">
        <f>IFERROR(__xludf.DUMMYFUNCTION("""COMPUTED_VALUE"""),"-")</f>
        <v>-</v>
      </c>
      <c r="I173" s="28" t="str">
        <f>IFERROR(__xludf.DUMMYFUNCTION("""COMPUTED_VALUE"""),"This EVENT card can be played only by paying its original MP cost. Turn 4 pages of your opponent's Spell Book.")</f>
        <v>This EVENT card can be played only by paying its original MP cost. Turn 4 pages of your opponent's Spell Book.</v>
      </c>
      <c r="J173" s="27" t="str">
        <f>IFERROR(__xludf.DUMMYFUNCTION("""COMPUTED_VALUE"""),"-")</f>
        <v>-</v>
      </c>
      <c r="K173" s="27" t="str">
        <f>IFERROR(__xludf.DUMMYFUNCTION("""COMPUTED_VALUE"""),"-")</f>
        <v>-</v>
      </c>
      <c r="L173" s="27" t="str">
        <f>IFERROR(__xludf.DUMMYFUNCTION("""COMPUTED_VALUE"""),"-")</f>
        <v>-</v>
      </c>
      <c r="M173" s="27" t="str">
        <f>IFERROR(__xludf.DUMMYFUNCTION("""COMPUTED_VALUE"""),"[R]")</f>
        <v>[R]</v>
      </c>
      <c r="N173" s="27" t="str">
        <f>IFERROR(__xludf.DUMMYFUNCTION("""COMPUTED_VALUE"""),"""No way... They're planning to break the lock... so that they can set loose that giant mamodo on Earth?""")</f>
        <v>"No way... They're planning to break the lock... so that they can set loose that giant mamodo on Earth?"</v>
      </c>
      <c r="O173" s="27"/>
      <c r="P173" s="27"/>
      <c r="Q173" s="27"/>
      <c r="R173" s="27"/>
      <c r="S173" s="27"/>
      <c r="T173" s="27"/>
      <c r="U173" s="27"/>
      <c r="V173" s="27"/>
      <c r="W173" s="27"/>
      <c r="X173" s="27"/>
      <c r="Y173" s="27"/>
      <c r="Z173" s="27"/>
    </row>
    <row r="174">
      <c r="A174" s="29" t="str">
        <f>IFERROR(__xludf.DUMMYFUNCTION("""COMPUTED_VALUE"""),"E-152")</f>
        <v>E-152</v>
      </c>
      <c r="B174" s="27" t="str">
        <f>IFERROR(__xludf.DUMMYFUNCTION("""COMPUTED_VALUE"""),"Event")</f>
        <v>Event</v>
      </c>
      <c r="C174" s="27" t="str">
        <f>IFERROR(__xludf.DUMMYFUNCTION("""COMPUTED_VALUE"""),"Zatch Bell VS Naomi")</f>
        <v>Zatch Bell VS Naomi</v>
      </c>
      <c r="D174" s="27" t="str">
        <f>IFERROR(__xludf.DUMMYFUNCTION("""COMPUTED_VALUE"""),"-")</f>
        <v>-</v>
      </c>
      <c r="E174" s="27">
        <f>IFERROR(__xludf.DUMMYFUNCTION("""COMPUTED_VALUE"""),0.0)</f>
        <v>0</v>
      </c>
      <c r="F174" s="27" t="str">
        <f>IFERROR(__xludf.DUMMYFUNCTION("""COMPUTED_VALUE"""),"A")</f>
        <v>A</v>
      </c>
      <c r="G174" s="27" t="str">
        <f>IFERROR(__xludf.DUMMYFUNCTION("""COMPUTED_VALUE"""),"None")</f>
        <v>None</v>
      </c>
      <c r="H174" s="27" t="str">
        <f>IFERROR(__xludf.DUMMYFUNCTION("""COMPUTED_VALUE"""),"-")</f>
        <v>-</v>
      </c>
      <c r="I174" s="28" t="str">
        <f>IFERROR(__xludf.DUMMYFUNCTION("""COMPUTED_VALUE"""),"Look at your opponent's Spell Book. Select 1 card with effects that prohibit you from SACRIFICING or PROTECTING your Spell Book from Damage and send it to the Discard Pile.")</f>
        <v>Look at your opponent's Spell Book. Select 1 card with effects that prohibit you from SACRIFICING or PROTECTING your Spell Book from Damage and send it to the Discard Pile.</v>
      </c>
      <c r="J174" s="27" t="str">
        <f>IFERROR(__xludf.DUMMYFUNCTION("""COMPUTED_VALUE"""),"-")</f>
        <v>-</v>
      </c>
      <c r="K174" s="27" t="str">
        <f>IFERROR(__xludf.DUMMYFUNCTION("""COMPUTED_VALUE"""),"-")</f>
        <v>-</v>
      </c>
      <c r="L174" s="27" t="str">
        <f>IFERROR(__xludf.DUMMYFUNCTION("""COMPUTED_VALUE"""),"-")</f>
        <v>-</v>
      </c>
      <c r="M174" s="27" t="str">
        <f>IFERROR(__xludf.DUMMYFUNCTION("""COMPUTED_VALUE"""),"[R]")</f>
        <v>[R]</v>
      </c>
      <c r="N174" s="27" t="str">
        <f>IFERROR(__xludf.DUMMYFUNCTION("""COMPUTED_VALUE"""),"""WAAHH! Somebody help me!""")</f>
        <v>"WAAHH! Somebody help me!"</v>
      </c>
      <c r="O174" s="27"/>
      <c r="P174" s="27"/>
      <c r="Q174" s="27"/>
      <c r="R174" s="27"/>
      <c r="S174" s="27"/>
      <c r="T174" s="27"/>
      <c r="U174" s="27"/>
      <c r="V174" s="27"/>
      <c r="W174" s="27"/>
      <c r="X174" s="27"/>
      <c r="Y174" s="27"/>
      <c r="Z174" s="27"/>
    </row>
    <row r="175">
      <c r="A175" s="29" t="str">
        <f>IFERROR(__xludf.DUMMYFUNCTION("""COMPUTED_VALUE"""),"E-153")</f>
        <v>E-153</v>
      </c>
      <c r="B175" s="27" t="str">
        <f>IFERROR(__xludf.DUMMYFUNCTION("""COMPUTED_VALUE"""),"Event")</f>
        <v>Event</v>
      </c>
      <c r="C175" s="27" t="str">
        <f>IFERROR(__xludf.DUMMYFUNCTION("""COMPUTED_VALUE"""),"The Carrot Fiasco")</f>
        <v>The Carrot Fiasco</v>
      </c>
      <c r="D175" s="27" t="str">
        <f>IFERROR(__xludf.DUMMYFUNCTION("""COMPUTED_VALUE"""),"-")</f>
        <v>-</v>
      </c>
      <c r="E175" s="27">
        <f>IFERROR(__xludf.DUMMYFUNCTION("""COMPUTED_VALUE"""),0.0)</f>
        <v>0</v>
      </c>
      <c r="F175" s="27" t="str">
        <f>IFERROR(__xludf.DUMMYFUNCTION("""COMPUTED_VALUE"""),"A")</f>
        <v>A</v>
      </c>
      <c r="G175" s="27" t="str">
        <f>IFERROR(__xludf.DUMMYFUNCTION("""COMPUTED_VALUE"""),"None")</f>
        <v>None</v>
      </c>
      <c r="H175" s="27" t="str">
        <f>IFERROR(__xludf.DUMMYFUNCTION("""COMPUTED_VALUE"""),"-")</f>
        <v>-</v>
      </c>
      <c r="I175" s="28" t="str">
        <f>IFERROR(__xludf.DUMMYFUNCTION("""COMPUTED_VALUE"""),"Look at your opponent's Spell Book. Select 1 card with effects that allow your opponent to get MP and send it to the Discard Pile. Most horses enjoy the taste of carrots. But for Ponygon...")</f>
        <v>Look at your opponent's Spell Book. Select 1 card with effects that allow your opponent to get MP and send it to the Discard Pile. Most horses enjoy the taste of carrots. But for Ponygon...</v>
      </c>
      <c r="J175" s="27" t="str">
        <f>IFERROR(__xludf.DUMMYFUNCTION("""COMPUTED_VALUE"""),"-")</f>
        <v>-</v>
      </c>
      <c r="K175" s="27" t="str">
        <f>IFERROR(__xludf.DUMMYFUNCTION("""COMPUTED_VALUE"""),"-")</f>
        <v>-</v>
      </c>
      <c r="L175" s="27" t="str">
        <f>IFERROR(__xludf.DUMMYFUNCTION("""COMPUTED_VALUE"""),"-")</f>
        <v>-</v>
      </c>
      <c r="M175" s="27" t="str">
        <f>IFERROR(__xludf.DUMMYFUNCTION("""COMPUTED_VALUE"""),"[R]")</f>
        <v>[R]</v>
      </c>
      <c r="N175" s="27" t="str">
        <f>IFERROR(__xludf.DUMMYFUNCTION("""COMPUTED_VALUE"""),"""BLECH!!!""")</f>
        <v>"BLECH!!!"</v>
      </c>
      <c r="O175" s="27"/>
      <c r="P175" s="27"/>
      <c r="Q175" s="27"/>
      <c r="R175" s="27"/>
      <c r="S175" s="27"/>
      <c r="T175" s="27"/>
      <c r="U175" s="27"/>
      <c r="V175" s="27"/>
      <c r="W175" s="27"/>
      <c r="X175" s="27"/>
      <c r="Y175" s="27"/>
      <c r="Z175" s="27"/>
    </row>
    <row r="176">
      <c r="A176" s="27" t="str">
        <f>IFERROR(__xludf.DUMMYFUNCTION("""COMPUTED_VALUE"""),"E-154")</f>
        <v>E-154</v>
      </c>
      <c r="B176" s="27" t="str">
        <f>IFERROR(__xludf.DUMMYFUNCTION("""COMPUTED_VALUE"""),"Event")</f>
        <v>Event</v>
      </c>
      <c r="C176" s="27" t="str">
        <f>IFERROR(__xludf.DUMMYFUNCTION("""COMPUTED_VALUE"""),"Kyle's Shout")</f>
        <v>Kyle's Shout</v>
      </c>
      <c r="D176" s="27" t="str">
        <f>IFERROR(__xludf.DUMMYFUNCTION("""COMPUTED_VALUE"""),"-")</f>
        <v>-</v>
      </c>
      <c r="E176" s="27">
        <f>IFERROR(__xludf.DUMMYFUNCTION("""COMPUTED_VALUE"""),0.0)</f>
        <v>0</v>
      </c>
      <c r="F176" s="27" t="str">
        <f>IFERROR(__xludf.DUMMYFUNCTION("""COMPUTED_VALUE"""),"A")</f>
        <v>A</v>
      </c>
      <c r="G176" s="27" t="str">
        <f>IFERROR(__xludf.DUMMYFUNCTION("""COMPUTED_VALUE"""),"None")</f>
        <v>None</v>
      </c>
      <c r="H176" s="27" t="str">
        <f>IFERROR(__xludf.DUMMYFUNCTION("""COMPUTED_VALUE"""),"-")</f>
        <v>-</v>
      </c>
      <c r="I176" s="28" t="str">
        <f>IFERROR(__xludf.DUMMYFUNCTION("""COMPUTED_VALUE"""),"This EVENT card can be played only once during this game when your MP has been reduced by your opponent's card effects during this game. Swap your MP total with your opponent's MP total.")</f>
        <v>This EVENT card can be played only once during this game when your MP has been reduced by your opponent's card effects during this game. Swap your MP total with your opponent's MP total.</v>
      </c>
      <c r="J176" s="27" t="str">
        <f>IFERROR(__xludf.DUMMYFUNCTION("""COMPUTED_VALUE"""),"-")</f>
        <v>-</v>
      </c>
      <c r="K176" s="27" t="str">
        <f>IFERROR(__xludf.DUMMYFUNCTION("""COMPUTED_VALUE"""),"-")</f>
        <v>-</v>
      </c>
      <c r="L176" s="27" t="str">
        <f>IFERROR(__xludf.DUMMYFUNCTION("""COMPUTED_VALUE"""),"-")</f>
        <v>-</v>
      </c>
      <c r="M176" s="27" t="str">
        <f>IFERROR(__xludf.DUMMYFUNCTION("""COMPUTED_VALUE"""),"[C]")</f>
        <v>[C]</v>
      </c>
      <c r="N176" s="27" t="str">
        <f>IFERROR(__xludf.DUMMYFUNCTION("""COMPUTED_VALUE"""),"""If you don't stop being bad...I'm gonna tell everybody! You got that?!""")</f>
        <v>"If you don't stop being bad...I'm gonna tell everybody! You got that?!"</v>
      </c>
      <c r="O176" s="27"/>
      <c r="P176" s="27"/>
      <c r="Q176" s="27"/>
      <c r="R176" s="27"/>
      <c r="S176" s="27"/>
      <c r="T176" s="27"/>
      <c r="U176" s="27"/>
      <c r="V176" s="27"/>
      <c r="W176" s="27"/>
      <c r="X176" s="27"/>
      <c r="Y176" s="27"/>
      <c r="Z176" s="27"/>
    </row>
    <row r="177">
      <c r="A177" s="29" t="str">
        <f>IFERROR(__xludf.DUMMYFUNCTION("""COMPUTED_VALUE"""),"E-155")</f>
        <v>E-155</v>
      </c>
      <c r="B177" s="27" t="str">
        <f>IFERROR(__xludf.DUMMYFUNCTION("""COMPUTED_VALUE"""),"Event")</f>
        <v>Event</v>
      </c>
      <c r="C177" s="27" t="str">
        <f>IFERROR(__xludf.DUMMYFUNCTION("""COMPUTED_VALUE"""),"Faudo's Seal")</f>
        <v>Faudo's Seal</v>
      </c>
      <c r="D177" s="27" t="str">
        <f>IFERROR(__xludf.DUMMYFUNCTION("""COMPUTED_VALUE"""),"-")</f>
        <v>-</v>
      </c>
      <c r="E177" s="27">
        <f>IFERROR(__xludf.DUMMYFUNCTION("""COMPUTED_VALUE"""),2.0)</f>
        <v>2</v>
      </c>
      <c r="F177" s="27" t="str">
        <f>IFERROR(__xludf.DUMMYFUNCTION("""COMPUTED_VALUE"""),"A")</f>
        <v>A</v>
      </c>
      <c r="G177" s="27" t="str">
        <f>IFERROR(__xludf.DUMMYFUNCTION("""COMPUTED_VALUE"""),"Superior")</f>
        <v>Superior</v>
      </c>
      <c r="H177" s="27" t="str">
        <f>IFERROR(__xludf.DUMMYFUNCTION("""COMPUTED_VALUE"""),"-")</f>
        <v>-</v>
      </c>
      <c r="I177" s="28" t="str">
        <f>IFERROR(__xludf.DUMMYFUNCTION("""COMPUTED_VALUE"""),"[STANDBY] During the next turn onward, only once during this game, the first player to successfully play a ""Superior"" Class SPELL card (except ""Command"" SPELL cards) turns back 2 pages of their Spell Book after the Battle.")</f>
        <v>[STANDBY] During the next turn onward, only once during this game, the first player to successfully play a "Superior" Class SPELL card (except "Command" SPELL cards) turns back 2 pages of their Spell Book after the Battle.</v>
      </c>
      <c r="J177" s="27" t="str">
        <f>IFERROR(__xludf.DUMMYFUNCTION("""COMPUTED_VALUE"""),"-")</f>
        <v>-</v>
      </c>
      <c r="K177" s="27" t="str">
        <f>IFERROR(__xludf.DUMMYFUNCTION("""COMPUTED_VALUE"""),"-")</f>
        <v>-</v>
      </c>
      <c r="L177" s="27" t="str">
        <f>IFERROR(__xludf.DUMMYFUNCTION("""COMPUTED_VALUE"""),"-")</f>
        <v>-</v>
      </c>
      <c r="M177" s="27" t="str">
        <f>IFERROR(__xludf.DUMMYFUNCTION("""COMPUTED_VALUE"""),"[U]")</f>
        <v>[U]</v>
      </c>
      <c r="N177" s="27" t="str">
        <f>IFERROR(__xludf.DUMMYFUNCTION("""COMPUTED_VALUE"""),"""As you know, we need massive power so that we can break the seal...and set him free. Faudo...""")</f>
        <v>"As you know, we need massive power so that we can break the seal...and set him free. Faudo..."</v>
      </c>
      <c r="O177" s="27"/>
      <c r="P177" s="27"/>
      <c r="Q177" s="27"/>
      <c r="R177" s="27"/>
      <c r="S177" s="27"/>
      <c r="T177" s="27"/>
      <c r="U177" s="27"/>
      <c r="V177" s="27"/>
      <c r="W177" s="27"/>
      <c r="X177" s="27"/>
      <c r="Y177" s="27"/>
      <c r="Z177" s="27"/>
    </row>
    <row r="178">
      <c r="A178" s="29" t="str">
        <f>IFERROR(__xludf.DUMMYFUNCTION("""COMPUTED_VALUE"""),"E-156")</f>
        <v>E-156</v>
      </c>
      <c r="B178" s="27" t="str">
        <f>IFERROR(__xludf.DUMMYFUNCTION("""COMPUTED_VALUE"""),"Event")</f>
        <v>Event</v>
      </c>
      <c r="C178" s="27" t="str">
        <f>IFERROR(__xludf.DUMMYFUNCTION("""COMPUTED_VALUE"""),"An Unreadable Spell")</f>
        <v>An Unreadable Spell</v>
      </c>
      <c r="D178" s="27" t="str">
        <f>IFERROR(__xludf.DUMMYFUNCTION("""COMPUTED_VALUE"""),"-")</f>
        <v>-</v>
      </c>
      <c r="E178" s="27">
        <f>IFERROR(__xludf.DUMMYFUNCTION("""COMPUTED_VALUE"""),1.0)</f>
        <v>1</v>
      </c>
      <c r="F178" s="27" t="str">
        <f>IFERROR(__xludf.DUMMYFUNCTION("""COMPUTED_VALUE"""),"AD")</f>
        <v>AD</v>
      </c>
      <c r="G178" s="27" t="str">
        <f>IFERROR(__xludf.DUMMYFUNCTION("""COMPUTED_VALUE"""),"None")</f>
        <v>None</v>
      </c>
      <c r="H178" s="27" t="str">
        <f>IFERROR(__xludf.DUMMYFUNCTION("""COMPUTED_VALUE"""),"-")</f>
        <v>-</v>
      </c>
      <c r="I178" s="28" t="str">
        <f>IFERROR(__xludf.DUMMYFUNCTION("""COMPUTED_VALUE"""),"[STAY] During this game, your opponent cannot reduce the cost of “Superior” Class SPELL cards (except “Command” SPELL cards), and the Last Page Bonus no longer applies to the SPELL card in the last page of your opponent’s Spell Book.")</f>
        <v>[STAY] During this game, your opponent cannot reduce the cost of “Superior” Class SPELL cards (except “Command” SPELL cards), and the Last Page Bonus no longer applies to the SPELL card in the last page of your opponent’s Spell Book.</v>
      </c>
      <c r="J178" s="27" t="str">
        <f>IFERROR(__xludf.DUMMYFUNCTION("""COMPUTED_VALUE"""),"-")</f>
        <v>-</v>
      </c>
      <c r="K178" s="27" t="str">
        <f>IFERROR(__xludf.DUMMYFUNCTION("""COMPUTED_VALUE"""),"-")</f>
        <v>-</v>
      </c>
      <c r="L178" s="27" t="str">
        <f>IFERROR(__xludf.DUMMYFUNCTION("""COMPUTED_VALUE"""),"-")</f>
        <v>-</v>
      </c>
      <c r="M178" s="27" t="str">
        <f>IFERROR(__xludf.DUMMYFUNCTION("""COMPUTED_VALUE"""),"[C]")</f>
        <v>[C]</v>
      </c>
      <c r="N178" s="27" t="str">
        <f>IFERROR(__xludf.DUMMYFUNCTION("""COMPUTED_VALUE"""),"""Huh? That's weird... I don't get it... I can't read this new spell... What could that mean?""")</f>
        <v>"Huh? That's weird... I don't get it... I can't read this new spell... What could that mean?"</v>
      </c>
      <c r="O178" s="27"/>
      <c r="P178" s="27"/>
      <c r="Q178" s="27"/>
      <c r="R178" s="27"/>
      <c r="S178" s="27"/>
      <c r="T178" s="27"/>
      <c r="U178" s="27"/>
      <c r="V178" s="27"/>
      <c r="W178" s="27"/>
      <c r="X178" s="27"/>
      <c r="Y178" s="27"/>
      <c r="Z178" s="27"/>
    </row>
    <row r="179">
      <c r="A179" s="29" t="str">
        <f>IFERROR(__xludf.DUMMYFUNCTION("""COMPUTED_VALUE"""),"E-157")</f>
        <v>E-157</v>
      </c>
      <c r="B179" s="27" t="str">
        <f>IFERROR(__xludf.DUMMYFUNCTION("""COMPUTED_VALUE"""),"Event")</f>
        <v>Event</v>
      </c>
      <c r="C179" s="27" t="str">
        <f>IFERROR(__xludf.DUMMYFUNCTION("""COMPUTED_VALUE"""),"The Mysterious Messenger")</f>
        <v>The Mysterious Messenger</v>
      </c>
      <c r="D179" s="27" t="str">
        <f>IFERROR(__xludf.DUMMYFUNCTION("""COMPUTED_VALUE"""),"-")</f>
        <v>-</v>
      </c>
      <c r="E179" s="27">
        <f>IFERROR(__xludf.DUMMYFUNCTION("""COMPUTED_VALUE"""),0.0)</f>
        <v>0</v>
      </c>
      <c r="F179" s="27" t="str">
        <f>IFERROR(__xludf.DUMMYFUNCTION("""COMPUTED_VALUE"""),"AD")</f>
        <v>AD</v>
      </c>
      <c r="G179" s="27" t="str">
        <f>IFERROR(__xludf.DUMMYFUNCTION("""COMPUTED_VALUE"""),"None")</f>
        <v>None</v>
      </c>
      <c r="H179" s="27" t="str">
        <f>IFERROR(__xludf.DUMMYFUNCTION("""COMPUTED_VALUE"""),"-")</f>
        <v>-</v>
      </c>
      <c r="I179" s="28" t="str">
        <f>IFERROR(__xludf.DUMMYFUNCTION("""COMPUTED_VALUE"""),"[STAY] During this turn, you can look at your opponent's Spell Book regardless of their card effect. In addition, your opponent's effects that trigger by looking at pages of their Spell Book cannot be applied in response to this card's effect.")</f>
        <v>[STAY] During this turn, you can look at your opponent's Spell Book regardless of their card effect. In addition, your opponent's effects that trigger by looking at pages of their Spell Book cannot be applied in response to this card's effect.</v>
      </c>
      <c r="J179" s="27" t="str">
        <f>IFERROR(__xludf.DUMMYFUNCTION("""COMPUTED_VALUE"""),"-")</f>
        <v>-</v>
      </c>
      <c r="K179" s="27" t="str">
        <f>IFERROR(__xludf.DUMMYFUNCTION("""COMPUTED_VALUE"""),"-")</f>
        <v>-</v>
      </c>
      <c r="L179" s="27" t="str">
        <f>IFERROR(__xludf.DUMMYFUNCTION("""COMPUTED_VALUE"""),"-")</f>
        <v>-</v>
      </c>
      <c r="M179" s="27" t="str">
        <f>IFERROR(__xludf.DUMMYFUNCTION("""COMPUTED_VALUE"""),"[C]")</f>
        <v>[C]</v>
      </c>
      <c r="N179" s="27" t="str">
        <f>IFERROR(__xludf.DUMMYFUNCTION("""COMPUTED_VALUE"""),"""Hey, tell us who you are!"" ""No, wait! This is strange, but...I don't think he wants to fight.""")</f>
        <v>"Hey, tell us who you are!" "No, wait! This is strange, but...I don't think he wants to fight."</v>
      </c>
      <c r="O179" s="27"/>
      <c r="P179" s="27"/>
      <c r="Q179" s="27"/>
      <c r="R179" s="27"/>
      <c r="S179" s="27"/>
      <c r="T179" s="27"/>
      <c r="U179" s="27"/>
      <c r="V179" s="27"/>
      <c r="W179" s="27"/>
      <c r="X179" s="27"/>
      <c r="Y179" s="27"/>
      <c r="Z179" s="27"/>
    </row>
    <row r="180">
      <c r="A180" s="29" t="str">
        <f>IFERROR(__xludf.DUMMYFUNCTION("""COMPUTED_VALUE"""),"E-158")</f>
        <v>E-158</v>
      </c>
      <c r="B180" s="27" t="str">
        <f>IFERROR(__xludf.DUMMYFUNCTION("""COMPUTED_VALUE"""),"Event")</f>
        <v>Event</v>
      </c>
      <c r="C180" s="27" t="str">
        <f>IFERROR(__xludf.DUMMYFUNCTION("""COMPUTED_VALUE"""),"Mark of the Curse")</f>
        <v>Mark of the Curse</v>
      </c>
      <c r="D180" s="27" t="str">
        <f>IFERROR(__xludf.DUMMYFUNCTION("""COMPUTED_VALUE"""),"-")</f>
        <v>-</v>
      </c>
      <c r="E180" s="27">
        <f>IFERROR(__xludf.DUMMYFUNCTION("""COMPUTED_VALUE"""),2.0)</f>
        <v>2</v>
      </c>
      <c r="F180" s="27" t="str">
        <f>IFERROR(__xludf.DUMMYFUNCTION("""COMPUTED_VALUE"""),"A")</f>
        <v>A</v>
      </c>
      <c r="G180" s="27" t="str">
        <f>IFERROR(__xludf.DUMMYFUNCTION("""COMPUTED_VALUE"""),"Intermediate")</f>
        <v>Intermediate</v>
      </c>
      <c r="H180" s="27" t="str">
        <f>IFERROR(__xludf.DUMMYFUNCTION("""COMPUTED_VALUE"""),"-")</f>
        <v>-</v>
      </c>
      <c r="I180" s="28" t="str">
        <f>IFERROR(__xludf.DUMMYFUNCTION("""COMPUTED_VALUE"""),"[STANDBY] Select 1 of your opponent's in-play PARTNER cards. When the selected PARTNER card is sent to the Discard Pile during this game, the MAMODO card it is attached to is sent to the Discard Pile as well.")</f>
        <v>[STANDBY] Select 1 of your opponent's in-play PARTNER cards. When the selected PARTNER card is sent to the Discard Pile during this game, the MAMODO card it is attached to is sent to the Discard Pile as well.</v>
      </c>
      <c r="J180" s="27" t="str">
        <f>IFERROR(__xludf.DUMMYFUNCTION("""COMPUTED_VALUE"""),"-")</f>
        <v>-</v>
      </c>
      <c r="K180" s="27" t="str">
        <f>IFERROR(__xludf.DUMMYFUNCTION("""COMPUTED_VALUE"""),"-")</f>
        <v>-</v>
      </c>
      <c r="L180" s="27" t="str">
        <f>IFERROR(__xludf.DUMMYFUNCTION("""COMPUTED_VALUE"""),"-")</f>
        <v>-</v>
      </c>
      <c r="M180" s="27" t="str">
        <f>IFERROR(__xludf.DUMMYFUNCTION("""COMPUTED_VALUE"""),"[U]")</f>
        <v>[U]</v>
      </c>
      <c r="N180" s="27" t="str">
        <f>IFERROR(__xludf.DUMMYFUNCTION("""COMPUTED_VALUE"""),"""When Riou casts his spell on you...you are placed under a curse.""")</f>
        <v>"When Riou casts his spell on you...you are placed under a curse."</v>
      </c>
      <c r="O180" s="27"/>
      <c r="P180" s="27"/>
      <c r="Q180" s="27"/>
      <c r="R180" s="27"/>
      <c r="S180" s="27"/>
      <c r="T180" s="27"/>
      <c r="U180" s="27"/>
      <c r="V180" s="27"/>
      <c r="W180" s="27"/>
      <c r="X180" s="27"/>
      <c r="Y180" s="27"/>
      <c r="Z180" s="27"/>
    </row>
    <row r="181">
      <c r="A181" s="29" t="str">
        <f>IFERROR(__xludf.DUMMYFUNCTION("""COMPUTED_VALUE"""),"E-159")</f>
        <v>E-159</v>
      </c>
      <c r="B181" s="27" t="str">
        <f>IFERROR(__xludf.DUMMYFUNCTION("""COMPUTED_VALUE"""),"Event")</f>
        <v>Event</v>
      </c>
      <c r="C181" s="27" t="str">
        <f>IFERROR(__xludf.DUMMYFUNCTION("""COMPUTED_VALUE"""),"Let Go Of That Bra")</f>
        <v>Let Go Of That Bra</v>
      </c>
      <c r="D181" s="27" t="str">
        <f>IFERROR(__xludf.DUMMYFUNCTION("""COMPUTED_VALUE"""),"-")</f>
        <v>-</v>
      </c>
      <c r="E181" s="27">
        <f>IFERROR(__xludf.DUMMYFUNCTION("""COMPUTED_VALUE"""),4.0)</f>
        <v>4</v>
      </c>
      <c r="F181" s="27" t="str">
        <f>IFERROR(__xludf.DUMMYFUNCTION("""COMPUTED_VALUE"""),"A")</f>
        <v>A</v>
      </c>
      <c r="G181" s="27" t="str">
        <f>IFERROR(__xludf.DUMMYFUNCTION("""COMPUTED_VALUE"""),"None")</f>
        <v>None</v>
      </c>
      <c r="H181" s="27" t="str">
        <f>IFERROR(__xludf.DUMMYFUNCTION("""COMPUTED_VALUE"""),"-")</f>
        <v>-</v>
      </c>
      <c r="I181" s="28" t="str">
        <f>IFERROR(__xludf.DUMMYFUNCTION("""COMPUTED_VALUE"""),"Turn back 2 pages of your Spell Book. This effect can be applied only once per game (per player). Effects that allow you to turn back pages of your Spell Book can be applied only once per turn (per player).")</f>
        <v>Turn back 2 pages of your Spell Book. This effect can be applied only once per game (per player). Effects that allow you to turn back pages of your Spell Book can be applied only once per turn (per player).</v>
      </c>
      <c r="J181" s="27" t="str">
        <f>IFERROR(__xludf.DUMMYFUNCTION("""COMPUTED_VALUE"""),"-")</f>
        <v>-</v>
      </c>
      <c r="K181" s="27" t="str">
        <f>IFERROR(__xludf.DUMMYFUNCTION("""COMPUTED_VALUE"""),"-")</f>
        <v>-</v>
      </c>
      <c r="L181" s="27" t="str">
        <f>IFERROR(__xludf.DUMMYFUNCTION("""COMPUTED_VALUE"""),"-")</f>
        <v>-</v>
      </c>
      <c r="M181" s="27" t="str">
        <f>IFERROR(__xludf.DUMMYFUNCTION("""COMPUTED_VALUE"""),"[SR]")</f>
        <v>[SR]</v>
      </c>
      <c r="N181" s="27" t="str">
        <f>IFERROR(__xludf.DUMMYFUNCTION("""COMPUTED_VALUE"""),"""Why are you holding my bra? How'd you get that? Let go at once!""")</f>
        <v>"Why are you holding my bra? How'd you get that? Let go at once!"</v>
      </c>
      <c r="O181" s="27"/>
      <c r="P181" s="27"/>
      <c r="Q181" s="27"/>
      <c r="R181" s="27"/>
      <c r="S181" s="27"/>
      <c r="T181" s="27"/>
      <c r="U181" s="27"/>
      <c r="V181" s="27"/>
      <c r="W181" s="27"/>
      <c r="X181" s="27"/>
      <c r="Y181" s="27"/>
      <c r="Z181" s="27"/>
    </row>
    <row r="182">
      <c r="A182" s="29" t="str">
        <f>IFERROR(__xludf.DUMMYFUNCTION("""COMPUTED_VALUE"""),"E-160")</f>
        <v>E-160</v>
      </c>
      <c r="B182" s="27" t="str">
        <f>IFERROR(__xludf.DUMMYFUNCTION("""COMPUTED_VALUE"""),"Event")</f>
        <v>Event</v>
      </c>
      <c r="C182" s="27" t="str">
        <f>IFERROR(__xludf.DUMMYFUNCTION("""COMPUTED_VALUE"""),"Kanchomé's Theory")</f>
        <v>Kanchomé's Theory</v>
      </c>
      <c r="D182" s="27" t="str">
        <f>IFERROR(__xludf.DUMMYFUNCTION("""COMPUTED_VALUE"""),"-")</f>
        <v>-</v>
      </c>
      <c r="E182" s="27">
        <f>IFERROR(__xludf.DUMMYFUNCTION("""COMPUTED_VALUE"""),0.0)</f>
        <v>0</v>
      </c>
      <c r="F182" s="27" t="str">
        <f>IFERROR(__xludf.DUMMYFUNCTION("""COMPUTED_VALUE"""),"A")</f>
        <v>A</v>
      </c>
      <c r="G182" s="27" t="str">
        <f>IFERROR(__xludf.DUMMYFUNCTION("""COMPUTED_VALUE"""),"None")</f>
        <v>None</v>
      </c>
      <c r="H182" s="27" t="str">
        <f>IFERROR(__xludf.DUMMYFUNCTION("""COMPUTED_VALUE"""),"-")</f>
        <v>-</v>
      </c>
      <c r="I182" s="28" t="str">
        <f>IFERROR(__xludf.DUMMYFUNCTION("""COMPUTED_VALUE"""),"Place any number of MP counters from 1 to 5 in your hand. Then, your opponent guesses how many MP counters are in your hand. If they guess right, your opponent gets MP equal to the amount of MP counters in yhour hand. If they guess wrong, get MP equal to "&amp;"the amount of MP counters in your hand.")</f>
        <v>Place any number of MP counters from 1 to 5 in your hand. Then, your opponent guesses how many MP counters are in your hand. If they guess right, your opponent gets MP equal to the amount of MP counters in yhour hand. If they guess wrong, get MP equal to the amount of MP counters in your hand.</v>
      </c>
      <c r="J182" s="27" t="str">
        <f>IFERROR(__xludf.DUMMYFUNCTION("""COMPUTED_VALUE"""),"-")</f>
        <v>-</v>
      </c>
      <c r="K182" s="27" t="str">
        <f>IFERROR(__xludf.DUMMYFUNCTION("""COMPUTED_VALUE"""),"-")</f>
        <v>-</v>
      </c>
      <c r="L182" s="27" t="str">
        <f>IFERROR(__xludf.DUMMYFUNCTION("""COMPUTED_VALUE"""),"-")</f>
        <v>-</v>
      </c>
      <c r="M182" s="27" t="str">
        <f>IFERROR(__xludf.DUMMYFUNCTION("""COMPUTED_VALUE"""),"[SR]")</f>
        <v>[SR]</v>
      </c>
      <c r="N182" s="27" t="str">
        <f>IFERROR(__xludf.DUMMYFUNCTION("""COMPUTED_VALUE"""),"""I don't think this is a big building. I think it's a really, REALLY big mamodo.""")</f>
        <v>"I don't think this is a big building. I think it's a really, REALLY big mamodo."</v>
      </c>
      <c r="O182" s="27"/>
      <c r="P182" s="27"/>
      <c r="Q182" s="27"/>
      <c r="R182" s="27"/>
      <c r="S182" s="27"/>
      <c r="T182" s="27"/>
      <c r="U182" s="27"/>
      <c r="V182" s="27"/>
      <c r="W182" s="27"/>
      <c r="X182" s="27"/>
      <c r="Y182" s="27"/>
      <c r="Z182" s="27"/>
    </row>
    <row r="183">
      <c r="A183" s="29" t="str">
        <f>IFERROR(__xludf.DUMMYFUNCTION("""COMPUTED_VALUE"""),"E-160")</f>
        <v>E-160</v>
      </c>
      <c r="B183" s="27" t="str">
        <f>IFERROR(__xludf.DUMMYFUNCTION("""COMPUTED_VALUE"""),"Event")</f>
        <v>Event</v>
      </c>
      <c r="C183" s="27" t="str">
        <f>IFERROR(__xludf.DUMMYFUNCTION("""COMPUTED_VALUE"""),"Kanchomé's Theory")</f>
        <v>Kanchomé's Theory</v>
      </c>
      <c r="D183" s="27" t="str">
        <f>IFERROR(__xludf.DUMMYFUNCTION("""COMPUTED_VALUE"""),"-")</f>
        <v>-</v>
      </c>
      <c r="E183" s="27">
        <f>IFERROR(__xludf.DUMMYFUNCTION("""COMPUTED_VALUE"""),0.0)</f>
        <v>0</v>
      </c>
      <c r="F183" s="27" t="str">
        <f>IFERROR(__xludf.DUMMYFUNCTION("""COMPUTED_VALUE"""),"A")</f>
        <v>A</v>
      </c>
      <c r="G183" s="27" t="str">
        <f>IFERROR(__xludf.DUMMYFUNCTION("""COMPUTED_VALUE"""),"TTS")</f>
        <v>TTS</v>
      </c>
      <c r="H183" s="27" t="str">
        <f>IFERROR(__xludf.DUMMYFUNCTION("""COMPUTED_VALUE"""),"-")</f>
        <v>-</v>
      </c>
      <c r="I183" s="28" t="str">
        <f>IFERROR(__xludf.DUMMYFUNCTION("""COMPUTED_VALUE"""),"Your opponent puts on their blindfold (they press the B key). Then, place any number of MP counters from 1 to 5 into your hidden zone area (inside the box that is covering your player name on the table). Your opponent guesses how many MP counters you chos"&amp;"e. If they guess right, your opponent gets MP equal to the amount in the zone. If they guess wrong, you get MP equal to the amount in the zone.")</f>
        <v>Your opponent puts on their blindfold (they press the B key). Then, place any number of MP counters from 1 to 5 into your hidden zone area (inside the box that is covering your player name on the table). Your opponent guesses how many MP counters you chose. If they guess right, your opponent gets MP equal to the amount in the zone. If they guess wrong, you get MP equal to the amount in the zone.</v>
      </c>
      <c r="J183" s="27" t="str">
        <f>IFERROR(__xludf.DUMMYFUNCTION("""COMPUTED_VALUE"""),"-")</f>
        <v>-</v>
      </c>
      <c r="K183" s="27" t="str">
        <f>IFERROR(__xludf.DUMMYFUNCTION("""COMPUTED_VALUE"""),"-")</f>
        <v>-</v>
      </c>
      <c r="L183" s="27" t="str">
        <f>IFERROR(__xludf.DUMMYFUNCTION("""COMPUTED_VALUE"""),"-")</f>
        <v>-</v>
      </c>
      <c r="M183" s="27" t="str">
        <f>IFERROR(__xludf.DUMMYFUNCTION("""COMPUTED_VALUE"""),"[SR]")</f>
        <v>[SR]</v>
      </c>
      <c r="N183" s="27" t="str">
        <f>IFERROR(__xludf.DUMMYFUNCTION("""COMPUTED_VALUE"""),"""I don't think this is a big building. I think it's a really, REALLY big mamodo.""")</f>
        <v>"I don't think this is a big building. I think it's a really, REALLY big mamodo."</v>
      </c>
      <c r="O183" s="27"/>
      <c r="P183" s="27"/>
      <c r="Q183" s="27"/>
      <c r="R183" s="27"/>
      <c r="S183" s="27"/>
      <c r="T183" s="27"/>
      <c r="U183" s="27"/>
      <c r="V183" s="27"/>
      <c r="W183" s="27"/>
      <c r="X183" s="27"/>
      <c r="Y183" s="27"/>
      <c r="Z183" s="27"/>
    </row>
    <row r="184">
      <c r="A184" s="29" t="str">
        <f>IFERROR(__xludf.DUMMYFUNCTION("""COMPUTED_VALUE"""),"E-161")</f>
        <v>E-161</v>
      </c>
      <c r="B184" s="27" t="str">
        <f>IFERROR(__xludf.DUMMYFUNCTION("""COMPUTED_VALUE"""),"Event")</f>
        <v>Event</v>
      </c>
      <c r="C184" s="27" t="str">
        <f>IFERROR(__xludf.DUMMYFUNCTION("""COMPUTED_VALUE"""),"Let's Speak to the Wind")</f>
        <v>Let's Speak to the Wind</v>
      </c>
      <c r="D184" s="27" t="str">
        <f>IFERROR(__xludf.DUMMYFUNCTION("""COMPUTED_VALUE"""),"-")</f>
        <v>-</v>
      </c>
      <c r="E184" s="27">
        <f>IFERROR(__xludf.DUMMYFUNCTION("""COMPUTED_VALUE"""),1.0)</f>
        <v>1</v>
      </c>
      <c r="F184" s="27" t="str">
        <f>IFERROR(__xludf.DUMMYFUNCTION("""COMPUTED_VALUE"""),"A")</f>
        <v>A</v>
      </c>
      <c r="G184" s="27" t="str">
        <f>IFERROR(__xludf.DUMMYFUNCTION("""COMPUTED_VALUE"""),"None")</f>
        <v>None</v>
      </c>
      <c r="H184" s="27" t="str">
        <f>IFERROR(__xludf.DUMMYFUNCTION("""COMPUTED_VALUE"""),"-")</f>
        <v>-</v>
      </c>
      <c r="I184" s="28" t="str">
        <f>IFERROR(__xludf.DUMMYFUNCTION("""COMPUTED_VALUE"""),"Apply both of the following effects in order (this effect cannot be negated by a cut-in effect): ● Get 3 MP. ● [STAY] Your MP cannot be reduced by your opponent's card effects during this turn.")</f>
        <v>Apply both of the following effects in order (this effect cannot be negated by a cut-in effect): ● Get 3 MP. ● [STAY] Your MP cannot be reduced by your opponent's card effects during this turn.</v>
      </c>
      <c r="J184" s="27" t="str">
        <f>IFERROR(__xludf.DUMMYFUNCTION("""COMPUTED_VALUE"""),"-")</f>
        <v>-</v>
      </c>
      <c r="K184" s="27" t="str">
        <f>IFERROR(__xludf.DUMMYFUNCTION("""COMPUTED_VALUE"""),"-")</f>
        <v>-</v>
      </c>
      <c r="L184" s="27" t="str">
        <f>IFERROR(__xludf.DUMMYFUNCTION("""COMPUTED_VALUE"""),"-")</f>
        <v>-</v>
      </c>
      <c r="M184" s="27" t="str">
        <f>IFERROR(__xludf.DUMMYFUNCTION("""COMPUTED_VALUE"""),"[C]")</f>
        <v>[C]</v>
      </c>
      <c r="N184" s="27" t="str">
        <f>IFERROR(__xludf.DUMMYFUNCTION("""COMPUTED_VALUE"""),"""Hold on tight, Tia.""")</f>
        <v>"Hold on tight, Tia."</v>
      </c>
      <c r="O184" s="27"/>
      <c r="P184" s="27"/>
      <c r="Q184" s="27"/>
      <c r="R184" s="27"/>
      <c r="S184" s="27"/>
      <c r="T184" s="27"/>
      <c r="U184" s="27"/>
      <c r="V184" s="27"/>
      <c r="W184" s="27"/>
      <c r="X184" s="27"/>
      <c r="Y184" s="27"/>
      <c r="Z184" s="27"/>
    </row>
    <row r="185">
      <c r="A185" s="29" t="str">
        <f>IFERROR(__xludf.DUMMYFUNCTION("""COMPUTED_VALUE"""),"E-162")</f>
        <v>E-162</v>
      </c>
      <c r="B185" s="27" t="str">
        <f>IFERROR(__xludf.DUMMYFUNCTION("""COMPUTED_VALUE"""),"Event")</f>
        <v>Event</v>
      </c>
      <c r="C185" s="27" t="str">
        <f>IFERROR(__xludf.DUMMYFUNCTION("""COMPUTED_VALUE"""),"Fighting with Songs")</f>
        <v>Fighting with Songs</v>
      </c>
      <c r="D185" s="27" t="str">
        <f>IFERROR(__xludf.DUMMYFUNCTION("""COMPUTED_VALUE"""),"-")</f>
        <v>-</v>
      </c>
      <c r="E185" s="27">
        <f>IFERROR(__xludf.DUMMYFUNCTION("""COMPUTED_VALUE"""),1.0)</f>
        <v>1</v>
      </c>
      <c r="F185" s="27" t="str">
        <f>IFERROR(__xludf.DUMMYFUNCTION("""COMPUTED_VALUE"""),"AD")</f>
        <v>AD</v>
      </c>
      <c r="G185" s="27" t="str">
        <f>IFERROR(__xludf.DUMMYFUNCTION("""COMPUTED_VALUE"""),"None")</f>
        <v>None</v>
      </c>
      <c r="H185" s="27" t="str">
        <f>IFERROR(__xludf.DUMMYFUNCTION("""COMPUTED_VALUE"""),"-")</f>
        <v>-</v>
      </c>
      <c r="I185" s="28" t="str">
        <f>IFERROR(__xludf.DUMMYFUNCTION("""COMPUTED_VALUE"""),"[STAY] Neither player may apply the effects of cards with [In Play] during this game (effects that have already been resolved are not negated).")</f>
        <v>[STAY] Neither player may apply the effects of cards with [In Play] during this game (effects that have already been resolved are not negated).</v>
      </c>
      <c r="J185" s="27" t="str">
        <f>IFERROR(__xludf.DUMMYFUNCTION("""COMPUTED_VALUE"""),"-")</f>
        <v>-</v>
      </c>
      <c r="K185" s="27" t="str">
        <f>IFERROR(__xludf.DUMMYFUNCTION("""COMPUTED_VALUE"""),"-")</f>
        <v>-</v>
      </c>
      <c r="L185" s="27" t="str">
        <f>IFERROR(__xludf.DUMMYFUNCTION("""COMPUTED_VALUE"""),"-")</f>
        <v>-</v>
      </c>
      <c r="M185" s="27" t="str">
        <f>IFERROR(__xludf.DUMMYFUNCTION("""COMPUTED_VALUE"""),"[U]")</f>
        <v>[U]</v>
      </c>
      <c r="N185" s="27" t="str">
        <f>IFERROR(__xludf.DUMMYFUNCTION("""COMPUTED_VALUE"""),"""Iron Man Folgore~ Invincible Folgore~"" ""TENDON, KATSUDON, OYAKODON~""")</f>
        <v>"Iron Man Folgore~ Invincible Folgore~" "TENDON, KATSUDON, OYAKODON~"</v>
      </c>
      <c r="O185" s="27"/>
      <c r="P185" s="27"/>
      <c r="Q185" s="27"/>
      <c r="R185" s="27"/>
      <c r="S185" s="27"/>
      <c r="T185" s="27"/>
      <c r="U185" s="27"/>
      <c r="V185" s="27"/>
      <c r="W185" s="27"/>
      <c r="X185" s="27"/>
      <c r="Y185" s="27"/>
      <c r="Z185" s="27"/>
    </row>
    <row r="186">
      <c r="A186" s="29" t="str">
        <f>IFERROR(__xludf.DUMMYFUNCTION("""COMPUTED_VALUE"""),"E-163")</f>
        <v>E-163</v>
      </c>
      <c r="B186" s="27" t="str">
        <f>IFERROR(__xludf.DUMMYFUNCTION("""COMPUTED_VALUE"""),"Event")</f>
        <v>Event</v>
      </c>
      <c r="C186" s="27" t="str">
        <f>IFERROR(__xludf.DUMMYFUNCTION("""COMPUTED_VALUE"""),"I'm Gonna Save Everybody!")</f>
        <v>I'm Gonna Save Everybody!</v>
      </c>
      <c r="D186" s="27" t="str">
        <f>IFERROR(__xludf.DUMMYFUNCTION("""COMPUTED_VALUE"""),"-")</f>
        <v>-</v>
      </c>
      <c r="E186" s="27">
        <f>IFERROR(__xludf.DUMMYFUNCTION("""COMPUTED_VALUE"""),0.0)</f>
        <v>0</v>
      </c>
      <c r="F186" s="27" t="str">
        <f>IFERROR(__xludf.DUMMYFUNCTION("""COMPUTED_VALUE"""),"AD")</f>
        <v>AD</v>
      </c>
      <c r="G186" s="27" t="str">
        <f>IFERROR(__xludf.DUMMYFUNCTION("""COMPUTED_VALUE"""),"None")</f>
        <v>None</v>
      </c>
      <c r="H186" s="27" t="str">
        <f>IFERROR(__xludf.DUMMYFUNCTION("""COMPUTED_VALUE"""),"-")</f>
        <v>-</v>
      </c>
      <c r="I186" s="28" t="str">
        <f>IFERROR(__xludf.DUMMYFUNCTION("""COMPUTED_VALUE"""),"[STAY] All [Stay] and [Standby] effects (except this effect) cannot be negated during this game. ● If a player applies an effect that negates all [Stay] effects while this effect is active, only this effect is negated.")</f>
        <v>[STAY] All [Stay] and [Standby] effects (except this effect) cannot be negated during this game. ● If a player applies an effect that negates all [Stay] effects while this effect is active, only this effect is negated.</v>
      </c>
      <c r="J186" s="27" t="str">
        <f>IFERROR(__xludf.DUMMYFUNCTION("""COMPUTED_VALUE"""),"-")</f>
        <v>-</v>
      </c>
      <c r="K186" s="27" t="str">
        <f>IFERROR(__xludf.DUMMYFUNCTION("""COMPUTED_VALUE"""),"-")</f>
        <v>-</v>
      </c>
      <c r="L186" s="27" t="str">
        <f>IFERROR(__xludf.DUMMYFUNCTION("""COMPUTED_VALUE"""),"-")</f>
        <v>-</v>
      </c>
      <c r="M186" s="27" t="str">
        <f>IFERROR(__xludf.DUMMYFUNCTION("""COMPUTED_VALUE"""),"[SR]")</f>
        <v>[SR]</v>
      </c>
      <c r="N186" s="27" t="str">
        <f>IFERROR(__xludf.DUMMYFUNCTION("""COMPUTED_VALUE"""),"""I can't stand it! I don't want someone else to disappear because I didn't do anything!""")</f>
        <v>"I can't stand it! I don't want someone else to disappear because I didn't do anything!"</v>
      </c>
      <c r="O186" s="27"/>
      <c r="P186" s="27"/>
      <c r="Q186" s="27"/>
      <c r="R186" s="27"/>
      <c r="S186" s="27"/>
      <c r="T186" s="27"/>
      <c r="U186" s="27"/>
      <c r="V186" s="27"/>
      <c r="W186" s="27"/>
      <c r="X186" s="27"/>
      <c r="Y186" s="27"/>
      <c r="Z186" s="27"/>
    </row>
    <row r="187">
      <c r="A187" s="29" t="str">
        <f>IFERROR(__xludf.DUMMYFUNCTION("""COMPUTED_VALUE"""),"E-164")</f>
        <v>E-164</v>
      </c>
      <c r="B187" s="27" t="str">
        <f>IFERROR(__xludf.DUMMYFUNCTION("""COMPUTED_VALUE"""),"Event")</f>
        <v>Event</v>
      </c>
      <c r="C187" s="27" t="str">
        <f>IFERROR(__xludf.DUMMYFUNCTION("""COMPUTED_VALUE"""),"Thanks to Potato Tempura")</f>
        <v>Thanks to Potato Tempura</v>
      </c>
      <c r="D187" s="27" t="str">
        <f>IFERROR(__xludf.DUMMYFUNCTION("""COMPUTED_VALUE"""),"-")</f>
        <v>-</v>
      </c>
      <c r="E187" s="27">
        <f>IFERROR(__xludf.DUMMYFUNCTION("""COMPUTED_VALUE"""),2.0)</f>
        <v>2</v>
      </c>
      <c r="F187" s="27" t="str">
        <f>IFERROR(__xludf.DUMMYFUNCTION("""COMPUTED_VALUE"""),"AD")</f>
        <v>AD</v>
      </c>
      <c r="G187" s="27" t="str">
        <f>IFERROR(__xludf.DUMMYFUNCTION("""COMPUTED_VALUE"""),"None")</f>
        <v>None</v>
      </c>
      <c r="H187" s="27" t="str">
        <f>IFERROR(__xludf.DUMMYFUNCTION("""COMPUTED_VALUE"""),"-")</f>
        <v>-</v>
      </c>
      <c r="I187" s="28" t="str">
        <f>IFERROR(__xludf.DUMMYFUNCTION("""COMPUTED_VALUE"""),"[STAY] Neither player may play cards or apply effects that allow them to Attack or inflict Damage during this turn.")</f>
        <v>[STAY] Neither player may play cards or apply effects that allow them to Attack or inflict Damage during this turn.</v>
      </c>
      <c r="J187" s="27" t="str">
        <f>IFERROR(__xludf.DUMMYFUNCTION("""COMPUTED_VALUE"""),"-")</f>
        <v>-</v>
      </c>
      <c r="K187" s="27" t="str">
        <f>IFERROR(__xludf.DUMMYFUNCTION("""COMPUTED_VALUE"""),"-")</f>
        <v>-</v>
      </c>
      <c r="L187" s="27" t="str">
        <f>IFERROR(__xludf.DUMMYFUNCTION("""COMPUTED_VALUE"""),"-")</f>
        <v>-</v>
      </c>
      <c r="M187" s="27" t="str">
        <f>IFERROR(__xludf.DUMMYFUNCTION("""COMPUTED_VALUE"""),"[C]")</f>
        <v>[C]</v>
      </c>
      <c r="N187" s="27" t="str">
        <f>IFERROR(__xludf.DUMMYFUNCTION("""COMPUTED_VALUE"""),"""Berun...I'm in the mood for potato tempura."" ""...Yeah, that sounds great!""")</f>
        <v>"Berun...I'm in the mood for potato tempura." "...Yeah, that sounds great!"</v>
      </c>
      <c r="O187" s="27"/>
      <c r="P187" s="27"/>
      <c r="Q187" s="27"/>
      <c r="R187" s="27"/>
      <c r="S187" s="27"/>
      <c r="T187" s="27"/>
      <c r="U187" s="27"/>
      <c r="V187" s="27"/>
      <c r="W187" s="27"/>
      <c r="X187" s="27"/>
      <c r="Y187" s="27"/>
      <c r="Z187" s="27"/>
    </row>
    <row r="188">
      <c r="A188" s="29" t="str">
        <f>IFERROR(__xludf.DUMMYFUNCTION("""COMPUTED_VALUE"""),"E-165")</f>
        <v>E-165</v>
      </c>
      <c r="B188" s="27" t="str">
        <f>IFERROR(__xludf.DUMMYFUNCTION("""COMPUTED_VALUE"""),"Event")</f>
        <v>Event</v>
      </c>
      <c r="C188" s="27" t="str">
        <f>IFERROR(__xludf.DUMMYFUNCTION("""COMPUTED_VALUE"""),"Conflict")</f>
        <v>Conflict</v>
      </c>
      <c r="D188" s="27" t="str">
        <f>IFERROR(__xludf.DUMMYFUNCTION("""COMPUTED_VALUE"""),"-")</f>
        <v>-</v>
      </c>
      <c r="E188" s="27">
        <f>IFERROR(__xludf.DUMMYFUNCTION("""COMPUTED_VALUE"""),2.0)</f>
        <v>2</v>
      </c>
      <c r="F188" s="27" t="str">
        <f>IFERROR(__xludf.DUMMYFUNCTION("""COMPUTED_VALUE"""),"A")</f>
        <v>A</v>
      </c>
      <c r="G188" s="27" t="str">
        <f>IFERROR(__xludf.DUMMYFUNCTION("""COMPUTED_VALUE"""),"None")</f>
        <v>None</v>
      </c>
      <c r="H188" s="27" t="str">
        <f>IFERROR(__xludf.DUMMYFUNCTION("""COMPUTED_VALUE"""),"-")</f>
        <v>-</v>
      </c>
      <c r="I188" s="28" t="str">
        <f>IFERROR(__xludf.DUMMYFUNCTION("""COMPUTED_VALUE"""),"Send 1 of your opponent's in-play VS MAMODO cards to the Discard Pile.")</f>
        <v>Send 1 of your opponent's in-play VS MAMODO cards to the Discard Pile.</v>
      </c>
      <c r="J188" s="27" t="str">
        <f>IFERROR(__xludf.DUMMYFUNCTION("""COMPUTED_VALUE"""),"-")</f>
        <v>-</v>
      </c>
      <c r="K188" s="27" t="str">
        <f>IFERROR(__xludf.DUMMYFUNCTION("""COMPUTED_VALUE"""),"-")</f>
        <v>-</v>
      </c>
      <c r="L188" s="27" t="str">
        <f>IFERROR(__xludf.DUMMYFUNCTION("""COMPUTED_VALUE"""),"-")</f>
        <v>-</v>
      </c>
      <c r="M188" s="27" t="str">
        <f>IFERROR(__xludf.DUMMYFUNCTION("""COMPUTED_VALUE"""),"[U]")</f>
        <v>[U]</v>
      </c>
      <c r="N188" s="27" t="str">
        <f>IFERROR(__xludf.DUMMYFUNCTION("""COMPUTED_VALUE"""),"""I saw Wonrei look at us when he left. He...had a really cold look in his eyes...like we were his enemies.""")</f>
        <v>"I saw Wonrei look at us when he left. He...had a really cold look in his eyes...like we were his enemies."</v>
      </c>
      <c r="O188" s="27"/>
      <c r="P188" s="27"/>
      <c r="Q188" s="27"/>
      <c r="R188" s="27"/>
      <c r="S188" s="27"/>
      <c r="T188" s="27"/>
      <c r="U188" s="27"/>
      <c r="V188" s="27"/>
      <c r="W188" s="27"/>
      <c r="X188" s="27"/>
      <c r="Y188" s="27"/>
      <c r="Z188" s="27"/>
    </row>
    <row r="189">
      <c r="A189" s="29" t="str">
        <f>IFERROR(__xludf.DUMMYFUNCTION("""COMPUTED_VALUE"""),"E-166")</f>
        <v>E-166</v>
      </c>
      <c r="B189" s="27" t="str">
        <f>IFERROR(__xludf.DUMMYFUNCTION("""COMPUTED_VALUE"""),"Event")</f>
        <v>Event</v>
      </c>
      <c r="C189" s="27" t="str">
        <f>IFERROR(__xludf.DUMMYFUNCTION("""COMPUTED_VALUE"""),"Reunited")</f>
        <v>Reunited</v>
      </c>
      <c r="D189" s="27" t="str">
        <f>IFERROR(__xludf.DUMMYFUNCTION("""COMPUTED_VALUE"""),"-")</f>
        <v>-</v>
      </c>
      <c r="E189" s="27">
        <f>IFERROR(__xludf.DUMMYFUNCTION("""COMPUTED_VALUE"""),2.0)</f>
        <v>2</v>
      </c>
      <c r="F189" s="27" t="str">
        <f>IFERROR(__xludf.DUMMYFUNCTION("""COMPUTED_VALUE"""),"A")</f>
        <v>A</v>
      </c>
      <c r="G189" s="27" t="str">
        <f>IFERROR(__xludf.DUMMYFUNCTION("""COMPUTED_VALUE"""),"None")</f>
        <v>None</v>
      </c>
      <c r="H189" s="27" t="str">
        <f>IFERROR(__xludf.DUMMYFUNCTION("""COMPUTED_VALUE"""),"-")</f>
        <v>-</v>
      </c>
      <c r="I189" s="28" t="str">
        <f>IFERROR(__xludf.DUMMYFUNCTION("""COMPUTED_VALUE"""),"[STANDBY] Apply both of the following effects in any order at the END PHASE of this turn: ● Turn all of your in-play MAMODO cards to Normal Status ● Move 1 MAMODO card from your Discard Pile into play.")</f>
        <v>[STANDBY] Apply both of the following effects in any order at the END PHASE of this turn: ● Turn all of your in-play MAMODO cards to Normal Status ● Move 1 MAMODO card from your Discard Pile into play.</v>
      </c>
      <c r="J189" s="27" t="str">
        <f>IFERROR(__xludf.DUMMYFUNCTION("""COMPUTED_VALUE"""),"-")</f>
        <v>-</v>
      </c>
      <c r="K189" s="27" t="str">
        <f>IFERROR(__xludf.DUMMYFUNCTION("""COMPUTED_VALUE"""),"-")</f>
        <v>-</v>
      </c>
      <c r="L189" s="27" t="str">
        <f>IFERROR(__xludf.DUMMYFUNCTION("""COMPUTED_VALUE"""),"-")</f>
        <v>-</v>
      </c>
      <c r="M189" s="27" t="str">
        <f>IFERROR(__xludf.DUMMYFUNCTION("""COMPUTED_VALUE"""),"[C]")</f>
        <v>[C]</v>
      </c>
      <c r="N189" s="27" t="str">
        <f>IFERROR(__xludf.DUMMYFUNCTION("""COMPUTED_VALUE"""),"With the conclusion of a fierce battle...comes a long-awaited reunion.")</f>
        <v>With the conclusion of a fierce battle...comes a long-awaited reunion.</v>
      </c>
      <c r="O189" s="27"/>
      <c r="P189" s="27"/>
      <c r="Q189" s="27"/>
      <c r="R189" s="27"/>
      <c r="S189" s="27"/>
      <c r="T189" s="27"/>
      <c r="U189" s="27"/>
      <c r="V189" s="27"/>
      <c r="W189" s="27"/>
      <c r="X189" s="27"/>
      <c r="Y189" s="27"/>
      <c r="Z189" s="27"/>
    </row>
    <row r="190">
      <c r="A190" s="29" t="str">
        <f>IFERROR(__xludf.DUMMYFUNCTION("""COMPUTED_VALUE"""),"E-167")</f>
        <v>E-167</v>
      </c>
      <c r="B190" s="27" t="str">
        <f>IFERROR(__xludf.DUMMYFUNCTION("""COMPUTED_VALUE"""),"Event")</f>
        <v>Event</v>
      </c>
      <c r="C190" s="27" t="str">
        <f>IFERROR(__xludf.DUMMYFUNCTION("""COMPUTED_VALUE"""),"A Cruel Choice")</f>
        <v>A Cruel Choice</v>
      </c>
      <c r="D190" s="27" t="str">
        <f>IFERROR(__xludf.DUMMYFUNCTION("""COMPUTED_VALUE"""),"-")</f>
        <v>-</v>
      </c>
      <c r="E190" s="27">
        <f>IFERROR(__xludf.DUMMYFUNCTION("""COMPUTED_VALUE"""),7.0)</f>
        <v>7</v>
      </c>
      <c r="F190" s="27" t="str">
        <f>IFERROR(__xludf.DUMMYFUNCTION("""COMPUTED_VALUE"""),"A")</f>
        <v>A</v>
      </c>
      <c r="G190" s="27" t="str">
        <f>IFERROR(__xludf.DUMMYFUNCTION("""COMPUTED_VALUE"""),"Intermediate")</f>
        <v>Intermediate</v>
      </c>
      <c r="H190" s="27" t="str">
        <f>IFERROR(__xludf.DUMMYFUNCTION("""COMPUTED_VALUE"""),"-")</f>
        <v>-</v>
      </c>
      <c r="I190" s="28" t="str">
        <f>IFERROR(__xludf.DUMMYFUNCTION("""COMPUTED_VALUE"""),"[STANDBY] Your opponent selects 1 of your in-play MAMODO cards and 1 of their in-play MAMODO cards. At the END PHASE of this turn, you may choose to send all in-play cards (except the selected cards) to the Discard Pile.")</f>
        <v>[STANDBY] Your opponent selects 1 of your in-play MAMODO cards and 1 of their in-play MAMODO cards. At the END PHASE of this turn, you may choose to send all in-play cards (except the selected cards) to the Discard Pile.</v>
      </c>
      <c r="J190" s="27" t="str">
        <f>IFERROR(__xludf.DUMMYFUNCTION("""COMPUTED_VALUE"""),"-")</f>
        <v>-</v>
      </c>
      <c r="K190" s="27" t="str">
        <f>IFERROR(__xludf.DUMMYFUNCTION("""COMPUTED_VALUE"""),"-")</f>
        <v>-</v>
      </c>
      <c r="L190" s="27" t="str">
        <f>IFERROR(__xludf.DUMMYFUNCTION("""COMPUTED_VALUE"""),"-")</f>
        <v>-</v>
      </c>
      <c r="M190" s="27" t="str">
        <f>IFERROR(__xludf.DUMMYFUNCTION("""COMPUTED_VALUE"""),"[U]")</f>
        <v>[U]</v>
      </c>
      <c r="N190" s="27" t="str">
        <f>IFERROR(__xludf.DUMMYFUNCTION("""COMPUTED_VALUE"""),"""You have to make the ultimate choice. Doom the life of your friend Li-en...or doom the lives of everyone on the face of the planet.""")</f>
        <v>"You have to make the ultimate choice. Doom the life of your friend Li-en...or doom the lives of everyone on the face of the planet."</v>
      </c>
      <c r="O190" s="27"/>
      <c r="P190" s="27"/>
      <c r="Q190" s="27"/>
      <c r="R190" s="27"/>
      <c r="S190" s="27"/>
      <c r="T190" s="27"/>
      <c r="U190" s="27"/>
      <c r="V190" s="27"/>
      <c r="W190" s="27"/>
      <c r="X190" s="27"/>
      <c r="Y190" s="27"/>
      <c r="Z190" s="27"/>
    </row>
    <row r="191">
      <c r="A191" s="29" t="str">
        <f>IFERROR(__xludf.DUMMYFUNCTION("""COMPUTED_VALUE"""),"E-168")</f>
        <v>E-168</v>
      </c>
      <c r="B191" s="27" t="str">
        <f>IFERROR(__xludf.DUMMYFUNCTION("""COMPUTED_VALUE"""),"Event")</f>
        <v>Event</v>
      </c>
      <c r="C191" s="27" t="str">
        <f>IFERROR(__xludf.DUMMYFUNCTION("""COMPUTED_VALUE"""),"I Won't Let Anyone Be Destroyed!")</f>
        <v>I Won't Let Anyone Be Destroyed!</v>
      </c>
      <c r="D191" s="27" t="str">
        <f>IFERROR(__xludf.DUMMYFUNCTION("""COMPUTED_VALUE"""),"-")</f>
        <v>-</v>
      </c>
      <c r="E191" s="27">
        <f>IFERROR(__xludf.DUMMYFUNCTION("""COMPUTED_VALUE"""),2.0)</f>
        <v>2</v>
      </c>
      <c r="F191" s="27" t="str">
        <f>IFERROR(__xludf.DUMMYFUNCTION("""COMPUTED_VALUE"""),"AD")</f>
        <v>AD</v>
      </c>
      <c r="G191" s="27" t="str">
        <f>IFERROR(__xludf.DUMMYFUNCTION("""COMPUTED_VALUE"""),"None")</f>
        <v>None</v>
      </c>
      <c r="H191" s="27" t="str">
        <f>IFERROR(__xludf.DUMMYFUNCTION("""COMPUTED_VALUE"""),"-")</f>
        <v>-</v>
      </c>
      <c r="I191" s="28" t="str">
        <f>IFERROR(__xludf.DUMMYFUNCTION("""COMPUTED_VALUE"""),"[STAY] Your opponent cannot apply card effects with [Send this card to the Discard Pile] during this game.")</f>
        <v>[STAY] Your opponent cannot apply card effects with [Send this card to the Discard Pile] during this game.</v>
      </c>
      <c r="J191" s="27" t="str">
        <f>IFERROR(__xludf.DUMMYFUNCTION("""COMPUTED_VALUE"""),"-")</f>
        <v>-</v>
      </c>
      <c r="K191" s="27" t="str">
        <f>IFERROR(__xludf.DUMMYFUNCTION("""COMPUTED_VALUE"""),"-")</f>
        <v>-</v>
      </c>
      <c r="L191" s="27" t="str">
        <f>IFERROR(__xludf.DUMMYFUNCTION("""COMPUTED_VALUE"""),"-")</f>
        <v>-</v>
      </c>
      <c r="M191" s="27" t="str">
        <f>IFERROR(__xludf.DUMMYFUNCTION("""COMPUTED_VALUE"""),"[SR]")</f>
        <v>[SR]</v>
      </c>
      <c r="N191" s="27" t="str">
        <f>IFERROR(__xludf.DUMMYFUNCTION("""COMPUTED_VALUE"""),"""I...I won't let anyone be destroyed! I'm gonna save Li-en and everybody on Earth!""")</f>
        <v>"I...I won't let anyone be destroyed! I'm gonna save Li-en and everybody on Earth!"</v>
      </c>
      <c r="O191" s="27"/>
      <c r="P191" s="27"/>
      <c r="Q191" s="27"/>
      <c r="R191" s="27"/>
      <c r="S191" s="27"/>
      <c r="T191" s="27"/>
      <c r="U191" s="27"/>
      <c r="V191" s="27"/>
      <c r="W191" s="27"/>
      <c r="X191" s="27"/>
      <c r="Y191" s="27"/>
      <c r="Z191" s="27"/>
    </row>
    <row r="192">
      <c r="A192" s="29" t="str">
        <f>IFERROR(__xludf.DUMMYFUNCTION("""COMPUTED_VALUE"""),"E-169")</f>
        <v>E-169</v>
      </c>
      <c r="B192" s="27" t="str">
        <f>IFERROR(__xludf.DUMMYFUNCTION("""COMPUTED_VALUE"""),"Event")</f>
        <v>Event</v>
      </c>
      <c r="C192" s="27" t="str">
        <f>IFERROR(__xludf.DUMMYFUNCTION("""COMPUTED_VALUE"""),"Supporter")</f>
        <v>Supporter</v>
      </c>
      <c r="D192" s="27" t="str">
        <f>IFERROR(__xludf.DUMMYFUNCTION("""COMPUTED_VALUE"""),"-")</f>
        <v>-</v>
      </c>
      <c r="E192" s="27">
        <f>IFERROR(__xludf.DUMMYFUNCTION("""COMPUTED_VALUE"""),3.0)</f>
        <v>3</v>
      </c>
      <c r="F192" s="27" t="str">
        <f>IFERROR(__xludf.DUMMYFUNCTION("""COMPUTED_VALUE"""),"AD")</f>
        <v>AD</v>
      </c>
      <c r="G192" s="27" t="str">
        <f>IFERROR(__xludf.DUMMYFUNCTION("""COMPUTED_VALUE"""),"Intermediate")</f>
        <v>Intermediate</v>
      </c>
      <c r="H192" s="27" t="str">
        <f>IFERROR(__xludf.DUMMYFUNCTION("""COMPUTED_VALUE"""),"-")</f>
        <v>-</v>
      </c>
      <c r="I192" s="28" t="str">
        <f>IFERROR(__xludf.DUMMYFUNCTION("""COMPUTED_VALUE"""),"Select 1 PARTNER card from any page of your Spell Book that you do not have the respective MAMODO card in play for and put the selected PARTNER card in play. This effect can be applied only once per game (per player). - The PARTNER is discarded at the END"&amp;" PHASE of this turn, even when prohibited. - The effects of the PARTNER card put in play by this effect can be applied even without the MAMODO.")</f>
        <v>Select 1 PARTNER card from any page of your Spell Book that you do not have the respective MAMODO card in play for and put the selected PARTNER card in play. This effect can be applied only once per game (per player). - The PARTNER is discarded at the END PHASE of this turn, even when prohibited. - The effects of the PARTNER card put in play by this effect can be applied even without the MAMODO.</v>
      </c>
      <c r="J192" s="27" t="str">
        <f>IFERROR(__xludf.DUMMYFUNCTION("""COMPUTED_VALUE"""),"-")</f>
        <v>-</v>
      </c>
      <c r="K192" s="27" t="str">
        <f>IFERROR(__xludf.DUMMYFUNCTION("""COMPUTED_VALUE"""),"-")</f>
        <v>-</v>
      </c>
      <c r="L192" s="27" t="str">
        <f>IFERROR(__xludf.DUMMYFUNCTION("""COMPUTED_VALUE"""),"-")</f>
        <v>-</v>
      </c>
      <c r="M192" s="27" t="str">
        <f>IFERROR(__xludf.DUMMYFUNCTION("""COMPUTED_VALUE"""),"[C]")</f>
        <v>[C]</v>
      </c>
      <c r="N192" s="27" t="str">
        <f>IFERROR(__xludf.DUMMYFUNCTION("""COMPUTED_VALUE"""),"Apollo and Dr. Riddles. Even through their respective mamodo have since been eliminated, Kiyo can always count on them to lend a hand.")</f>
        <v>Apollo and Dr. Riddles. Even through their respective mamodo have since been eliminated, Kiyo can always count on them to lend a hand.</v>
      </c>
      <c r="O192" s="27"/>
      <c r="P192" s="27"/>
      <c r="Q192" s="27"/>
      <c r="R192" s="27"/>
      <c r="S192" s="27"/>
      <c r="T192" s="27"/>
      <c r="U192" s="27"/>
      <c r="V192" s="27"/>
      <c r="W192" s="27"/>
      <c r="X192" s="27"/>
      <c r="Y192" s="27"/>
      <c r="Z192" s="27"/>
    </row>
    <row r="193">
      <c r="A193" s="29" t="str">
        <f>IFERROR(__xludf.DUMMYFUNCTION("""COMPUTED_VALUE"""),"E-170")</f>
        <v>E-170</v>
      </c>
      <c r="B193" s="27" t="str">
        <f>IFERROR(__xludf.DUMMYFUNCTION("""COMPUTED_VALUE"""),"Event")</f>
        <v>Event</v>
      </c>
      <c r="C193" s="27" t="str">
        <f>IFERROR(__xludf.DUMMYFUNCTION("""COMPUTED_VALUE"""),"Professor Dartagnan (Busted)")</f>
        <v>Professor Dartagnan (Busted)</v>
      </c>
      <c r="D193" s="27" t="str">
        <f>IFERROR(__xludf.DUMMYFUNCTION("""COMPUTED_VALUE"""),"-")</f>
        <v>-</v>
      </c>
      <c r="E193" s="27">
        <f>IFERROR(__xludf.DUMMYFUNCTION("""COMPUTED_VALUE"""),1.0)</f>
        <v>1</v>
      </c>
      <c r="F193" s="27" t="str">
        <f>IFERROR(__xludf.DUMMYFUNCTION("""COMPUTED_VALUE"""),"AD")</f>
        <v>AD</v>
      </c>
      <c r="G193" s="27" t="str">
        <f>IFERROR(__xludf.DUMMYFUNCTION("""COMPUTED_VALUE"""),"None")</f>
        <v>None</v>
      </c>
      <c r="H193" s="27" t="str">
        <f>IFERROR(__xludf.DUMMYFUNCTION("""COMPUTED_VALUE"""),"-")</f>
        <v>-</v>
      </c>
      <c r="I193" s="28" t="str">
        <f>IFERROR(__xludf.DUMMYFUNCTION("""COMPUTED_VALUE"""),"[STAY] Your opponent cannot play cards that include ""Dartagnan"", ""Bust"", ""Susan"", or ""Susie"" in their card names during this game.")</f>
        <v>[STAY] Your opponent cannot play cards that include "Dartagnan", "Bust", "Susan", or "Susie" in their card names during this game.</v>
      </c>
      <c r="J193" s="27" t="str">
        <f>IFERROR(__xludf.DUMMYFUNCTION("""COMPUTED_VALUE"""),"-")</f>
        <v>-</v>
      </c>
      <c r="K193" s="27" t="str">
        <f>IFERROR(__xludf.DUMMYFUNCTION("""COMPUTED_VALUE"""),"-")</f>
        <v>-</v>
      </c>
      <c r="L193" s="27" t="str">
        <f>IFERROR(__xludf.DUMMYFUNCTION("""COMPUTED_VALUE"""),"-")</f>
        <v>-</v>
      </c>
      <c r="M193" s="27" t="str">
        <f>IFERROR(__xludf.DUMMYFUNCTION("""COMPUTED_VALUE"""),"[SR]")</f>
        <v>[SR]</v>
      </c>
      <c r="N193" s="27" t="str">
        <f>IFERROR(__xludf.DUMMYFUNCTION("""COMPUTED_VALUE"""),"""The diabolical mastermind behind the great bust caper was none other than I, Professor Dartagnan! The man with the golden bosoms!""")</f>
        <v>"The diabolical mastermind behind the great bust caper was none other than I, Professor Dartagnan! The man with the golden bosoms!"</v>
      </c>
      <c r="O193" s="27"/>
      <c r="P193" s="27"/>
      <c r="Q193" s="27"/>
      <c r="R193" s="27"/>
      <c r="S193" s="27"/>
      <c r="T193" s="27"/>
      <c r="U193" s="27"/>
      <c r="V193" s="27"/>
      <c r="W193" s="27"/>
      <c r="X193" s="27"/>
      <c r="Y193" s="27"/>
      <c r="Z193" s="27"/>
    </row>
    <row r="194">
      <c r="A194" s="29" t="str">
        <f>IFERROR(__xludf.DUMMYFUNCTION("""COMPUTED_VALUE"""),"E-171")</f>
        <v>E-171</v>
      </c>
      <c r="B194" s="27" t="str">
        <f>IFERROR(__xludf.DUMMYFUNCTION("""COMPUTED_VALUE"""),"Event")</f>
        <v>Event</v>
      </c>
      <c r="C194" s="27" t="str">
        <f>IFERROR(__xludf.DUMMYFUNCTION("""COMPUTED_VALUE"""),"Double – 0 Folgore! The Man with the Golden Bust!")</f>
        <v>Double – 0 Folgore! The Man with the Golden Bust!</v>
      </c>
      <c r="D194" s="27" t="str">
        <f>IFERROR(__xludf.DUMMYFUNCTION("""COMPUTED_VALUE"""),"-")</f>
        <v>-</v>
      </c>
      <c r="E194" s="27">
        <f>IFERROR(__xludf.DUMMYFUNCTION("""COMPUTED_VALUE"""),2.0)</f>
        <v>2</v>
      </c>
      <c r="F194" s="27" t="str">
        <f>IFERROR(__xludf.DUMMYFUNCTION("""COMPUTED_VALUE"""),"A")</f>
        <v>A</v>
      </c>
      <c r="G194" s="27" t="str">
        <f>IFERROR(__xludf.DUMMYFUNCTION("""COMPUTED_VALUE"""),"Intermediate")</f>
        <v>Intermediate</v>
      </c>
      <c r="H194" s="27" t="str">
        <f>IFERROR(__xludf.DUMMYFUNCTION("""COMPUTED_VALUE"""),"-")</f>
        <v>-</v>
      </c>
      <c r="I194" s="28" t="str">
        <f>IFERROR(__xludf.DUMMYFUNCTION("""COMPUTED_VALUE"""),"Look at your opponent's Spell Book and count the number of cards in all the pages that have effects that reduce your MP. Turn an amount of pages of your opponent's Spell Book equal to the number of cards counted times 1.")</f>
        <v>Look at your opponent's Spell Book and count the number of cards in all the pages that have effects that reduce your MP. Turn an amount of pages of your opponent's Spell Book equal to the number of cards counted times 1.</v>
      </c>
      <c r="J194" s="27" t="str">
        <f>IFERROR(__xludf.DUMMYFUNCTION("""COMPUTED_VALUE"""),"-")</f>
        <v>-</v>
      </c>
      <c r="K194" s="27" t="str">
        <f>IFERROR(__xludf.DUMMYFUNCTION("""COMPUTED_VALUE"""),"-")</f>
        <v>-</v>
      </c>
      <c r="L194" s="27" t="str">
        <f>IFERROR(__xludf.DUMMYFUNCTION("""COMPUTED_VALUE"""),"-")</f>
        <v>-</v>
      </c>
      <c r="M194" s="27" t="str">
        <f>IFERROR(__xludf.DUMMYFUNCTION("""COMPUTED_VALUE"""),"[SR]")</f>
        <v>[SR]</v>
      </c>
      <c r="N194" s="27" t="str">
        <f>IFERROR(__xludf.DUMMYFUNCTION("""COMPUTED_VALUE"""),"""Busts are being stolen around the world by an unknown culprit! It's up to Double – 0 operatives: Folgore, Zatch, and Kiyo to crack the case!""")</f>
        <v>"Busts are being stolen around the world by an unknown culprit! It's up to Double – 0 operatives: Folgore, Zatch, and Kiyo to crack the case!"</v>
      </c>
      <c r="O194" s="27"/>
      <c r="P194" s="27"/>
      <c r="Q194" s="27"/>
      <c r="R194" s="27"/>
      <c r="S194" s="27"/>
      <c r="T194" s="27"/>
      <c r="U194" s="27"/>
      <c r="V194" s="27"/>
      <c r="W194" s="27"/>
      <c r="X194" s="27"/>
      <c r="Y194" s="27"/>
      <c r="Z194" s="27"/>
    </row>
    <row r="195">
      <c r="A195" s="29" t="str">
        <f>IFERROR(__xludf.DUMMYFUNCTION("""COMPUTED_VALUE"""),"E-172")</f>
        <v>E-172</v>
      </c>
      <c r="B195" s="27" t="str">
        <f>IFERROR(__xludf.DUMMYFUNCTION("""COMPUTED_VALUE"""),"Event")</f>
        <v>Event</v>
      </c>
      <c r="C195" s="27" t="str">
        <f>IFERROR(__xludf.DUMMYFUNCTION("""COMPUTED_VALUE"""),"Together with Volcan")</f>
        <v>Together with Volcan</v>
      </c>
      <c r="D195" s="27" t="str">
        <f>IFERROR(__xludf.DUMMYFUNCTION("""COMPUTED_VALUE"""),"-")</f>
        <v>-</v>
      </c>
      <c r="E195" s="27">
        <f>IFERROR(__xludf.DUMMYFUNCTION("""COMPUTED_VALUE"""),1.0)</f>
        <v>1</v>
      </c>
      <c r="F195" s="27" t="str">
        <f>IFERROR(__xludf.DUMMYFUNCTION("""COMPUTED_VALUE"""),"A")</f>
        <v>A</v>
      </c>
      <c r="G195" s="27" t="str">
        <f>IFERROR(__xludf.DUMMYFUNCTION("""COMPUTED_VALUE"""),"None")</f>
        <v>None</v>
      </c>
      <c r="H195" s="27" t="str">
        <f>IFERROR(__xludf.DUMMYFUNCTION("""COMPUTED_VALUE"""),"-")</f>
        <v>-</v>
      </c>
      <c r="I195" s="28" t="str">
        <f>IFERROR(__xludf.DUMMYFUNCTION("""COMPUTED_VALUE"""),"Select 1 VOLCAN card from any page of your Spell Book and put it in play.")</f>
        <v>Select 1 VOLCAN card from any page of your Spell Book and put it in play.</v>
      </c>
      <c r="J195" s="27" t="str">
        <f>IFERROR(__xludf.DUMMYFUNCTION("""COMPUTED_VALUE"""),"-")</f>
        <v>-</v>
      </c>
      <c r="K195" s="27" t="str">
        <f>IFERROR(__xludf.DUMMYFUNCTION("""COMPUTED_VALUE"""),"-")</f>
        <v>-</v>
      </c>
      <c r="L195" s="27" t="str">
        <f>IFERROR(__xludf.DUMMYFUNCTION("""COMPUTED_VALUE"""),"-")</f>
        <v>-</v>
      </c>
      <c r="M195" s="27" t="str">
        <f>IFERROR(__xludf.DUMMYFUNCTION("""COMPUTED_VALUE"""),"[C]")</f>
        <v>[C]</v>
      </c>
      <c r="N195" s="27" t="str">
        <f>IFERROR(__xludf.DUMMYFUNCTION("""COMPUTED_VALUE"""),"""You're Volcan's savior! It's amazing! Volcan's savior is...Volcan!""")</f>
        <v>"You're Volcan's savior! It's amazing! Volcan's savior is...Volcan!"</v>
      </c>
      <c r="O195" s="27"/>
      <c r="P195" s="27"/>
      <c r="Q195" s="27"/>
      <c r="R195" s="27"/>
      <c r="S195" s="27"/>
      <c r="T195" s="27"/>
      <c r="U195" s="27"/>
      <c r="V195" s="27"/>
      <c r="W195" s="27"/>
      <c r="X195" s="27"/>
      <c r="Y195" s="27"/>
      <c r="Z195" s="27"/>
    </row>
    <row r="196">
      <c r="A196" s="29" t="str">
        <f>IFERROR(__xludf.DUMMYFUNCTION("""COMPUTED_VALUE"""),"E-173")</f>
        <v>E-173</v>
      </c>
      <c r="B196" s="27" t="str">
        <f>IFERROR(__xludf.DUMMYFUNCTION("""COMPUTED_VALUE"""),"Event")</f>
        <v>Event</v>
      </c>
      <c r="C196" s="27" t="str">
        <f>IFERROR(__xludf.DUMMYFUNCTION("""COMPUTED_VALUE"""),"Naomi VS Volcan")</f>
        <v>Naomi VS Volcan</v>
      </c>
      <c r="D196" s="27" t="str">
        <f>IFERROR(__xludf.DUMMYFUNCTION("""COMPUTED_VALUE"""),"-")</f>
        <v>-</v>
      </c>
      <c r="E196" s="27">
        <f>IFERROR(__xludf.DUMMYFUNCTION("""COMPUTED_VALUE"""),2.0)</f>
        <v>2</v>
      </c>
      <c r="F196" s="27" t="str">
        <f>IFERROR(__xludf.DUMMYFUNCTION("""COMPUTED_VALUE"""),"A")</f>
        <v>A</v>
      </c>
      <c r="G196" s="27" t="str">
        <f>IFERROR(__xludf.DUMMYFUNCTION("""COMPUTED_VALUE"""),"None")</f>
        <v>None</v>
      </c>
      <c r="H196" s="27" t="str">
        <f>IFERROR(__xludf.DUMMYFUNCTION("""COMPUTED_VALUE"""),"-")</f>
        <v>-</v>
      </c>
      <c r="I196" s="28" t="str">
        <f>IFERROR(__xludf.DUMMYFUNCTION("""COMPUTED_VALUE"""),"[STAY] Each time you put a VOLCAN card in play during this game, send 1 of your opponent's in-play cards (except MAMODO cards) to the Discard Pile.")</f>
        <v>[STAY] Each time you put a VOLCAN card in play during this game, send 1 of your opponent's in-play cards (except MAMODO cards) to the Discard Pile.</v>
      </c>
      <c r="J196" s="27" t="str">
        <f>IFERROR(__xludf.DUMMYFUNCTION("""COMPUTED_VALUE"""),"-")</f>
        <v>-</v>
      </c>
      <c r="K196" s="27" t="str">
        <f>IFERROR(__xludf.DUMMYFUNCTION("""COMPUTED_VALUE"""),"-")</f>
        <v>-</v>
      </c>
      <c r="L196" s="27" t="str">
        <f>IFERROR(__xludf.DUMMYFUNCTION("""COMPUTED_VALUE"""),"-")</f>
        <v>-</v>
      </c>
      <c r="M196" s="27" t="str">
        <f>IFERROR(__xludf.DUMMYFUNCTION("""COMPUTED_VALUE"""),"[U]")</f>
        <v>[U]</v>
      </c>
      <c r="N196" s="27" t="str">
        <f>IFERROR(__xludf.DUMMYFUNCTION("""COMPUTED_VALUE"""),"""My special Naomi Robo is awesome, isn't it?""")</f>
        <v>"My special Naomi Robo is awesome, isn't it?"</v>
      </c>
      <c r="O196" s="27"/>
      <c r="P196" s="27"/>
      <c r="Q196" s="27"/>
      <c r="R196" s="27"/>
      <c r="S196" s="27"/>
      <c r="T196" s="27"/>
      <c r="U196" s="27"/>
      <c r="V196" s="27"/>
      <c r="W196" s="27"/>
      <c r="X196" s="27"/>
      <c r="Y196" s="27"/>
      <c r="Z196" s="27"/>
    </row>
    <row r="197">
      <c r="A197" s="29" t="str">
        <f>IFERROR(__xludf.DUMMYFUNCTION("""COMPUTED_VALUE"""),"E-174")</f>
        <v>E-174</v>
      </c>
      <c r="B197" s="27" t="str">
        <f>IFERROR(__xludf.DUMMYFUNCTION("""COMPUTED_VALUE"""),"Event")</f>
        <v>Event</v>
      </c>
      <c r="C197" s="27" t="str">
        <f>IFERROR(__xludf.DUMMYFUNCTION("""COMPUTED_VALUE"""),"Combining The Elements")</f>
        <v>Combining The Elements</v>
      </c>
      <c r="D197" s="27" t="str">
        <f>IFERROR(__xludf.DUMMYFUNCTION("""COMPUTED_VALUE"""),"-")</f>
        <v>-</v>
      </c>
      <c r="E197" s="27">
        <f>IFERROR(__xludf.DUMMYFUNCTION("""COMPUTED_VALUE"""),1.0)</f>
        <v>1</v>
      </c>
      <c r="F197" s="27" t="str">
        <f>IFERROR(__xludf.DUMMYFUNCTION("""COMPUTED_VALUE"""),"AD")</f>
        <v>AD</v>
      </c>
      <c r="G197" s="27" t="str">
        <f>IFERROR(__xludf.DUMMYFUNCTION("""COMPUTED_VALUE"""),"None")</f>
        <v>None</v>
      </c>
      <c r="H197" s="27" t="str">
        <f>IFERROR(__xludf.DUMMYFUNCTION("""COMPUTED_VALUE"""),"-")</f>
        <v>-</v>
      </c>
      <c r="I197" s="28" t="str">
        <f>IFERROR(__xludf.DUMMYFUNCTION("""COMPUTED_VALUE"""),"Select as many Zatch Bell, Kanchomé, Tia, and Ponygon MAMODO cards (including Dual and VS MAMODO cards) as you desire from any page of your Spell Book and put them in play.")</f>
        <v>Select as many Zatch Bell, Kanchomé, Tia, and Ponygon MAMODO cards (including Dual and VS MAMODO cards) as you desire from any page of your Spell Book and put them in play.</v>
      </c>
      <c r="J197" s="27" t="str">
        <f>IFERROR(__xludf.DUMMYFUNCTION("""COMPUTED_VALUE"""),"-")</f>
        <v>-</v>
      </c>
      <c r="K197" s="27" t="str">
        <f>IFERROR(__xludf.DUMMYFUNCTION("""COMPUTED_VALUE"""),"-")</f>
        <v>-</v>
      </c>
      <c r="L197" s="27" t="str">
        <f>IFERROR(__xludf.DUMMYFUNCTION("""COMPUTED_VALUE"""),"-")</f>
        <v>-</v>
      </c>
      <c r="M197" s="27" t="str">
        <f>IFERROR(__xludf.DUMMYFUNCTION("""COMPUTED_VALUE"""),"[C]")</f>
        <v>[C]</v>
      </c>
      <c r="N197" s="27" t="str">
        <f>IFERROR(__xludf.DUMMYFUNCTION("""COMPUTED_VALUE"""),"""Listen up, everyone! We're the only ones who can save the world!""")</f>
        <v>"Listen up, everyone! We're the only ones who can save the world!"</v>
      </c>
      <c r="O197" s="27"/>
      <c r="P197" s="27"/>
      <c r="Q197" s="27"/>
      <c r="R197" s="27"/>
      <c r="S197" s="27"/>
      <c r="T197" s="27"/>
      <c r="U197" s="27"/>
      <c r="V197" s="27"/>
      <c r="W197" s="27"/>
      <c r="X197" s="27"/>
      <c r="Y197" s="27"/>
      <c r="Z197" s="27"/>
    </row>
    <row r="198">
      <c r="A198" s="29" t="str">
        <f>IFERROR(__xludf.DUMMYFUNCTION("""COMPUTED_VALUE"""),"E-175")</f>
        <v>E-175</v>
      </c>
      <c r="B198" s="27" t="str">
        <f>IFERROR(__xludf.DUMMYFUNCTION("""COMPUTED_VALUE"""),"Event")</f>
        <v>Event</v>
      </c>
      <c r="C198" s="27" t="str">
        <f>IFERROR(__xludf.DUMMYFUNCTION("""COMPUTED_VALUE"""),"Friends Forever")</f>
        <v>Friends Forever</v>
      </c>
      <c r="D198" s="27" t="str">
        <f>IFERROR(__xludf.DUMMYFUNCTION("""COMPUTED_VALUE"""),"-")</f>
        <v>-</v>
      </c>
      <c r="E198" s="27">
        <f>IFERROR(__xludf.DUMMYFUNCTION("""COMPUTED_VALUE"""),3.0)</f>
        <v>3</v>
      </c>
      <c r="F198" s="27" t="str">
        <f>IFERROR(__xludf.DUMMYFUNCTION("""COMPUTED_VALUE"""),"AD")</f>
        <v>AD</v>
      </c>
      <c r="G198" s="27" t="str">
        <f>IFERROR(__xludf.DUMMYFUNCTION("""COMPUTED_VALUE"""),"None")</f>
        <v>None</v>
      </c>
      <c r="H198" s="27" t="str">
        <f>IFERROR(__xludf.DUMMYFUNCTION("""COMPUTED_VALUE"""),"-")</f>
        <v>-</v>
      </c>
      <c r="I198" s="28" t="str">
        <f>IFERROR(__xludf.DUMMYFUNCTION("""COMPUTED_VALUE"""),"Select 1 MAMODO card and 1 of its respective PARTNER cards (you must choose both) from any page of your Spell Book or Discard Pile and put them in play.")</f>
        <v>Select 1 MAMODO card and 1 of its respective PARTNER cards (you must choose both) from any page of your Spell Book or Discard Pile and put them in play.</v>
      </c>
      <c r="J198" s="27" t="str">
        <f>IFERROR(__xludf.DUMMYFUNCTION("""COMPUTED_VALUE"""),"-")</f>
        <v>-</v>
      </c>
      <c r="K198" s="27" t="str">
        <f>IFERROR(__xludf.DUMMYFUNCTION("""COMPUTED_VALUE"""),"-")</f>
        <v>-</v>
      </c>
      <c r="L198" s="27" t="str">
        <f>IFERROR(__xludf.DUMMYFUNCTION("""COMPUTED_VALUE"""),"-")</f>
        <v>-</v>
      </c>
      <c r="M198" s="27" t="str">
        <f>IFERROR(__xludf.DUMMYFUNCTION("""COMPUTED_VALUE"""),"[R]")</f>
        <v>[R]</v>
      </c>
      <c r="N198" s="27" t="str">
        <f>IFERROR(__xludf.DUMMYFUNCTION("""COMPUTED_VALUE"""),"""A message from Volcan Mark IV..."" ""WE'LL BE...FRIENDS...FOREVER...THANK YOU...""")</f>
        <v>"A message from Volcan Mark IV..." "WE'LL BE...FRIENDS...FOREVER...THANK YOU..."</v>
      </c>
      <c r="O198" s="27"/>
      <c r="P198" s="27"/>
      <c r="Q198" s="27"/>
      <c r="R198" s="27"/>
      <c r="S198" s="27"/>
      <c r="T198" s="27"/>
      <c r="U198" s="27"/>
      <c r="V198" s="27"/>
      <c r="W198" s="27"/>
      <c r="X198" s="27"/>
      <c r="Y198" s="27"/>
      <c r="Z198" s="27"/>
    </row>
    <row r="199">
      <c r="A199" s="29" t="str">
        <f>IFERROR(__xludf.DUMMYFUNCTION("""COMPUTED_VALUE"""),"E-176")</f>
        <v>E-176</v>
      </c>
      <c r="B199" s="27" t="str">
        <f>IFERROR(__xludf.DUMMYFUNCTION("""COMPUTED_VALUE"""),"Event")</f>
        <v>Event</v>
      </c>
      <c r="C199" s="27" t="str">
        <f>IFERROR(__xludf.DUMMYFUNCTION("""COMPUTED_VALUE"""),"FIRE...ZATCH...")</f>
        <v>FIRE...ZATCH...</v>
      </c>
      <c r="D199" s="27" t="str">
        <f>IFERROR(__xludf.DUMMYFUNCTION("""COMPUTED_VALUE"""),"-")</f>
        <v>-</v>
      </c>
      <c r="E199" s="27">
        <f>IFERROR(__xludf.DUMMYFUNCTION("""COMPUTED_VALUE"""),2.0)</f>
        <v>2</v>
      </c>
      <c r="F199" s="27" t="str">
        <f>IFERROR(__xludf.DUMMYFUNCTION("""COMPUTED_VALUE"""),"A")</f>
        <v>A</v>
      </c>
      <c r="G199" s="27" t="str">
        <f>IFERROR(__xludf.DUMMYFUNCTION("""COMPUTED_VALUE"""),"Superior")</f>
        <v>Superior</v>
      </c>
      <c r="H199" s="27" t="str">
        <f>IFERROR(__xludf.DUMMYFUNCTION("""COMPUTED_VALUE"""),"-")</f>
        <v>-</v>
      </c>
      <c r="I199" s="28" t="str">
        <f>IFERROR(__xludf.DUMMYFUNCTION("""COMPUTED_VALUE"""),"This EVENT card can be played only if a Bao Zakeruga or Bao Zakeruga of Friendship SPELL card is in the next page of your Spell Book. Apply both of the following effects in any order: ● Turn 1 page of your Spell Book. ● [STAY] Add 3000 Power to that Bao Z"&amp;"akeruga SPELL card this turn.")</f>
        <v>This EVENT card can be played only if a Bao Zakeruga or Bao Zakeruga of Friendship SPELL card is in the next page of your Spell Book. Apply both of the following effects in any order: ● Turn 1 page of your Spell Book. ● [STAY] Add 3000 Power to that Bao Zakeruga SPELL card this turn.</v>
      </c>
      <c r="J199" s="27" t="str">
        <f>IFERROR(__xludf.DUMMYFUNCTION("""COMPUTED_VALUE"""),"-")</f>
        <v>-</v>
      </c>
      <c r="K199" s="27" t="str">
        <f>IFERROR(__xludf.DUMMYFUNCTION("""COMPUTED_VALUE"""),"-")</f>
        <v>-</v>
      </c>
      <c r="L199" s="27" t="str">
        <f>IFERROR(__xludf.DUMMYFUNCTION("""COMPUTED_VALUE"""),"-")</f>
        <v>-</v>
      </c>
      <c r="M199" s="27" t="str">
        <f>IFERROR(__xludf.DUMMYFUNCTION("""COMPUTED_VALUE"""),"[U]")</f>
        <v>[U]</v>
      </c>
      <c r="N199" s="27" t="str">
        <f>IFERROR(__xludf.DUMMYFUNCTION("""COMPUTED_VALUE"""),"""You can do this, right, Zatch?"" ""I'm not just going to do it...I'm going to put all of my heart and soul into it!""")</f>
        <v>"You can do this, right, Zatch?" "I'm not just going to do it...I'm going to put all of my heart and soul into it!"</v>
      </c>
      <c r="O199" s="27"/>
      <c r="P199" s="27"/>
      <c r="Q199" s="27"/>
      <c r="R199" s="27"/>
      <c r="S199" s="27"/>
      <c r="T199" s="27"/>
      <c r="U199" s="27"/>
      <c r="V199" s="27"/>
      <c r="W199" s="27"/>
      <c r="X199" s="27"/>
      <c r="Y199" s="27"/>
      <c r="Z199" s="27"/>
    </row>
    <row r="200">
      <c r="A200" s="29" t="str">
        <f>IFERROR(__xludf.DUMMYFUNCTION("""COMPUTED_VALUE"""),"E-177")</f>
        <v>E-177</v>
      </c>
      <c r="B200" s="27" t="str">
        <f>IFERROR(__xludf.DUMMYFUNCTION("""COMPUTED_VALUE"""),"Event")</f>
        <v>Event</v>
      </c>
      <c r="C200" s="27" t="str">
        <f>IFERROR(__xludf.DUMMYFUNCTION("""COMPUTED_VALUE"""),"Beethoven's 9th Symphony")</f>
        <v>Beethoven's 9th Symphony</v>
      </c>
      <c r="D200" s="27" t="str">
        <f>IFERROR(__xludf.DUMMYFUNCTION("""COMPUTED_VALUE"""),"-")</f>
        <v>-</v>
      </c>
      <c r="E200" s="27">
        <f>IFERROR(__xludf.DUMMYFUNCTION("""COMPUTED_VALUE"""),0.0)</f>
        <v>0</v>
      </c>
      <c r="F200" s="27" t="str">
        <f>IFERROR(__xludf.DUMMYFUNCTION("""COMPUTED_VALUE"""),"AD")</f>
        <v>AD</v>
      </c>
      <c r="G200" s="27" t="str">
        <f>IFERROR(__xludf.DUMMYFUNCTION("""COMPUTED_VALUE"""),"None")</f>
        <v>None</v>
      </c>
      <c r="H200" s="27" t="str">
        <f>IFERROR(__xludf.DUMMYFUNCTION("""COMPUTED_VALUE"""),"-")</f>
        <v>-</v>
      </c>
      <c r="I200" s="28" t="str">
        <f>IFERROR(__xludf.DUMMYFUNCTION("""COMPUTED_VALUE"""),"Apply 1 of the following effects: ● [STAY] Your MP cannot be reduced by your opponent's card effects during this game. ● Reduce your opponent's MP by 2, even when prohibited to do so.")</f>
        <v>Apply 1 of the following effects: ● [STAY] Your MP cannot be reduced by your opponent's card effects during this game. ● Reduce your opponent's MP by 2, even when prohibited to do so.</v>
      </c>
      <c r="J200" s="27" t="str">
        <f>IFERROR(__xludf.DUMMYFUNCTION("""COMPUTED_VALUE"""),"-")</f>
        <v>-</v>
      </c>
      <c r="K200" s="27" t="str">
        <f>IFERROR(__xludf.DUMMYFUNCTION("""COMPUTED_VALUE"""),"-")</f>
        <v>-</v>
      </c>
      <c r="L200" s="27" t="str">
        <f>IFERROR(__xludf.DUMMYFUNCTION("""COMPUTED_VALUE"""),"-")</f>
        <v>-</v>
      </c>
      <c r="M200" s="27" t="str">
        <f>IFERROR(__xludf.DUMMYFUNCTION("""COMPUTED_VALUE"""),"[C]")</f>
        <v>[C]</v>
      </c>
      <c r="N200" s="27" t="str">
        <f>IFERROR(__xludf.DUMMYFUNCTION("""COMPUTED_VALUE"""),"""Th-The lyrics are completely wrong, but...this is...Beethoven's 9th Symphony!""")</f>
        <v>"Th-The lyrics are completely wrong, but...this is...Beethoven's 9th Symphony!"</v>
      </c>
      <c r="O200" s="27"/>
      <c r="P200" s="27"/>
      <c r="Q200" s="27"/>
      <c r="R200" s="27"/>
      <c r="S200" s="27"/>
      <c r="T200" s="27"/>
      <c r="U200" s="27"/>
      <c r="V200" s="27"/>
      <c r="W200" s="27"/>
      <c r="X200" s="27"/>
      <c r="Y200" s="27"/>
      <c r="Z200" s="27"/>
    </row>
    <row r="201">
      <c r="A201" s="29" t="str">
        <f>IFERROR(__xludf.DUMMYFUNCTION("""COMPUTED_VALUE"""),"E-178")</f>
        <v>E-178</v>
      </c>
      <c r="B201" s="27" t="str">
        <f>IFERROR(__xludf.DUMMYFUNCTION("""COMPUTED_VALUE"""),"Event")</f>
        <v>Event</v>
      </c>
      <c r="C201" s="27" t="str">
        <f>IFERROR(__xludf.DUMMYFUNCTION("""COMPUTED_VALUE"""),"The Last Cigar")</f>
        <v>The Last Cigar</v>
      </c>
      <c r="D201" s="27" t="str">
        <f>IFERROR(__xludf.DUMMYFUNCTION("""COMPUTED_VALUE"""),"-")</f>
        <v>-</v>
      </c>
      <c r="E201" s="27">
        <f>IFERROR(__xludf.DUMMYFUNCTION("""COMPUTED_VALUE"""),2.0)</f>
        <v>2</v>
      </c>
      <c r="F201" s="27" t="str">
        <f>IFERROR(__xludf.DUMMYFUNCTION("""COMPUTED_VALUE"""),"A")</f>
        <v>A</v>
      </c>
      <c r="G201" s="27" t="str">
        <f>IFERROR(__xludf.DUMMYFUNCTION("""COMPUTED_VALUE"""),"None")</f>
        <v>None</v>
      </c>
      <c r="H201" s="27" t="str">
        <f>IFERROR(__xludf.DUMMYFUNCTION("""COMPUTED_VALUE"""),"-")</f>
        <v>-</v>
      </c>
      <c r="I201" s="28" t="str">
        <f>IFERROR(__xludf.DUMMYFUNCTION("""COMPUTED_VALUE"""),"[STANDBY] After applying this effect, only once during this game (per player), turn 2 pages of your opponent's Spell Book when you are on the last page of your Spell Book.")</f>
        <v>[STANDBY] After applying this effect, only once during this game (per player), turn 2 pages of your opponent's Spell Book when you are on the last page of your Spell Book.</v>
      </c>
      <c r="J201" s="27" t="str">
        <f>IFERROR(__xludf.DUMMYFUNCTION("""COMPUTED_VALUE"""),"-")</f>
        <v>-</v>
      </c>
      <c r="K201" s="27" t="str">
        <f>IFERROR(__xludf.DUMMYFUNCTION("""COMPUTED_VALUE"""),"-")</f>
        <v>-</v>
      </c>
      <c r="L201" s="27" t="str">
        <f>IFERROR(__xludf.DUMMYFUNCTION("""COMPUTED_VALUE"""),"-")</f>
        <v>-</v>
      </c>
      <c r="M201" s="27" t="str">
        <f>IFERROR(__xludf.DUMMYFUNCTION("""COMPUTED_VALUE"""),"[U]")</f>
        <v>[U]</v>
      </c>
      <c r="N201" s="27" t="str">
        <f>IFERROR(__xludf.DUMMYFUNCTION("""COMPUTED_VALUE"""),"""I'll finish you off...in the time it takes me to smoke my last cigar.""")</f>
        <v>"I'll finish you off...in the time it takes me to smoke my last cigar."</v>
      </c>
      <c r="O201" s="27"/>
      <c r="P201" s="27"/>
      <c r="Q201" s="27"/>
      <c r="R201" s="27"/>
      <c r="S201" s="27"/>
      <c r="T201" s="27"/>
      <c r="U201" s="27"/>
      <c r="V201" s="27"/>
      <c r="W201" s="27"/>
      <c r="X201" s="27"/>
      <c r="Y201" s="27"/>
      <c r="Z201" s="27"/>
    </row>
    <row r="202">
      <c r="A202" s="29" t="str">
        <f>IFERROR(__xludf.DUMMYFUNCTION("""COMPUTED_VALUE"""),"E-179")</f>
        <v>E-179</v>
      </c>
      <c r="B202" s="27" t="str">
        <f>IFERROR(__xludf.DUMMYFUNCTION("""COMPUTED_VALUE"""),"Event")</f>
        <v>Event</v>
      </c>
      <c r="C202" s="27" t="str">
        <f>IFERROR(__xludf.DUMMYFUNCTION("""COMPUTED_VALUE"""),"I Won't Let Anyone Disappear!")</f>
        <v>I Won't Let Anyone Disappear!</v>
      </c>
      <c r="D202" s="27" t="str">
        <f>IFERROR(__xludf.DUMMYFUNCTION("""COMPUTED_VALUE"""),"-")</f>
        <v>-</v>
      </c>
      <c r="E202" s="27">
        <f>IFERROR(__xludf.DUMMYFUNCTION("""COMPUTED_VALUE"""),1.0)</f>
        <v>1</v>
      </c>
      <c r="F202" s="27" t="str">
        <f>IFERROR(__xludf.DUMMYFUNCTION("""COMPUTED_VALUE"""),"AD")</f>
        <v>AD</v>
      </c>
      <c r="G202" s="27" t="str">
        <f>IFERROR(__xludf.DUMMYFUNCTION("""COMPUTED_VALUE"""),"None")</f>
        <v>None</v>
      </c>
      <c r="H202" s="27" t="str">
        <f>IFERROR(__xludf.DUMMYFUNCTION("""COMPUTED_VALUE"""),"-")</f>
        <v>-</v>
      </c>
      <c r="I202" s="28" t="str">
        <f>IFERROR(__xludf.DUMMYFUNCTION("""COMPUTED_VALUE"""),"[STAY] None of the cards you have in play can be sent to the Discard Pile by your opponent's card effects (or as a result of Damage or Injury) until the END PHASE of the next turn.")</f>
        <v>[STAY] None of the cards you have in play can be sent to the Discard Pile by your opponent's card effects (or as a result of Damage or Injury) until the END PHASE of the next turn.</v>
      </c>
      <c r="J202" s="27" t="str">
        <f>IFERROR(__xludf.DUMMYFUNCTION("""COMPUTED_VALUE"""),"-")</f>
        <v>-</v>
      </c>
      <c r="K202" s="27" t="str">
        <f>IFERROR(__xludf.DUMMYFUNCTION("""COMPUTED_VALUE"""),"-")</f>
        <v>-</v>
      </c>
      <c r="L202" s="27" t="str">
        <f>IFERROR(__xludf.DUMMYFUNCTION("""COMPUTED_VALUE"""),"-")</f>
        <v>-</v>
      </c>
      <c r="M202" s="27" t="str">
        <f>IFERROR(__xludf.DUMMYFUNCTION("""COMPUTED_VALUE"""),"[C]")</f>
        <v>[C]</v>
      </c>
      <c r="N202" s="27" t="str">
        <f>IFERROR(__xludf.DUMMYFUNCTION("""COMPUTED_VALUE"""),"""I won't run away...I'm not gonna let anyone else disappear!""")</f>
        <v>"I won't run away...I'm not gonna let anyone else disappear!"</v>
      </c>
      <c r="O202" s="27"/>
      <c r="P202" s="27"/>
      <c r="Q202" s="27"/>
      <c r="R202" s="27"/>
      <c r="S202" s="27"/>
      <c r="T202" s="27"/>
      <c r="U202" s="27"/>
      <c r="V202" s="27"/>
      <c r="W202" s="27"/>
      <c r="X202" s="27"/>
      <c r="Y202" s="27"/>
      <c r="Z202" s="27"/>
    </row>
    <row r="203">
      <c r="A203" s="29" t="str">
        <f>IFERROR(__xludf.DUMMYFUNCTION("""COMPUTED_VALUE"""),"E-180")</f>
        <v>E-180</v>
      </c>
      <c r="B203" s="27" t="str">
        <f>IFERROR(__xludf.DUMMYFUNCTION("""COMPUTED_VALUE"""),"Event")</f>
        <v>Event</v>
      </c>
      <c r="C203" s="27" t="str">
        <f>IFERROR(__xludf.DUMMYFUNCTION("""COMPUTED_VALUE"""),"One Down")</f>
        <v>One Down</v>
      </c>
      <c r="D203" s="27" t="str">
        <f>IFERROR(__xludf.DUMMYFUNCTION("""COMPUTED_VALUE"""),"-")</f>
        <v>-</v>
      </c>
      <c r="E203" s="27">
        <f>IFERROR(__xludf.DUMMYFUNCTION("""COMPUTED_VALUE"""),2.0)</f>
        <v>2</v>
      </c>
      <c r="F203" s="27" t="str">
        <f>IFERROR(__xludf.DUMMYFUNCTION("""COMPUTED_VALUE"""),"A")</f>
        <v>A</v>
      </c>
      <c r="G203" s="27" t="str">
        <f>IFERROR(__xludf.DUMMYFUNCTION("""COMPUTED_VALUE"""),"Intermediate")</f>
        <v>Intermediate</v>
      </c>
      <c r="H203" s="27" t="str">
        <f>IFERROR(__xludf.DUMMYFUNCTION("""COMPUTED_VALUE"""),"-")</f>
        <v>-</v>
      </c>
      <c r="I203" s="28" t="str">
        <f>IFERROR(__xludf.DUMMYFUNCTION("""COMPUTED_VALUE"""),"This EVENT card can be played only when you have 3 or more MAMODO cards in play. Your opponent sends 1 of their in-play MAMODO cards to the Discard Pile.")</f>
        <v>This EVENT card can be played only when you have 3 or more MAMODO cards in play. Your opponent sends 1 of their in-play MAMODO cards to the Discard Pile.</v>
      </c>
      <c r="J203" s="27" t="str">
        <f>IFERROR(__xludf.DUMMYFUNCTION("""COMPUTED_VALUE"""),"-")</f>
        <v>-</v>
      </c>
      <c r="K203" s="27" t="str">
        <f>IFERROR(__xludf.DUMMYFUNCTION("""COMPUTED_VALUE"""),"-")</f>
        <v>-</v>
      </c>
      <c r="L203" s="27" t="str">
        <f>IFERROR(__xludf.DUMMYFUNCTION("""COMPUTED_VALUE"""),"-")</f>
        <v>-</v>
      </c>
      <c r="M203" s="27" t="str">
        <f>IFERROR(__xludf.DUMMYFUNCTION("""COMPUTED_VALUE"""),"[U]")</f>
        <v>[U]</v>
      </c>
      <c r="N203" s="27" t="str">
        <f>IFERROR(__xludf.DUMMYFUNCTION("""COMPUTED_VALUE"""),"""Hee hee...that takes care of one of 'em."" ""AAAAAHHHHH! KANCHOMÉ!""")</f>
        <v>"Hee hee...that takes care of one of 'em." "AAAAAHHHHH! KANCHOMÉ!"</v>
      </c>
      <c r="O203" s="27"/>
      <c r="P203" s="27"/>
      <c r="Q203" s="27"/>
      <c r="R203" s="27"/>
      <c r="S203" s="27"/>
      <c r="T203" s="27"/>
      <c r="U203" s="27"/>
      <c r="V203" s="27"/>
      <c r="W203" s="27"/>
      <c r="X203" s="27"/>
      <c r="Y203" s="27"/>
      <c r="Z203" s="27"/>
    </row>
    <row r="204">
      <c r="A204" s="29" t="str">
        <f>IFERROR(__xludf.DUMMYFUNCTION("""COMPUTED_VALUE"""),"E-181")</f>
        <v>E-181</v>
      </c>
      <c r="B204" s="27" t="str">
        <f>IFERROR(__xludf.DUMMYFUNCTION("""COMPUTED_VALUE"""),"Event")</f>
        <v>Event</v>
      </c>
      <c r="C204" s="27" t="str">
        <f>IFERROR(__xludf.DUMMYFUNCTION("""COMPUTED_VALUE"""),"Deep Desires")</f>
        <v>Deep Desires</v>
      </c>
      <c r="D204" s="27" t="str">
        <f>IFERROR(__xludf.DUMMYFUNCTION("""COMPUTED_VALUE"""),"-")</f>
        <v>-</v>
      </c>
      <c r="E204" s="27">
        <f>IFERROR(__xludf.DUMMYFUNCTION("""COMPUTED_VALUE"""),0.0)</f>
        <v>0</v>
      </c>
      <c r="F204" s="27" t="str">
        <f>IFERROR(__xludf.DUMMYFUNCTION("""COMPUTED_VALUE"""),"AD")</f>
        <v>AD</v>
      </c>
      <c r="G204" s="27" t="str">
        <f>IFERROR(__xludf.DUMMYFUNCTION("""COMPUTED_VALUE"""),"None")</f>
        <v>None</v>
      </c>
      <c r="H204" s="27" t="str">
        <f>IFERROR(__xludf.DUMMYFUNCTION("""COMPUTED_VALUE"""),"-")</f>
        <v>-</v>
      </c>
      <c r="I204" s="28" t="str">
        <f>IFERROR(__xludf.DUMMYFUNCTION("""COMPUTED_VALUE"""),"This EVENT card can be played only when you have 3 or more MAMODO cards in play. Apply 1 or both of the following effects in any order: ● Turn all of your in-play MAMODO cards to Normal Status. ● Negate as many [Stay] OR [Standby] effects as you desire.")</f>
        <v>This EVENT card can be played only when you have 3 or more MAMODO cards in play. Apply 1 or both of the following effects in any order: ● Turn all of your in-play MAMODO cards to Normal Status. ● Negate as many [Stay] OR [Standby] effects as you desire.</v>
      </c>
      <c r="J204" s="27" t="str">
        <f>IFERROR(__xludf.DUMMYFUNCTION("""COMPUTED_VALUE"""),"-")</f>
        <v>-</v>
      </c>
      <c r="K204" s="27" t="str">
        <f>IFERROR(__xludf.DUMMYFUNCTION("""COMPUTED_VALUE"""),"-")</f>
        <v>-</v>
      </c>
      <c r="L204" s="27" t="str">
        <f>IFERROR(__xludf.DUMMYFUNCTION("""COMPUTED_VALUE"""),"-")</f>
        <v>-</v>
      </c>
      <c r="M204" s="27" t="str">
        <f>IFERROR(__xludf.DUMMYFUNCTION("""COMPUTED_VALUE"""),"[C]")</f>
        <v>[C]</v>
      </c>
      <c r="N204" s="27" t="str">
        <f>IFERROR(__xludf.DUMMYFUNCTION("""COMPUTED_VALUE"""),"""Instead of shouting out orders, I'll control them using my deep desires! Let's get 'em, everybody!""")</f>
        <v>"Instead of shouting out orders, I'll control them using my deep desires! Let's get 'em, everybody!"</v>
      </c>
      <c r="O204" s="27"/>
      <c r="P204" s="27"/>
      <c r="Q204" s="27"/>
      <c r="R204" s="27"/>
      <c r="S204" s="27"/>
      <c r="T204" s="27"/>
      <c r="U204" s="27"/>
      <c r="V204" s="27"/>
      <c r="W204" s="27"/>
      <c r="X204" s="27"/>
      <c r="Y204" s="27"/>
      <c r="Z204" s="27"/>
    </row>
    <row r="205">
      <c r="A205" s="29" t="str">
        <f>IFERROR(__xludf.DUMMYFUNCTION("""COMPUTED_VALUE"""),"E-182")</f>
        <v>E-182</v>
      </c>
      <c r="B205" s="27" t="str">
        <f>IFERROR(__xludf.DUMMYFUNCTION("""COMPUTED_VALUE"""),"Event")</f>
        <v>Event</v>
      </c>
      <c r="C205" s="27" t="str">
        <f>IFERROR(__xludf.DUMMYFUNCTION("""COMPUTED_VALUE"""),"Unexpected Ambush")</f>
        <v>Unexpected Ambush</v>
      </c>
      <c r="D205" s="27" t="str">
        <f>IFERROR(__xludf.DUMMYFUNCTION("""COMPUTED_VALUE"""),"-")</f>
        <v>-</v>
      </c>
      <c r="E205" s="27">
        <f>IFERROR(__xludf.DUMMYFUNCTION("""COMPUTED_VALUE"""),1.0)</f>
        <v>1</v>
      </c>
      <c r="F205" s="27" t="str">
        <f>IFERROR(__xludf.DUMMYFUNCTION("""COMPUTED_VALUE"""),"AD")</f>
        <v>AD</v>
      </c>
      <c r="G205" s="27" t="str">
        <f>IFERROR(__xludf.DUMMYFUNCTION("""COMPUTED_VALUE"""),"None")</f>
        <v>None</v>
      </c>
      <c r="H205" s="27" t="str">
        <f>IFERROR(__xludf.DUMMYFUNCTION("""COMPUTED_VALUE"""),"-")</f>
        <v>-</v>
      </c>
      <c r="I205" s="28" t="str">
        <f>IFERROR(__xludf.DUMMYFUNCTION("""COMPUTED_VALUE"""),"Move 1 MAMODO card from your Discard Pile into play. If the MAMODO card is Kanchomé (Double), it can be put in play without using a Dima Buruk SPELL card.")</f>
        <v>Move 1 MAMODO card from your Discard Pile into play. If the MAMODO card is Kanchomé (Double), it can be put in play without using a Dima Buruk SPELL card.</v>
      </c>
      <c r="J205" s="27" t="str">
        <f>IFERROR(__xludf.DUMMYFUNCTION("""COMPUTED_VALUE"""),"-")</f>
        <v>-</v>
      </c>
      <c r="K205" s="27" t="str">
        <f>IFERROR(__xludf.DUMMYFUNCTION("""COMPUTED_VALUE"""),"-")</f>
        <v>-</v>
      </c>
      <c r="L205" s="27" t="str">
        <f>IFERROR(__xludf.DUMMYFUNCTION("""COMPUTED_VALUE"""),"-")</f>
        <v>-</v>
      </c>
      <c r="M205" s="27" t="str">
        <f>IFERROR(__xludf.DUMMYFUNCTION("""COMPUTED_VALUE"""),"[C]")</f>
        <v>[C]</v>
      </c>
      <c r="N205" s="27" t="str">
        <f>IFERROR(__xludf.DUMMYFUNCTION("""COMPUTED_VALUE"""),"""He's right behind you, Keith! When all my multiple bodies ran away...there was one guy who hid behind a rock!""")</f>
        <v>"He's right behind you, Keith! When all my multiple bodies ran away...there was one guy who hid behind a rock!"</v>
      </c>
      <c r="O205" s="27"/>
      <c r="P205" s="27"/>
      <c r="Q205" s="27"/>
      <c r="R205" s="27"/>
      <c r="S205" s="27"/>
      <c r="T205" s="27"/>
      <c r="U205" s="27"/>
      <c r="V205" s="27"/>
      <c r="W205" s="27"/>
      <c r="X205" s="27"/>
      <c r="Y205" s="27"/>
      <c r="Z205" s="27"/>
    </row>
    <row r="206">
      <c r="A206" s="29" t="str">
        <f>IFERROR(__xludf.DUMMYFUNCTION("""COMPUTED_VALUE"""),"E-183")</f>
        <v>E-183</v>
      </c>
      <c r="B206" s="27" t="str">
        <f>IFERROR(__xludf.DUMMYFUNCTION("""COMPUTED_VALUE"""),"Event")</f>
        <v>Event</v>
      </c>
      <c r="C206" s="27" t="str">
        <f>IFERROR(__xludf.DUMMYFUNCTION("""COMPUTED_VALUE"""),"Playing Torture Chamber")</f>
        <v>Playing Torture Chamber</v>
      </c>
      <c r="D206" s="27" t="str">
        <f>IFERROR(__xludf.DUMMYFUNCTION("""COMPUTED_VALUE"""),"-")</f>
        <v>-</v>
      </c>
      <c r="E206" s="27">
        <f>IFERROR(__xludf.DUMMYFUNCTION("""COMPUTED_VALUE"""),0.0)</f>
        <v>0</v>
      </c>
      <c r="F206" s="27" t="str">
        <f>IFERROR(__xludf.DUMMYFUNCTION("""COMPUTED_VALUE"""),"A")</f>
        <v>A</v>
      </c>
      <c r="G206" s="27" t="str">
        <f>IFERROR(__xludf.DUMMYFUNCTION("""COMPUTED_VALUE"""),"None")</f>
        <v>None</v>
      </c>
      <c r="H206" s="27" t="str">
        <f>IFERROR(__xludf.DUMMYFUNCTION("""COMPUTED_VALUE"""),"-")</f>
        <v>-</v>
      </c>
      <c r="I206" s="28" t="str">
        <f>IFERROR(__xludf.DUMMYFUNCTION("""COMPUTED_VALUE"""),"Apply 1 or both of the following effects in any order: ● Turn 1 page of your Spell Book. Effects that turn pages of your Spell Book can be applied only once per turn (per player). ● Send 1 of your in-play cards to the Discard Pile.")</f>
        <v>Apply 1 or both of the following effects in any order: ● Turn 1 page of your Spell Book. Effects that turn pages of your Spell Book can be applied only once per turn (per player). ● Send 1 of your in-play cards to the Discard Pile.</v>
      </c>
      <c r="J206" s="27" t="str">
        <f>IFERROR(__xludf.DUMMYFUNCTION("""COMPUTED_VALUE"""),"-")</f>
        <v>-</v>
      </c>
      <c r="K206" s="27" t="str">
        <f>IFERROR(__xludf.DUMMYFUNCTION("""COMPUTED_VALUE"""),"-")</f>
        <v>-</v>
      </c>
      <c r="L206" s="27" t="str">
        <f>IFERROR(__xludf.DUMMYFUNCTION("""COMPUTED_VALUE"""),"-")</f>
        <v>-</v>
      </c>
      <c r="M206" s="27" t="str">
        <f>IFERROR(__xludf.DUMMYFUNCTION("""COMPUTED_VALUE"""),"[C]")</f>
        <v>[C]</v>
      </c>
      <c r="N206" s="27" t="str">
        <f>IFERROR(__xludf.DUMMYFUNCTION("""COMPUTED_VALUE"""),"""WAAAAAHHH! Stop it! Please stop! It was all my fault!""")</f>
        <v>"WAAAAAHHH! Stop it! Please stop! It was all my fault!"</v>
      </c>
      <c r="O206" s="27"/>
      <c r="P206" s="27"/>
      <c r="Q206" s="27"/>
      <c r="R206" s="27"/>
      <c r="S206" s="27"/>
      <c r="T206" s="27"/>
      <c r="U206" s="27"/>
      <c r="V206" s="27"/>
      <c r="W206" s="27"/>
      <c r="X206" s="27"/>
      <c r="Y206" s="27"/>
      <c r="Z206" s="27"/>
    </row>
    <row r="207">
      <c r="A207" s="29" t="str">
        <f>IFERROR(__xludf.DUMMYFUNCTION("""COMPUTED_VALUE"""),"E-184")</f>
        <v>E-184</v>
      </c>
      <c r="B207" s="27" t="str">
        <f>IFERROR(__xludf.DUMMYFUNCTION("""COMPUTED_VALUE"""),"Event")</f>
        <v>Event</v>
      </c>
      <c r="C207" s="27" t="str">
        <f>IFERROR(__xludf.DUMMYFUNCTION("""COMPUTED_VALUE"""),"Poosophagus")</f>
        <v>Poosophagus</v>
      </c>
      <c r="D207" s="27" t="str">
        <f>IFERROR(__xludf.DUMMYFUNCTION("""COMPUTED_VALUE"""),"-")</f>
        <v>-</v>
      </c>
      <c r="E207" s="27">
        <f>IFERROR(__xludf.DUMMYFUNCTION("""COMPUTED_VALUE"""),0.0)</f>
        <v>0</v>
      </c>
      <c r="F207" s="27" t="str">
        <f>IFERROR(__xludf.DUMMYFUNCTION("""COMPUTED_VALUE"""),"A")</f>
        <v>A</v>
      </c>
      <c r="G207" s="27" t="str">
        <f>IFERROR(__xludf.DUMMYFUNCTION("""COMPUTED_VALUE"""),"None")</f>
        <v>None</v>
      </c>
      <c r="H207" s="27" t="str">
        <f>IFERROR(__xludf.DUMMYFUNCTION("""COMPUTED_VALUE"""),"Internal Faudo Event")</f>
        <v>Internal Faudo Event</v>
      </c>
      <c r="I207" s="28" t="str">
        <f>IFERROR(__xludf.DUMMYFUNCTION("""COMPUTED_VALUE"""),"When you declare the play of this EVENT card, all currently active {Internal Faudo Event} [Stay] effects are negated. Ask your opponent to solve 829,735 x 961,527. If they do not answer correctly within 30 seconds (without using any outside help), apply t"&amp;"he effect below: [STAY] Your opponent cannot play EVENT cards with {Internal Faudo Event} during this game.")</f>
        <v>When you declare the play of this EVENT card, all currently active {Internal Faudo Event} [Stay] effects are negated. Ask your opponent to solve 829,735 x 961,527. If they do not answer correctly within 30 seconds (without using any outside help), apply the effect below: [STAY] Your opponent cannot play EVENT cards with {Internal Faudo Event} during this game.</v>
      </c>
      <c r="J207" s="27" t="str">
        <f>IFERROR(__xludf.DUMMYFUNCTION("""COMPUTED_VALUE"""),"-")</f>
        <v>-</v>
      </c>
      <c r="K207" s="27" t="str">
        <f>IFERROR(__xludf.DUMMYFUNCTION("""COMPUTED_VALUE"""),"-")</f>
        <v>-</v>
      </c>
      <c r="L207" s="27" t="str">
        <f>IFERROR(__xludf.DUMMYFUNCTION("""COMPUTED_VALUE"""),"-")</f>
        <v>-</v>
      </c>
      <c r="M207" s="27" t="str">
        <f>IFERROR(__xludf.DUMMYFUNCTION("""COMPUTED_VALUE"""),"[R]")</f>
        <v>[R]</v>
      </c>
      <c r="N207" s="27" t="str">
        <f>IFERROR(__xludf.DUMMYFUNCTION("""COMPUTED_VALUE"""),"""You must all answer my question."" (Answer: 797,812,605,345)")</f>
        <v>"You must all answer my question." (Answer: 797,812,605,345)</v>
      </c>
      <c r="O207" s="27"/>
      <c r="P207" s="27"/>
      <c r="Q207" s="27"/>
      <c r="R207" s="27"/>
      <c r="S207" s="27"/>
      <c r="T207" s="27"/>
      <c r="U207" s="27"/>
      <c r="V207" s="27"/>
      <c r="W207" s="27"/>
      <c r="X207" s="27"/>
      <c r="Y207" s="27"/>
      <c r="Z207" s="27"/>
    </row>
    <row r="208">
      <c r="A208" s="29" t="str">
        <f>IFERROR(__xludf.DUMMYFUNCTION("""COMPUTED_VALUE"""),"E-184")</f>
        <v>E-184</v>
      </c>
      <c r="B208" s="27" t="str">
        <f>IFERROR(__xludf.DUMMYFUNCTION("""COMPUTED_VALUE"""),"Event")</f>
        <v>Event</v>
      </c>
      <c r="C208" s="27" t="str">
        <f>IFERROR(__xludf.DUMMYFUNCTION("""COMPUTED_VALUE"""),"Poosophagus")</f>
        <v>Poosophagus</v>
      </c>
      <c r="D208" s="27" t="str">
        <f>IFERROR(__xludf.DUMMYFUNCTION("""COMPUTED_VALUE"""),"-")</f>
        <v>-</v>
      </c>
      <c r="E208" s="27">
        <f>IFERROR(__xludf.DUMMYFUNCTION("""COMPUTED_VALUE"""),0.0)</f>
        <v>0</v>
      </c>
      <c r="F208" s="27" t="str">
        <f>IFERROR(__xludf.DUMMYFUNCTION("""COMPUTED_VALUE"""),"A")</f>
        <v>A</v>
      </c>
      <c r="G208" s="27" t="str">
        <f>IFERROR(__xludf.DUMMYFUNCTION("""COMPUTED_VALUE"""),"TTS")</f>
        <v>TTS</v>
      </c>
      <c r="H208" s="27" t="str">
        <f>IFERROR(__xludf.DUMMYFUNCTION("""COMPUTED_VALUE"""),"Internal Faudo Event")</f>
        <v>Internal Faudo Event</v>
      </c>
      <c r="I208" s="28" t="str">
        <f>IFERROR(__xludf.DUMMYFUNCTION("""COMPUTED_VALUE"""),"When you declare the play of this EVENT card, all currently active {Internal Faudo Event} [Stay] effects are negated. Ask your opponent to solve 829,735 x 961,527. Once per game, they must show their work by doing the math out on the table by writing it o"&amp;"ut using the Draw tool (F2). Going into Options and turning on the table Grid is also recommended. If they do not completely and correctly solve the equation within 15 minutes, apply the effect below: [STAY] Your opponent cannot play EVENT cards with {Int"&amp;"ernal Faudo Event} during this game.")</f>
        <v>When you declare the play of this EVENT card, all currently active {Internal Faudo Event} [Stay] effects are negated. Ask your opponent to solve 829,735 x 961,527. Once per game, they must show their work by doing the math out on the table by writing it out using the Draw tool (F2). Going into Options and turning on the table Grid is also recommended. If they do not completely and correctly solve the equation within 15 minutes, apply the effect below: [STAY] Your opponent cannot play EVENT cards with {Internal Faudo Event} during this game.</v>
      </c>
      <c r="J208" s="27" t="str">
        <f>IFERROR(__xludf.DUMMYFUNCTION("""COMPUTED_VALUE"""),"-")</f>
        <v>-</v>
      </c>
      <c r="K208" s="27" t="str">
        <f>IFERROR(__xludf.DUMMYFUNCTION("""COMPUTED_VALUE"""),"-")</f>
        <v>-</v>
      </c>
      <c r="L208" s="27" t="str">
        <f>IFERROR(__xludf.DUMMYFUNCTION("""COMPUTED_VALUE"""),"-")</f>
        <v>-</v>
      </c>
      <c r="M208" s="27" t="str">
        <f>IFERROR(__xludf.DUMMYFUNCTION("""COMPUTED_VALUE"""),"[R]")</f>
        <v>[R]</v>
      </c>
      <c r="N208" s="27" t="str">
        <f>IFERROR(__xludf.DUMMYFUNCTION("""COMPUTED_VALUE"""),"""You must all answer my question."" (Answer: 797,812,605,345)")</f>
        <v>"You must all answer my question." (Answer: 797,812,605,345)</v>
      </c>
      <c r="O208" s="27"/>
      <c r="P208" s="27"/>
      <c r="Q208" s="27"/>
      <c r="R208" s="27"/>
      <c r="S208" s="27"/>
      <c r="T208" s="27"/>
      <c r="U208" s="27"/>
      <c r="V208" s="27"/>
      <c r="W208" s="27"/>
      <c r="X208" s="27"/>
      <c r="Y208" s="27"/>
      <c r="Z208" s="27"/>
    </row>
    <row r="209">
      <c r="A209" s="29" t="str">
        <f>IFERROR(__xludf.DUMMYFUNCTION("""COMPUTED_VALUE"""),"E-185")</f>
        <v>E-185</v>
      </c>
      <c r="B209" s="27" t="str">
        <f>IFERROR(__xludf.DUMMYFUNCTION("""COMPUTED_VALUE"""),"Event")</f>
        <v>Event</v>
      </c>
      <c r="C209" s="27" t="str">
        <f>IFERROR(__xludf.DUMMYFUNCTION("""COMPUTED_VALUE"""),"A Popstar's Tribulation")</f>
        <v>A Popstar's Tribulation</v>
      </c>
      <c r="D209" s="27" t="str">
        <f>IFERROR(__xludf.DUMMYFUNCTION("""COMPUTED_VALUE"""),"-")</f>
        <v>-</v>
      </c>
      <c r="E209" s="27">
        <f>IFERROR(__xludf.DUMMYFUNCTION("""COMPUTED_VALUE"""),0.0)</f>
        <v>0</v>
      </c>
      <c r="F209" s="27" t="str">
        <f>IFERROR(__xludf.DUMMYFUNCTION("""COMPUTED_VALUE"""),"AD")</f>
        <v>AD</v>
      </c>
      <c r="G209" s="27" t="str">
        <f>IFERROR(__xludf.DUMMYFUNCTION("""COMPUTED_VALUE"""),"None")</f>
        <v>None</v>
      </c>
      <c r="H209" s="27" t="str">
        <f>IFERROR(__xludf.DUMMYFUNCTION("""COMPUTED_VALUE"""),"-")</f>
        <v>-</v>
      </c>
      <c r="I209" s="28" t="str">
        <f>IFERROR(__xludf.DUMMYFUNCTION("""COMPUTED_VALUE"""),"Negate the PARTNER card effect your opponent just applied.")</f>
        <v>Negate the PARTNER card effect your opponent just applied.</v>
      </c>
      <c r="J209" s="27" t="str">
        <f>IFERROR(__xludf.DUMMYFUNCTION("""COMPUTED_VALUE"""),"-")</f>
        <v>-</v>
      </c>
      <c r="K209" s="27" t="str">
        <f>IFERROR(__xludf.DUMMYFUNCTION("""COMPUTED_VALUE"""),"-")</f>
        <v>-</v>
      </c>
      <c r="L209" s="27" t="str">
        <f>IFERROR(__xludf.DUMMYFUNCTION("""COMPUTED_VALUE"""),"-")</f>
        <v>-</v>
      </c>
      <c r="M209" s="27" t="str">
        <f>IFERROR(__xludf.DUMMYFUNCTION("""COMPUTED_VALUE"""),"[C]")</f>
        <v>[C]</v>
      </c>
      <c r="N209" s="27" t="str">
        <f>IFERROR(__xludf.DUMMYFUNCTION("""COMPUTED_VALUE"""),"""That's right! There's no way a popstar like her can say such an embarrassing thing in public!""")</f>
        <v>"That's right! There's no way a popstar like her can say such an embarrassing thing in public!"</v>
      </c>
      <c r="O209" s="27"/>
      <c r="P209" s="27"/>
      <c r="Q209" s="27"/>
      <c r="R209" s="27"/>
      <c r="S209" s="27"/>
      <c r="T209" s="27"/>
      <c r="U209" s="27"/>
      <c r="V209" s="27"/>
      <c r="W209" s="27"/>
      <c r="X209" s="27"/>
      <c r="Y209" s="27"/>
      <c r="Z209" s="27"/>
    </row>
    <row r="210">
      <c r="A210" s="29" t="str">
        <f>IFERROR(__xludf.DUMMYFUNCTION("""COMPUTED_VALUE"""),"E-186")</f>
        <v>E-186</v>
      </c>
      <c r="B210" s="27" t="str">
        <f>IFERROR(__xludf.DUMMYFUNCTION("""COMPUTED_VALUE"""),"Event")</f>
        <v>Event</v>
      </c>
      <c r="C210" s="27" t="str">
        <f>IFERROR(__xludf.DUMMYFUNCTION("""COMPUTED_VALUE"""),"For The Underwear")</f>
        <v>For The Underwear</v>
      </c>
      <c r="D210" s="27" t="str">
        <f>IFERROR(__xludf.DUMMYFUNCTION("""COMPUTED_VALUE"""),"-")</f>
        <v>-</v>
      </c>
      <c r="E210" s="27">
        <f>IFERROR(__xludf.DUMMYFUNCTION("""COMPUTED_VALUE"""),0.0)</f>
        <v>0</v>
      </c>
      <c r="F210" s="27" t="str">
        <f>IFERROR(__xludf.DUMMYFUNCTION("""COMPUTED_VALUE"""),"A")</f>
        <v>A</v>
      </c>
      <c r="G210" s="27" t="str">
        <f>IFERROR(__xludf.DUMMYFUNCTION("""COMPUTED_VALUE"""),"None")</f>
        <v>None</v>
      </c>
      <c r="H210" s="27" t="str">
        <f>IFERROR(__xludf.DUMMYFUNCTION("""COMPUTED_VALUE"""),"-")</f>
        <v>-</v>
      </c>
      <c r="I210" s="28" t="str">
        <f>IFERROR(__xludf.DUMMYFUNCTION("""COMPUTED_VALUE"""),"Your opponent selects 1 card containing ""Underwear"" in its card name or effect name from their Spell Book and sends it to the Discard Pile. If your opponent has no applicable cards, reduce your opponent's MP by 2 instead.")</f>
        <v>Your opponent selects 1 card containing "Underwear" in its card name or effect name from their Spell Book and sends it to the Discard Pile. If your opponent has no applicable cards, reduce your opponent's MP by 2 instead.</v>
      </c>
      <c r="J210" s="27" t="str">
        <f>IFERROR(__xludf.DUMMYFUNCTION("""COMPUTED_VALUE"""),"-")</f>
        <v>-</v>
      </c>
      <c r="K210" s="27" t="str">
        <f>IFERROR(__xludf.DUMMYFUNCTION("""COMPUTED_VALUE"""),"-")</f>
        <v>-</v>
      </c>
      <c r="L210" s="27" t="str">
        <f>IFERROR(__xludf.DUMMYFUNCTION("""COMPUTED_VALUE"""),"-")</f>
        <v>-</v>
      </c>
      <c r="M210" s="27" t="str">
        <f>IFERROR(__xludf.DUMMYFUNCTION("""COMPUTED_VALUE"""),"[C]")</f>
        <v>[C]</v>
      </c>
      <c r="N210" s="27" t="str">
        <f>IFERROR(__xludf.DUMMYFUNCTION("""COMPUTED_VALUE"""),"""Momon, you'd really risk your life for a pair of underwear?""")</f>
        <v>"Momon, you'd really risk your life for a pair of underwear?"</v>
      </c>
      <c r="O210" s="27"/>
      <c r="P210" s="27"/>
      <c r="Q210" s="27"/>
      <c r="R210" s="27"/>
      <c r="S210" s="27"/>
      <c r="T210" s="27"/>
      <c r="U210" s="27"/>
      <c r="V210" s="27"/>
      <c r="W210" s="27"/>
      <c r="X210" s="27"/>
      <c r="Y210" s="27"/>
      <c r="Z210" s="27"/>
    </row>
    <row r="211">
      <c r="A211" s="29" t="str">
        <f>IFERROR(__xludf.DUMMYFUNCTION("""COMPUTED_VALUE"""),"E-187")</f>
        <v>E-187</v>
      </c>
      <c r="B211" s="27" t="str">
        <f>IFERROR(__xludf.DUMMYFUNCTION("""COMPUTED_VALUE"""),"Event")</f>
        <v>Event</v>
      </c>
      <c r="C211" s="27" t="str">
        <f>IFERROR(__xludf.DUMMYFUNCTION("""COMPUTED_VALUE"""),"Small Intestine Trap")</f>
        <v>Small Intestine Trap</v>
      </c>
      <c r="D211" s="27" t="str">
        <f>IFERROR(__xludf.DUMMYFUNCTION("""COMPUTED_VALUE"""),"-")</f>
        <v>-</v>
      </c>
      <c r="E211" s="27">
        <f>IFERROR(__xludf.DUMMYFUNCTION("""COMPUTED_VALUE"""),3.0)</f>
        <v>3</v>
      </c>
      <c r="F211" s="27" t="str">
        <f>IFERROR(__xludf.DUMMYFUNCTION("""COMPUTED_VALUE"""),"A")</f>
        <v>A</v>
      </c>
      <c r="G211" s="27" t="str">
        <f>IFERROR(__xludf.DUMMYFUNCTION("""COMPUTED_VALUE"""),"Intermediate")</f>
        <v>Intermediate</v>
      </c>
      <c r="H211" s="27" t="str">
        <f>IFERROR(__xludf.DUMMYFUNCTION("""COMPUTED_VALUE"""),"Internal Faudo Event")</f>
        <v>Internal Faudo Event</v>
      </c>
      <c r="I211" s="28" t="str">
        <f>IFERROR(__xludf.DUMMYFUNCTION("""COMPUTED_VALUE"""),"When you declare the play of this EVENT card, all active {Internal Faudo Event} [Stay] effects are negated. [STAY] Neither player may apply effects that prohibit any player from sending cards to the Discard Pile during this game.")</f>
        <v>When you declare the play of this EVENT card, all active {Internal Faudo Event} [Stay] effects are negated. [STAY] Neither player may apply effects that prohibit any player from sending cards to the Discard Pile during this game.</v>
      </c>
      <c r="J211" s="27" t="str">
        <f>IFERROR(__xludf.DUMMYFUNCTION("""COMPUTED_VALUE"""),"-")</f>
        <v>-</v>
      </c>
      <c r="K211" s="27" t="str">
        <f>IFERROR(__xludf.DUMMYFUNCTION("""COMPUTED_VALUE"""),"-")</f>
        <v>-</v>
      </c>
      <c r="L211" s="27" t="str">
        <f>IFERROR(__xludf.DUMMYFUNCTION("""COMPUTED_VALUE"""),"-")</f>
        <v>-</v>
      </c>
      <c r="M211" s="27" t="str">
        <f>IFERROR(__xludf.DUMMYFUNCTION("""COMPUTED_VALUE"""),"[R]")</f>
        <v>[R]</v>
      </c>
      <c r="N211" s="27" t="str">
        <f>IFERROR(__xludf.DUMMYFUNCTION("""COMPUTED_VALUE"""),"""Could that be a machine that's gonna try to 'break us down'? R-Run, everyone! Run as fast as you can!""")</f>
        <v>"Could that be a machine that's gonna try to 'break us down'? R-Run, everyone! Run as fast as you can!"</v>
      </c>
      <c r="O211" s="27"/>
      <c r="P211" s="27"/>
      <c r="Q211" s="27"/>
      <c r="R211" s="27"/>
      <c r="S211" s="27"/>
      <c r="T211" s="27"/>
      <c r="U211" s="27"/>
      <c r="V211" s="27"/>
      <c r="W211" s="27"/>
      <c r="X211" s="27"/>
      <c r="Y211" s="27"/>
      <c r="Z211" s="27"/>
    </row>
    <row r="212">
      <c r="A212" s="29" t="str">
        <f>IFERROR(__xludf.DUMMYFUNCTION("""COMPUTED_VALUE"""),"E-188")</f>
        <v>E-188</v>
      </c>
      <c r="B212" s="27" t="str">
        <f>IFERROR(__xludf.DUMMYFUNCTION("""COMPUTED_VALUE"""),"Event")</f>
        <v>Event</v>
      </c>
      <c r="C212" s="27" t="str">
        <f>IFERROR(__xludf.DUMMYFUNCTION("""COMPUTED_VALUE"""),"A Pure Heart")</f>
        <v>A Pure Heart</v>
      </c>
      <c r="D212" s="27" t="str">
        <f>IFERROR(__xludf.DUMMYFUNCTION("""COMPUTED_VALUE"""),"-")</f>
        <v>-</v>
      </c>
      <c r="E212" s="27">
        <f>IFERROR(__xludf.DUMMYFUNCTION("""COMPUTED_VALUE"""),1.0)</f>
        <v>1</v>
      </c>
      <c r="F212" s="27" t="str">
        <f>IFERROR(__xludf.DUMMYFUNCTION("""COMPUTED_VALUE"""),"AD")</f>
        <v>AD</v>
      </c>
      <c r="G212" s="27" t="str">
        <f>IFERROR(__xludf.DUMMYFUNCTION("""COMPUTED_VALUE"""),"None")</f>
        <v>None</v>
      </c>
      <c r="H212" s="27" t="str">
        <f>IFERROR(__xludf.DUMMYFUNCTION("""COMPUTED_VALUE"""),"-")</f>
        <v>-</v>
      </c>
      <c r="I212" s="28" t="str">
        <f>IFERROR(__xludf.DUMMYFUNCTION("""COMPUTED_VALUE"""),"Negate all [Stay] effects, except [Stay] effects that remain in effect for the duration of the game.")</f>
        <v>Negate all [Stay] effects, except [Stay] effects that remain in effect for the duration of the game.</v>
      </c>
      <c r="J212" s="27" t="str">
        <f>IFERROR(__xludf.DUMMYFUNCTION("""COMPUTED_VALUE"""),"-")</f>
        <v>-</v>
      </c>
      <c r="K212" s="27" t="str">
        <f>IFERROR(__xludf.DUMMYFUNCTION("""COMPUTED_VALUE"""),"-")</f>
        <v>-</v>
      </c>
      <c r="L212" s="27" t="str">
        <f>IFERROR(__xludf.DUMMYFUNCTION("""COMPUTED_VALUE"""),"-")</f>
        <v>-</v>
      </c>
      <c r="M212" s="27" t="str">
        <f>IFERROR(__xludf.DUMMYFUNCTION("""COMPUTED_VALUE"""),"[SR]")</f>
        <v>[SR]</v>
      </c>
      <c r="N212" s="27" t="str">
        <f>IFERROR(__xludf.DUMMYFUNCTION("""COMPUTED_VALUE"""),"""I know he was acting with a pure heart... He's got real faith... He's a real man!""")</f>
        <v>"I know he was acting with a pure heart... He's got real faith... He's a real man!"</v>
      </c>
      <c r="O212" s="27"/>
      <c r="P212" s="27"/>
      <c r="Q212" s="27"/>
      <c r="R212" s="27"/>
      <c r="S212" s="27"/>
      <c r="T212" s="27"/>
      <c r="U212" s="27"/>
      <c r="V212" s="27"/>
      <c r="W212" s="27"/>
      <c r="X212" s="27"/>
      <c r="Y212" s="27"/>
      <c r="Z212" s="27"/>
    </row>
    <row r="213">
      <c r="A213" s="29" t="str">
        <f>IFERROR(__xludf.DUMMYFUNCTION("""COMPUTED_VALUE"""),"E-189")</f>
        <v>E-189</v>
      </c>
      <c r="B213" s="27" t="str">
        <f>IFERROR(__xludf.DUMMYFUNCTION("""COMPUTED_VALUE"""),"Event")</f>
        <v>Event</v>
      </c>
      <c r="C213" s="27" t="str">
        <f>IFERROR(__xludf.DUMMYFUNCTION("""COMPUTED_VALUE"""),"Liver Tank")</f>
        <v>Liver Tank</v>
      </c>
      <c r="D213" s="27" t="str">
        <f>IFERROR(__xludf.DUMMYFUNCTION("""COMPUTED_VALUE"""),"-")</f>
        <v>-</v>
      </c>
      <c r="E213" s="27">
        <f>IFERROR(__xludf.DUMMYFUNCTION("""COMPUTED_VALUE"""),3.0)</f>
        <v>3</v>
      </c>
      <c r="F213" s="27" t="str">
        <f>IFERROR(__xludf.DUMMYFUNCTION("""COMPUTED_VALUE"""),"A")</f>
        <v>A</v>
      </c>
      <c r="G213" s="27" t="str">
        <f>IFERROR(__xludf.DUMMYFUNCTION("""COMPUTED_VALUE"""),"Intermediate")</f>
        <v>Intermediate</v>
      </c>
      <c r="H213" s="27" t="str">
        <f>IFERROR(__xludf.DUMMYFUNCTION("""COMPUTED_VALUE"""),"Internal Faudo Event")</f>
        <v>Internal Faudo Event</v>
      </c>
      <c r="I213" s="28" t="str">
        <f>IFERROR(__xludf.DUMMYFUNCTION("""COMPUTED_VALUE"""),"When you declare the play of this EVENT card, all currently active {Internal Faudo Event} [Stay] effects are negated. [STAY] Your opponent can neither reduce your MP nor can they get MP with their card effects during this game.")</f>
        <v>When you declare the play of this EVENT card, all currently active {Internal Faudo Event} [Stay] effects are negated. [STAY] Your opponent can neither reduce your MP nor can they get MP with their card effects during this game.</v>
      </c>
      <c r="J213" s="27" t="str">
        <f>IFERROR(__xludf.DUMMYFUNCTION("""COMPUTED_VALUE"""),"-")</f>
        <v>-</v>
      </c>
      <c r="K213" s="27" t="str">
        <f>IFERROR(__xludf.DUMMYFUNCTION("""COMPUTED_VALUE"""),"-")</f>
        <v>-</v>
      </c>
      <c r="L213" s="27" t="str">
        <f>IFERROR(__xludf.DUMMYFUNCTION("""COMPUTED_VALUE"""),"-")</f>
        <v>-</v>
      </c>
      <c r="M213" s="27" t="str">
        <f>IFERROR(__xludf.DUMMYFUNCTION("""COMPUTED_VALUE"""),"[R]")</f>
        <v>[R]</v>
      </c>
      <c r="N213" s="27" t="str">
        <f>IFERROR(__xludf.DUMMYFUNCTION("""COMPUTED_VALUE"""),"""If they manage to escape that trap, they'll end up in this room.""")</f>
        <v>"If they manage to escape that trap, they'll end up in this room."</v>
      </c>
      <c r="O213" s="27"/>
      <c r="P213" s="27"/>
      <c r="Q213" s="27"/>
      <c r="R213" s="27"/>
      <c r="S213" s="27"/>
      <c r="T213" s="27"/>
      <c r="U213" s="27"/>
      <c r="V213" s="27"/>
      <c r="W213" s="27"/>
      <c r="X213" s="27"/>
      <c r="Y213" s="27"/>
      <c r="Z213" s="27"/>
    </row>
    <row r="214">
      <c r="A214" s="29" t="str">
        <f>IFERROR(__xludf.DUMMYFUNCTION("""COMPUTED_VALUE"""),"E-190")</f>
        <v>E-190</v>
      </c>
      <c r="B214" s="27" t="str">
        <f>IFERROR(__xludf.DUMMYFUNCTION("""COMPUTED_VALUE"""),"Event")</f>
        <v>Event</v>
      </c>
      <c r="C214" s="27" t="str">
        <f>IFERROR(__xludf.DUMMYFUNCTION("""COMPUTED_VALUE"""),"We're All Scared")</f>
        <v>We're All Scared</v>
      </c>
      <c r="D214" s="27" t="str">
        <f>IFERROR(__xludf.DUMMYFUNCTION("""COMPUTED_VALUE"""),"-")</f>
        <v>-</v>
      </c>
      <c r="E214" s="27">
        <f>IFERROR(__xludf.DUMMYFUNCTION("""COMPUTED_VALUE"""),3.0)</f>
        <v>3</v>
      </c>
      <c r="F214" s="27" t="str">
        <f>IFERROR(__xludf.DUMMYFUNCTION("""COMPUTED_VALUE"""),"D")</f>
        <v>D</v>
      </c>
      <c r="G214" s="27" t="str">
        <f>IFERROR(__xludf.DUMMYFUNCTION("""COMPUTED_VALUE"""),"None")</f>
        <v>None</v>
      </c>
      <c r="H214" s="27" t="str">
        <f>IFERROR(__xludf.DUMMYFUNCTION("""COMPUTED_VALUE"""),"-")</f>
        <v>-</v>
      </c>
      <c r="I214" s="28" t="str">
        <f>IFERROR(__xludf.DUMMYFUNCTION("""COMPUTED_VALUE"""),"Turn 1 page of your opponent's Spell Book. Then, turn 1 page of your Spell Book. Effects that turn pages of your Spell Book can be applied only once per turn (per player).")</f>
        <v>Turn 1 page of your opponent's Spell Book. Then, turn 1 page of your Spell Book. Effects that turn pages of your Spell Book can be applied only once per turn (per player).</v>
      </c>
      <c r="J214" s="27" t="str">
        <f>IFERROR(__xludf.DUMMYFUNCTION("""COMPUTED_VALUE"""),"-")</f>
        <v>-</v>
      </c>
      <c r="K214" s="27" t="str">
        <f>IFERROR(__xludf.DUMMYFUNCTION("""COMPUTED_VALUE"""),"-")</f>
        <v>-</v>
      </c>
      <c r="L214" s="27" t="str">
        <f>IFERROR(__xludf.DUMMYFUNCTION("""COMPUTED_VALUE"""),"-")</f>
        <v>-</v>
      </c>
      <c r="M214" s="27" t="str">
        <f>IFERROR(__xludf.DUMMYFUNCTION("""COMPUTED_VALUE"""),"[U]")</f>
        <v>[U]</v>
      </c>
      <c r="N214" s="27" t="str">
        <f>IFERROR(__xludf.DUMMYFUNCTION("""COMPUTED_VALUE"""),"""You're not the only one who's scared, you know! But it doesn't matter whether you're scared or not. You have to move forward, Momon...""")</f>
        <v>"You're not the only one who's scared, you know! But it doesn't matter whether you're scared or not. You have to move forward, Momon..."</v>
      </c>
      <c r="O214" s="27"/>
      <c r="P214" s="27"/>
      <c r="Q214" s="27"/>
      <c r="R214" s="27"/>
      <c r="S214" s="27"/>
      <c r="T214" s="27"/>
      <c r="U214" s="27"/>
      <c r="V214" s="27"/>
      <c r="W214" s="27"/>
      <c r="X214" s="27"/>
      <c r="Y214" s="27"/>
      <c r="Z214" s="27"/>
    </row>
    <row r="215">
      <c r="A215" s="29" t="str">
        <f>IFERROR(__xludf.DUMMYFUNCTION("""COMPUTED_VALUE"""),"E-191")</f>
        <v>E-191</v>
      </c>
      <c r="B215" s="27" t="str">
        <f>IFERROR(__xludf.DUMMYFUNCTION("""COMPUTED_VALUE"""),"Event")</f>
        <v>Event</v>
      </c>
      <c r="C215" s="27" t="str">
        <f>IFERROR(__xludf.DUMMYFUNCTION("""COMPUTED_VALUE"""),"Lying in Wait")</f>
        <v>Lying in Wait</v>
      </c>
      <c r="D215" s="27" t="str">
        <f>IFERROR(__xludf.DUMMYFUNCTION("""COMPUTED_VALUE"""),"-")</f>
        <v>-</v>
      </c>
      <c r="E215" s="27">
        <f>IFERROR(__xludf.DUMMYFUNCTION("""COMPUTED_VALUE"""),2.0)</f>
        <v>2</v>
      </c>
      <c r="F215" s="27" t="str">
        <f>IFERROR(__xludf.DUMMYFUNCTION("""COMPUTED_VALUE"""),"A")</f>
        <v>A</v>
      </c>
      <c r="G215" s="27" t="str">
        <f>IFERROR(__xludf.DUMMYFUNCTION("""COMPUTED_VALUE"""),"None")</f>
        <v>None</v>
      </c>
      <c r="H215" s="27" t="str">
        <f>IFERROR(__xludf.DUMMYFUNCTION("""COMPUTED_VALUE"""),"-")</f>
        <v>-</v>
      </c>
      <c r="I215" s="28" t="str">
        <f>IFERROR(__xludf.DUMMYFUNCTION("""COMPUTED_VALUE"""),"[STAY] Get 1 MP each time your opponent sends a card to the Discard Pile during this game.")</f>
        <v>[STAY] Get 1 MP each time your opponent sends a card to the Discard Pile during this game.</v>
      </c>
      <c r="J215" s="27" t="str">
        <f>IFERROR(__xludf.DUMMYFUNCTION("""COMPUTED_VALUE"""),"-")</f>
        <v>-</v>
      </c>
      <c r="K215" s="27" t="str">
        <f>IFERROR(__xludf.DUMMYFUNCTION("""COMPUTED_VALUE"""),"-")</f>
        <v>-</v>
      </c>
      <c r="L215" s="27" t="str">
        <f>IFERROR(__xludf.DUMMYFUNCTION("""COMPUTED_VALUE"""),"-")</f>
        <v>-</v>
      </c>
      <c r="M215" s="27" t="str">
        <f>IFERROR(__xludf.DUMMYFUNCTION("""COMPUTED_VALUE"""),"[C]")</f>
        <v>[C]</v>
      </c>
      <c r="N215" s="27" t="str">
        <f>IFERROR(__xludf.DUMMYFUNCTION("""COMPUTED_VALUE"""),"""Hey, Lupa. There's nobody coming down..."" ""Are they really coming down here?""")</f>
        <v>"Hey, Lupa. There's nobody coming down..." "Are they really coming down here?"</v>
      </c>
      <c r="O215" s="27"/>
      <c r="P215" s="27"/>
      <c r="Q215" s="27"/>
      <c r="R215" s="27"/>
      <c r="S215" s="27"/>
      <c r="T215" s="27"/>
      <c r="U215" s="27"/>
      <c r="V215" s="27"/>
      <c r="W215" s="27"/>
      <c r="X215" s="27"/>
      <c r="Y215" s="27"/>
      <c r="Z215" s="27"/>
    </row>
    <row r="216">
      <c r="A216" s="29" t="str">
        <f>IFERROR(__xludf.DUMMYFUNCTION("""COMPUTED_VALUE"""),"E-192")</f>
        <v>E-192</v>
      </c>
      <c r="B216" s="27" t="str">
        <f>IFERROR(__xludf.DUMMYFUNCTION("""COMPUTED_VALUE"""),"Event")</f>
        <v>Event</v>
      </c>
      <c r="C216" s="27" t="str">
        <f>IFERROR(__xludf.DUMMYFUNCTION("""COMPUTED_VALUE"""),"Blood Vessel Tunnels")</f>
        <v>Blood Vessel Tunnels</v>
      </c>
      <c r="D216" s="27" t="str">
        <f>IFERROR(__xludf.DUMMYFUNCTION("""COMPUTED_VALUE"""),"-")</f>
        <v>-</v>
      </c>
      <c r="E216" s="27">
        <f>IFERROR(__xludf.DUMMYFUNCTION("""COMPUTED_VALUE"""),3.0)</f>
        <v>3</v>
      </c>
      <c r="F216" s="27" t="str">
        <f>IFERROR(__xludf.DUMMYFUNCTION("""COMPUTED_VALUE"""),"A")</f>
        <v>A</v>
      </c>
      <c r="G216" s="27" t="str">
        <f>IFERROR(__xludf.DUMMYFUNCTION("""COMPUTED_VALUE"""),"Intermediate")</f>
        <v>Intermediate</v>
      </c>
      <c r="H216" s="27" t="str">
        <f>IFERROR(__xludf.DUMMYFUNCTION("""COMPUTED_VALUE"""),"Internal Faudo Event")</f>
        <v>Internal Faudo Event</v>
      </c>
      <c r="I216" s="28" t="str">
        <f>IFERROR(__xludf.DUMMYFUNCTION("""COMPUTED_VALUE"""),"When you declare the play of this EVENT card, all currently active {Internal Faudo Event} [Stay] effects are negated. [STAY] During this game, your opponent cannot put cards in play from their Spell Book during their BATTLE PHASE without the use of a card"&amp;" effect.")</f>
        <v>When you declare the play of this EVENT card, all currently active {Internal Faudo Event} [Stay] effects are negated. [STAY] During this game, your opponent cannot put cards in play from their Spell Book during their BATTLE PHASE without the use of a card effect.</v>
      </c>
      <c r="J216" s="27" t="str">
        <f>IFERROR(__xludf.DUMMYFUNCTION("""COMPUTED_VALUE"""),"-")</f>
        <v>-</v>
      </c>
      <c r="K216" s="27" t="str">
        <f>IFERROR(__xludf.DUMMYFUNCTION("""COMPUTED_VALUE"""),"-")</f>
        <v>-</v>
      </c>
      <c r="L216" s="27" t="str">
        <f>IFERROR(__xludf.DUMMYFUNCTION("""COMPUTED_VALUE"""),"-")</f>
        <v>-</v>
      </c>
      <c r="M216" s="27" t="str">
        <f>IFERROR(__xludf.DUMMYFUNCTION("""COMPUTED_VALUE"""),"[R]")</f>
        <v>[R]</v>
      </c>
      <c r="N216" s="27" t="str">
        <f>IFERROR(__xludf.DUMMYFUNCTION("""COMPUTED_VALUE"""),"""This place is like a maze... It's hard to keep your sense of direction.""")</f>
        <v>"This place is like a maze... It's hard to keep your sense of direction."</v>
      </c>
      <c r="O216" s="27"/>
      <c r="P216" s="27"/>
      <c r="Q216" s="27"/>
      <c r="R216" s="27"/>
      <c r="S216" s="27"/>
      <c r="T216" s="27"/>
      <c r="U216" s="27"/>
      <c r="V216" s="27"/>
      <c r="W216" s="27"/>
      <c r="X216" s="27"/>
      <c r="Y216" s="27"/>
      <c r="Z216" s="27"/>
    </row>
    <row r="217">
      <c r="A217" s="29" t="str">
        <f>IFERROR(__xludf.DUMMYFUNCTION("""COMPUTED_VALUE"""),"E-193")</f>
        <v>E-193</v>
      </c>
      <c r="B217" s="27" t="str">
        <f>IFERROR(__xludf.DUMMYFUNCTION("""COMPUTED_VALUE"""),"Event")</f>
        <v>Event</v>
      </c>
      <c r="C217" s="27" t="str">
        <f>IFERROR(__xludf.DUMMYFUNCTION("""COMPUTED_VALUE"""),"I'm Scared, But...")</f>
        <v>I'm Scared, But...</v>
      </c>
      <c r="D217" s="27" t="str">
        <f>IFERROR(__xludf.DUMMYFUNCTION("""COMPUTED_VALUE"""),"-")</f>
        <v>-</v>
      </c>
      <c r="E217" s="27">
        <f>IFERROR(__xludf.DUMMYFUNCTION("""COMPUTED_VALUE"""),3.0)</f>
        <v>3</v>
      </c>
      <c r="F217" s="27" t="str">
        <f>IFERROR(__xludf.DUMMYFUNCTION("""COMPUTED_VALUE"""),"A")</f>
        <v>A</v>
      </c>
      <c r="G217" s="27" t="str">
        <f>IFERROR(__xludf.DUMMYFUNCTION("""COMPUTED_VALUE"""),"None")</f>
        <v>None</v>
      </c>
      <c r="H217" s="27" t="str">
        <f>IFERROR(__xludf.DUMMYFUNCTION("""COMPUTED_VALUE"""),"-")</f>
        <v>-</v>
      </c>
      <c r="I217" s="28" t="str">
        <f>IFERROR(__xludf.DUMMYFUNCTION("""COMPUTED_VALUE"""),"Move as many PARTNER cards as you desire from your Discard Pile into play. You cannot apply the effects of those PARTNER cards during this turn.")</f>
        <v>Move as many PARTNER cards as you desire from your Discard Pile into play. You cannot apply the effects of those PARTNER cards during this turn.</v>
      </c>
      <c r="J217" s="27" t="str">
        <f>IFERROR(__xludf.DUMMYFUNCTION("""COMPUTED_VALUE"""),"-")</f>
        <v>-</v>
      </c>
      <c r="K217" s="27" t="str">
        <f>IFERROR(__xludf.DUMMYFUNCTION("""COMPUTED_VALUE"""),"-")</f>
        <v>-</v>
      </c>
      <c r="L217" s="27" t="str">
        <f>IFERROR(__xludf.DUMMYFUNCTION("""COMPUTED_VALUE"""),"-")</f>
        <v>-</v>
      </c>
      <c r="M217" s="27" t="str">
        <f>IFERROR(__xludf.DUMMYFUNCTION("""COMPUTED_VALUE"""),"[SR]")</f>
        <v>[SR]</v>
      </c>
      <c r="N217" s="27" t="str">
        <f>IFERROR(__xludf.DUMMYFUNCTION("""COMPUTED_VALUE"""),"""When they find out I carried them this far... I wonder if Sister Elle will smile. If she smiles, then...""")</f>
        <v>"When they find out I carried them this far... I wonder if Sister Elle will smile. If she smiles, then..."</v>
      </c>
      <c r="O217" s="27"/>
      <c r="P217" s="27"/>
      <c r="Q217" s="27"/>
      <c r="R217" s="27"/>
      <c r="S217" s="27"/>
      <c r="T217" s="27"/>
      <c r="U217" s="27"/>
      <c r="V217" s="27"/>
      <c r="W217" s="27"/>
      <c r="X217" s="27"/>
      <c r="Y217" s="27"/>
      <c r="Z217" s="27"/>
    </row>
    <row r="218">
      <c r="A218" s="29" t="str">
        <f>IFERROR(__xludf.DUMMYFUNCTION("""COMPUTED_VALUE"""),"E-194")</f>
        <v>E-194</v>
      </c>
      <c r="B218" s="27" t="str">
        <f>IFERROR(__xludf.DUMMYFUNCTION("""COMPUTED_VALUE"""),"Event")</f>
        <v>Event</v>
      </c>
      <c r="C218" s="27" t="str">
        <f>IFERROR(__xludf.DUMMYFUNCTION("""COMPUTED_VALUE"""),"Faudo's Heart")</f>
        <v>Faudo's Heart</v>
      </c>
      <c r="D218" s="27" t="str">
        <f>IFERROR(__xludf.DUMMYFUNCTION("""COMPUTED_VALUE"""),"-")</f>
        <v>-</v>
      </c>
      <c r="E218" s="27">
        <f>IFERROR(__xludf.DUMMYFUNCTION("""COMPUTED_VALUE"""),3.0)</f>
        <v>3</v>
      </c>
      <c r="F218" s="27" t="str">
        <f>IFERROR(__xludf.DUMMYFUNCTION("""COMPUTED_VALUE"""),"A")</f>
        <v>A</v>
      </c>
      <c r="G218" s="27" t="str">
        <f>IFERROR(__xludf.DUMMYFUNCTION("""COMPUTED_VALUE"""),"Intermediate")</f>
        <v>Intermediate</v>
      </c>
      <c r="H218" s="27" t="str">
        <f>IFERROR(__xludf.DUMMYFUNCTION("""COMPUTED_VALUE"""),"Internal Faudo Event")</f>
        <v>Internal Faudo Event</v>
      </c>
      <c r="I218" s="28" t="str">
        <f>IFERROR(__xludf.DUMMYFUNCTION("""COMPUTED_VALUE"""),"When you declare the play of this EVENT card, all currently active {Internal Faudo Event} [Stay] effects are negated. [STAY] Neither player can play SPELL cards with a 3 MP cost or less during this game.")</f>
        <v>When you declare the play of this EVENT card, all currently active {Internal Faudo Event} [Stay] effects are negated. [STAY] Neither player can play SPELL cards with a 3 MP cost or less during this game.</v>
      </c>
      <c r="J218" s="27" t="str">
        <f>IFERROR(__xludf.DUMMYFUNCTION("""COMPUTED_VALUE"""),"-")</f>
        <v>-</v>
      </c>
      <c r="K218" s="27" t="str">
        <f>IFERROR(__xludf.DUMMYFUNCTION("""COMPUTED_VALUE"""),"-")</f>
        <v>-</v>
      </c>
      <c r="L218" s="27" t="str">
        <f>IFERROR(__xludf.DUMMYFUNCTION("""COMPUTED_VALUE"""),"-")</f>
        <v>-</v>
      </c>
      <c r="M218" s="27" t="str">
        <f>IFERROR(__xludf.DUMMYFUNCTION("""COMPUTED_VALUE"""),"[R]")</f>
        <v>[R]</v>
      </c>
      <c r="N218" s="27" t="str">
        <f>IFERROR(__xludf.DUMMYFUNCTION("""COMPUTED_VALUE"""),"""Faudo's vital organs are protected by a magic shield. Not all of the rooms, but the important ones like the heart and brain.""")</f>
        <v>"Faudo's vital organs are protected by a magic shield. Not all of the rooms, but the important ones like the heart and brain."</v>
      </c>
      <c r="O218" s="27"/>
      <c r="P218" s="27"/>
      <c r="Q218" s="27"/>
      <c r="R218" s="27"/>
      <c r="S218" s="27"/>
      <c r="T218" s="27"/>
      <c r="U218" s="27"/>
      <c r="V218" s="27"/>
      <c r="W218" s="27"/>
      <c r="X218" s="27"/>
      <c r="Y218" s="27"/>
      <c r="Z218" s="27"/>
    </row>
    <row r="219">
      <c r="A219" s="29" t="str">
        <f>IFERROR(__xludf.DUMMYFUNCTION("""COMPUTED_VALUE"""),"E-195")</f>
        <v>E-195</v>
      </c>
      <c r="B219" s="27" t="str">
        <f>IFERROR(__xludf.DUMMYFUNCTION("""COMPUTED_VALUE"""),"Event")</f>
        <v>Event</v>
      </c>
      <c r="C219" s="27" t="str">
        <f>IFERROR(__xludf.DUMMYFUNCTION("""COMPUTED_VALUE"""),"Ellie's Intentions")</f>
        <v>Ellie's Intentions</v>
      </c>
      <c r="D219" s="27" t="str">
        <f>IFERROR(__xludf.DUMMYFUNCTION("""COMPUTED_VALUE"""),"-")</f>
        <v>-</v>
      </c>
      <c r="E219" s="27">
        <f>IFERROR(__xludf.DUMMYFUNCTION("""COMPUTED_VALUE"""),1.0)</f>
        <v>1</v>
      </c>
      <c r="F219" s="27" t="str">
        <f>IFERROR(__xludf.DUMMYFUNCTION("""COMPUTED_VALUE"""),"A")</f>
        <v>A</v>
      </c>
      <c r="G219" s="27" t="str">
        <f>IFERROR(__xludf.DUMMYFUNCTION("""COMPUTED_VALUE"""),"None")</f>
        <v>None</v>
      </c>
      <c r="H219" s="27" t="str">
        <f>IFERROR(__xludf.DUMMYFUNCTION("""COMPUTED_VALUE"""),"-")</f>
        <v>-</v>
      </c>
      <c r="I219" s="28" t="str">
        <f>IFERROR(__xludf.DUMMYFUNCTION("""COMPUTED_VALUE"""),"Look at your opponent's Spell Book. Select 1 card with ""Faudo"" in its card name or effect name and send it to the Discard Pile. If your opponent has no applicable cards, get 2 MP instead.")</f>
        <v>Look at your opponent's Spell Book. Select 1 card with "Faudo" in its card name or effect name and send it to the Discard Pile. If your opponent has no applicable cards, get 2 MP instead.</v>
      </c>
      <c r="J219" s="27" t="str">
        <f>IFERROR(__xludf.DUMMYFUNCTION("""COMPUTED_VALUE"""),"-")</f>
        <v>-</v>
      </c>
      <c r="K219" s="27" t="str">
        <f>IFERROR(__xludf.DUMMYFUNCTION("""COMPUTED_VALUE"""),"-")</f>
        <v>-</v>
      </c>
      <c r="L219" s="27" t="str">
        <f>IFERROR(__xludf.DUMMYFUNCTION("""COMPUTED_VALUE"""),"-")</f>
        <v>-</v>
      </c>
      <c r="M219" s="27" t="str">
        <f>IFERROR(__xludf.DUMMYFUNCTION("""COMPUTED_VALUE"""),"[C]")</f>
        <v>[C]</v>
      </c>
      <c r="N219" s="27" t="str">
        <f>IFERROR(__xludf.DUMMYFUNCTION("""COMPUTED_VALUE"""),"""She's the one who wanted to take Faudo back to the mamodo world before he's set free!'")</f>
        <v>"She's the one who wanted to take Faudo back to the mamodo world before he's set free!'</v>
      </c>
      <c r="O219" s="27"/>
      <c r="P219" s="27"/>
      <c r="Q219" s="27"/>
      <c r="R219" s="27"/>
      <c r="S219" s="27"/>
      <c r="T219" s="27"/>
      <c r="U219" s="27"/>
      <c r="V219" s="27"/>
      <c r="W219" s="27"/>
      <c r="X219" s="27"/>
      <c r="Y219" s="27"/>
      <c r="Z219" s="27"/>
    </row>
    <row r="220">
      <c r="A220" s="29" t="str">
        <f>IFERROR(__xludf.DUMMYFUNCTION("""COMPUTED_VALUE"""),"E-196")</f>
        <v>E-196</v>
      </c>
      <c r="B220" s="27" t="str">
        <f>IFERROR(__xludf.DUMMYFUNCTION("""COMPUTED_VALUE"""),"Event")</f>
        <v>Event</v>
      </c>
      <c r="C220" s="27" t="str">
        <f>IFERROR(__xludf.DUMMYFUNCTION("""COMPUTED_VALUE"""),"Don't You Dare!")</f>
        <v>Don't You Dare!</v>
      </c>
      <c r="D220" s="27" t="str">
        <f>IFERROR(__xludf.DUMMYFUNCTION("""COMPUTED_VALUE"""),"-")</f>
        <v>-</v>
      </c>
      <c r="E220" s="27">
        <f>IFERROR(__xludf.DUMMYFUNCTION("""COMPUTED_VALUE"""),1.0)</f>
        <v>1</v>
      </c>
      <c r="F220" s="27" t="str">
        <f>IFERROR(__xludf.DUMMYFUNCTION("""COMPUTED_VALUE"""),"AD")</f>
        <v>AD</v>
      </c>
      <c r="G220" s="27" t="str">
        <f>IFERROR(__xludf.DUMMYFUNCTION("""COMPUTED_VALUE"""),"None")</f>
        <v>None</v>
      </c>
      <c r="H220" s="27" t="str">
        <f>IFERROR(__xludf.DUMMYFUNCTION("""COMPUTED_VALUE"""),"-")</f>
        <v>-</v>
      </c>
      <c r="I220" s="28" t="str">
        <f>IFERROR(__xludf.DUMMYFUNCTION("""COMPUTED_VALUE"""),"Negate the MAMODO card effect your opponent just applied.")</f>
        <v>Negate the MAMODO card effect your opponent just applied.</v>
      </c>
      <c r="J220" s="27" t="str">
        <f>IFERROR(__xludf.DUMMYFUNCTION("""COMPUTED_VALUE"""),"-")</f>
        <v>-</v>
      </c>
      <c r="K220" s="27" t="str">
        <f>IFERROR(__xludf.DUMMYFUNCTION("""COMPUTED_VALUE"""),"-")</f>
        <v>-</v>
      </c>
      <c r="L220" s="27" t="str">
        <f>IFERROR(__xludf.DUMMYFUNCTION("""COMPUTED_VALUE"""),"-")</f>
        <v>-</v>
      </c>
      <c r="M220" s="27" t="str">
        <f>IFERROR(__xludf.DUMMYFUNCTION("""COMPUTED_VALUE"""),"[SR]")</f>
        <v>[SR]</v>
      </c>
      <c r="N220" s="27" t="str">
        <f>IFERROR(__xludf.DUMMYFUNCTION("""COMPUTED_VALUE"""),"""'Do as she says'?! Don't you dare, Arth!""")</f>
        <v>"'Do as she says'?! Don't you dare, Arth!"</v>
      </c>
      <c r="O220" s="27"/>
      <c r="P220" s="27"/>
      <c r="Q220" s="27"/>
      <c r="R220" s="27"/>
      <c r="S220" s="27"/>
      <c r="T220" s="27"/>
      <c r="U220" s="27"/>
      <c r="V220" s="27"/>
      <c r="W220" s="27"/>
      <c r="X220" s="27"/>
      <c r="Y220" s="27"/>
      <c r="Z220" s="27"/>
    </row>
    <row r="221">
      <c r="A221" s="29" t="str">
        <f>IFERROR(__xludf.DUMMYFUNCTION("""COMPUTED_VALUE"""),"E-197")</f>
        <v>E-197</v>
      </c>
      <c r="B221" s="27" t="str">
        <f>IFERROR(__xludf.DUMMYFUNCTION("""COMPUTED_VALUE"""),"Event")</f>
        <v>Event</v>
      </c>
      <c r="C221" s="27" t="str">
        <f>IFERROR(__xludf.DUMMYFUNCTION("""COMPUTED_VALUE"""),"The Cursed Ones")</f>
        <v>The Cursed Ones</v>
      </c>
      <c r="D221" s="27" t="str">
        <f>IFERROR(__xludf.DUMMYFUNCTION("""COMPUTED_VALUE"""),"-")</f>
        <v>-</v>
      </c>
      <c r="E221" s="27">
        <f>IFERROR(__xludf.DUMMYFUNCTION("""COMPUTED_VALUE"""),2.0)</f>
        <v>2</v>
      </c>
      <c r="F221" s="27" t="str">
        <f>IFERROR(__xludf.DUMMYFUNCTION("""COMPUTED_VALUE"""),"AD")</f>
        <v>AD</v>
      </c>
      <c r="G221" s="27" t="str">
        <f>IFERROR(__xludf.DUMMYFUNCTION("""COMPUTED_VALUE"""),"Intermediate")</f>
        <v>Intermediate</v>
      </c>
      <c r="H221" s="27" t="str">
        <f>IFERROR(__xludf.DUMMYFUNCTION("""COMPUTED_VALUE"""),"-")</f>
        <v>-</v>
      </c>
      <c r="I221" s="28" t="str">
        <f>IFERROR(__xludf.DUMMYFUNCTION("""COMPUTED_VALUE"""),"[STAY] The red text ""you(r)"" in the card effects of your Ellie, Nicole, Li-en, and Alishie PARTNER cards is considered to be ""your opponent('s)"" during this turn.")</f>
        <v>[STAY] The red text "you(r)" in the card effects of your Ellie, Nicole, Li-en, and Alishie PARTNER cards is considered to be "your opponent('s)" during this turn.</v>
      </c>
      <c r="J221" s="27" t="str">
        <f>IFERROR(__xludf.DUMMYFUNCTION("""COMPUTED_VALUE"""),"-")</f>
        <v>-</v>
      </c>
      <c r="K221" s="27" t="str">
        <f>IFERROR(__xludf.DUMMYFUNCTION("""COMPUTED_VALUE"""),"-")</f>
        <v>-</v>
      </c>
      <c r="L221" s="27" t="str">
        <f>IFERROR(__xludf.DUMMYFUNCTION("""COMPUTED_VALUE"""),"-")</f>
        <v>-</v>
      </c>
      <c r="M221" s="27" t="str">
        <f>IFERROR(__xludf.DUMMYFUNCTION("""COMPUTED_VALUE"""),"[SR]")</f>
        <v>[SR]</v>
      </c>
      <c r="N221" s="27" t="str">
        <f>IFERROR(__xludf.DUMMYFUNCTION("""COMPUTED_VALUE"""),"""No, you've got to live... even if it means putting ourselves on the road to despair. Eternal rest is the only real ending.""")</f>
        <v>"No, you've got to live... even if it means putting ourselves on the road to despair. Eternal rest is the only real ending."</v>
      </c>
      <c r="O221" s="27"/>
      <c r="P221" s="27"/>
      <c r="Q221" s="27"/>
      <c r="R221" s="27"/>
      <c r="S221" s="27"/>
      <c r="T221" s="27"/>
      <c r="U221" s="27"/>
      <c r="V221" s="27"/>
      <c r="W221" s="27"/>
      <c r="X221" s="27"/>
      <c r="Y221" s="27"/>
      <c r="Z221" s="27"/>
    </row>
    <row r="222">
      <c r="A222" s="29" t="str">
        <f>IFERROR(__xludf.DUMMYFUNCTION("""COMPUTED_VALUE"""),"E-198")</f>
        <v>E-198</v>
      </c>
      <c r="B222" s="27" t="str">
        <f>IFERROR(__xludf.DUMMYFUNCTION("""COMPUTED_VALUE"""),"Event")</f>
        <v>Event</v>
      </c>
      <c r="C222" s="27" t="str">
        <f>IFERROR(__xludf.DUMMYFUNCTION("""COMPUTED_VALUE"""),"Breaking The Seal")</f>
        <v>Breaking The Seal</v>
      </c>
      <c r="D222" s="27" t="str">
        <f>IFERROR(__xludf.DUMMYFUNCTION("""COMPUTED_VALUE"""),"-")</f>
        <v>-</v>
      </c>
      <c r="E222" s="27">
        <f>IFERROR(__xludf.DUMMYFUNCTION("""COMPUTED_VALUE"""),0.0)</f>
        <v>0</v>
      </c>
      <c r="F222" s="27" t="str">
        <f>IFERROR(__xludf.DUMMYFUNCTION("""COMPUTED_VALUE"""),"A")</f>
        <v>A</v>
      </c>
      <c r="G222" s="27" t="str">
        <f>IFERROR(__xludf.DUMMYFUNCTION("""COMPUTED_VALUE"""),"Superior")</f>
        <v>Superior</v>
      </c>
      <c r="H222" s="27" t="str">
        <f>IFERROR(__xludf.DUMMYFUNCTION("""COMPUTED_VALUE"""),"-")</f>
        <v>-</v>
      </c>
      <c r="I222" s="28" t="str">
        <f>IFERROR(__xludf.DUMMYFUNCTION("""COMPUTED_VALUE"""),"[STANDBY] Select 1 SPELL card with [Seal Breaker] from any page of your Spell Book. The selected SPELL card can be played during this turn with its MP cost reduced by 4. In addition, the selected SPELL card's entire effect is considered to be ""Damage you"&amp;"r opponent's Spell Book when you win the Battle as an Attacker.""")</f>
        <v>[STANDBY] Select 1 SPELL card with [Seal Breaker] from any page of your Spell Book. The selected SPELL card can be played during this turn with its MP cost reduced by 4. In addition, the selected SPELL card's entire effect is considered to be "Damage your opponent's Spell Book when you win the Battle as an Attacker."</v>
      </c>
      <c r="J222" s="27" t="str">
        <f>IFERROR(__xludf.DUMMYFUNCTION("""COMPUTED_VALUE"""),"-")</f>
        <v>-</v>
      </c>
      <c r="K222" s="27" t="str">
        <f>IFERROR(__xludf.DUMMYFUNCTION("""COMPUTED_VALUE"""),"-")</f>
        <v>-</v>
      </c>
      <c r="L222" s="27" t="str">
        <f>IFERROR(__xludf.DUMMYFUNCTION("""COMPUTED_VALUE"""),"-")</f>
        <v>-</v>
      </c>
      <c r="M222" s="27" t="str">
        <f>IFERROR(__xludf.DUMMYFUNCTION("""COMPUTED_VALUE"""),"[R]")</f>
        <v>[R]</v>
      </c>
      <c r="N222" s="27" t="str">
        <f>IFERROR(__xludf.DUMMYFUNCTION("""COMPUTED_VALUE"""),"""Everyone! Gather your strength from within and prepare to cast your most powerful spell!""")</f>
        <v>"Everyone! Gather your strength from within and prepare to cast your most powerful spell!"</v>
      </c>
      <c r="O222" s="27"/>
      <c r="P222" s="27"/>
      <c r="Q222" s="27"/>
      <c r="R222" s="27"/>
      <c r="S222" s="27"/>
      <c r="T222" s="27"/>
      <c r="U222" s="27"/>
      <c r="V222" s="27"/>
      <c r="W222" s="27"/>
      <c r="X222" s="27"/>
      <c r="Y222" s="27"/>
      <c r="Z222" s="27"/>
    </row>
    <row r="223">
      <c r="A223" s="29" t="str">
        <f>IFERROR(__xludf.DUMMYFUNCTION("""COMPUTED_VALUE"""),"E-199")</f>
        <v>E-199</v>
      </c>
      <c r="B223" s="27" t="str">
        <f>IFERROR(__xludf.DUMMYFUNCTION("""COMPUTED_VALUE"""),"Event")</f>
        <v>Event</v>
      </c>
      <c r="C223" s="27" t="str">
        <f>IFERROR(__xludf.DUMMYFUNCTION("""COMPUTED_VALUE"""),"The Light of Hope")</f>
        <v>The Light of Hope</v>
      </c>
      <c r="D223" s="27" t="str">
        <f>IFERROR(__xludf.DUMMYFUNCTION("""COMPUTED_VALUE"""),"-")</f>
        <v>-</v>
      </c>
      <c r="E223" s="27">
        <f>IFERROR(__xludf.DUMMYFUNCTION("""COMPUTED_VALUE"""),1.0)</f>
        <v>1</v>
      </c>
      <c r="F223" s="27" t="str">
        <f>IFERROR(__xludf.DUMMYFUNCTION("""COMPUTED_VALUE"""),"AD")</f>
        <v>AD</v>
      </c>
      <c r="G223" s="27" t="str">
        <f>IFERROR(__xludf.DUMMYFUNCTION("""COMPUTED_VALUE"""),"Intermediate")</f>
        <v>Intermediate</v>
      </c>
      <c r="H223" s="27" t="str">
        <f>IFERROR(__xludf.DUMMYFUNCTION("""COMPUTED_VALUE"""),"-")</f>
        <v>-</v>
      </c>
      <c r="I223" s="28" t="str">
        <f>IFERROR(__xludf.DUMMYFUNCTION("""COMPUTED_VALUE"""),"Select 1 MAMODO card from any page of your Spell Book and put it in play. Then, get 4 MP.")</f>
        <v>Select 1 MAMODO card from any page of your Spell Book and put it in play. Then, get 4 MP.</v>
      </c>
      <c r="J223" s="27" t="str">
        <f>IFERROR(__xludf.DUMMYFUNCTION("""COMPUTED_VALUE"""),"-")</f>
        <v>-</v>
      </c>
      <c r="K223" s="27" t="str">
        <f>IFERROR(__xludf.DUMMYFUNCTION("""COMPUTED_VALUE"""),"-")</f>
        <v>-</v>
      </c>
      <c r="L223" s="27" t="str">
        <f>IFERROR(__xludf.DUMMYFUNCTION("""COMPUTED_VALUE"""),"-")</f>
        <v>-</v>
      </c>
      <c r="M223" s="27" t="str">
        <f>IFERROR(__xludf.DUMMYFUNCTION("""COMPUTED_VALUE"""),"[SR]")</f>
        <v>[SR]</v>
      </c>
      <c r="N223" s="27" t="str">
        <f>IFERROR(__xludf.DUMMYFUNCTION("""COMPUTED_VALUE"""),"""Open your eyes... See what's in front of you... See the light!""")</f>
        <v>"Open your eyes... See what's in front of you... See the light!"</v>
      </c>
      <c r="O223" s="27"/>
      <c r="P223" s="27"/>
      <c r="Q223" s="27"/>
      <c r="R223" s="27"/>
      <c r="S223" s="27"/>
      <c r="T223" s="27"/>
      <c r="U223" s="27"/>
      <c r="V223" s="27"/>
      <c r="W223" s="27"/>
      <c r="X223" s="27"/>
      <c r="Y223" s="27"/>
      <c r="Z223" s="27"/>
    </row>
    <row r="224">
      <c r="A224" s="29" t="str">
        <f>IFERROR(__xludf.DUMMYFUNCTION("""COMPUTED_VALUE"""),"E-200")</f>
        <v>E-200</v>
      </c>
      <c r="B224" s="27" t="str">
        <f>IFERROR(__xludf.DUMMYFUNCTION("""COMPUTED_VALUE"""),"Event")</f>
        <v>Event</v>
      </c>
      <c r="C224" s="27" t="str">
        <f>IFERROR(__xludf.DUMMYFUNCTION("""COMPUTED_VALUE"""),"The Resurrection of Faudo")</f>
        <v>The Resurrection of Faudo</v>
      </c>
      <c r="D224" s="27" t="str">
        <f>IFERROR(__xludf.DUMMYFUNCTION("""COMPUTED_VALUE"""),"-")</f>
        <v>-</v>
      </c>
      <c r="E224" s="27">
        <f>IFERROR(__xludf.DUMMYFUNCTION("""COMPUTED_VALUE"""),5.0)</f>
        <v>5</v>
      </c>
      <c r="F224" s="27" t="str">
        <f>IFERROR(__xludf.DUMMYFUNCTION("""COMPUTED_VALUE"""),"A")</f>
        <v>A</v>
      </c>
      <c r="G224" s="27" t="str">
        <f>IFERROR(__xludf.DUMMYFUNCTION("""COMPUTED_VALUE"""),"Superior")</f>
        <v>Superior</v>
      </c>
      <c r="H224" s="27" t="str">
        <f>IFERROR(__xludf.DUMMYFUNCTION("""COMPUTED_VALUE"""),"-")</f>
        <v>-</v>
      </c>
      <c r="I224" s="28" t="str">
        <f>IFERROR(__xludf.DUMMYFUNCTION("""COMPUTED_VALUE"""),"This EVENT card can be played only if you have successfully played a [Seal Breaker] SPELL card 3 or more times during this game. Select both M-396a and M-396b Faudo MAMODO cards from any page of your Spell Book and put them in play. ""Waaaaaah!? It's real"&amp;"ly a mamodo!""")</f>
        <v>This EVENT card can be played only if you have successfully played a [Seal Breaker] SPELL card 3 or more times during this game. Select both M-396a and M-396b Faudo MAMODO cards from any page of your Spell Book and put them in play. "Waaaaaah!? It's really a mamodo!"</v>
      </c>
      <c r="J224" s="27" t="str">
        <f>IFERROR(__xludf.DUMMYFUNCTION("""COMPUTED_VALUE"""),"-")</f>
        <v>-</v>
      </c>
      <c r="K224" s="27" t="str">
        <f>IFERROR(__xludf.DUMMYFUNCTION("""COMPUTED_VALUE"""),"-")</f>
        <v>-</v>
      </c>
      <c r="L224" s="27" t="str">
        <f>IFERROR(__xludf.DUMMYFUNCTION("""COMPUTED_VALUE"""),"-")</f>
        <v>-</v>
      </c>
      <c r="M224" s="27" t="str">
        <f>IFERROR(__xludf.DUMMYFUNCTION("""COMPUTED_VALUE"""),"[SR]")</f>
        <v>[SR]</v>
      </c>
      <c r="N224" s="27" t="str">
        <f>IFERROR(__xludf.DUMMYFUNCTION("""COMPUTED_VALUE"""),"""It's huge...""")</f>
        <v>"It's huge..."</v>
      </c>
      <c r="O224" s="27"/>
      <c r="P224" s="27"/>
      <c r="Q224" s="27"/>
      <c r="R224" s="27"/>
      <c r="S224" s="27"/>
      <c r="T224" s="27"/>
      <c r="U224" s="27"/>
      <c r="V224" s="27"/>
      <c r="W224" s="27"/>
      <c r="X224" s="27"/>
      <c r="Y224" s="27"/>
      <c r="Z224" s="27"/>
    </row>
    <row r="225">
      <c r="A225" s="29" t="str">
        <f>IFERROR(__xludf.DUMMYFUNCTION("""COMPUTED_VALUE"""),"E-201")</f>
        <v>E-201</v>
      </c>
      <c r="B225" s="27" t="str">
        <f>IFERROR(__xludf.DUMMYFUNCTION("""COMPUTED_VALUE"""),"Event")</f>
        <v>Event</v>
      </c>
      <c r="C225" s="27" t="str">
        <f>IFERROR(__xludf.DUMMYFUNCTION("""COMPUTED_VALUE"""),"Suzy's Premonition")</f>
        <v>Suzy's Premonition</v>
      </c>
      <c r="D225" s="27" t="str">
        <f>IFERROR(__xludf.DUMMYFUNCTION("""COMPUTED_VALUE"""),"-")</f>
        <v>-</v>
      </c>
      <c r="E225" s="27">
        <f>IFERROR(__xludf.DUMMYFUNCTION("""COMPUTED_VALUE"""),2.0)</f>
        <v>2</v>
      </c>
      <c r="F225" s="27" t="str">
        <f>IFERROR(__xludf.DUMMYFUNCTION("""COMPUTED_VALUE"""),"A")</f>
        <v>A</v>
      </c>
      <c r="G225" s="27" t="str">
        <f>IFERROR(__xludf.DUMMYFUNCTION("""COMPUTED_VALUE"""),"Intermediate")</f>
        <v>Intermediate</v>
      </c>
      <c r="H225" s="27" t="str">
        <f>IFERROR(__xludf.DUMMYFUNCTION("""COMPUTED_VALUE"""),"-")</f>
        <v>-</v>
      </c>
      <c r="I225" s="28" t="str">
        <f>IFERROR(__xludf.DUMMYFUNCTION("""COMPUTED_VALUE"""),"Immediately after playing this EVENT card, you can declare an Attack without the consent of your opponent. Your opponent cannot take any action other than using a cut-in effect immediately after playing this EVENT card.")</f>
        <v>Immediately after playing this EVENT card, you can declare an Attack without the consent of your opponent. Your opponent cannot take any action other than using a cut-in effect immediately after playing this EVENT card.</v>
      </c>
      <c r="J225" s="27" t="str">
        <f>IFERROR(__xludf.DUMMYFUNCTION("""COMPUTED_VALUE"""),"-")</f>
        <v>-</v>
      </c>
      <c r="K225" s="27" t="str">
        <f>IFERROR(__xludf.DUMMYFUNCTION("""COMPUTED_VALUE"""),"-")</f>
        <v>-</v>
      </c>
      <c r="L225" s="27" t="str">
        <f>IFERROR(__xludf.DUMMYFUNCTION("""COMPUTED_VALUE"""),"-")</f>
        <v>-</v>
      </c>
      <c r="M225" s="27" t="str">
        <f>IFERROR(__xludf.DUMMYFUNCTION("""COMPUTED_VALUE"""),"[SR]")</f>
        <v>[SR]</v>
      </c>
      <c r="N225" s="27" t="str">
        <f>IFERROR(__xludf.DUMMYFUNCTION("""COMPUTED_VALUE"""),"""I wonder if Kiyo just woke up too.""")</f>
        <v>"I wonder if Kiyo just woke up too."</v>
      </c>
      <c r="O225" s="27"/>
      <c r="P225" s="27"/>
      <c r="Q225" s="27"/>
      <c r="R225" s="27"/>
      <c r="S225" s="27"/>
      <c r="T225" s="27"/>
      <c r="U225" s="27"/>
      <c r="V225" s="27"/>
      <c r="W225" s="27"/>
      <c r="X225" s="27"/>
      <c r="Y225" s="27"/>
      <c r="Z225" s="27"/>
    </row>
    <row r="226">
      <c r="A226" s="29" t="str">
        <f>IFERROR(__xludf.DUMMYFUNCTION("""COMPUTED_VALUE"""),"E-202")</f>
        <v>E-202</v>
      </c>
      <c r="B226" s="27" t="str">
        <f>IFERROR(__xludf.DUMMYFUNCTION("""COMPUTED_VALUE"""),"Event")</f>
        <v>Event</v>
      </c>
      <c r="C226" s="27" t="str">
        <f>IFERROR(__xludf.DUMMYFUNCTION("""COMPUTED_VALUE"""),"Mrs. Takamine &amp; Mother")</f>
        <v>Mrs. Takamine &amp; Mother</v>
      </c>
      <c r="D226" s="27" t="str">
        <f>IFERROR(__xludf.DUMMYFUNCTION("""COMPUTED_VALUE"""),"-")</f>
        <v>-</v>
      </c>
      <c r="E226" s="27">
        <f>IFERROR(__xludf.DUMMYFUNCTION("""COMPUTED_VALUE"""),1.0)</f>
        <v>1</v>
      </c>
      <c r="F226" s="27" t="str">
        <f>IFERROR(__xludf.DUMMYFUNCTION("""COMPUTED_VALUE"""),"AD")</f>
        <v>AD</v>
      </c>
      <c r="G226" s="27" t="str">
        <f>IFERROR(__xludf.DUMMYFUNCTION("""COMPUTED_VALUE"""),"None")</f>
        <v>None</v>
      </c>
      <c r="H226" s="27" t="str">
        <f>IFERROR(__xludf.DUMMYFUNCTION("""COMPUTED_VALUE"""),"-")</f>
        <v>-</v>
      </c>
      <c r="I226" s="28" t="str">
        <f>IFERROR(__xludf.DUMMYFUNCTION("""COMPUTED_VALUE"""),"[STAY] Your opponent cannot apply effects with [In Play] during this turn.")</f>
        <v>[STAY] Your opponent cannot apply effects with [In Play] during this turn.</v>
      </c>
      <c r="J226" s="27" t="str">
        <f>IFERROR(__xludf.DUMMYFUNCTION("""COMPUTED_VALUE"""),"-")</f>
        <v>-</v>
      </c>
      <c r="K226" s="27" t="str">
        <f>IFERROR(__xludf.DUMMYFUNCTION("""COMPUTED_VALUE"""),"-")</f>
        <v>-</v>
      </c>
      <c r="L226" s="27" t="str">
        <f>IFERROR(__xludf.DUMMYFUNCTION("""COMPUTED_VALUE"""),"-")</f>
        <v>-</v>
      </c>
      <c r="M226" s="27" t="str">
        <f>IFERROR(__xludf.DUMMYFUNCTION("""COMPUTED_VALUE"""),"[R]")</f>
        <v>[R]</v>
      </c>
      <c r="N226" s="27" t="str">
        <f>IFERROR(__xludf.DUMMYFUNCTION("""COMPUTED_VALUE"""),"""It's all right, Zatch. There's nothing wrong with having two mothers.""")</f>
        <v>"It's all right, Zatch. There's nothing wrong with having two mothers."</v>
      </c>
      <c r="O226" s="27"/>
      <c r="P226" s="27"/>
      <c r="Q226" s="27"/>
      <c r="R226" s="27"/>
      <c r="S226" s="27"/>
      <c r="T226" s="27"/>
      <c r="U226" s="27"/>
      <c r="V226" s="27"/>
      <c r="W226" s="27"/>
      <c r="X226" s="27"/>
      <c r="Y226" s="27"/>
      <c r="Z226" s="27"/>
    </row>
    <row r="227">
      <c r="A227" s="29" t="str">
        <f>IFERROR(__xludf.DUMMYFUNCTION("""COMPUTED_VALUE"""),"E-203")</f>
        <v>E-203</v>
      </c>
      <c r="B227" s="27" t="str">
        <f>IFERROR(__xludf.DUMMYFUNCTION("""COMPUTED_VALUE"""),"Event")</f>
        <v>Event</v>
      </c>
      <c r="C227" s="27" t="str">
        <f>IFERROR(__xludf.DUMMYFUNCTION("""COMPUTED_VALUE"""),"Don't Order Me Around!")</f>
        <v>Don't Order Me Around!</v>
      </c>
      <c r="D227" s="27" t="str">
        <f>IFERROR(__xludf.DUMMYFUNCTION("""COMPUTED_VALUE"""),"-")</f>
        <v>-</v>
      </c>
      <c r="E227" s="27">
        <f>IFERROR(__xludf.DUMMYFUNCTION("""COMPUTED_VALUE"""),3.0)</f>
        <v>3</v>
      </c>
      <c r="F227" s="27" t="str">
        <f>IFERROR(__xludf.DUMMYFUNCTION("""COMPUTED_VALUE"""),"AD")</f>
        <v>AD</v>
      </c>
      <c r="G227" s="27" t="str">
        <f>IFERROR(__xludf.DUMMYFUNCTION("""COMPUTED_VALUE"""),"None")</f>
        <v>None</v>
      </c>
      <c r="H227" s="27" t="str">
        <f>IFERROR(__xludf.DUMMYFUNCTION("""COMPUTED_VALUE"""),"-")</f>
        <v>-</v>
      </c>
      <c r="I227" s="28" t="str">
        <f>IFERROR(__xludf.DUMMYFUNCTION("""COMPUTED_VALUE"""),"Negate the MAMODO or PARTNER card effect your opponent just applied OR the EVENT card your opponent just played.")</f>
        <v>Negate the MAMODO or PARTNER card effect your opponent just applied OR the EVENT card your opponent just played.</v>
      </c>
      <c r="J227" s="27" t="str">
        <f>IFERROR(__xludf.DUMMYFUNCTION("""COMPUTED_VALUE"""),"-")</f>
        <v>-</v>
      </c>
      <c r="K227" s="27" t="str">
        <f>IFERROR(__xludf.DUMMYFUNCTION("""COMPUTED_VALUE"""),"-")</f>
        <v>-</v>
      </c>
      <c r="L227" s="27" t="str">
        <f>IFERROR(__xludf.DUMMYFUNCTION("""COMPUTED_VALUE"""),"-")</f>
        <v>-</v>
      </c>
      <c r="M227" s="27" t="str">
        <f>IFERROR(__xludf.DUMMYFUNCTION("""COMPUTED_VALUE"""),"[U]")</f>
        <v>[U]</v>
      </c>
      <c r="N227" s="27" t="str">
        <f>IFERROR(__xludf.DUMMYFUNCTION("""COMPUTED_VALUE"""),"""I'm the one who gives the orders here! Don't you realize your life is in my hands?!""")</f>
        <v>"I'm the one who gives the orders here! Don't you realize your life is in my hands?!"</v>
      </c>
      <c r="O227" s="27"/>
      <c r="P227" s="27"/>
      <c r="Q227" s="27"/>
      <c r="R227" s="27"/>
      <c r="S227" s="27"/>
      <c r="T227" s="27"/>
      <c r="U227" s="27"/>
      <c r="V227" s="27"/>
      <c r="W227" s="27"/>
      <c r="X227" s="27"/>
      <c r="Y227" s="27"/>
      <c r="Z227" s="27"/>
    </row>
    <row r="228">
      <c r="A228" s="29" t="str">
        <f>IFERROR(__xludf.DUMMYFUNCTION("""COMPUTED_VALUE"""),"E-204")</f>
        <v>E-204</v>
      </c>
      <c r="B228" s="27" t="str">
        <f>IFERROR(__xludf.DUMMYFUNCTION("""COMPUTED_VALUE"""),"Event")</f>
        <v>Event</v>
      </c>
      <c r="C228" s="27" t="str">
        <f>IFERROR(__xludf.DUMMYFUNCTION("""COMPUTED_VALUE"""),"Faudo's Nutrient Fluid")</f>
        <v>Faudo's Nutrient Fluid</v>
      </c>
      <c r="D228" s="27" t="str">
        <f>IFERROR(__xludf.DUMMYFUNCTION("""COMPUTED_VALUE"""),"-")</f>
        <v>-</v>
      </c>
      <c r="E228" s="27">
        <f>IFERROR(__xludf.DUMMYFUNCTION("""COMPUTED_VALUE"""),0.0)</f>
        <v>0</v>
      </c>
      <c r="F228" s="27" t="str">
        <f>IFERROR(__xludf.DUMMYFUNCTION("""COMPUTED_VALUE"""),"A")</f>
        <v>A</v>
      </c>
      <c r="G228" s="27" t="str">
        <f>IFERROR(__xludf.DUMMYFUNCTION("""COMPUTED_VALUE"""),"Intermediate")</f>
        <v>Intermediate</v>
      </c>
      <c r="H228" s="27" t="str">
        <f>IFERROR(__xludf.DUMMYFUNCTION("""COMPUTED_VALUE"""),"-")</f>
        <v>-</v>
      </c>
      <c r="I228" s="28" t="str">
        <f>IFERROR(__xludf.DUMMYFUNCTION("""COMPUTED_VALUE"""),"Get 3 MP.")</f>
        <v>Get 3 MP.</v>
      </c>
      <c r="J228" s="27" t="str">
        <f>IFERROR(__xludf.DUMMYFUNCTION("""COMPUTED_VALUE"""),"-")</f>
        <v>-</v>
      </c>
      <c r="K228" s="27" t="str">
        <f>IFERROR(__xludf.DUMMYFUNCTION("""COMPUTED_VALUE"""),"-")</f>
        <v>-</v>
      </c>
      <c r="L228" s="27" t="str">
        <f>IFERROR(__xludf.DUMMYFUNCTION("""COMPUTED_VALUE"""),"-")</f>
        <v>-</v>
      </c>
      <c r="M228" s="27" t="str">
        <f>IFERROR(__xludf.DUMMYFUNCTION("""COMPUTED_VALUE"""),"[R]")</f>
        <v>[R]</v>
      </c>
      <c r="N228" s="27" t="str">
        <f>IFERROR(__xludf.DUMMYFUNCTION("""COMPUTED_VALUE"""),"""This is Faudo's nurients in liquid form. A shot of this will boost my strength both mentally and physically.""")</f>
        <v>"This is Faudo's nurients in liquid form. A shot of this will boost my strength both mentally and physically."</v>
      </c>
      <c r="O228" s="27"/>
      <c r="P228" s="27"/>
      <c r="Q228" s="27"/>
      <c r="R228" s="27"/>
      <c r="S228" s="27"/>
      <c r="T228" s="27"/>
      <c r="U228" s="27"/>
      <c r="V228" s="27"/>
      <c r="W228" s="27"/>
      <c r="X228" s="27"/>
      <c r="Y228" s="27"/>
      <c r="Z228" s="27"/>
    </row>
    <row r="229">
      <c r="A229" s="29" t="str">
        <f>IFERROR(__xludf.DUMMYFUNCTION("""COMPUTED_VALUE"""),"E-205")</f>
        <v>E-205</v>
      </c>
      <c r="B229" s="27" t="str">
        <f>IFERROR(__xludf.DUMMYFUNCTION("""COMPUTED_VALUE"""),"Event")</f>
        <v>Event</v>
      </c>
      <c r="C229" s="27" t="str">
        <f>IFERROR(__xludf.DUMMYFUNCTION("""COMPUTED_VALUE"""),"No Matter What Happens")</f>
        <v>No Matter What Happens</v>
      </c>
      <c r="D229" s="27" t="str">
        <f>IFERROR(__xludf.DUMMYFUNCTION("""COMPUTED_VALUE"""),"-")</f>
        <v>-</v>
      </c>
      <c r="E229" s="27">
        <f>IFERROR(__xludf.DUMMYFUNCTION("""COMPUTED_VALUE"""),1.0)</f>
        <v>1</v>
      </c>
      <c r="F229" s="27" t="str">
        <f>IFERROR(__xludf.DUMMYFUNCTION("""COMPUTED_VALUE"""),"AD")</f>
        <v>AD</v>
      </c>
      <c r="G229" s="27" t="str">
        <f>IFERROR(__xludf.DUMMYFUNCTION("""COMPUTED_VALUE"""),"Intermediate")</f>
        <v>Intermediate</v>
      </c>
      <c r="H229" s="27" t="str">
        <f>IFERROR(__xludf.DUMMYFUNCTION("""COMPUTED_VALUE"""),"-")</f>
        <v>-</v>
      </c>
      <c r="I229" s="28" t="str">
        <f>IFERROR(__xludf.DUMMYFUNCTION("""COMPUTED_VALUE"""),"[STAY] Your opponent cannot apply the effects of cards that negate other cards or effects (except SPELL cards) during this turn.")</f>
        <v>[STAY] Your opponent cannot apply the effects of cards that negate other cards or effects (except SPELL cards) during this turn.</v>
      </c>
      <c r="J229" s="27" t="str">
        <f>IFERROR(__xludf.DUMMYFUNCTION("""COMPUTED_VALUE"""),"-")</f>
        <v>-</v>
      </c>
      <c r="K229" s="27" t="str">
        <f>IFERROR(__xludf.DUMMYFUNCTION("""COMPUTED_VALUE"""),"-")</f>
        <v>-</v>
      </c>
      <c r="L229" s="27" t="str">
        <f>IFERROR(__xludf.DUMMYFUNCTION("""COMPUTED_VALUE"""),"-")</f>
        <v>-</v>
      </c>
      <c r="M229" s="27" t="str">
        <f>IFERROR(__xludf.DUMMYFUNCTION("""COMPUTED_VALUE"""),"[U]")</f>
        <v>[U]</v>
      </c>
      <c r="N229" s="27" t="str">
        <f>IFERROR(__xludf.DUMMYFUNCTION("""COMPUTED_VALUE"""),"""From now on, no matter what happens to me, don't get distracted.""")</f>
        <v>"From now on, no matter what happens to me, don't get distracted."</v>
      </c>
      <c r="O229" s="27"/>
      <c r="P229" s="27"/>
      <c r="Q229" s="27"/>
      <c r="R229" s="27"/>
      <c r="S229" s="27"/>
      <c r="T229" s="27"/>
      <c r="U229" s="27"/>
      <c r="V229" s="27"/>
      <c r="W229" s="27"/>
      <c r="X229" s="27"/>
      <c r="Y229" s="27"/>
      <c r="Z229" s="27"/>
    </row>
    <row r="230">
      <c r="A230" s="29" t="str">
        <f>IFERROR(__xludf.DUMMYFUNCTION("""COMPUTED_VALUE"""),"E-206")</f>
        <v>E-206</v>
      </c>
      <c r="B230" s="27" t="str">
        <f>IFERROR(__xludf.DUMMYFUNCTION("""COMPUTED_VALUE"""),"Event")</f>
        <v>Event</v>
      </c>
      <c r="C230" s="27" t="str">
        <f>IFERROR(__xludf.DUMMYFUNCTION("""COMPUTED_VALUE"""),"Goodbye")</f>
        <v>Goodbye</v>
      </c>
      <c r="D230" s="27" t="str">
        <f>IFERROR(__xludf.DUMMYFUNCTION("""COMPUTED_VALUE"""),"-")</f>
        <v>-</v>
      </c>
      <c r="E230" s="27">
        <f>IFERROR(__xludf.DUMMYFUNCTION("""COMPUTED_VALUE"""),1.0)</f>
        <v>1</v>
      </c>
      <c r="F230" s="27" t="str">
        <f>IFERROR(__xludf.DUMMYFUNCTION("""COMPUTED_VALUE"""),"AD")</f>
        <v>AD</v>
      </c>
      <c r="G230" s="27" t="str">
        <f>IFERROR(__xludf.DUMMYFUNCTION("""COMPUTED_VALUE"""),"Intermediate")</f>
        <v>Intermediate</v>
      </c>
      <c r="H230" s="27" t="str">
        <f>IFERROR(__xludf.DUMMYFUNCTION("""COMPUTED_VALUE"""),"-")</f>
        <v>-</v>
      </c>
      <c r="I230" s="28" t="str">
        <f>IFERROR(__xludf.DUMMYFUNCTION("""COMPUTED_VALUE"""),"Apply 1 or both of the following effects in any order: ● Negate all [Stay] effects that prohibit a player from sending cards to the Discard Pile. ● [STAY] Neither player can apply effects that prohibit a player from sending cards to the Discard Pile durin"&amp;"g this turn.")</f>
        <v>Apply 1 or both of the following effects in any order: ● Negate all [Stay] effects that prohibit a player from sending cards to the Discard Pile. ● [STAY] Neither player can apply effects that prohibit a player from sending cards to the Discard Pile during this turn.</v>
      </c>
      <c r="J230" s="27" t="str">
        <f>IFERROR(__xludf.DUMMYFUNCTION("""COMPUTED_VALUE"""),"-")</f>
        <v>-</v>
      </c>
      <c r="K230" s="27" t="str">
        <f>IFERROR(__xludf.DUMMYFUNCTION("""COMPUTED_VALUE"""),"-")</f>
        <v>-</v>
      </c>
      <c r="L230" s="27" t="str">
        <f>IFERROR(__xludf.DUMMYFUNCTION("""COMPUTED_VALUE"""),"-")</f>
        <v>-</v>
      </c>
      <c r="M230" s="27" t="str">
        <f>IFERROR(__xludf.DUMMYFUNCTION("""COMPUTED_VALUE"""),"[U]")</f>
        <v>[U]</v>
      </c>
      <c r="N230" s="27" t="str">
        <f>IFERROR(__xludf.DUMMYFUNCTION("""COMPUTED_VALUE"""),"""Thanks for everything, Zatch... It's time to say goodbye...""")</f>
        <v>"Thanks for everything, Zatch... It's time to say goodbye..."</v>
      </c>
      <c r="O230" s="27"/>
      <c r="P230" s="27"/>
      <c r="Q230" s="27"/>
      <c r="R230" s="27"/>
      <c r="S230" s="27"/>
      <c r="T230" s="27"/>
      <c r="U230" s="27"/>
      <c r="V230" s="27"/>
      <c r="W230" s="27"/>
      <c r="X230" s="27"/>
      <c r="Y230" s="27"/>
      <c r="Z230" s="27"/>
    </row>
    <row r="231">
      <c r="A231" s="27" t="str">
        <f>IFERROR(__xludf.DUMMYFUNCTION("""COMPUTED_VALUE"""),"E-207")</f>
        <v>E-207</v>
      </c>
      <c r="B231" s="27" t="str">
        <f>IFERROR(__xludf.DUMMYFUNCTION("""COMPUTED_VALUE"""),"Event")</f>
        <v>Event</v>
      </c>
      <c r="C231" s="27" t="str">
        <f>IFERROR(__xludf.DUMMYFUNCTION("""COMPUTED_VALUE"""),"Faudo's Spine")</f>
        <v>Faudo's Spine</v>
      </c>
      <c r="D231" s="27" t="str">
        <f>IFERROR(__xludf.DUMMYFUNCTION("""COMPUTED_VALUE"""),"-")</f>
        <v>-</v>
      </c>
      <c r="E231" s="27">
        <f>IFERROR(__xludf.DUMMYFUNCTION("""COMPUTED_VALUE"""),3.0)</f>
        <v>3</v>
      </c>
      <c r="F231" s="27" t="str">
        <f>IFERROR(__xludf.DUMMYFUNCTION("""COMPUTED_VALUE"""),"A")</f>
        <v>A</v>
      </c>
      <c r="G231" s="27" t="str">
        <f>IFERROR(__xludf.DUMMYFUNCTION("""COMPUTED_VALUE"""),"Intermediate")</f>
        <v>Intermediate</v>
      </c>
      <c r="H231" s="27" t="str">
        <f>IFERROR(__xludf.DUMMYFUNCTION("""COMPUTED_VALUE"""),"Internal Faudo Event")</f>
        <v>Internal Faudo Event</v>
      </c>
      <c r="I231" s="28" t="str">
        <f>IFERROR(__xludf.DUMMYFUNCTION("""COMPUTED_VALUE"""),"When you declare the play of this EVENT card, all currently active {Internal Faudo Event} [Stay] effects are negated. [STAY] Reduce the MP cost of both player's EVENT cards by 2 during this game.")</f>
        <v>When you declare the play of this EVENT card, all currently active {Internal Faudo Event} [Stay] effects are negated. [STAY] Reduce the MP cost of both player's EVENT cards by 2 during this game.</v>
      </c>
      <c r="J231" s="27" t="str">
        <f>IFERROR(__xludf.DUMMYFUNCTION("""COMPUTED_VALUE"""),"-")</f>
        <v>-</v>
      </c>
      <c r="K231" s="27" t="str">
        <f>IFERROR(__xludf.DUMMYFUNCTION("""COMPUTED_VALUE"""),"-")</f>
        <v>-</v>
      </c>
      <c r="L231" s="27" t="str">
        <f>IFERROR(__xludf.DUMMYFUNCTION("""COMPUTED_VALUE"""),"-")</f>
        <v>-</v>
      </c>
      <c r="M231" s="27" t="str">
        <f>IFERROR(__xludf.DUMMYFUNCTION("""COMPUTED_VALUE"""),"[C]")</f>
        <v>[C]</v>
      </c>
      <c r="N231" s="27" t="str">
        <f>IFERROR(__xludf.DUMMYFUNCTION("""COMPUTED_VALUE"""),"""This is a much more detailed map than the one we found near Faudo's mouth.""")</f>
        <v>"This is a much more detailed map than the one we found near Faudo's mouth."</v>
      </c>
      <c r="O231" s="27"/>
      <c r="P231" s="27"/>
      <c r="Q231" s="27"/>
      <c r="R231" s="27"/>
      <c r="S231" s="27"/>
      <c r="T231" s="27"/>
      <c r="U231" s="27"/>
      <c r="V231" s="27"/>
      <c r="W231" s="27"/>
      <c r="X231" s="27"/>
      <c r="Y231" s="27"/>
      <c r="Z231" s="27"/>
    </row>
    <row r="232">
      <c r="A232" s="27" t="str">
        <f>IFERROR(__xludf.DUMMYFUNCTION("""COMPUTED_VALUE"""),"E-208")</f>
        <v>E-208</v>
      </c>
      <c r="B232" s="27" t="str">
        <f>IFERROR(__xludf.DUMMYFUNCTION("""COMPUTED_VALUE"""),"Event")</f>
        <v>Event</v>
      </c>
      <c r="C232" s="27" t="str">
        <f>IFERROR(__xludf.DUMMYFUNCTION("""COMPUTED_VALUE"""),"Faudo's Transporter")</f>
        <v>Faudo's Transporter</v>
      </c>
      <c r="D232" s="27" t="str">
        <f>IFERROR(__xludf.DUMMYFUNCTION("""COMPUTED_VALUE"""),"-")</f>
        <v>-</v>
      </c>
      <c r="E232" s="27">
        <f>IFERROR(__xludf.DUMMYFUNCTION("""COMPUTED_VALUE"""),3.0)</f>
        <v>3</v>
      </c>
      <c r="F232" s="27" t="str">
        <f>IFERROR(__xludf.DUMMYFUNCTION("""COMPUTED_VALUE"""),"A")</f>
        <v>A</v>
      </c>
      <c r="G232" s="27" t="str">
        <f>IFERROR(__xludf.DUMMYFUNCTION("""COMPUTED_VALUE"""),"Intermediate")</f>
        <v>Intermediate</v>
      </c>
      <c r="H232" s="27" t="str">
        <f>IFERROR(__xludf.DUMMYFUNCTION("""COMPUTED_VALUE"""),"Internal Faudo Event")</f>
        <v>Internal Faudo Event</v>
      </c>
      <c r="I232" s="28" t="str">
        <f>IFERROR(__xludf.DUMMYFUNCTION("""COMPUTED_VALUE"""),"When you declare the play of this EVENT card, all currently active {Internal Faudo Event} [Stay] effects are negated. Apply 1 or both of the following effects in order: ● Send both players' in-play Faudo MAMODO cards to the Discard Pile even when prohibit"&amp;"ed to do so. ● [STAY] Neither player can put a Faudo MAMODO card in play during this game.")</f>
        <v>When you declare the play of this EVENT card, all currently active {Internal Faudo Event} [Stay] effects are negated. Apply 1 or both of the following effects in order: ● Send both players' in-play Faudo MAMODO cards to the Discard Pile even when prohibited to do so. ● [STAY] Neither player can put a Faudo MAMODO card in play during this game.</v>
      </c>
      <c r="J232" s="27" t="str">
        <f>IFERROR(__xludf.DUMMYFUNCTION("""COMPUTED_VALUE"""),"-")</f>
        <v>-</v>
      </c>
      <c r="K232" s="27" t="str">
        <f>IFERROR(__xludf.DUMMYFUNCTION("""COMPUTED_VALUE"""),"-")</f>
        <v>-</v>
      </c>
      <c r="L232" s="27" t="str">
        <f>IFERROR(__xludf.DUMMYFUNCTION("""COMPUTED_VALUE"""),"-")</f>
        <v>-</v>
      </c>
      <c r="M232" s="27" t="str">
        <f>IFERROR(__xludf.DUMMYFUNCTION("""COMPUTED_VALUE"""),"[C]")</f>
        <v>[C]</v>
      </c>
      <c r="N232" s="27" t="str">
        <f>IFERROR(__xludf.DUMMYFUNCTION("""COMPUTED_VALUE"""),"""This is it... The device that'll send Faudo back to the mamodo world.""")</f>
        <v>"This is it... The device that'll send Faudo back to the mamodo world."</v>
      </c>
      <c r="O232" s="27"/>
      <c r="P232" s="27"/>
      <c r="Q232" s="27"/>
      <c r="R232" s="27"/>
      <c r="S232" s="27"/>
      <c r="T232" s="27"/>
      <c r="U232" s="27"/>
      <c r="V232" s="27"/>
      <c r="W232" s="27"/>
      <c r="X232" s="27"/>
      <c r="Y232" s="27"/>
      <c r="Z232" s="27"/>
    </row>
    <row r="233">
      <c r="A233" s="27" t="str">
        <f>IFERROR(__xludf.DUMMYFUNCTION("""COMPUTED_VALUE"""),"E-209")</f>
        <v>E-209</v>
      </c>
      <c r="B233" s="27" t="str">
        <f>IFERROR(__xludf.DUMMYFUNCTION("""COMPUTED_VALUE"""),"Event")</f>
        <v>Event</v>
      </c>
      <c r="C233" s="27" t="str">
        <f>IFERROR(__xludf.DUMMYFUNCTION("""COMPUTED_VALUE"""),"Faudo's Brain")</f>
        <v>Faudo's Brain</v>
      </c>
      <c r="D233" s="27" t="str">
        <f>IFERROR(__xludf.DUMMYFUNCTION("""COMPUTED_VALUE"""),"-")</f>
        <v>-</v>
      </c>
      <c r="E233" s="27">
        <f>IFERROR(__xludf.DUMMYFUNCTION("""COMPUTED_VALUE"""),3.0)</f>
        <v>3</v>
      </c>
      <c r="F233" s="27" t="str">
        <f>IFERROR(__xludf.DUMMYFUNCTION("""COMPUTED_VALUE"""),"A")</f>
        <v>A</v>
      </c>
      <c r="G233" s="27" t="str">
        <f>IFERROR(__xludf.DUMMYFUNCTION("""COMPUTED_VALUE"""),"Intermediate")</f>
        <v>Intermediate</v>
      </c>
      <c r="H233" s="27" t="str">
        <f>IFERROR(__xludf.DUMMYFUNCTION("""COMPUTED_VALUE"""),"Internal Faudo Event")</f>
        <v>Internal Faudo Event</v>
      </c>
      <c r="I233" s="28" t="str">
        <f>IFERROR(__xludf.DUMMYFUNCTION("""COMPUTED_VALUE"""),"When you declare the play of this EVENT card, all currently active {Internal Faudo Event} [Stay] effects are negated. [STAY] During this game, you can look at the currently open pages of your opponent's Spell Book at any time, even when prohibited to do s"&amp;"o. Your opponent cannot apply effects that are triggered when their Spell Book is being looked at.")</f>
        <v>When you declare the play of this EVENT card, all currently active {Internal Faudo Event} [Stay] effects are negated. [STAY] During this game, you can look at the currently open pages of your opponent's Spell Book at any time, even when prohibited to do so. Your opponent cannot apply effects that are triggered when their Spell Book is being looked at.</v>
      </c>
      <c r="J233" s="27" t="str">
        <f>IFERROR(__xludf.DUMMYFUNCTION("""COMPUTED_VALUE"""),"-")</f>
        <v>-</v>
      </c>
      <c r="K233" s="27" t="str">
        <f>IFERROR(__xludf.DUMMYFUNCTION("""COMPUTED_VALUE"""),"-")</f>
        <v>-</v>
      </c>
      <c r="L233" s="27" t="str">
        <f>IFERROR(__xludf.DUMMYFUNCTION("""COMPUTED_VALUE"""),"-")</f>
        <v>-</v>
      </c>
      <c r="M233" s="27" t="str">
        <f>IFERROR(__xludf.DUMMYFUNCTION("""COMPUTED_VALUE"""),"[C]")</f>
        <v>[C]</v>
      </c>
      <c r="N233" s="27" t="str">
        <f>IFERROR(__xludf.DUMMYFUNCTION("""COMPUTED_VALUE"""),"""From now on, I, Zeno, am your master! You must follow my commands and fight for me.""")</f>
        <v>"From now on, I, Zeno, am your master! You must follow my commands and fight for me."</v>
      </c>
      <c r="O233" s="27"/>
      <c r="P233" s="27"/>
      <c r="Q233" s="27"/>
      <c r="R233" s="27"/>
      <c r="S233" s="27"/>
      <c r="T233" s="27"/>
      <c r="U233" s="27"/>
      <c r="V233" s="27"/>
      <c r="W233" s="27"/>
      <c r="X233" s="27"/>
      <c r="Y233" s="27"/>
      <c r="Z233" s="27"/>
    </row>
    <row r="234">
      <c r="A234" s="27" t="str">
        <f>IFERROR(__xludf.DUMMYFUNCTION("""COMPUTED_VALUE"""),"E-210")</f>
        <v>E-210</v>
      </c>
      <c r="B234" s="27" t="str">
        <f>IFERROR(__xludf.DUMMYFUNCTION("""COMPUTED_VALUE"""),"Event")</f>
        <v>Event</v>
      </c>
      <c r="C234" s="27" t="str">
        <f>IFERROR(__xludf.DUMMYFUNCTION("""COMPUTED_VALUE"""),"Kiyo's Gambit")</f>
        <v>Kiyo's Gambit</v>
      </c>
      <c r="D234" s="27" t="str">
        <f>IFERROR(__xludf.DUMMYFUNCTION("""COMPUTED_VALUE"""),"-")</f>
        <v>-</v>
      </c>
      <c r="E234" s="27">
        <f>IFERROR(__xludf.DUMMYFUNCTION("""COMPUTED_VALUE"""),2.0)</f>
        <v>2</v>
      </c>
      <c r="F234" s="27" t="str">
        <f>IFERROR(__xludf.DUMMYFUNCTION("""COMPUTED_VALUE"""),"A")</f>
        <v>A</v>
      </c>
      <c r="G234" s="27" t="str">
        <f>IFERROR(__xludf.DUMMYFUNCTION("""COMPUTED_VALUE"""),"Intermediate")</f>
        <v>Intermediate</v>
      </c>
      <c r="H234" s="27" t="str">
        <f>IFERROR(__xludf.DUMMYFUNCTION("""COMPUTED_VALUE"""),"-")</f>
        <v>-</v>
      </c>
      <c r="I234" s="28" t="str">
        <f>IFERROR(__xludf.DUMMYFUNCTION("""COMPUTED_VALUE"""),"Select 1 card from any page of your opponent's Spell Book without looking (except the card in the last page). Your opponent selects 1 card from any page of their Spell Book (except the currently open pages) and switches that card with the card you selecte"&amp;"d.")</f>
        <v>Select 1 card from any page of your opponent's Spell Book without looking (except the card in the last page). Your opponent selects 1 card from any page of their Spell Book (except the currently open pages) and switches that card with the card you selected.</v>
      </c>
      <c r="J234" s="27" t="str">
        <f>IFERROR(__xludf.DUMMYFUNCTION("""COMPUTED_VALUE"""),"-")</f>
        <v>-</v>
      </c>
      <c r="K234" s="27" t="str">
        <f>IFERROR(__xludf.DUMMYFUNCTION("""COMPUTED_VALUE"""),"-")</f>
        <v>-</v>
      </c>
      <c r="L234" s="27" t="str">
        <f>IFERROR(__xludf.DUMMYFUNCTION("""COMPUTED_VALUE"""),"-")</f>
        <v>-</v>
      </c>
      <c r="M234" s="27" t="str">
        <f>IFERROR(__xludf.DUMMYFUNCTION("""COMPUTED_VALUE"""),"[U]")</f>
        <v>[U]</v>
      </c>
      <c r="N234" s="27" t="str">
        <f>IFERROR(__xludf.DUMMYFUNCTION("""COMPUTED_VALUE"""),"""Li-en, Alishie, Ellie! I'm not gonna let the curse take anyone's life!""")</f>
        <v>"Li-en, Alishie, Ellie! I'm not gonna let the curse take anyone's life!"</v>
      </c>
      <c r="O234" s="27"/>
      <c r="P234" s="27"/>
      <c r="Q234" s="27"/>
      <c r="R234" s="27"/>
      <c r="S234" s="27"/>
      <c r="T234" s="27"/>
      <c r="U234" s="27"/>
      <c r="V234" s="27"/>
      <c r="W234" s="27"/>
      <c r="X234" s="27"/>
      <c r="Y234" s="27"/>
      <c r="Z234" s="27"/>
    </row>
    <row r="235">
      <c r="A235" s="27" t="str">
        <f>IFERROR(__xludf.DUMMYFUNCTION("""COMPUTED_VALUE"""),"E-211ab")</f>
        <v>E-211ab</v>
      </c>
      <c r="B235" s="27" t="str">
        <f>IFERROR(__xludf.DUMMYFUNCTION("""COMPUTED_VALUE"""),"Event")</f>
        <v>Event</v>
      </c>
      <c r="C235" s="27" t="str">
        <f>IFERROR(__xludf.DUMMYFUNCTION("""COMPUTED_VALUE"""),"Leave No One Behind")</f>
        <v>Leave No One Behind</v>
      </c>
      <c r="D235" s="27" t="str">
        <f>IFERROR(__xludf.DUMMYFUNCTION("""COMPUTED_VALUE"""),"-")</f>
        <v>-</v>
      </c>
      <c r="E235" s="27">
        <f>IFERROR(__xludf.DUMMYFUNCTION("""COMPUTED_VALUE"""),4.0)</f>
        <v>4</v>
      </c>
      <c r="F235" s="27" t="str">
        <f>IFERROR(__xludf.DUMMYFUNCTION("""COMPUTED_VALUE"""),"AD")</f>
        <v>AD</v>
      </c>
      <c r="G235" s="27" t="str">
        <f>IFERROR(__xludf.DUMMYFUNCTION("""COMPUTED_VALUE"""),"Superior")</f>
        <v>Superior</v>
      </c>
      <c r="H235" s="27" t="str">
        <f>IFERROR(__xludf.DUMMYFUNCTION("""COMPUTED_VALUE"""),"-")</f>
        <v>-</v>
      </c>
      <c r="I235" s="28" t="str">
        <f>IFERROR(__xludf.DUMMYFUNCTION("""COMPUTED_VALUE"""),"This EVENT card can be played only when both E-211a and E-211b are in the currently open pages of your Spell Book. [STAY] Apply both of the following effects during this game: ● The pages of your Spell Book cannot be turned by effects (except from Damage)"&amp;". ● You can SACRIFICE or PROTECT your Spell Book from the Damage of your opponent's Attacks even when prohibited to do so by your opponent's card effects. ""Guys... I told you to split up..."" ""Don't be stupid, Kiyo! How could we leave you behind?"" ""Ye"&amp;"ah! What're we gonna do without you and Zatch?"" ""You saved Ellie's life! It's my responsibility to save you in turn!""")</f>
        <v>This EVENT card can be played only when both E-211a and E-211b are in the currently open pages of your Spell Book. [STAY] Apply both of the following effects during this game: ● The pages of your Spell Book cannot be turned by effects (except from Damage). ● You can SACRIFICE or PROTECT your Spell Book from the Damage of your opponent's Attacks even when prohibited to do so by your opponent's card effects. "Guys... I told you to split up..." "Don't be stupid, Kiyo! How could we leave you behind?" "Yeah! What're we gonna do without you and Zatch?" "You saved Ellie's life! It's my responsibility to save you in turn!"</v>
      </c>
      <c r="J235" s="27" t="str">
        <f>IFERROR(__xludf.DUMMYFUNCTION("""COMPUTED_VALUE"""),"-")</f>
        <v>-</v>
      </c>
      <c r="K235" s="27" t="str">
        <f>IFERROR(__xludf.DUMMYFUNCTION("""COMPUTED_VALUE"""),"-")</f>
        <v>-</v>
      </c>
      <c r="L235" s="27" t="str">
        <f>IFERROR(__xludf.DUMMYFUNCTION("""COMPUTED_VALUE"""),"-")</f>
        <v>-</v>
      </c>
      <c r="M235" s="27" t="str">
        <f>IFERROR(__xludf.DUMMYFUNCTION("""COMPUTED_VALUE"""),"[SR]")</f>
        <v>[SR]</v>
      </c>
      <c r="N235" s="27" t="str">
        <f>IFERROR(__xludf.DUMMYFUNCTION("""COMPUTED_VALUE"""),"""We've got less than two minutes! We're all in this together!""")</f>
        <v>"We've got less than two minutes! We're all in this together!"</v>
      </c>
      <c r="O235" s="27"/>
      <c r="P235" s="27"/>
      <c r="Q235" s="27"/>
      <c r="R235" s="27"/>
      <c r="S235" s="27"/>
      <c r="T235" s="27"/>
      <c r="U235" s="27"/>
      <c r="V235" s="27"/>
      <c r="W235" s="27"/>
      <c r="X235" s="27"/>
      <c r="Y235" s="27"/>
      <c r="Z235" s="27"/>
    </row>
    <row r="236">
      <c r="A236" s="27" t="str">
        <f>IFERROR(__xludf.DUMMYFUNCTION("""COMPUTED_VALUE"""),"E-212")</f>
        <v>E-212</v>
      </c>
      <c r="B236" s="27" t="str">
        <f>IFERROR(__xludf.DUMMYFUNCTION("""COMPUTED_VALUE"""),"Event")</f>
        <v>Event</v>
      </c>
      <c r="C236" s="27" t="str">
        <f>IFERROR(__xludf.DUMMYFUNCTION("""COMPUTED_VALUE"""),"We'll Be Safe Here!")</f>
        <v>We'll Be Safe Here!</v>
      </c>
      <c r="D236" s="27" t="str">
        <f>IFERROR(__xludf.DUMMYFUNCTION("""COMPUTED_VALUE"""),"-")</f>
        <v>-</v>
      </c>
      <c r="E236" s="27">
        <f>IFERROR(__xludf.DUMMYFUNCTION("""COMPUTED_VALUE"""),2.0)</f>
        <v>2</v>
      </c>
      <c r="F236" s="27" t="str">
        <f>IFERROR(__xludf.DUMMYFUNCTION("""COMPUTED_VALUE"""),"D")</f>
        <v>D</v>
      </c>
      <c r="G236" s="27" t="str">
        <f>IFERROR(__xludf.DUMMYFUNCTION("""COMPUTED_VALUE"""),"None")</f>
        <v>None</v>
      </c>
      <c r="H236" s="27" t="str">
        <f>IFERROR(__xludf.DUMMYFUNCTION("""COMPUTED_VALUE"""),"-")</f>
        <v>-</v>
      </c>
      <c r="I236" s="28" t="str">
        <f>IFERROR(__xludf.DUMMYFUNCTION("""COMPUTED_VALUE"""),"Negate your opponent's Attack in the Battle.")</f>
        <v>Negate your opponent's Attack in the Battle.</v>
      </c>
      <c r="J236" s="27" t="str">
        <f>IFERROR(__xludf.DUMMYFUNCTION("""COMPUTED_VALUE"""),"-")</f>
        <v>-</v>
      </c>
      <c r="K236" s="27" t="str">
        <f>IFERROR(__xludf.DUMMYFUNCTION("""COMPUTED_VALUE"""),"-")</f>
        <v>-</v>
      </c>
      <c r="L236" s="27" t="str">
        <f>IFERROR(__xludf.DUMMYFUNCTION("""COMPUTED_VALUE"""),"-")</f>
        <v>-</v>
      </c>
      <c r="M236" s="27" t="str">
        <f>IFERROR(__xludf.DUMMYFUNCTION("""COMPUTED_VALUE"""),"[R]")</f>
        <v>[R]</v>
      </c>
      <c r="N236" s="27" t="str">
        <f>IFERROR(__xludf.DUMMYFUNCTION("""COMPUTED_VALUE"""),"""Hey, Megumi... Why don't you guys come over here too? It's really warm here!""")</f>
        <v>"Hey, Megumi... Why don't you guys come over here too? It's really warm here!"</v>
      </c>
      <c r="O236" s="27"/>
      <c r="P236" s="27"/>
      <c r="Q236" s="27"/>
      <c r="R236" s="27"/>
      <c r="S236" s="27"/>
      <c r="T236" s="27"/>
      <c r="U236" s="27"/>
      <c r="V236" s="27"/>
      <c r="W236" s="27"/>
      <c r="X236" s="27"/>
      <c r="Y236" s="27"/>
      <c r="Z236" s="27"/>
    </row>
    <row r="237">
      <c r="A237" s="27" t="str">
        <f>IFERROR(__xludf.DUMMYFUNCTION("""COMPUTED_VALUE"""),"E-213")</f>
        <v>E-213</v>
      </c>
      <c r="B237" s="27" t="str">
        <f>IFERROR(__xludf.DUMMYFUNCTION("""COMPUTED_VALUE"""),"Event")</f>
        <v>Event</v>
      </c>
      <c r="C237" s="27" t="str">
        <f>IFERROR(__xludf.DUMMYFUNCTION("""COMPUTED_VALUE"""),"Banzai")</f>
        <v>Banzai</v>
      </c>
      <c r="D237" s="27" t="str">
        <f>IFERROR(__xludf.DUMMYFUNCTION("""COMPUTED_VALUE"""),"-")</f>
        <v>-</v>
      </c>
      <c r="E237" s="27">
        <f>IFERROR(__xludf.DUMMYFUNCTION("""COMPUTED_VALUE"""),2.0)</f>
        <v>2</v>
      </c>
      <c r="F237" s="27" t="str">
        <f>IFERROR(__xludf.DUMMYFUNCTION("""COMPUTED_VALUE"""),"AD")</f>
        <v>AD</v>
      </c>
      <c r="G237" s="27" t="str">
        <f>IFERROR(__xludf.DUMMYFUNCTION("""COMPUTED_VALUE"""),"None")</f>
        <v>None</v>
      </c>
      <c r="H237" s="27" t="str">
        <f>IFERROR(__xludf.DUMMYFUNCTION("""COMPUTED_VALUE"""),"-")</f>
        <v>-</v>
      </c>
      <c r="I237" s="28" t="str">
        <f>IFERROR(__xludf.DUMMYFUNCTION("""COMPUTED_VALUE"""),"Negate 1 effect of the EVENT card your opponent just played.")</f>
        <v>Negate 1 effect of the EVENT card your opponent just played.</v>
      </c>
      <c r="J237" s="27" t="str">
        <f>IFERROR(__xludf.DUMMYFUNCTION("""COMPUTED_VALUE"""),"-")</f>
        <v>-</v>
      </c>
      <c r="K237" s="27" t="str">
        <f>IFERROR(__xludf.DUMMYFUNCTION("""COMPUTED_VALUE"""),"-")</f>
        <v>-</v>
      </c>
      <c r="L237" s="27" t="str">
        <f>IFERROR(__xludf.DUMMYFUNCTION("""COMPUTED_VALUE"""),"-")</f>
        <v>-</v>
      </c>
      <c r="M237" s="27" t="str">
        <f>IFERROR(__xludf.DUMMYFUNCTION("""COMPUTED_VALUE"""),"[R]")</f>
        <v>[R]</v>
      </c>
      <c r="N237" s="27" t="str">
        <f>IFERROR(__xludf.DUMMYFUNCTION("""COMPUTED_VALUE"""),"""I actually panicked just now... I really thought...I was done for...""")</f>
        <v>"I actually panicked just now... I really thought...I was done for..."</v>
      </c>
      <c r="O237" s="27"/>
      <c r="P237" s="27"/>
      <c r="Q237" s="27"/>
      <c r="R237" s="27"/>
      <c r="S237" s="27"/>
      <c r="T237" s="27"/>
      <c r="U237" s="27"/>
      <c r="V237" s="27"/>
      <c r="W237" s="27"/>
      <c r="X237" s="27"/>
      <c r="Y237" s="27"/>
      <c r="Z237" s="27"/>
    </row>
    <row r="238">
      <c r="A238" s="27" t="str">
        <f>IFERROR(__xludf.DUMMYFUNCTION("""COMPUTED_VALUE"""),"E-214")</f>
        <v>E-214</v>
      </c>
      <c r="B238" s="27" t="str">
        <f>IFERROR(__xludf.DUMMYFUNCTION("""COMPUTED_VALUE"""),"Event")</f>
        <v>Event</v>
      </c>
      <c r="C238" s="27" t="str">
        <f>IFERROR(__xludf.DUMMYFUNCTION("""COMPUTED_VALUE"""),"Precious People...")</f>
        <v>Precious People...</v>
      </c>
      <c r="D238" s="27" t="str">
        <f>IFERROR(__xludf.DUMMYFUNCTION("""COMPUTED_VALUE"""),"-")</f>
        <v>-</v>
      </c>
      <c r="E238" s="27">
        <f>IFERROR(__xludf.DUMMYFUNCTION("""COMPUTED_VALUE"""),3.0)</f>
        <v>3</v>
      </c>
      <c r="F238" s="27" t="str">
        <f>IFERROR(__xludf.DUMMYFUNCTION("""COMPUTED_VALUE"""),"A")</f>
        <v>A</v>
      </c>
      <c r="G238" s="27" t="str">
        <f>IFERROR(__xludf.DUMMYFUNCTION("""COMPUTED_VALUE"""),"None")</f>
        <v>None</v>
      </c>
      <c r="H238" s="27" t="str">
        <f>IFERROR(__xludf.DUMMYFUNCTION("""COMPUTED_VALUE"""),"-")</f>
        <v>-</v>
      </c>
      <c r="I238" s="28" t="str">
        <f>IFERROR(__xludf.DUMMYFUNCTION("""COMPUTED_VALUE"""),"[STAY] During this game, your opponent can neither apply effects that turn pages of your Spell Book, nor can they apply effects that send cards from the pages of your Spell Book to the Discard Pile.")</f>
        <v>[STAY] During this game, your opponent can neither apply effects that turn pages of your Spell Book, nor can they apply effects that send cards from the pages of your Spell Book to the Discard Pile.</v>
      </c>
      <c r="J238" s="27" t="str">
        <f>IFERROR(__xludf.DUMMYFUNCTION("""COMPUTED_VALUE"""),"-")</f>
        <v>-</v>
      </c>
      <c r="K238" s="27" t="str">
        <f>IFERROR(__xludf.DUMMYFUNCTION("""COMPUTED_VALUE"""),"-")</f>
        <v>-</v>
      </c>
      <c r="L238" s="27" t="str">
        <f>IFERROR(__xludf.DUMMYFUNCTION("""COMPUTED_VALUE"""),"-")</f>
        <v>-</v>
      </c>
      <c r="M238" s="27" t="str">
        <f>IFERROR(__xludf.DUMMYFUNCTION("""COMPUTED_VALUE"""),"[U]")</f>
        <v>[U]</v>
      </c>
      <c r="N238" s="27" t="str">
        <f>IFERROR(__xludf.DUMMYFUNCTION("""COMPUTED_VALUE"""),"""I won't let...Riou destroy Japan. I won't let him...doom all of the precious people who live there.")</f>
        <v>"I won't let...Riou destroy Japan. I won't let him...doom all of the precious people who live there.</v>
      </c>
      <c r="O238" s="27"/>
      <c r="P238" s="27"/>
      <c r="Q238" s="27"/>
      <c r="R238" s="27"/>
      <c r="S238" s="27"/>
      <c r="T238" s="27"/>
      <c r="U238" s="27"/>
      <c r="V238" s="27"/>
      <c r="W238" s="27"/>
      <c r="X238" s="27"/>
      <c r="Y238" s="27"/>
      <c r="Z238" s="27"/>
    </row>
    <row r="239">
      <c r="A239" s="27" t="str">
        <f>IFERROR(__xludf.DUMMYFUNCTION("""COMPUTED_VALUE"""),"E-215")</f>
        <v>E-215</v>
      </c>
      <c r="B239" s="27" t="str">
        <f>IFERROR(__xludf.DUMMYFUNCTION("""COMPUTED_VALUE"""),"Event")</f>
        <v>Event</v>
      </c>
      <c r="C239" s="27" t="str">
        <f>IFERROR(__xludf.DUMMYFUNCTION("""COMPUTED_VALUE"""),"A Voice Unheard")</f>
        <v>A Voice Unheard</v>
      </c>
      <c r="D239" s="27" t="str">
        <f>IFERROR(__xludf.DUMMYFUNCTION("""COMPUTED_VALUE"""),"-")</f>
        <v>-</v>
      </c>
      <c r="E239" s="27">
        <f>IFERROR(__xludf.DUMMYFUNCTION("""COMPUTED_VALUE"""),1.0)</f>
        <v>1</v>
      </c>
      <c r="F239" s="27" t="str">
        <f>IFERROR(__xludf.DUMMYFUNCTION("""COMPUTED_VALUE"""),"AD")</f>
        <v>AD</v>
      </c>
      <c r="G239" s="27" t="str">
        <f>IFERROR(__xludf.DUMMYFUNCTION("""COMPUTED_VALUE"""),"None")</f>
        <v>None</v>
      </c>
      <c r="H239" s="27" t="str">
        <f>IFERROR(__xludf.DUMMYFUNCTION("""COMPUTED_VALUE"""),"-")</f>
        <v>-</v>
      </c>
      <c r="I239" s="28" t="str">
        <f>IFERROR(__xludf.DUMMYFUNCTION("""COMPUTED_VALUE"""),"[STAY] Your opponent cannot move cards from their Discard Pile into play or into empty pages of their Spell Book during this game.")</f>
        <v>[STAY] Your opponent cannot move cards from their Discard Pile into play or into empty pages of their Spell Book during this game.</v>
      </c>
      <c r="J239" s="27" t="str">
        <f>IFERROR(__xludf.DUMMYFUNCTION("""COMPUTED_VALUE"""),"-")</f>
        <v>-</v>
      </c>
      <c r="K239" s="27" t="str">
        <f>IFERROR(__xludf.DUMMYFUNCTION("""COMPUTED_VALUE"""),"-")</f>
        <v>-</v>
      </c>
      <c r="L239" s="27" t="str">
        <f>IFERROR(__xludf.DUMMYFUNCTION("""COMPUTED_VALUE"""),"-")</f>
        <v>-</v>
      </c>
      <c r="M239" s="27" t="str">
        <f>IFERROR(__xludf.DUMMYFUNCTION("""COMPUTED_VALUE"""),"[C]")</f>
        <v>[C]</v>
      </c>
      <c r="N239" s="27" t="str">
        <f>IFERROR(__xludf.DUMMYFUNCTION("""COMPUTED_VALUE"""),"""You said you'd fight by my side until I became the king! What are you, a liar?! I know you don't want to be called a liar, so please...wake up now!""")</f>
        <v>"You said you'd fight by my side until I became the king! What are you, a liar?! I know you don't want to be called a liar, so please...wake up now!"</v>
      </c>
      <c r="O239" s="27"/>
      <c r="P239" s="27"/>
      <c r="Q239" s="27"/>
      <c r="R239" s="27"/>
      <c r="S239" s="27"/>
      <c r="T239" s="27"/>
      <c r="U239" s="27"/>
      <c r="V239" s="27"/>
      <c r="W239" s="27"/>
      <c r="X239" s="27"/>
      <c r="Y239" s="27"/>
      <c r="Z239" s="27"/>
    </row>
    <row r="240">
      <c r="A240" s="27" t="str">
        <f>IFERROR(__xludf.DUMMYFUNCTION("""COMPUTED_VALUE"""),"E-216")</f>
        <v>E-216</v>
      </c>
      <c r="B240" s="27" t="str">
        <f>IFERROR(__xludf.DUMMYFUNCTION("""COMPUTED_VALUE"""),"Event")</f>
        <v>Event</v>
      </c>
      <c r="C240" s="27" t="str">
        <f>IFERROR(__xludf.DUMMYFUNCTION("""COMPUTED_VALUE"""),"Mouth-to-Mouth")</f>
        <v>Mouth-to-Mouth</v>
      </c>
      <c r="D240" s="27" t="str">
        <f>IFERROR(__xludf.DUMMYFUNCTION("""COMPUTED_VALUE"""),"-")</f>
        <v>-</v>
      </c>
      <c r="E240" s="27">
        <f>IFERROR(__xludf.DUMMYFUNCTION("""COMPUTED_VALUE"""),1.0)</f>
        <v>1</v>
      </c>
      <c r="F240" s="27" t="str">
        <f>IFERROR(__xludf.DUMMYFUNCTION("""COMPUTED_VALUE"""),"AD")</f>
        <v>AD</v>
      </c>
      <c r="G240" s="27" t="str">
        <f>IFERROR(__xludf.DUMMYFUNCTION("""COMPUTED_VALUE"""),"None")</f>
        <v>None</v>
      </c>
      <c r="H240" s="27" t="str">
        <f>IFERROR(__xludf.DUMMYFUNCTION("""COMPUTED_VALUE"""),"-")</f>
        <v>-</v>
      </c>
      <c r="I240" s="28" t="str">
        <f>IFERROR(__xludf.DUMMYFUNCTION("""COMPUTED_VALUE"""),"Move 1 MAMODO or PARTNER card from your Discard Pile into play. Then, reduce both players' MP by 2.")</f>
        <v>Move 1 MAMODO or PARTNER card from your Discard Pile into play. Then, reduce both players' MP by 2.</v>
      </c>
      <c r="J240" s="27" t="str">
        <f>IFERROR(__xludf.DUMMYFUNCTION("""COMPUTED_VALUE"""),"-")</f>
        <v>-</v>
      </c>
      <c r="K240" s="27" t="str">
        <f>IFERROR(__xludf.DUMMYFUNCTION("""COMPUTED_VALUE"""),"-")</f>
        <v>-</v>
      </c>
      <c r="L240" s="27" t="str">
        <f>IFERROR(__xludf.DUMMYFUNCTION("""COMPUTED_VALUE"""),"-")</f>
        <v>-</v>
      </c>
      <c r="M240" s="27" t="str">
        <f>IFERROR(__xludf.DUMMYFUNCTION("""COMPUTED_VALUE"""),"[C]")</f>
        <v>[C]</v>
      </c>
      <c r="N240" s="27" t="str">
        <f>IFERROR(__xludf.DUMMYFUNCTION("""COMPUTED_VALUE"""),"""This is your chance, Megumi! A big chance has came!""")</f>
        <v>"This is your chance, Megumi! A big chance has came!"</v>
      </c>
      <c r="O240" s="27"/>
      <c r="P240" s="27"/>
      <c r="Q240" s="27"/>
      <c r="R240" s="27"/>
      <c r="S240" s="27"/>
      <c r="T240" s="27"/>
      <c r="U240" s="27"/>
      <c r="V240" s="27"/>
      <c r="W240" s="27"/>
      <c r="X240" s="27"/>
      <c r="Y240" s="27"/>
      <c r="Z240" s="27"/>
    </row>
    <row r="241">
      <c r="A241" s="27" t="str">
        <f>IFERROR(__xludf.DUMMYFUNCTION("""COMPUTED_VALUE"""),"E-217")</f>
        <v>E-217</v>
      </c>
      <c r="B241" s="27" t="str">
        <f>IFERROR(__xludf.DUMMYFUNCTION("""COMPUTED_VALUE"""),"Event")</f>
        <v>Event</v>
      </c>
      <c r="C241" s="27" t="str">
        <f>IFERROR(__xludf.DUMMYFUNCTION("""COMPUTED_VALUE"""),"Faudo's Recovery Fluid")</f>
        <v>Faudo's Recovery Fluid</v>
      </c>
      <c r="D241" s="27" t="str">
        <f>IFERROR(__xludf.DUMMYFUNCTION("""COMPUTED_VALUE"""),"-")</f>
        <v>-</v>
      </c>
      <c r="E241" s="27">
        <f>IFERROR(__xludf.DUMMYFUNCTION("""COMPUTED_VALUE"""),0.0)</f>
        <v>0</v>
      </c>
      <c r="F241" s="27" t="str">
        <f>IFERROR(__xludf.DUMMYFUNCTION("""COMPUTED_VALUE"""),"A")</f>
        <v>A</v>
      </c>
      <c r="G241" s="27" t="str">
        <f>IFERROR(__xludf.DUMMYFUNCTION("""COMPUTED_VALUE"""),"None")</f>
        <v>None</v>
      </c>
      <c r="H241" s="27" t="str">
        <f>IFERROR(__xludf.DUMMYFUNCTION("""COMPUTED_VALUE"""),"-")</f>
        <v>-</v>
      </c>
      <c r="I241" s="28" t="str">
        <f>IFERROR(__xludf.DUMMYFUNCTION("""COMPUTED_VALUE"""),"This EVENT card can be played only if either player has successfully played E-189 Liver Tank during this game. Apply both of the following effects in any order: ● Turn 1 of your in-play MAMODO cards to Normal Status ● Get 3 MP.")</f>
        <v>This EVENT card can be played only if either player has successfully played E-189 Liver Tank during this game. Apply both of the following effects in any order: ● Turn 1 of your in-play MAMODO cards to Normal Status ● Get 3 MP.</v>
      </c>
      <c r="J241" s="27" t="str">
        <f>IFERROR(__xludf.DUMMYFUNCTION("""COMPUTED_VALUE"""),"-")</f>
        <v>-</v>
      </c>
      <c r="K241" s="27" t="str">
        <f>IFERROR(__xludf.DUMMYFUNCTION("""COMPUTED_VALUE"""),"-")</f>
        <v>-</v>
      </c>
      <c r="L241" s="27" t="str">
        <f>IFERROR(__xludf.DUMMYFUNCTION("""COMPUTED_VALUE"""),"-")</f>
        <v>-</v>
      </c>
      <c r="M241" s="27" t="str">
        <f>IFERROR(__xludf.DUMMYFUNCTION("""COMPUTED_VALUE"""),"[C]")</f>
        <v>[C]</v>
      </c>
      <c r="N241" s="27" t="str">
        <f>IFERROR(__xludf.DUMMYFUNCTION("""COMPUTED_VALUE"""),"""Hmph...all my wounds can finally heal...""")</f>
        <v>"Hmph...all my wounds can finally heal..."</v>
      </c>
      <c r="O241" s="27"/>
      <c r="P241" s="27"/>
      <c r="Q241" s="27"/>
      <c r="R241" s="27"/>
      <c r="S241" s="27"/>
      <c r="T241" s="27"/>
      <c r="U241" s="27"/>
      <c r="V241" s="27"/>
      <c r="W241" s="27"/>
      <c r="X241" s="27"/>
      <c r="Y241" s="27"/>
      <c r="Z241" s="27"/>
    </row>
    <row r="242">
      <c r="A242" s="27" t="str">
        <f>IFERROR(__xludf.DUMMYFUNCTION("""COMPUTED_VALUE"""),"E-218")</f>
        <v>E-218</v>
      </c>
      <c r="B242" s="27" t="str">
        <f>IFERROR(__xludf.DUMMYFUNCTION("""COMPUTED_VALUE"""),"Event")</f>
        <v>Event</v>
      </c>
      <c r="C242" s="27" t="str">
        <f>IFERROR(__xludf.DUMMYFUNCTION("""COMPUTED_VALUE"""),"Faudo's Key")</f>
        <v>Faudo's Key</v>
      </c>
      <c r="D242" s="27" t="str">
        <f>IFERROR(__xludf.DUMMYFUNCTION("""COMPUTED_VALUE"""),"-")</f>
        <v>-</v>
      </c>
      <c r="E242" s="27">
        <f>IFERROR(__xludf.DUMMYFUNCTION("""COMPUTED_VALUE"""),3.0)</f>
        <v>3</v>
      </c>
      <c r="F242" s="27" t="str">
        <f>IFERROR(__xludf.DUMMYFUNCTION("""COMPUTED_VALUE"""),"A")</f>
        <v>A</v>
      </c>
      <c r="G242" s="27" t="str">
        <f>IFERROR(__xludf.DUMMYFUNCTION("""COMPUTED_VALUE"""),"Intermediate")</f>
        <v>Intermediate</v>
      </c>
      <c r="H242" s="27" t="str">
        <f>IFERROR(__xludf.DUMMYFUNCTION("""COMPUTED_VALUE"""),"-")</f>
        <v>-</v>
      </c>
      <c r="I242" s="28" t="str">
        <f>IFERROR(__xludf.DUMMYFUNCTION("""COMPUTED_VALUE"""),"[STAY] During this game, ""Internal Faudo Event"" EVENT card [Stay] effects are not negated when ""Internal Faudo Event"" EVENT cards are played.")</f>
        <v>[STAY] During this game, "Internal Faudo Event" EVENT card [Stay] effects are not negated when "Internal Faudo Event" EVENT cards are played.</v>
      </c>
      <c r="J242" s="27" t="str">
        <f>IFERROR(__xludf.DUMMYFUNCTION("""COMPUTED_VALUE"""),"-")</f>
        <v>-</v>
      </c>
      <c r="K242" s="27" t="str">
        <f>IFERROR(__xludf.DUMMYFUNCTION("""COMPUTED_VALUE"""),"-")</f>
        <v>-</v>
      </c>
      <c r="L242" s="27" t="str">
        <f>IFERROR(__xludf.DUMMYFUNCTION("""COMPUTED_VALUE"""),"-")</f>
        <v>-</v>
      </c>
      <c r="M242" s="27" t="str">
        <f>IFERROR(__xludf.DUMMYFUNCTION("""COMPUTED_VALUE"""),"[R]")</f>
        <v>[R]</v>
      </c>
      <c r="N242" s="27" t="str">
        <f>IFERROR(__xludf.DUMMYFUNCTION("""COMPUTED_VALUE"""),"""Hmm, how convenient. This keystone sends signals into my brain, and gives me instructions on how to control Faudo.""")</f>
        <v>"Hmm, how convenient. This keystone sends signals into my brain, and gives me instructions on how to control Faudo."</v>
      </c>
      <c r="O242" s="27"/>
      <c r="P242" s="27"/>
      <c r="Q242" s="27"/>
      <c r="R242" s="27"/>
      <c r="S242" s="27"/>
      <c r="T242" s="27"/>
      <c r="U242" s="27"/>
      <c r="V242" s="27"/>
      <c r="W242" s="27"/>
      <c r="X242" s="27"/>
      <c r="Y242" s="27"/>
      <c r="Z242" s="27"/>
    </row>
    <row r="243">
      <c r="A243" s="27" t="str">
        <f>IFERROR(__xludf.DUMMYFUNCTION("""COMPUTED_VALUE"""),"E-219")</f>
        <v>E-219</v>
      </c>
      <c r="B243" s="27" t="str">
        <f>IFERROR(__xludf.DUMMYFUNCTION("""COMPUTED_VALUE"""),"Event")</f>
        <v>Event</v>
      </c>
      <c r="C243" s="27" t="str">
        <f>IFERROR(__xludf.DUMMYFUNCTION("""COMPUTED_VALUE"""),"Poosophagus (Powered-Up)")</f>
        <v>Poosophagus (Powered-Up)</v>
      </c>
      <c r="D243" s="27" t="str">
        <f>IFERROR(__xludf.DUMMYFUNCTION("""COMPUTED_VALUE"""),"-")</f>
        <v>-</v>
      </c>
      <c r="E243" s="27">
        <f>IFERROR(__xludf.DUMMYFUNCTION("""COMPUTED_VALUE"""),0.0)</f>
        <v>0</v>
      </c>
      <c r="F243" s="27" t="str">
        <f>IFERROR(__xludf.DUMMYFUNCTION("""COMPUTED_VALUE"""),"AD")</f>
        <v>AD</v>
      </c>
      <c r="G243" s="27" t="str">
        <f>IFERROR(__xludf.DUMMYFUNCTION("""COMPUTED_VALUE"""),"None")</f>
        <v>None</v>
      </c>
      <c r="H243" s="27" t="str">
        <f>IFERROR(__xludf.DUMMYFUNCTION("""COMPUTED_VALUE"""),"-")</f>
        <v>-</v>
      </c>
      <c r="I243" s="28" t="str">
        <f>IFERROR(__xludf.DUMMYFUNCTION("""COMPUTED_VALUE"""),"This EVENT card can be played only if your opponent has 8 MP or more. Reduce your opponent's MP to 0.")</f>
        <v>This EVENT card can be played only if your opponent has 8 MP or more. Reduce your opponent's MP to 0.</v>
      </c>
      <c r="J243" s="27" t="str">
        <f>IFERROR(__xludf.DUMMYFUNCTION("""COMPUTED_VALUE"""),"-")</f>
        <v>-</v>
      </c>
      <c r="K243" s="27" t="str">
        <f>IFERROR(__xludf.DUMMYFUNCTION("""COMPUTED_VALUE"""),"-")</f>
        <v>-</v>
      </c>
      <c r="L243" s="27" t="str">
        <f>IFERROR(__xludf.DUMMYFUNCTION("""COMPUTED_VALUE"""),"-")</f>
        <v>-</v>
      </c>
      <c r="M243" s="27" t="str">
        <f>IFERROR(__xludf.DUMMYFUNCTION("""COMPUTED_VALUE"""),"[R]")</f>
        <v>[R]</v>
      </c>
      <c r="N243" s="27" t="str">
        <f>IFERROR(__xludf.DUMMYFUNCTION("""COMPUTED_VALUE"""),"""We already know who's chasing after us! He's the guy who made us suffer at the back of Faudo's throat: Poosophagus, Faudo's Gatekeeper!""")</f>
        <v>"We already know who's chasing after us! He's the guy who made us suffer at the back of Faudo's throat: Poosophagus, Faudo's Gatekeeper!"</v>
      </c>
      <c r="O243" s="27"/>
      <c r="P243" s="27"/>
      <c r="Q243" s="27"/>
      <c r="R243" s="27"/>
      <c r="S243" s="27"/>
      <c r="T243" s="27"/>
      <c r="U243" s="27"/>
      <c r="V243" s="27"/>
      <c r="W243" s="27"/>
      <c r="X243" s="27"/>
      <c r="Y243" s="27"/>
      <c r="Z243" s="27"/>
    </row>
    <row r="244">
      <c r="A244" s="27" t="str">
        <f>IFERROR(__xludf.DUMMYFUNCTION("""COMPUTED_VALUE"""),"E-220")</f>
        <v>E-220</v>
      </c>
      <c r="B244" s="27" t="str">
        <f>IFERROR(__xludf.DUMMYFUNCTION("""COMPUTED_VALUE"""),"Event")</f>
        <v>Event</v>
      </c>
      <c r="C244" s="27" t="str">
        <f>IFERROR(__xludf.DUMMYFUNCTION("""COMPUTED_VALUE"""),"The Last Smile")</f>
        <v>The Last Smile</v>
      </c>
      <c r="D244" s="27" t="str">
        <f>IFERROR(__xludf.DUMMYFUNCTION("""COMPUTED_VALUE"""),"-")</f>
        <v>-</v>
      </c>
      <c r="E244" s="27">
        <f>IFERROR(__xludf.DUMMYFUNCTION("""COMPUTED_VALUE"""),1.0)</f>
        <v>1</v>
      </c>
      <c r="F244" s="27" t="str">
        <f>IFERROR(__xludf.DUMMYFUNCTION("""COMPUTED_VALUE"""),"AD")</f>
        <v>AD</v>
      </c>
      <c r="G244" s="27" t="str">
        <f>IFERROR(__xludf.DUMMYFUNCTION("""COMPUTED_VALUE"""),"None")</f>
        <v>None</v>
      </c>
      <c r="H244" s="27" t="str">
        <f>IFERROR(__xludf.DUMMYFUNCTION("""COMPUTED_VALUE"""),"-")</f>
        <v>-</v>
      </c>
      <c r="I244" s="28" t="str">
        <f>IFERROR(__xludf.DUMMYFUNCTION("""COMPUTED_VALUE"""),"Negate the MAMODO or PARTNER card effect your opponent just applied, OR the EVENT card your opponent just played. Your opponent may negate this EVENT card by sending 1 of their in-play MAMODO cards to the Discard Pile.")</f>
        <v>Negate the MAMODO or PARTNER card effect your opponent just applied, OR the EVENT card your opponent just played. Your opponent may negate this EVENT card by sending 1 of their in-play MAMODO cards to the Discard Pile.</v>
      </c>
      <c r="J244" s="27" t="str">
        <f>IFERROR(__xludf.DUMMYFUNCTION("""COMPUTED_VALUE"""),"-")</f>
        <v>-</v>
      </c>
      <c r="K244" s="27" t="str">
        <f>IFERROR(__xludf.DUMMYFUNCTION("""COMPUTED_VALUE"""),"-")</f>
        <v>-</v>
      </c>
      <c r="L244" s="27" t="str">
        <f>IFERROR(__xludf.DUMMYFUNCTION("""COMPUTED_VALUE"""),"-")</f>
        <v>-</v>
      </c>
      <c r="M244" s="27" t="str">
        <f>IFERROR(__xludf.DUMMYFUNCTION("""COMPUTED_VALUE"""),"[U]")</f>
        <v>[U]</v>
      </c>
      <c r="N244" s="27" t="str">
        <f>IFERROR(__xludf.DUMMYFUNCTION("""COMPUTED_VALUE"""),"""I'm...so...glad.""")</f>
        <v>"I'm...so...glad."</v>
      </c>
      <c r="O244" s="27"/>
      <c r="P244" s="27"/>
      <c r="Q244" s="27"/>
      <c r="R244" s="27"/>
      <c r="S244" s="27"/>
      <c r="T244" s="27"/>
      <c r="U244" s="27"/>
      <c r="V244" s="27"/>
      <c r="W244" s="27"/>
      <c r="X244" s="27"/>
      <c r="Y244" s="27"/>
      <c r="Z244" s="27"/>
    </row>
    <row r="245">
      <c r="A245" s="27" t="str">
        <f>IFERROR(__xludf.DUMMYFUNCTION("""COMPUTED_VALUE"""),"E-221")</f>
        <v>E-221</v>
      </c>
      <c r="B245" s="27" t="str">
        <f>IFERROR(__xludf.DUMMYFUNCTION("""COMPUTED_VALUE"""),"Event")</f>
        <v>Event</v>
      </c>
      <c r="C245" s="27" t="str">
        <f>IFERROR(__xludf.DUMMYFUNCTION("""COMPUTED_VALUE"""),"The Last Defense")</f>
        <v>The Last Defense</v>
      </c>
      <c r="D245" s="27" t="str">
        <f>IFERROR(__xludf.DUMMYFUNCTION("""COMPUTED_VALUE"""),"-")</f>
        <v>-</v>
      </c>
      <c r="E245" s="27">
        <f>IFERROR(__xludf.DUMMYFUNCTION("""COMPUTED_VALUE"""),1.0)</f>
        <v>1</v>
      </c>
      <c r="F245" s="27" t="str">
        <f>IFERROR(__xludf.DUMMYFUNCTION("""COMPUTED_VALUE"""),"A")</f>
        <v>A</v>
      </c>
      <c r="G245" s="27" t="str">
        <f>IFERROR(__xludf.DUMMYFUNCTION("""COMPUTED_VALUE"""),"None")</f>
        <v>None</v>
      </c>
      <c r="H245" s="27" t="str">
        <f>IFERROR(__xludf.DUMMYFUNCTION("""COMPUTED_VALUE"""),"-")</f>
        <v>-</v>
      </c>
      <c r="I245" s="28" t="str">
        <f>IFERROR(__xludf.DUMMYFUNCTION("""COMPUTED_VALUE"""),"[STANDBY] Only once during this game (per player), when you are turning pages as a result of Damage or your opponent's card effects and are about to pass the last page, stop turning pages once you've reached the last page.")</f>
        <v>[STANDBY] Only once during this game (per player), when you are turning pages as a result of Damage or your opponent's card effects and are about to pass the last page, stop turning pages once you've reached the last page.</v>
      </c>
      <c r="J245" s="27" t="str">
        <f>IFERROR(__xludf.DUMMYFUNCTION("""COMPUTED_VALUE"""),"-")</f>
        <v>-</v>
      </c>
      <c r="K245" s="27" t="str">
        <f>IFERROR(__xludf.DUMMYFUNCTION("""COMPUTED_VALUE"""),"-")</f>
        <v>-</v>
      </c>
      <c r="L245" s="27" t="str">
        <f>IFERROR(__xludf.DUMMYFUNCTION("""COMPUTED_VALUE"""),"-")</f>
        <v>-</v>
      </c>
      <c r="M245" s="27" t="str">
        <f>IFERROR(__xludf.DUMMYFUNCTION("""COMPUTED_VALUE"""),"[U]")</f>
        <v>[U]</v>
      </c>
      <c r="N245" s="27" t="str">
        <f>IFERROR(__xludf.DUMMYFUNCTION("""COMPUTED_VALUE"""),"""He went away, but...I know this for sure...Wonrei protected us...""")</f>
        <v>"He went away, but...I know this for sure...Wonrei protected us..."</v>
      </c>
      <c r="O245" s="27"/>
      <c r="P245" s="27"/>
      <c r="Q245" s="27"/>
      <c r="R245" s="27"/>
      <c r="S245" s="27"/>
      <c r="T245" s="27"/>
      <c r="U245" s="27"/>
      <c r="V245" s="27"/>
      <c r="W245" s="27"/>
      <c r="X245" s="27"/>
      <c r="Y245" s="27"/>
      <c r="Z245" s="27"/>
    </row>
    <row r="246">
      <c r="A246" s="27" t="str">
        <f>IFERROR(__xludf.DUMMYFUNCTION("""COMPUTED_VALUE"""),"E-222")</f>
        <v>E-222</v>
      </c>
      <c r="B246" s="27" t="str">
        <f>IFERROR(__xludf.DUMMYFUNCTION("""COMPUTED_VALUE"""),"Event")</f>
        <v>Event</v>
      </c>
      <c r="C246" s="27" t="str">
        <f>IFERROR(__xludf.DUMMYFUNCTION("""COMPUTED_VALUE"""),"We Finally Meet...")</f>
        <v>We Finally Meet...</v>
      </c>
      <c r="D246" s="27" t="str">
        <f>IFERROR(__xludf.DUMMYFUNCTION("""COMPUTED_VALUE"""),"-")</f>
        <v>-</v>
      </c>
      <c r="E246" s="27">
        <f>IFERROR(__xludf.DUMMYFUNCTION("""COMPUTED_VALUE"""),0.0)</f>
        <v>0</v>
      </c>
      <c r="F246" s="27" t="str">
        <f>IFERROR(__xludf.DUMMYFUNCTION("""COMPUTED_VALUE"""),"A")</f>
        <v>A</v>
      </c>
      <c r="G246" s="27" t="str">
        <f>IFERROR(__xludf.DUMMYFUNCTION("""COMPUTED_VALUE"""),"None")</f>
        <v>None</v>
      </c>
      <c r="H246" s="27" t="str">
        <f>IFERROR(__xludf.DUMMYFUNCTION("""COMPUTED_VALUE"""),"-")</f>
        <v>-</v>
      </c>
      <c r="I246" s="28" t="str">
        <f>IFERROR(__xludf.DUMMYFUNCTION("""COMPUTED_VALUE"""),"Select 1 MAMODO card from any page of your Spell Book and put it in play (it cannot share a card name with any of the MAMODO cards that either player have put in play during this game). Then, get 2 MP.")</f>
        <v>Select 1 MAMODO card from any page of your Spell Book and put it in play (it cannot share a card name with any of the MAMODO cards that either player have put in play during this game). Then, get 2 MP.</v>
      </c>
      <c r="J246" s="27" t="str">
        <f>IFERROR(__xludf.DUMMYFUNCTION("""COMPUTED_VALUE"""),"-")</f>
        <v>-</v>
      </c>
      <c r="K246" s="27" t="str">
        <f>IFERROR(__xludf.DUMMYFUNCTION("""COMPUTED_VALUE"""),"-")</f>
        <v>-</v>
      </c>
      <c r="L246" s="27" t="str">
        <f>IFERROR(__xludf.DUMMYFUNCTION("""COMPUTED_VALUE"""),"-")</f>
        <v>-</v>
      </c>
      <c r="M246" s="27" t="str">
        <f>IFERROR(__xludf.DUMMYFUNCTION("""COMPUTED_VALUE"""),"[C]")</f>
        <v>[C]</v>
      </c>
      <c r="N246" s="27" t="str">
        <f>IFERROR(__xludf.DUMMYFUNCTION("""COMPUTED_VALUE"""),"""Hmph...I'm flattered that you remember...my name.""")</f>
        <v>"Hmph...I'm flattered that you remember...my name."</v>
      </c>
      <c r="O246" s="27"/>
      <c r="P246" s="27"/>
      <c r="Q246" s="27"/>
      <c r="R246" s="27"/>
      <c r="S246" s="27"/>
      <c r="T246" s="27"/>
      <c r="U246" s="27"/>
      <c r="V246" s="27"/>
      <c r="W246" s="27"/>
      <c r="X246" s="27"/>
      <c r="Y246" s="27"/>
      <c r="Z246" s="27"/>
    </row>
    <row r="247">
      <c r="A247" s="27" t="str">
        <f>IFERROR(__xludf.DUMMYFUNCTION("""COMPUTED_VALUE"""),"E-223")</f>
        <v>E-223</v>
      </c>
      <c r="B247" s="27" t="str">
        <f>IFERROR(__xludf.DUMMYFUNCTION("""COMPUTED_VALUE"""),"Event")</f>
        <v>Event</v>
      </c>
      <c r="C247" s="27" t="str">
        <f>IFERROR(__xludf.DUMMYFUNCTION("""COMPUTED_VALUE"""),"A Turn for the Worse")</f>
        <v>A Turn for the Worse</v>
      </c>
      <c r="D247" s="27" t="str">
        <f>IFERROR(__xludf.DUMMYFUNCTION("""COMPUTED_VALUE"""),"-")</f>
        <v>-</v>
      </c>
      <c r="E247" s="27">
        <f>IFERROR(__xludf.DUMMYFUNCTION("""COMPUTED_VALUE"""),2.0)</f>
        <v>2</v>
      </c>
      <c r="F247" s="27" t="str">
        <f>IFERROR(__xludf.DUMMYFUNCTION("""COMPUTED_VALUE"""),"D")</f>
        <v>D</v>
      </c>
      <c r="G247" s="27" t="str">
        <f>IFERROR(__xludf.DUMMYFUNCTION("""COMPUTED_VALUE"""),"None")</f>
        <v>None</v>
      </c>
      <c r="H247" s="27" t="str">
        <f>IFERROR(__xludf.DUMMYFUNCTION("""COMPUTED_VALUE"""),"-")</f>
        <v>-</v>
      </c>
      <c r="I247" s="28" t="str">
        <f>IFERROR(__xludf.DUMMYFUNCTION("""COMPUTED_VALUE"""),"When your opponent declares an Attack, apply 1 of the following effects (effects that turn pages can be applied only once per turn (per player)): ● Pay 2 MP to turn back 1 page of your Spell Book. ● Turn 1 page of your Spell Book. Then, get 2 MP. ● Turn 2"&amp;" pages of your Spell Book. Then, get 4 MP.")</f>
        <v>When your opponent declares an Attack, apply 1 of the following effects (effects that turn pages can be applied only once per turn (per player)): ● Pay 2 MP to turn back 1 page of your Spell Book. ● Turn 1 page of your Spell Book. Then, get 2 MP. ● Turn 2 pages of your Spell Book. Then, get 4 MP.</v>
      </c>
      <c r="J247" s="27" t="str">
        <f>IFERROR(__xludf.DUMMYFUNCTION("""COMPUTED_VALUE"""),"-")</f>
        <v>-</v>
      </c>
      <c r="K247" s="27" t="str">
        <f>IFERROR(__xludf.DUMMYFUNCTION("""COMPUTED_VALUE"""),"-")</f>
        <v>-</v>
      </c>
      <c r="L247" s="27" t="str">
        <f>IFERROR(__xludf.DUMMYFUNCTION("""COMPUTED_VALUE"""),"-")</f>
        <v>-</v>
      </c>
      <c r="M247" s="27" t="str">
        <f>IFERROR(__xludf.DUMMYFUNCTION("""COMPUTED_VALUE"""),"[C]")</f>
        <v>[C]</v>
      </c>
      <c r="N247" s="27" t="str">
        <f>IFERROR(__xludf.DUMMYFUNCTION("""COMPUTED_VALUE"""),"""Oh no... Oh no... Oh no!!! He's moving his hand so fast! I can't dodge–""")</f>
        <v>"Oh no... Oh no... Oh no!!! He's moving his hand so fast! I can't dodge–"</v>
      </c>
      <c r="O247" s="27"/>
      <c r="P247" s="27"/>
      <c r="Q247" s="27"/>
      <c r="R247" s="27"/>
      <c r="S247" s="27"/>
      <c r="T247" s="27"/>
      <c r="U247" s="27"/>
      <c r="V247" s="27"/>
      <c r="W247" s="27"/>
      <c r="X247" s="27"/>
      <c r="Y247" s="27"/>
      <c r="Z247" s="27"/>
    </row>
    <row r="248">
      <c r="A248" s="27" t="str">
        <f>IFERROR(__xludf.DUMMYFUNCTION("""COMPUTED_VALUE"""),"E-224")</f>
        <v>E-224</v>
      </c>
      <c r="B248" s="27" t="str">
        <f>IFERROR(__xludf.DUMMYFUNCTION("""COMPUTED_VALUE"""),"Event")</f>
        <v>Event</v>
      </c>
      <c r="C248" s="27" t="str">
        <f>IFERROR(__xludf.DUMMYFUNCTION("""COMPUTED_VALUE"""),"Outclassed")</f>
        <v>Outclassed</v>
      </c>
      <c r="D248" s="27" t="str">
        <f>IFERROR(__xludf.DUMMYFUNCTION("""COMPUTED_VALUE"""),"-")</f>
        <v>-</v>
      </c>
      <c r="E248" s="27">
        <f>IFERROR(__xludf.DUMMYFUNCTION("""COMPUTED_VALUE"""),2.0)</f>
        <v>2</v>
      </c>
      <c r="F248" s="27" t="str">
        <f>IFERROR(__xludf.DUMMYFUNCTION("""COMPUTED_VALUE"""),"AD")</f>
        <v>AD</v>
      </c>
      <c r="G248" s="27" t="str">
        <f>IFERROR(__xludf.DUMMYFUNCTION("""COMPUTED_VALUE"""),"None")</f>
        <v>None</v>
      </c>
      <c r="H248" s="27" t="str">
        <f>IFERROR(__xludf.DUMMYFUNCTION("""COMPUTED_VALUE"""),"-")</f>
        <v>-</v>
      </c>
      <c r="I248" s="28" t="str">
        <f>IFERROR(__xludf.DUMMYFUNCTION("""COMPUTED_VALUE"""),"Select ""MAMODO card effects"", ""SPELL cards"", OR ""EVENT cards"". During the next turn, you can play/apply the selected card/effect even when prohibited to do so. This effect is [STANDBY] until the START PHASE of the next turn, and [STAY] during the ne"&amp;"xt turn.")</f>
        <v>Select "MAMODO card effects", "SPELL cards", OR "EVENT cards". During the next turn, you can play/apply the selected card/effect even when prohibited to do so. This effect is [STANDBY] until the START PHASE of the next turn, and [STAY] during the next turn.</v>
      </c>
      <c r="J248" s="27" t="str">
        <f>IFERROR(__xludf.DUMMYFUNCTION("""COMPUTED_VALUE"""),"-")</f>
        <v>-</v>
      </c>
      <c r="K248" s="27" t="str">
        <f>IFERROR(__xludf.DUMMYFUNCTION("""COMPUTED_VALUE"""),"-")</f>
        <v>-</v>
      </c>
      <c r="L248" s="27" t="str">
        <f>IFERROR(__xludf.DUMMYFUNCTION("""COMPUTED_VALUE"""),"-")</f>
        <v>-</v>
      </c>
      <c r="M248" s="27" t="str">
        <f>IFERROR(__xludf.DUMMYFUNCTION("""COMPUTED_VALUE"""),"[U]")</f>
        <v>[U]</v>
      </c>
      <c r="N248" s="27" t="str">
        <f>IFERROR(__xludf.DUMMYFUNCTION("""COMPUTED_VALUE"""),"""Even if it was just pretending...I couldn't stand the idea of taking orders from a moron like you.""")</f>
        <v>"Even if it was just pretending...I couldn't stand the idea of taking orders from a moron like you."</v>
      </c>
      <c r="O248" s="27"/>
      <c r="P248" s="27"/>
      <c r="Q248" s="27"/>
      <c r="R248" s="27"/>
      <c r="S248" s="27"/>
      <c r="T248" s="27"/>
      <c r="U248" s="27"/>
      <c r="V248" s="27"/>
      <c r="W248" s="27"/>
      <c r="X248" s="27"/>
      <c r="Y248" s="27"/>
      <c r="Z248" s="27"/>
    </row>
    <row r="249">
      <c r="A249" s="27" t="str">
        <f>IFERROR(__xludf.DUMMYFUNCTION("""COMPUTED_VALUE"""),"E-225")</f>
        <v>E-225</v>
      </c>
      <c r="B249" s="27" t="str">
        <f>IFERROR(__xludf.DUMMYFUNCTION("""COMPUTED_VALUE"""),"Event")</f>
        <v>Event</v>
      </c>
      <c r="C249" s="27" t="str">
        <f>IFERROR(__xludf.DUMMYFUNCTION("""COMPUTED_VALUE"""),"In 30 Seconds")</f>
        <v>In 30 Seconds</v>
      </c>
      <c r="D249" s="27" t="str">
        <f>IFERROR(__xludf.DUMMYFUNCTION("""COMPUTED_VALUE"""),"-")</f>
        <v>-</v>
      </c>
      <c r="E249" s="27">
        <f>IFERROR(__xludf.DUMMYFUNCTION("""COMPUTED_VALUE"""),3.0)</f>
        <v>3</v>
      </c>
      <c r="F249" s="27" t="str">
        <f>IFERROR(__xludf.DUMMYFUNCTION("""COMPUTED_VALUE"""),"A")</f>
        <v>A</v>
      </c>
      <c r="G249" s="27" t="str">
        <f>IFERROR(__xludf.DUMMYFUNCTION("""COMPUTED_VALUE"""),"Intermediate")</f>
        <v>Intermediate</v>
      </c>
      <c r="H249" s="27" t="str">
        <f>IFERROR(__xludf.DUMMYFUNCTION("""COMPUTED_VALUE"""),"-")</f>
        <v>-</v>
      </c>
      <c r="I249" s="28" t="str">
        <f>IFERROR(__xludf.DUMMYFUNCTION("""COMPUTED_VALUE"""),"If your opponent has only 1 MAMODO card in play, select that MAMODO card and apply the following effect: [STANDBY] If your opponent does not put a new card in play by the END PHASE of the next turn, send the selected MAMODO card to the Discard Pile at the"&amp;" END PHASE of the next turn.")</f>
        <v>If your opponent has only 1 MAMODO card in play, select that MAMODO card and apply the following effect: [STANDBY] If your opponent does not put a new card in play by the END PHASE of the next turn, send the selected MAMODO card to the Discard Pile at the END PHASE of the next turn.</v>
      </c>
      <c r="J249" s="27" t="str">
        <f>IFERROR(__xludf.DUMMYFUNCTION("""COMPUTED_VALUE"""),"-")</f>
        <v>-</v>
      </c>
      <c r="K249" s="27" t="str">
        <f>IFERROR(__xludf.DUMMYFUNCTION("""COMPUTED_VALUE"""),"-")</f>
        <v>-</v>
      </c>
      <c r="L249" s="27" t="str">
        <f>IFERROR(__xludf.DUMMYFUNCTION("""COMPUTED_VALUE"""),"-")</f>
        <v>-</v>
      </c>
      <c r="M249" s="27" t="str">
        <f>IFERROR(__xludf.DUMMYFUNCTION("""COMPUTED_VALUE"""),"[C]")</f>
        <v>[C]</v>
      </c>
      <c r="N249" s="27" t="str">
        <f>IFERROR(__xludf.DUMMYFUNCTION("""COMPUTED_VALUE"""),"""Riou... What makes you think you'll last another 30 seconds in the human world?""")</f>
        <v>"Riou... What makes you think you'll last another 30 seconds in the human world?"</v>
      </c>
      <c r="O249" s="27"/>
      <c r="P249" s="27"/>
      <c r="Q249" s="27"/>
      <c r="R249" s="27"/>
      <c r="S249" s="27"/>
      <c r="T249" s="27"/>
      <c r="U249" s="27"/>
      <c r="V249" s="27"/>
      <c r="W249" s="27"/>
      <c r="X249" s="27"/>
      <c r="Y249" s="27"/>
      <c r="Z249" s="27"/>
    </row>
    <row r="250">
      <c r="A250" s="27" t="str">
        <f>IFERROR(__xludf.DUMMYFUNCTION("""COMPUTED_VALUE"""),"E-226")</f>
        <v>E-226</v>
      </c>
      <c r="B250" s="27" t="str">
        <f>IFERROR(__xludf.DUMMYFUNCTION("""COMPUTED_VALUE"""),"Event")</f>
        <v>Event</v>
      </c>
      <c r="C250" s="27" t="str">
        <f>IFERROR(__xludf.DUMMYFUNCTION("""COMPUTED_VALUE"""),"The Family's Expectations")</f>
        <v>The Family's Expectations</v>
      </c>
      <c r="D250" s="27" t="str">
        <f>IFERROR(__xludf.DUMMYFUNCTION("""COMPUTED_VALUE"""),"-")</f>
        <v>-</v>
      </c>
      <c r="E250" s="27">
        <f>IFERROR(__xludf.DUMMYFUNCTION("""COMPUTED_VALUE"""),3.0)</f>
        <v>3</v>
      </c>
      <c r="F250" s="27" t="str">
        <f>IFERROR(__xludf.DUMMYFUNCTION("""COMPUTED_VALUE"""),"AD")</f>
        <v>AD</v>
      </c>
      <c r="G250" s="27" t="str">
        <f>IFERROR(__xludf.DUMMYFUNCTION("""COMPUTED_VALUE"""),"None")</f>
        <v>None</v>
      </c>
      <c r="H250" s="27" t="str">
        <f>IFERROR(__xludf.DUMMYFUNCTION("""COMPUTED_VALUE"""),"-")</f>
        <v>-</v>
      </c>
      <c r="I250" s="28" t="str">
        <f>IFERROR(__xludf.DUMMYFUNCTION("""COMPUTED_VALUE"""),"[STAY] Add 2000 Power to 1 of your in-play MAMODO cards during this game. This effect can be applied only once per game (per player).")</f>
        <v>[STAY] Add 2000 Power to 1 of your in-play MAMODO cards during this game. This effect can be applied only once per game (per player).</v>
      </c>
      <c r="J250" s="27" t="str">
        <f>IFERROR(__xludf.DUMMYFUNCTION("""COMPUTED_VALUE"""),"-")</f>
        <v>-</v>
      </c>
      <c r="K250" s="27" t="str">
        <f>IFERROR(__xludf.DUMMYFUNCTION("""COMPUTED_VALUE"""),"-")</f>
        <v>-</v>
      </c>
      <c r="L250" s="27" t="str">
        <f>IFERROR(__xludf.DUMMYFUNCTION("""COMPUTED_VALUE"""),"-")</f>
        <v>-</v>
      </c>
      <c r="M250" s="27" t="str">
        <f>IFERROR(__xludf.DUMMYFUNCTION("""COMPUTED_VALUE"""),"[C]")</f>
        <v>[C]</v>
      </c>
      <c r="N250" s="27" t="str">
        <f>IFERROR(__xludf.DUMMYFUNCTION("""COMPUTED_VALUE"""),"""Take care of yourself, Riou. Don't ever forget that you're representing our family.""")</f>
        <v>"Take care of yourself, Riou. Don't ever forget that you're representing our family."</v>
      </c>
      <c r="O250" s="27"/>
      <c r="P250" s="27"/>
      <c r="Q250" s="27"/>
      <c r="R250" s="27"/>
      <c r="S250" s="27"/>
      <c r="T250" s="27"/>
      <c r="U250" s="27"/>
      <c r="V250" s="27"/>
      <c r="W250" s="27"/>
      <c r="X250" s="27"/>
      <c r="Y250" s="27"/>
      <c r="Z250" s="27"/>
    </row>
    <row r="251">
      <c r="A251" s="27" t="str">
        <f>IFERROR(__xludf.DUMMYFUNCTION("""COMPUTED_VALUE"""),"E-227")</f>
        <v>E-227</v>
      </c>
      <c r="B251" s="27" t="str">
        <f>IFERROR(__xludf.DUMMYFUNCTION("""COMPUTED_VALUE"""),"Event")</f>
        <v>Event</v>
      </c>
      <c r="C251" s="27" t="str">
        <f>IFERROR(__xludf.DUMMYFUNCTION("""COMPUTED_VALUE"""),"Last Stand")</f>
        <v>Last Stand</v>
      </c>
      <c r="D251" s="27" t="str">
        <f>IFERROR(__xludf.DUMMYFUNCTION("""COMPUTED_VALUE"""),"-")</f>
        <v>-</v>
      </c>
      <c r="E251" s="27">
        <f>IFERROR(__xludf.DUMMYFUNCTION("""COMPUTED_VALUE"""),0.0)</f>
        <v>0</v>
      </c>
      <c r="F251" s="27" t="str">
        <f>IFERROR(__xludf.DUMMYFUNCTION("""COMPUTED_VALUE"""),"A")</f>
        <v>A</v>
      </c>
      <c r="G251" s="27" t="str">
        <f>IFERROR(__xludf.DUMMYFUNCTION("""COMPUTED_VALUE"""),"Superior")</f>
        <v>Superior</v>
      </c>
      <c r="H251" s="27" t="str">
        <f>IFERROR(__xludf.DUMMYFUNCTION("""COMPUTED_VALUE"""),"-")</f>
        <v>-</v>
      </c>
      <c r="I251" s="28" t="str">
        <f>IFERROR(__xludf.DUMMYFUNCTION("""COMPUTED_VALUE"""),"Apply both of the following effects in order: ● Turn 1 page of your Spell Book. Effects that turn pages of your Spell Book can be applied only once per turn (per player). ● [STAY] The MP cost of all SPELL cards in the pages you've turned to is considered "&amp;"to be 0 during this turn if their original MP cost is 3 or less.")</f>
        <v>Apply both of the following effects in order: ● Turn 1 page of your Spell Book. Effects that turn pages of your Spell Book can be applied only once per turn (per player). ● [STAY] The MP cost of all SPELL cards in the pages you've turned to is considered to be 0 during this turn if their original MP cost is 3 or less.</v>
      </c>
      <c r="J251" s="27" t="str">
        <f>IFERROR(__xludf.DUMMYFUNCTION("""COMPUTED_VALUE"""),"-")</f>
        <v>-</v>
      </c>
      <c r="K251" s="27" t="str">
        <f>IFERROR(__xludf.DUMMYFUNCTION("""COMPUTED_VALUE"""),"-")</f>
        <v>-</v>
      </c>
      <c r="L251" s="27" t="str">
        <f>IFERROR(__xludf.DUMMYFUNCTION("""COMPUTED_VALUE"""),"-")</f>
        <v>-</v>
      </c>
      <c r="M251" s="27" t="str">
        <f>IFERROR(__xludf.DUMMYFUNCTION("""COMPUTED_VALUE"""),"[C]")</f>
        <v>[C]</v>
      </c>
      <c r="N251" s="27" t="str">
        <f>IFERROR(__xludf.DUMMYFUNCTION("""COMPUTED_VALUE"""),"""Rrggh...CURSE YOU!!!""")</f>
        <v>"Rrggh...CURSE YOU!!!"</v>
      </c>
      <c r="O251" s="27"/>
      <c r="P251" s="27"/>
      <c r="Q251" s="27"/>
      <c r="R251" s="27"/>
      <c r="S251" s="27"/>
      <c r="T251" s="27"/>
      <c r="U251" s="27"/>
      <c r="V251" s="27"/>
      <c r="W251" s="27"/>
      <c r="X251" s="27"/>
      <c r="Y251" s="27"/>
      <c r="Z251" s="27"/>
    </row>
    <row r="252">
      <c r="A252" s="27" t="str">
        <f>IFERROR(__xludf.DUMMYFUNCTION("""COMPUTED_VALUE"""),"E-228")</f>
        <v>E-228</v>
      </c>
      <c r="B252" s="27" t="str">
        <f>IFERROR(__xludf.DUMMYFUNCTION("""COMPUTED_VALUE"""),"Event")</f>
        <v>Event</v>
      </c>
      <c r="C252" s="27" t="str">
        <f>IFERROR(__xludf.DUMMYFUNCTION("""COMPUTED_VALUE"""),"The Theft Of Faudo")</f>
        <v>The Theft Of Faudo</v>
      </c>
      <c r="D252" s="27" t="str">
        <f>IFERROR(__xludf.DUMMYFUNCTION("""COMPUTED_VALUE"""),"-")</f>
        <v>-</v>
      </c>
      <c r="E252" s="27">
        <f>IFERROR(__xludf.DUMMYFUNCTION("""COMPUTED_VALUE"""),8.0)</f>
        <v>8</v>
      </c>
      <c r="F252" s="27" t="str">
        <f>IFERROR(__xludf.DUMMYFUNCTION("""COMPUTED_VALUE"""),"A")</f>
        <v>A</v>
      </c>
      <c r="G252" s="27" t="str">
        <f>IFERROR(__xludf.DUMMYFUNCTION("""COMPUTED_VALUE"""),"Intermediate")</f>
        <v>Intermediate</v>
      </c>
      <c r="H252" s="27" t="str">
        <f>IFERROR(__xludf.DUMMYFUNCTION("""COMPUTED_VALUE"""),"-")</f>
        <v>-</v>
      </c>
      <c r="I252" s="28" t="str">
        <f>IFERROR(__xludf.DUMMYFUNCTION("""COMPUTED_VALUE"""),"Reduce your opponent's MP to 0 to get the same amount of MP reduced by this effect. This effect can be applied only once per game (per player).")</f>
        <v>Reduce your opponent's MP to 0 to get the same amount of MP reduced by this effect. This effect can be applied only once per game (per player).</v>
      </c>
      <c r="J252" s="27" t="str">
        <f>IFERROR(__xludf.DUMMYFUNCTION("""COMPUTED_VALUE"""),"-")</f>
        <v>-</v>
      </c>
      <c r="K252" s="27" t="str">
        <f>IFERROR(__xludf.DUMMYFUNCTION("""COMPUTED_VALUE"""),"-")</f>
        <v>-</v>
      </c>
      <c r="L252" s="27" t="str">
        <f>IFERROR(__xludf.DUMMYFUNCTION("""COMPUTED_VALUE"""),"-")</f>
        <v>-</v>
      </c>
      <c r="M252" s="27" t="str">
        <f>IFERROR(__xludf.DUMMYFUNCTION("""COMPUTED_VALUE"""),"[U]")</f>
        <v>[U]</v>
      </c>
      <c r="N252" s="27" t="str">
        <f>IFERROR(__xludf.DUMMYFUNCTION("""COMPUTED_VALUE"""),"""Attention, former underlings of Riou: You now belong to me.""")</f>
        <v>"Attention, former underlings of Riou: You now belong to me."</v>
      </c>
      <c r="O252" s="27"/>
      <c r="P252" s="27"/>
      <c r="Q252" s="27"/>
      <c r="R252" s="27"/>
      <c r="S252" s="27"/>
      <c r="T252" s="27"/>
      <c r="U252" s="27"/>
      <c r="V252" s="27"/>
      <c r="W252" s="27"/>
      <c r="X252" s="27"/>
      <c r="Y252" s="27"/>
      <c r="Z252" s="27"/>
    </row>
    <row r="253">
      <c r="A253" s="27" t="str">
        <f>IFERROR(__xludf.DUMMYFUNCTION("""COMPUTED_VALUE"""),"E-229")</f>
        <v>E-229</v>
      </c>
      <c r="B253" s="27" t="str">
        <f>IFERROR(__xludf.DUMMYFUNCTION("""COMPUTED_VALUE"""),"Event")</f>
        <v>Event</v>
      </c>
      <c r="C253" s="27" t="str">
        <f>IFERROR(__xludf.DUMMYFUNCTION("""COMPUTED_VALUE"""),"Controlling Time Itself")</f>
        <v>Controlling Time Itself</v>
      </c>
      <c r="D253" s="27" t="str">
        <f>IFERROR(__xludf.DUMMYFUNCTION("""COMPUTED_VALUE"""),"-")</f>
        <v>-</v>
      </c>
      <c r="E253" s="27">
        <f>IFERROR(__xludf.DUMMYFUNCTION("""COMPUTED_VALUE"""),5.0)</f>
        <v>5</v>
      </c>
      <c r="F253" s="27" t="str">
        <f>IFERROR(__xludf.DUMMYFUNCTION("""COMPUTED_VALUE"""),"AD")</f>
        <v>AD</v>
      </c>
      <c r="G253" s="27" t="str">
        <f>IFERROR(__xludf.DUMMYFUNCTION("""COMPUTED_VALUE"""),"Intermediate")</f>
        <v>Intermediate</v>
      </c>
      <c r="H253" s="27" t="str">
        <f>IFERROR(__xludf.DUMMYFUNCTION("""COMPUTED_VALUE"""),"-")</f>
        <v>-</v>
      </c>
      <c r="I253" s="28" t="str">
        <f>IFERROR(__xludf.DUMMYFUNCTION("""COMPUTED_VALUE"""),"If this card is played during your turn, it is now your opponent’s BATTLE PHASE. If this card is played during your opponent’s turn, it is now your BATTLE PHASE. This effect can be applied only once per game (per player).")</f>
        <v>If this card is played during your turn, it is now your opponent’s BATTLE PHASE. If this card is played during your opponent’s turn, it is now your BATTLE PHASE. This effect can be applied only once per game (per player).</v>
      </c>
      <c r="J253" s="27" t="str">
        <f>IFERROR(__xludf.DUMMYFUNCTION("""COMPUTED_VALUE"""),"-")</f>
        <v>-</v>
      </c>
      <c r="K253" s="27" t="str">
        <f>IFERROR(__xludf.DUMMYFUNCTION("""COMPUTED_VALUE"""),"-")</f>
        <v>-</v>
      </c>
      <c r="L253" s="27" t="str">
        <f>IFERROR(__xludf.DUMMYFUNCTION("""COMPUTED_VALUE"""),"-")</f>
        <v>-</v>
      </c>
      <c r="M253" s="27" t="str">
        <f>IFERROR(__xludf.DUMMYFUNCTION("""COMPUTED_VALUE"""),"[SR]")</f>
        <v>[SR]</v>
      </c>
      <c r="N253" s="27" t="str">
        <f>IFERROR(__xludf.DUMMYFUNCTION("""COMPUTED_VALUE"""),"""The ocean keeps shooting past us like an arrow, yet the stars are moving slowly... It almost feels as if we're controlling time itself...""")</f>
        <v>"The ocean keeps shooting past us like an arrow, yet the stars are moving slowly... It almost feels as if we're controlling time itself..."</v>
      </c>
      <c r="O253" s="27"/>
      <c r="P253" s="27"/>
      <c r="Q253" s="27"/>
      <c r="R253" s="27"/>
      <c r="S253" s="27"/>
      <c r="T253" s="27"/>
      <c r="U253" s="27"/>
      <c r="V253" s="27"/>
      <c r="W253" s="27"/>
      <c r="X253" s="27"/>
      <c r="Y253" s="27"/>
      <c r="Z253" s="27"/>
    </row>
    <row r="254">
      <c r="A254" s="27" t="str">
        <f>IFERROR(__xludf.DUMMYFUNCTION("""COMPUTED_VALUE"""),"E-230")</f>
        <v>E-230</v>
      </c>
      <c r="B254" s="27" t="str">
        <f>IFERROR(__xludf.DUMMYFUNCTION("""COMPUTED_VALUE"""),"Event")</f>
        <v>Event</v>
      </c>
      <c r="C254" s="27" t="str">
        <f>IFERROR(__xludf.DUMMYFUNCTION("""COMPUTED_VALUE"""),"We're in This Together")</f>
        <v>We're in This Together</v>
      </c>
      <c r="D254" s="27" t="str">
        <f>IFERROR(__xludf.DUMMYFUNCTION("""COMPUTED_VALUE"""),"-")</f>
        <v>-</v>
      </c>
      <c r="E254" s="27">
        <f>IFERROR(__xludf.DUMMYFUNCTION("""COMPUTED_VALUE"""),1.0)</f>
        <v>1</v>
      </c>
      <c r="F254" s="27" t="str">
        <f>IFERROR(__xludf.DUMMYFUNCTION("""COMPUTED_VALUE"""),"A")</f>
        <v>A</v>
      </c>
      <c r="G254" s="27" t="str">
        <f>IFERROR(__xludf.DUMMYFUNCTION("""COMPUTED_VALUE"""),"None")</f>
        <v>None</v>
      </c>
      <c r="H254" s="27" t="str">
        <f>IFERROR(__xludf.DUMMYFUNCTION("""COMPUTED_VALUE"""),"-")</f>
        <v>-</v>
      </c>
      <c r="I254" s="28" t="str">
        <f>IFERROR(__xludf.DUMMYFUNCTION("""COMPUTED_VALUE"""),"[STAY] Apply both of the following effects during this game: ● Your DUAL MAMODO cards cannot be sent to the Discard Pile by your opponent's card effects (except from Damage or Injury). ● Add 2000 Power to all of your in-play DUAL MAMODO cards.")</f>
        <v>[STAY] Apply both of the following effects during this game: ● Your DUAL MAMODO cards cannot be sent to the Discard Pile by your opponent's card effects (except from Damage or Injury). ● Add 2000 Power to all of your in-play DUAL MAMODO cards.</v>
      </c>
      <c r="J254" s="27" t="str">
        <f>IFERROR(__xludf.DUMMYFUNCTION("""COMPUTED_VALUE"""),"-")</f>
        <v>-</v>
      </c>
      <c r="K254" s="27" t="str">
        <f>IFERROR(__xludf.DUMMYFUNCTION("""COMPUTED_VALUE"""),"-")</f>
        <v>-</v>
      </c>
      <c r="L254" s="27" t="str">
        <f>IFERROR(__xludf.DUMMYFUNCTION("""COMPUTED_VALUE"""),"-")</f>
        <v>-</v>
      </c>
      <c r="M254" s="27" t="str">
        <f>IFERROR(__xludf.DUMMYFUNCTION("""COMPUTED_VALUE"""),"[C]")</f>
        <v>[C]</v>
      </c>
      <c r="N254" s="27" t="str">
        <f>IFERROR(__xludf.DUMMYFUNCTION("""COMPUTED_VALUE"""),"""We're in this together. Let's take advantage of each other's strengths, and work together as a team.""")</f>
        <v>"We're in this together. Let's take advantage of each other's strengths, and work together as a team."</v>
      </c>
      <c r="O254" s="27"/>
      <c r="P254" s="27"/>
      <c r="Q254" s="27"/>
      <c r="R254" s="27"/>
      <c r="S254" s="27"/>
      <c r="T254" s="27"/>
      <c r="U254" s="27"/>
      <c r="V254" s="27"/>
      <c r="W254" s="27"/>
      <c r="X254" s="27"/>
      <c r="Y254" s="27"/>
      <c r="Z254" s="27"/>
    </row>
    <row r="255">
      <c r="A255" s="27" t="str">
        <f>IFERROR(__xludf.DUMMYFUNCTION("""COMPUTED_VALUE"""),"E-231")</f>
        <v>E-231</v>
      </c>
      <c r="B255" s="27" t="str">
        <f>IFERROR(__xludf.DUMMYFUNCTION("""COMPUTED_VALUE"""),"Event")</f>
        <v>Event</v>
      </c>
      <c r="C255" s="27" t="str">
        <f>IFERROR(__xludf.DUMMYFUNCTION("""COMPUTED_VALUE"""),"You've Gotta Protect Everyone!")</f>
        <v>You've Gotta Protect Everyone!</v>
      </c>
      <c r="D255" s="27" t="str">
        <f>IFERROR(__xludf.DUMMYFUNCTION("""COMPUTED_VALUE"""),"-")</f>
        <v>-</v>
      </c>
      <c r="E255" s="27">
        <f>IFERROR(__xludf.DUMMYFUNCTION("""COMPUTED_VALUE"""),0.0)</f>
        <v>0</v>
      </c>
      <c r="F255" s="27" t="str">
        <f>IFERROR(__xludf.DUMMYFUNCTION("""COMPUTED_VALUE"""),"AD")</f>
        <v>AD</v>
      </c>
      <c r="G255" s="27" t="str">
        <f>IFERROR(__xludf.DUMMYFUNCTION("""COMPUTED_VALUE"""),"None")</f>
        <v>None</v>
      </c>
      <c r="H255" s="27" t="str">
        <f>IFERROR(__xludf.DUMMYFUNCTION("""COMPUTED_VALUE"""),"-")</f>
        <v>-</v>
      </c>
      <c r="I255" s="28" t="str">
        <f>IFERROR(__xludf.DUMMYFUNCTION("""COMPUTED_VALUE"""),"Select the effect of 1 MAMODO that was sent to your Discard Pile during this turn as a result of your opponent's card effects, Damage, or Injury (if the card cannot apply its effects, then it cannot be selected). Then, select 1 of your in-play MAMODO card"&amp;"s: [STAY] The selected MAMODO card is considered to have the effect of the selected discarded MAMODO card during this game.")</f>
        <v>Select the effect of 1 MAMODO that was sent to your Discard Pile during this turn as a result of your opponent's card effects, Damage, or Injury (if the card cannot apply its effects, then it cannot be selected). Then, select 1 of your in-play MAMODO cards: [STAY] The selected MAMODO card is considered to have the effect of the selected discarded MAMODO card during this game.</v>
      </c>
      <c r="J255" s="27" t="str">
        <f>IFERROR(__xludf.DUMMYFUNCTION("""COMPUTED_VALUE"""),"-")</f>
        <v>-</v>
      </c>
      <c r="K255" s="27" t="str">
        <f>IFERROR(__xludf.DUMMYFUNCTION("""COMPUTED_VALUE"""),"-")</f>
        <v>-</v>
      </c>
      <c r="L255" s="27" t="str">
        <f>IFERROR(__xludf.DUMMYFUNCTION("""COMPUTED_VALUE"""),"-")</f>
        <v>-</v>
      </c>
      <c r="M255" s="27" t="str">
        <f>IFERROR(__xludf.DUMMYFUNCTION("""COMPUTED_VALUE"""),"[C]")</f>
        <v>[C]</v>
      </c>
      <c r="N255" s="27" t="str">
        <f>IFERROR(__xludf.DUMMYFUNCTION("""COMPUTED_VALUE"""),"""You've gotta protect everyone for me, because I won't be here to do it! But if you ever make Alishie cry, I'll never forgive you!""")</f>
        <v>"You've gotta protect everyone for me, because I won't be here to do it! But if you ever make Alishie cry, I'll never forgive you!"</v>
      </c>
      <c r="O255" s="27"/>
      <c r="P255" s="27"/>
      <c r="Q255" s="27"/>
      <c r="R255" s="27"/>
      <c r="S255" s="27"/>
      <c r="T255" s="27"/>
      <c r="U255" s="27"/>
      <c r="V255" s="27"/>
      <c r="W255" s="27"/>
      <c r="X255" s="27"/>
      <c r="Y255" s="27"/>
      <c r="Z255" s="27"/>
    </row>
    <row r="256">
      <c r="A256" s="27" t="str">
        <f>IFERROR(__xludf.DUMMYFUNCTION("""COMPUTED_VALUE"""),"E-232")</f>
        <v>E-232</v>
      </c>
      <c r="B256" s="27" t="str">
        <f>IFERROR(__xludf.DUMMYFUNCTION("""COMPUTED_VALUE"""),"Event")</f>
        <v>Event</v>
      </c>
      <c r="C256" s="27" t="str">
        <f>IFERROR(__xludf.DUMMYFUNCTION("""COMPUTED_VALUE"""),"Trap of the Iron Doors")</f>
        <v>Trap of the Iron Doors</v>
      </c>
      <c r="D256" s="27" t="str">
        <f>IFERROR(__xludf.DUMMYFUNCTION("""COMPUTED_VALUE"""),"-")</f>
        <v>-</v>
      </c>
      <c r="E256" s="27">
        <f>IFERROR(__xludf.DUMMYFUNCTION("""COMPUTED_VALUE"""),3.0)</f>
        <v>3</v>
      </c>
      <c r="F256" s="27" t="str">
        <f>IFERROR(__xludf.DUMMYFUNCTION("""COMPUTED_VALUE"""),"A")</f>
        <v>A</v>
      </c>
      <c r="G256" s="27" t="str">
        <f>IFERROR(__xludf.DUMMYFUNCTION("""COMPUTED_VALUE"""),"Intermediate")</f>
        <v>Intermediate</v>
      </c>
      <c r="H256" s="27" t="str">
        <f>IFERROR(__xludf.DUMMYFUNCTION("""COMPUTED_VALUE"""),"Internal Faudo Event")</f>
        <v>Internal Faudo Event</v>
      </c>
      <c r="I256" s="28" t="str">
        <f>IFERROR(__xludf.DUMMYFUNCTION("""COMPUTED_VALUE"""),"When playing this EVENT card, all active [Stay] ""Inner Faudo Event"" effects are negated. [STAY] During this game, your opponent cannot turn pages of their Spell Book during their START PHASE.")</f>
        <v>When playing this EVENT card, all active [Stay] "Inner Faudo Event" effects are negated. [STAY] During this game, your opponent cannot turn pages of their Spell Book during their START PHASE.</v>
      </c>
      <c r="J256" s="27" t="str">
        <f>IFERROR(__xludf.DUMMYFUNCTION("""COMPUTED_VALUE"""),"-")</f>
        <v>-</v>
      </c>
      <c r="K256" s="27" t="str">
        <f>IFERROR(__xludf.DUMMYFUNCTION("""COMPUTED_VALUE"""),"-")</f>
        <v>-</v>
      </c>
      <c r="L256" s="27" t="str">
        <f>IFERROR(__xludf.DUMMYFUNCTION("""COMPUTED_VALUE"""),"-")</f>
        <v>-</v>
      </c>
      <c r="M256" s="27" t="str">
        <f>IFERROR(__xludf.DUMMYFUNCTION("""COMPUTED_VALUE"""),"[C]")</f>
        <v>[C]</v>
      </c>
      <c r="N256" s="27" t="str">
        <f>IFERROR(__xludf.DUMMYFUNCTION("""COMPUTED_VALUE"""),"""Only one door leads upstairs. The others are dead ends. But there are 800 doors in this room.""")</f>
        <v>"Only one door leads upstairs. The others are dead ends. But there are 800 doors in this room."</v>
      </c>
      <c r="O256" s="27"/>
      <c r="P256" s="27"/>
      <c r="Q256" s="27"/>
      <c r="R256" s="27"/>
      <c r="S256" s="27"/>
      <c r="T256" s="27"/>
      <c r="U256" s="27"/>
      <c r="V256" s="27"/>
      <c r="W256" s="27"/>
      <c r="X256" s="27"/>
      <c r="Y256" s="27"/>
      <c r="Z256" s="27"/>
    </row>
    <row r="257">
      <c r="A257" s="27" t="str">
        <f>IFERROR(__xludf.DUMMYFUNCTION("""COMPUTED_VALUE"""),"E-233")</f>
        <v>E-233</v>
      </c>
      <c r="B257" s="27" t="str">
        <f>IFERROR(__xludf.DUMMYFUNCTION("""COMPUTED_VALUE"""),"Event")</f>
        <v>Event</v>
      </c>
      <c r="C257" s="27" t="str">
        <f>IFERROR(__xludf.DUMMYFUNCTION("""COMPUTED_VALUE"""),"Voyage into Faudo!")</f>
        <v>Voyage into Faudo!</v>
      </c>
      <c r="D257" s="27" t="str">
        <f>IFERROR(__xludf.DUMMYFUNCTION("""COMPUTED_VALUE"""),"-")</f>
        <v>-</v>
      </c>
      <c r="E257" s="27">
        <f>IFERROR(__xludf.DUMMYFUNCTION("""COMPUTED_VALUE"""),6.0)</f>
        <v>6</v>
      </c>
      <c r="F257" s="27" t="str">
        <f>IFERROR(__xludf.DUMMYFUNCTION("""COMPUTED_VALUE"""),"AD")</f>
        <v>AD</v>
      </c>
      <c r="G257" s="27" t="str">
        <f>IFERROR(__xludf.DUMMYFUNCTION("""COMPUTED_VALUE"""),"Intermediate")</f>
        <v>Intermediate</v>
      </c>
      <c r="H257" s="27" t="str">
        <f>IFERROR(__xludf.DUMMYFUNCTION("""COMPUTED_VALUE"""),"-")</f>
        <v>-</v>
      </c>
      <c r="I257" s="28" t="str">
        <f>IFERROR(__xludf.DUMMYFUNCTION("""COMPUTED_VALUE"""),"Select 1 MAMODO card from your card collection that is not in your Spell Book (any MAMODO card you own that is not in your Spell Book at the start of the game), show it to your opponent, and move it to an empty page of your Spell Book (the rules for Spell"&amp;" Book deck construction do not apply). Once this game is over, remove any cards added by this effect from your Spell Book. This effect can be applied only once per game (per player).")</f>
        <v>Select 1 MAMODO card from your card collection that is not in your Spell Book (any MAMODO card you own that is not in your Spell Book at the start of the game), show it to your opponent, and move it to an empty page of your Spell Book (the rules for Spell Book deck construction do not apply). Once this game is over, remove any cards added by this effect from your Spell Book. This effect can be applied only once per game (per player).</v>
      </c>
      <c r="J257" s="27" t="str">
        <f>IFERROR(__xludf.DUMMYFUNCTION("""COMPUTED_VALUE"""),"-")</f>
        <v>-</v>
      </c>
      <c r="K257" s="27" t="str">
        <f>IFERROR(__xludf.DUMMYFUNCTION("""COMPUTED_VALUE"""),"-")</f>
        <v>-</v>
      </c>
      <c r="L257" s="27" t="str">
        <f>IFERROR(__xludf.DUMMYFUNCTION("""COMPUTED_VALUE"""),"-")</f>
        <v>-</v>
      </c>
      <c r="M257" s="27" t="str">
        <f>IFERROR(__xludf.DUMMYFUNCTION("""COMPUTED_VALUE"""),"[R]")</f>
        <v>[R]</v>
      </c>
      <c r="N257" s="27" t="str">
        <f>IFERROR(__xludf.DUMMYFUNCTION("""COMPUTED_VALUE"""),"""AGGGGGHHHH! What the?! A plane?"" ""Looks like we made it inside, Ted!""")</f>
        <v>"AGGGGGHHHH! What the?! A plane?" "Looks like we made it inside, Ted!"</v>
      </c>
      <c r="O257" s="27"/>
      <c r="P257" s="27"/>
      <c r="Q257" s="27"/>
      <c r="R257" s="27"/>
      <c r="S257" s="27"/>
      <c r="T257" s="27"/>
      <c r="U257" s="27"/>
      <c r="V257" s="27"/>
      <c r="W257" s="27"/>
      <c r="X257" s="27"/>
      <c r="Y257" s="27"/>
      <c r="Z257" s="27"/>
    </row>
    <row r="258">
      <c r="A258" s="27" t="str">
        <f>IFERROR(__xludf.DUMMYFUNCTION("""COMPUTED_VALUE"""),"E-234")</f>
        <v>E-234</v>
      </c>
      <c r="B258" s="27" t="str">
        <f>IFERROR(__xludf.DUMMYFUNCTION("""COMPUTED_VALUE"""),"Event")</f>
        <v>Event</v>
      </c>
      <c r="C258" s="27" t="str">
        <f>IFERROR(__xludf.DUMMYFUNCTION("""COMPUTED_VALUE"""),"Sorry We're Late")</f>
        <v>Sorry We're Late</v>
      </c>
      <c r="D258" s="27" t="str">
        <f>IFERROR(__xludf.DUMMYFUNCTION("""COMPUTED_VALUE"""),"-")</f>
        <v>-</v>
      </c>
      <c r="E258" s="27">
        <f>IFERROR(__xludf.DUMMYFUNCTION("""COMPUTED_VALUE"""),2.0)</f>
        <v>2</v>
      </c>
      <c r="F258" s="27" t="str">
        <f>IFERROR(__xludf.DUMMYFUNCTION("""COMPUTED_VALUE"""),"AD")</f>
        <v>AD</v>
      </c>
      <c r="G258" s="27" t="str">
        <f>IFERROR(__xludf.DUMMYFUNCTION("""COMPUTED_VALUE"""),"None")</f>
        <v>None</v>
      </c>
      <c r="H258" s="27" t="str">
        <f>IFERROR(__xludf.DUMMYFUNCTION("""COMPUTED_VALUE"""),"-")</f>
        <v>-</v>
      </c>
      <c r="I258" s="28" t="str">
        <f>IFERROR(__xludf.DUMMYFUNCTION("""COMPUTED_VALUE"""),"Select up to 2 MAMODO or PARTNER cards in total and from any page of your Spell Book and put them in play. Then, negate your opponent's Attack regardless of Power (this effect does not negate your opponent's Defense).")</f>
        <v>Select up to 2 MAMODO or PARTNER cards in total and from any page of your Spell Book and put them in play. Then, negate your opponent's Attack regardless of Power (this effect does not negate your opponent's Defense).</v>
      </c>
      <c r="J258" s="27" t="str">
        <f>IFERROR(__xludf.DUMMYFUNCTION("""COMPUTED_VALUE"""),"-")</f>
        <v>-</v>
      </c>
      <c r="K258" s="27" t="str">
        <f>IFERROR(__xludf.DUMMYFUNCTION("""COMPUTED_VALUE"""),"-")</f>
        <v>-</v>
      </c>
      <c r="L258" s="27" t="str">
        <f>IFERROR(__xludf.DUMMYFUNCTION("""COMPUTED_VALUE"""),"-")</f>
        <v>-</v>
      </c>
      <c r="M258" s="27" t="str">
        <f>IFERROR(__xludf.DUMMYFUNCTION("""COMPUTED_VALUE"""),"[U]")</f>
        <v>[U]</v>
      </c>
      <c r="N258" s="27" t="str">
        <f>IFERROR(__xludf.DUMMYFUNCTION("""COMPUTED_VALUE"""),"""Sorry we're late. We got here as fast as we could...""")</f>
        <v>"Sorry we're late. We got here as fast as we could..."</v>
      </c>
      <c r="O258" s="27"/>
      <c r="P258" s="27"/>
      <c r="Q258" s="27"/>
      <c r="R258" s="27"/>
      <c r="S258" s="27"/>
      <c r="T258" s="27"/>
      <c r="U258" s="27"/>
      <c r="V258" s="27"/>
      <c r="W258" s="27"/>
      <c r="X258" s="27"/>
      <c r="Y258" s="27"/>
      <c r="Z258" s="27"/>
    </row>
    <row r="259">
      <c r="A259" s="27" t="str">
        <f>IFERROR(__xludf.DUMMYFUNCTION("""COMPUTED_VALUE"""),"E-235")</f>
        <v>E-235</v>
      </c>
      <c r="B259" s="27" t="str">
        <f>IFERROR(__xludf.DUMMYFUNCTION("""COMPUTED_VALUE"""),"Event")</f>
        <v>Event</v>
      </c>
      <c r="C259" s="27" t="str">
        <f>IFERROR(__xludf.DUMMYFUNCTION("""COMPUTED_VALUE"""),"The Reunion")</f>
        <v>The Reunion</v>
      </c>
      <c r="D259" s="27" t="str">
        <f>IFERROR(__xludf.DUMMYFUNCTION("""COMPUTED_VALUE"""),"-")</f>
        <v>-</v>
      </c>
      <c r="E259" s="27">
        <f>IFERROR(__xludf.DUMMYFUNCTION("""COMPUTED_VALUE"""),2.0)</f>
        <v>2</v>
      </c>
      <c r="F259" s="27" t="str">
        <f>IFERROR(__xludf.DUMMYFUNCTION("""COMPUTED_VALUE"""),"AD")</f>
        <v>AD</v>
      </c>
      <c r="G259" s="27" t="str">
        <f>IFERROR(__xludf.DUMMYFUNCTION("""COMPUTED_VALUE"""),"None")</f>
        <v>None</v>
      </c>
      <c r="H259" s="27" t="str">
        <f>IFERROR(__xludf.DUMMYFUNCTION("""COMPUTED_VALUE"""),"-")</f>
        <v>-</v>
      </c>
      <c r="I259" s="28" t="str">
        <f>IFERROR(__xludf.DUMMYFUNCTION("""COMPUTED_VALUE"""),"Move 1 DUAL MAMODO or VS MAMODO card from your Discard Pile into play. No in-play MAMODO cards are sent to the Discard Pile to move the selected DUAL MAMODO or VS MAMODO card into play.")</f>
        <v>Move 1 DUAL MAMODO or VS MAMODO card from your Discard Pile into play. No in-play MAMODO cards are sent to the Discard Pile to move the selected DUAL MAMODO or VS MAMODO card into play.</v>
      </c>
      <c r="J259" s="27" t="str">
        <f>IFERROR(__xludf.DUMMYFUNCTION("""COMPUTED_VALUE"""),"-")</f>
        <v>-</v>
      </c>
      <c r="K259" s="27" t="str">
        <f>IFERROR(__xludf.DUMMYFUNCTION("""COMPUTED_VALUE"""),"-")</f>
        <v>-</v>
      </c>
      <c r="L259" s="27" t="str">
        <f>IFERROR(__xludf.DUMMYFUNCTION("""COMPUTED_VALUE"""),"-")</f>
        <v>-</v>
      </c>
      <c r="M259" s="27" t="str">
        <f>IFERROR(__xludf.DUMMYFUNCTION("""COMPUTED_VALUE"""),"[C]")</f>
        <v>[C]</v>
      </c>
      <c r="N259" s="27" t="str">
        <f>IFERROR(__xludf.DUMMYFUNCTION("""COMPUTED_VALUE"""),"""Hey, Cherish... You used to be so strong... What are you crying for?""")</f>
        <v>"Hey, Cherish... You used to be so strong... What are you crying for?"</v>
      </c>
      <c r="O259" s="27"/>
      <c r="P259" s="27"/>
      <c r="Q259" s="27"/>
      <c r="R259" s="27"/>
      <c r="S259" s="27"/>
      <c r="T259" s="27"/>
      <c r="U259" s="27"/>
      <c r="V259" s="27"/>
      <c r="W259" s="27"/>
      <c r="X259" s="27"/>
      <c r="Y259" s="27"/>
      <c r="Z259" s="27"/>
    </row>
    <row r="260">
      <c r="A260" s="27" t="str">
        <f>IFERROR(__xludf.DUMMYFUNCTION("""COMPUTED_VALUE"""),"E-236")</f>
        <v>E-236</v>
      </c>
      <c r="B260" s="27" t="str">
        <f>IFERROR(__xludf.DUMMYFUNCTION("""COMPUTED_VALUE"""),"Event")</f>
        <v>Event</v>
      </c>
      <c r="C260" s="27" t="str">
        <f>IFERROR(__xludf.DUMMYFUNCTION("""COMPUTED_VALUE"""),"Kiyo's Voice")</f>
        <v>Kiyo's Voice</v>
      </c>
      <c r="D260" s="27" t="str">
        <f>IFERROR(__xludf.DUMMYFUNCTION("""COMPUTED_VALUE"""),"-")</f>
        <v>-</v>
      </c>
      <c r="E260" s="27">
        <f>IFERROR(__xludf.DUMMYFUNCTION("""COMPUTED_VALUE"""),3.0)</f>
        <v>3</v>
      </c>
      <c r="F260" s="27" t="str">
        <f>IFERROR(__xludf.DUMMYFUNCTION("""COMPUTED_VALUE"""),"A")</f>
        <v>A</v>
      </c>
      <c r="G260" s="27" t="str">
        <f>IFERROR(__xludf.DUMMYFUNCTION("""COMPUTED_VALUE"""),"None")</f>
        <v>None</v>
      </c>
      <c r="H260" s="27" t="str">
        <f>IFERROR(__xludf.DUMMYFUNCTION("""COMPUTED_VALUE"""),"-")</f>
        <v>-</v>
      </c>
      <c r="I260" s="28" t="str">
        <f>IFERROR(__xludf.DUMMYFUNCTION("""COMPUTED_VALUE"""),"[STANDBY] After applying this effect, only once during this game (per player), you may move as many MAMODO cards as you desire from your Discard Pile into play during your BATTLE PHASE.")</f>
        <v>[STANDBY] After applying this effect, only once during this game (per player), you may move as many MAMODO cards as you desire from your Discard Pile into play during your BATTLE PHASE.</v>
      </c>
      <c r="J260" s="27" t="str">
        <f>IFERROR(__xludf.DUMMYFUNCTION("""COMPUTED_VALUE"""),"-")</f>
        <v>-</v>
      </c>
      <c r="K260" s="27" t="str">
        <f>IFERROR(__xludf.DUMMYFUNCTION("""COMPUTED_VALUE"""),"-")</f>
        <v>-</v>
      </c>
      <c r="L260" s="27" t="str">
        <f>IFERROR(__xludf.DUMMYFUNCTION("""COMPUTED_VALUE"""),"-")</f>
        <v>-</v>
      </c>
      <c r="M260" s="27" t="str">
        <f>IFERROR(__xludf.DUMMYFUNCTION("""COMPUTED_VALUE"""),"[C]")</f>
        <v>[C]</v>
      </c>
      <c r="N260" s="27" t="str">
        <f>IFERROR(__xludf.DUMMYFUNCTION("""COMPUTED_VALUE"""),"""You're going to become the King, right? You're going to become a Kind King, aren't you?""")</f>
        <v>"You're going to become the King, right? You're going to become a Kind King, aren't you?"</v>
      </c>
      <c r="O260" s="27"/>
      <c r="P260" s="27"/>
      <c r="Q260" s="27"/>
      <c r="R260" s="27"/>
      <c r="S260" s="27"/>
      <c r="T260" s="27"/>
      <c r="U260" s="27"/>
      <c r="V260" s="27"/>
      <c r="W260" s="27"/>
      <c r="X260" s="27"/>
      <c r="Y260" s="27"/>
      <c r="Z260" s="27"/>
    </row>
    <row r="261">
      <c r="A261" s="27" t="str">
        <f>IFERROR(__xludf.DUMMYFUNCTION("""COMPUTED_VALUE"""),"E-237")</f>
        <v>E-237</v>
      </c>
      <c r="B261" s="27" t="str">
        <f>IFERROR(__xludf.DUMMYFUNCTION("""COMPUTED_VALUE"""),"Event")</f>
        <v>Event</v>
      </c>
      <c r="C261" s="27" t="str">
        <f>IFERROR(__xludf.DUMMYFUNCTION("""COMPUTED_VALUE"""),"Godufa")</f>
        <v>Godufa</v>
      </c>
      <c r="D261" s="27" t="str">
        <f>IFERROR(__xludf.DUMMYFUNCTION("""COMPUTED_VALUE"""),"-")</f>
        <v>-</v>
      </c>
      <c r="E261" s="27">
        <f>IFERROR(__xludf.DUMMYFUNCTION("""COMPUTED_VALUE"""),1.0)</f>
        <v>1</v>
      </c>
      <c r="F261" s="27" t="str">
        <f>IFERROR(__xludf.DUMMYFUNCTION("""COMPUTED_VALUE"""),"AD")</f>
        <v>AD</v>
      </c>
      <c r="G261" s="27" t="str">
        <f>IFERROR(__xludf.DUMMYFUNCTION("""COMPUTED_VALUE"""),"Intermediate")</f>
        <v>Intermediate</v>
      </c>
      <c r="H261" s="27" t="str">
        <f>IFERROR(__xludf.DUMMYFUNCTION("""COMPUTED_VALUE"""),"-")</f>
        <v>-</v>
      </c>
      <c r="I261" s="28" t="str">
        <f>IFERROR(__xludf.DUMMYFUNCTION("""COMPUTED_VALUE"""),"[STAY] Apply both of the following effects during this game: ● Add 3000 Power to all of your MAMODO cards with [Godufa]. ● Your MAMODO cards with [Godufa] cannot receive Damage or Injury from an infliction of 2 Damage or less.")</f>
        <v>[STAY] Apply both of the following effects during this game: ● Add 3000 Power to all of your MAMODO cards with [Godufa]. ● Your MAMODO cards with [Godufa] cannot receive Damage or Injury from an infliction of 2 Damage or less.</v>
      </c>
      <c r="J261" s="27" t="str">
        <f>IFERROR(__xludf.DUMMYFUNCTION("""COMPUTED_VALUE"""),"-")</f>
        <v>-</v>
      </c>
      <c r="K261" s="27" t="str">
        <f>IFERROR(__xludf.DUMMYFUNCTION("""COMPUTED_VALUE"""),"-")</f>
        <v>-</v>
      </c>
      <c r="L261" s="27" t="str">
        <f>IFERROR(__xludf.DUMMYFUNCTION("""COMPUTED_VALUE"""),"-")</f>
        <v>-</v>
      </c>
      <c r="M261" s="27" t="str">
        <f>IFERROR(__xludf.DUMMYFUNCTION("""COMPUTED_VALUE"""),"[C]")</f>
        <v>[C]</v>
      </c>
      <c r="N261" s="27" t="str">
        <f>IFERROR(__xludf.DUMMYFUNCTION("""COMPUTED_VALUE"""),"""If you want this power, put your hand on any part of Faudo's body. Repeat after me... 'Godufa'.""")</f>
        <v>"If you want this power, put your hand on any part of Faudo's body. Repeat after me... 'Godufa'."</v>
      </c>
      <c r="O261" s="27"/>
      <c r="P261" s="27"/>
      <c r="Q261" s="27"/>
      <c r="R261" s="27"/>
      <c r="S261" s="27"/>
      <c r="T261" s="27"/>
      <c r="U261" s="27"/>
      <c r="V261" s="27"/>
      <c r="W261" s="27"/>
      <c r="X261" s="27"/>
      <c r="Y261" s="27"/>
      <c r="Z261" s="27"/>
    </row>
    <row r="262">
      <c r="A262" s="27" t="str">
        <f>IFERROR(__xludf.DUMMYFUNCTION("""COMPUTED_VALUE"""),"E-238")</f>
        <v>E-238</v>
      </c>
      <c r="B262" s="27" t="str">
        <f>IFERROR(__xludf.DUMMYFUNCTION("""COMPUTED_VALUE"""),"Event")</f>
        <v>Event</v>
      </c>
      <c r="C262" s="27" t="str">
        <f>IFERROR(__xludf.DUMMYFUNCTION("""COMPUTED_VALUE"""),"I'm So Happy")</f>
        <v>I'm So Happy</v>
      </c>
      <c r="D262" s="27" t="str">
        <f>IFERROR(__xludf.DUMMYFUNCTION("""COMPUTED_VALUE"""),"-")</f>
        <v>-</v>
      </c>
      <c r="E262" s="27">
        <f>IFERROR(__xludf.DUMMYFUNCTION("""COMPUTED_VALUE"""),0.0)</f>
        <v>0</v>
      </c>
      <c r="F262" s="27" t="str">
        <f>IFERROR(__xludf.DUMMYFUNCTION("""COMPUTED_VALUE"""),"AD")</f>
        <v>AD</v>
      </c>
      <c r="G262" s="27" t="str">
        <f>IFERROR(__xludf.DUMMYFUNCTION("""COMPUTED_VALUE"""),"None")</f>
        <v>None</v>
      </c>
      <c r="H262" s="27" t="str">
        <f>IFERROR(__xludf.DUMMYFUNCTION("""COMPUTED_VALUE"""),"-")</f>
        <v>-</v>
      </c>
      <c r="I262" s="28" t="str">
        <f>IFERROR(__xludf.DUMMYFUNCTION("""COMPUTED_VALUE"""),"This EVENT card can be played only when any of your MAMODO cards are sent to the Discard Pile as a result of your opponent's effects, Damage, or Injury. Apply both of the following effects in any order: ● Turn 1 of your in-play MAMODO cards to Normal Stat"&amp;"us. ● [STAY] Your Spell Book can neither receive Damage, nor can the pages of your Spell Book be turned by your opponent's card effects, during this turn.")</f>
        <v>This EVENT card can be played only when any of your MAMODO cards are sent to the Discard Pile as a result of your opponent's effects, Damage, or Injury. Apply both of the following effects in any order: ● Turn 1 of your in-play MAMODO cards to Normal Status. ● [STAY] Your Spell Book can neither receive Damage, nor can the pages of your Spell Book be turned by your opponent's card effects, during this turn.</v>
      </c>
      <c r="J262" s="27" t="str">
        <f>IFERROR(__xludf.DUMMYFUNCTION("""COMPUTED_VALUE"""),"-")</f>
        <v>-</v>
      </c>
      <c r="K262" s="27" t="str">
        <f>IFERROR(__xludf.DUMMYFUNCTION("""COMPUTED_VALUE"""),"-")</f>
        <v>-</v>
      </c>
      <c r="L262" s="27" t="str">
        <f>IFERROR(__xludf.DUMMYFUNCTION("""COMPUTED_VALUE"""),"-")</f>
        <v>-</v>
      </c>
      <c r="M262" s="27" t="str">
        <f>IFERROR(__xludf.DUMMYFUNCTION("""COMPUTED_VALUE"""),"[C]")</f>
        <v>[C]</v>
      </c>
      <c r="N262" s="27" t="str">
        <f>IFERROR(__xludf.DUMMYFUNCTION("""COMPUTED_VALUE"""),"Heh... Heh heh... I'm so happy...""")</f>
        <v>Heh... Heh heh... I'm so happy..."</v>
      </c>
      <c r="O262" s="27"/>
      <c r="P262" s="27"/>
      <c r="Q262" s="27"/>
      <c r="R262" s="27"/>
      <c r="S262" s="27"/>
      <c r="T262" s="27"/>
      <c r="U262" s="27"/>
      <c r="V262" s="27"/>
      <c r="W262" s="27"/>
      <c r="X262" s="27"/>
      <c r="Y262" s="27"/>
      <c r="Z262" s="27"/>
    </row>
    <row r="263">
      <c r="A263" s="27" t="str">
        <f>IFERROR(__xludf.DUMMYFUNCTION("""COMPUTED_VALUE"""),"E-239")</f>
        <v>E-239</v>
      </c>
      <c r="B263" s="27" t="str">
        <f>IFERROR(__xludf.DUMMYFUNCTION("""COMPUTED_VALUE"""),"Event")</f>
        <v>Event</v>
      </c>
      <c r="C263" s="27" t="str">
        <f>IFERROR(__xludf.DUMMYFUNCTION("""COMPUTED_VALUE"""),"Barrier Wall")</f>
        <v>Barrier Wall</v>
      </c>
      <c r="D263" s="27" t="str">
        <f>IFERROR(__xludf.DUMMYFUNCTION("""COMPUTED_VALUE"""),"-")</f>
        <v>-</v>
      </c>
      <c r="E263" s="27">
        <f>IFERROR(__xludf.DUMMYFUNCTION("""COMPUTED_VALUE"""),3.0)</f>
        <v>3</v>
      </c>
      <c r="F263" s="27" t="str">
        <f>IFERROR(__xludf.DUMMYFUNCTION("""COMPUTED_VALUE"""),"A")</f>
        <v>A</v>
      </c>
      <c r="G263" s="27" t="str">
        <f>IFERROR(__xludf.DUMMYFUNCTION("""COMPUTED_VALUE"""),"Intermediate")</f>
        <v>Intermediate</v>
      </c>
      <c r="H263" s="27" t="str">
        <f>IFERROR(__xludf.DUMMYFUNCTION("""COMPUTED_VALUE"""),"Internal Faudo Event")</f>
        <v>Internal Faudo Event</v>
      </c>
      <c r="I263" s="28" t="str">
        <f>IFERROR(__xludf.DUMMYFUNCTION("""COMPUTED_VALUE"""),"When playing this EVENT card, all active [Stay] ""Inner Faudo Event"" effects are negated. Your opponent selects 2 of their in-play MAMODO cards (or 1 if they only have 1 in-play). [STAY] The Damage of the selected MAMODO cards' Attacks are considered to "&amp;"be 0 during this game.")</f>
        <v>When playing this EVENT card, all active [Stay] "Inner Faudo Event" effects are negated. Your opponent selects 2 of their in-play MAMODO cards (or 1 if they only have 1 in-play). [STAY] The Damage of the selected MAMODO cards' Attacks are considered to be 0 during this game.</v>
      </c>
      <c r="J263" s="27" t="str">
        <f>IFERROR(__xludf.DUMMYFUNCTION("""COMPUTED_VALUE"""),"-")</f>
        <v>-</v>
      </c>
      <c r="K263" s="27" t="str">
        <f>IFERROR(__xludf.DUMMYFUNCTION("""COMPUTED_VALUE"""),"-")</f>
        <v>-</v>
      </c>
      <c r="L263" s="27" t="str">
        <f>IFERROR(__xludf.DUMMYFUNCTION("""COMPUTED_VALUE"""),"-")</f>
        <v>-</v>
      </c>
      <c r="M263" s="27" t="str">
        <f>IFERROR(__xludf.DUMMYFUNCTION("""COMPUTED_VALUE"""),"[U]")</f>
        <v>[U]</v>
      </c>
      <c r="N263" s="27" t="str">
        <f>IFERROR(__xludf.DUMMYFUNCTION("""COMPUTED_VALUE"""),"""Urgh... The spell won't go through!"" ""You mean YOUR spells won't go through!"" ""Wha? His attacks go right through the wall!""")</f>
        <v>"Urgh... The spell won't go through!" "You mean YOUR spells won't go through!" "Wha? His attacks go right through the wall!"</v>
      </c>
      <c r="O263" s="27"/>
      <c r="P263" s="27"/>
      <c r="Q263" s="27"/>
      <c r="R263" s="27"/>
      <c r="S263" s="27"/>
      <c r="T263" s="27"/>
      <c r="U263" s="27"/>
      <c r="V263" s="27"/>
      <c r="W263" s="27"/>
      <c r="X263" s="27"/>
      <c r="Y263" s="27"/>
      <c r="Z263" s="27"/>
    </row>
    <row r="264">
      <c r="A264" s="27" t="str">
        <f>IFERROR(__xludf.DUMMYFUNCTION("""COMPUTED_VALUE"""),"E-240")</f>
        <v>E-240</v>
      </c>
      <c r="B264" s="27" t="str">
        <f>IFERROR(__xludf.DUMMYFUNCTION("""COMPUTED_VALUE"""),"Event")</f>
        <v>Event</v>
      </c>
      <c r="C264" s="27" t="str">
        <f>IFERROR(__xludf.DUMMYFUNCTION("""COMPUTED_VALUE"""),"A Man Who Can Strike The King")</f>
        <v>A Man Who Can Strike The King</v>
      </c>
      <c r="D264" s="27" t="str">
        <f>IFERROR(__xludf.DUMMYFUNCTION("""COMPUTED_VALUE"""),"-")</f>
        <v>-</v>
      </c>
      <c r="E264" s="27">
        <f>IFERROR(__xludf.DUMMYFUNCTION("""COMPUTED_VALUE"""),4.0)</f>
        <v>4</v>
      </c>
      <c r="F264" s="27" t="str">
        <f>IFERROR(__xludf.DUMMYFUNCTION("""COMPUTED_VALUE"""),"AD")</f>
        <v>AD</v>
      </c>
      <c r="G264" s="27" t="str">
        <f>IFERROR(__xludf.DUMMYFUNCTION("""COMPUTED_VALUE"""),"Intermediate")</f>
        <v>Intermediate</v>
      </c>
      <c r="H264" s="27" t="str">
        <f>IFERROR(__xludf.DUMMYFUNCTION("""COMPUTED_VALUE"""),"-")</f>
        <v>-</v>
      </c>
      <c r="I264" s="28" t="str">
        <f>IFERROR(__xludf.DUMMYFUNCTION("""COMPUTED_VALUE"""),"Apply both of the following effects in order: ● [STAY] During this turn, your opponent's MAMODO cards can receive Damage or Injury, and can be sent to the Discard Pile, even when prohibited to do so by your opponent's card effects. ● Injure 1 of your oppo"&amp;"nent's MAMODO cards.")</f>
        <v>Apply both of the following effects in order: ● [STAY] During this turn, your opponent's MAMODO cards can receive Damage or Injury, and can be sent to the Discard Pile, even when prohibited to do so by your opponent's card effects. ● Injure 1 of your opponent's MAMODO cards.</v>
      </c>
      <c r="J264" s="27" t="str">
        <f>IFERROR(__xludf.DUMMYFUNCTION("""COMPUTED_VALUE"""),"-")</f>
        <v>-</v>
      </c>
      <c r="K264" s="27" t="str">
        <f>IFERROR(__xludf.DUMMYFUNCTION("""COMPUTED_VALUE"""),"-")</f>
        <v>-</v>
      </c>
      <c r="L264" s="27" t="str">
        <f>IFERROR(__xludf.DUMMYFUNCTION("""COMPUTED_VALUE"""),"-")</f>
        <v>-</v>
      </c>
      <c r="M264" s="27" t="str">
        <f>IFERROR(__xludf.DUMMYFUNCTION("""COMPUTED_VALUE"""),"[C]")</f>
        <v>[C]</v>
      </c>
      <c r="N264" s="27" t="str">
        <f>IFERROR(__xludf.DUMMYFUNCTION("""COMPUTED_VALUE"""),"""Just because somebody is King, that doesn't mean that person is perfect. When he falls out of line... you can knock some sense into him.""")</f>
        <v>"Just because somebody is King, that doesn't mean that person is perfect. When he falls out of line... you can knock some sense into him."</v>
      </c>
      <c r="O264" s="27"/>
      <c r="P264" s="27"/>
      <c r="Q264" s="27"/>
      <c r="R264" s="27"/>
      <c r="S264" s="27"/>
      <c r="T264" s="27"/>
      <c r="U264" s="27"/>
      <c r="V264" s="27"/>
      <c r="W264" s="27"/>
      <c r="X264" s="27"/>
      <c r="Y264" s="27"/>
      <c r="Z264" s="27"/>
    </row>
    <row r="265">
      <c r="A265" s="27" t="str">
        <f>IFERROR(__xludf.DUMMYFUNCTION("""COMPUTED_VALUE"""),"E-241")</f>
        <v>E-241</v>
      </c>
      <c r="B265" s="27" t="str">
        <f>IFERROR(__xludf.DUMMYFUNCTION("""COMPUTED_VALUE"""),"Event")</f>
        <v>Event</v>
      </c>
      <c r="C265" s="27" t="str">
        <f>IFERROR(__xludf.DUMMYFUNCTION("""COMPUTED_VALUE"""),"A Promise to Each Other")</f>
        <v>A Promise to Each Other</v>
      </c>
      <c r="D265" s="27" t="str">
        <f>IFERROR(__xludf.DUMMYFUNCTION("""COMPUTED_VALUE"""),"-")</f>
        <v>-</v>
      </c>
      <c r="E265" s="27">
        <f>IFERROR(__xludf.DUMMYFUNCTION("""COMPUTED_VALUE"""),2.0)</f>
        <v>2</v>
      </c>
      <c r="F265" s="27" t="str">
        <f>IFERROR(__xludf.DUMMYFUNCTION("""COMPUTED_VALUE"""),"AD")</f>
        <v>AD</v>
      </c>
      <c r="G265" s="27" t="str">
        <f>IFERROR(__xludf.DUMMYFUNCTION("""COMPUTED_VALUE"""),"None")</f>
        <v>None</v>
      </c>
      <c r="H265" s="27" t="str">
        <f>IFERROR(__xludf.DUMMYFUNCTION("""COMPUTED_VALUE"""),"-")</f>
        <v>-</v>
      </c>
      <c r="I265" s="28" t="str">
        <f>IFERROR(__xludf.DUMMYFUNCTION("""COMPUTED_VALUE"""),"Apply both of the following effects in order: ● [STAY] Your DUAL MAMODO cards do not receive Damage or Injury, and cannot be sent to the Discard Pile by your opponent's card effects, until the END PHASE of the next turn. ● [STAY] Your [Stay] effects canno"&amp;"t be negated by your opponent's card effects until the END PHASE of the next turn (except this effect).")</f>
        <v>Apply both of the following effects in order: ● [STAY] Your DUAL MAMODO cards do not receive Damage or Injury, and cannot be sent to the Discard Pile by your opponent's card effects, until the END PHASE of the next turn. ● [STAY] Your [Stay] effects cannot be negated by your opponent's card effects until the END PHASE of the next turn (except this effect).</v>
      </c>
      <c r="J265" s="27" t="str">
        <f>IFERROR(__xludf.DUMMYFUNCTION("""COMPUTED_VALUE"""),"-")</f>
        <v>-</v>
      </c>
      <c r="K265" s="27" t="str">
        <f>IFERROR(__xludf.DUMMYFUNCTION("""COMPUTED_VALUE"""),"-")</f>
        <v>-</v>
      </c>
      <c r="L265" s="27" t="str">
        <f>IFERROR(__xludf.DUMMYFUNCTION("""COMPUTED_VALUE"""),"-")</f>
        <v>-</v>
      </c>
      <c r="M265" s="27" t="str">
        <f>IFERROR(__xludf.DUMMYFUNCTION("""COMPUTED_VALUE"""),"[U]")</f>
        <v>[U]</v>
      </c>
      <c r="N265" s="27" t="str">
        <f>IFERROR(__xludf.DUMMYFUNCTION("""COMPUTED_VALUE"""),"""Let's make a promise to each other! Let's promise to survive, and protect the machine together! Make a promise to me and Arth!""")</f>
        <v>"Let's make a promise to each other! Let's promise to survive, and protect the machine together! Make a promise to me and Arth!"</v>
      </c>
      <c r="O265" s="27"/>
      <c r="P265" s="27"/>
      <c r="Q265" s="27"/>
      <c r="R265" s="27"/>
      <c r="S265" s="27"/>
      <c r="T265" s="27"/>
      <c r="U265" s="27"/>
      <c r="V265" s="27"/>
      <c r="W265" s="27"/>
      <c r="X265" s="27"/>
      <c r="Y265" s="27"/>
      <c r="Z265" s="27"/>
    </row>
    <row r="266">
      <c r="A266" s="27" t="str">
        <f>IFERROR(__xludf.DUMMYFUNCTION("""COMPUTED_VALUE"""),"E-242")</f>
        <v>E-242</v>
      </c>
      <c r="B266" s="27" t="str">
        <f>IFERROR(__xludf.DUMMYFUNCTION("""COMPUTED_VALUE"""),"Event")</f>
        <v>Event</v>
      </c>
      <c r="C266" s="27" t="str">
        <f>IFERROR(__xludf.DUMMYFUNCTION("""COMPUTED_VALUE"""),"Light Among the Shadows")</f>
        <v>Light Among the Shadows</v>
      </c>
      <c r="D266" s="27" t="str">
        <f>IFERROR(__xludf.DUMMYFUNCTION("""COMPUTED_VALUE"""),"-")</f>
        <v>-</v>
      </c>
      <c r="E266" s="27">
        <f>IFERROR(__xludf.DUMMYFUNCTION("""COMPUTED_VALUE"""),3.0)</f>
        <v>3</v>
      </c>
      <c r="F266" s="27" t="str">
        <f>IFERROR(__xludf.DUMMYFUNCTION("""COMPUTED_VALUE"""),"AD")</f>
        <v>AD</v>
      </c>
      <c r="G266" s="27" t="str">
        <f>IFERROR(__xludf.DUMMYFUNCTION("""COMPUTED_VALUE"""),"Intermediate")</f>
        <v>Intermediate</v>
      </c>
      <c r="H266" s="27" t="str">
        <f>IFERROR(__xludf.DUMMYFUNCTION("""COMPUTED_VALUE"""),"-")</f>
        <v>-</v>
      </c>
      <c r="I266" s="28" t="str">
        <f>IFERROR(__xludf.DUMMYFUNCTION("""COMPUTED_VALUE"""),"Both players select all of their in-play cards except 1 MAMODO card (and its attached PARTNER card(s), if any) on their respective sides of play. [STAY] Neither player may apply the effects of the selected cards, and none of the selected MAMODO cards can "&amp;"SACRIFICE or PROTECT their Spell Book from Damage, until the END PHASE of the next turn.")</f>
        <v>Both players select all of their in-play cards except 1 MAMODO card (and its attached PARTNER card(s), if any) on their respective sides of play. [STAY] Neither player may apply the effects of the selected cards, and none of the selected MAMODO cards can SACRIFICE or PROTECT their Spell Book from Damage, until the END PHASE of the next turn.</v>
      </c>
      <c r="J266" s="27" t="str">
        <f>IFERROR(__xludf.DUMMYFUNCTION("""COMPUTED_VALUE"""),"-")</f>
        <v>-</v>
      </c>
      <c r="K266" s="27" t="str">
        <f>IFERROR(__xludf.DUMMYFUNCTION("""COMPUTED_VALUE"""),"-")</f>
        <v>-</v>
      </c>
      <c r="L266" s="27" t="str">
        <f>IFERROR(__xludf.DUMMYFUNCTION("""COMPUTED_VALUE"""),"-")</f>
        <v>-</v>
      </c>
      <c r="M266" s="27" t="str">
        <f>IFERROR(__xludf.DUMMYFUNCTION("""COMPUTED_VALUE"""),"[U]")</f>
        <v>[U]</v>
      </c>
      <c r="N266" s="27" t="str">
        <f>IFERROR(__xludf.DUMMYFUNCTION("""COMPUTED_VALUE"""),"""Dufort, if only you'd met someone like Zatch... Your eyes could have been opened to a brand new world.""")</f>
        <v>"Dufort, if only you'd met someone like Zatch... Your eyes could have been opened to a brand new world."</v>
      </c>
      <c r="O266" s="27"/>
      <c r="P266" s="27"/>
      <c r="Q266" s="27"/>
      <c r="R266" s="27"/>
      <c r="S266" s="27"/>
      <c r="T266" s="27"/>
      <c r="U266" s="27"/>
      <c r="V266" s="27"/>
      <c r="W266" s="27"/>
      <c r="X266" s="27"/>
      <c r="Y266" s="27"/>
      <c r="Z266" s="27"/>
    </row>
    <row r="267">
      <c r="A267" s="27" t="str">
        <f>IFERROR(__xludf.DUMMYFUNCTION("""COMPUTED_VALUE"""),"E-243")</f>
        <v>E-243</v>
      </c>
      <c r="B267" s="27" t="str">
        <f>IFERROR(__xludf.DUMMYFUNCTION("""COMPUTED_VALUE"""),"Event")</f>
        <v>Event</v>
      </c>
      <c r="C267" s="27" t="str">
        <f>IFERROR(__xludf.DUMMYFUNCTION("""COMPUTED_VALUE"""),"To Be Continued...")</f>
        <v>To Be Continued...</v>
      </c>
      <c r="D267" s="27" t="str">
        <f>IFERROR(__xludf.DUMMYFUNCTION("""COMPUTED_VALUE"""),"-")</f>
        <v>-</v>
      </c>
      <c r="E267" s="27">
        <f>IFERROR(__xludf.DUMMYFUNCTION("""COMPUTED_VALUE"""),0.0)</f>
        <v>0</v>
      </c>
      <c r="F267" s="27" t="str">
        <f>IFERROR(__xludf.DUMMYFUNCTION("""COMPUTED_VALUE"""),"A")</f>
        <v>A</v>
      </c>
      <c r="G267" s="27" t="str">
        <f>IFERROR(__xludf.DUMMYFUNCTION("""COMPUTED_VALUE"""),"Superior")</f>
        <v>Superior</v>
      </c>
      <c r="H267" s="27" t="str">
        <f>IFERROR(__xludf.DUMMYFUNCTION("""COMPUTED_VALUE"""),"-")</f>
        <v>-</v>
      </c>
      <c r="I267" s="28" t="str">
        <f>IFERROR(__xludf.DUMMYFUNCTION("""COMPUTED_VALUE"""),"Apply both of the following effects in order. This effect can be applied only once per game (per player): ● Turn back 2 pages of your Spell Book. Effects that turn back pages of your Spell Book can be applied only once per turn (per player). ● Turn back 2"&amp;" pages of your opponent's Spell Book. ""You look well, Zatch and Kiyo.""")</f>
        <v>Apply both of the following effects in order. This effect can be applied only once per game (per player): ● Turn back 2 pages of your Spell Book. Effects that turn back pages of your Spell Book can be applied only once per turn (per player). ● Turn back 2 pages of your opponent's Spell Book. "You look well, Zatch and Kiyo."</v>
      </c>
      <c r="J267" s="27" t="str">
        <f>IFERROR(__xludf.DUMMYFUNCTION("""COMPUTED_VALUE"""),"-")</f>
        <v>-</v>
      </c>
      <c r="K267" s="27" t="str">
        <f>IFERROR(__xludf.DUMMYFUNCTION("""COMPUTED_VALUE"""),"-")</f>
        <v>-</v>
      </c>
      <c r="L267" s="27" t="str">
        <f>IFERROR(__xludf.DUMMYFUNCTION("""COMPUTED_VALUE"""),"-")</f>
        <v>-</v>
      </c>
      <c r="M267" s="27" t="str">
        <f>IFERROR(__xludf.DUMMYFUNCTION("""COMPUTED_VALUE"""),"[C]")</f>
        <v>[C]</v>
      </c>
      <c r="N267" s="27" t="str">
        <f>IFERROR(__xludf.DUMMYFUNCTION("""COMPUTED_VALUE"""),"""Hey, you called me by my name this time!""")</f>
        <v>"Hey, you called me by my name this time!"</v>
      </c>
      <c r="O267" s="27"/>
      <c r="P267" s="27"/>
      <c r="Q267" s="27"/>
      <c r="R267" s="27"/>
      <c r="S267" s="27"/>
      <c r="T267" s="27"/>
      <c r="U267" s="27"/>
      <c r="V267" s="27"/>
      <c r="W267" s="27"/>
      <c r="X267" s="27"/>
      <c r="Y267" s="27"/>
      <c r="Z267" s="27"/>
    </row>
    <row r="268">
      <c r="A268" s="29" t="str">
        <f>IFERROR(__xludf.DUMMYFUNCTION("""COMPUTED_VALUE"""),"EX-000")</f>
        <v>EX-000</v>
      </c>
      <c r="B268" s="27" t="str">
        <f>IFERROR(__xludf.DUMMYFUNCTION("""COMPUTED_VALUE"""),"Event")</f>
        <v>Event</v>
      </c>
      <c r="C268" s="27" t="str">
        <f>IFERROR(__xludf.DUMMYFUNCTION("""COMPUTED_VALUE"""),"A Battle Once Every Thousand Years")</f>
        <v>A Battle Once Every Thousand Years</v>
      </c>
      <c r="D268" s="27" t="str">
        <f>IFERROR(__xludf.DUMMYFUNCTION("""COMPUTED_VALUE"""),"-")</f>
        <v>-</v>
      </c>
      <c r="E268" s="27">
        <f>IFERROR(__xludf.DUMMYFUNCTION("""COMPUTED_VALUE"""),2.0)</f>
        <v>2</v>
      </c>
      <c r="F268" s="27" t="str">
        <f>IFERROR(__xludf.DUMMYFUNCTION("""COMPUTED_VALUE"""),"A")</f>
        <v>A</v>
      </c>
      <c r="G268" s="27" t="str">
        <f>IFERROR(__xludf.DUMMYFUNCTION("""COMPUTED_VALUE"""),"None")</f>
        <v>None</v>
      </c>
      <c r="H268" s="27" t="str">
        <f>IFERROR(__xludf.DUMMYFUNCTION("""COMPUTED_VALUE"""),"-")</f>
        <v>-</v>
      </c>
      <c r="I268" s="28" t="str">
        <f>IFERROR(__xludf.DUMMYFUNCTION("""COMPUTED_VALUE"""),"Apply 1 of the following effects: ● If you have no Stone Tablet MAMODO cards in play, Injure 1 of your opponent's Stone Tablet MAMODO cards. ● If the only MAMODO you have in play are Stone Tablet MAMODO, Injure 1 of your opponent's MAMODO cards (except St"&amp;"one Tablet MAMODO).")</f>
        <v>Apply 1 of the following effects: ● If you have no Stone Tablet MAMODO cards in play, Injure 1 of your opponent's Stone Tablet MAMODO cards. ● If the only MAMODO you have in play are Stone Tablet MAMODO, Injure 1 of your opponent's MAMODO cards (except Stone Tablet MAMODO).</v>
      </c>
      <c r="J268" s="27" t="str">
        <f>IFERROR(__xludf.DUMMYFUNCTION("""COMPUTED_VALUE"""),"-")</f>
        <v>-</v>
      </c>
      <c r="K268" s="27" t="str">
        <f>IFERROR(__xludf.DUMMYFUNCTION("""COMPUTED_VALUE"""),"-")</f>
        <v>-</v>
      </c>
      <c r="L268" s="27" t="str">
        <f>IFERROR(__xludf.DUMMYFUNCTION("""COMPUTED_VALUE"""),"-")</f>
        <v>-</v>
      </c>
      <c r="M268" s="27" t="str">
        <f>IFERROR(__xludf.DUMMYFUNCTION("""COMPUTED_VALUE"""),"[R]")</f>
        <v>[R]</v>
      </c>
      <c r="N268" s="27" t="str">
        <f>IFERROR(__xludf.DUMMYFUNCTION("""COMPUTED_VALUE"""),"Once every thousand years, a battles takes place in the human world to determine who will be the mamodo king.")</f>
        <v>Once every thousand years, a battles takes place in the human world to determine who will be the mamodo king.</v>
      </c>
      <c r="O268" s="27"/>
      <c r="P268" s="27"/>
      <c r="Q268" s="27"/>
      <c r="R268" s="27"/>
      <c r="S268" s="27"/>
      <c r="T268" s="27"/>
      <c r="U268" s="27"/>
      <c r="V268" s="27"/>
      <c r="W268" s="27"/>
      <c r="X268" s="27"/>
      <c r="Y268" s="27"/>
      <c r="Z268" s="27"/>
    </row>
    <row r="269">
      <c r="A269" s="29" t="str">
        <f>IFERROR(__xludf.DUMMYFUNCTION("""COMPUTED_VALUE"""),"EX-001")</f>
        <v>EX-001</v>
      </c>
      <c r="B269" s="27" t="str">
        <f>IFERROR(__xludf.DUMMYFUNCTION("""COMPUTED_VALUE"""),"Mamodo")</f>
        <v>Mamodo</v>
      </c>
      <c r="C269" s="27" t="str">
        <f>IFERROR(__xludf.DUMMYFUNCTION("""COMPUTED_VALUE"""),"Zatch Bell")</f>
        <v>Zatch Bell</v>
      </c>
      <c r="D269" s="27" t="str">
        <f>IFERROR(__xludf.DUMMYFUNCTION("""COMPUTED_VALUE"""),"Zatch Bell")</f>
        <v>Zatch Bell</v>
      </c>
      <c r="E269" s="27" t="str">
        <f>IFERROR(__xludf.DUMMYFUNCTION("""COMPUTED_VALUE"""),"-")</f>
        <v>-</v>
      </c>
      <c r="F269" s="27" t="str">
        <f>IFERROR(__xludf.DUMMYFUNCTION("""COMPUTED_VALUE"""),"-")</f>
        <v>-</v>
      </c>
      <c r="G269" s="27" t="str">
        <f>IFERROR(__xludf.DUMMYFUNCTION("""COMPUTED_VALUE"""),"None")</f>
        <v>None</v>
      </c>
      <c r="H269" s="27" t="str">
        <f>IFERROR(__xludf.DUMMYFUNCTION("""COMPUTED_VALUE"""),"Strong Resolve")</f>
        <v>Strong Resolve</v>
      </c>
      <c r="I269" s="28" t="str">
        <f>IFERROR(__xludf.DUMMYFUNCTION("""COMPUTED_VALUE"""),"-")</f>
        <v>-</v>
      </c>
      <c r="J269" s="27">
        <f>IFERROR(__xludf.DUMMYFUNCTION("""COMPUTED_VALUE"""),4500.0)</f>
        <v>4500</v>
      </c>
      <c r="K269" s="27" t="str">
        <f>IFERROR(__xludf.DUMMYFUNCTION("""COMPUTED_VALUE"""),"-")</f>
        <v>-</v>
      </c>
      <c r="L269" s="27" t="str">
        <f>IFERROR(__xludf.DUMMYFUNCTION("""COMPUTED_VALUE"""),"The Gathering Storm, Series 3, Expansion Sheet 1")</f>
        <v>The Gathering Storm, Series 3, Expansion Sheet 1</v>
      </c>
      <c r="M269" s="27" t="str">
        <f>IFERROR(__xludf.DUMMYFUNCTION("""COMPUTED_VALUE"""),"[C]")</f>
        <v>[C]</v>
      </c>
      <c r="N269" s="27" t="str">
        <f>IFERROR(__xludf.DUMMYFUNCTION("""COMPUTED_VALUE"""),"Zatch is pure of heart and courageous.")</f>
        <v>Zatch is pure of heart and courageous.</v>
      </c>
      <c r="O269" s="27"/>
      <c r="P269" s="27"/>
      <c r="Q269" s="27"/>
      <c r="R269" s="27"/>
      <c r="S269" s="27"/>
      <c r="T269" s="27"/>
      <c r="U269" s="27"/>
      <c r="V269" s="27"/>
      <c r="W269" s="27"/>
      <c r="X269" s="27"/>
      <c r="Y269" s="27"/>
      <c r="Z269" s="27"/>
    </row>
    <row r="270">
      <c r="A270" s="29" t="str">
        <f>IFERROR(__xludf.DUMMYFUNCTION("""COMPUTED_VALUE"""),"EX-002")</f>
        <v>EX-002</v>
      </c>
      <c r="B270" s="27" t="str">
        <f>IFERROR(__xludf.DUMMYFUNCTION("""COMPUTED_VALUE"""),"Mamodo")</f>
        <v>Mamodo</v>
      </c>
      <c r="C270" s="27" t="str">
        <f>IFERROR(__xludf.DUMMYFUNCTION("""COMPUTED_VALUE"""),"Nya")</f>
        <v>Nya</v>
      </c>
      <c r="D270" s="27" t="str">
        <f>IFERROR(__xludf.DUMMYFUNCTION("""COMPUTED_VALUE"""),"Nya")</f>
        <v>Nya</v>
      </c>
      <c r="E270" s="27" t="str">
        <f>IFERROR(__xludf.DUMMYFUNCTION("""COMPUTED_VALUE"""),"-")</f>
        <v>-</v>
      </c>
      <c r="F270" s="27" t="str">
        <f>IFERROR(__xludf.DUMMYFUNCTION("""COMPUTED_VALUE"""),"-")</f>
        <v>-</v>
      </c>
      <c r="G270" s="27" t="str">
        <f>IFERROR(__xludf.DUMMYFUNCTION("""COMPUTED_VALUE"""),"None")</f>
        <v>None</v>
      </c>
      <c r="H270" s="27" t="str">
        <f>IFERROR(__xludf.DUMMYFUNCTION("""COMPUTED_VALUE"""),"Meow")</f>
        <v>Meow</v>
      </c>
      <c r="I270" s="28" t="str">
        <f>IFERROR(__xludf.DUMMYFUNCTION("""COMPUTED_VALUE"""),"[2 MP] [STAY] Reduce the Power of 1 of your opponent's in-play MAMODO cards by 2000.")</f>
        <v>[2 MP] [STAY] Reduce the Power of 1 of your opponent's in-play MAMODO cards by 2000.</v>
      </c>
      <c r="J270" s="27">
        <f>IFERROR(__xludf.DUMMYFUNCTION("""COMPUTED_VALUE"""),2000.0)</f>
        <v>2000</v>
      </c>
      <c r="K270" s="27" t="str">
        <f>IFERROR(__xludf.DUMMYFUNCTION("""COMPUTED_VALUE"""),"-")</f>
        <v>-</v>
      </c>
      <c r="L270" s="27" t="str">
        <f>IFERROR(__xludf.DUMMYFUNCTION("""COMPUTED_VALUE"""),"Supreme Power of the Golden Spell, Series 2, Expansion Sheet 1, The Best Booster 1")</f>
        <v>Supreme Power of the Golden Spell, Series 2, Expansion Sheet 1, The Best Booster 1</v>
      </c>
      <c r="M270" s="27" t="str">
        <f>IFERROR(__xludf.DUMMYFUNCTION("""COMPUTED_VALUE"""),"[C]")</f>
        <v>[C]</v>
      </c>
      <c r="N270" s="27" t="str">
        <f>IFERROR(__xludf.DUMMYFUNCTION("""COMPUTED_VALUE"""),"“Meow~~!”")</f>
        <v>“Meow~~!”</v>
      </c>
      <c r="O270" s="27"/>
      <c r="P270" s="27"/>
      <c r="Q270" s="27"/>
      <c r="R270" s="27"/>
      <c r="S270" s="27"/>
      <c r="T270" s="27"/>
      <c r="U270" s="27"/>
      <c r="V270" s="27"/>
      <c r="W270" s="27"/>
      <c r="X270" s="27"/>
      <c r="Y270" s="27"/>
      <c r="Z270" s="27"/>
    </row>
    <row r="271">
      <c r="A271" s="29" t="str">
        <f>IFERROR(__xludf.DUMMYFUNCTION("""COMPUTED_VALUE"""),"EX-003")</f>
        <v>EX-003</v>
      </c>
      <c r="B271" s="27" t="str">
        <f>IFERROR(__xludf.DUMMYFUNCTION("""COMPUTED_VALUE"""),"Mamodo")</f>
        <v>Mamodo</v>
      </c>
      <c r="C271" s="27" t="str">
        <f>IFERROR(__xludf.DUMMYFUNCTION("""COMPUTED_VALUE"""),"Cut N' Paste")</f>
        <v>Cut N' Paste</v>
      </c>
      <c r="D271" s="27" t="str">
        <f>IFERROR(__xludf.DUMMYFUNCTION("""COMPUTED_VALUE"""),"Cut N' Paste")</f>
        <v>Cut N' Paste</v>
      </c>
      <c r="E271" s="27" t="str">
        <f>IFERROR(__xludf.DUMMYFUNCTION("""COMPUTED_VALUE"""),"-")</f>
        <v>-</v>
      </c>
      <c r="F271" s="27" t="str">
        <f>IFERROR(__xludf.DUMMYFUNCTION("""COMPUTED_VALUE"""),"-")</f>
        <v>-</v>
      </c>
      <c r="G271" s="27" t="str">
        <f>IFERROR(__xludf.DUMMYFUNCTION("""COMPUTED_VALUE"""),"None")</f>
        <v>None</v>
      </c>
      <c r="H271" s="27" t="str">
        <f>IFERROR(__xludf.DUMMYFUNCTION("""COMPUTED_VALUE"""),"Crafty Mamodo")</f>
        <v>Crafty Mamodo</v>
      </c>
      <c r="I271" s="28" t="str">
        <f>IFERROR(__xludf.DUMMYFUNCTION("""COMPUTED_VALUE"""),"[DECLARE TO USE] Look at the currently open pages of your opponent's Spell Book. Select 1 of either card and send it to the Discard Pile. This effect can be applied only once per game (per player).")</f>
        <v>[DECLARE TO USE] Look at the currently open pages of your opponent's Spell Book. Select 1 of either card and send it to the Discard Pile. This effect can be applied only once per game (per player).</v>
      </c>
      <c r="J271" s="27">
        <f>IFERROR(__xludf.DUMMYFUNCTION("""COMPUTED_VALUE"""),1500.0)</f>
        <v>1500</v>
      </c>
      <c r="K271" s="27" t="str">
        <f>IFERROR(__xludf.DUMMYFUNCTION("""COMPUTED_VALUE"""),"-")</f>
        <v>-</v>
      </c>
      <c r="L271" s="27" t="str">
        <f>IFERROR(__xludf.DUMMYFUNCTION("""COMPUTED_VALUE"""),"The Gathering Storm, Series 3, Expansion Sheet 1, The Best Booster 1")</f>
        <v>The Gathering Storm, Series 3, Expansion Sheet 1, The Best Booster 1</v>
      </c>
      <c r="M271" s="27" t="str">
        <f>IFERROR(__xludf.DUMMYFUNCTION("""COMPUTED_VALUE"""),"[U]")</f>
        <v>[U]</v>
      </c>
      <c r="N271" s="27" t="str">
        <f>IFERROR(__xludf.DUMMYFUNCTION("""COMPUTED_VALUE"""),"A mamodo who uses paste and scissors as weapons.")</f>
        <v>A mamodo who uses paste and scissors as weapons.</v>
      </c>
      <c r="O271" s="27"/>
      <c r="P271" s="27"/>
      <c r="Q271" s="27"/>
      <c r="R271" s="27"/>
      <c r="S271" s="27"/>
      <c r="T271" s="27"/>
      <c r="U271" s="27"/>
      <c r="V271" s="27"/>
      <c r="W271" s="27"/>
      <c r="X271" s="27"/>
      <c r="Y271" s="27"/>
      <c r="Z271" s="27"/>
    </row>
    <row r="272">
      <c r="A272" s="29" t="str">
        <f>IFERROR(__xludf.DUMMYFUNCTION("""COMPUTED_VALUE"""),"EX-004")</f>
        <v>EX-004</v>
      </c>
      <c r="B272" s="27" t="str">
        <f>IFERROR(__xludf.DUMMYFUNCTION("""COMPUTED_VALUE"""),"Mamodo")</f>
        <v>Mamodo</v>
      </c>
      <c r="C272" s="27" t="str">
        <f>IFERROR(__xludf.DUMMYFUNCTION("""COMPUTED_VALUE"""),"Hyde")</f>
        <v>Hyde</v>
      </c>
      <c r="D272" s="27" t="str">
        <f>IFERROR(__xludf.DUMMYFUNCTION("""COMPUTED_VALUE"""),"Hyde")</f>
        <v>Hyde</v>
      </c>
      <c r="E272" s="27" t="str">
        <f>IFERROR(__xludf.DUMMYFUNCTION("""COMPUTED_VALUE"""),"-")</f>
        <v>-</v>
      </c>
      <c r="F272" s="27" t="str">
        <f>IFERROR(__xludf.DUMMYFUNCTION("""COMPUTED_VALUE"""),"-")</f>
        <v>-</v>
      </c>
      <c r="G272" s="27" t="str">
        <f>IFERROR(__xludf.DUMMYFUNCTION("""COMPUTED_VALUE"""),"None")</f>
        <v>None</v>
      </c>
      <c r="H272" s="27" t="str">
        <f>IFERROR(__xludf.DUMMYFUNCTION("""COMPUTED_VALUE"""),"Child of the Wind")</f>
        <v>Child of the Wind</v>
      </c>
      <c r="I272" s="28" t="str">
        <f>IFERROR(__xludf.DUMMYFUNCTION("""COMPUTED_VALUE"""),"-")</f>
        <v>-</v>
      </c>
      <c r="J272" s="27">
        <f>IFERROR(__xludf.DUMMYFUNCTION("""COMPUTED_VALUE"""),4000.0)</f>
        <v>4000</v>
      </c>
      <c r="K272" s="27" t="str">
        <f>IFERROR(__xludf.DUMMYFUNCTION("""COMPUTED_VALUE"""),"-")</f>
        <v>-</v>
      </c>
      <c r="L272" s="27" t="str">
        <f>IFERROR(__xludf.DUMMYFUNCTION("""COMPUTED_VALUE"""),"The Gathering Storm, Series 3, Expansion Sheet 1")</f>
        <v>The Gathering Storm, Series 3, Expansion Sheet 1</v>
      </c>
      <c r="M272" s="27" t="str">
        <f>IFERROR(__xludf.DUMMYFUNCTION("""COMPUTED_VALUE"""),"[C]")</f>
        <v>[C]</v>
      </c>
      <c r="N272" s="27" t="str">
        <f>IFERROR(__xludf.DUMMYFUNCTION("""COMPUTED_VALUE"""),"Hyde is able to control wind.")</f>
        <v>Hyde is able to control wind.</v>
      </c>
      <c r="O272" s="27"/>
      <c r="P272" s="27"/>
      <c r="Q272" s="27"/>
      <c r="R272" s="27"/>
      <c r="S272" s="27"/>
      <c r="T272" s="27"/>
      <c r="U272" s="27"/>
      <c r="V272" s="27"/>
      <c r="W272" s="27"/>
      <c r="X272" s="27"/>
      <c r="Y272" s="27"/>
      <c r="Z272" s="27"/>
    </row>
    <row r="273">
      <c r="A273" s="29" t="str">
        <f>IFERROR(__xludf.DUMMYFUNCTION("""COMPUTED_VALUE"""),"EX-005")</f>
        <v>EX-005</v>
      </c>
      <c r="B273" s="27" t="str">
        <f>IFERROR(__xludf.DUMMYFUNCTION("""COMPUTED_VALUE"""),"Mamodo")</f>
        <v>Mamodo</v>
      </c>
      <c r="C273" s="27" t="str">
        <f>IFERROR(__xludf.DUMMYFUNCTION("""COMPUTED_VALUE"""),"Tia")</f>
        <v>Tia</v>
      </c>
      <c r="D273" s="27" t="str">
        <f>IFERROR(__xludf.DUMMYFUNCTION("""COMPUTED_VALUE"""),"Tia")</f>
        <v>Tia</v>
      </c>
      <c r="E273" s="27" t="str">
        <f>IFERROR(__xludf.DUMMYFUNCTION("""COMPUTED_VALUE"""),"-")</f>
        <v>-</v>
      </c>
      <c r="F273" s="27" t="str">
        <f>IFERROR(__xludf.DUMMYFUNCTION("""COMPUTED_VALUE"""),"-")</f>
        <v>-</v>
      </c>
      <c r="G273" s="27" t="str">
        <f>IFERROR(__xludf.DUMMYFUNCTION("""COMPUTED_VALUE"""),"None")</f>
        <v>None</v>
      </c>
      <c r="H273" s="27" t="str">
        <f>IFERROR(__xludf.DUMMYFUNCTION("""COMPUTED_VALUE"""),"Unyielding Defense")</f>
        <v>Unyielding Defense</v>
      </c>
      <c r="I273" s="28" t="str">
        <f>IFERROR(__xludf.DUMMYFUNCTION("""COMPUTED_VALUE"""),"-")</f>
        <v>-</v>
      </c>
      <c r="J273" s="27">
        <f>IFERROR(__xludf.DUMMYFUNCTION("""COMPUTED_VALUE"""),4000.0)</f>
        <v>4000</v>
      </c>
      <c r="K273" s="27" t="str">
        <f>IFERROR(__xludf.DUMMYFUNCTION("""COMPUTED_VALUE"""),"-")</f>
        <v>-</v>
      </c>
      <c r="L273" s="27" t="str">
        <f>IFERROR(__xludf.DUMMYFUNCTION("""COMPUTED_VALUE"""),"The Gathering Storm, Series 3, Expansion Sheet 1")</f>
        <v>The Gathering Storm, Series 3, Expansion Sheet 1</v>
      </c>
      <c r="M273" s="27" t="str">
        <f>IFERROR(__xludf.DUMMYFUNCTION("""COMPUTED_VALUE"""),"[C]")</f>
        <v>[C]</v>
      </c>
      <c r="N273" s="27" t="str">
        <f>IFERROR(__xludf.DUMMYFUNCTION("""COMPUTED_VALUE"""),"Tia has strong defensive skills.")</f>
        <v>Tia has strong defensive skills.</v>
      </c>
      <c r="O273" s="27"/>
      <c r="P273" s="27"/>
      <c r="Q273" s="27"/>
      <c r="R273" s="27"/>
      <c r="S273" s="27"/>
      <c r="T273" s="27"/>
      <c r="U273" s="27"/>
      <c r="V273" s="27"/>
      <c r="W273" s="27"/>
      <c r="X273" s="27"/>
      <c r="Y273" s="27"/>
      <c r="Z273" s="27"/>
    </row>
    <row r="274">
      <c r="A274" s="29" t="str">
        <f>IFERROR(__xludf.DUMMYFUNCTION("""COMPUTED_VALUE"""),"EX-006")</f>
        <v>EX-006</v>
      </c>
      <c r="B274" s="27" t="str">
        <f>IFERROR(__xludf.DUMMYFUNCTION("""COMPUTED_VALUE"""),"Mamodo")</f>
        <v>Mamodo</v>
      </c>
      <c r="C274" s="27" t="str">
        <f>IFERROR(__xludf.DUMMYFUNCTION("""COMPUTED_VALUE"""),"Fein")</f>
        <v>Fein</v>
      </c>
      <c r="D274" s="27" t="str">
        <f>IFERROR(__xludf.DUMMYFUNCTION("""COMPUTED_VALUE"""),"Fein")</f>
        <v>Fein</v>
      </c>
      <c r="E274" s="27" t="str">
        <f>IFERROR(__xludf.DUMMYFUNCTION("""COMPUTED_VALUE"""),"-")</f>
        <v>-</v>
      </c>
      <c r="F274" s="27" t="str">
        <f>IFERROR(__xludf.DUMMYFUNCTION("""COMPUTED_VALUE"""),"-")</f>
        <v>-</v>
      </c>
      <c r="G274" s="27" t="str">
        <f>IFERROR(__xludf.DUMMYFUNCTION("""COMPUTED_VALUE"""),"None")</f>
        <v>None</v>
      </c>
      <c r="H274" s="27" t="str">
        <f>IFERROR(__xludf.DUMMYFUNCTION("""COMPUTED_VALUE"""),"High Speed Movement")</f>
        <v>High Speed Movement</v>
      </c>
      <c r="I274" s="28" t="str">
        <f>IFERROR(__xludf.DUMMYFUNCTION("""COMPUTED_VALUE"""),"-")</f>
        <v>-</v>
      </c>
      <c r="J274" s="27">
        <f>IFERROR(__xludf.DUMMYFUNCTION("""COMPUTED_VALUE"""),4000.0)</f>
        <v>4000</v>
      </c>
      <c r="K274" s="27" t="str">
        <f>IFERROR(__xludf.DUMMYFUNCTION("""COMPUTED_VALUE"""),"-")</f>
        <v>-</v>
      </c>
      <c r="L274" s="27" t="str">
        <f>IFERROR(__xludf.DUMMYFUNCTION("""COMPUTED_VALUE"""),"The Gathering Storm, Series 3, Expansion Sheet 1")</f>
        <v>The Gathering Storm, Series 3, Expansion Sheet 1</v>
      </c>
      <c r="M274" s="27" t="str">
        <f>IFERROR(__xludf.DUMMYFUNCTION("""COMPUTED_VALUE"""),"[C]")</f>
        <v>[C]</v>
      </c>
      <c r="N274" s="27" t="str">
        <f>IFERROR(__xludf.DUMMYFUNCTION("""COMPUTED_VALUE"""),"Fein’s speed enables him to confuse opponents.")</f>
        <v>Fein’s speed enables him to confuse opponents.</v>
      </c>
      <c r="O274" s="27"/>
      <c r="P274" s="27"/>
      <c r="Q274" s="27"/>
      <c r="R274" s="27"/>
      <c r="S274" s="27"/>
      <c r="T274" s="27"/>
      <c r="U274" s="27"/>
      <c r="V274" s="27"/>
      <c r="W274" s="27"/>
      <c r="X274" s="27"/>
      <c r="Y274" s="27"/>
      <c r="Z274" s="27"/>
    </row>
    <row r="275">
      <c r="A275" s="29" t="str">
        <f>IFERROR(__xludf.DUMMYFUNCTION("""COMPUTED_VALUE"""),"EX-007")</f>
        <v>EX-007</v>
      </c>
      <c r="B275" s="27" t="str">
        <f>IFERROR(__xludf.DUMMYFUNCTION("""COMPUTED_VALUE"""),"Partner")</f>
        <v>Partner</v>
      </c>
      <c r="C275" s="27" t="str">
        <f>IFERROR(__xludf.DUMMYFUNCTION("""COMPUTED_VALUE"""),"Kiyo Takamine")</f>
        <v>Kiyo Takamine</v>
      </c>
      <c r="D275" s="27" t="str">
        <f>IFERROR(__xludf.DUMMYFUNCTION("""COMPUTED_VALUE"""),"Zatch Bell")</f>
        <v>Zatch Bell</v>
      </c>
      <c r="E275" s="27" t="str">
        <f>IFERROR(__xludf.DUMMYFUNCTION("""COMPUTED_VALUE"""),"-")</f>
        <v>-</v>
      </c>
      <c r="F275" s="27" t="str">
        <f>IFERROR(__xludf.DUMMYFUNCTION("""COMPUTED_VALUE"""),"-")</f>
        <v>-</v>
      </c>
      <c r="G275" s="27" t="str">
        <f>IFERROR(__xludf.DUMMYFUNCTION("""COMPUTED_VALUE"""),"None")</f>
        <v>None</v>
      </c>
      <c r="H275" s="27" t="str">
        <f>IFERROR(__xludf.DUMMYFUNCTION("""COMPUTED_VALUE"""),"Kiyo's Wish")</f>
        <v>Kiyo's Wish</v>
      </c>
      <c r="I275" s="28" t="str">
        <f>IFERROR(__xludf.DUMMYFUNCTION("""COMPUTED_VALUE"""),"[SEND THIS CARD TO THE DISCARD PILE] [STANDBY] The MP cost of the next SPELL card you play for your Zatch Bell MAMODO card during this turn is considered to be 0.")</f>
        <v>[SEND THIS CARD TO THE DISCARD PILE] [STANDBY] The MP cost of the next SPELL card you play for your Zatch Bell MAMODO card during this turn is considered to be 0.</v>
      </c>
      <c r="J275" s="27" t="str">
        <f>IFERROR(__xludf.DUMMYFUNCTION("""COMPUTED_VALUE"""),"-")</f>
        <v>-</v>
      </c>
      <c r="K275" s="27" t="str">
        <f>IFERROR(__xludf.DUMMYFUNCTION("""COMPUTED_VALUE"""),"-")</f>
        <v>-</v>
      </c>
      <c r="L275" s="27" t="str">
        <f>IFERROR(__xludf.DUMMYFUNCTION("""COMPUTED_VALUE"""),"The Gathering Storm, Series 3, Expansion Sheet 1, The Best Booster 1, Revised Edition")</f>
        <v>The Gathering Storm, Series 3, Expansion Sheet 1, The Best Booster 1, Revised Edition</v>
      </c>
      <c r="M275" s="27" t="str">
        <f>IFERROR(__xludf.DUMMYFUNCTION("""COMPUTED_VALUE"""),"[U]")</f>
        <v>[U]</v>
      </c>
      <c r="N275" s="27" t="str">
        <f>IFERROR(__xludf.DUMMYFUNCTION("""COMPUTED_VALUE"""),"Kiyo is a genius Junior High School student. When he meets Zatch, his destiny changes.")</f>
        <v>Kiyo is a genius Junior High School student. When he meets Zatch, his destiny changes.</v>
      </c>
      <c r="O275" s="27"/>
      <c r="P275" s="27"/>
      <c r="Q275" s="27"/>
      <c r="R275" s="27"/>
      <c r="S275" s="27"/>
      <c r="T275" s="27"/>
      <c r="U275" s="27"/>
      <c r="V275" s="27"/>
      <c r="W275" s="27"/>
      <c r="X275" s="27"/>
      <c r="Y275" s="27"/>
      <c r="Z275" s="27"/>
    </row>
    <row r="276">
      <c r="A276" s="29" t="str">
        <f>IFERROR(__xludf.DUMMYFUNCTION("""COMPUTED_VALUE"""),"EX-008")</f>
        <v>EX-008</v>
      </c>
      <c r="B276" s="27" t="str">
        <f>IFERROR(__xludf.DUMMYFUNCTION("""COMPUTED_VALUE"""),"Partner")</f>
        <v>Partner</v>
      </c>
      <c r="C276" s="27" t="str">
        <f>IFERROR(__xludf.DUMMYFUNCTION("""COMPUTED_VALUE"""),"Shion")</f>
        <v>Shion</v>
      </c>
      <c r="D276" s="27" t="str">
        <f>IFERROR(__xludf.DUMMYFUNCTION("""COMPUTED_VALUE"""),"Nya")</f>
        <v>Nya</v>
      </c>
      <c r="E276" s="27" t="str">
        <f>IFERROR(__xludf.DUMMYFUNCTION("""COMPUTED_VALUE"""),"-")</f>
        <v>-</v>
      </c>
      <c r="F276" s="27" t="str">
        <f>IFERROR(__xludf.DUMMYFUNCTION("""COMPUTED_VALUE"""),"-")</f>
        <v>-</v>
      </c>
      <c r="G276" s="27" t="str">
        <f>IFERROR(__xludf.DUMMYFUNCTION("""COMPUTED_VALUE"""),"None")</f>
        <v>None</v>
      </c>
      <c r="H276" s="27" t="str">
        <f>IFERROR(__xludf.DUMMYFUNCTION("""COMPUTED_VALUE"""),"Bonding")</f>
        <v>Bonding</v>
      </c>
      <c r="I276" s="28" t="str">
        <f>IFERROR(__xludf.DUMMYFUNCTION("""COMPUTED_VALUE"""),"[SEND THIS CARD TO THE DISCARD PILE] Get 4 MP. This effect can be applied only once per turn (per player).")</f>
        <v>[SEND THIS CARD TO THE DISCARD PILE] Get 4 MP. This effect can be applied only once per turn (per player).</v>
      </c>
      <c r="J276" s="27" t="str">
        <f>IFERROR(__xludf.DUMMYFUNCTION("""COMPUTED_VALUE"""),"-")</f>
        <v>-</v>
      </c>
      <c r="K276" s="27" t="str">
        <f>IFERROR(__xludf.DUMMYFUNCTION("""COMPUTED_VALUE"""),"-")</f>
        <v>-</v>
      </c>
      <c r="L276" s="27" t="str">
        <f>IFERROR(__xludf.DUMMYFUNCTION("""COMPUTED_VALUE"""),"The Gathering Storm, Series 3, Expansion Sheet 1, The Best Booster 1")</f>
        <v>The Gathering Storm, Series 3, Expansion Sheet 1, The Best Booster 1</v>
      </c>
      <c r="M276" s="27" t="str">
        <f>IFERROR(__xludf.DUMMYFUNCTION("""COMPUTED_VALUE"""),"[C]")</f>
        <v>[C]</v>
      </c>
      <c r="N276" s="27" t="str">
        <f>IFERROR(__xludf.DUMMYFUNCTION("""COMPUTED_VALUE"""),"“Kiyo, let’s walk home together.”")</f>
        <v>“Kiyo, let’s walk home together.”</v>
      </c>
      <c r="O276" s="27"/>
      <c r="P276" s="27"/>
      <c r="Q276" s="27"/>
      <c r="R276" s="27"/>
      <c r="S276" s="27"/>
      <c r="T276" s="27"/>
      <c r="U276" s="27"/>
      <c r="V276" s="27"/>
      <c r="W276" s="27"/>
      <c r="X276" s="27"/>
      <c r="Y276" s="27"/>
      <c r="Z276" s="27"/>
    </row>
    <row r="277">
      <c r="A277" s="29" t="str">
        <f>IFERROR(__xludf.DUMMYFUNCTION("""COMPUTED_VALUE"""),"EX-009")</f>
        <v>EX-009</v>
      </c>
      <c r="B277" s="27" t="str">
        <f>IFERROR(__xludf.DUMMYFUNCTION("""COMPUTED_VALUE"""),"Partner")</f>
        <v>Partner</v>
      </c>
      <c r="C277" s="27" t="str">
        <f>IFERROR(__xludf.DUMMYFUNCTION("""COMPUTED_VALUE"""),"Kiichiro")</f>
        <v>Kiichiro</v>
      </c>
      <c r="D277" s="27" t="str">
        <f>IFERROR(__xludf.DUMMYFUNCTION("""COMPUTED_VALUE"""),"Cut N' Paste")</f>
        <v>Cut N' Paste</v>
      </c>
      <c r="E277" s="27" t="str">
        <f>IFERROR(__xludf.DUMMYFUNCTION("""COMPUTED_VALUE"""),"-")</f>
        <v>-</v>
      </c>
      <c r="F277" s="27" t="str">
        <f>IFERROR(__xludf.DUMMYFUNCTION("""COMPUTED_VALUE"""),"-")</f>
        <v>-</v>
      </c>
      <c r="G277" s="27" t="str">
        <f>IFERROR(__xludf.DUMMYFUNCTION("""COMPUTED_VALUE"""),"None")</f>
        <v>None</v>
      </c>
      <c r="H277" s="27" t="str">
        <f>IFERROR(__xludf.DUMMYFUNCTION("""COMPUTED_VALUE"""),"Wielding Scissors")</f>
        <v>Wielding Scissors</v>
      </c>
      <c r="I277" s="28" t="str">
        <f>IFERROR(__xludf.DUMMYFUNCTION("""COMPUTED_VALUE"""),"[SEND THIS CARD TO THE DISCARD PILE] Reduce your opponent's MP by 4. This effect can be applied only once per turn (per player).")</f>
        <v>[SEND THIS CARD TO THE DISCARD PILE] Reduce your opponent's MP by 4. This effect can be applied only once per turn (per player).</v>
      </c>
      <c r="J277" s="27" t="str">
        <f>IFERROR(__xludf.DUMMYFUNCTION("""COMPUTED_VALUE"""),"-")</f>
        <v>-</v>
      </c>
      <c r="K277" s="27" t="str">
        <f>IFERROR(__xludf.DUMMYFUNCTION("""COMPUTED_VALUE"""),"-")</f>
        <v>-</v>
      </c>
      <c r="L277" s="27" t="str">
        <f>IFERROR(__xludf.DUMMYFUNCTION("""COMPUTED_VALUE"""),"The Gathering Storm, Series 3, Expansion Sheet 1, The Best Booster 1")</f>
        <v>The Gathering Storm, Series 3, Expansion Sheet 1, The Best Booster 1</v>
      </c>
      <c r="M277" s="27" t="str">
        <f>IFERROR(__xludf.DUMMYFUNCTION("""COMPUTED_VALUE"""),"[U]")</f>
        <v>[U]</v>
      </c>
      <c r="N277" s="27" t="str">
        <f>IFERROR(__xludf.DUMMYFUNCTION("""COMPUTED_VALUE"""),"He is able to use scissors very well, and looks intimidating.")</f>
        <v>He is able to use scissors very well, and looks intimidating.</v>
      </c>
      <c r="O277" s="27"/>
      <c r="P277" s="27"/>
      <c r="Q277" s="27"/>
      <c r="R277" s="27"/>
      <c r="S277" s="27"/>
      <c r="T277" s="27"/>
      <c r="U277" s="27"/>
      <c r="V277" s="27"/>
      <c r="W277" s="27"/>
      <c r="X277" s="27"/>
      <c r="Y277" s="27"/>
      <c r="Z277" s="27"/>
    </row>
    <row r="278">
      <c r="A278" s="29" t="str">
        <f>IFERROR(__xludf.DUMMYFUNCTION("""COMPUTED_VALUE"""),"EX-010")</f>
        <v>EX-010</v>
      </c>
      <c r="B278" s="27" t="str">
        <f>IFERROR(__xludf.DUMMYFUNCTION("""COMPUTED_VALUE"""),"Partner")</f>
        <v>Partner</v>
      </c>
      <c r="C278" s="27" t="str">
        <f>IFERROR(__xludf.DUMMYFUNCTION("""COMPUTED_VALUE"""),"Eido")</f>
        <v>Eido</v>
      </c>
      <c r="D278" s="27" t="str">
        <f>IFERROR(__xludf.DUMMYFUNCTION("""COMPUTED_VALUE"""),"Hyde")</f>
        <v>Hyde</v>
      </c>
      <c r="E278" s="27" t="str">
        <f>IFERROR(__xludf.DUMMYFUNCTION("""COMPUTED_VALUE"""),"-")</f>
        <v>-</v>
      </c>
      <c r="F278" s="27" t="str">
        <f>IFERROR(__xludf.DUMMYFUNCTION("""COMPUTED_VALUE"""),"-")</f>
        <v>-</v>
      </c>
      <c r="G278" s="27" t="str">
        <f>IFERROR(__xludf.DUMMYFUNCTION("""COMPUTED_VALUE"""),"None")</f>
        <v>None</v>
      </c>
      <c r="H278" s="27" t="str">
        <f>IFERROR(__xludf.DUMMYFUNCTION("""COMPUTED_VALUE"""),"Wind Wielder")</f>
        <v>Wind Wielder</v>
      </c>
      <c r="I278" s="28" t="str">
        <f>IFERROR(__xludf.DUMMYFUNCTION("""COMPUTED_VALUE"""),"[SEND THIS CARD TO THE DISCARD PILE] [STANDBY] The MP cost of the next SPELL card you play for your Hyde MAMODO card during this turn is considered to be 0.")</f>
        <v>[SEND THIS CARD TO THE DISCARD PILE] [STANDBY] The MP cost of the next SPELL card you play for your Hyde MAMODO card during this turn is considered to be 0.</v>
      </c>
      <c r="J278" s="27" t="str">
        <f>IFERROR(__xludf.DUMMYFUNCTION("""COMPUTED_VALUE"""),"-")</f>
        <v>-</v>
      </c>
      <c r="K278" s="27" t="str">
        <f>IFERROR(__xludf.DUMMYFUNCTION("""COMPUTED_VALUE"""),"-")</f>
        <v>-</v>
      </c>
      <c r="L278" s="27" t="str">
        <f>IFERROR(__xludf.DUMMYFUNCTION("""COMPUTED_VALUE"""),"The Gathering Storm, Series 3, Expansion Sheet 1")</f>
        <v>The Gathering Storm, Series 3, Expansion Sheet 1</v>
      </c>
      <c r="M278" s="27" t="str">
        <f>IFERROR(__xludf.DUMMYFUNCTION("""COMPUTED_VALUE"""),"[C]")</f>
        <v>[C]</v>
      </c>
      <c r="N278" s="27" t="str">
        <f>IFERROR(__xludf.DUMMYFUNCTION("""COMPUTED_VALUE"""),"He is more concerned with girls and skateboarding than the battle to decide the mamodo king.")</f>
        <v>He is more concerned with girls and skateboarding than the battle to decide the mamodo king.</v>
      </c>
      <c r="O278" s="27"/>
      <c r="P278" s="27"/>
      <c r="Q278" s="27"/>
      <c r="R278" s="27"/>
      <c r="S278" s="27"/>
      <c r="T278" s="27"/>
      <c r="U278" s="27"/>
      <c r="V278" s="27"/>
      <c r="W278" s="27"/>
      <c r="X278" s="27"/>
      <c r="Y278" s="27"/>
      <c r="Z278" s="27"/>
    </row>
    <row r="279">
      <c r="A279" s="29" t="str">
        <f>IFERROR(__xludf.DUMMYFUNCTION("""COMPUTED_VALUE"""),"EX-011")</f>
        <v>EX-011</v>
      </c>
      <c r="B279" s="27" t="str">
        <f>IFERROR(__xludf.DUMMYFUNCTION("""COMPUTED_VALUE"""),"Partner")</f>
        <v>Partner</v>
      </c>
      <c r="C279" s="27" t="str">
        <f>IFERROR(__xludf.DUMMYFUNCTION("""COMPUTED_VALUE"""),"Megumi")</f>
        <v>Megumi</v>
      </c>
      <c r="D279" s="27" t="str">
        <f>IFERROR(__xludf.DUMMYFUNCTION("""COMPUTED_VALUE"""),"Tia")</f>
        <v>Tia</v>
      </c>
      <c r="E279" s="27" t="str">
        <f>IFERROR(__xludf.DUMMYFUNCTION("""COMPUTED_VALUE"""),"-")</f>
        <v>-</v>
      </c>
      <c r="F279" s="27" t="str">
        <f>IFERROR(__xludf.DUMMYFUNCTION("""COMPUTED_VALUE"""),"-")</f>
        <v>-</v>
      </c>
      <c r="G279" s="27" t="str">
        <f>IFERROR(__xludf.DUMMYFUNCTION("""COMPUTED_VALUE"""),"None")</f>
        <v>None</v>
      </c>
      <c r="H279" s="27" t="str">
        <f>IFERROR(__xludf.DUMMYFUNCTION("""COMPUTED_VALUE"""),"Didn't I Tell You?")</f>
        <v>Didn't I Tell You?</v>
      </c>
      <c r="I279" s="28" t="str">
        <f>IFERROR(__xludf.DUMMYFUNCTION("""COMPUTED_VALUE"""),"[SEND THIS CARD TO THE DISCARD PILE] [STANDBY] The MP cost of the next SPELL card you play for your Tia MAMODO card during this turn is considered to be 0.")</f>
        <v>[SEND THIS CARD TO THE DISCARD PILE] [STANDBY] The MP cost of the next SPELL card you play for your Tia MAMODO card during this turn is considered to be 0.</v>
      </c>
      <c r="J279" s="27" t="str">
        <f>IFERROR(__xludf.DUMMYFUNCTION("""COMPUTED_VALUE"""),"-")</f>
        <v>-</v>
      </c>
      <c r="K279" s="27" t="str">
        <f>IFERROR(__xludf.DUMMYFUNCTION("""COMPUTED_VALUE"""),"-")</f>
        <v>-</v>
      </c>
      <c r="L279" s="27" t="str">
        <f>IFERROR(__xludf.DUMMYFUNCTION("""COMPUTED_VALUE"""),"The Gathering Storm, Series 3, Expansion Sheet 1")</f>
        <v>The Gathering Storm, Series 3, Expansion Sheet 1</v>
      </c>
      <c r="M279" s="27" t="str">
        <f>IFERROR(__xludf.DUMMYFUNCTION("""COMPUTED_VALUE"""),"[C]")</f>
        <v>[C]</v>
      </c>
      <c r="N279" s="27" t="str">
        <f>IFERROR(__xludf.DUMMYFUNCTION("""COMPUTED_VALUE"""),"She is a popstar who cares for Tia very much.")</f>
        <v>She is a popstar who cares for Tia very much.</v>
      </c>
      <c r="O279" s="27"/>
      <c r="P279" s="27"/>
      <c r="Q279" s="27"/>
      <c r="R279" s="27"/>
      <c r="S279" s="27"/>
      <c r="T279" s="27"/>
      <c r="U279" s="27"/>
      <c r="V279" s="27"/>
      <c r="W279" s="27"/>
      <c r="X279" s="27"/>
      <c r="Y279" s="27"/>
      <c r="Z279" s="27"/>
    </row>
    <row r="280">
      <c r="A280" s="29" t="str">
        <f>IFERROR(__xludf.DUMMYFUNCTION("""COMPUTED_VALUE"""),"EX-012")</f>
        <v>EX-012</v>
      </c>
      <c r="B280" s="27" t="str">
        <f>IFERROR(__xludf.DUMMYFUNCTION("""COMPUTED_VALUE"""),"Partner")</f>
        <v>Partner</v>
      </c>
      <c r="C280" s="27" t="str">
        <f>IFERROR(__xludf.DUMMYFUNCTION("""COMPUTED_VALUE"""),"Sebe")</f>
        <v>Sebe</v>
      </c>
      <c r="D280" s="27" t="str">
        <f>IFERROR(__xludf.DUMMYFUNCTION("""COMPUTED_VALUE"""),"Fein")</f>
        <v>Fein</v>
      </c>
      <c r="E280" s="27" t="str">
        <f>IFERROR(__xludf.DUMMYFUNCTION("""COMPUTED_VALUE"""),"-")</f>
        <v>-</v>
      </c>
      <c r="F280" s="27" t="str">
        <f>IFERROR(__xludf.DUMMYFUNCTION("""COMPUTED_VALUE"""),"-")</f>
        <v>-</v>
      </c>
      <c r="G280" s="27" t="str">
        <f>IFERROR(__xludf.DUMMYFUNCTION("""COMPUTED_VALUE"""),"None")</f>
        <v>None</v>
      </c>
      <c r="H280" s="27" t="str">
        <f>IFERROR(__xludf.DUMMYFUNCTION("""COMPUTED_VALUE"""),"At Fein's Command")</f>
        <v>At Fein's Command</v>
      </c>
      <c r="I280" s="28" t="str">
        <f>IFERROR(__xludf.DUMMYFUNCTION("""COMPUTED_VALUE"""),"[SEND THIS CARD TO THE DISCARD PILE] [STANDBY] The MP cost of the next SPELL card you play for your Fein MAMODO card during this turn is considered to be 0.")</f>
        <v>[SEND THIS CARD TO THE DISCARD PILE] [STANDBY] The MP cost of the next SPELL card you play for your Fein MAMODO card during this turn is considered to be 0.</v>
      </c>
      <c r="J280" s="27" t="str">
        <f>IFERROR(__xludf.DUMMYFUNCTION("""COMPUTED_VALUE"""),"-")</f>
        <v>-</v>
      </c>
      <c r="K280" s="27" t="str">
        <f>IFERROR(__xludf.DUMMYFUNCTION("""COMPUTED_VALUE"""),"-")</f>
        <v>-</v>
      </c>
      <c r="L280" s="27" t="str">
        <f>IFERROR(__xludf.DUMMYFUNCTION("""COMPUTED_VALUE"""),"The Gathering Storm, Series 3, Expansion Sheet 1")</f>
        <v>The Gathering Storm, Series 3, Expansion Sheet 1</v>
      </c>
      <c r="M280" s="27" t="str">
        <f>IFERROR(__xludf.DUMMYFUNCTION("""COMPUTED_VALUE"""),"[C]")</f>
        <v>[C]</v>
      </c>
      <c r="N280" s="27" t="str">
        <f>IFERROR(__xludf.DUMMYFUNCTION("""COMPUTED_VALUE"""),"Fein’s coldhearted human partner.")</f>
        <v>Fein’s coldhearted human partner.</v>
      </c>
      <c r="O280" s="27"/>
      <c r="P280" s="27"/>
      <c r="Q280" s="27"/>
      <c r="R280" s="27"/>
      <c r="S280" s="27"/>
      <c r="T280" s="27"/>
      <c r="U280" s="27"/>
      <c r="V280" s="27"/>
      <c r="W280" s="27"/>
      <c r="X280" s="27"/>
      <c r="Y280" s="27"/>
      <c r="Z280" s="27"/>
    </row>
    <row r="281">
      <c r="A281" s="29" t="str">
        <f>IFERROR(__xludf.DUMMYFUNCTION("""COMPUTED_VALUE"""),"EX-013")</f>
        <v>EX-013</v>
      </c>
      <c r="B281" s="27" t="str">
        <f>IFERROR(__xludf.DUMMYFUNCTION("""COMPUTED_VALUE"""),"Spell")</f>
        <v>Spell</v>
      </c>
      <c r="C281" s="27" t="str">
        <f>IFERROR(__xludf.DUMMYFUNCTION("""COMPUTED_VALUE"""),"Zaker")</f>
        <v>Zaker</v>
      </c>
      <c r="D281" s="27" t="str">
        <f>IFERROR(__xludf.DUMMYFUNCTION("""COMPUTED_VALUE"""),"Zatch Bell")</f>
        <v>Zatch Bell</v>
      </c>
      <c r="E281" s="27">
        <f>IFERROR(__xludf.DUMMYFUNCTION("""COMPUTED_VALUE"""),3.0)</f>
        <v>3</v>
      </c>
      <c r="F281" s="27" t="str">
        <f>IFERROR(__xludf.DUMMYFUNCTION("""COMPUTED_VALUE"""),"AD")</f>
        <v>AD</v>
      </c>
      <c r="G281" s="27" t="str">
        <f>IFERROR(__xludf.DUMMYFUNCTION("""COMPUTED_VALUE"""),"None")</f>
        <v>None</v>
      </c>
      <c r="H281" s="27" t="str">
        <f>IFERROR(__xludf.DUMMYFUNCTION("""COMPUTED_VALUE"""),"Thunder")</f>
        <v>Thunder</v>
      </c>
      <c r="I281" s="28" t="str">
        <f>IFERROR(__xludf.DUMMYFUNCTION("""COMPUTED_VALUE"""),"Damage your opponent's Spell Book when you win the Battle as an Attacker.")</f>
        <v>Damage your opponent's Spell Book when you win the Battle as an Attacker.</v>
      </c>
      <c r="J281" s="27" t="str">
        <f>IFERROR(__xludf.DUMMYFUNCTION("""COMPUTED_VALUE"""),"+3000")</f>
        <v>+3000</v>
      </c>
      <c r="K281" s="27">
        <f>IFERROR(__xludf.DUMMYFUNCTION("""COMPUTED_VALUE"""),2.0)</f>
        <v>2</v>
      </c>
      <c r="L281" s="27" t="str">
        <f>IFERROR(__xludf.DUMMYFUNCTION("""COMPUTED_VALUE"""),"The Gathering Storm, Series 3, Expansion Sheet 1")</f>
        <v>The Gathering Storm, Series 3, Expansion Sheet 1</v>
      </c>
      <c r="M281" s="27" t="str">
        <f>IFERROR(__xludf.DUMMYFUNCTION("""COMPUTED_VALUE"""),"[C]")</f>
        <v>[C]</v>
      </c>
      <c r="N281" s="27" t="str">
        <f>IFERROR(__xludf.DUMMYFUNCTION("""COMPUTED_VALUE"""),"Zatch’s 1st spell. An electric shock that shoots out of Zatch’s mouth.")</f>
        <v>Zatch’s 1st spell. An electric shock that shoots out of Zatch’s mouth.</v>
      </c>
      <c r="O281" s="27"/>
      <c r="P281" s="27"/>
      <c r="Q281" s="27"/>
      <c r="R281" s="27"/>
      <c r="S281" s="27"/>
      <c r="T281" s="27"/>
      <c r="U281" s="27"/>
      <c r="V281" s="27"/>
      <c r="W281" s="27"/>
      <c r="X281" s="27"/>
      <c r="Y281" s="27"/>
      <c r="Z281" s="27"/>
    </row>
    <row r="282">
      <c r="A282" s="29" t="str">
        <f>IFERROR(__xludf.DUMMYFUNCTION("""COMPUTED_VALUE"""),"EX-014")</f>
        <v>EX-014</v>
      </c>
      <c r="B282" s="27" t="str">
        <f>IFERROR(__xludf.DUMMYFUNCTION("""COMPUTED_VALUE"""),"Spell")</f>
        <v>Spell</v>
      </c>
      <c r="C282" s="27" t="str">
        <f>IFERROR(__xludf.DUMMYFUNCTION("""COMPUTED_VALUE"""),"Rashield")</f>
        <v>Rashield</v>
      </c>
      <c r="D282" s="27" t="str">
        <f>IFERROR(__xludf.DUMMYFUNCTION("""COMPUTED_VALUE"""),"Zatch Bell")</f>
        <v>Zatch Bell</v>
      </c>
      <c r="E282" s="27">
        <f>IFERROR(__xludf.DUMMYFUNCTION("""COMPUTED_VALUE"""),1.0)</f>
        <v>1</v>
      </c>
      <c r="F282" s="27" t="str">
        <f>IFERROR(__xludf.DUMMYFUNCTION("""COMPUTED_VALUE"""),"D")</f>
        <v>D</v>
      </c>
      <c r="G282" s="27" t="str">
        <f>IFERROR(__xludf.DUMMYFUNCTION("""COMPUTED_VALUE"""),"None")</f>
        <v>None</v>
      </c>
      <c r="H282" s="27" t="str">
        <f>IFERROR(__xludf.DUMMYFUNCTION("""COMPUTED_VALUE"""),"Thunder")</f>
        <v>Thunder</v>
      </c>
      <c r="I282" s="28" t="str">
        <f>IFERROR(__xludf.DUMMYFUNCTION("""COMPUTED_VALUE"""),"[COUNTER] Damage your opponent's Spell Book when you win the Battle as a Defender.")</f>
        <v>[COUNTER] Damage your opponent's Spell Book when you win the Battle as a Defender.</v>
      </c>
      <c r="J282" s="27" t="str">
        <f>IFERROR(__xludf.DUMMYFUNCTION("""COMPUTED_VALUE"""),"+4000")</f>
        <v>+4000</v>
      </c>
      <c r="K282" s="27">
        <f>IFERROR(__xludf.DUMMYFUNCTION("""COMPUTED_VALUE"""),1.0)</f>
        <v>1</v>
      </c>
      <c r="L282" s="27" t="str">
        <f>IFERROR(__xludf.DUMMYFUNCTION("""COMPUTED_VALUE"""),"The Gathering Storm, Series 3, Expansion Sheet 1")</f>
        <v>The Gathering Storm, Series 3, Expansion Sheet 1</v>
      </c>
      <c r="M282" s="27" t="str">
        <f>IFERROR(__xludf.DUMMYFUNCTION("""COMPUTED_VALUE"""),"[U]")</f>
        <v>[U]</v>
      </c>
      <c r="N282" s="27" t="str">
        <f>IFERROR(__xludf.DUMMYFUNCTION("""COMPUTED_VALUE"""),"Zatch’s 2nd spell. It activates a shield that reflects an opponent’s spell back at them.")</f>
        <v>Zatch’s 2nd spell. It activates a shield that reflects an opponent’s spell back at them.</v>
      </c>
      <c r="O282" s="27"/>
      <c r="P282" s="27"/>
      <c r="Q282" s="27"/>
      <c r="R282" s="27"/>
      <c r="S282" s="27"/>
      <c r="T282" s="27"/>
      <c r="U282" s="27"/>
      <c r="V282" s="27"/>
      <c r="W282" s="27"/>
      <c r="X282" s="27"/>
      <c r="Y282" s="27"/>
      <c r="Z282" s="27"/>
    </row>
    <row r="283">
      <c r="A283" s="29" t="str">
        <f>IFERROR(__xludf.DUMMYFUNCTION("""COMPUTED_VALUE"""),"EX-015")</f>
        <v>EX-015</v>
      </c>
      <c r="B283" s="27" t="str">
        <f>IFERROR(__xludf.DUMMYFUNCTION("""COMPUTED_VALUE"""),"Spell")</f>
        <v>Spell</v>
      </c>
      <c r="C283" s="27" t="str">
        <f>IFERROR(__xludf.DUMMYFUNCTION("""COMPUTED_VALUE"""),"Poreidoruk")</f>
        <v>Poreidoruk</v>
      </c>
      <c r="D283" s="27" t="str">
        <f>IFERROR(__xludf.DUMMYFUNCTION("""COMPUTED_VALUE"""),"Cut N' Paste")</f>
        <v>Cut N' Paste</v>
      </c>
      <c r="E283" s="27">
        <f>IFERROR(__xludf.DUMMYFUNCTION("""COMPUTED_VALUE"""),1.0)</f>
        <v>1</v>
      </c>
      <c r="F283" s="27" t="str">
        <f>IFERROR(__xludf.DUMMYFUNCTION("""COMPUTED_VALUE"""),"A")</f>
        <v>A</v>
      </c>
      <c r="G283" s="27" t="str">
        <f>IFERROR(__xludf.DUMMYFUNCTION("""COMPUTED_VALUE"""),"None")</f>
        <v>None</v>
      </c>
      <c r="H283" s="27" t="str">
        <f>IFERROR(__xludf.DUMMYFUNCTION("""COMPUTED_VALUE"""),"-")</f>
        <v>-</v>
      </c>
      <c r="I283" s="28" t="str">
        <f>IFERROR(__xludf.DUMMYFUNCTION("""COMPUTED_VALUE"""),"[STAY] When you win the Battle as an Attacker, your opponent can neither play SPELL cards nor apply the effect of their in-play MAMODO cards until the END PHASE of the next turn.")</f>
        <v>[STAY] When you win the Battle as an Attacker, your opponent can neither play SPELL cards nor apply the effect of their in-play MAMODO cards until the END PHASE of the next turn.</v>
      </c>
      <c r="J283" s="27" t="str">
        <f>IFERROR(__xludf.DUMMYFUNCTION("""COMPUTED_VALUE"""),"+3000")</f>
        <v>+3000</v>
      </c>
      <c r="K283" s="27" t="str">
        <f>IFERROR(__xludf.DUMMYFUNCTION("""COMPUTED_VALUE"""),"-")</f>
        <v>-</v>
      </c>
      <c r="L283" s="27" t="str">
        <f>IFERROR(__xludf.DUMMYFUNCTION("""COMPUTED_VALUE"""),"The Gathering Storm, Series 3, Expansion Sheet 1")</f>
        <v>The Gathering Storm, Series 3, Expansion Sheet 1</v>
      </c>
      <c r="M283" s="27" t="str">
        <f>IFERROR(__xludf.DUMMYFUNCTION("""COMPUTED_VALUE"""),"[C]")</f>
        <v>[C]</v>
      </c>
      <c r="N283" s="27" t="str">
        <f>IFERROR(__xludf.DUMMYFUNCTION("""COMPUTED_VALUE"""),"Cut n’ Paste’s 2nd spell.")</f>
        <v>Cut n’ Paste’s 2nd spell.</v>
      </c>
      <c r="O283" s="27"/>
      <c r="P283" s="27"/>
      <c r="Q283" s="27"/>
      <c r="R283" s="27"/>
      <c r="S283" s="27"/>
      <c r="T283" s="27"/>
      <c r="U283" s="27"/>
      <c r="V283" s="27"/>
      <c r="W283" s="27"/>
      <c r="X283" s="27"/>
      <c r="Y283" s="27"/>
      <c r="Z283" s="27"/>
    </row>
    <row r="284">
      <c r="A284" s="29" t="str">
        <f>IFERROR(__xludf.DUMMYFUNCTION("""COMPUTED_VALUE"""),"EX-016")</f>
        <v>EX-016</v>
      </c>
      <c r="B284" s="27" t="str">
        <f>IFERROR(__xludf.DUMMYFUNCTION("""COMPUTED_VALUE"""),"Spell")</f>
        <v>Spell</v>
      </c>
      <c r="C284" s="27" t="str">
        <f>IFERROR(__xludf.DUMMYFUNCTION("""COMPUTED_VALUE"""),"Wirudo")</f>
        <v>Wirudo</v>
      </c>
      <c r="D284" s="27" t="str">
        <f>IFERROR(__xludf.DUMMYFUNCTION("""COMPUTED_VALUE"""),"Hyde")</f>
        <v>Hyde</v>
      </c>
      <c r="E284" s="27">
        <f>IFERROR(__xludf.DUMMYFUNCTION("""COMPUTED_VALUE"""),2.0)</f>
        <v>2</v>
      </c>
      <c r="F284" s="27" t="str">
        <f>IFERROR(__xludf.DUMMYFUNCTION("""COMPUTED_VALUE"""),"D")</f>
        <v>D</v>
      </c>
      <c r="G284" s="27" t="str">
        <f>IFERROR(__xludf.DUMMYFUNCTION("""COMPUTED_VALUE"""),"None")</f>
        <v>None</v>
      </c>
      <c r="H284" s="27" t="str">
        <f>IFERROR(__xludf.DUMMYFUNCTION("""COMPUTED_VALUE"""),"Wind")</f>
        <v>Wind</v>
      </c>
      <c r="I284" s="28" t="str">
        <f>IFERROR(__xludf.DUMMYFUNCTION("""COMPUTED_VALUE"""),"[COUNTER] Damage your opponent's Spell Book when you win the Battle as a Defender.")</f>
        <v>[COUNTER] Damage your opponent's Spell Book when you win the Battle as a Defender.</v>
      </c>
      <c r="J284" s="27" t="str">
        <f>IFERROR(__xludf.DUMMYFUNCTION("""COMPUTED_VALUE"""),"+5000")</f>
        <v>+5000</v>
      </c>
      <c r="K284" s="27">
        <f>IFERROR(__xludf.DUMMYFUNCTION("""COMPUTED_VALUE"""),1.0)</f>
        <v>1</v>
      </c>
      <c r="L284" s="27" t="str">
        <f>IFERROR(__xludf.DUMMYFUNCTION("""COMPUTED_VALUE"""),"The Gathering Storm, Series 3, Expansion Sheet 1")</f>
        <v>The Gathering Storm, Series 3, Expansion Sheet 1</v>
      </c>
      <c r="M284" s="27" t="str">
        <f>IFERROR(__xludf.DUMMYFUNCTION("""COMPUTED_VALUE"""),"[C]")</f>
        <v>[C]</v>
      </c>
      <c r="N284" s="27" t="str">
        <f>IFERROR(__xludf.DUMMYFUNCTION("""COMPUTED_VALUE"""),"Hyde’s 3rd spell.")</f>
        <v>Hyde’s 3rd spell.</v>
      </c>
      <c r="O284" s="27"/>
      <c r="P284" s="27"/>
      <c r="Q284" s="27"/>
      <c r="R284" s="27"/>
      <c r="S284" s="27"/>
      <c r="T284" s="27"/>
      <c r="U284" s="27"/>
      <c r="V284" s="27"/>
      <c r="W284" s="27"/>
      <c r="X284" s="27"/>
      <c r="Y284" s="27"/>
      <c r="Z284" s="27"/>
    </row>
    <row r="285">
      <c r="A285" s="29" t="str">
        <f>IFERROR(__xludf.DUMMYFUNCTION("""COMPUTED_VALUE"""),"EX-017")</f>
        <v>EX-017</v>
      </c>
      <c r="B285" s="27" t="str">
        <f>IFERROR(__xludf.DUMMYFUNCTION("""COMPUTED_VALUE"""),"Spell")</f>
        <v>Spell</v>
      </c>
      <c r="C285" s="27" t="str">
        <f>IFERROR(__xludf.DUMMYFUNCTION("""COMPUTED_VALUE"""),"Saisu")</f>
        <v>Saisu</v>
      </c>
      <c r="D285" s="27" t="str">
        <f>IFERROR(__xludf.DUMMYFUNCTION("""COMPUTED_VALUE"""),"Tia")</f>
        <v>Tia</v>
      </c>
      <c r="E285" s="27">
        <f>IFERROR(__xludf.DUMMYFUNCTION("""COMPUTED_VALUE"""),2.0)</f>
        <v>2</v>
      </c>
      <c r="F285" s="27" t="str">
        <f>IFERROR(__xludf.DUMMYFUNCTION("""COMPUTED_VALUE"""),"A")</f>
        <v>A</v>
      </c>
      <c r="G285" s="27" t="str">
        <f>IFERROR(__xludf.DUMMYFUNCTION("""COMPUTED_VALUE"""),"None")</f>
        <v>None</v>
      </c>
      <c r="H285" s="27" t="str">
        <f>IFERROR(__xludf.DUMMYFUNCTION("""COMPUTED_VALUE"""),"-")</f>
        <v>-</v>
      </c>
      <c r="I285" s="28" t="str">
        <f>IFERROR(__xludf.DUMMYFUNCTION("""COMPUTED_VALUE"""),"Damage your opponent's Spell Book when you win the Battle as an Attacker.")</f>
        <v>Damage your opponent's Spell Book when you win the Battle as an Attacker.</v>
      </c>
      <c r="J285" s="27" t="str">
        <f>IFERROR(__xludf.DUMMYFUNCTION("""COMPUTED_VALUE"""),"+3000")</f>
        <v>+3000</v>
      </c>
      <c r="K285" s="27">
        <f>IFERROR(__xludf.DUMMYFUNCTION("""COMPUTED_VALUE"""),1.0)</f>
        <v>1</v>
      </c>
      <c r="L285" s="27" t="str">
        <f>IFERROR(__xludf.DUMMYFUNCTION("""COMPUTED_VALUE"""),"The Gathering Storm, Series 3, Expansion Sheet 1")</f>
        <v>The Gathering Storm, Series 3, Expansion Sheet 1</v>
      </c>
      <c r="M285" s="27" t="str">
        <f>IFERROR(__xludf.DUMMYFUNCTION("""COMPUTED_VALUE"""),"[C]")</f>
        <v>[C]</v>
      </c>
      <c r="N285" s="27" t="str">
        <f>IFERROR(__xludf.DUMMYFUNCTION("""COMPUTED_VALUE"""),"Tia’s 2nd spell. A golden boomerang-shaped attack.")</f>
        <v>Tia’s 2nd spell. A golden boomerang-shaped attack.</v>
      </c>
      <c r="O285" s="27"/>
      <c r="P285" s="27"/>
      <c r="Q285" s="27"/>
      <c r="R285" s="27"/>
      <c r="S285" s="27"/>
      <c r="T285" s="27"/>
      <c r="U285" s="27"/>
      <c r="V285" s="27"/>
      <c r="W285" s="27"/>
      <c r="X285" s="27"/>
      <c r="Y285" s="27"/>
      <c r="Z285" s="27"/>
    </row>
    <row r="286">
      <c r="A286" s="29" t="str">
        <f>IFERROR(__xludf.DUMMYFUNCTION("""COMPUTED_VALUE"""),"EX-018")</f>
        <v>EX-018</v>
      </c>
      <c r="B286" s="27" t="str">
        <f>IFERROR(__xludf.DUMMYFUNCTION("""COMPUTED_VALUE"""),"Spell")</f>
        <v>Spell</v>
      </c>
      <c r="C286" s="27" t="str">
        <f>IFERROR(__xludf.DUMMYFUNCTION("""COMPUTED_VALUE"""),"Ma Seshield")</f>
        <v>Ma Seshield</v>
      </c>
      <c r="D286" s="27" t="str">
        <f>IFERROR(__xludf.DUMMYFUNCTION("""COMPUTED_VALUE"""),"Tia")</f>
        <v>Tia</v>
      </c>
      <c r="E286" s="27">
        <f>IFERROR(__xludf.DUMMYFUNCTION("""COMPUTED_VALUE"""),2.0)</f>
        <v>2</v>
      </c>
      <c r="F286" s="27" t="str">
        <f>IFERROR(__xludf.DUMMYFUNCTION("""COMPUTED_VALUE"""),"D")</f>
        <v>D</v>
      </c>
      <c r="G286" s="27" t="str">
        <f>IFERROR(__xludf.DUMMYFUNCTION("""COMPUTED_VALUE"""),"None")</f>
        <v>None</v>
      </c>
      <c r="H286" s="27" t="str">
        <f>IFERROR(__xludf.DUMMYFUNCTION("""COMPUTED_VALUE"""),"-")</f>
        <v>-</v>
      </c>
      <c r="I286" s="28" t="str">
        <f>IFERROR(__xludf.DUMMYFUNCTION("""COMPUTED_VALUE"""),"Negate your opponent's Attack when you win the Battle as a Defender.")</f>
        <v>Negate your opponent's Attack when you win the Battle as a Defender.</v>
      </c>
      <c r="J286" s="27" t="str">
        <f>IFERROR(__xludf.DUMMYFUNCTION("""COMPUTED_VALUE"""),"+6000")</f>
        <v>+6000</v>
      </c>
      <c r="K286" s="27" t="str">
        <f>IFERROR(__xludf.DUMMYFUNCTION("""COMPUTED_VALUE"""),"-")</f>
        <v>-</v>
      </c>
      <c r="L286" s="27" t="str">
        <f>IFERROR(__xludf.DUMMYFUNCTION("""COMPUTED_VALUE"""),"The Gathering Storm, Series 3, Expansion Sheet 1")</f>
        <v>The Gathering Storm, Series 3, Expansion Sheet 1</v>
      </c>
      <c r="M286" s="27" t="str">
        <f>IFERROR(__xludf.DUMMYFUNCTION("""COMPUTED_VALUE"""),"[U]")</f>
        <v>[U]</v>
      </c>
      <c r="N286" s="27" t="str">
        <f>IFERROR(__xludf.DUMMYFUNCTION("""COMPUTED_VALUE"""),"Tia’s 3rd spell. A shield that repels head-on attacks.")</f>
        <v>Tia’s 3rd spell. A shield that repels head-on attacks.</v>
      </c>
      <c r="O286" s="27"/>
      <c r="P286" s="27"/>
      <c r="Q286" s="27"/>
      <c r="R286" s="27"/>
      <c r="S286" s="27"/>
      <c r="T286" s="27"/>
      <c r="U286" s="27"/>
      <c r="V286" s="27"/>
      <c r="W286" s="27"/>
      <c r="X286" s="27"/>
      <c r="Y286" s="27"/>
      <c r="Z286" s="27"/>
    </row>
    <row r="287">
      <c r="A287" s="29" t="str">
        <f>IFERROR(__xludf.DUMMYFUNCTION("""COMPUTED_VALUE"""),"EX-019")</f>
        <v>EX-019</v>
      </c>
      <c r="B287" s="27" t="str">
        <f>IFERROR(__xludf.DUMMYFUNCTION("""COMPUTED_VALUE"""),"Spell")</f>
        <v>Spell</v>
      </c>
      <c r="C287" s="27" t="str">
        <f>IFERROR(__xludf.DUMMYFUNCTION("""COMPUTED_VALUE"""),"Yuruk")</f>
        <v>Yuruk</v>
      </c>
      <c r="D287" s="27" t="str">
        <f>IFERROR(__xludf.DUMMYFUNCTION("""COMPUTED_VALUE"""),"Fein")</f>
        <v>Fein</v>
      </c>
      <c r="E287" s="27">
        <f>IFERROR(__xludf.DUMMYFUNCTION("""COMPUTED_VALUE"""),1.0)</f>
        <v>1</v>
      </c>
      <c r="F287" s="27" t="str">
        <f>IFERROR(__xludf.DUMMYFUNCTION("""COMPUTED_VALUE"""),"D")</f>
        <v>D</v>
      </c>
      <c r="G287" s="27" t="str">
        <f>IFERROR(__xludf.DUMMYFUNCTION("""COMPUTED_VALUE"""),"None")</f>
        <v>None</v>
      </c>
      <c r="H287" s="27" t="str">
        <f>IFERROR(__xludf.DUMMYFUNCTION("""COMPUTED_VALUE"""),"-")</f>
        <v>-</v>
      </c>
      <c r="I287" s="28" t="str">
        <f>IFERROR(__xludf.DUMMYFUNCTION("""COMPUTED_VALUE"""),"Negate your opponent's Attack when you win the Battle as a Defender.")</f>
        <v>Negate your opponent's Attack when you win the Battle as a Defender.</v>
      </c>
      <c r="J287" s="27" t="str">
        <f>IFERROR(__xludf.DUMMYFUNCTION("""COMPUTED_VALUE"""),"+3000")</f>
        <v>+3000</v>
      </c>
      <c r="K287" s="27" t="str">
        <f>IFERROR(__xludf.DUMMYFUNCTION("""COMPUTED_VALUE"""),"-")</f>
        <v>-</v>
      </c>
      <c r="L287" s="27" t="str">
        <f>IFERROR(__xludf.DUMMYFUNCTION("""COMPUTED_VALUE"""),"The Gathering Storm, Series 3, Expansion Sheet 1")</f>
        <v>The Gathering Storm, Series 3, Expansion Sheet 1</v>
      </c>
      <c r="M287" s="27" t="str">
        <f>IFERROR(__xludf.DUMMYFUNCTION("""COMPUTED_VALUE"""),"[C]")</f>
        <v>[C]</v>
      </c>
      <c r="N287" s="27" t="str">
        <f>IFERROR(__xludf.DUMMYFUNCTION("""COMPUTED_VALUE"""),"Fein’s 2nd spell. Enables Fein to move at super high speeds.")</f>
        <v>Fein’s 2nd spell. Enables Fein to move at super high speeds.</v>
      </c>
      <c r="O287" s="27"/>
      <c r="P287" s="27"/>
      <c r="Q287" s="27"/>
      <c r="R287" s="27"/>
      <c r="S287" s="27"/>
      <c r="T287" s="27"/>
      <c r="U287" s="27"/>
      <c r="V287" s="27"/>
      <c r="W287" s="27"/>
      <c r="X287" s="27"/>
      <c r="Y287" s="27"/>
      <c r="Z287" s="27"/>
    </row>
    <row r="288">
      <c r="A288" s="29" t="str">
        <f>IFERROR(__xludf.DUMMYFUNCTION("""COMPUTED_VALUE"""),"EX-020")</f>
        <v>EX-020</v>
      </c>
      <c r="B288" s="27" t="str">
        <f>IFERROR(__xludf.DUMMYFUNCTION("""COMPUTED_VALUE"""),"Spell")</f>
        <v>Spell</v>
      </c>
      <c r="C288" s="27" t="str">
        <f>IFERROR(__xludf.DUMMYFUNCTION("""COMPUTED_VALUE"""),"Bao Zakeruga")</f>
        <v>Bao Zakeruga</v>
      </c>
      <c r="D288" s="27" t="str">
        <f>IFERROR(__xludf.DUMMYFUNCTION("""COMPUTED_VALUE"""),"Zatch Bell")</f>
        <v>Zatch Bell</v>
      </c>
      <c r="E288" s="27">
        <f>IFERROR(__xludf.DUMMYFUNCTION("""COMPUTED_VALUE"""),7.0)</f>
        <v>7</v>
      </c>
      <c r="F288" s="27" t="str">
        <f>IFERROR(__xludf.DUMMYFUNCTION("""COMPUTED_VALUE"""),"AD")</f>
        <v>AD</v>
      </c>
      <c r="G288" s="27" t="str">
        <f>IFERROR(__xludf.DUMMYFUNCTION("""COMPUTED_VALUE"""),"Superior")</f>
        <v>Superior</v>
      </c>
      <c r="H288" s="27" t="str">
        <f>IFERROR(__xludf.DUMMYFUNCTION("""COMPUTED_VALUE"""),"Thunder")</f>
        <v>Thunder</v>
      </c>
      <c r="I288" s="28" t="str">
        <f>IFERROR(__xludf.DUMMYFUNCTION("""COMPUTED_VALUE"""),"Damage your opponent's Spell Book when you win the Battle as an Attacker.")</f>
        <v>Damage your opponent's Spell Book when you win the Battle as an Attacker.</v>
      </c>
      <c r="J288" s="27" t="str">
        <f>IFERROR(__xludf.DUMMYFUNCTION("""COMPUTED_VALUE"""),"+7000")</f>
        <v>+7000</v>
      </c>
      <c r="K288" s="27">
        <f>IFERROR(__xludf.DUMMYFUNCTION("""COMPUTED_VALUE"""),3.0)</f>
        <v>3</v>
      </c>
      <c r="L288" s="27" t="str">
        <f>IFERROR(__xludf.DUMMYFUNCTION("""COMPUTED_VALUE"""),"The Gathering Storm, Series 3, Expansion Sheet 1")</f>
        <v>The Gathering Storm, Series 3, Expansion Sheet 1</v>
      </c>
      <c r="M288" s="27" t="str">
        <f>IFERROR(__xludf.DUMMYFUNCTION("""COMPUTED_VALUE"""),"[U]")</f>
        <v>[U]</v>
      </c>
      <c r="N288" s="27" t="str">
        <f>IFERROR(__xludf.DUMMYFUNCTION("""COMPUTED_VALUE"""),"Zatch’s 4th spell. As Zatch and Kiyo battle, more power accumulates and Zatch is able to launch a powerful lightning dragon.")</f>
        <v>Zatch’s 4th spell. As Zatch and Kiyo battle, more power accumulates and Zatch is able to launch a powerful lightning dragon.</v>
      </c>
      <c r="O288" s="27"/>
      <c r="P288" s="27"/>
      <c r="Q288" s="27"/>
      <c r="R288" s="27"/>
      <c r="S288" s="27"/>
      <c r="T288" s="27"/>
      <c r="U288" s="27"/>
      <c r="V288" s="27"/>
      <c r="W288" s="27"/>
      <c r="X288" s="27"/>
      <c r="Y288" s="27"/>
      <c r="Z288" s="27"/>
    </row>
    <row r="289">
      <c r="A289" s="29" t="str">
        <f>IFERROR(__xludf.DUMMYFUNCTION("""COMPUTED_VALUE"""),"EX-021")</f>
        <v>EX-021</v>
      </c>
      <c r="B289" s="27" t="str">
        <f>IFERROR(__xludf.DUMMYFUNCTION("""COMPUTED_VALUE"""),"Event")</f>
        <v>Event</v>
      </c>
      <c r="C289" s="27" t="str">
        <f>IFERROR(__xludf.DUMMYFUNCTION("""COMPUTED_VALUE"""),"Danny's Real Power")</f>
        <v>Danny's Real Power</v>
      </c>
      <c r="D289" s="27" t="str">
        <f>IFERROR(__xludf.DUMMYFUNCTION("""COMPUTED_VALUE"""),"-")</f>
        <v>-</v>
      </c>
      <c r="E289" s="27">
        <f>IFERROR(__xludf.DUMMYFUNCTION("""COMPUTED_VALUE"""),0.0)</f>
        <v>0</v>
      </c>
      <c r="F289" s="27" t="str">
        <f>IFERROR(__xludf.DUMMYFUNCTION("""COMPUTED_VALUE"""),"A")</f>
        <v>A</v>
      </c>
      <c r="G289" s="27" t="str">
        <f>IFERROR(__xludf.DUMMYFUNCTION("""COMPUTED_VALUE"""),"None")</f>
        <v>None</v>
      </c>
      <c r="H289" s="27" t="str">
        <f>IFERROR(__xludf.DUMMYFUNCTION("""COMPUTED_VALUE"""),"-")</f>
        <v>-</v>
      </c>
      <c r="I289" s="28" t="str">
        <f>IFERROR(__xludf.DUMMYFUNCTION("""COMPUTED_VALUE"""),"Select 1 of your in-play MAMODO cards and apply both of the following effects: ● [STAY] Add 5000 Power to the selected card during this turn. ● [STANDBY] Send the selected MAMODO card to the Discard Pile at the END PHASE of this turn.")</f>
        <v>Select 1 of your in-play MAMODO cards and apply both of the following effects: ● [STAY] Add 5000 Power to the selected card during this turn. ● [STANDBY] Send the selected MAMODO card to the Discard Pile at the END PHASE of this turn.</v>
      </c>
      <c r="J289" s="27" t="str">
        <f>IFERROR(__xludf.DUMMYFUNCTION("""COMPUTED_VALUE"""),"-")</f>
        <v>-</v>
      </c>
      <c r="K289" s="27" t="str">
        <f>IFERROR(__xludf.DUMMYFUNCTION("""COMPUTED_VALUE"""),"-")</f>
        <v>-</v>
      </c>
      <c r="L289" s="27" t="str">
        <f>IFERROR(__xludf.DUMMYFUNCTION("""COMPUTED_VALUE"""),"The Gathering Storm, Series 3, Expansion Sheet 1, The Best Booster 2")</f>
        <v>The Gathering Storm, Series 3, Expansion Sheet 1, The Best Booster 2</v>
      </c>
      <c r="M289" s="27" t="str">
        <f>IFERROR(__xludf.DUMMYFUNCTION("""COMPUTED_VALUE"""),"[C]")</f>
        <v>[C]</v>
      </c>
      <c r="N289" s="27" t="str">
        <f>IFERROR(__xludf.DUMMYFUNCTION("""COMPUTED_VALUE"""),"Danny’s power from within enables him to defend.")</f>
        <v>Danny’s power from within enables him to defend.</v>
      </c>
      <c r="O289" s="27"/>
      <c r="P289" s="27"/>
      <c r="Q289" s="27"/>
      <c r="R289" s="27"/>
      <c r="S289" s="27"/>
      <c r="T289" s="27"/>
      <c r="U289" s="27"/>
      <c r="V289" s="27"/>
      <c r="W289" s="27"/>
      <c r="X289" s="27"/>
      <c r="Y289" s="27"/>
      <c r="Z289" s="27"/>
    </row>
    <row r="290">
      <c r="A290" s="29" t="str">
        <f>IFERROR(__xludf.DUMMYFUNCTION("""COMPUTED_VALUE"""),"EX-022")</f>
        <v>EX-022</v>
      </c>
      <c r="B290" s="27" t="str">
        <f>IFERROR(__xludf.DUMMYFUNCTION("""COMPUTED_VALUE"""),"Event")</f>
        <v>Event</v>
      </c>
      <c r="C290" s="27" t="str">
        <f>IFERROR(__xludf.DUMMYFUNCTION("""COMPUTED_VALUE"""),"Yopopo's Dance")</f>
        <v>Yopopo's Dance</v>
      </c>
      <c r="D290" s="27" t="str">
        <f>IFERROR(__xludf.DUMMYFUNCTION("""COMPUTED_VALUE"""),"-")</f>
        <v>-</v>
      </c>
      <c r="E290" s="27">
        <f>IFERROR(__xludf.DUMMYFUNCTION("""COMPUTED_VALUE"""),3.0)</f>
        <v>3</v>
      </c>
      <c r="F290" s="27" t="str">
        <f>IFERROR(__xludf.DUMMYFUNCTION("""COMPUTED_VALUE"""),"A")</f>
        <v>A</v>
      </c>
      <c r="G290" s="27" t="str">
        <f>IFERROR(__xludf.DUMMYFUNCTION("""COMPUTED_VALUE"""),"None")</f>
        <v>None</v>
      </c>
      <c r="H290" s="27" t="str">
        <f>IFERROR(__xludf.DUMMYFUNCTION("""COMPUTED_VALUE"""),"-")</f>
        <v>-</v>
      </c>
      <c r="I290" s="28" t="str">
        <f>IFERROR(__xludf.DUMMYFUNCTION("""COMPUTED_VALUE"""),"Turn 1 page of your opponent's Spell Book. Then, turn 1 page of your Spell Book. Effects that turn pages of your Spell Book can be applied only once per turn (per player).")</f>
        <v>Turn 1 page of your opponent's Spell Book. Then, turn 1 page of your Spell Book. Effects that turn pages of your Spell Book can be applied only once per turn (per player).</v>
      </c>
      <c r="J290" s="27" t="str">
        <f>IFERROR(__xludf.DUMMYFUNCTION("""COMPUTED_VALUE"""),"-")</f>
        <v>-</v>
      </c>
      <c r="K290" s="27" t="str">
        <f>IFERROR(__xludf.DUMMYFUNCTION("""COMPUTED_VALUE"""),"-")</f>
        <v>-</v>
      </c>
      <c r="L290" s="27" t="str">
        <f>IFERROR(__xludf.DUMMYFUNCTION("""COMPUTED_VALUE"""),"The Gathering Storm, Series 3, Expansion Sheet 1, The Best Booster 2, Revised Edition")</f>
        <v>The Gathering Storm, Series 3, Expansion Sheet 1, The Best Booster 2, Revised Edition</v>
      </c>
      <c r="M290" s="27" t="str">
        <f>IFERROR(__xludf.DUMMYFUNCTION("""COMPUTED_VALUE"""),"[U]")</f>
        <v>[U]</v>
      </c>
      <c r="N290" s="27" t="str">
        <f>IFERROR(__xludf.DUMMYFUNCTION("""COMPUTED_VALUE"""),"Yopopo’s dance attracts other mamodo to him.")</f>
        <v>Yopopo’s dance attracts other mamodo to him.</v>
      </c>
      <c r="O290" s="27"/>
      <c r="P290" s="27"/>
      <c r="Q290" s="27"/>
      <c r="R290" s="27"/>
      <c r="S290" s="27"/>
      <c r="T290" s="27"/>
      <c r="U290" s="27"/>
      <c r="V290" s="27"/>
      <c r="W290" s="27"/>
      <c r="X290" s="27"/>
      <c r="Y290" s="27"/>
      <c r="Z290" s="27"/>
    </row>
    <row r="291">
      <c r="A291" s="29" t="str">
        <f>IFERROR(__xludf.DUMMYFUNCTION("""COMPUTED_VALUE"""),"EX-023")</f>
        <v>EX-023</v>
      </c>
      <c r="B291" s="27" t="str">
        <f>IFERROR(__xludf.DUMMYFUNCTION("""COMPUTED_VALUE"""),"Event")</f>
        <v>Event</v>
      </c>
      <c r="C291" s="27" t="str">
        <f>IFERROR(__xludf.DUMMYFUNCTION("""COMPUTED_VALUE"""),"Volcan 300")</f>
        <v>Volcan 300</v>
      </c>
      <c r="D291" s="27" t="str">
        <f>IFERROR(__xludf.DUMMYFUNCTION("""COMPUTED_VALUE"""),"-")</f>
        <v>-</v>
      </c>
      <c r="E291" s="27">
        <f>IFERROR(__xludf.DUMMYFUNCTION("""COMPUTED_VALUE"""),3.0)</f>
        <v>3</v>
      </c>
      <c r="F291" s="27" t="str">
        <f>IFERROR(__xludf.DUMMYFUNCTION("""COMPUTED_VALUE"""),"AD")</f>
        <v>AD</v>
      </c>
      <c r="G291" s="27" t="str">
        <f>IFERROR(__xludf.DUMMYFUNCTION("""COMPUTED_VALUE"""),"None")</f>
        <v>None</v>
      </c>
      <c r="H291" s="27" t="str">
        <f>IFERROR(__xludf.DUMMYFUNCTION("""COMPUTED_VALUE"""),"-")</f>
        <v>-</v>
      </c>
      <c r="I291" s="28" t="str">
        <f>IFERROR(__xludf.DUMMYFUNCTION("""COMPUTED_VALUE"""),"[STAY] Add 3000 Power to 1 of your in-play MAMODO cards during this turn.")</f>
        <v>[STAY] Add 3000 Power to 1 of your in-play MAMODO cards during this turn.</v>
      </c>
      <c r="J291" s="27" t="str">
        <f>IFERROR(__xludf.DUMMYFUNCTION("""COMPUTED_VALUE"""),"-")</f>
        <v>-</v>
      </c>
      <c r="K291" s="27" t="str">
        <f>IFERROR(__xludf.DUMMYFUNCTION("""COMPUTED_VALUE"""),"-")</f>
        <v>-</v>
      </c>
      <c r="L291" s="27" t="str">
        <f>IFERROR(__xludf.DUMMYFUNCTION("""COMPUTED_VALUE"""),"The Gathering Storm, Series 3, Expansion Sheet 1")</f>
        <v>The Gathering Storm, Series 3, Expansion Sheet 1</v>
      </c>
      <c r="M291" s="27" t="str">
        <f>IFERROR(__xludf.DUMMYFUNCTION("""COMPUTED_VALUE"""),"[C]")</f>
        <v>[C]</v>
      </c>
      <c r="N291" s="27" t="str">
        <f>IFERROR(__xludf.DUMMYFUNCTION("""COMPUTED_VALUE"""),"Zatch’s friend. Kiyo made him in 5 minutes.")</f>
        <v>Zatch’s friend. Kiyo made him in 5 minutes.</v>
      </c>
      <c r="O291" s="27"/>
      <c r="P291" s="27"/>
      <c r="Q291" s="27"/>
      <c r="R291" s="27"/>
      <c r="S291" s="27"/>
      <c r="T291" s="27"/>
      <c r="U291" s="27"/>
      <c r="V291" s="27"/>
      <c r="W291" s="27"/>
      <c r="X291" s="27"/>
      <c r="Y291" s="27"/>
      <c r="Z291" s="27"/>
    </row>
    <row r="292">
      <c r="A292" s="29" t="str">
        <f>IFERROR(__xludf.DUMMYFUNCTION("""COMPUTED_VALUE"""),"EX-024")</f>
        <v>EX-024</v>
      </c>
      <c r="B292" s="27" t="str">
        <f>IFERROR(__xludf.DUMMYFUNCTION("""COMPUTED_VALUE"""),"Event")</f>
        <v>Event</v>
      </c>
      <c r="C292" s="27" t="str">
        <f>IFERROR(__xludf.DUMMYFUNCTION("""COMPUTED_VALUE"""),"The Magic Mirror")</f>
        <v>The Magic Mirror</v>
      </c>
      <c r="D292" s="27" t="str">
        <f>IFERROR(__xludf.DUMMYFUNCTION("""COMPUTED_VALUE"""),"-")</f>
        <v>-</v>
      </c>
      <c r="E292" s="27">
        <f>IFERROR(__xludf.DUMMYFUNCTION("""COMPUTED_VALUE"""),8.0)</f>
        <v>8</v>
      </c>
      <c r="F292" s="27" t="str">
        <f>IFERROR(__xludf.DUMMYFUNCTION("""COMPUTED_VALUE"""),"A")</f>
        <v>A</v>
      </c>
      <c r="G292" s="27" t="str">
        <f>IFERROR(__xludf.DUMMYFUNCTION("""COMPUTED_VALUE"""),"None")</f>
        <v>None</v>
      </c>
      <c r="H292" s="27" t="str">
        <f>IFERROR(__xludf.DUMMYFUNCTION("""COMPUTED_VALUE"""),"-")</f>
        <v>-</v>
      </c>
      <c r="I292" s="28" t="str">
        <f>IFERROR(__xludf.DUMMYFUNCTION("""COMPUTED_VALUE"""),"This EVENT card can be played only when your opponent has 2 or more MAMODO cards in play. Injure 1 of your opponent's MAMODO cards.")</f>
        <v>This EVENT card can be played only when your opponent has 2 or more MAMODO cards in play. Injure 1 of your opponent's MAMODO cards.</v>
      </c>
      <c r="J292" s="27" t="str">
        <f>IFERROR(__xludf.DUMMYFUNCTION("""COMPUTED_VALUE"""),"-")</f>
        <v>-</v>
      </c>
      <c r="K292" s="27" t="str">
        <f>IFERROR(__xludf.DUMMYFUNCTION("""COMPUTED_VALUE"""),"-")</f>
        <v>-</v>
      </c>
      <c r="L292" s="27" t="str">
        <f>IFERROR(__xludf.DUMMYFUNCTION("""COMPUTED_VALUE"""),"The Gathering Storm, Series 3, Expansion Sheet 1")</f>
        <v>The Gathering Storm, Series 3, Expansion Sheet 1</v>
      </c>
      <c r="M292" s="27" t="str">
        <f>IFERROR(__xludf.DUMMYFUNCTION("""COMPUTED_VALUE"""),"[R]")</f>
        <v>[R]</v>
      </c>
      <c r="N292" s="27" t="str">
        <f>IFERROR(__xludf.DUMMYFUNCTION("""COMPUTED_VALUE"""),"A mysterious mirror.")</f>
        <v>A mysterious mirror.</v>
      </c>
      <c r="O292" s="27"/>
      <c r="P292" s="27"/>
      <c r="Q292" s="27"/>
      <c r="R292" s="27"/>
      <c r="S292" s="27"/>
      <c r="T292" s="27"/>
      <c r="U292" s="27"/>
      <c r="V292" s="27"/>
      <c r="W292" s="27"/>
      <c r="X292" s="27"/>
      <c r="Y292" s="27"/>
      <c r="Z292" s="27"/>
    </row>
    <row r="293">
      <c r="A293" s="29" t="str">
        <f>IFERROR(__xludf.DUMMYFUNCTION("""COMPUTED_VALUE"""),"EX-025")</f>
        <v>EX-025</v>
      </c>
      <c r="B293" s="27" t="str">
        <f>IFERROR(__xludf.DUMMYFUNCTION("""COMPUTED_VALUE"""),"Mamodo")</f>
        <v>Mamodo</v>
      </c>
      <c r="C293" s="27" t="str">
        <f>IFERROR(__xludf.DUMMYFUNCTION("""COMPUTED_VALUE"""),"Zatch Bell")</f>
        <v>Zatch Bell</v>
      </c>
      <c r="D293" s="27" t="str">
        <f>IFERROR(__xludf.DUMMYFUNCTION("""COMPUTED_VALUE"""),"Zatch Bell")</f>
        <v>Zatch Bell</v>
      </c>
      <c r="E293" s="27" t="str">
        <f>IFERROR(__xludf.DUMMYFUNCTION("""COMPUTED_VALUE"""),"-")</f>
        <v>-</v>
      </c>
      <c r="F293" s="27" t="str">
        <f>IFERROR(__xludf.DUMMYFUNCTION("""COMPUTED_VALUE"""),"-")</f>
        <v>-</v>
      </c>
      <c r="G293" s="27" t="str">
        <f>IFERROR(__xludf.DUMMYFUNCTION("""COMPUTED_VALUE"""),"None")</f>
        <v>None</v>
      </c>
      <c r="H293" s="27" t="str">
        <f>IFERROR(__xludf.DUMMYFUNCTION("""COMPUTED_VALUE"""),"I Love Yellowtail!")</f>
        <v>I Love Yellowtail!</v>
      </c>
      <c r="I293" s="28" t="str">
        <f>IFERROR(__xludf.DUMMYFUNCTION("""COMPUTED_VALUE"""),"[DECLARE TO USE] Get MP equal to the amount of MP your opponent gets by using a card effect. This effect can only be applied immediately after your opponent applies a card effect that increases their MP.")</f>
        <v>[DECLARE TO USE] Get MP equal to the amount of MP your opponent gets by using a card effect. This effect can only be applied immediately after your opponent applies a card effect that increases their MP.</v>
      </c>
      <c r="J293" s="27">
        <f>IFERROR(__xludf.DUMMYFUNCTION("""COMPUTED_VALUE"""),4000.0)</f>
        <v>4000</v>
      </c>
      <c r="K293" s="27" t="str">
        <f>IFERROR(__xludf.DUMMYFUNCTION("""COMPUTED_VALUE"""),"-")</f>
        <v>-</v>
      </c>
      <c r="L293" s="27" t="str">
        <f>IFERROR(__xludf.DUMMYFUNCTION("""COMPUTED_VALUE"""),"The Gathering Storm, Series 3, Expansion Sheet 2, The Best Booster 2")</f>
        <v>The Gathering Storm, Series 3, Expansion Sheet 2, The Best Booster 2</v>
      </c>
      <c r="M293" s="27" t="str">
        <f>IFERROR(__xludf.DUMMYFUNCTION("""COMPUTED_VALUE"""),"[C]")</f>
        <v>[C]</v>
      </c>
      <c r="N293" s="27" t="str">
        <f>IFERROR(__xludf.DUMMYFUNCTION("""COMPUTED_VALUE"""),"“Kiyo! Let’s eat it together.”")</f>
        <v>“Kiyo! Let’s eat it together.”</v>
      </c>
      <c r="O293" s="27"/>
      <c r="P293" s="27"/>
      <c r="Q293" s="27"/>
      <c r="R293" s="27"/>
      <c r="S293" s="27"/>
      <c r="T293" s="27"/>
      <c r="U293" s="27"/>
      <c r="V293" s="27"/>
      <c r="W293" s="27"/>
      <c r="X293" s="27"/>
      <c r="Y293" s="27"/>
      <c r="Z293" s="27"/>
    </row>
    <row r="294">
      <c r="A294" s="29" t="str">
        <f>IFERROR(__xludf.DUMMYFUNCTION("""COMPUTED_VALUE"""),"EX-026")</f>
        <v>EX-026</v>
      </c>
      <c r="B294" s="27" t="str">
        <f>IFERROR(__xludf.DUMMYFUNCTION("""COMPUTED_VALUE"""),"Mamodo")</f>
        <v>Mamodo</v>
      </c>
      <c r="C294" s="27" t="str">
        <f>IFERROR(__xludf.DUMMYFUNCTION("""COMPUTED_VALUE"""),"Kanchome")</f>
        <v>Kanchome</v>
      </c>
      <c r="D294" s="27" t="str">
        <f>IFERROR(__xludf.DUMMYFUNCTION("""COMPUTED_VALUE"""),"Kanchome")</f>
        <v>Kanchome</v>
      </c>
      <c r="E294" s="27" t="str">
        <f>IFERROR(__xludf.DUMMYFUNCTION("""COMPUTED_VALUE"""),"-")</f>
        <v>-</v>
      </c>
      <c r="F294" s="27" t="str">
        <f>IFERROR(__xludf.DUMMYFUNCTION("""COMPUTED_VALUE"""),"-")</f>
        <v>-</v>
      </c>
      <c r="G294" s="27" t="str">
        <f>IFERROR(__xludf.DUMMYFUNCTION("""COMPUTED_VALUE"""),"None")</f>
        <v>None</v>
      </c>
      <c r="H294" s="27" t="str">
        <f>IFERROR(__xludf.DUMMYFUNCTION("""COMPUTED_VALUE"""),"A Funny Mamodo")</f>
        <v>A Funny Mamodo</v>
      </c>
      <c r="I294" s="28" t="str">
        <f>IFERROR(__xludf.DUMMYFUNCTION("""COMPUTED_VALUE"""),"[1 MP] Re-do the coin toss you just did. This effect can be applied up to twice per turn (per player).")</f>
        <v>[1 MP] Re-do the coin toss you just did. This effect can be applied up to twice per turn (per player).</v>
      </c>
      <c r="J294" s="27">
        <f>IFERROR(__xludf.DUMMYFUNCTION("""COMPUTED_VALUE"""),1000.0)</f>
        <v>1000</v>
      </c>
      <c r="K294" s="27" t="str">
        <f>IFERROR(__xludf.DUMMYFUNCTION("""COMPUTED_VALUE"""),"-")</f>
        <v>-</v>
      </c>
      <c r="L294" s="27" t="str">
        <f>IFERROR(__xludf.DUMMYFUNCTION("""COMPUTED_VALUE"""),"The Gathering Storm, Series 3, Expansion Sheet 2, The Best Booster 1")</f>
        <v>The Gathering Storm, Series 3, Expansion Sheet 2, The Best Booster 1</v>
      </c>
      <c r="M294" s="27" t="str">
        <f>IFERROR(__xludf.DUMMYFUNCTION("""COMPUTED_VALUE"""),"[C]")</f>
        <v>[C]</v>
      </c>
      <c r="N294" s="27" t="str">
        <f>IFERROR(__xludf.DUMMYFUNCTION("""COMPUTED_VALUE"""),"""No attack can hurt Folgore!""")</f>
        <v>"No attack can hurt Folgore!"</v>
      </c>
      <c r="O294" s="27"/>
      <c r="P294" s="27"/>
      <c r="Q294" s="27"/>
      <c r="R294" s="27"/>
      <c r="S294" s="27"/>
      <c r="T294" s="27"/>
      <c r="U294" s="27"/>
      <c r="V294" s="27"/>
      <c r="W294" s="27"/>
      <c r="X294" s="27"/>
      <c r="Y294" s="27"/>
      <c r="Z294" s="27"/>
    </row>
    <row r="295">
      <c r="A295" s="29" t="str">
        <f>IFERROR(__xludf.DUMMYFUNCTION("""COMPUTED_VALUE"""),"EX-027")</f>
        <v>EX-027</v>
      </c>
      <c r="B295" s="27" t="str">
        <f>IFERROR(__xludf.DUMMYFUNCTION("""COMPUTED_VALUE"""),"Mamodo")</f>
        <v>Mamodo</v>
      </c>
      <c r="C295" s="27" t="str">
        <f>IFERROR(__xludf.DUMMYFUNCTION("""COMPUTED_VALUE"""),"Grisor")</f>
        <v>Grisor</v>
      </c>
      <c r="D295" s="27" t="str">
        <f>IFERROR(__xludf.DUMMYFUNCTION("""COMPUTED_VALUE"""),"Grisor")</f>
        <v>Grisor</v>
      </c>
      <c r="E295" s="27" t="str">
        <f>IFERROR(__xludf.DUMMYFUNCTION("""COMPUTED_VALUE"""),"-")</f>
        <v>-</v>
      </c>
      <c r="F295" s="27" t="str">
        <f>IFERROR(__xludf.DUMMYFUNCTION("""COMPUTED_VALUE"""),"-")</f>
        <v>-</v>
      </c>
      <c r="G295" s="27" t="str">
        <f>IFERROR(__xludf.DUMMYFUNCTION("""COMPUTED_VALUE"""),"None")</f>
        <v>None</v>
      </c>
      <c r="H295" s="27" t="str">
        <f>IFERROR(__xludf.DUMMYFUNCTION("""COMPUTED_VALUE"""),"Collector of the Magic Mirror")</f>
        <v>Collector of the Magic Mirror</v>
      </c>
      <c r="I295" s="28" t="str">
        <f>IFERROR(__xludf.DUMMYFUNCTION("""COMPUTED_VALUE"""),"[DECLARE TO USE] During your BATTLE PHASE, Reduce your opponent's MP by 1 to get 1 MP.")</f>
        <v>[DECLARE TO USE] During your BATTLE PHASE, Reduce your opponent's MP by 1 to get 1 MP.</v>
      </c>
      <c r="J295" s="27">
        <f>IFERROR(__xludf.DUMMYFUNCTION("""COMPUTED_VALUE"""),1000.0)</f>
        <v>1000</v>
      </c>
      <c r="K295" s="27" t="str">
        <f>IFERROR(__xludf.DUMMYFUNCTION("""COMPUTED_VALUE"""),"-")</f>
        <v>-</v>
      </c>
      <c r="L295" s="27" t="str">
        <f>IFERROR(__xludf.DUMMYFUNCTION("""COMPUTED_VALUE"""),"The Gathering Storm, Series 3, Expansion Sheet 2, The Best Booster 1")</f>
        <v>The Gathering Storm, Series 3, Expansion Sheet 2, The Best Booster 1</v>
      </c>
      <c r="M295" s="27" t="str">
        <f>IFERROR(__xludf.DUMMYFUNCTION("""COMPUTED_VALUE"""),"[C]")</f>
        <v>[C]</v>
      </c>
      <c r="N295" s="27" t="str">
        <f>IFERROR(__xludf.DUMMYFUNCTION("""COMPUTED_VALUE"""),"He tries to seize the magic mirror from Zatch.")</f>
        <v>He tries to seize the magic mirror from Zatch.</v>
      </c>
      <c r="O295" s="27"/>
      <c r="P295" s="27"/>
      <c r="Q295" s="27"/>
      <c r="R295" s="27"/>
      <c r="S295" s="27"/>
      <c r="T295" s="27"/>
      <c r="U295" s="27"/>
      <c r="V295" s="27"/>
      <c r="W295" s="27"/>
      <c r="X295" s="27"/>
      <c r="Y295" s="27"/>
      <c r="Z295" s="27"/>
    </row>
    <row r="296">
      <c r="A296" s="29" t="str">
        <f>IFERROR(__xludf.DUMMYFUNCTION("""COMPUTED_VALUE"""),"EX-028")</f>
        <v>EX-028</v>
      </c>
      <c r="B296" s="27" t="str">
        <f>IFERROR(__xludf.DUMMYFUNCTION("""COMPUTED_VALUE"""),"Mamodo")</f>
        <v>Mamodo</v>
      </c>
      <c r="C296" s="27" t="str">
        <f>IFERROR(__xludf.DUMMYFUNCTION("""COMPUTED_VALUE"""),"Brago")</f>
        <v>Brago</v>
      </c>
      <c r="D296" s="27" t="str">
        <f>IFERROR(__xludf.DUMMYFUNCTION("""COMPUTED_VALUE"""),"Brago")</f>
        <v>Brago</v>
      </c>
      <c r="E296" s="27" t="str">
        <f>IFERROR(__xludf.DUMMYFUNCTION("""COMPUTED_VALUE"""),"-")</f>
        <v>-</v>
      </c>
      <c r="F296" s="27" t="str">
        <f>IFERROR(__xludf.DUMMYFUNCTION("""COMPUTED_VALUE"""),"-")</f>
        <v>-</v>
      </c>
      <c r="G296" s="27" t="str">
        <f>IFERROR(__xludf.DUMMYFUNCTION("""COMPUTED_VALUE"""),"None")</f>
        <v>None</v>
      </c>
      <c r="H296" s="27" t="str">
        <f>IFERROR(__xludf.DUMMYFUNCTION("""COMPUTED_VALUE"""),"Gravity Attack")</f>
        <v>Gravity Attack</v>
      </c>
      <c r="I296" s="28" t="str">
        <f>IFERROR(__xludf.DUMMYFUNCTION("""COMPUTED_VALUE"""),"-")</f>
        <v>-</v>
      </c>
      <c r="J296" s="27">
        <f>IFERROR(__xludf.DUMMYFUNCTION("""COMPUTED_VALUE"""),6000.0)</f>
        <v>6000</v>
      </c>
      <c r="K296" s="27" t="str">
        <f>IFERROR(__xludf.DUMMYFUNCTION("""COMPUTED_VALUE"""),"-")</f>
        <v>-</v>
      </c>
      <c r="L296" s="27" t="str">
        <f>IFERROR(__xludf.DUMMYFUNCTION("""COMPUTED_VALUE"""),"The Gathering Storm, Series 3, Expansion Sheet 2")</f>
        <v>The Gathering Storm, Series 3, Expansion Sheet 2</v>
      </c>
      <c r="M296" s="27" t="str">
        <f>IFERROR(__xludf.DUMMYFUNCTION("""COMPUTED_VALUE"""),"[C]")</f>
        <v>[C]</v>
      </c>
      <c r="N296" s="27" t="str">
        <f>IFERROR(__xludf.DUMMYFUNCTION("""COMPUTED_VALUE"""),"Brago has the ability to control gravity.")</f>
        <v>Brago has the ability to control gravity.</v>
      </c>
      <c r="O296" s="27"/>
      <c r="P296" s="27"/>
      <c r="Q296" s="27"/>
      <c r="R296" s="27"/>
      <c r="S296" s="27"/>
      <c r="T296" s="27"/>
      <c r="U296" s="27"/>
      <c r="V296" s="27"/>
      <c r="W296" s="27"/>
      <c r="X296" s="27"/>
      <c r="Y296" s="27"/>
      <c r="Z296" s="27"/>
    </row>
    <row r="297">
      <c r="A297" s="29" t="str">
        <f>IFERROR(__xludf.DUMMYFUNCTION("""COMPUTED_VALUE"""),"EX-029")</f>
        <v>EX-029</v>
      </c>
      <c r="B297" s="27" t="str">
        <f>IFERROR(__xludf.DUMMYFUNCTION("""COMPUTED_VALUE"""),"Mamodo")</f>
        <v>Mamodo</v>
      </c>
      <c r="C297" s="27" t="str">
        <f>IFERROR(__xludf.DUMMYFUNCTION("""COMPUTED_VALUE"""),"Zeno")</f>
        <v>Zeno</v>
      </c>
      <c r="D297" s="27" t="str">
        <f>IFERROR(__xludf.DUMMYFUNCTION("""COMPUTED_VALUE"""),"Zeno")</f>
        <v>Zeno</v>
      </c>
      <c r="E297" s="27" t="str">
        <f>IFERROR(__xludf.DUMMYFUNCTION("""COMPUTED_VALUE"""),"-")</f>
        <v>-</v>
      </c>
      <c r="F297" s="27" t="str">
        <f>IFERROR(__xludf.DUMMYFUNCTION("""COMPUTED_VALUE"""),"-")</f>
        <v>-</v>
      </c>
      <c r="G297" s="27" t="str">
        <f>IFERROR(__xludf.DUMMYFUNCTION("""COMPUTED_VALUE"""),"None")</f>
        <v>None</v>
      </c>
      <c r="H297" s="27" t="str">
        <f>IFERROR(__xludf.DUMMYFUNCTION("""COMPUTED_VALUE"""),"Regal Lightning")</f>
        <v>Regal Lightning</v>
      </c>
      <c r="I297" s="28" t="str">
        <f>IFERROR(__xludf.DUMMYFUNCTION("""COMPUTED_VALUE"""),"-")</f>
        <v>-</v>
      </c>
      <c r="J297" s="27">
        <f>IFERROR(__xludf.DUMMYFUNCTION("""COMPUTED_VALUE"""),7000.0)</f>
        <v>7000</v>
      </c>
      <c r="K297" s="27" t="str">
        <f>IFERROR(__xludf.DUMMYFUNCTION("""COMPUTED_VALUE"""),"-")</f>
        <v>-</v>
      </c>
      <c r="L297" s="27" t="str">
        <f>IFERROR(__xludf.DUMMYFUNCTION("""COMPUTED_VALUE"""),"The Gathering Storm, Series 3, Expansion Sheet 2")</f>
        <v>The Gathering Storm, Series 3, Expansion Sheet 2</v>
      </c>
      <c r="M297" s="27" t="str">
        <f>IFERROR(__xludf.DUMMYFUNCTION("""COMPUTED_VALUE"""),"[C]")</f>
        <v>[C]</v>
      </c>
      <c r="N297" s="27" t="str">
        <f>IFERROR(__xludf.DUMMYFUNCTION("""COMPUTED_VALUE"""),"Zeno strongly resembles Zatch, but they differ in personality.")</f>
        <v>Zeno strongly resembles Zatch, but they differ in personality.</v>
      </c>
      <c r="O297" s="27"/>
      <c r="P297" s="27"/>
      <c r="Q297" s="27"/>
      <c r="R297" s="27"/>
      <c r="S297" s="27"/>
      <c r="T297" s="27"/>
      <c r="U297" s="27"/>
      <c r="V297" s="27"/>
      <c r="W297" s="27"/>
      <c r="X297" s="27"/>
      <c r="Y297" s="27"/>
      <c r="Z297" s="27"/>
    </row>
    <row r="298">
      <c r="A298" s="29" t="str">
        <f>IFERROR(__xludf.DUMMYFUNCTION("""COMPUTED_VALUE"""),"EX-030")</f>
        <v>EX-030</v>
      </c>
      <c r="B298" s="27" t="str">
        <f>IFERROR(__xludf.DUMMYFUNCTION("""COMPUTED_VALUE"""),"Mamodo")</f>
        <v>Mamodo</v>
      </c>
      <c r="C298" s="27" t="str">
        <f>IFERROR(__xludf.DUMMYFUNCTION("""COMPUTED_VALUE"""),"Wonrei")</f>
        <v>Wonrei</v>
      </c>
      <c r="D298" s="27" t="str">
        <f>IFERROR(__xludf.DUMMYFUNCTION("""COMPUTED_VALUE"""),"Wonrei")</f>
        <v>Wonrei</v>
      </c>
      <c r="E298" s="27" t="str">
        <f>IFERROR(__xludf.DUMMYFUNCTION("""COMPUTED_VALUE"""),"-")</f>
        <v>-</v>
      </c>
      <c r="F298" s="27" t="str">
        <f>IFERROR(__xludf.DUMMYFUNCTION("""COMPUTED_VALUE"""),"-")</f>
        <v>-</v>
      </c>
      <c r="G298" s="27" t="str">
        <f>IFERROR(__xludf.DUMMYFUNCTION("""COMPUTED_VALUE"""),"None")</f>
        <v>None</v>
      </c>
      <c r="H298" s="27" t="str">
        <f>IFERROR(__xludf.DUMMYFUNCTION("""COMPUTED_VALUE"""),"I Will Protect You Until the End")</f>
        <v>I Will Protect You Until the End</v>
      </c>
      <c r="I298" s="28" t="str">
        <f>IFERROR(__xludf.DUMMYFUNCTION("""COMPUTED_VALUE"""),"-")</f>
        <v>-</v>
      </c>
      <c r="J298" s="27">
        <f>IFERROR(__xludf.DUMMYFUNCTION("""COMPUTED_VALUE"""),5000.0)</f>
        <v>5000</v>
      </c>
      <c r="K298" s="27" t="str">
        <f>IFERROR(__xludf.DUMMYFUNCTION("""COMPUTED_VALUE"""),"-")</f>
        <v>-</v>
      </c>
      <c r="L298" s="27" t="str">
        <f>IFERROR(__xludf.DUMMYFUNCTION("""COMPUTED_VALUE"""),"The Gathering Storm, Series 3, Expansion Sheet 2")</f>
        <v>The Gathering Storm, Series 3, Expansion Sheet 2</v>
      </c>
      <c r="M298" s="27" t="str">
        <f>IFERROR(__xludf.DUMMYFUNCTION("""COMPUTED_VALUE"""),"[C]")</f>
        <v>[C]</v>
      </c>
      <c r="N298" s="27" t="str">
        <f>IFERROR(__xludf.DUMMYFUNCTION("""COMPUTED_VALUE"""),"Wonrei is a skilled kung fu master.")</f>
        <v>Wonrei is a skilled kung fu master.</v>
      </c>
      <c r="O298" s="27"/>
      <c r="P298" s="27"/>
      <c r="Q298" s="27"/>
      <c r="R298" s="27"/>
      <c r="S298" s="27"/>
      <c r="T298" s="27"/>
      <c r="U298" s="27"/>
      <c r="V298" s="27"/>
      <c r="W298" s="27"/>
      <c r="X298" s="27"/>
      <c r="Y298" s="27"/>
      <c r="Z298" s="27"/>
    </row>
    <row r="299">
      <c r="A299" s="29" t="str">
        <f>IFERROR(__xludf.DUMMYFUNCTION("""COMPUTED_VALUE"""),"EX-031")</f>
        <v>EX-031</v>
      </c>
      <c r="B299" s="27" t="str">
        <f>IFERROR(__xludf.DUMMYFUNCTION("""COMPUTED_VALUE"""),"Mamodo")</f>
        <v>Mamodo</v>
      </c>
      <c r="C299" s="27" t="str">
        <f>IFERROR(__xludf.DUMMYFUNCTION("""COMPUTED_VALUE"""),"Penny")</f>
        <v>Penny</v>
      </c>
      <c r="D299" s="27" t="str">
        <f>IFERROR(__xludf.DUMMYFUNCTION("""COMPUTED_VALUE"""),"Penny")</f>
        <v>Penny</v>
      </c>
      <c r="E299" s="27" t="str">
        <f>IFERROR(__xludf.DUMMYFUNCTION("""COMPUTED_VALUE"""),"-")</f>
        <v>-</v>
      </c>
      <c r="F299" s="27" t="str">
        <f>IFERROR(__xludf.DUMMYFUNCTION("""COMPUTED_VALUE"""),"-")</f>
        <v>-</v>
      </c>
      <c r="G299" s="27" t="str">
        <f>IFERROR(__xludf.DUMMYFUNCTION("""COMPUTED_VALUE"""),"None")</f>
        <v>None</v>
      </c>
      <c r="H299" s="27" t="str">
        <f>IFERROR(__xludf.DUMMYFUNCTION("""COMPUTED_VALUE"""),"What a Weak Attack")</f>
        <v>What a Weak Attack</v>
      </c>
      <c r="I299" s="28" t="str">
        <f>IFERROR(__xludf.DUMMYFUNCTION("""COMPUTED_VALUE"""),"(Battle) [1 MP] [STAY] During the Battle when your opponent Attacks, reduce the Damage of your opponent's SPELL card by 1.")</f>
        <v>(Battle) [1 MP] [STAY] During the Battle when your opponent Attacks, reduce the Damage of your opponent's SPELL card by 1.</v>
      </c>
      <c r="J299" s="27">
        <f>IFERROR(__xludf.DUMMYFUNCTION("""COMPUTED_VALUE"""),3500.0)</f>
        <v>3500</v>
      </c>
      <c r="K299" s="27" t="str">
        <f>IFERROR(__xludf.DUMMYFUNCTION("""COMPUTED_VALUE"""),"-")</f>
        <v>-</v>
      </c>
      <c r="L299" s="27" t="str">
        <f>IFERROR(__xludf.DUMMYFUNCTION("""COMPUTED_VALUE"""),"The Gathering Storm, Series 3, Expansion Sheet 2, The Best Booster 2, Revised Edition")</f>
        <v>The Gathering Storm, Series 3, Expansion Sheet 2, The Best Booster 2, Revised Edition</v>
      </c>
      <c r="M299" s="27" t="str">
        <f>IFERROR(__xludf.DUMMYFUNCTION("""COMPUTED_VALUE"""),"[C]")</f>
        <v>[C]</v>
      </c>
      <c r="N299" s="27" t="str">
        <f>IFERROR(__xludf.DUMMYFUNCTION("""COMPUTED_VALUE"""),"Penny has had a big crush on Zatch for a long time.")</f>
        <v>Penny has had a big crush on Zatch for a long time.</v>
      </c>
      <c r="O299" s="27"/>
      <c r="P299" s="27"/>
      <c r="Q299" s="27"/>
      <c r="R299" s="27"/>
      <c r="S299" s="27"/>
      <c r="T299" s="27"/>
      <c r="U299" s="27"/>
      <c r="V299" s="27"/>
      <c r="W299" s="27"/>
      <c r="X299" s="27"/>
      <c r="Y299" s="27"/>
      <c r="Z299" s="27"/>
    </row>
    <row r="300">
      <c r="A300" s="29" t="str">
        <f>IFERROR(__xludf.DUMMYFUNCTION("""COMPUTED_VALUE"""),"EX-032")</f>
        <v>EX-032</v>
      </c>
      <c r="B300" s="27" t="str">
        <f>IFERROR(__xludf.DUMMYFUNCTION("""COMPUTED_VALUE"""),"Mamodo")</f>
        <v>Mamodo</v>
      </c>
      <c r="C300" s="27" t="str">
        <f>IFERROR(__xludf.DUMMYFUNCTION("""COMPUTED_VALUE"""),"Kido")</f>
        <v>Kido</v>
      </c>
      <c r="D300" s="27" t="str">
        <f>IFERROR(__xludf.DUMMYFUNCTION("""COMPUTED_VALUE"""),"Kido")</f>
        <v>Kido</v>
      </c>
      <c r="E300" s="27" t="str">
        <f>IFERROR(__xludf.DUMMYFUNCTION("""COMPUTED_VALUE"""),"-")</f>
        <v>-</v>
      </c>
      <c r="F300" s="27" t="str">
        <f>IFERROR(__xludf.DUMMYFUNCTION("""COMPUTED_VALUE"""),"-")</f>
        <v>-</v>
      </c>
      <c r="G300" s="27" t="str">
        <f>IFERROR(__xludf.DUMMYFUNCTION("""COMPUTED_VALUE"""),"None")</f>
        <v>None</v>
      </c>
      <c r="H300" s="27" t="str">
        <f>IFERROR(__xludf.DUMMYFUNCTION("""COMPUTED_VALUE"""),"Really?")</f>
        <v>Really?</v>
      </c>
      <c r="I300" s="28" t="str">
        <f>IFERROR(__xludf.DUMMYFUNCTION("""COMPUTED_VALUE"""),"[2 MP] Select 1 Dr. Riddles PARTNER card from any page of your Spell Book and attach it to this MAMODO card.")</f>
        <v>[2 MP] Select 1 Dr. Riddles PARTNER card from any page of your Spell Book and attach it to this MAMODO card.</v>
      </c>
      <c r="J300" s="27">
        <f>IFERROR(__xludf.DUMMYFUNCTION("""COMPUTED_VALUE"""),3000.0)</f>
        <v>3000</v>
      </c>
      <c r="K300" s="27" t="str">
        <f>IFERROR(__xludf.DUMMYFUNCTION("""COMPUTED_VALUE"""),"-")</f>
        <v>-</v>
      </c>
      <c r="L300" s="27" t="str">
        <f>IFERROR(__xludf.DUMMYFUNCTION("""COMPUTED_VALUE"""),"The Gathering Storm, Series 3, Expansion Sheet 2, The Best Booster 1")</f>
        <v>The Gathering Storm, Series 3, Expansion Sheet 2, The Best Booster 1</v>
      </c>
      <c r="M300" s="27" t="str">
        <f>IFERROR(__xludf.DUMMYFUNCTION("""COMPUTED_VALUE"""),"[C]")</f>
        <v>[C]</v>
      </c>
      <c r="N300" s="27" t="str">
        <f>IFERROR(__xludf.DUMMYFUNCTION("""COMPUTED_VALUE"""),"“See, the doctor knows everything.”")</f>
        <v>“See, the doctor knows everything.”</v>
      </c>
      <c r="O300" s="27"/>
      <c r="P300" s="27"/>
      <c r="Q300" s="27"/>
      <c r="R300" s="27"/>
      <c r="S300" s="27"/>
      <c r="T300" s="27"/>
      <c r="U300" s="27"/>
      <c r="V300" s="27"/>
      <c r="W300" s="27"/>
      <c r="X300" s="27"/>
      <c r="Y300" s="27"/>
      <c r="Z300" s="27"/>
    </row>
    <row r="301">
      <c r="A301" s="29" t="str">
        <f>IFERROR(__xludf.DUMMYFUNCTION("""COMPUTED_VALUE"""),"EX-033")</f>
        <v>EX-033</v>
      </c>
      <c r="B301" s="27" t="str">
        <f>IFERROR(__xludf.DUMMYFUNCTION("""COMPUTED_VALUE"""),"Partner")</f>
        <v>Partner</v>
      </c>
      <c r="C301" s="27" t="str">
        <f>IFERROR(__xludf.DUMMYFUNCTION("""COMPUTED_VALUE"""),"Parco Folgore")</f>
        <v>Parco Folgore</v>
      </c>
      <c r="D301" s="27" t="str">
        <f>IFERROR(__xludf.DUMMYFUNCTION("""COMPUTED_VALUE"""),"Kanchome")</f>
        <v>Kanchome</v>
      </c>
      <c r="E301" s="27" t="str">
        <f>IFERROR(__xludf.DUMMYFUNCTION("""COMPUTED_VALUE"""),"-")</f>
        <v>-</v>
      </c>
      <c r="F301" s="27" t="str">
        <f>IFERROR(__xludf.DUMMYFUNCTION("""COMPUTED_VALUE"""),"-")</f>
        <v>-</v>
      </c>
      <c r="G301" s="27" t="str">
        <f>IFERROR(__xludf.DUMMYFUNCTION("""COMPUTED_VALUE"""),"None")</f>
        <v>None</v>
      </c>
      <c r="H301" s="27" t="str">
        <f>IFERROR(__xludf.DUMMYFUNCTION("""COMPUTED_VALUE"""),"Italian Hero")</f>
        <v>Italian Hero</v>
      </c>
      <c r="I301" s="28" t="str">
        <f>IFERROR(__xludf.DUMMYFUNCTION("""COMPUTED_VALUE"""),"[SEND THIS CARD TO THE DISCARD PILE] Apply 1 of the following effects: ● Get 3 MP. ● Reduce your opponent's MP by 3.")</f>
        <v>[SEND THIS CARD TO THE DISCARD PILE] Apply 1 of the following effects: ● Get 3 MP. ● Reduce your opponent's MP by 3.</v>
      </c>
      <c r="J301" s="27" t="str">
        <f>IFERROR(__xludf.DUMMYFUNCTION("""COMPUTED_VALUE"""),"-")</f>
        <v>-</v>
      </c>
      <c r="K301" s="27" t="str">
        <f>IFERROR(__xludf.DUMMYFUNCTION("""COMPUTED_VALUE"""),"-")</f>
        <v>-</v>
      </c>
      <c r="L301" s="27" t="str">
        <f>IFERROR(__xludf.DUMMYFUNCTION("""COMPUTED_VALUE"""),"The Gathering Storm, Series 3, Expansion Sheet 2, The Best Booster 2, Revised Edition")</f>
        <v>The Gathering Storm, Series 3, Expansion Sheet 2, The Best Booster 2, Revised Edition</v>
      </c>
      <c r="M301" s="27" t="str">
        <f>IFERROR(__xludf.DUMMYFUNCTION("""COMPUTED_VALUE"""),"[U]")</f>
        <v>[U]</v>
      </c>
      <c r="N301" s="27" t="str">
        <f>IFERROR(__xludf.DUMMYFUNCTION("""COMPUTED_VALUE"""),"“I am the Italian hero, Parco Folgore!”")</f>
        <v>“I am the Italian hero, Parco Folgore!”</v>
      </c>
      <c r="O301" s="27"/>
      <c r="P301" s="27"/>
      <c r="Q301" s="27"/>
      <c r="R301" s="27"/>
      <c r="S301" s="27"/>
      <c r="T301" s="27"/>
      <c r="U301" s="27"/>
      <c r="V301" s="27"/>
      <c r="W301" s="27"/>
      <c r="X301" s="27"/>
      <c r="Y301" s="27"/>
      <c r="Z301" s="27"/>
    </row>
    <row r="302">
      <c r="A302" s="29" t="str">
        <f>IFERROR(__xludf.DUMMYFUNCTION("""COMPUTED_VALUE"""),"EX-034")</f>
        <v>EX-034</v>
      </c>
      <c r="B302" s="27" t="str">
        <f>IFERROR(__xludf.DUMMYFUNCTION("""COMPUTED_VALUE"""),"Partner")</f>
        <v>Partner</v>
      </c>
      <c r="C302" s="27" t="str">
        <f>IFERROR(__xludf.DUMMYFUNCTION("""COMPUTED_VALUE"""),"Dr. Hakase")</f>
        <v>Dr. Hakase</v>
      </c>
      <c r="D302" s="27" t="str">
        <f>IFERROR(__xludf.DUMMYFUNCTION("""COMPUTED_VALUE"""),"Grisor")</f>
        <v>Grisor</v>
      </c>
      <c r="E302" s="27" t="str">
        <f>IFERROR(__xludf.DUMMYFUNCTION("""COMPUTED_VALUE"""),"-")</f>
        <v>-</v>
      </c>
      <c r="F302" s="27" t="str">
        <f>IFERROR(__xludf.DUMMYFUNCTION("""COMPUTED_VALUE"""),"-")</f>
        <v>-</v>
      </c>
      <c r="G302" s="27" t="str">
        <f>IFERROR(__xludf.DUMMYFUNCTION("""COMPUTED_VALUE"""),"None")</f>
        <v>None</v>
      </c>
      <c r="H302" s="27" t="str">
        <f>IFERROR(__xludf.DUMMYFUNCTION("""COMPUTED_VALUE"""),"Mad Scientist")</f>
        <v>Mad Scientist</v>
      </c>
      <c r="I302" s="28" t="str">
        <f>IFERROR(__xludf.DUMMYFUNCTION("""COMPUTED_VALUE"""),"(Cut-In) [SEND THIS CARD TO THE DISCARD PILE] Increase the MP cost of an EVENT card your opponent just played by 3. If your opponent refuses to, or is unable to pay the MP cost, negate the EVENT card.")</f>
        <v>(Cut-In) [SEND THIS CARD TO THE DISCARD PILE] Increase the MP cost of an EVENT card your opponent just played by 3. If your opponent refuses to, or is unable to pay the MP cost, negate the EVENT card.</v>
      </c>
      <c r="J302" s="27" t="str">
        <f>IFERROR(__xludf.DUMMYFUNCTION("""COMPUTED_VALUE"""),"-")</f>
        <v>-</v>
      </c>
      <c r="K302" s="27" t="str">
        <f>IFERROR(__xludf.DUMMYFUNCTION("""COMPUTED_VALUE"""),"-")</f>
        <v>-</v>
      </c>
      <c r="L302" s="27" t="str">
        <f>IFERROR(__xludf.DUMMYFUNCTION("""COMPUTED_VALUE"""),"The Gathering Storm, Series 3, Expansion Sheet 2, The Best Booster 1")</f>
        <v>The Gathering Storm, Series 3, Expansion Sheet 2, The Best Booster 1</v>
      </c>
      <c r="M302" s="27" t="str">
        <f>IFERROR(__xludf.DUMMYFUNCTION("""COMPUTED_VALUE"""),"[C]")</f>
        <v>[C]</v>
      </c>
      <c r="N302" s="27" t="str">
        <f>IFERROR(__xludf.DUMMYFUNCTION("""COMPUTED_VALUE"""),"He helps Grisor with his great knowledge of science.")</f>
        <v>He helps Grisor with his great knowledge of science.</v>
      </c>
      <c r="O302" s="27"/>
      <c r="P302" s="27"/>
      <c r="Q302" s="27"/>
      <c r="R302" s="27"/>
      <c r="S302" s="27"/>
      <c r="T302" s="27"/>
      <c r="U302" s="27"/>
      <c r="V302" s="27"/>
      <c r="W302" s="27"/>
      <c r="X302" s="27"/>
      <c r="Y302" s="27"/>
      <c r="Z302" s="27"/>
    </row>
    <row r="303">
      <c r="A303" s="29" t="str">
        <f>IFERROR(__xludf.DUMMYFUNCTION("""COMPUTED_VALUE"""),"EX-035")</f>
        <v>EX-035</v>
      </c>
      <c r="B303" s="27" t="str">
        <f>IFERROR(__xludf.DUMMYFUNCTION("""COMPUTED_VALUE"""),"Partner")</f>
        <v>Partner</v>
      </c>
      <c r="C303" s="27" t="str">
        <f>IFERROR(__xludf.DUMMYFUNCTION("""COMPUTED_VALUE"""),"Sherry")</f>
        <v>Sherry</v>
      </c>
      <c r="D303" s="27" t="str">
        <f>IFERROR(__xludf.DUMMYFUNCTION("""COMPUTED_VALUE"""),"Brago")</f>
        <v>Brago</v>
      </c>
      <c r="E303" s="27" t="str">
        <f>IFERROR(__xludf.DUMMYFUNCTION("""COMPUTED_VALUE"""),"-")</f>
        <v>-</v>
      </c>
      <c r="F303" s="27" t="str">
        <f>IFERROR(__xludf.DUMMYFUNCTION("""COMPUTED_VALUE"""),"-")</f>
        <v>-</v>
      </c>
      <c r="G303" s="27" t="str">
        <f>IFERROR(__xludf.DUMMYFUNCTION("""COMPUTED_VALUE"""),"None")</f>
        <v>None</v>
      </c>
      <c r="H303" s="27" t="str">
        <f>IFERROR(__xludf.DUMMYFUNCTION("""COMPUTED_VALUE"""),"Let's Go")</f>
        <v>Let's Go</v>
      </c>
      <c r="I303" s="28" t="str">
        <f>IFERROR(__xludf.DUMMYFUNCTION("""COMPUTED_VALUE"""),"[SEND THIS CARD TO THE DISCARD PILE] [STANDBY] Reduce the MP cost of the next SPELL card you play for your Brago MAMODO card during this turn by 5.")</f>
        <v>[SEND THIS CARD TO THE DISCARD PILE] [STANDBY] Reduce the MP cost of the next SPELL card you play for your Brago MAMODO card during this turn by 5.</v>
      </c>
      <c r="J303" s="27" t="str">
        <f>IFERROR(__xludf.DUMMYFUNCTION("""COMPUTED_VALUE"""),"-")</f>
        <v>-</v>
      </c>
      <c r="K303" s="27" t="str">
        <f>IFERROR(__xludf.DUMMYFUNCTION("""COMPUTED_VALUE"""),"-")</f>
        <v>-</v>
      </c>
      <c r="L303" s="27" t="str">
        <f>IFERROR(__xludf.DUMMYFUNCTION("""COMPUTED_VALUE"""),"The Gathering Storm, Series 3, Expansion Sheet 2, The Best Booster 1, Revised Edition")</f>
        <v>The Gathering Storm, Series 3, Expansion Sheet 2, The Best Booster 1, Revised Edition</v>
      </c>
      <c r="M303" s="27" t="str">
        <f>IFERROR(__xludf.DUMMYFUNCTION("""COMPUTED_VALUE"""),"[U]")</f>
        <v>[U]</v>
      </c>
      <c r="N303" s="27" t="str">
        <f>IFERROR(__xludf.DUMMYFUNCTION("""COMPUTED_VALUE"""),"Sherry never gives up hope to save her best friend.")</f>
        <v>Sherry never gives up hope to save her best friend.</v>
      </c>
      <c r="O303" s="27"/>
      <c r="P303" s="27"/>
      <c r="Q303" s="27"/>
      <c r="R303" s="27"/>
      <c r="S303" s="27"/>
      <c r="T303" s="27"/>
      <c r="U303" s="27"/>
      <c r="V303" s="27"/>
      <c r="W303" s="27"/>
      <c r="X303" s="27"/>
      <c r="Y303" s="27"/>
      <c r="Z303" s="27"/>
    </row>
    <row r="304">
      <c r="A304" s="29" t="str">
        <f>IFERROR(__xludf.DUMMYFUNCTION("""COMPUTED_VALUE"""),"EX-036")</f>
        <v>EX-036</v>
      </c>
      <c r="B304" s="27" t="str">
        <f>IFERROR(__xludf.DUMMYFUNCTION("""COMPUTED_VALUE"""),"Partner")</f>
        <v>Partner</v>
      </c>
      <c r="C304" s="27" t="str">
        <f>IFERROR(__xludf.DUMMYFUNCTION("""COMPUTED_VALUE"""),"Li-en")</f>
        <v>Li-en</v>
      </c>
      <c r="D304" s="27" t="str">
        <f>IFERROR(__xludf.DUMMYFUNCTION("""COMPUTED_VALUE"""),"Wonrei")</f>
        <v>Wonrei</v>
      </c>
      <c r="E304" s="27" t="str">
        <f>IFERROR(__xludf.DUMMYFUNCTION("""COMPUTED_VALUE"""),"-")</f>
        <v>-</v>
      </c>
      <c r="F304" s="27" t="str">
        <f>IFERROR(__xludf.DUMMYFUNCTION("""COMPUTED_VALUE"""),"-")</f>
        <v>-</v>
      </c>
      <c r="G304" s="27" t="str">
        <f>IFERROR(__xludf.DUMMYFUNCTION("""COMPUTED_VALUE"""),"None")</f>
        <v>None</v>
      </c>
      <c r="H304" s="27" t="str">
        <f>IFERROR(__xludf.DUMMYFUNCTION("""COMPUTED_VALUE"""),"Belief in Strength")</f>
        <v>Belief in Strength</v>
      </c>
      <c r="I304" s="28" t="str">
        <f>IFERROR(__xludf.DUMMYFUNCTION("""COMPUTED_VALUE"""),"[IN PLAY] Add 2000 Power to the Total Power of your Wonrei MAMODO card when it Attacks or Defends. ※ With 1 Action, you can send this card to the Discard Pile at any time.")</f>
        <v>[IN PLAY] Add 2000 Power to the Total Power of your Wonrei MAMODO card when it Attacks or Defends. ※ With 1 Action, you can send this card to the Discard Pile at any time.</v>
      </c>
      <c r="J304" s="27" t="str">
        <f>IFERROR(__xludf.DUMMYFUNCTION("""COMPUTED_VALUE"""),"-")</f>
        <v>-</v>
      </c>
      <c r="K304" s="27" t="str">
        <f>IFERROR(__xludf.DUMMYFUNCTION("""COMPUTED_VALUE"""),"-")</f>
        <v>-</v>
      </c>
      <c r="L304" s="27" t="str">
        <f>IFERROR(__xludf.DUMMYFUNCTION("""COMPUTED_VALUE"""),"The Gathering Storm, Series 3, Expansion Sheet 2, The Best Booster 1")</f>
        <v>The Gathering Storm, Series 3, Expansion Sheet 2, The Best Booster 1</v>
      </c>
      <c r="M304" s="27" t="str">
        <f>IFERROR(__xludf.DUMMYFUNCTION("""COMPUTED_VALUE"""),"[U]")</f>
        <v>[U]</v>
      </c>
      <c r="N304" s="27" t="str">
        <f>IFERROR(__xludf.DUMMYFUNCTION("""COMPUTED_VALUE"""),"“I believe in Wonrei.”")</f>
        <v>“I believe in Wonrei.”</v>
      </c>
      <c r="O304" s="27"/>
      <c r="P304" s="27"/>
      <c r="Q304" s="27"/>
      <c r="R304" s="27"/>
      <c r="S304" s="27"/>
      <c r="T304" s="27"/>
      <c r="U304" s="27"/>
      <c r="V304" s="27"/>
      <c r="W304" s="27"/>
      <c r="X304" s="27"/>
      <c r="Y304" s="27"/>
      <c r="Z304" s="27"/>
    </row>
    <row r="305">
      <c r="A305" s="29" t="str">
        <f>IFERROR(__xludf.DUMMYFUNCTION("""COMPUTED_VALUE"""),"EX-037")</f>
        <v>EX-037</v>
      </c>
      <c r="B305" s="27" t="str">
        <f>IFERROR(__xludf.DUMMYFUNCTION("""COMPUTED_VALUE"""),"Partner")</f>
        <v>Partner</v>
      </c>
      <c r="C305" s="27" t="str">
        <f>IFERROR(__xludf.DUMMYFUNCTION("""COMPUTED_VALUE"""),"Dr. Riddles")</f>
        <v>Dr. Riddles</v>
      </c>
      <c r="D305" s="27" t="str">
        <f>IFERROR(__xludf.DUMMYFUNCTION("""COMPUTED_VALUE"""),"Kido")</f>
        <v>Kido</v>
      </c>
      <c r="E305" s="27" t="str">
        <f>IFERROR(__xludf.DUMMYFUNCTION("""COMPUTED_VALUE"""),"-")</f>
        <v>-</v>
      </c>
      <c r="F305" s="27" t="str">
        <f>IFERROR(__xludf.DUMMYFUNCTION("""COMPUTED_VALUE"""),"-")</f>
        <v>-</v>
      </c>
      <c r="G305" s="27" t="str">
        <f>IFERROR(__xludf.DUMMYFUNCTION("""COMPUTED_VALUE"""),"None")</f>
        <v>None</v>
      </c>
      <c r="H305" s="27" t="str">
        <f>IFERROR(__xludf.DUMMYFUNCTION("""COMPUTED_VALUE"""),"A Wise Man's Strategy")</f>
        <v>A Wise Man's Strategy</v>
      </c>
      <c r="I305" s="28" t="str">
        <f>IFERROR(__xludf.DUMMYFUNCTION("""COMPUTED_VALUE"""),"[SEND THIS CARD TO THE DISCARD PILE] [STANDBY] Select 1 EVENT card from any page of your Spell Book. The selected EVENT card can be played during this turn if you pay 1 MP higher than the EVENT card's current MP cost.")</f>
        <v>[SEND THIS CARD TO THE DISCARD PILE] [STANDBY] Select 1 EVENT card from any page of your Spell Book. The selected EVENT card can be played during this turn if you pay 1 MP higher than the EVENT card's current MP cost.</v>
      </c>
      <c r="J305" s="27" t="str">
        <f>IFERROR(__xludf.DUMMYFUNCTION("""COMPUTED_VALUE"""),"-")</f>
        <v>-</v>
      </c>
      <c r="K305" s="27" t="str">
        <f>IFERROR(__xludf.DUMMYFUNCTION("""COMPUTED_VALUE"""),"-")</f>
        <v>-</v>
      </c>
      <c r="L305" s="27" t="str">
        <f>IFERROR(__xludf.DUMMYFUNCTION("""COMPUTED_VALUE"""),"The Gathering Storm, Series 3, Expansion Sheet 2, The Best Booster 1, Revised Edition")</f>
        <v>The Gathering Storm, Series 3, Expansion Sheet 2, The Best Booster 1, Revised Edition</v>
      </c>
      <c r="M305" s="27" t="str">
        <f>IFERROR(__xludf.DUMMYFUNCTION("""COMPUTED_VALUE"""),"[U]")</f>
        <v>[U]</v>
      </c>
      <c r="N305" s="27" t="str">
        <f>IFERROR(__xludf.DUMMYFUNCTION("""COMPUTED_VALUE"""),"“Ha ha ha... Can you solve my riddle?”")</f>
        <v>“Ha ha ha... Can you solve my riddle?”</v>
      </c>
      <c r="O305" s="27"/>
      <c r="P305" s="27"/>
      <c r="Q305" s="27"/>
      <c r="R305" s="27"/>
      <c r="S305" s="27"/>
      <c r="T305" s="27"/>
      <c r="U305" s="27"/>
      <c r="V305" s="27"/>
      <c r="W305" s="27"/>
      <c r="X305" s="27"/>
      <c r="Y305" s="27"/>
      <c r="Z305" s="27"/>
    </row>
    <row r="306">
      <c r="A306" s="29" t="str">
        <f>IFERROR(__xludf.DUMMYFUNCTION("""COMPUTED_VALUE"""),"EX-038")</f>
        <v>EX-038</v>
      </c>
      <c r="B306" s="27" t="str">
        <f>IFERROR(__xludf.DUMMYFUNCTION("""COMPUTED_VALUE"""),"Spell")</f>
        <v>Spell</v>
      </c>
      <c r="C306" s="27" t="str">
        <f>IFERROR(__xludf.DUMMYFUNCTION("""COMPUTED_VALUE"""),"Poruk")</f>
        <v>Poruk</v>
      </c>
      <c r="D306" s="27" t="str">
        <f>IFERROR(__xludf.DUMMYFUNCTION("""COMPUTED_VALUE"""),"Kanchome")</f>
        <v>Kanchome</v>
      </c>
      <c r="E306" s="27">
        <f>IFERROR(__xludf.DUMMYFUNCTION("""COMPUTED_VALUE"""),1.0)</f>
        <v>1</v>
      </c>
      <c r="F306" s="27" t="str">
        <f>IFERROR(__xludf.DUMMYFUNCTION("""COMPUTED_VALUE"""),"AD")</f>
        <v>AD</v>
      </c>
      <c r="G306" s="27" t="str">
        <f>IFERROR(__xludf.DUMMYFUNCTION("""COMPUTED_VALUE"""),"None")</f>
        <v>None</v>
      </c>
      <c r="H306" s="27" t="str">
        <f>IFERROR(__xludf.DUMMYFUNCTION("""COMPUTED_VALUE"""),"-")</f>
        <v>-</v>
      </c>
      <c r="I306" s="28" t="str">
        <f>IFERROR(__xludf.DUMMYFUNCTION("""COMPUTED_VALUE"""),"Damage your opponent's Spell Book when you win the Battle as an Attacker.")</f>
        <v>Damage your opponent's Spell Book when you win the Battle as an Attacker.</v>
      </c>
      <c r="J306" s="27" t="str">
        <f>IFERROR(__xludf.DUMMYFUNCTION("""COMPUTED_VALUE"""),"+3000")</f>
        <v>+3000</v>
      </c>
      <c r="K306" s="27">
        <f>IFERROR(__xludf.DUMMYFUNCTION("""COMPUTED_VALUE"""),1.0)</f>
        <v>1</v>
      </c>
      <c r="L306" s="27" t="str">
        <f>IFERROR(__xludf.DUMMYFUNCTION("""COMPUTED_VALUE"""),"The Gathering Storm, Series 3, Expansion Sheet 2")</f>
        <v>The Gathering Storm, Series 3, Expansion Sheet 2</v>
      </c>
      <c r="M306" s="27" t="str">
        <f>IFERROR(__xludf.DUMMYFUNCTION("""COMPUTED_VALUE"""),"[C]")</f>
        <v>[C]</v>
      </c>
      <c r="N306" s="27" t="str">
        <f>IFERROR(__xludf.DUMMYFUNCTION("""COMPUTED_VALUE"""),"Kanchomé’s 1st spell. Enables Kanchomé to transform his appearance.")</f>
        <v>Kanchomé’s 1st spell. Enables Kanchomé to transform his appearance.</v>
      </c>
      <c r="O306" s="27"/>
      <c r="P306" s="27"/>
      <c r="Q306" s="27"/>
      <c r="R306" s="27"/>
      <c r="S306" s="27"/>
      <c r="T306" s="27"/>
      <c r="U306" s="27"/>
      <c r="V306" s="27"/>
      <c r="W306" s="27"/>
      <c r="X306" s="27"/>
      <c r="Y306" s="27"/>
      <c r="Z306" s="27"/>
    </row>
    <row r="307">
      <c r="A307" s="29" t="str">
        <f>IFERROR(__xludf.DUMMYFUNCTION("""COMPUTED_VALUE"""),"EX-039")</f>
        <v>EX-039</v>
      </c>
      <c r="B307" s="27" t="str">
        <f>IFERROR(__xludf.DUMMYFUNCTION("""COMPUTED_VALUE"""),"Spell")</f>
        <v>Spell</v>
      </c>
      <c r="C307" s="27" t="str">
        <f>IFERROR(__xludf.DUMMYFUNCTION("""COMPUTED_VALUE"""),"Dikaporuk")</f>
        <v>Dikaporuk</v>
      </c>
      <c r="D307" s="27" t="str">
        <f>IFERROR(__xludf.DUMMYFUNCTION("""COMPUTED_VALUE"""),"Kanchome")</f>
        <v>Kanchome</v>
      </c>
      <c r="E307" s="27">
        <f>IFERROR(__xludf.DUMMYFUNCTION("""COMPUTED_VALUE"""),2.0)</f>
        <v>2</v>
      </c>
      <c r="F307" s="27" t="str">
        <f>IFERROR(__xludf.DUMMYFUNCTION("""COMPUTED_VALUE"""),"AD")</f>
        <v>AD</v>
      </c>
      <c r="G307" s="27" t="str">
        <f>IFERROR(__xludf.DUMMYFUNCTION("""COMPUTED_VALUE"""),"Intermediate")</f>
        <v>Intermediate</v>
      </c>
      <c r="H307" s="27" t="str">
        <f>IFERROR(__xludf.DUMMYFUNCTION("""COMPUTED_VALUE"""),"-")</f>
        <v>-</v>
      </c>
      <c r="I307" s="28" t="str">
        <f>IFERROR(__xludf.DUMMYFUNCTION("""COMPUTED_VALUE"""),"Damage your opponent's Spell Book when you win the Battle as an Attacker.")</f>
        <v>Damage your opponent's Spell Book when you win the Battle as an Attacker.</v>
      </c>
      <c r="J307" s="27" t="str">
        <f>IFERROR(__xludf.DUMMYFUNCTION("""COMPUTED_VALUE"""),"+5000")</f>
        <v>+5000</v>
      </c>
      <c r="K307" s="27">
        <f>IFERROR(__xludf.DUMMYFUNCTION("""COMPUTED_VALUE"""),2.0)</f>
        <v>2</v>
      </c>
      <c r="L307" s="27" t="str">
        <f>IFERROR(__xludf.DUMMYFUNCTION("""COMPUTED_VALUE"""),"The Gathering Storm, Series 3, Expansion Sheet 2")</f>
        <v>The Gathering Storm, Series 3, Expansion Sheet 2</v>
      </c>
      <c r="M307" s="27" t="str">
        <f>IFERROR(__xludf.DUMMYFUNCTION("""COMPUTED_VALUE"""),"[C]")</f>
        <v>[C]</v>
      </c>
      <c r="N307" s="27" t="str">
        <f>IFERROR(__xludf.DUMMYFUNCTION("""COMPUTED_VALUE"""),"Kanchomé’s 3rd spell. Enables Kanchomé to make a gigantic replica of himself.")</f>
        <v>Kanchomé’s 3rd spell. Enables Kanchomé to make a gigantic replica of himself.</v>
      </c>
      <c r="O307" s="27"/>
      <c r="P307" s="27"/>
      <c r="Q307" s="27"/>
      <c r="R307" s="27"/>
      <c r="S307" s="27"/>
      <c r="T307" s="27"/>
      <c r="U307" s="27"/>
      <c r="V307" s="27"/>
      <c r="W307" s="27"/>
      <c r="X307" s="27"/>
      <c r="Y307" s="27"/>
      <c r="Z307" s="27"/>
    </row>
    <row r="308">
      <c r="A308" s="29" t="str">
        <f>IFERROR(__xludf.DUMMYFUNCTION("""COMPUTED_VALUE"""),"EX-040")</f>
        <v>EX-040</v>
      </c>
      <c r="B308" s="27" t="str">
        <f>IFERROR(__xludf.DUMMYFUNCTION("""COMPUTED_VALUE"""),"Spell")</f>
        <v>Spell</v>
      </c>
      <c r="C308" s="27" t="str">
        <f>IFERROR(__xludf.DUMMYFUNCTION("""COMPUTED_VALUE"""),"Giganoreis")</f>
        <v>Giganoreis</v>
      </c>
      <c r="D308" s="27" t="str">
        <f>IFERROR(__xludf.DUMMYFUNCTION("""COMPUTED_VALUE"""),"Brago")</f>
        <v>Brago</v>
      </c>
      <c r="E308" s="27">
        <f>IFERROR(__xludf.DUMMYFUNCTION("""COMPUTED_VALUE"""),4.0)</f>
        <v>4</v>
      </c>
      <c r="F308" s="27" t="str">
        <f>IFERROR(__xludf.DUMMYFUNCTION("""COMPUTED_VALUE"""),"AD")</f>
        <v>AD</v>
      </c>
      <c r="G308" s="27" t="str">
        <f>IFERROR(__xludf.DUMMYFUNCTION("""COMPUTED_VALUE"""),"Intermediate")</f>
        <v>Intermediate</v>
      </c>
      <c r="H308" s="27" t="str">
        <f>IFERROR(__xludf.DUMMYFUNCTION("""COMPUTED_VALUE"""),"-")</f>
        <v>-</v>
      </c>
      <c r="I308" s="28" t="str">
        <f>IFERROR(__xludf.DUMMYFUNCTION("""COMPUTED_VALUE"""),"Damage your opponent's Spell Book when you win the Battle as an Attacker.")</f>
        <v>Damage your opponent's Spell Book when you win the Battle as an Attacker.</v>
      </c>
      <c r="J308" s="27" t="str">
        <f>IFERROR(__xludf.DUMMYFUNCTION("""COMPUTED_VALUE"""),"+4000")</f>
        <v>+4000</v>
      </c>
      <c r="K308" s="27">
        <f>IFERROR(__xludf.DUMMYFUNCTION("""COMPUTED_VALUE"""),2.0)</f>
        <v>2</v>
      </c>
      <c r="L308" s="27" t="str">
        <f>IFERROR(__xludf.DUMMYFUNCTION("""COMPUTED_VALUE"""),"The Gathering Storm, Series 3, Expansion Sheet 2")</f>
        <v>The Gathering Storm, Series 3, Expansion Sheet 2</v>
      </c>
      <c r="M308" s="27" t="str">
        <f>IFERROR(__xludf.DUMMYFUNCTION("""COMPUTED_VALUE"""),"[U]")</f>
        <v>[U]</v>
      </c>
      <c r="N308" s="27" t="str">
        <f>IFERROR(__xludf.DUMMYFUNCTION("""COMPUTED_VALUE"""),"Brago’s 3rd spell. A more powerful, reinforced version of Reis.")</f>
        <v>Brago’s 3rd spell. A more powerful, reinforced version of Reis.</v>
      </c>
      <c r="O308" s="27"/>
      <c r="P308" s="27"/>
      <c r="Q308" s="27"/>
      <c r="R308" s="27"/>
      <c r="S308" s="27"/>
      <c r="T308" s="27"/>
      <c r="U308" s="27"/>
      <c r="V308" s="27"/>
      <c r="W308" s="27"/>
      <c r="X308" s="27"/>
      <c r="Y308" s="27"/>
      <c r="Z308" s="27"/>
    </row>
    <row r="309">
      <c r="A309" s="29" t="str">
        <f>IFERROR(__xludf.DUMMYFUNCTION("""COMPUTED_VALUE"""),"EX-041")</f>
        <v>EX-041</v>
      </c>
      <c r="B309" s="27" t="str">
        <f>IFERROR(__xludf.DUMMYFUNCTION("""COMPUTED_VALUE"""),"Spell")</f>
        <v>Spell</v>
      </c>
      <c r="C309" s="27" t="str">
        <f>IFERROR(__xludf.DUMMYFUNCTION("""COMPUTED_VALUE"""),"Zakeruga")</f>
        <v>Zakeruga</v>
      </c>
      <c r="D309" s="27" t="str">
        <f>IFERROR(__xludf.DUMMYFUNCTION("""COMPUTED_VALUE"""),"Zatch Bell")</f>
        <v>Zatch Bell</v>
      </c>
      <c r="E309" s="27">
        <f>IFERROR(__xludf.DUMMYFUNCTION("""COMPUTED_VALUE"""),3.0)</f>
        <v>3</v>
      </c>
      <c r="F309" s="27" t="str">
        <f>IFERROR(__xludf.DUMMYFUNCTION("""COMPUTED_VALUE"""),"AD")</f>
        <v>AD</v>
      </c>
      <c r="G309" s="27" t="str">
        <f>IFERROR(__xludf.DUMMYFUNCTION("""COMPUTED_VALUE"""),"Intermediate")</f>
        <v>Intermediate</v>
      </c>
      <c r="H309" s="27" t="str">
        <f>IFERROR(__xludf.DUMMYFUNCTION("""COMPUTED_VALUE"""),"Thunder")</f>
        <v>Thunder</v>
      </c>
      <c r="I309" s="28" t="str">
        <f>IFERROR(__xludf.DUMMYFUNCTION("""COMPUTED_VALUE"""),"Damage your opponent's Spell Book when you win the Battle as an Attacker.")</f>
        <v>Damage your opponent's Spell Book when you win the Battle as an Attacker.</v>
      </c>
      <c r="J309" s="27" t="str">
        <f>IFERROR(__xludf.DUMMYFUNCTION("""COMPUTED_VALUE"""),"+4000")</f>
        <v>+4000</v>
      </c>
      <c r="K309" s="27">
        <f>IFERROR(__xludf.DUMMYFUNCTION("""COMPUTED_VALUE"""),2.0)</f>
        <v>2</v>
      </c>
      <c r="L309" s="27" t="str">
        <f>IFERROR(__xludf.DUMMYFUNCTION("""COMPUTED_VALUE"""),"The Gathering Storm, Series 3, Expansion Sheet 2")</f>
        <v>The Gathering Storm, Series 3, Expansion Sheet 2</v>
      </c>
      <c r="M309" s="27" t="str">
        <f>IFERROR(__xludf.DUMMYFUNCTION("""COMPUTED_VALUE"""),"[U]")</f>
        <v>[U]</v>
      </c>
      <c r="N309" s="27" t="str">
        <f>IFERROR(__xludf.DUMMYFUNCTION("""COMPUTED_VALUE"""),"Zatch’s 5th spell. A reinforced Zaker that can pierce through armor.")</f>
        <v>Zatch’s 5th spell. A reinforced Zaker that can pierce through armor.</v>
      </c>
      <c r="O309" s="27"/>
      <c r="P309" s="27"/>
      <c r="Q309" s="27"/>
      <c r="R309" s="27"/>
      <c r="S309" s="27"/>
      <c r="T309" s="27"/>
      <c r="U309" s="27"/>
      <c r="V309" s="27"/>
      <c r="W309" s="27"/>
      <c r="X309" s="27"/>
      <c r="Y309" s="27"/>
      <c r="Z309" s="27"/>
    </row>
    <row r="310">
      <c r="A310" s="29" t="str">
        <f>IFERROR(__xludf.DUMMYFUNCTION("""COMPUTED_VALUE"""),"EX-042")</f>
        <v>EX-042</v>
      </c>
      <c r="B310" s="27" t="str">
        <f>IFERROR(__xludf.DUMMYFUNCTION("""COMPUTED_VALUE"""),"Spell")</f>
        <v>Spell</v>
      </c>
      <c r="C310" s="27" t="str">
        <f>IFERROR(__xludf.DUMMYFUNCTION("""COMPUTED_VALUE"""),"Go Boren")</f>
        <v>Go Boren</v>
      </c>
      <c r="D310" s="27" t="str">
        <f>IFERROR(__xludf.DUMMYFUNCTION("""COMPUTED_VALUE"""),"Wonrei")</f>
        <v>Wonrei</v>
      </c>
      <c r="E310" s="27">
        <f>IFERROR(__xludf.DUMMYFUNCTION("""COMPUTED_VALUE"""),4.0)</f>
        <v>4</v>
      </c>
      <c r="F310" s="27" t="str">
        <f>IFERROR(__xludf.DUMMYFUNCTION("""COMPUTED_VALUE"""),"AD")</f>
        <v>AD</v>
      </c>
      <c r="G310" s="27" t="str">
        <f>IFERROR(__xludf.DUMMYFUNCTION("""COMPUTED_VALUE"""),"Intermediate")</f>
        <v>Intermediate</v>
      </c>
      <c r="H310" s="27" t="str">
        <f>IFERROR(__xludf.DUMMYFUNCTION("""COMPUTED_VALUE"""),"-")</f>
        <v>-</v>
      </c>
      <c r="I310" s="28" t="str">
        <f>IFERROR(__xludf.DUMMYFUNCTION("""COMPUTED_VALUE"""),"Damage your opponent's Spell Book when you win the Battle as an Attacker.")</f>
        <v>Damage your opponent's Spell Book when you win the Battle as an Attacker.</v>
      </c>
      <c r="J310" s="27" t="str">
        <f>IFERROR(__xludf.DUMMYFUNCTION("""COMPUTED_VALUE"""),"+6000")</f>
        <v>+6000</v>
      </c>
      <c r="K310" s="27">
        <f>IFERROR(__xludf.DUMMYFUNCTION("""COMPUTED_VALUE"""),2.0)</f>
        <v>2</v>
      </c>
      <c r="L310" s="27" t="str">
        <f>IFERROR(__xludf.DUMMYFUNCTION("""COMPUTED_VALUE"""),"The Gathering Storm, Series 3, Expansion Sheet 2")</f>
        <v>The Gathering Storm, Series 3, Expansion Sheet 2</v>
      </c>
      <c r="M310" s="27" t="str">
        <f>IFERROR(__xludf.DUMMYFUNCTION("""COMPUTED_VALUE"""),"[U]")</f>
        <v>[U]</v>
      </c>
      <c r="N310" s="27" t="str">
        <f>IFERROR(__xludf.DUMMYFUNCTION("""COMPUTED_VALUE"""),"Wonrei’s 4th spell. A powerful kung fu punch.")</f>
        <v>Wonrei’s 4th spell. A powerful kung fu punch.</v>
      </c>
      <c r="O310" s="27"/>
      <c r="P310" s="27"/>
      <c r="Q310" s="27"/>
      <c r="R310" s="27"/>
      <c r="S310" s="27"/>
      <c r="T310" s="27"/>
      <c r="U310" s="27"/>
      <c r="V310" s="27"/>
      <c r="W310" s="27"/>
      <c r="X310" s="27"/>
      <c r="Y310" s="27"/>
      <c r="Z310" s="27"/>
    </row>
    <row r="311">
      <c r="A311" s="29" t="str">
        <f>IFERROR(__xludf.DUMMYFUNCTION("""COMPUTED_VALUE"""),"EX-043")</f>
        <v>EX-043</v>
      </c>
      <c r="B311" s="27" t="str">
        <f>IFERROR(__xludf.DUMMYFUNCTION("""COMPUTED_VALUE"""),"Spell")</f>
        <v>Spell</v>
      </c>
      <c r="C311" s="27" t="str">
        <f>IFERROR(__xludf.DUMMYFUNCTION("""COMPUTED_VALUE"""),"Ak Spreid")</f>
        <v>Ak Spreid</v>
      </c>
      <c r="D311" s="27" t="str">
        <f>IFERROR(__xludf.DUMMYFUNCTION("""COMPUTED_VALUE"""),"Penny")</f>
        <v>Penny</v>
      </c>
      <c r="E311" s="27">
        <f>IFERROR(__xludf.DUMMYFUNCTION("""COMPUTED_VALUE"""),2.0)</f>
        <v>2</v>
      </c>
      <c r="F311" s="27" t="str">
        <f>IFERROR(__xludf.DUMMYFUNCTION("""COMPUTED_VALUE"""),"A")</f>
        <v>A</v>
      </c>
      <c r="G311" s="27" t="str">
        <f>IFERROR(__xludf.DUMMYFUNCTION("""COMPUTED_VALUE"""),"None")</f>
        <v>None</v>
      </c>
      <c r="H311" s="27" t="str">
        <f>IFERROR(__xludf.DUMMYFUNCTION("""COMPUTED_VALUE"""),"-")</f>
        <v>-</v>
      </c>
      <c r="I311" s="28" t="str">
        <f>IFERROR(__xludf.DUMMYFUNCTION("""COMPUTED_VALUE"""),"Damage your opponent's Spell Book when you win the Battle as an Attacker. Add 2000 Power and 2 Damage to this SPELL card if your opponent played a ""Thunder"" Attribute SPELL card during the previous turn.")</f>
        <v>Damage your opponent's Spell Book when you win the Battle as an Attacker. Add 2000 Power and 2 Damage to this SPELL card if your opponent played a "Thunder" Attribute SPELL card during the previous turn.</v>
      </c>
      <c r="J311" s="27" t="str">
        <f>IFERROR(__xludf.DUMMYFUNCTION("""COMPUTED_VALUE"""),"+2000")</f>
        <v>+2000</v>
      </c>
      <c r="K311" s="27">
        <f>IFERROR(__xludf.DUMMYFUNCTION("""COMPUTED_VALUE"""),1.0)</f>
        <v>1</v>
      </c>
      <c r="L311" s="27" t="str">
        <f>IFERROR(__xludf.DUMMYFUNCTION("""COMPUTED_VALUE"""),"The Gathering Storm, Series 3, Expansion Sheet 2")</f>
        <v>The Gathering Storm, Series 3, Expansion Sheet 2</v>
      </c>
      <c r="M311" s="27" t="str">
        <f>IFERROR(__xludf.DUMMYFUNCTION("""COMPUTED_VALUE"""),"[C]")</f>
        <v>[C]</v>
      </c>
      <c r="N311" s="27" t="str">
        <f>IFERROR(__xludf.DUMMYFUNCTION("""COMPUTED_VALUE"""),"Penny’s 3rd spell. It fires back the opponent’s energy that was absorbed by Penny’s Ashield spell.")</f>
        <v>Penny’s 3rd spell. It fires back the opponent’s energy that was absorbed by Penny’s Ashield spell.</v>
      </c>
      <c r="O311" s="27"/>
      <c r="P311" s="27"/>
      <c r="Q311" s="27"/>
      <c r="R311" s="27"/>
      <c r="S311" s="27"/>
      <c r="T311" s="27"/>
      <c r="U311" s="27"/>
      <c r="V311" s="27"/>
      <c r="W311" s="27"/>
      <c r="X311" s="27"/>
      <c r="Y311" s="27"/>
      <c r="Z311" s="27"/>
    </row>
    <row r="312">
      <c r="A312" s="29" t="str">
        <f>IFERROR(__xludf.DUMMYFUNCTION("""COMPUTED_VALUE"""),"EX-044")</f>
        <v>EX-044</v>
      </c>
      <c r="B312" s="27" t="str">
        <f>IFERROR(__xludf.DUMMYFUNCTION("""COMPUTED_VALUE"""),"Spell")</f>
        <v>Spell</v>
      </c>
      <c r="C312" s="27" t="str">
        <f>IFERROR(__xludf.DUMMYFUNCTION("""COMPUTED_VALUE"""),"Koburuk")</f>
        <v>Koburuk</v>
      </c>
      <c r="D312" s="27" t="str">
        <f>IFERROR(__xludf.DUMMYFUNCTION("""COMPUTED_VALUE"""),"Kido")</f>
        <v>Kido</v>
      </c>
      <c r="E312" s="27">
        <f>IFERROR(__xludf.DUMMYFUNCTION("""COMPUTED_VALUE"""),2.0)</f>
        <v>2</v>
      </c>
      <c r="F312" s="27" t="str">
        <f>IFERROR(__xludf.DUMMYFUNCTION("""COMPUTED_VALUE"""),"A")</f>
        <v>A</v>
      </c>
      <c r="G312" s="27" t="str">
        <f>IFERROR(__xludf.DUMMYFUNCTION("""COMPUTED_VALUE"""),"None")</f>
        <v>None</v>
      </c>
      <c r="H312" s="27" t="str">
        <f>IFERROR(__xludf.DUMMYFUNCTION("""COMPUTED_VALUE"""),"-")</f>
        <v>-</v>
      </c>
      <c r="I312" s="28" t="str">
        <f>IFERROR(__xludf.DUMMYFUNCTION("""COMPUTED_VALUE"""),"[STAY] Flip a coin for each of your opponent's in-play MAMODO cards; if it's heads, your opponent can neither play SPELL cards for that MAMODO nor apply the effects of that MAMODO until the END PHASE of the next turn.")</f>
        <v>[STAY] Flip a coin for each of your opponent's in-play MAMODO cards; if it's heads, your opponent can neither play SPELL cards for that MAMODO nor apply the effects of that MAMODO until the END PHASE of the next turn.</v>
      </c>
      <c r="J312" s="27" t="str">
        <f>IFERROR(__xludf.DUMMYFUNCTION("""COMPUTED_VALUE"""),"Special")</f>
        <v>Special</v>
      </c>
      <c r="K312" s="27" t="str">
        <f>IFERROR(__xludf.DUMMYFUNCTION("""COMPUTED_VALUE"""),"-")</f>
        <v>-</v>
      </c>
      <c r="L312" s="27" t="str">
        <f>IFERROR(__xludf.DUMMYFUNCTION("""COMPUTED_VALUE"""),"The Gathering Storm, Series 3, Expansion Sheet 2")</f>
        <v>The Gathering Storm, Series 3, Expansion Sheet 2</v>
      </c>
      <c r="M312" s="27" t="str">
        <f>IFERROR(__xludf.DUMMYFUNCTION("""COMPUTED_VALUE"""),"[C]")</f>
        <v>[C]</v>
      </c>
      <c r="N312" s="27" t="str">
        <f>IFERROR(__xludf.DUMMYFUNCTION("""COMPUTED_VALUE"""),"Kido’s 6th spell. A number of mini-Kidos appear and attack the opponent.")</f>
        <v>Kido’s 6th spell. A number of mini-Kidos appear and attack the opponent.</v>
      </c>
      <c r="O312" s="27"/>
      <c r="P312" s="27"/>
      <c r="Q312" s="27"/>
      <c r="R312" s="27"/>
      <c r="S312" s="27"/>
      <c r="T312" s="27"/>
      <c r="U312" s="27"/>
      <c r="V312" s="27"/>
      <c r="W312" s="27"/>
      <c r="X312" s="27"/>
      <c r="Y312" s="27"/>
      <c r="Z312" s="27"/>
    </row>
    <row r="313">
      <c r="A313" s="29" t="str">
        <f>IFERROR(__xludf.DUMMYFUNCTION("""COMPUTED_VALUE"""),"EX-045")</f>
        <v>EX-045</v>
      </c>
      <c r="B313" s="27" t="str">
        <f>IFERROR(__xludf.DUMMYFUNCTION("""COMPUTED_VALUE"""),"Event")</f>
        <v>Event</v>
      </c>
      <c r="C313" s="27" t="str">
        <f>IFERROR(__xludf.DUMMYFUNCTION("""COMPUTED_VALUE"""),"Ponygon")</f>
        <v>Ponygon</v>
      </c>
      <c r="D313" s="27" t="str">
        <f>IFERROR(__xludf.DUMMYFUNCTION("""COMPUTED_VALUE"""),"-")</f>
        <v>-</v>
      </c>
      <c r="E313" s="27">
        <f>IFERROR(__xludf.DUMMYFUNCTION("""COMPUTED_VALUE"""),2.0)</f>
        <v>2</v>
      </c>
      <c r="F313" s="27" t="str">
        <f>IFERROR(__xludf.DUMMYFUNCTION("""COMPUTED_VALUE"""),"A")</f>
        <v>A</v>
      </c>
      <c r="G313" s="27" t="str">
        <f>IFERROR(__xludf.DUMMYFUNCTION("""COMPUTED_VALUE"""),"None")</f>
        <v>None</v>
      </c>
      <c r="H313" s="27" t="str">
        <f>IFERROR(__xludf.DUMMYFUNCTION("""COMPUTED_VALUE"""),"-")</f>
        <v>-</v>
      </c>
      <c r="I313" s="28" t="str">
        <f>IFERROR(__xludf.DUMMYFUNCTION("""COMPUTED_VALUE"""),"Look at the currently open pages of your opponent's Spell Book. If there is an EVENT card in any of the pages, turn 1 page of your opponent's Spell Book.")</f>
        <v>Look at the currently open pages of your opponent's Spell Book. If there is an EVENT card in any of the pages, turn 1 page of your opponent's Spell Book.</v>
      </c>
      <c r="J313" s="27" t="str">
        <f>IFERROR(__xludf.DUMMYFUNCTION("""COMPUTED_VALUE"""),"-")</f>
        <v>-</v>
      </c>
      <c r="K313" s="27" t="str">
        <f>IFERROR(__xludf.DUMMYFUNCTION("""COMPUTED_VALUE"""),"-")</f>
        <v>-</v>
      </c>
      <c r="L313" s="27" t="str">
        <f>IFERROR(__xludf.DUMMYFUNCTION("""COMPUTED_VALUE"""),"The Gathering Storm, Series 3, Expansion Sheet 2, The Best Booster 1")</f>
        <v>The Gathering Storm, Series 3, Expansion Sheet 2, The Best Booster 1</v>
      </c>
      <c r="M313" s="27" t="str">
        <f>IFERROR(__xludf.DUMMYFUNCTION("""COMPUTED_VALUE"""),"[U]")</f>
        <v>[U]</v>
      </c>
      <c r="N313" s="27" t="str">
        <f>IFERROR(__xludf.DUMMYFUNCTION("""COMPUTED_VALUE"""),"Ponygon left on his journey to seek his partner, but he still had difficult decisions to make.")</f>
        <v>Ponygon left on his journey to seek his partner, but he still had difficult decisions to make.</v>
      </c>
      <c r="O313" s="27"/>
      <c r="P313" s="27"/>
      <c r="Q313" s="27"/>
      <c r="R313" s="27"/>
      <c r="S313" s="27"/>
      <c r="T313" s="27"/>
      <c r="U313" s="27"/>
      <c r="V313" s="27"/>
      <c r="W313" s="27"/>
      <c r="X313" s="27"/>
      <c r="Y313" s="27"/>
      <c r="Z313" s="27"/>
    </row>
    <row r="314">
      <c r="A314" s="29" t="str">
        <f>IFERROR(__xludf.DUMMYFUNCTION("""COMPUTED_VALUE"""),"EX-046")</f>
        <v>EX-046</v>
      </c>
      <c r="B314" s="27" t="str">
        <f>IFERROR(__xludf.DUMMYFUNCTION("""COMPUTED_VALUE"""),"Event")</f>
        <v>Event</v>
      </c>
      <c r="C314" s="27" t="str">
        <f>IFERROR(__xludf.DUMMYFUNCTION("""COMPUTED_VALUE"""),"The Best Combination?")</f>
        <v>The Best Combination?</v>
      </c>
      <c r="D314" s="27" t="str">
        <f>IFERROR(__xludf.DUMMYFUNCTION("""COMPUTED_VALUE"""),"-")</f>
        <v>-</v>
      </c>
      <c r="E314" s="27">
        <f>IFERROR(__xludf.DUMMYFUNCTION("""COMPUTED_VALUE"""),4.0)</f>
        <v>4</v>
      </c>
      <c r="F314" s="27" t="str">
        <f>IFERROR(__xludf.DUMMYFUNCTION("""COMPUTED_VALUE"""),"A")</f>
        <v>A</v>
      </c>
      <c r="G314" s="27" t="str">
        <f>IFERROR(__xludf.DUMMYFUNCTION("""COMPUTED_VALUE"""),"None")</f>
        <v>None</v>
      </c>
      <c r="H314" s="27" t="str">
        <f>IFERROR(__xludf.DUMMYFUNCTION("""COMPUTED_VALUE"""),"-")</f>
        <v>-</v>
      </c>
      <c r="I314" s="28" t="str">
        <f>IFERROR(__xludf.DUMMYFUNCTION("""COMPUTED_VALUE"""),"Select 2 MAMODO cards from any page of your Spell Book and put them in play (2 must be selected).")</f>
        <v>Select 2 MAMODO cards from any page of your Spell Book and put them in play (2 must be selected).</v>
      </c>
      <c r="J314" s="27" t="str">
        <f>IFERROR(__xludf.DUMMYFUNCTION("""COMPUTED_VALUE"""),"-")</f>
        <v>-</v>
      </c>
      <c r="K314" s="27" t="str">
        <f>IFERROR(__xludf.DUMMYFUNCTION("""COMPUTED_VALUE"""),"-")</f>
        <v>-</v>
      </c>
      <c r="L314" s="27" t="str">
        <f>IFERROR(__xludf.DUMMYFUNCTION("""COMPUTED_VALUE"""),"The Gathering Storm, Series 3, Expansion Sheet 2")</f>
        <v>The Gathering Storm, Series 3, Expansion Sheet 2</v>
      </c>
      <c r="M314" s="27" t="str">
        <f>IFERROR(__xludf.DUMMYFUNCTION("""COMPUTED_VALUE"""),"[C]")</f>
        <v>[C]</v>
      </c>
      <c r="N314" s="27" t="str">
        <f>IFERROR(__xludf.DUMMYFUNCTION("""COMPUTED_VALUE"""),"Purio, Lupa, Zoboron, and Hige combine their powers to become a tag team.")</f>
        <v>Purio, Lupa, Zoboron, and Hige combine their powers to become a tag team.</v>
      </c>
      <c r="O314" s="27"/>
      <c r="P314" s="27"/>
      <c r="Q314" s="27"/>
      <c r="R314" s="27"/>
      <c r="S314" s="27"/>
      <c r="T314" s="27"/>
      <c r="U314" s="27"/>
      <c r="V314" s="27"/>
      <c r="W314" s="27"/>
      <c r="X314" s="27"/>
      <c r="Y314" s="27"/>
      <c r="Z314" s="27"/>
    </row>
    <row r="315">
      <c r="A315" s="29" t="str">
        <f>IFERROR(__xludf.DUMMYFUNCTION("""COMPUTED_VALUE"""),"EX-047")</f>
        <v>EX-047</v>
      </c>
      <c r="B315" s="27" t="str">
        <f>IFERROR(__xludf.DUMMYFUNCTION("""COMPUTED_VALUE"""),"Event")</f>
        <v>Event</v>
      </c>
      <c r="C315" s="27" t="str">
        <f>IFERROR(__xludf.DUMMYFUNCTION("""COMPUTED_VALUE"""),"Naomi")</f>
        <v>Naomi</v>
      </c>
      <c r="D315" s="27" t="str">
        <f>IFERROR(__xludf.DUMMYFUNCTION("""COMPUTED_VALUE"""),"-")</f>
        <v>-</v>
      </c>
      <c r="E315" s="27">
        <f>IFERROR(__xludf.DUMMYFUNCTION("""COMPUTED_VALUE"""),2.0)</f>
        <v>2</v>
      </c>
      <c r="F315" s="27" t="str">
        <f>IFERROR(__xludf.DUMMYFUNCTION("""COMPUTED_VALUE"""),"A")</f>
        <v>A</v>
      </c>
      <c r="G315" s="27" t="str">
        <f>IFERROR(__xludf.DUMMYFUNCTION("""COMPUTED_VALUE"""),"Intermediate")</f>
        <v>Intermediate</v>
      </c>
      <c r="H315" s="27" t="str">
        <f>IFERROR(__xludf.DUMMYFUNCTION("""COMPUTED_VALUE"""),"-")</f>
        <v>-</v>
      </c>
      <c r="I315" s="28" t="str">
        <f>IFERROR(__xludf.DUMMYFUNCTION("""COMPUTED_VALUE"""),"[STAY] Select 1 of your opponent's MAMODO cards. During the Battle when you inflict Damage or Injury this turn, your opponent must SACRIFICE or PROTECT their Spell Book from Damage with the selected MAMODO card.")</f>
        <v>[STAY] Select 1 of your opponent's MAMODO cards. During the Battle when you inflict Damage or Injury this turn, your opponent must SACRIFICE or PROTECT their Spell Book from Damage with the selected MAMODO card.</v>
      </c>
      <c r="J315" s="27" t="str">
        <f>IFERROR(__xludf.DUMMYFUNCTION("""COMPUTED_VALUE"""),"-")</f>
        <v>-</v>
      </c>
      <c r="K315" s="27" t="str">
        <f>IFERROR(__xludf.DUMMYFUNCTION("""COMPUTED_VALUE"""),"-")</f>
        <v>-</v>
      </c>
      <c r="L315" s="27" t="str">
        <f>IFERROR(__xludf.DUMMYFUNCTION("""COMPUTED_VALUE"""),"The Gathering Storm, Series 3, Expansion Sheet 2, The Best Booster 1")</f>
        <v>The Gathering Storm, Series 3, Expansion Sheet 2, The Best Booster 1</v>
      </c>
      <c r="M315" s="27" t="str">
        <f>IFERROR(__xludf.DUMMYFUNCTION("""COMPUTED_VALUE"""),"[U]")</f>
        <v>[U]</v>
      </c>
      <c r="N315" s="27" t="str">
        <f>IFERROR(__xludf.DUMMYFUNCTION("""COMPUTED_VALUE"""),"A girl who is always bullying Zatch. Can they ever be friends?")</f>
        <v>A girl who is always bullying Zatch. Can they ever be friends?</v>
      </c>
      <c r="O315" s="27"/>
      <c r="P315" s="27"/>
      <c r="Q315" s="27"/>
      <c r="R315" s="27"/>
      <c r="S315" s="27"/>
      <c r="T315" s="27"/>
      <c r="U315" s="27"/>
      <c r="V315" s="27"/>
      <c r="W315" s="27"/>
      <c r="X315" s="27"/>
      <c r="Y315" s="27"/>
      <c r="Z315" s="27"/>
    </row>
    <row r="316">
      <c r="A316" s="29" t="str">
        <f>IFERROR(__xludf.DUMMYFUNCTION("""COMPUTED_VALUE"""),"EX-048")</f>
        <v>EX-048</v>
      </c>
      <c r="B316" s="27" t="str">
        <f>IFERROR(__xludf.DUMMYFUNCTION("""COMPUTED_VALUE"""),"Event")</f>
        <v>Event</v>
      </c>
      <c r="C316" s="27" t="str">
        <f>IFERROR(__xludf.DUMMYFUNCTION("""COMPUTED_VALUE"""),"Mochinoki Amusement Park")</f>
        <v>Mochinoki Amusement Park</v>
      </c>
      <c r="D316" s="27" t="str">
        <f>IFERROR(__xludf.DUMMYFUNCTION("""COMPUTED_VALUE"""),"-")</f>
        <v>-</v>
      </c>
      <c r="E316" s="27">
        <f>IFERROR(__xludf.DUMMYFUNCTION("""COMPUTED_VALUE"""),1.0)</f>
        <v>1</v>
      </c>
      <c r="F316" s="27" t="str">
        <f>IFERROR(__xludf.DUMMYFUNCTION("""COMPUTED_VALUE"""),"A")</f>
        <v>A</v>
      </c>
      <c r="G316" s="27" t="str">
        <f>IFERROR(__xludf.DUMMYFUNCTION("""COMPUTED_VALUE"""),"None")</f>
        <v>None</v>
      </c>
      <c r="H316" s="27" t="str">
        <f>IFERROR(__xludf.DUMMYFUNCTION("""COMPUTED_VALUE"""),"-")</f>
        <v>-</v>
      </c>
      <c r="I316" s="28" t="str">
        <f>IFERROR(__xludf.DUMMYFUNCTION("""COMPUTED_VALUE"""),"Adjust both players' MP until they have 4 MP. This effect is considered to be reducing a player's MP when either player has 5 MP or more.")</f>
        <v>Adjust both players' MP until they have 4 MP. This effect is considered to be reducing a player's MP when either player has 5 MP or more.</v>
      </c>
      <c r="J316" s="27" t="str">
        <f>IFERROR(__xludf.DUMMYFUNCTION("""COMPUTED_VALUE"""),"-")</f>
        <v>-</v>
      </c>
      <c r="K316" s="27" t="str">
        <f>IFERROR(__xludf.DUMMYFUNCTION("""COMPUTED_VALUE"""),"-")</f>
        <v>-</v>
      </c>
      <c r="L316" s="27" t="str">
        <f>IFERROR(__xludf.DUMMYFUNCTION("""COMPUTED_VALUE"""),"The Gathering Storm, Series 3, Expansion Sheet 2")</f>
        <v>The Gathering Storm, Series 3, Expansion Sheet 2</v>
      </c>
      <c r="M316" s="27" t="str">
        <f>IFERROR(__xludf.DUMMYFUNCTION("""COMPUTED_VALUE"""),"[C]")</f>
        <v>[C]</v>
      </c>
      <c r="N316" s="27" t="str">
        <f>IFERROR(__xludf.DUMMYFUNCTION("""COMPUTED_VALUE"""),"An amusement park in Mochinoki City.")</f>
        <v>An amusement park in Mochinoki City.</v>
      </c>
      <c r="O316" s="27"/>
      <c r="P316" s="27"/>
      <c r="Q316" s="27"/>
      <c r="R316" s="27"/>
      <c r="S316" s="27"/>
      <c r="T316" s="27"/>
      <c r="U316" s="27"/>
      <c r="V316" s="27"/>
      <c r="W316" s="27"/>
      <c r="X316" s="27"/>
      <c r="Y316" s="27"/>
      <c r="Z316" s="27"/>
    </row>
    <row r="317">
      <c r="A317" s="29" t="str">
        <f>IFERROR(__xludf.DUMMYFUNCTION("""COMPUTED_VALUE"""),"EX-049")</f>
        <v>EX-049</v>
      </c>
      <c r="B317" s="27" t="str">
        <f>IFERROR(__xludf.DUMMYFUNCTION("""COMPUTED_VALUE"""),"Mamodo")</f>
        <v>Mamodo</v>
      </c>
      <c r="C317" s="27" t="str">
        <f>IFERROR(__xludf.DUMMYFUNCTION("""COMPUTED_VALUE"""),"Goren Of The Stone")</f>
        <v>Goren Of The Stone</v>
      </c>
      <c r="D317" s="27" t="str">
        <f>IFERROR(__xludf.DUMMYFUNCTION("""COMPUTED_VALUE"""),"Goren Of The Stone")</f>
        <v>Goren Of The Stone</v>
      </c>
      <c r="E317" s="27" t="str">
        <f>IFERROR(__xludf.DUMMYFUNCTION("""COMPUTED_VALUE"""),"-")</f>
        <v>-</v>
      </c>
      <c r="F317" s="27" t="str">
        <f>IFERROR(__xludf.DUMMYFUNCTION("""COMPUTED_VALUE"""),"-")</f>
        <v>-</v>
      </c>
      <c r="G317" s="27" t="str">
        <f>IFERROR(__xludf.DUMMYFUNCTION("""COMPUTED_VALUE"""),"None")</f>
        <v>None</v>
      </c>
      <c r="H317" s="27" t="str">
        <f>IFERROR(__xludf.DUMMYFUNCTION("""COMPUTED_VALUE"""),"Terror of the Past")</f>
        <v>Terror of the Past</v>
      </c>
      <c r="I317" s="28" t="str">
        <f>IFERROR(__xludf.DUMMYFUNCTION("""COMPUTED_VALUE"""),"[1 MP] [STAY] Your opponent cannot apply the effects of their Stone Tablet MAMODO cards during this turn.")</f>
        <v>[1 MP] [STAY] Your opponent cannot apply the effects of their Stone Tablet MAMODO cards during this turn.</v>
      </c>
      <c r="J317" s="27">
        <f>IFERROR(__xludf.DUMMYFUNCTION("""COMPUTED_VALUE"""),6000.0)</f>
        <v>6000</v>
      </c>
      <c r="K317" s="27" t="str">
        <f>IFERROR(__xludf.DUMMYFUNCTION("""COMPUTED_VALUE"""),"-")</f>
        <v>-</v>
      </c>
      <c r="L317" s="27" t="str">
        <f>IFERROR(__xludf.DUMMYFUNCTION("""COMPUTED_VALUE"""),"-")</f>
        <v>-</v>
      </c>
      <c r="M317" s="27" t="str">
        <f>IFERROR(__xludf.DUMMYFUNCTION("""COMPUTED_VALUE"""),"[R]")</f>
        <v>[R]</v>
      </c>
      <c r="N317" s="27" t="str">
        <f>IFERROR(__xludf.DUMMYFUNCTION("""COMPUTED_VALUE"""),"He turned many mamodo into stone tablets in the battle a thousand years ago. And now, those stone tablets...!")</f>
        <v>He turned many mamodo into stone tablets in the battle a thousand years ago. And now, those stone tablets...!</v>
      </c>
      <c r="O317" s="27"/>
      <c r="P317" s="27"/>
      <c r="Q317" s="27"/>
      <c r="R317" s="27"/>
      <c r="S317" s="27"/>
      <c r="T317" s="27"/>
      <c r="U317" s="27"/>
      <c r="V317" s="27"/>
      <c r="W317" s="27"/>
      <c r="X317" s="27"/>
      <c r="Y317" s="27"/>
      <c r="Z317" s="27"/>
    </row>
    <row r="318">
      <c r="A318" s="29" t="str">
        <f>IFERROR(__xludf.DUMMYFUNCTION("""COMPUTED_VALUE"""),"EX-050")</f>
        <v>EX-050</v>
      </c>
      <c r="B318" s="27" t="str">
        <f>IFERROR(__xludf.DUMMYFUNCTION("""COMPUTED_VALUE"""),"Spell")</f>
        <v>Spell</v>
      </c>
      <c r="C318" s="27" t="str">
        <f>IFERROR(__xludf.DUMMYFUNCTION("""COMPUTED_VALUE"""),"5-Strike Super Attack")</f>
        <v>5-Strike Super Attack</v>
      </c>
      <c r="D318" s="27" t="str">
        <f>IFERROR(__xludf.DUMMYFUNCTION("""COMPUTED_VALUE"""),"Command: All")</f>
        <v>Command: All</v>
      </c>
      <c r="E318" s="27">
        <f>IFERROR(__xludf.DUMMYFUNCTION("""COMPUTED_VALUE"""),5.0)</f>
        <v>5</v>
      </c>
      <c r="F318" s="27" t="str">
        <f>IFERROR(__xludf.DUMMYFUNCTION("""COMPUTED_VALUE"""),"A")</f>
        <v>A</v>
      </c>
      <c r="G318" s="27" t="str">
        <f>IFERROR(__xludf.DUMMYFUNCTION("""COMPUTED_VALUE"""),"Superior")</f>
        <v>Superior</v>
      </c>
      <c r="H318" s="27" t="str">
        <f>IFERROR(__xludf.DUMMYFUNCTION("""COMPUTED_VALUE"""),"-")</f>
        <v>-</v>
      </c>
      <c r="I318" s="28" t="str">
        <f>IFERROR(__xludf.DUMMYFUNCTION("""COMPUTED_VALUE"""),"Damage your opponent's Spell Book when you win the Battle as an Attacker. Flip a coin 5 times; the Power of this SPELL card is considered to be the same as the number of heads you get times 1000, and its Damage is considered to be equal to the number of h"&amp;"eads you get times 1.")</f>
        <v>Damage your opponent's Spell Book when you win the Battle as an Attacker. Flip a coin 5 times; the Power of this SPELL card is considered to be the same as the number of heads you get times 1000, and its Damage is considered to be equal to the number of heads you get times 1.</v>
      </c>
      <c r="J318" s="27" t="str">
        <f>IFERROR(__xludf.DUMMYFUNCTION("""COMPUTED_VALUE"""),"1000x")</f>
        <v>1000x</v>
      </c>
      <c r="K318" s="27" t="str">
        <f>IFERROR(__xludf.DUMMYFUNCTION("""COMPUTED_VALUE"""),"-")</f>
        <v>-</v>
      </c>
      <c r="L318" s="27" t="str">
        <f>IFERROR(__xludf.DUMMYFUNCTION("""COMPUTED_VALUE"""),"-")</f>
        <v>-</v>
      </c>
      <c r="M318" s="27" t="str">
        <f>IFERROR(__xludf.DUMMYFUNCTION("""COMPUTED_VALUE"""),"[R]")</f>
        <v>[R]</v>
      </c>
      <c r="N318" s="27" t="str">
        <f>IFERROR(__xludf.DUMMYFUNCTION("""COMPUTED_VALUE"""),"""As long as we have our power from within, we'll keep casting spells!""")</f>
        <v>"As long as we have our power from within, we'll keep casting spells!"</v>
      </c>
      <c r="O318" s="27"/>
      <c r="P318" s="27"/>
      <c r="Q318" s="27"/>
      <c r="R318" s="27"/>
      <c r="S318" s="27"/>
      <c r="T318" s="27"/>
      <c r="U318" s="27"/>
      <c r="V318" s="27"/>
      <c r="W318" s="27"/>
      <c r="X318" s="27"/>
      <c r="Y318" s="27"/>
      <c r="Z318" s="27"/>
    </row>
    <row r="319">
      <c r="A319" s="29" t="str">
        <f>IFERROR(__xludf.DUMMYFUNCTION("""COMPUTED_VALUE"""),"EX-051")</f>
        <v>EX-051</v>
      </c>
      <c r="B319" s="27" t="str">
        <f>IFERROR(__xludf.DUMMYFUNCTION("""COMPUTED_VALUE"""),"Mamodo")</f>
        <v>Mamodo</v>
      </c>
      <c r="C319" s="27" t="str">
        <f>IFERROR(__xludf.DUMMYFUNCTION("""COMPUTED_VALUE"""),"Zatch Bell")</f>
        <v>Zatch Bell</v>
      </c>
      <c r="D319" s="27" t="str">
        <f>IFERROR(__xludf.DUMMYFUNCTION("""COMPUTED_VALUE"""),"Zatch Bell")</f>
        <v>Zatch Bell</v>
      </c>
      <c r="E319" s="27" t="str">
        <f>IFERROR(__xludf.DUMMYFUNCTION("""COMPUTED_VALUE"""),"-")</f>
        <v>-</v>
      </c>
      <c r="F319" s="27" t="str">
        <f>IFERROR(__xludf.DUMMYFUNCTION("""COMPUTED_VALUE"""),"-")</f>
        <v>-</v>
      </c>
      <c r="G319" s="27" t="str">
        <f>IFERROR(__xludf.DUMMYFUNCTION("""COMPUTED_VALUE"""),"None")</f>
        <v>None</v>
      </c>
      <c r="H319" s="27" t="str">
        <f>IFERROR(__xludf.DUMMYFUNCTION("""COMPUTED_VALUE"""),"Unyielding Fighting Spirit")</f>
        <v>Unyielding Fighting Spirit</v>
      </c>
      <c r="I319" s="28" t="str">
        <f>IFERROR(__xludf.DUMMYFUNCTION("""COMPUTED_VALUE"""),"[IN PLAY] When you are on the last page of your Spell Book, your opponent cannot apply the effects of their EVENT and PARTNER cards.")</f>
        <v>[IN PLAY] When you are on the last page of your Spell Book, your opponent cannot apply the effects of their EVENT and PARTNER cards.</v>
      </c>
      <c r="J319" s="27">
        <f>IFERROR(__xludf.DUMMYFUNCTION("""COMPUTED_VALUE"""),4000.0)</f>
        <v>4000</v>
      </c>
      <c r="K319" s="27" t="str">
        <f>IFERROR(__xludf.DUMMYFUNCTION("""COMPUTED_VALUE"""),"-")</f>
        <v>-</v>
      </c>
      <c r="L319" s="27" t="str">
        <f>IFERROR(__xludf.DUMMYFUNCTION("""COMPUTED_VALUE"""),"-")</f>
        <v>-</v>
      </c>
      <c r="M319" s="27" t="str">
        <f>IFERROR(__xludf.DUMMYFUNCTION("""COMPUTED_VALUE"""),"[R]")</f>
        <v>[R]</v>
      </c>
      <c r="N319" s="27" t="str">
        <f>IFERROR(__xludf.DUMMYFUNCTION("""COMPUTED_VALUE"""),"""We'll show you that we can stand back up as many times as we need to... Whatever it takes!""")</f>
        <v>"We'll show you that we can stand back up as many times as we need to... Whatever it takes!"</v>
      </c>
      <c r="O319" s="27"/>
      <c r="P319" s="27"/>
      <c r="Q319" s="27"/>
      <c r="R319" s="27"/>
      <c r="S319" s="27"/>
      <c r="T319" s="27"/>
      <c r="U319" s="27"/>
      <c r="V319" s="27"/>
      <c r="W319" s="27"/>
      <c r="X319" s="27"/>
      <c r="Y319" s="27"/>
      <c r="Z319" s="27"/>
    </row>
    <row r="320">
      <c r="A320" s="29" t="str">
        <f>IFERROR(__xludf.DUMMYFUNCTION("""COMPUTED_VALUE"""),"EX-052")</f>
        <v>EX-052</v>
      </c>
      <c r="B320" s="27" t="str">
        <f>IFERROR(__xludf.DUMMYFUNCTION("""COMPUTED_VALUE"""),"Mamodo")</f>
        <v>Mamodo</v>
      </c>
      <c r="C320" s="27" t="str">
        <f>IFERROR(__xludf.DUMMYFUNCTION("""COMPUTED_VALUE"""),"Wonrei")</f>
        <v>Wonrei</v>
      </c>
      <c r="D320" s="27" t="str">
        <f>IFERROR(__xludf.DUMMYFUNCTION("""COMPUTED_VALUE"""),"Wonrei")</f>
        <v>Wonrei</v>
      </c>
      <c r="E320" s="27" t="str">
        <f>IFERROR(__xludf.DUMMYFUNCTION("""COMPUTED_VALUE"""),"-")</f>
        <v>-</v>
      </c>
      <c r="F320" s="27" t="str">
        <f>IFERROR(__xludf.DUMMYFUNCTION("""COMPUTED_VALUE"""),"-")</f>
        <v>-</v>
      </c>
      <c r="G320" s="27" t="str">
        <f>IFERROR(__xludf.DUMMYFUNCTION("""COMPUTED_VALUE"""),"None")</f>
        <v>None</v>
      </c>
      <c r="H320" s="27" t="str">
        <f>IFERROR(__xludf.DUMMYFUNCTION("""COMPUTED_VALUE"""),"Strength of the Iron Fist")</f>
        <v>Strength of the Iron Fist</v>
      </c>
      <c r="I320" s="28" t="str">
        <f>IFERROR(__xludf.DUMMYFUNCTION("""COMPUTED_VALUE"""),"[1 MP] This card may Attack without using a SPELL card (Total Power=7000, Damage=1). This effect can be applied only when a Li-en PARTNER card is attached to this MAMODO card.")</f>
        <v>[1 MP] This card may Attack without using a SPELL card (Total Power=7000, Damage=1). This effect can be applied only when a Li-en PARTNER card is attached to this MAMODO card.</v>
      </c>
      <c r="J320" s="27">
        <f>IFERROR(__xludf.DUMMYFUNCTION("""COMPUTED_VALUE"""),4000.0)</f>
        <v>4000</v>
      </c>
      <c r="K320" s="27" t="str">
        <f>IFERROR(__xludf.DUMMYFUNCTION("""COMPUTED_VALUE"""),"-")</f>
        <v>-</v>
      </c>
      <c r="L320" s="27" t="str">
        <f>IFERROR(__xludf.DUMMYFUNCTION("""COMPUTED_VALUE"""),"Spell Book, Expansion Sheet 3")</f>
        <v>Spell Book, Expansion Sheet 3</v>
      </c>
      <c r="M320" s="27" t="str">
        <f>IFERROR(__xludf.DUMMYFUNCTION("""COMPUTED_VALUE"""),"[C]")</f>
        <v>[C]</v>
      </c>
      <c r="N320" s="27" t="str">
        <f>IFERROR(__xludf.DUMMYFUNCTION("""COMPUTED_VALUE"""),"“Behind me, stands someone I need to protect.”")</f>
        <v>“Behind me, stands someone I need to protect.”</v>
      </c>
      <c r="O320" s="27"/>
      <c r="P320" s="27"/>
      <c r="Q320" s="27"/>
      <c r="R320" s="27"/>
      <c r="S320" s="27"/>
      <c r="T320" s="27"/>
      <c r="U320" s="27"/>
      <c r="V320" s="27"/>
      <c r="W320" s="27"/>
      <c r="X320" s="27"/>
      <c r="Y320" s="27"/>
      <c r="Z320" s="27"/>
    </row>
    <row r="321">
      <c r="A321" s="29" t="str">
        <f>IFERROR(__xludf.DUMMYFUNCTION("""COMPUTED_VALUE"""),"EX-053")</f>
        <v>EX-053</v>
      </c>
      <c r="B321" s="27" t="str">
        <f>IFERROR(__xludf.DUMMYFUNCTION("""COMPUTED_VALUE"""),"Mamodo")</f>
        <v>Mamodo</v>
      </c>
      <c r="C321" s="27" t="str">
        <f>IFERROR(__xludf.DUMMYFUNCTION("""COMPUTED_VALUE"""),"Penny")</f>
        <v>Penny</v>
      </c>
      <c r="D321" s="27" t="str">
        <f>IFERROR(__xludf.DUMMYFUNCTION("""COMPUTED_VALUE"""),"Penny")</f>
        <v>Penny</v>
      </c>
      <c r="E321" s="27" t="str">
        <f>IFERROR(__xludf.DUMMYFUNCTION("""COMPUTED_VALUE"""),"-")</f>
        <v>-</v>
      </c>
      <c r="F321" s="27" t="str">
        <f>IFERROR(__xludf.DUMMYFUNCTION("""COMPUTED_VALUE"""),"-")</f>
        <v>-</v>
      </c>
      <c r="G321" s="27" t="str">
        <f>IFERROR(__xludf.DUMMYFUNCTION("""COMPUTED_VALUE"""),"None")</f>
        <v>None</v>
      </c>
      <c r="H321" s="27" t="str">
        <f>IFERROR(__xludf.DUMMYFUNCTION("""COMPUTED_VALUE"""),"A Maiden's Prayer")</f>
        <v>A Maiden's Prayer</v>
      </c>
      <c r="I321" s="28" t="str">
        <f>IFERROR(__xludf.DUMMYFUNCTION("""COMPUTED_VALUE"""),"[IN PLAY] Your opponent cannot put cards in play that are of the same card name as cards that were sent to their Discard Pile during the same turn.")</f>
        <v>[IN PLAY] Your opponent cannot put cards in play that are of the same card name as cards that were sent to their Discard Pile during the same turn.</v>
      </c>
      <c r="J321" s="27">
        <f>IFERROR(__xludf.DUMMYFUNCTION("""COMPUTED_VALUE"""),3500.0)</f>
        <v>3500</v>
      </c>
      <c r="K321" s="27" t="str">
        <f>IFERROR(__xludf.DUMMYFUNCTION("""COMPUTED_VALUE"""),"-")</f>
        <v>-</v>
      </c>
      <c r="L321" s="27" t="str">
        <f>IFERROR(__xludf.DUMMYFUNCTION("""COMPUTED_VALUE"""),"-")</f>
        <v>-</v>
      </c>
      <c r="M321" s="27" t="str">
        <f>IFERROR(__xludf.DUMMYFUNCTION("""COMPUTED_VALUE"""),"[R]")</f>
        <v>[R]</v>
      </c>
      <c r="N321" s="27" t="str">
        <f>IFERROR(__xludf.DUMMYFUNCTION("""COMPUTED_VALUE"""),"""I wonder if my darling Zatch remembers me.""")</f>
        <v>"I wonder if my darling Zatch remembers me."</v>
      </c>
      <c r="O321" s="27"/>
      <c r="P321" s="27"/>
      <c r="Q321" s="27"/>
      <c r="R321" s="27"/>
      <c r="S321" s="27"/>
      <c r="T321" s="27"/>
      <c r="U321" s="27"/>
      <c r="V321" s="27"/>
      <c r="W321" s="27"/>
      <c r="X321" s="27"/>
      <c r="Y321" s="27"/>
      <c r="Z321" s="27"/>
    </row>
    <row r="322">
      <c r="A322" s="29" t="str">
        <f>IFERROR(__xludf.DUMMYFUNCTION("""COMPUTED_VALUE"""),"EX-054")</f>
        <v>EX-054</v>
      </c>
      <c r="B322" s="27" t="str">
        <f>IFERROR(__xludf.DUMMYFUNCTION("""COMPUTED_VALUE"""),"Mamodo")</f>
        <v>Mamodo</v>
      </c>
      <c r="C322" s="27" t="str">
        <f>IFERROR(__xludf.DUMMYFUNCTION("""COMPUTED_VALUE"""),"Kido")</f>
        <v>Kido</v>
      </c>
      <c r="D322" s="27" t="str">
        <f>IFERROR(__xludf.DUMMYFUNCTION("""COMPUTED_VALUE"""),"Kido")</f>
        <v>Kido</v>
      </c>
      <c r="E322" s="27" t="str">
        <f>IFERROR(__xludf.DUMMYFUNCTION("""COMPUTED_VALUE"""),"-")</f>
        <v>-</v>
      </c>
      <c r="F322" s="27" t="str">
        <f>IFERROR(__xludf.DUMMYFUNCTION("""COMPUTED_VALUE"""),"-")</f>
        <v>-</v>
      </c>
      <c r="G322" s="27" t="str">
        <f>IFERROR(__xludf.DUMMYFUNCTION("""COMPUTED_VALUE"""),"None")</f>
        <v>None</v>
      </c>
      <c r="H322" s="27" t="str">
        <f>IFERROR(__xludf.DUMMYFUNCTION("""COMPUTED_VALUE"""),"Onward, Kido!")</f>
        <v>Onward, Kido!</v>
      </c>
      <c r="I322" s="28" t="str">
        <f>IFERROR(__xludf.DUMMYFUNCTION("""COMPUTED_VALUE"""),"[IN PLAY] [STAY] During the BATTLE PHASE of the turn this MAMODO card is put in play, your opponent cannot apply the effects of any of their in-play cards.")</f>
        <v>[IN PLAY] [STAY] During the BATTLE PHASE of the turn this MAMODO card is put in play, your opponent cannot apply the effects of any of their in-play cards.</v>
      </c>
      <c r="J322" s="27">
        <f>IFERROR(__xludf.DUMMYFUNCTION("""COMPUTED_VALUE"""),3500.0)</f>
        <v>3500</v>
      </c>
      <c r="K322" s="27" t="str">
        <f>IFERROR(__xludf.DUMMYFUNCTION("""COMPUTED_VALUE"""),"-")</f>
        <v>-</v>
      </c>
      <c r="L322" s="27" t="str">
        <f>IFERROR(__xludf.DUMMYFUNCTION("""COMPUTED_VALUE"""),"-")</f>
        <v>-</v>
      </c>
      <c r="M322" s="27" t="str">
        <f>IFERROR(__xludf.DUMMYFUNCTION("""COMPUTED_VALUE"""),"[R]")</f>
        <v>[R]</v>
      </c>
      <c r="N322" s="27" t="str">
        <f>IFERROR(__xludf.DUMMYFUNCTION("""COMPUTED_VALUE"""),"""I'm really excited! So, this is what you call hope!""")</f>
        <v>"I'm really excited! So, this is what you call hope!"</v>
      </c>
      <c r="O322" s="27"/>
      <c r="P322" s="27"/>
      <c r="Q322" s="27"/>
      <c r="R322" s="27"/>
      <c r="S322" s="27"/>
      <c r="T322" s="27"/>
      <c r="U322" s="27"/>
      <c r="V322" s="27"/>
      <c r="W322" s="27"/>
      <c r="X322" s="27"/>
      <c r="Y322" s="27"/>
      <c r="Z322" s="27"/>
    </row>
    <row r="323">
      <c r="A323" s="29" t="str">
        <f>IFERROR(__xludf.DUMMYFUNCTION("""COMPUTED_VALUE"""),"EX-055")</f>
        <v>EX-055</v>
      </c>
      <c r="B323" s="27" t="str">
        <f>IFERROR(__xludf.DUMMYFUNCTION("""COMPUTED_VALUE"""),"Mamodo")</f>
        <v>Mamodo</v>
      </c>
      <c r="C323" s="27" t="str">
        <f>IFERROR(__xludf.DUMMYFUNCTION("""COMPUTED_VALUE"""),"Danny")</f>
        <v>Danny</v>
      </c>
      <c r="D323" s="27" t="str">
        <f>IFERROR(__xludf.DUMMYFUNCTION("""COMPUTED_VALUE"""),"Danny")</f>
        <v>Danny</v>
      </c>
      <c r="E323" s="27" t="str">
        <f>IFERROR(__xludf.DUMMYFUNCTION("""COMPUTED_VALUE"""),"-")</f>
        <v>-</v>
      </c>
      <c r="F323" s="27" t="str">
        <f>IFERROR(__xludf.DUMMYFUNCTION("""COMPUTED_VALUE"""),"-")</f>
        <v>-</v>
      </c>
      <c r="G323" s="27" t="str">
        <f>IFERROR(__xludf.DUMMYFUNCTION("""COMPUTED_VALUE"""),"None")</f>
        <v>None</v>
      </c>
      <c r="H323" s="27" t="str">
        <f>IFERROR(__xludf.DUMMYFUNCTION("""COMPUTED_VALUE"""),"Don't Call Me Danny Boy!")</f>
        <v>Don't Call Me Danny Boy!</v>
      </c>
      <c r="I323" s="28" t="str">
        <f>IFERROR(__xludf.DUMMYFUNCTION("""COMPUTED_VALUE"""),"(Attack) [1 MP] This card may Attack without using a SPELL card (Total Power=6500, Damage=2). This effect can be applied only when a Mr. Goldo PARTNER card is attached to this MAMODO card.")</f>
        <v>(Attack) [1 MP] This card may Attack without using a SPELL card (Total Power=6500, Damage=2). This effect can be applied only when a Mr. Goldo PARTNER card is attached to this MAMODO card.</v>
      </c>
      <c r="J323" s="27">
        <f>IFERROR(__xludf.DUMMYFUNCTION("""COMPUTED_VALUE"""),4500.0)</f>
        <v>4500</v>
      </c>
      <c r="K323" s="27" t="str">
        <f>IFERROR(__xludf.DUMMYFUNCTION("""COMPUTED_VALUE"""),"-")</f>
        <v>-</v>
      </c>
      <c r="L323" s="27" t="str">
        <f>IFERROR(__xludf.DUMMYFUNCTION("""COMPUTED_VALUE"""),"-")</f>
        <v>-</v>
      </c>
      <c r="M323" s="27" t="str">
        <f>IFERROR(__xludf.DUMMYFUNCTION("""COMPUTED_VALUE"""),"[U]")</f>
        <v>[U]</v>
      </c>
      <c r="N323" s="27" t="str">
        <f>IFERROR(__xludf.DUMMYFUNCTION("""COMPUTED_VALUE"""),"""It's 'Danny'! For the last time, just 'Danny'!""")</f>
        <v>"It's 'Danny'! For the last time, just 'Danny'!"</v>
      </c>
      <c r="O323" s="27"/>
      <c r="P323" s="27"/>
      <c r="Q323" s="27"/>
      <c r="R323" s="27"/>
      <c r="S323" s="27"/>
      <c r="T323" s="27"/>
      <c r="U323" s="27"/>
      <c r="V323" s="27"/>
      <c r="W323" s="27"/>
      <c r="X323" s="27"/>
      <c r="Y323" s="27"/>
      <c r="Z323" s="27"/>
    </row>
    <row r="324">
      <c r="A324" s="29" t="str">
        <f>IFERROR(__xludf.DUMMYFUNCTION("""COMPUTED_VALUE"""),"EX-056")</f>
        <v>EX-056</v>
      </c>
      <c r="B324" s="27" t="str">
        <f>IFERROR(__xludf.DUMMYFUNCTION("""COMPUTED_VALUE"""),"Stone Tablet Mamodo")</f>
        <v>Stone Tablet Mamodo</v>
      </c>
      <c r="C324" s="27" t="str">
        <f>IFERROR(__xludf.DUMMYFUNCTION("""COMPUTED_VALUE"""),"Borubora")</f>
        <v>Borubora</v>
      </c>
      <c r="D324" s="27" t="str">
        <f>IFERROR(__xludf.DUMMYFUNCTION("""COMPUTED_VALUE"""),"Borubora")</f>
        <v>Borubora</v>
      </c>
      <c r="E324" s="27" t="str">
        <f>IFERROR(__xludf.DUMMYFUNCTION("""COMPUTED_VALUE"""),"-")</f>
        <v>-</v>
      </c>
      <c r="F324" s="27" t="str">
        <f>IFERROR(__xludf.DUMMYFUNCTION("""COMPUTED_VALUE"""),"-")</f>
        <v>-</v>
      </c>
      <c r="G324" s="27" t="str">
        <f>IFERROR(__xludf.DUMMYFUNCTION("""COMPUTED_VALUE"""),"None")</f>
        <v>None</v>
      </c>
      <c r="H324" s="27" t="str">
        <f>IFERROR(__xludf.DUMMYFUNCTION("""COMPUTED_VALUE"""),"Garon")</f>
        <v>Garon</v>
      </c>
      <c r="I324" s="28" t="str">
        <f>IFERROR(__xludf.DUMMYFUNCTION("""COMPUTED_VALUE"""),"[IN PLAY] Any SPELL cards with Maruss as their MAMODO name can be played for this MAMODO card.")</f>
        <v>[IN PLAY] Any SPELL cards with Maruss as their MAMODO name can be played for this MAMODO card.</v>
      </c>
      <c r="J324" s="27">
        <f>IFERROR(__xludf.DUMMYFUNCTION("""COMPUTED_VALUE"""),4500.0)</f>
        <v>4500</v>
      </c>
      <c r="K324" s="27" t="str">
        <f>IFERROR(__xludf.DUMMYFUNCTION("""COMPUTED_VALUE"""),"-")</f>
        <v>-</v>
      </c>
      <c r="L324" s="27" t="str">
        <f>IFERROR(__xludf.DUMMYFUNCTION("""COMPUTED_VALUE"""),"-")</f>
        <v>-</v>
      </c>
      <c r="M324" s="27" t="str">
        <f>IFERROR(__xludf.DUMMYFUNCTION("""COMPUTED_VALUE"""),"[U]")</f>
        <v>[U]</v>
      </c>
      <c r="N324" s="27" t="str">
        <f>IFERROR(__xludf.DUMMYFUNCTION("""COMPUTED_VALUE"""),"A mamodo from a thousand years ago that uses metal spells like Maruss.")</f>
        <v>A mamodo from a thousand years ago that uses metal spells like Maruss.</v>
      </c>
      <c r="O324" s="27"/>
      <c r="P324" s="27"/>
      <c r="Q324" s="27"/>
      <c r="R324" s="27"/>
      <c r="S324" s="27"/>
      <c r="T324" s="27"/>
      <c r="U324" s="27"/>
      <c r="V324" s="27"/>
      <c r="W324" s="27"/>
      <c r="X324" s="27"/>
      <c r="Y324" s="27"/>
      <c r="Z324" s="27"/>
    </row>
    <row r="325">
      <c r="A325" s="29" t="str">
        <f>IFERROR(__xludf.DUMMYFUNCTION("""COMPUTED_VALUE"""),"EX-057")</f>
        <v>EX-057</v>
      </c>
      <c r="B325" s="27" t="str">
        <f>IFERROR(__xludf.DUMMYFUNCTION("""COMPUTED_VALUE"""),"Stone Tablet Mamodo")</f>
        <v>Stone Tablet Mamodo</v>
      </c>
      <c r="C325" s="27" t="str">
        <f>IFERROR(__xludf.DUMMYFUNCTION("""COMPUTED_VALUE"""),"Dogmos")</f>
        <v>Dogmos</v>
      </c>
      <c r="D325" s="27" t="str">
        <f>IFERROR(__xludf.DUMMYFUNCTION("""COMPUTED_VALUE"""),"Dogmos")</f>
        <v>Dogmos</v>
      </c>
      <c r="E325" s="27" t="str">
        <f>IFERROR(__xludf.DUMMYFUNCTION("""COMPUTED_VALUE"""),"-")</f>
        <v>-</v>
      </c>
      <c r="F325" s="27" t="str">
        <f>IFERROR(__xludf.DUMMYFUNCTION("""COMPUTED_VALUE"""),"-")</f>
        <v>-</v>
      </c>
      <c r="G325" s="27" t="str">
        <f>IFERROR(__xludf.DUMMYFUNCTION("""COMPUTED_VALUE"""),"None")</f>
        <v>None</v>
      </c>
      <c r="H325" s="27" t="str">
        <f>IFERROR(__xludf.DUMMYFUNCTION("""COMPUTED_VALUE"""),"Grandsen")</f>
        <v>Grandsen</v>
      </c>
      <c r="I325" s="28" t="str">
        <f>IFERROR(__xludf.DUMMYFUNCTION("""COMPUTED_VALUE"""),"[IN PLAY] Any SPELL cards with Eshros as their MAMODO name can be played for this MAMODO card.")</f>
        <v>[IN PLAY] Any SPELL cards with Eshros as their MAMODO name can be played for this MAMODO card.</v>
      </c>
      <c r="J325" s="27">
        <f>IFERROR(__xludf.DUMMYFUNCTION("""COMPUTED_VALUE"""),4500.0)</f>
        <v>4500</v>
      </c>
      <c r="K325" s="27" t="str">
        <f>IFERROR(__xludf.DUMMYFUNCTION("""COMPUTED_VALUE"""),"-")</f>
        <v>-</v>
      </c>
      <c r="L325" s="27" t="str">
        <f>IFERROR(__xludf.DUMMYFUNCTION("""COMPUTED_VALUE"""),"-")</f>
        <v>-</v>
      </c>
      <c r="M325" s="27" t="str">
        <f>IFERROR(__xludf.DUMMYFUNCTION("""COMPUTED_VALUE"""),"[U]")</f>
        <v>[U]</v>
      </c>
      <c r="N325" s="27" t="str">
        <f>IFERROR(__xludf.DUMMYFUNCTION("""COMPUTED_VALUE"""),"A mamodo from a thousand years ago that uses ground spells like Eshros.")</f>
        <v>A mamodo from a thousand years ago that uses ground spells like Eshros.</v>
      </c>
      <c r="O325" s="27"/>
      <c r="P325" s="27"/>
      <c r="Q325" s="27"/>
      <c r="R325" s="27"/>
      <c r="S325" s="27"/>
      <c r="T325" s="27"/>
      <c r="U325" s="27"/>
      <c r="V325" s="27"/>
      <c r="W325" s="27"/>
      <c r="X325" s="27"/>
      <c r="Y325" s="27"/>
      <c r="Z325" s="27"/>
    </row>
    <row r="326">
      <c r="A326" s="29" t="str">
        <f>IFERROR(__xludf.DUMMYFUNCTION("""COMPUTED_VALUE"""),"EX-058")</f>
        <v>EX-058</v>
      </c>
      <c r="B326" s="27" t="str">
        <f>IFERROR(__xludf.DUMMYFUNCTION("""COMPUTED_VALUE"""),"Stone Tablet Mamodo")</f>
        <v>Stone Tablet Mamodo</v>
      </c>
      <c r="C326" s="27" t="str">
        <f>IFERROR(__xludf.DUMMYFUNCTION("""COMPUTED_VALUE"""),"Erujo")</f>
        <v>Erujo</v>
      </c>
      <c r="D326" s="27" t="str">
        <f>IFERROR(__xludf.DUMMYFUNCTION("""COMPUTED_VALUE"""),"Erujo")</f>
        <v>Erujo</v>
      </c>
      <c r="E326" s="27" t="str">
        <f>IFERROR(__xludf.DUMMYFUNCTION("""COMPUTED_VALUE"""),"-")</f>
        <v>-</v>
      </c>
      <c r="F326" s="27" t="str">
        <f>IFERROR(__xludf.DUMMYFUNCTION("""COMPUTED_VALUE"""),"-")</f>
        <v>-</v>
      </c>
      <c r="G326" s="27" t="str">
        <f>IFERROR(__xludf.DUMMYFUNCTION("""COMPUTED_VALUE"""),"None")</f>
        <v>None</v>
      </c>
      <c r="H326" s="27" t="str">
        <f>IFERROR(__xludf.DUMMYFUNCTION("""COMPUTED_VALUE"""),"Biraitsu")</f>
        <v>Biraitsu</v>
      </c>
      <c r="I326" s="28" t="str">
        <f>IFERROR(__xludf.DUMMYFUNCTION("""COMPUTED_VALUE"""),"[IN PLAY] Any Biraitsu SPELL cards can be played for this MAMODO card.")</f>
        <v>[IN PLAY] Any Biraitsu SPELL cards can be played for this MAMODO card.</v>
      </c>
      <c r="J326" s="27">
        <f>IFERROR(__xludf.DUMMYFUNCTION("""COMPUTED_VALUE"""),4500.0)</f>
        <v>4500</v>
      </c>
      <c r="K326" s="27" t="str">
        <f>IFERROR(__xludf.DUMMYFUNCTION("""COMPUTED_VALUE"""),"-")</f>
        <v>-</v>
      </c>
      <c r="L326" s="27" t="str">
        <f>IFERROR(__xludf.DUMMYFUNCTION("""COMPUTED_VALUE"""),"-")</f>
        <v>-</v>
      </c>
      <c r="M326" s="27" t="str">
        <f>IFERROR(__xludf.DUMMYFUNCTION("""COMPUTED_VALUE"""),"[U]")</f>
        <v>[U]</v>
      </c>
      <c r="N326" s="27" t="str">
        <f>IFERROR(__xludf.DUMMYFUNCTION("""COMPUTED_VALUE"""),"A mamodo from a thousand years ago that wields the same Biraitsu spell as Robnos.")</f>
        <v>A mamodo from a thousand years ago that wields the same Biraitsu spell as Robnos.</v>
      </c>
      <c r="O326" s="27"/>
      <c r="P326" s="27"/>
      <c r="Q326" s="27"/>
      <c r="R326" s="27"/>
      <c r="S326" s="27"/>
      <c r="T326" s="27"/>
      <c r="U326" s="27"/>
      <c r="V326" s="27"/>
      <c r="W326" s="27"/>
      <c r="X326" s="27"/>
      <c r="Y326" s="27"/>
      <c r="Z326" s="27"/>
    </row>
    <row r="327">
      <c r="A327" s="29" t="str">
        <f>IFERROR(__xludf.DUMMYFUNCTION("""COMPUTED_VALUE"""),"EX-059")</f>
        <v>EX-059</v>
      </c>
      <c r="B327" s="27" t="str">
        <f>IFERROR(__xludf.DUMMYFUNCTION("""COMPUTED_VALUE"""),"Partner")</f>
        <v>Partner</v>
      </c>
      <c r="C327" s="27" t="str">
        <f>IFERROR(__xludf.DUMMYFUNCTION("""COMPUTED_VALUE"""),"Kiyo Takamine")</f>
        <v>Kiyo Takamine</v>
      </c>
      <c r="D327" s="27" t="str">
        <f>IFERROR(__xludf.DUMMYFUNCTION("""COMPUTED_VALUE"""),"Zatch Bell")</f>
        <v>Zatch Bell</v>
      </c>
      <c r="E327" s="27" t="str">
        <f>IFERROR(__xludf.DUMMYFUNCTION("""COMPUTED_VALUE"""),"-")</f>
        <v>-</v>
      </c>
      <c r="F327" s="27" t="str">
        <f>IFERROR(__xludf.DUMMYFUNCTION("""COMPUTED_VALUE"""),"-")</f>
        <v>-</v>
      </c>
      <c r="G327" s="27" t="str">
        <f>IFERROR(__xludf.DUMMYFUNCTION("""COMPUTED_VALUE"""),"None")</f>
        <v>None</v>
      </c>
      <c r="H327" s="27" t="str">
        <f>IFERROR(__xludf.DUMMYFUNCTION("""COMPUTED_VALUE"""),"Believe in Me!")</f>
        <v>Believe in Me!</v>
      </c>
      <c r="I327" s="28" t="str">
        <f>IFERROR(__xludf.DUMMYFUNCTION("""COMPUTED_VALUE"""),"[SEND THIS CARD TO THE DISCARD PILE] [STANDBY] During the next Battle when your Zatch Bell MAMODO card Attacks, your opponent cannot apply the effects of their PARTNER and EVENT cards.")</f>
        <v>[SEND THIS CARD TO THE DISCARD PILE] [STANDBY] During the next Battle when your Zatch Bell MAMODO card Attacks, your opponent cannot apply the effects of their PARTNER and EVENT cards.</v>
      </c>
      <c r="J327" s="27" t="str">
        <f>IFERROR(__xludf.DUMMYFUNCTION("""COMPUTED_VALUE"""),"-")</f>
        <v>-</v>
      </c>
      <c r="K327" s="27" t="str">
        <f>IFERROR(__xludf.DUMMYFUNCTION("""COMPUTED_VALUE"""),"-")</f>
        <v>-</v>
      </c>
      <c r="L327" s="27" t="str">
        <f>IFERROR(__xludf.DUMMYFUNCTION("""COMPUTED_VALUE"""),"-")</f>
        <v>-</v>
      </c>
      <c r="M327" s="27" t="str">
        <f>IFERROR(__xludf.DUMMYFUNCTION("""COMPUTED_VALUE"""),"[U]")</f>
        <v>[U]</v>
      </c>
      <c r="N327" s="27" t="str">
        <f>IFERROR(__xludf.DUMMYFUNCTION("""COMPUTED_VALUE"""),"""Believe in me, Zatch! I'll guide you!""")</f>
        <v>"Believe in me, Zatch! I'll guide you!"</v>
      </c>
      <c r="O327" s="27"/>
      <c r="P327" s="27"/>
      <c r="Q327" s="27"/>
      <c r="R327" s="27"/>
      <c r="S327" s="27"/>
      <c r="T327" s="27"/>
      <c r="U327" s="27"/>
      <c r="V327" s="27"/>
      <c r="W327" s="27"/>
      <c r="X327" s="27"/>
      <c r="Y327" s="27"/>
      <c r="Z327" s="27"/>
    </row>
    <row r="328">
      <c r="A328" s="29" t="str">
        <f>IFERROR(__xludf.DUMMYFUNCTION("""COMPUTED_VALUE"""),"EX-060")</f>
        <v>EX-060</v>
      </c>
      <c r="B328" s="27" t="str">
        <f>IFERROR(__xludf.DUMMYFUNCTION("""COMPUTED_VALUE"""),"Partner")</f>
        <v>Partner</v>
      </c>
      <c r="C328" s="27" t="str">
        <f>IFERROR(__xludf.DUMMYFUNCTION("""COMPUTED_VALUE"""),"Apollo")</f>
        <v>Apollo</v>
      </c>
      <c r="D328" s="27" t="str">
        <f>IFERROR(__xludf.DUMMYFUNCTION("""COMPUTED_VALUE"""),"Rops")</f>
        <v>Rops</v>
      </c>
      <c r="E328" s="27" t="str">
        <f>IFERROR(__xludf.DUMMYFUNCTION("""COMPUTED_VALUE"""),"-")</f>
        <v>-</v>
      </c>
      <c r="F328" s="27" t="str">
        <f>IFERROR(__xludf.DUMMYFUNCTION("""COMPUTED_VALUE"""),"-")</f>
        <v>-</v>
      </c>
      <c r="G328" s="27" t="str">
        <f>IFERROR(__xludf.DUMMYFUNCTION("""COMPUTED_VALUE"""),"None")</f>
        <v>None</v>
      </c>
      <c r="H328" s="27" t="str">
        <f>IFERROR(__xludf.DUMMYFUNCTION("""COMPUTED_VALUE"""),"A Free Man")</f>
        <v>A Free Man</v>
      </c>
      <c r="I328" s="28" t="str">
        <f>IFERROR(__xludf.DUMMYFUNCTION("""COMPUTED_VALUE"""),"[IN PLAY] Your opponent cannot apply card effects that allow them to do the following from any page of their Spell Book (except the currently open pages): Play cards, put cards in play, send cards to the Discard Pile, and/or move cards from any page of th"&amp;"eir Spell Book.")</f>
        <v>[IN PLAY] Your opponent cannot apply card effects that allow them to do the following from any page of their Spell Book (except the currently open pages): Play cards, put cards in play, send cards to the Discard Pile, and/or move cards from any page of their Spell Book.</v>
      </c>
      <c r="J328" s="27" t="str">
        <f>IFERROR(__xludf.DUMMYFUNCTION("""COMPUTED_VALUE"""),"-")</f>
        <v>-</v>
      </c>
      <c r="K328" s="27" t="str">
        <f>IFERROR(__xludf.DUMMYFUNCTION("""COMPUTED_VALUE"""),"-")</f>
        <v>-</v>
      </c>
      <c r="L328" s="27" t="str">
        <f>IFERROR(__xludf.DUMMYFUNCTION("""COMPUTED_VALUE"""),"-")</f>
        <v>-</v>
      </c>
      <c r="M328" s="27" t="str">
        <f>IFERROR(__xludf.DUMMYFUNCTION("""COMPUTED_VALUE"""),"[C]")</f>
        <v>[C]</v>
      </c>
      <c r="N328" s="27" t="str">
        <f>IFERROR(__xludf.DUMMYFUNCTION("""COMPUTED_VALUE"""),"""I'd rather not have to worry about who becomes king of the mamodo world, but Rops hates it when I say stuff like that.""")</f>
        <v>"I'd rather not have to worry about who becomes king of the mamodo world, but Rops hates it when I say stuff like that."</v>
      </c>
      <c r="O328" s="27"/>
      <c r="P328" s="27"/>
      <c r="Q328" s="27"/>
      <c r="R328" s="27"/>
      <c r="S328" s="27"/>
      <c r="T328" s="27"/>
      <c r="U328" s="27"/>
      <c r="V328" s="27"/>
      <c r="W328" s="27"/>
      <c r="X328" s="27"/>
      <c r="Y328" s="27"/>
      <c r="Z328" s="27"/>
    </row>
    <row r="329">
      <c r="A329" s="29" t="str">
        <f>IFERROR(__xludf.DUMMYFUNCTION("""COMPUTED_VALUE"""),"EX-061")</f>
        <v>EX-061</v>
      </c>
      <c r="B329" s="27" t="str">
        <f>IFERROR(__xludf.DUMMYFUNCTION("""COMPUTED_VALUE"""),"Partner")</f>
        <v>Partner</v>
      </c>
      <c r="C329" s="27" t="str">
        <f>IFERROR(__xludf.DUMMYFUNCTION("""COMPUTED_VALUE"""),"Mr. Goldo")</f>
        <v>Mr. Goldo</v>
      </c>
      <c r="D329" s="27" t="str">
        <f>IFERROR(__xludf.DUMMYFUNCTION("""COMPUTED_VALUE"""),"Danny")</f>
        <v>Danny</v>
      </c>
      <c r="E329" s="27" t="str">
        <f>IFERROR(__xludf.DUMMYFUNCTION("""COMPUTED_VALUE"""),"-")</f>
        <v>-</v>
      </c>
      <c r="F329" s="27" t="str">
        <f>IFERROR(__xludf.DUMMYFUNCTION("""COMPUTED_VALUE"""),"-")</f>
        <v>-</v>
      </c>
      <c r="G329" s="27" t="str">
        <f>IFERROR(__xludf.DUMMYFUNCTION("""COMPUTED_VALUE"""),"None")</f>
        <v>None</v>
      </c>
      <c r="H329" s="27" t="str">
        <f>IFERROR(__xludf.DUMMYFUNCTION("""COMPUTED_VALUE"""),"Kids These Days...")</f>
        <v>Kids These Days...</v>
      </c>
      <c r="I329" s="28" t="str">
        <f>IFERROR(__xludf.DUMMYFUNCTION("""COMPUTED_VALUE"""),"[SEND THIS CARD TO THE DISCARD PILE] [STANDBY] You can apply the effect of a Danny MAMODO card you already applied during this turn, and the MP cost of that effect is considered to be 0.")</f>
        <v>[SEND THIS CARD TO THE DISCARD PILE] [STANDBY] You can apply the effect of a Danny MAMODO card you already applied during this turn, and the MP cost of that effect is considered to be 0.</v>
      </c>
      <c r="J329" s="27" t="str">
        <f>IFERROR(__xludf.DUMMYFUNCTION("""COMPUTED_VALUE"""),"-")</f>
        <v>-</v>
      </c>
      <c r="K329" s="27" t="str">
        <f>IFERROR(__xludf.DUMMYFUNCTION("""COMPUTED_VALUE"""),"-")</f>
        <v>-</v>
      </c>
      <c r="L329" s="27" t="str">
        <f>IFERROR(__xludf.DUMMYFUNCTION("""COMPUTED_VALUE"""),"-")</f>
        <v>-</v>
      </c>
      <c r="M329" s="27" t="str">
        <f>IFERROR(__xludf.DUMMYFUNCTION("""COMPUTED_VALUE"""),"[C]")</f>
        <v>[C]</v>
      </c>
      <c r="N329" s="27" t="str">
        <f>IFERROR(__xludf.DUMMYFUNCTION("""COMPUTED_VALUE"""),"""Hmph... You're not even half a man.""")</f>
        <v>"Hmph... You're not even half a man."</v>
      </c>
      <c r="O329" s="27"/>
      <c r="P329" s="27"/>
      <c r="Q329" s="27"/>
      <c r="R329" s="27"/>
      <c r="S329" s="27"/>
      <c r="T329" s="27"/>
      <c r="U329" s="27"/>
      <c r="V329" s="27"/>
      <c r="W329" s="27"/>
      <c r="X329" s="27"/>
      <c r="Y329" s="27"/>
      <c r="Z329" s="27"/>
    </row>
    <row r="330">
      <c r="A330" s="29" t="str">
        <f>IFERROR(__xludf.DUMMYFUNCTION("""COMPUTED_VALUE"""),"EX-062")</f>
        <v>EX-062</v>
      </c>
      <c r="B330" s="27" t="str">
        <f>IFERROR(__xludf.DUMMYFUNCTION("""COMPUTED_VALUE"""),"Spell")</f>
        <v>Spell</v>
      </c>
      <c r="C330" s="27" t="str">
        <f>IFERROR(__xludf.DUMMYFUNCTION("""COMPUTED_VALUE"""),"Zakeruga")</f>
        <v>Zakeruga</v>
      </c>
      <c r="D330" s="27" t="str">
        <f>IFERROR(__xludf.DUMMYFUNCTION("""COMPUTED_VALUE"""),"Zatch Bell")</f>
        <v>Zatch Bell</v>
      </c>
      <c r="E330" s="27">
        <f>IFERROR(__xludf.DUMMYFUNCTION("""COMPUTED_VALUE"""),3.0)</f>
        <v>3</v>
      </c>
      <c r="F330" s="27" t="str">
        <f>IFERROR(__xludf.DUMMYFUNCTION("""COMPUTED_VALUE"""),"A")</f>
        <v>A</v>
      </c>
      <c r="G330" s="27" t="str">
        <f>IFERROR(__xludf.DUMMYFUNCTION("""COMPUTED_VALUE"""),"Intermediate")</f>
        <v>Intermediate</v>
      </c>
      <c r="H330" s="27" t="str">
        <f>IFERROR(__xludf.DUMMYFUNCTION("""COMPUTED_VALUE"""),"Thunder")</f>
        <v>Thunder</v>
      </c>
      <c r="I330" s="28" t="str">
        <f>IFERROR(__xludf.DUMMYFUNCTION("""COMPUTED_VALUE"""),"Damage your opponent's Spell Book when you win the Battle as an Attacker.")</f>
        <v>Damage your opponent's Spell Book when you win the Battle as an Attacker.</v>
      </c>
      <c r="J330" s="27" t="str">
        <f>IFERROR(__xludf.DUMMYFUNCTION("""COMPUTED_VALUE"""),"+5000")</f>
        <v>+5000</v>
      </c>
      <c r="K330" s="27">
        <f>IFERROR(__xludf.DUMMYFUNCTION("""COMPUTED_VALUE"""),2.0)</f>
        <v>2</v>
      </c>
      <c r="L330" s="27" t="str">
        <f>IFERROR(__xludf.DUMMYFUNCTION("""COMPUTED_VALUE"""),"-")</f>
        <v>-</v>
      </c>
      <c r="M330" s="27" t="str">
        <f>IFERROR(__xludf.DUMMYFUNCTION("""COMPUTED_VALUE"""),"[R]")</f>
        <v>[R]</v>
      </c>
      <c r="N330" s="27" t="str">
        <f>IFERROR(__xludf.DUMMYFUNCTION("""COMPUTED_VALUE"""),"Zatch's 5th spell. A reinforced Zaker, improved with a more impactful focused electric shot.")</f>
        <v>Zatch's 5th spell. A reinforced Zaker, improved with a more impactful focused electric shot.</v>
      </c>
      <c r="O330" s="27"/>
      <c r="P330" s="27"/>
      <c r="Q330" s="27"/>
      <c r="R330" s="27"/>
      <c r="S330" s="27"/>
      <c r="T330" s="27"/>
      <c r="U330" s="27"/>
      <c r="V330" s="27"/>
      <c r="W330" s="27"/>
      <c r="X330" s="27"/>
      <c r="Y330" s="27"/>
      <c r="Z330" s="27"/>
    </row>
    <row r="331">
      <c r="A331" s="29" t="str">
        <f>IFERROR(__xludf.DUMMYFUNCTION("""COMPUTED_VALUE"""),"EX-063")</f>
        <v>EX-063</v>
      </c>
      <c r="B331" s="27" t="str">
        <f>IFERROR(__xludf.DUMMYFUNCTION("""COMPUTED_VALUE"""),"Spell")</f>
        <v>Spell</v>
      </c>
      <c r="C331" s="27" t="str">
        <f>IFERROR(__xludf.DUMMYFUNCTION("""COMPUTED_VALUE"""),"Rerudo")</f>
        <v>Rerudo</v>
      </c>
      <c r="D331" s="27" t="str">
        <f>IFERROR(__xludf.DUMMYFUNCTION("""COMPUTED_VALUE"""),"Wonrei")</f>
        <v>Wonrei</v>
      </c>
      <c r="E331" s="27">
        <f>IFERROR(__xludf.DUMMYFUNCTION("""COMPUTED_VALUE"""),1.0)</f>
        <v>1</v>
      </c>
      <c r="F331" s="27" t="str">
        <f>IFERROR(__xludf.DUMMYFUNCTION("""COMPUTED_VALUE"""),"D")</f>
        <v>D</v>
      </c>
      <c r="G331" s="27" t="str">
        <f>IFERROR(__xludf.DUMMYFUNCTION("""COMPUTED_VALUE"""),"None")</f>
        <v>None</v>
      </c>
      <c r="H331" s="27" t="str">
        <f>IFERROR(__xludf.DUMMYFUNCTION("""COMPUTED_VALUE"""),"-")</f>
        <v>-</v>
      </c>
      <c r="I331" s="28" t="str">
        <f>IFERROR(__xludf.DUMMYFUNCTION("""COMPUTED_VALUE"""),"Negate your opponent's Attack regardless of their Power if the Damage of their Attack is 1. You may pay an additional 2 MP when you declare the play of this SPELL card; if you do, negate your opponent's Attack regardless of their Power if the Damage of th"&amp;"eir Attack is 2.")</f>
        <v>Negate your opponent's Attack regardless of their Power if the Damage of their Attack is 1. You may pay an additional 2 MP when you declare the play of this SPELL card; if you do, negate your opponent's Attack regardless of their Power if the Damage of their Attack is 2.</v>
      </c>
      <c r="J331" s="27" t="str">
        <f>IFERROR(__xludf.DUMMYFUNCTION("""COMPUTED_VALUE"""),"Special")</f>
        <v>Special</v>
      </c>
      <c r="K331" s="27" t="str">
        <f>IFERROR(__xludf.DUMMYFUNCTION("""COMPUTED_VALUE"""),"-")</f>
        <v>-</v>
      </c>
      <c r="L331" s="27" t="str">
        <f>IFERROR(__xludf.DUMMYFUNCTION("""COMPUTED_VALUE"""),"-")</f>
        <v>-</v>
      </c>
      <c r="M331" s="27" t="str">
        <f>IFERROR(__xludf.DUMMYFUNCTION("""COMPUTED_VALUE"""),"[C]")</f>
        <v>[C]</v>
      </c>
      <c r="N331" s="27" t="str">
        <f>IFERROR(__xludf.DUMMYFUNCTION("""COMPUTED_VALUE"""),"Wonrei's 1st spell. A glass-like barrier materializes in front of his palms.")</f>
        <v>Wonrei's 1st spell. A glass-like barrier materializes in front of his palms.</v>
      </c>
      <c r="O331" s="27"/>
      <c r="P331" s="27"/>
      <c r="Q331" s="27"/>
      <c r="R331" s="27"/>
      <c r="S331" s="27"/>
      <c r="T331" s="27"/>
      <c r="U331" s="27"/>
      <c r="V331" s="27"/>
      <c r="W331" s="27"/>
      <c r="X331" s="27"/>
      <c r="Y331" s="27"/>
      <c r="Z331" s="27"/>
    </row>
    <row r="332">
      <c r="A332" s="29" t="str">
        <f>IFERROR(__xludf.DUMMYFUNCTION("""COMPUTED_VALUE"""),"EX-064")</f>
        <v>EX-064</v>
      </c>
      <c r="B332" s="27" t="str">
        <f>IFERROR(__xludf.DUMMYFUNCTION("""COMPUTED_VALUE"""),"Spell")</f>
        <v>Spell</v>
      </c>
      <c r="C332" s="27" t="str">
        <f>IFERROR(__xludf.DUMMYFUNCTION("""COMPUTED_VALUE"""),"Ak Spreid")</f>
        <v>Ak Spreid</v>
      </c>
      <c r="D332" s="27" t="str">
        <f>IFERROR(__xludf.DUMMYFUNCTION("""COMPUTED_VALUE"""),"Penny")</f>
        <v>Penny</v>
      </c>
      <c r="E332" s="27">
        <f>IFERROR(__xludf.DUMMYFUNCTION("""COMPUTED_VALUE"""),1.0)</f>
        <v>1</v>
      </c>
      <c r="F332" s="27" t="str">
        <f>IFERROR(__xludf.DUMMYFUNCTION("""COMPUTED_VALUE"""),"D")</f>
        <v>D</v>
      </c>
      <c r="G332" s="27" t="str">
        <f>IFERROR(__xludf.DUMMYFUNCTION("""COMPUTED_VALUE"""),"None")</f>
        <v>None</v>
      </c>
      <c r="H332" s="27" t="str">
        <f>IFERROR(__xludf.DUMMYFUNCTION("""COMPUTED_VALUE"""),"Water")</f>
        <v>Water</v>
      </c>
      <c r="I332" s="28" t="str">
        <f>IFERROR(__xludf.DUMMYFUNCTION("""COMPUTED_VALUE"""),"Reduce the Damage of your opponent's Attack by 1 regardless of their Power.")</f>
        <v>Reduce the Damage of your opponent's Attack by 1 regardless of their Power.</v>
      </c>
      <c r="J332" s="27" t="str">
        <f>IFERROR(__xludf.DUMMYFUNCTION("""COMPUTED_VALUE"""),"Special")</f>
        <v>Special</v>
      </c>
      <c r="K332" s="27" t="str">
        <f>IFERROR(__xludf.DUMMYFUNCTION("""COMPUTED_VALUE"""),"-")</f>
        <v>-</v>
      </c>
      <c r="L332" s="27" t="str">
        <f>IFERROR(__xludf.DUMMYFUNCTION("""COMPUTED_VALUE"""),"-")</f>
        <v>-</v>
      </c>
      <c r="M332" s="27" t="str">
        <f>IFERROR(__xludf.DUMMYFUNCTION("""COMPUTED_VALUE"""),"[U]")</f>
        <v>[U]</v>
      </c>
      <c r="N332" s="27" t="str">
        <f>IFERROR(__xludf.DUMMYFUNCTION("""COMPUTED_VALUE"""),"Penny's 3rd spell. It weakens an opponent's attack by washing energy away.")</f>
        <v>Penny's 3rd spell. It weakens an opponent's attack by washing energy away.</v>
      </c>
      <c r="O332" s="27"/>
      <c r="P332" s="27"/>
      <c r="Q332" s="27"/>
      <c r="R332" s="27"/>
      <c r="S332" s="27"/>
      <c r="T332" s="27"/>
      <c r="U332" s="27"/>
      <c r="V332" s="27"/>
      <c r="W332" s="27"/>
      <c r="X332" s="27"/>
      <c r="Y332" s="27"/>
      <c r="Z332" s="27"/>
    </row>
    <row r="333">
      <c r="A333" s="29" t="str">
        <f>IFERROR(__xludf.DUMMYFUNCTION("""COMPUTED_VALUE"""),"EX-065")</f>
        <v>EX-065</v>
      </c>
      <c r="B333" s="27" t="str">
        <f>IFERROR(__xludf.DUMMYFUNCTION("""COMPUTED_VALUE"""),"Spell")</f>
        <v>Spell</v>
      </c>
      <c r="C333" s="27" t="str">
        <f>IFERROR(__xludf.DUMMYFUNCTION("""COMPUTED_VALUE"""),"Zeburuk")</f>
        <v>Zeburuk</v>
      </c>
      <c r="D333" s="27" t="str">
        <f>IFERROR(__xludf.DUMMYFUNCTION("""COMPUTED_VALUE"""),"Kido")</f>
        <v>Kido</v>
      </c>
      <c r="E333" s="27">
        <f>IFERROR(__xludf.DUMMYFUNCTION("""COMPUTED_VALUE"""),1.0)</f>
        <v>1</v>
      </c>
      <c r="F333" s="27" t="str">
        <f>IFERROR(__xludf.DUMMYFUNCTION("""COMPUTED_VALUE"""),"D")</f>
        <v>D</v>
      </c>
      <c r="G333" s="27" t="str">
        <f>IFERROR(__xludf.DUMMYFUNCTION("""COMPUTED_VALUE"""),"None")</f>
        <v>None</v>
      </c>
      <c r="H333" s="27" t="str">
        <f>IFERROR(__xludf.DUMMYFUNCTION("""COMPUTED_VALUE"""),"-")</f>
        <v>-</v>
      </c>
      <c r="I333" s="28" t="str">
        <f>IFERROR(__xludf.DUMMYFUNCTION("""COMPUTED_VALUE"""),"Flip a coin twice; if you get heads at least once, negate your opponent's Attack regardless of their Power.")</f>
        <v>Flip a coin twice; if you get heads at least once, negate your opponent's Attack regardless of their Power.</v>
      </c>
      <c r="J333" s="27" t="str">
        <f>IFERROR(__xludf.DUMMYFUNCTION("""COMPUTED_VALUE"""),"Special")</f>
        <v>Special</v>
      </c>
      <c r="K333" s="27" t="str">
        <f>IFERROR(__xludf.DUMMYFUNCTION("""COMPUTED_VALUE"""),"-")</f>
        <v>-</v>
      </c>
      <c r="L333" s="27" t="str">
        <f>IFERROR(__xludf.DUMMYFUNCTION("""COMPUTED_VALUE"""),"-")</f>
        <v>-</v>
      </c>
      <c r="M333" s="27" t="str">
        <f>IFERROR(__xludf.DUMMYFUNCTION("""COMPUTED_VALUE"""),"[C]")</f>
        <v>[C]</v>
      </c>
      <c r="N333" s="27" t="str">
        <f>IFERROR(__xludf.DUMMYFUNCTION("""COMPUTED_VALUE"""),"Kido's 3rd spell. ""What?! He split in two?!""")</f>
        <v>Kido's 3rd spell. "What?! He split in two?!"</v>
      </c>
      <c r="O333" s="27"/>
      <c r="P333" s="27"/>
      <c r="Q333" s="27"/>
      <c r="R333" s="27"/>
      <c r="S333" s="27"/>
      <c r="T333" s="27"/>
      <c r="U333" s="27"/>
      <c r="V333" s="27"/>
      <c r="W333" s="27"/>
      <c r="X333" s="27"/>
      <c r="Y333" s="27"/>
      <c r="Z333" s="27"/>
    </row>
    <row r="334">
      <c r="A334" s="29" t="str">
        <f>IFERROR(__xludf.DUMMYFUNCTION("""COMPUTED_VALUE"""),"EX-066")</f>
        <v>EX-066</v>
      </c>
      <c r="B334" s="27" t="str">
        <f>IFERROR(__xludf.DUMMYFUNCTION("""COMPUTED_VALUE"""),"Spell")</f>
        <v>Spell</v>
      </c>
      <c r="C334" s="27" t="str">
        <f>IFERROR(__xludf.DUMMYFUNCTION("""COMPUTED_VALUE"""),"Garon")</f>
        <v>Garon</v>
      </c>
      <c r="D334" s="27" t="str">
        <f>IFERROR(__xludf.DUMMYFUNCTION("""COMPUTED_VALUE"""),"Borubora")</f>
        <v>Borubora</v>
      </c>
      <c r="E334" s="27">
        <f>IFERROR(__xludf.DUMMYFUNCTION("""COMPUTED_VALUE"""),2.0)</f>
        <v>2</v>
      </c>
      <c r="F334" s="27" t="str">
        <f>IFERROR(__xludf.DUMMYFUNCTION("""COMPUTED_VALUE"""),"AD")</f>
        <v>AD</v>
      </c>
      <c r="G334" s="27" t="str">
        <f>IFERROR(__xludf.DUMMYFUNCTION("""COMPUTED_VALUE"""),"None")</f>
        <v>None</v>
      </c>
      <c r="H334" s="27" t="str">
        <f>IFERROR(__xludf.DUMMYFUNCTION("""COMPUTED_VALUE"""),"-")</f>
        <v>-</v>
      </c>
      <c r="I334" s="28" t="str">
        <f>IFERROR(__xludf.DUMMYFUNCTION("""COMPUTED_VALUE"""),"Damage your opponent's Spell Book when you win the Battle as an Attacker.")</f>
        <v>Damage your opponent's Spell Book when you win the Battle as an Attacker.</v>
      </c>
      <c r="J334" s="27" t="str">
        <f>IFERROR(__xludf.DUMMYFUNCTION("""COMPUTED_VALUE"""),"+2000")</f>
        <v>+2000</v>
      </c>
      <c r="K334" s="27">
        <f>IFERROR(__xludf.DUMMYFUNCTION("""COMPUTED_VALUE"""),2.0)</f>
        <v>2</v>
      </c>
      <c r="L334" s="27" t="str">
        <f>IFERROR(__xludf.DUMMYFUNCTION("""COMPUTED_VALUE"""),"-")</f>
        <v>-</v>
      </c>
      <c r="M334" s="27" t="str">
        <f>IFERROR(__xludf.DUMMYFUNCTION("""COMPUTED_VALUE"""),"[C]")</f>
        <v>[C]</v>
      </c>
      <c r="N334" s="27" t="str">
        <f>IFERROR(__xludf.DUMMYFUNCTION("""COMPUTED_VALUE"""),"Borubora's 1st spell. A large, iron battering ram extends from beneath his cape.")</f>
        <v>Borubora's 1st spell. A large, iron battering ram extends from beneath his cape.</v>
      </c>
      <c r="O334" s="27"/>
      <c r="P334" s="27"/>
      <c r="Q334" s="27"/>
      <c r="R334" s="27"/>
      <c r="S334" s="27"/>
      <c r="T334" s="27"/>
      <c r="U334" s="27"/>
      <c r="V334" s="27"/>
      <c r="W334" s="27"/>
      <c r="X334" s="27"/>
      <c r="Y334" s="27"/>
      <c r="Z334" s="27"/>
    </row>
    <row r="335">
      <c r="A335" s="29" t="str">
        <f>IFERROR(__xludf.DUMMYFUNCTION("""COMPUTED_VALUE"""),"EX-067")</f>
        <v>EX-067</v>
      </c>
      <c r="B335" s="27" t="str">
        <f>IFERROR(__xludf.DUMMYFUNCTION("""COMPUTED_VALUE"""),"Spell")</f>
        <v>Spell</v>
      </c>
      <c r="C335" s="27" t="str">
        <f>IFERROR(__xludf.DUMMYFUNCTION("""COMPUTED_VALUE"""),"Grandsen")</f>
        <v>Grandsen</v>
      </c>
      <c r="D335" s="27" t="str">
        <f>IFERROR(__xludf.DUMMYFUNCTION("""COMPUTED_VALUE"""),"Dogmos")</f>
        <v>Dogmos</v>
      </c>
      <c r="E335" s="27">
        <f>IFERROR(__xludf.DUMMYFUNCTION("""COMPUTED_VALUE"""),3.0)</f>
        <v>3</v>
      </c>
      <c r="F335" s="27" t="str">
        <f>IFERROR(__xludf.DUMMYFUNCTION("""COMPUTED_VALUE"""),"AD")</f>
        <v>AD</v>
      </c>
      <c r="G335" s="27" t="str">
        <f>IFERROR(__xludf.DUMMYFUNCTION("""COMPUTED_VALUE"""),"None")</f>
        <v>None</v>
      </c>
      <c r="H335" s="27" t="str">
        <f>IFERROR(__xludf.DUMMYFUNCTION("""COMPUTED_VALUE"""),"Ground")</f>
        <v>Ground</v>
      </c>
      <c r="I335" s="28" t="str">
        <f>IFERROR(__xludf.DUMMYFUNCTION("""COMPUTED_VALUE"""),"Damage your opponent's Spell Book when you win the Battle as an Attacker.")</f>
        <v>Damage your opponent's Spell Book when you win the Battle as an Attacker.</v>
      </c>
      <c r="J335" s="27" t="str">
        <f>IFERROR(__xludf.DUMMYFUNCTION("""COMPUTED_VALUE"""),"+4000")</f>
        <v>+4000</v>
      </c>
      <c r="K335" s="27">
        <f>IFERROR(__xludf.DUMMYFUNCTION("""COMPUTED_VALUE"""),2.0)</f>
        <v>2</v>
      </c>
      <c r="L335" s="27" t="str">
        <f>IFERROR(__xludf.DUMMYFUNCTION("""COMPUTED_VALUE"""),"-")</f>
        <v>-</v>
      </c>
      <c r="M335" s="27" t="str">
        <f>IFERROR(__xludf.DUMMYFUNCTION("""COMPUTED_VALUE"""),"[C]")</f>
        <v>[C]</v>
      </c>
      <c r="N335" s="27" t="str">
        <f>IFERROR(__xludf.DUMMYFUNCTION("""COMPUTED_VALUE"""),"Dogmos' 1st spell. A huge, earthen cannon emerges from the ground to fire boulders at the opponent.")</f>
        <v>Dogmos' 1st spell. A huge, earthen cannon emerges from the ground to fire boulders at the opponent.</v>
      </c>
      <c r="O335" s="27"/>
      <c r="P335" s="27"/>
      <c r="Q335" s="27"/>
      <c r="R335" s="27"/>
      <c r="S335" s="27"/>
      <c r="T335" s="27"/>
      <c r="U335" s="27"/>
      <c r="V335" s="27"/>
      <c r="W335" s="27"/>
      <c r="X335" s="27"/>
      <c r="Y335" s="27"/>
      <c r="Z335" s="27"/>
    </row>
    <row r="336">
      <c r="A336" s="29" t="str">
        <f>IFERROR(__xludf.DUMMYFUNCTION("""COMPUTED_VALUE"""),"EX-068")</f>
        <v>EX-068</v>
      </c>
      <c r="B336" s="27" t="str">
        <f>IFERROR(__xludf.DUMMYFUNCTION("""COMPUTED_VALUE"""),"Spell")</f>
        <v>Spell</v>
      </c>
      <c r="C336" s="27" t="str">
        <f>IFERROR(__xludf.DUMMYFUNCTION("""COMPUTED_VALUE"""),"Bireiorudo")</f>
        <v>Bireiorudo</v>
      </c>
      <c r="D336" s="27" t="str">
        <f>IFERROR(__xludf.DUMMYFUNCTION("""COMPUTED_VALUE"""),"Erujo")</f>
        <v>Erujo</v>
      </c>
      <c r="E336" s="27">
        <f>IFERROR(__xludf.DUMMYFUNCTION("""COMPUTED_VALUE"""),1.0)</f>
        <v>1</v>
      </c>
      <c r="F336" s="27" t="str">
        <f>IFERROR(__xludf.DUMMYFUNCTION("""COMPUTED_VALUE"""),"AD")</f>
        <v>AD</v>
      </c>
      <c r="G336" s="27" t="str">
        <f>IFERROR(__xludf.DUMMYFUNCTION("""COMPUTED_VALUE"""),"None")</f>
        <v>None</v>
      </c>
      <c r="H336" s="27" t="str">
        <f>IFERROR(__xludf.DUMMYFUNCTION("""COMPUTED_VALUE"""),"-")</f>
        <v>-</v>
      </c>
      <c r="I336" s="28" t="str">
        <f>IFERROR(__xludf.DUMMYFUNCTION("""COMPUTED_VALUE"""),"Damage your opponent's Spell Book when you win the Battle as an Attacker. When Defending, add 2000 Power to this SPELL card.")</f>
        <v>Damage your opponent's Spell Book when you win the Battle as an Attacker. When Defending, add 2000 Power to this SPELL card.</v>
      </c>
      <c r="J336" s="27" t="str">
        <f>IFERROR(__xludf.DUMMYFUNCTION("""COMPUTED_VALUE"""),"+2000")</f>
        <v>+2000</v>
      </c>
      <c r="K336" s="27">
        <f>IFERROR(__xludf.DUMMYFUNCTION("""COMPUTED_VALUE"""),1.0)</f>
        <v>1</v>
      </c>
      <c r="L336" s="27" t="str">
        <f>IFERROR(__xludf.DUMMYFUNCTION("""COMPUTED_VALUE"""),"-")</f>
        <v>-</v>
      </c>
      <c r="M336" s="27" t="str">
        <f>IFERROR(__xludf.DUMMYFUNCTION("""COMPUTED_VALUE"""),"[C]")</f>
        <v>[C]</v>
      </c>
      <c r="N336" s="27" t="str">
        <f>IFERROR(__xludf.DUMMYFUNCTION("""COMPUTED_VALUE"""),"Erujo's 2nd spell. Attacks and defends by conjuring tremendous rings of light.")</f>
        <v>Erujo's 2nd spell. Attacks and defends by conjuring tremendous rings of light.</v>
      </c>
      <c r="O336" s="27"/>
      <c r="P336" s="27"/>
      <c r="Q336" s="27"/>
      <c r="R336" s="27"/>
      <c r="S336" s="27"/>
      <c r="T336" s="27"/>
      <c r="U336" s="27"/>
      <c r="V336" s="27"/>
      <c r="W336" s="27"/>
      <c r="X336" s="27"/>
      <c r="Y336" s="27"/>
      <c r="Z336" s="27"/>
    </row>
    <row r="337">
      <c r="A337" s="29" t="str">
        <f>IFERROR(__xludf.DUMMYFUNCTION("""COMPUTED_VALUE"""),"EX-069")</f>
        <v>EX-069</v>
      </c>
      <c r="B337" s="27" t="str">
        <f>IFERROR(__xludf.DUMMYFUNCTION("""COMPUTED_VALUE"""),"Event")</f>
        <v>Event</v>
      </c>
      <c r="C337" s="27" t="str">
        <f>IFERROR(__xludf.DUMMYFUNCTION("""COMPUTED_VALUE"""),"The Devolo Ruins")</f>
        <v>The Devolo Ruins</v>
      </c>
      <c r="D337" s="27" t="str">
        <f>IFERROR(__xludf.DUMMYFUNCTION("""COMPUTED_VALUE"""),"-")</f>
        <v>-</v>
      </c>
      <c r="E337" s="27">
        <f>IFERROR(__xludf.DUMMYFUNCTION("""COMPUTED_VALUE"""),2.0)</f>
        <v>2</v>
      </c>
      <c r="F337" s="27" t="str">
        <f>IFERROR(__xludf.DUMMYFUNCTION("""COMPUTED_VALUE"""),"A")</f>
        <v>A</v>
      </c>
      <c r="G337" s="27" t="str">
        <f>IFERROR(__xludf.DUMMYFUNCTION("""COMPUTED_VALUE"""),"None")</f>
        <v>None</v>
      </c>
      <c r="H337" s="27" t="str">
        <f>IFERROR(__xludf.DUMMYFUNCTION("""COMPUTED_VALUE"""),"-")</f>
        <v>-</v>
      </c>
      <c r="I337" s="28" t="str">
        <f>IFERROR(__xludf.DUMMYFUNCTION("""COMPUTED_VALUE"""),"[STAY] Add 2000 Power to all of your Stone Tablet MAMODO cards until the END PHASE of your next turn.")</f>
        <v>[STAY] Add 2000 Power to all of your Stone Tablet MAMODO cards until the END PHASE of your next turn.</v>
      </c>
      <c r="J337" s="27" t="str">
        <f>IFERROR(__xludf.DUMMYFUNCTION("""COMPUTED_VALUE"""),"-")</f>
        <v>-</v>
      </c>
      <c r="K337" s="27" t="str">
        <f>IFERROR(__xludf.DUMMYFUNCTION("""COMPUTED_VALUE"""),"-")</f>
        <v>-</v>
      </c>
      <c r="L337" s="27" t="str">
        <f>IFERROR(__xludf.DUMMYFUNCTION("""COMPUTED_VALUE"""),"-")</f>
        <v>-</v>
      </c>
      <c r="M337" s="27" t="str">
        <f>IFERROR(__xludf.DUMMYFUNCTION("""COMPUTED_VALUE"""),"[EX-]")</f>
        <v>[EX-]</v>
      </c>
      <c r="N337" s="27" t="str">
        <f>IFERROR(__xludf.DUMMYFUNCTION("""COMPUTED_VALUE"""),"Milordo-Z and the mamodo from a thousand years ago are located within the ancient Devolo Ruins in a South American mountain range.")</f>
        <v>Milordo-Z and the mamodo from a thousand years ago are located within the ancient Devolo Ruins in a South American mountain range.</v>
      </c>
      <c r="O337" s="27"/>
      <c r="P337" s="27"/>
      <c r="Q337" s="27"/>
      <c r="R337" s="27"/>
      <c r="S337" s="27"/>
      <c r="T337" s="27"/>
      <c r="U337" s="27"/>
      <c r="V337" s="27"/>
      <c r="W337" s="27"/>
      <c r="X337" s="27"/>
      <c r="Y337" s="27"/>
      <c r="Z337" s="27"/>
    </row>
    <row r="338">
      <c r="A338" s="29" t="str">
        <f>IFERROR(__xludf.DUMMYFUNCTION("""COMPUTED_VALUE"""),"EX-070")</f>
        <v>EX-070</v>
      </c>
      <c r="B338" s="27" t="str">
        <f>IFERROR(__xludf.DUMMYFUNCTION("""COMPUTED_VALUE"""),"Event")</f>
        <v>Event</v>
      </c>
      <c r="C338" s="27" t="str">
        <f>IFERROR(__xludf.DUMMYFUNCTION("""COMPUTED_VALUE"""),"Volcan's Close Call")</f>
        <v>Volcan's Close Call</v>
      </c>
      <c r="D338" s="27" t="str">
        <f>IFERROR(__xludf.DUMMYFUNCTION("""COMPUTED_VALUE"""),"-")</f>
        <v>-</v>
      </c>
      <c r="E338" s="27">
        <f>IFERROR(__xludf.DUMMYFUNCTION("""COMPUTED_VALUE"""),0.0)</f>
        <v>0</v>
      </c>
      <c r="F338" s="27" t="str">
        <f>IFERROR(__xludf.DUMMYFUNCTION("""COMPUTED_VALUE"""),"AD")</f>
        <v>AD</v>
      </c>
      <c r="G338" s="27" t="str">
        <f>IFERROR(__xludf.DUMMYFUNCTION("""COMPUTED_VALUE"""),"None")</f>
        <v>None</v>
      </c>
      <c r="H338" s="27" t="str">
        <f>IFERROR(__xludf.DUMMYFUNCTION("""COMPUTED_VALUE"""),"-")</f>
        <v>-</v>
      </c>
      <c r="I338" s="28" t="str">
        <f>IFERROR(__xludf.DUMMYFUNCTION("""COMPUTED_VALUE"""),"Negate all [Stay] and [Standby] card effects that increase the Power or Total Power of MAMODO and SPELL cards.")</f>
        <v>Negate all [Stay] and [Standby] card effects that increase the Power or Total Power of MAMODO and SPELL cards.</v>
      </c>
      <c r="J338" s="27" t="str">
        <f>IFERROR(__xludf.DUMMYFUNCTION("""COMPUTED_VALUE"""),"-")</f>
        <v>-</v>
      </c>
      <c r="K338" s="27" t="str">
        <f>IFERROR(__xludf.DUMMYFUNCTION("""COMPUTED_VALUE"""),"-")</f>
        <v>-</v>
      </c>
      <c r="L338" s="27" t="str">
        <f>IFERROR(__xludf.DUMMYFUNCTION("""COMPUTED_VALUE"""),"-")</f>
        <v>-</v>
      </c>
      <c r="M338" s="27" t="str">
        <f>IFERROR(__xludf.DUMMYFUNCTION("""COMPUTED_VALUE"""),"[U]")</f>
        <v>[U]</v>
      </c>
      <c r="N338" s="27" t="str">
        <f>IFERROR(__xludf.DUMMYFUNCTION("""COMPUTED_VALUE"""),"""Waaaah! Volcan... Volcan!""")</f>
        <v>"Waaaah! Volcan... Volcan!"</v>
      </c>
      <c r="O338" s="27"/>
      <c r="P338" s="27"/>
      <c r="Q338" s="27"/>
      <c r="R338" s="27"/>
      <c r="S338" s="27"/>
      <c r="T338" s="27"/>
      <c r="U338" s="27"/>
      <c r="V338" s="27"/>
      <c r="W338" s="27"/>
      <c r="X338" s="27"/>
      <c r="Y338" s="27"/>
      <c r="Z338" s="27"/>
    </row>
    <row r="339">
      <c r="A339" s="29" t="str">
        <f>IFERROR(__xludf.DUMMYFUNCTION("""COMPUTED_VALUE"""),"EX-071e")</f>
        <v>EX-071e</v>
      </c>
      <c r="B339" s="27" t="str">
        <f>IFERROR(__xludf.DUMMYFUNCTION("""COMPUTED_VALUE"""),"Event")</f>
        <v>Event</v>
      </c>
      <c r="C339" s="27" t="str">
        <f>IFERROR(__xludf.DUMMYFUNCTION("""COMPUTED_VALUE"""),"Suzy Mizuno")</f>
        <v>Suzy Mizuno</v>
      </c>
      <c r="D339" s="27" t="str">
        <f>IFERROR(__xludf.DUMMYFUNCTION("""COMPUTED_VALUE"""),"-")</f>
        <v>-</v>
      </c>
      <c r="E339" s="27">
        <f>IFERROR(__xludf.DUMMYFUNCTION("""COMPUTED_VALUE"""),0.0)</f>
        <v>0</v>
      </c>
      <c r="F339" s="27" t="str">
        <f>IFERROR(__xludf.DUMMYFUNCTION("""COMPUTED_VALUE"""),"AD")</f>
        <v>AD</v>
      </c>
      <c r="G339" s="27" t="str">
        <f>IFERROR(__xludf.DUMMYFUNCTION("""COMPUTED_VALUE"""),"None")</f>
        <v>None</v>
      </c>
      <c r="H339" s="27" t="str">
        <f>IFERROR(__xludf.DUMMYFUNCTION("""COMPUTED_VALUE"""),"-")</f>
        <v>-</v>
      </c>
      <c r="I339" s="28" t="str">
        <f>IFERROR(__xludf.DUMMYFUNCTION("""COMPUTED_VALUE"""),"[STAY] Select 1 of your opponent's MAMODO cards. Your opponent can neither apply the effects of the selected MAMODO card, nor can they apply the effects of that MAMODO card's attached PARTNER, during this turn.")</f>
        <v>[STAY] Select 1 of your opponent's MAMODO cards. Your opponent can neither apply the effects of the selected MAMODO card, nor can they apply the effects of that MAMODO card's attached PARTNER, during this turn.</v>
      </c>
      <c r="J339" s="27" t="str">
        <f>IFERROR(__xludf.DUMMYFUNCTION("""COMPUTED_VALUE"""),"-")</f>
        <v>-</v>
      </c>
      <c r="K339" s="27" t="str">
        <f>IFERROR(__xludf.DUMMYFUNCTION("""COMPUTED_VALUE"""),"-")</f>
        <v>-</v>
      </c>
      <c r="L339" s="27" t="str">
        <f>IFERROR(__xludf.DUMMYFUNCTION("""COMPUTED_VALUE"""),"-")</f>
        <v>-</v>
      </c>
      <c r="M339" s="27" t="str">
        <f>IFERROR(__xludf.DUMMYFUNCTION("""COMPUTED_VALUE"""),"[R]")</f>
        <v>[R]</v>
      </c>
      <c r="N339" s="27" t="str">
        <f>IFERROR(__xludf.DUMMYFUNCTION("""COMPUTED_VALUE"""),"""A free trip to Hong Kong? Suh-weet!""")</f>
        <v>"A free trip to Hong Kong? Suh-weet!"</v>
      </c>
      <c r="O339" s="27"/>
      <c r="P339" s="27"/>
      <c r="Q339" s="27"/>
      <c r="R339" s="27"/>
      <c r="S339" s="27"/>
      <c r="T339" s="27"/>
      <c r="U339" s="27"/>
      <c r="V339" s="27"/>
      <c r="W339" s="27"/>
      <c r="X339" s="27"/>
      <c r="Y339" s="27"/>
      <c r="Z339" s="27"/>
    </row>
    <row r="340">
      <c r="A340" s="29" t="str">
        <f>IFERROR(__xludf.DUMMYFUNCTION("""COMPUTED_VALUE"""),"EX-071j")</f>
        <v>EX-071j</v>
      </c>
      <c r="B340" s="27" t="str">
        <f>IFERROR(__xludf.DUMMYFUNCTION("""COMPUTED_VALUE"""),"Event")</f>
        <v>Event</v>
      </c>
      <c r="C340" s="27" t="str">
        <f>IFERROR(__xludf.DUMMYFUNCTION("""COMPUTED_VALUE"""),"Suzy Mizuno")</f>
        <v>Suzy Mizuno</v>
      </c>
      <c r="D340" s="27" t="str">
        <f>IFERROR(__xludf.DUMMYFUNCTION("""COMPUTED_VALUE"""),"-")</f>
        <v>-</v>
      </c>
      <c r="E340" s="27">
        <f>IFERROR(__xludf.DUMMYFUNCTION("""COMPUTED_VALUE"""),0.0)</f>
        <v>0</v>
      </c>
      <c r="F340" s="27" t="str">
        <f>IFERROR(__xludf.DUMMYFUNCTION("""COMPUTED_VALUE"""),"AD")</f>
        <v>AD</v>
      </c>
      <c r="G340" s="27" t="str">
        <f>IFERROR(__xludf.DUMMYFUNCTION("""COMPUTED_VALUE"""),"None")</f>
        <v>None</v>
      </c>
      <c r="H340" s="27" t="str">
        <f>IFERROR(__xludf.DUMMYFUNCTION("""COMPUTED_VALUE"""),"-")</f>
        <v>-</v>
      </c>
      <c r="I340" s="28" t="str">
        <f>IFERROR(__xludf.DUMMYFUNCTION("""COMPUTED_VALUE"""),"[STAY] Select 1 of your opponent's MAMODO cards. Your opponent can neither apply the effects of the selected MAMODO card, nor can they apply the effects of that MAMODO card's attached PARTNER, during this turn.")</f>
        <v>[STAY] Select 1 of your opponent's MAMODO cards. Your opponent can neither apply the effects of the selected MAMODO card, nor can they apply the effects of that MAMODO card's attached PARTNER, during this turn.</v>
      </c>
      <c r="J340" s="27" t="str">
        <f>IFERROR(__xludf.DUMMYFUNCTION("""COMPUTED_VALUE"""),"-")</f>
        <v>-</v>
      </c>
      <c r="K340" s="27" t="str">
        <f>IFERROR(__xludf.DUMMYFUNCTION("""COMPUTED_VALUE"""),"-")</f>
        <v>-</v>
      </c>
      <c r="L340" s="27" t="str">
        <f>IFERROR(__xludf.DUMMYFUNCTION("""COMPUTED_VALUE"""),"-")</f>
        <v>-</v>
      </c>
      <c r="M340" s="27" t="str">
        <f>IFERROR(__xludf.DUMMYFUNCTION("""COMPUTED_VALUE"""),"[R]")</f>
        <v>[R]</v>
      </c>
      <c r="N340" s="27" t="str">
        <f>IFERROR(__xludf.DUMMYFUNCTION("""COMPUTED_VALUE"""),"""I'm the Drunken Master, see?"" A charming Hong Kong joke.")</f>
        <v>"I'm the Drunken Master, see?" A charming Hong Kong joke.</v>
      </c>
      <c r="O340" s="27"/>
      <c r="P340" s="27"/>
      <c r="Q340" s="27"/>
      <c r="R340" s="27"/>
      <c r="S340" s="27"/>
      <c r="T340" s="27"/>
      <c r="U340" s="27"/>
      <c r="V340" s="27"/>
      <c r="W340" s="27"/>
      <c r="X340" s="27"/>
      <c r="Y340" s="27"/>
      <c r="Z340" s="27"/>
    </row>
    <row r="341">
      <c r="A341" s="29" t="str">
        <f>IFERROR(__xludf.DUMMYFUNCTION("""COMPUTED_VALUE"""),"EX-072")</f>
        <v>EX-072</v>
      </c>
      <c r="B341" s="27" t="str">
        <f>IFERROR(__xludf.DUMMYFUNCTION("""COMPUTED_VALUE"""),"Event")</f>
        <v>Event</v>
      </c>
      <c r="C341" s="27" t="str">
        <f>IFERROR(__xludf.DUMMYFUNCTION("""COMPUTED_VALUE"""),"The Fish Professor")</f>
        <v>The Fish Professor</v>
      </c>
      <c r="D341" s="27" t="str">
        <f>IFERROR(__xludf.DUMMYFUNCTION("""COMPUTED_VALUE"""),"-")</f>
        <v>-</v>
      </c>
      <c r="E341" s="27">
        <f>IFERROR(__xludf.DUMMYFUNCTION("""COMPUTED_VALUE"""),1.0)</f>
        <v>1</v>
      </c>
      <c r="F341" s="27" t="str">
        <f>IFERROR(__xludf.DUMMYFUNCTION("""COMPUTED_VALUE"""),"A")</f>
        <v>A</v>
      </c>
      <c r="G341" s="27" t="str">
        <f>IFERROR(__xludf.DUMMYFUNCTION("""COMPUTED_VALUE"""),"None")</f>
        <v>None</v>
      </c>
      <c r="H341" s="27" t="str">
        <f>IFERROR(__xludf.DUMMYFUNCTION("""COMPUTED_VALUE"""),"-")</f>
        <v>-</v>
      </c>
      <c r="I341" s="28" t="str">
        <f>IFERROR(__xludf.DUMMYFUNCTION("""COMPUTED_VALUE"""),"Look at your opponent's Spell Book. Select up to 2 Professor Dartagnan EVENT cards from any of the pages and send them to the Discard Pile.")</f>
        <v>Look at your opponent's Spell Book. Select up to 2 Professor Dartagnan EVENT cards from any of the pages and send them to the Discard Pile.</v>
      </c>
      <c r="J341" s="27" t="str">
        <f>IFERROR(__xludf.DUMMYFUNCTION("""COMPUTED_VALUE"""),"-")</f>
        <v>-</v>
      </c>
      <c r="K341" s="27" t="str">
        <f>IFERROR(__xludf.DUMMYFUNCTION("""COMPUTED_VALUE"""),"-")</f>
        <v>-</v>
      </c>
      <c r="L341" s="27" t="str">
        <f>IFERROR(__xludf.DUMMYFUNCTION("""COMPUTED_VALUE"""),"-")</f>
        <v>-</v>
      </c>
      <c r="M341" s="27" t="str">
        <f>IFERROR(__xludf.DUMMYFUNCTION("""COMPUTED_VALUE"""),"[C]")</f>
        <v>[C]</v>
      </c>
      <c r="N341" s="27" t="str">
        <f>IFERROR(__xludf.DUMMYFUNCTION("""COMPUTED_VALUE"""),"""Is that really Professor Dartagnan?""")</f>
        <v>"Is that really Professor Dartagnan?"</v>
      </c>
      <c r="O341" s="27"/>
      <c r="P341" s="27"/>
      <c r="Q341" s="27"/>
      <c r="R341" s="27"/>
      <c r="S341" s="27"/>
      <c r="T341" s="27"/>
      <c r="U341" s="27"/>
      <c r="V341" s="27"/>
      <c r="W341" s="27"/>
      <c r="X341" s="27"/>
      <c r="Y341" s="27"/>
      <c r="Z341" s="27"/>
    </row>
    <row r="342">
      <c r="A342" s="29" t="str">
        <f>IFERROR(__xludf.DUMMYFUNCTION("""COMPUTED_VALUE"""),"EX-073")</f>
        <v>EX-073</v>
      </c>
      <c r="B342" s="27" t="str">
        <f>IFERROR(__xludf.DUMMYFUNCTION("""COMPUTED_VALUE"""),"Event")</f>
        <v>Event</v>
      </c>
      <c r="C342" s="27" t="str">
        <f>IFERROR(__xludf.DUMMYFUNCTION("""COMPUTED_VALUE"""),"Thank You")</f>
        <v>Thank You</v>
      </c>
      <c r="D342" s="27" t="str">
        <f>IFERROR(__xludf.DUMMYFUNCTION("""COMPUTED_VALUE"""),"-")</f>
        <v>-</v>
      </c>
      <c r="E342" s="27">
        <f>IFERROR(__xludf.DUMMYFUNCTION("""COMPUTED_VALUE"""),0.0)</f>
        <v>0</v>
      </c>
      <c r="F342" s="27" t="str">
        <f>IFERROR(__xludf.DUMMYFUNCTION("""COMPUTED_VALUE"""),"A")</f>
        <v>A</v>
      </c>
      <c r="G342" s="27" t="str">
        <f>IFERROR(__xludf.DUMMYFUNCTION("""COMPUTED_VALUE"""),"None")</f>
        <v>None</v>
      </c>
      <c r="H342" s="27" t="str">
        <f>IFERROR(__xludf.DUMMYFUNCTION("""COMPUTED_VALUE"""),"-")</f>
        <v>-</v>
      </c>
      <c r="I342" s="28" t="str">
        <f>IFERROR(__xludf.DUMMYFUNCTION("""COMPUTED_VALUE"""),"Get MP equal to the number of MAMODO cards in your Discard Pile times 1.")</f>
        <v>Get MP equal to the number of MAMODO cards in your Discard Pile times 1.</v>
      </c>
      <c r="J342" s="27" t="str">
        <f>IFERROR(__xludf.DUMMYFUNCTION("""COMPUTED_VALUE"""),"-")</f>
        <v>-</v>
      </c>
      <c r="K342" s="27" t="str">
        <f>IFERROR(__xludf.DUMMYFUNCTION("""COMPUTED_VALUE"""),"-")</f>
        <v>-</v>
      </c>
      <c r="L342" s="27" t="str">
        <f>IFERROR(__xludf.DUMMYFUNCTION("""COMPUTED_VALUE"""),"-")</f>
        <v>-</v>
      </c>
      <c r="M342" s="27" t="str">
        <f>IFERROR(__xludf.DUMMYFUNCTION("""COMPUTED_VALUE"""),"[C]")</f>
        <v>[C]</v>
      </c>
      <c r="N342" s="27" t="str">
        <f>IFERROR(__xludf.DUMMYFUNCTION("""COMPUTED_VALUE"""),"Zatch aspires to become a kind king as he meets and makes many new friends along the way.")</f>
        <v>Zatch aspires to become a kind king as he meets and makes many new friends along the way.</v>
      </c>
      <c r="O342" s="27"/>
      <c r="P342" s="27"/>
      <c r="Q342" s="27"/>
      <c r="R342" s="27"/>
      <c r="S342" s="27"/>
      <c r="T342" s="27"/>
      <c r="U342" s="27"/>
      <c r="V342" s="27"/>
      <c r="W342" s="27"/>
      <c r="X342" s="27"/>
      <c r="Y342" s="27"/>
      <c r="Z342" s="27"/>
    </row>
    <row r="343">
      <c r="A343" s="29" t="str">
        <f>IFERROR(__xludf.DUMMYFUNCTION("""COMPUTED_VALUE"""),"EX-074")</f>
        <v>EX-074</v>
      </c>
      <c r="B343" s="27" t="str">
        <f>IFERROR(__xludf.DUMMYFUNCTION("""COMPUTED_VALUE"""),"Event")</f>
        <v>Event</v>
      </c>
      <c r="C343" s="27" t="str">
        <f>IFERROR(__xludf.DUMMYFUNCTION("""COMPUTED_VALUE"""),"Who's The Odd One Out?")</f>
        <v>Who's The Odd One Out?</v>
      </c>
      <c r="D343" s="27" t="str">
        <f>IFERROR(__xludf.DUMMYFUNCTION("""COMPUTED_VALUE"""),"-")</f>
        <v>-</v>
      </c>
      <c r="E343" s="27">
        <f>IFERROR(__xludf.DUMMYFUNCTION("""COMPUTED_VALUE"""),0.0)</f>
        <v>0</v>
      </c>
      <c r="F343" s="27" t="str">
        <f>IFERROR(__xludf.DUMMYFUNCTION("""COMPUTED_VALUE"""),"A")</f>
        <v>A</v>
      </c>
      <c r="G343" s="27" t="str">
        <f>IFERROR(__xludf.DUMMYFUNCTION("""COMPUTED_VALUE"""),"None")</f>
        <v>None</v>
      </c>
      <c r="H343" s="27" t="str">
        <f>IFERROR(__xludf.DUMMYFUNCTION("""COMPUTED_VALUE"""),"-")</f>
        <v>-</v>
      </c>
      <c r="I343" s="28" t="str">
        <f>IFERROR(__xludf.DUMMYFUNCTION("""COMPUTED_VALUE"""),"Send 1 of your opponent's in-play MJ12 cards to the Discard Pile.")</f>
        <v>Send 1 of your opponent's in-play MJ12 cards to the Discard Pile.</v>
      </c>
      <c r="J343" s="27" t="str">
        <f>IFERROR(__xludf.DUMMYFUNCTION("""COMPUTED_VALUE"""),"-")</f>
        <v>-</v>
      </c>
      <c r="K343" s="27" t="str">
        <f>IFERROR(__xludf.DUMMYFUNCTION("""COMPUTED_VALUE"""),"-")</f>
        <v>-</v>
      </c>
      <c r="L343" s="27" t="str">
        <f>IFERROR(__xludf.DUMMYFUNCTION("""COMPUTED_VALUE"""),"-")</f>
        <v>-</v>
      </c>
      <c r="M343" s="27" t="str">
        <f>IFERROR(__xludf.DUMMYFUNCTION("""COMPUTED_VALUE"""),"[R]")</f>
        <v>[R]</v>
      </c>
      <c r="N343" s="27" t="str">
        <f>IFERROR(__xludf.DUMMYFUNCTION("""COMPUTED_VALUE"""),"""So, tell me... Amongst them all, who's the odd one out?""")</f>
        <v>"So, tell me... Amongst them all, who's the odd one out?"</v>
      </c>
      <c r="O343" s="27"/>
      <c r="P343" s="27"/>
      <c r="Q343" s="27"/>
      <c r="R343" s="27"/>
      <c r="S343" s="27"/>
      <c r="T343" s="27"/>
      <c r="U343" s="27"/>
      <c r="V343" s="27"/>
      <c r="W343" s="27"/>
      <c r="X343" s="27"/>
      <c r="Y343" s="27"/>
      <c r="Z343" s="27"/>
    </row>
    <row r="344">
      <c r="A344" s="29" t="str">
        <f>IFERROR(__xludf.DUMMYFUNCTION("""COMPUTED_VALUE"""),"EX-075")</f>
        <v>EX-075</v>
      </c>
      <c r="B344" s="27" t="str">
        <f>IFERROR(__xludf.DUMMYFUNCTION("""COMPUTED_VALUE"""),"Mamodo")</f>
        <v>Mamodo</v>
      </c>
      <c r="C344" s="27" t="str">
        <f>IFERROR(__xludf.DUMMYFUNCTION("""COMPUTED_VALUE"""),"Zatch Bell")</f>
        <v>Zatch Bell</v>
      </c>
      <c r="D344" s="27" t="str">
        <f>IFERROR(__xludf.DUMMYFUNCTION("""COMPUTED_VALUE"""),"Zatch Bell")</f>
        <v>Zatch Bell</v>
      </c>
      <c r="E344" s="27" t="str">
        <f>IFERROR(__xludf.DUMMYFUNCTION("""COMPUTED_VALUE"""),"-")</f>
        <v>-</v>
      </c>
      <c r="F344" s="27" t="str">
        <f>IFERROR(__xludf.DUMMYFUNCTION("""COMPUTED_VALUE"""),"-")</f>
        <v>-</v>
      </c>
      <c r="G344" s="27" t="str">
        <f>IFERROR(__xludf.DUMMYFUNCTION("""COMPUTED_VALUE"""),"None")</f>
        <v>None</v>
      </c>
      <c r="H344" s="27" t="str">
        <f>IFERROR(__xludf.DUMMYFUNCTION("""COMPUTED_VALUE"""),"I Won't Let You Pass!")</f>
        <v>I Won't Let You Pass!</v>
      </c>
      <c r="I344" s="28" t="str">
        <f>IFERROR(__xludf.DUMMYFUNCTION("""COMPUTED_VALUE"""),"[1 MP] (Battle) Negate an Attack your opponent declared during the Battle that isn't a SPELL card.")</f>
        <v>[1 MP] (Battle) Negate an Attack your opponent declared during the Battle that isn't a SPELL card.</v>
      </c>
      <c r="J344" s="27">
        <f>IFERROR(__xludf.DUMMYFUNCTION("""COMPUTED_VALUE"""),4000.0)</f>
        <v>4000</v>
      </c>
      <c r="K344" s="27" t="str">
        <f>IFERROR(__xludf.DUMMYFUNCTION("""COMPUTED_VALUE"""),"-")</f>
        <v>-</v>
      </c>
      <c r="L344" s="27" t="str">
        <f>IFERROR(__xludf.DUMMYFUNCTION("""COMPUTED_VALUE"""),"-")</f>
        <v>-</v>
      </c>
      <c r="M344" s="27" t="str">
        <f>IFERROR(__xludf.DUMMYFUNCTION("""COMPUTED_VALUE"""),"[R]")</f>
        <v>[R]</v>
      </c>
      <c r="N344" s="27" t="str">
        <f>IFERROR(__xludf.DUMMYFUNCTION("""COMPUTED_VALUE"""),"""I won't... let you come through here!""")</f>
        <v>"I won't... let you come through here!"</v>
      </c>
      <c r="O344" s="27"/>
      <c r="P344" s="27"/>
      <c r="Q344" s="27"/>
      <c r="R344" s="27"/>
      <c r="S344" s="27"/>
      <c r="T344" s="27"/>
      <c r="U344" s="27"/>
      <c r="V344" s="27"/>
      <c r="W344" s="27"/>
      <c r="X344" s="27"/>
      <c r="Y344" s="27"/>
      <c r="Z344" s="27"/>
    </row>
    <row r="345">
      <c r="A345" s="29" t="str">
        <f>IFERROR(__xludf.DUMMYFUNCTION("""COMPUTED_VALUE"""),"EX-076")</f>
        <v>EX-076</v>
      </c>
      <c r="B345" s="27" t="str">
        <f>IFERROR(__xludf.DUMMYFUNCTION("""COMPUTED_VALUE"""),"Mamodo")</f>
        <v>Mamodo</v>
      </c>
      <c r="C345" s="27" t="str">
        <f>IFERROR(__xludf.DUMMYFUNCTION("""COMPUTED_VALUE"""),"Zofis (Milordo-Z)")</f>
        <v>Zofis (Milordo-Z)</v>
      </c>
      <c r="D345" s="27" t="str">
        <f>IFERROR(__xludf.DUMMYFUNCTION("""COMPUTED_VALUE"""),"Zofis")</f>
        <v>Zofis</v>
      </c>
      <c r="E345" s="27" t="str">
        <f>IFERROR(__xludf.DUMMYFUNCTION("""COMPUTED_VALUE"""),"-")</f>
        <v>-</v>
      </c>
      <c r="F345" s="27" t="str">
        <f>IFERROR(__xludf.DUMMYFUNCTION("""COMPUTED_VALUE"""),"-")</f>
        <v>-</v>
      </c>
      <c r="G345" s="27" t="str">
        <f>IFERROR(__xludf.DUMMYFUNCTION("""COMPUTED_VALUE"""),"None")</f>
        <v>None</v>
      </c>
      <c r="H345" s="27" t="str">
        <f>IFERROR(__xludf.DUMMYFUNCTION("""COMPUTED_VALUE"""),"Irritation")</f>
        <v>Irritation</v>
      </c>
      <c r="I345" s="28" t="str">
        <f>IFERROR(__xludf.DUMMYFUNCTION("""COMPUTED_VALUE"""),"[DECLARE TO USE] If you received 3 Damage or more during this turn, inflict 2 Damage on your opponent.")</f>
        <v>[DECLARE TO USE] If you received 3 Damage or more during this turn, inflict 2 Damage on your opponent.</v>
      </c>
      <c r="J345" s="27">
        <f>IFERROR(__xludf.DUMMYFUNCTION("""COMPUTED_VALUE"""),5500.0)</f>
        <v>5500</v>
      </c>
      <c r="K345" s="27" t="str">
        <f>IFERROR(__xludf.DUMMYFUNCTION("""COMPUTED_VALUE"""),"-")</f>
        <v>-</v>
      </c>
      <c r="L345" s="27" t="str">
        <f>IFERROR(__xludf.DUMMYFUNCTION("""COMPUTED_VALUE"""),"-")</f>
        <v>-</v>
      </c>
      <c r="M345" s="27" t="str">
        <f>IFERROR(__xludf.DUMMYFUNCTION("""COMPUTED_VALUE"""),"[R]")</f>
        <v>[R]</v>
      </c>
      <c r="N345" s="27" t="str">
        <f>IFERROR(__xludf.DUMMYFUNCTION("""COMPUTED_VALUE"""),"""It's time for you to disappear in despair...""")</f>
        <v>"It's time for you to disappear in despair..."</v>
      </c>
      <c r="O345" s="27"/>
      <c r="P345" s="27"/>
      <c r="Q345" s="27"/>
      <c r="R345" s="27"/>
      <c r="S345" s="27"/>
      <c r="T345" s="27"/>
      <c r="U345" s="27"/>
      <c r="V345" s="27"/>
      <c r="W345" s="27"/>
      <c r="X345" s="27"/>
      <c r="Y345" s="27"/>
      <c r="Z345" s="27"/>
    </row>
    <row r="346">
      <c r="A346" s="29" t="str">
        <f>IFERROR(__xludf.DUMMYFUNCTION("""COMPUTED_VALUE"""),"EX-077")</f>
        <v>EX-077</v>
      </c>
      <c r="B346" s="27" t="str">
        <f>IFERROR(__xludf.DUMMYFUNCTION("""COMPUTED_VALUE"""),"Mamodo")</f>
        <v>Mamodo</v>
      </c>
      <c r="C346" s="27" t="str">
        <f>IFERROR(__xludf.DUMMYFUNCTION("""COMPUTED_VALUE"""),"Ponygon (Shudoruk Form)")</f>
        <v>Ponygon (Shudoruk Form)</v>
      </c>
      <c r="D346" s="27" t="str">
        <f>IFERROR(__xludf.DUMMYFUNCTION("""COMPUTED_VALUE"""),"Ponygon")</f>
        <v>Ponygon</v>
      </c>
      <c r="E346" s="27" t="str">
        <f>IFERROR(__xludf.DUMMYFUNCTION("""COMPUTED_VALUE"""),"-")</f>
        <v>-</v>
      </c>
      <c r="F346" s="27" t="str">
        <f>IFERROR(__xludf.DUMMYFUNCTION("""COMPUTED_VALUE"""),"-")</f>
        <v>-</v>
      </c>
      <c r="G346" s="27" t="str">
        <f>IFERROR(__xludf.DUMMYFUNCTION("""COMPUTED_VALUE"""),"None")</f>
        <v>None</v>
      </c>
      <c r="H346" s="27" t="str">
        <f>IFERROR(__xludf.DUMMYFUNCTION("""COMPUTED_VALUE"""),"Mane of Gold")</f>
        <v>Mane of Gold</v>
      </c>
      <c r="I346" s="28" t="str">
        <f>IFERROR(__xludf.DUMMYFUNCTION("""COMPUTED_VALUE"""),"This card is placed on a regular Ponygon MAMODO card when a Shudoruk SPELL card is played for the Ponygon MAMODO card. You can send this card to the Discard Pile at any time (the regular Ponygon card remains in play). (Cut-In) [1 MP] Negate the card effec"&amp;"t your opponent just applied that would reduce your MP.")</f>
        <v>This card is placed on a regular Ponygon MAMODO card when a Shudoruk SPELL card is played for the Ponygon MAMODO card. You can send this card to the Discard Pile at any time (the regular Ponygon card remains in play). (Cut-In) [1 MP] Negate the card effect your opponent just applied that would reduce your MP.</v>
      </c>
      <c r="J346" s="27">
        <f>IFERROR(__xludf.DUMMYFUNCTION("""COMPUTED_VALUE"""),5000.0)</f>
        <v>5000</v>
      </c>
      <c r="K346" s="27" t="str">
        <f>IFERROR(__xludf.DUMMYFUNCTION("""COMPUTED_VALUE"""),"-")</f>
        <v>-</v>
      </c>
      <c r="L346" s="27" t="str">
        <f>IFERROR(__xludf.DUMMYFUNCTION("""COMPUTED_VALUE"""),"-")</f>
        <v>-</v>
      </c>
      <c r="M346" s="27" t="str">
        <f>IFERROR(__xludf.DUMMYFUNCTION("""COMPUTED_VALUE"""),"[U]")</f>
        <v>[U]</v>
      </c>
      <c r="N346" s="27" t="str">
        <f>IFERROR(__xludf.DUMMYFUNCTION("""COMPUTED_VALUE"""),"Ponygon gains armor with a razor-sharp mane when taking on his Shudoruk form.")</f>
        <v>Ponygon gains armor with a razor-sharp mane when taking on his Shudoruk form.</v>
      </c>
      <c r="O346" s="27"/>
      <c r="P346" s="27"/>
      <c r="Q346" s="27"/>
      <c r="R346" s="27"/>
      <c r="S346" s="27"/>
      <c r="T346" s="27"/>
      <c r="U346" s="27"/>
      <c r="V346" s="27"/>
      <c r="W346" s="27"/>
      <c r="X346" s="27"/>
      <c r="Y346" s="27"/>
      <c r="Z346" s="27"/>
    </row>
    <row r="347">
      <c r="A347" s="29" t="str">
        <f>IFERROR(__xludf.DUMMYFUNCTION("""COMPUTED_VALUE"""),"EX-078")</f>
        <v>EX-078</v>
      </c>
      <c r="B347" s="27" t="str">
        <f>IFERROR(__xludf.DUMMYFUNCTION("""COMPUTED_VALUE"""),"Stone Tablet Mamodo")</f>
        <v>Stone Tablet Mamodo</v>
      </c>
      <c r="C347" s="27" t="str">
        <f>IFERROR(__xludf.DUMMYFUNCTION("""COMPUTED_VALUE"""),"Alm")</f>
        <v>Alm</v>
      </c>
      <c r="D347" s="27" t="str">
        <f>IFERROR(__xludf.DUMMYFUNCTION("""COMPUTED_VALUE"""),"Alm")</f>
        <v>Alm</v>
      </c>
      <c r="E347" s="27" t="str">
        <f>IFERROR(__xludf.DUMMYFUNCTION("""COMPUTED_VALUE"""),"-")</f>
        <v>-</v>
      </c>
      <c r="F347" s="27" t="str">
        <f>IFERROR(__xludf.DUMMYFUNCTION("""COMPUTED_VALUE"""),"-")</f>
        <v>-</v>
      </c>
      <c r="G347" s="27" t="str">
        <f>IFERROR(__xludf.DUMMYFUNCTION("""COMPUTED_VALUE"""),"None")</f>
        <v>None</v>
      </c>
      <c r="H347" s="27" t="str">
        <f>IFERROR(__xludf.DUMMYFUNCTION("""COMPUTED_VALUE"""),"Sentry")</f>
        <v>Sentry</v>
      </c>
      <c r="I347" s="28" t="str">
        <f>IFERROR(__xludf.DUMMYFUNCTION("""COMPUTED_VALUE"""),"[1 MP] Apply both of the following effects in order: ● [STAY] Reduce the Power of all of your opponent's in-play MAMODO cards by 1000 during this turn. ● Injure all of your opponent's MAMODO with 0 Power.")</f>
        <v>[1 MP] Apply both of the following effects in order: ● [STAY] Reduce the Power of all of your opponent's in-play MAMODO cards by 1000 during this turn. ● Injure all of your opponent's MAMODO with 0 Power.</v>
      </c>
      <c r="J347" s="27">
        <f>IFERROR(__xludf.DUMMYFUNCTION("""COMPUTED_VALUE"""),5000.0)</f>
        <v>5000</v>
      </c>
      <c r="K347" s="27" t="str">
        <f>IFERROR(__xludf.DUMMYFUNCTION("""COMPUTED_VALUE"""),"-")</f>
        <v>-</v>
      </c>
      <c r="L347" s="27" t="str">
        <f>IFERROR(__xludf.DUMMYFUNCTION("""COMPUTED_VALUE"""),"-")</f>
        <v>-</v>
      </c>
      <c r="M347" s="27" t="str">
        <f>IFERROR(__xludf.DUMMYFUNCTION("""COMPUTED_VALUE"""),"[C]")</f>
        <v>[C]</v>
      </c>
      <c r="N347" s="27" t="str">
        <f>IFERROR(__xludf.DUMMYFUNCTION("""COMPUTED_VALUE"""),"""Fools... You're underestimating me!""")</f>
        <v>"Fools... You're underestimating me!"</v>
      </c>
      <c r="O347" s="27"/>
      <c r="P347" s="27"/>
      <c r="Q347" s="27"/>
      <c r="R347" s="27"/>
      <c r="S347" s="27"/>
      <c r="T347" s="27"/>
      <c r="U347" s="27"/>
      <c r="V347" s="27"/>
      <c r="W347" s="27"/>
      <c r="X347" s="27"/>
      <c r="Y347" s="27"/>
      <c r="Z347" s="27"/>
    </row>
    <row r="348">
      <c r="A348" s="29" t="str">
        <f>IFERROR(__xludf.DUMMYFUNCTION("""COMPUTED_VALUE"""),"EX-079")</f>
        <v>EX-079</v>
      </c>
      <c r="B348" s="27" t="str">
        <f>IFERROR(__xludf.DUMMYFUNCTION("""COMPUTED_VALUE"""),"Stone Tablet Mamodo")</f>
        <v>Stone Tablet Mamodo</v>
      </c>
      <c r="C348" s="27" t="str">
        <f>IFERROR(__xludf.DUMMYFUNCTION("""COMPUTED_VALUE"""),"Gelios")</f>
        <v>Gelios</v>
      </c>
      <c r="D348" s="27" t="str">
        <f>IFERROR(__xludf.DUMMYFUNCTION("""COMPUTED_VALUE"""),"Gelios")</f>
        <v>Gelios</v>
      </c>
      <c r="E348" s="27" t="str">
        <f>IFERROR(__xludf.DUMMYFUNCTION("""COMPUTED_VALUE"""),"-")</f>
        <v>-</v>
      </c>
      <c r="F348" s="27" t="str">
        <f>IFERROR(__xludf.DUMMYFUNCTION("""COMPUTED_VALUE"""),"-")</f>
        <v>-</v>
      </c>
      <c r="G348" s="27" t="str">
        <f>IFERROR(__xludf.DUMMYFUNCTION("""COMPUTED_VALUE"""),"None")</f>
        <v>None</v>
      </c>
      <c r="H348" s="27" t="str">
        <f>IFERROR(__xludf.DUMMYFUNCTION("""COMPUTED_VALUE"""),"Sentry")</f>
        <v>Sentry</v>
      </c>
      <c r="I348" s="28" t="str">
        <f>IFERROR(__xludf.DUMMYFUNCTION("""COMPUTED_VALUE"""),"[1 MP] Apply both of the following effects in order: ● [STAY] Reduce the Power of all of your opponent's in-play MAMODO cards by 1000 during this turn. ● Injure all of your opponent's MAMODO with 0 Power.")</f>
        <v>[1 MP] Apply both of the following effects in order: ● [STAY] Reduce the Power of all of your opponent's in-play MAMODO cards by 1000 during this turn. ● Injure all of your opponent's MAMODO with 0 Power.</v>
      </c>
      <c r="J348" s="27">
        <f>IFERROR(__xludf.DUMMYFUNCTION("""COMPUTED_VALUE"""),5000.0)</f>
        <v>5000</v>
      </c>
      <c r="K348" s="27" t="str">
        <f>IFERROR(__xludf.DUMMYFUNCTION("""COMPUTED_VALUE"""),"-")</f>
        <v>-</v>
      </c>
      <c r="L348" s="27" t="str">
        <f>IFERROR(__xludf.DUMMYFUNCTION("""COMPUTED_VALUE"""),"-")</f>
        <v>-</v>
      </c>
      <c r="M348" s="27" t="str">
        <f>IFERROR(__xludf.DUMMYFUNCTION("""COMPUTED_VALUE"""),"[C]")</f>
        <v>[C]</v>
      </c>
      <c r="N348" s="27" t="str">
        <f>IFERROR(__xludf.DUMMYFUNCTION("""COMPUTED_VALUE"""),"A dragon mamodo who guards the ruins alongside Alm. He is able to shoot water from his mouth.")</f>
        <v>A dragon mamodo who guards the ruins alongside Alm. He is able to shoot water from his mouth.</v>
      </c>
      <c r="O348" s="27"/>
      <c r="P348" s="27"/>
      <c r="Q348" s="27"/>
      <c r="R348" s="27"/>
      <c r="S348" s="27"/>
      <c r="T348" s="27"/>
      <c r="U348" s="27"/>
      <c r="V348" s="27"/>
      <c r="W348" s="27"/>
      <c r="X348" s="27"/>
      <c r="Y348" s="27"/>
      <c r="Z348" s="27"/>
    </row>
    <row r="349">
      <c r="A349" s="29" t="str">
        <f>IFERROR(__xludf.DUMMYFUNCTION("""COMPUTED_VALUE"""),"EX-080")</f>
        <v>EX-080</v>
      </c>
      <c r="B349" s="27" t="str">
        <f>IFERROR(__xludf.DUMMYFUNCTION("""COMPUTED_VALUE"""),"Stone Tablet Mamodo")</f>
        <v>Stone Tablet Mamodo</v>
      </c>
      <c r="C349" s="27" t="str">
        <f>IFERROR(__xludf.DUMMYFUNCTION("""COMPUTED_VALUE"""),"Gantz")</f>
        <v>Gantz</v>
      </c>
      <c r="D349" s="27" t="str">
        <f>IFERROR(__xludf.DUMMYFUNCTION("""COMPUTED_VALUE"""),"Gantz")</f>
        <v>Gantz</v>
      </c>
      <c r="E349" s="27" t="str">
        <f>IFERROR(__xludf.DUMMYFUNCTION("""COMPUTED_VALUE"""),"-")</f>
        <v>-</v>
      </c>
      <c r="F349" s="27" t="str">
        <f>IFERROR(__xludf.DUMMYFUNCTION("""COMPUTED_VALUE"""),"-")</f>
        <v>-</v>
      </c>
      <c r="G349" s="27" t="str">
        <f>IFERROR(__xludf.DUMMYFUNCTION("""COMPUTED_VALUE"""),"None")</f>
        <v>None</v>
      </c>
      <c r="H349" s="27" t="str">
        <f>IFERROR(__xludf.DUMMYFUNCTION("""COMPUTED_VALUE"""),"Sentry")</f>
        <v>Sentry</v>
      </c>
      <c r="I349" s="28" t="str">
        <f>IFERROR(__xludf.DUMMYFUNCTION("""COMPUTED_VALUE"""),"[1 MP] Apply both of the following effects in order: ● [STAY] Reduce the Power of all of your opponent's in-play MAMODO cards by 1000 during this turn. ● Injure all of your opponent's MAMODO with 0 Power.")</f>
        <v>[1 MP] Apply both of the following effects in order: ● [STAY] Reduce the Power of all of your opponent's in-play MAMODO cards by 1000 during this turn. ● Injure all of your opponent's MAMODO with 0 Power.</v>
      </c>
      <c r="J349" s="27">
        <f>IFERROR(__xludf.DUMMYFUNCTION("""COMPUTED_VALUE"""),5000.0)</f>
        <v>5000</v>
      </c>
      <c r="K349" s="27" t="str">
        <f>IFERROR(__xludf.DUMMYFUNCTION("""COMPUTED_VALUE"""),"-")</f>
        <v>-</v>
      </c>
      <c r="L349" s="27" t="str">
        <f>IFERROR(__xludf.DUMMYFUNCTION("""COMPUTED_VALUE"""),"-")</f>
        <v>-</v>
      </c>
      <c r="M349" s="27" t="str">
        <f>IFERROR(__xludf.DUMMYFUNCTION("""COMPUTED_VALUE"""),"[C]")</f>
        <v>[C]</v>
      </c>
      <c r="N349" s="27" t="str">
        <f>IFERROR(__xludf.DUMMYFUNCTION("""COMPUTED_VALUE"""),"After getting separated from the others, Kanchomé and Folgore are approached by a huge shadow!")</f>
        <v>After getting separated from the others, Kanchomé and Folgore are approached by a huge shadow!</v>
      </c>
      <c r="O349" s="27"/>
      <c r="P349" s="27"/>
      <c r="Q349" s="27"/>
      <c r="R349" s="27"/>
      <c r="S349" s="27"/>
      <c r="T349" s="27"/>
      <c r="U349" s="27"/>
      <c r="V349" s="27"/>
      <c r="W349" s="27"/>
      <c r="X349" s="27"/>
      <c r="Y349" s="27"/>
      <c r="Z349" s="27"/>
    </row>
    <row r="350">
      <c r="A350" s="29" t="str">
        <f>IFERROR(__xludf.DUMMYFUNCTION("""COMPUTED_VALUE"""),"EX-081")</f>
        <v>EX-081</v>
      </c>
      <c r="B350" s="27" t="str">
        <f>IFERROR(__xludf.DUMMYFUNCTION("""COMPUTED_VALUE"""),"Stone Tablet Mamodo")</f>
        <v>Stone Tablet Mamodo</v>
      </c>
      <c r="C350" s="27" t="str">
        <f>IFERROR(__xludf.DUMMYFUNCTION("""COMPUTED_VALUE"""),"Victoream")</f>
        <v>Victoream</v>
      </c>
      <c r="D350" s="27" t="str">
        <f>IFERROR(__xludf.DUMMYFUNCTION("""COMPUTED_VALUE"""),"Victoream")</f>
        <v>Victoream</v>
      </c>
      <c r="E350" s="27" t="str">
        <f>IFERROR(__xludf.DUMMYFUNCTION("""COMPUTED_VALUE"""),"-")</f>
        <v>-</v>
      </c>
      <c r="F350" s="27" t="str">
        <f>IFERROR(__xludf.DUMMYFUNCTION("""COMPUTED_VALUE"""),"-")</f>
        <v>-</v>
      </c>
      <c r="G350" s="27" t="str">
        <f>IFERROR(__xludf.DUMMYFUNCTION("""COMPUTED_VALUE"""),"None")</f>
        <v>None</v>
      </c>
      <c r="H350" s="27" t="str">
        <f>IFERROR(__xludf.DUMMYFUNCTION("""COMPUTED_VALUE"""),"Foolish But Strong!")</f>
        <v>Foolish But Strong!</v>
      </c>
      <c r="I350" s="28" t="str">
        <f>IFERROR(__xludf.DUMMYFUNCTION("""COMPUTED_VALUE"""),"[3 MP] [STAY] Neither player can play EVENT cards during this turn.")</f>
        <v>[3 MP] [STAY] Neither player can play EVENT cards during this turn.</v>
      </c>
      <c r="J350" s="27">
        <f>IFERROR(__xludf.DUMMYFUNCTION("""COMPUTED_VALUE"""),5000.0)</f>
        <v>5000</v>
      </c>
      <c r="K350" s="27" t="str">
        <f>IFERROR(__xludf.DUMMYFUNCTION("""COMPUTED_VALUE"""),"-")</f>
        <v>-</v>
      </c>
      <c r="L350" s="27" t="str">
        <f>IFERROR(__xludf.DUMMYFUNCTION("""COMPUTED_VALUE"""),"-")</f>
        <v>-</v>
      </c>
      <c r="M350" s="27" t="str">
        <f>IFERROR(__xludf.DUMMYFUNCTION("""COMPUTED_VALUE"""),"[R]")</f>
        <v>[R]</v>
      </c>
      <c r="N350" s="27" t="str">
        <f>IFERROR(__xludf.DUMMYFUNCTION("""COMPUTED_VALUE"""),"""Futile, just futile! How pitiful! Ah ha ha ha!""")</f>
        <v>"Futile, just futile! How pitiful! Ah ha ha ha!"</v>
      </c>
      <c r="O350" s="27"/>
      <c r="P350" s="27"/>
      <c r="Q350" s="27"/>
      <c r="R350" s="27"/>
      <c r="S350" s="27"/>
      <c r="T350" s="27"/>
      <c r="U350" s="27"/>
      <c r="V350" s="27"/>
      <c r="W350" s="27"/>
      <c r="X350" s="27"/>
      <c r="Y350" s="27"/>
      <c r="Z350" s="27"/>
    </row>
    <row r="351">
      <c r="A351" s="29" t="str">
        <f>IFERROR(__xludf.DUMMYFUNCTION("""COMPUTED_VALUE"""),"EX-082")</f>
        <v>EX-082</v>
      </c>
      <c r="B351" s="27" t="str">
        <f>IFERROR(__xludf.DUMMYFUNCTION("""COMPUTED_VALUE"""),"Stone Tablet Mamodo")</f>
        <v>Stone Tablet Mamodo</v>
      </c>
      <c r="C351" s="27" t="str">
        <f>IFERROR(__xludf.DUMMYFUNCTION("""COMPUTED_VALUE"""),"Laila")</f>
        <v>Laila</v>
      </c>
      <c r="D351" s="27" t="str">
        <f>IFERROR(__xludf.DUMMYFUNCTION("""COMPUTED_VALUE"""),"Laila")</f>
        <v>Laila</v>
      </c>
      <c r="E351" s="27" t="str">
        <f>IFERROR(__xludf.DUMMYFUNCTION("""COMPUTED_VALUE"""),"-")</f>
        <v>-</v>
      </c>
      <c r="F351" s="27" t="str">
        <f>IFERROR(__xludf.DUMMYFUNCTION("""COMPUTED_VALUE"""),"-")</f>
        <v>-</v>
      </c>
      <c r="G351" s="27" t="str">
        <f>IFERROR(__xludf.DUMMYFUNCTION("""COMPUTED_VALUE"""),"None")</f>
        <v>None</v>
      </c>
      <c r="H351" s="27" t="str">
        <f>IFERROR(__xludf.DUMMYFUNCTION("""COMPUTED_VALUE"""),"Faint Smile")</f>
        <v>Faint Smile</v>
      </c>
      <c r="I351" s="28" t="str">
        <f>IFERROR(__xludf.DUMMYFUNCTION("""COMPUTED_VALUE"""),"[IN PLAY] Get 2 MP at the END PHASE of this turn if you played a SPELL card for any of your MAMODO cards during this turn (except ""Command"" SPELL cards).")</f>
        <v>[IN PLAY] Get 2 MP at the END PHASE of this turn if you played a SPELL card for any of your MAMODO cards during this turn (except "Command" SPELL cards).</v>
      </c>
      <c r="J351" s="27">
        <f>IFERROR(__xludf.DUMMYFUNCTION("""COMPUTED_VALUE"""),4000.0)</f>
        <v>4000</v>
      </c>
      <c r="K351" s="27" t="str">
        <f>IFERROR(__xludf.DUMMYFUNCTION("""COMPUTED_VALUE"""),"-")</f>
        <v>-</v>
      </c>
      <c r="L351" s="27" t="str">
        <f>IFERROR(__xludf.DUMMYFUNCTION("""COMPUTED_VALUE"""),"-")</f>
        <v>-</v>
      </c>
      <c r="M351" s="27" t="str">
        <f>IFERROR(__xludf.DUMMYFUNCTION("""COMPUTED_VALUE"""),"[C]")</f>
        <v>[C]</v>
      </c>
      <c r="N351" s="27" t="str">
        <f>IFERROR(__xludf.DUMMYFUNCTION("""COMPUTED_VALUE"""),"""Albert... Please try to break free of your spell.""")</f>
        <v>"Albert... Please try to break free of your spell."</v>
      </c>
      <c r="O351" s="27"/>
      <c r="P351" s="27"/>
      <c r="Q351" s="27"/>
      <c r="R351" s="27"/>
      <c r="S351" s="27"/>
      <c r="T351" s="27"/>
      <c r="U351" s="27"/>
      <c r="V351" s="27"/>
      <c r="W351" s="27"/>
      <c r="X351" s="27"/>
      <c r="Y351" s="27"/>
      <c r="Z351" s="27"/>
    </row>
    <row r="352">
      <c r="A352" s="29" t="str">
        <f>IFERROR(__xludf.DUMMYFUNCTION("""COMPUTED_VALUE"""),"EX-083")</f>
        <v>EX-083</v>
      </c>
      <c r="B352" s="27" t="str">
        <f>IFERROR(__xludf.DUMMYFUNCTION("""COMPUTED_VALUE"""),"Partner")</f>
        <v>Partner</v>
      </c>
      <c r="C352" s="27" t="str">
        <f>IFERROR(__xludf.DUMMYFUNCTION("""COMPUTED_VALUE"""),"Kafk Sunbeam")</f>
        <v>Kafk Sunbeam</v>
      </c>
      <c r="D352" s="27" t="str">
        <f>IFERROR(__xludf.DUMMYFUNCTION("""COMPUTED_VALUE"""),"Ponygon")</f>
        <v>Ponygon</v>
      </c>
      <c r="E352" s="27" t="str">
        <f>IFERROR(__xludf.DUMMYFUNCTION("""COMPUTED_VALUE"""),"-")</f>
        <v>-</v>
      </c>
      <c r="F352" s="27" t="str">
        <f>IFERROR(__xludf.DUMMYFUNCTION("""COMPUTED_VALUE"""),"-")</f>
        <v>-</v>
      </c>
      <c r="G352" s="27" t="str">
        <f>IFERROR(__xludf.DUMMYFUNCTION("""COMPUTED_VALUE"""),"None")</f>
        <v>None</v>
      </c>
      <c r="H352" s="27" t="str">
        <f>IFERROR(__xludf.DUMMYFUNCTION("""COMPUTED_VALUE"""),"Bonds in the Making")</f>
        <v>Bonds in the Making</v>
      </c>
      <c r="I352" s="28" t="str">
        <f>IFERROR(__xludf.DUMMYFUNCTION("""COMPUTED_VALUE"""),"[SEND THIS CARD TO THE DISCARD PILE] [STANDBY] A Shudoruk or Go Shudoruk SPELL card can be played from any page of your Spell Book during this turn.")</f>
        <v>[SEND THIS CARD TO THE DISCARD PILE] [STANDBY] A Shudoruk or Go Shudoruk SPELL card can be played from any page of your Spell Book during this turn.</v>
      </c>
      <c r="J352" s="27" t="str">
        <f>IFERROR(__xludf.DUMMYFUNCTION("""COMPUTED_VALUE"""),"-")</f>
        <v>-</v>
      </c>
      <c r="K352" s="27" t="str">
        <f>IFERROR(__xludf.DUMMYFUNCTION("""COMPUTED_VALUE"""),"-")</f>
        <v>-</v>
      </c>
      <c r="L352" s="27" t="str">
        <f>IFERROR(__xludf.DUMMYFUNCTION("""COMPUTED_VALUE"""),"-")</f>
        <v>-</v>
      </c>
      <c r="M352" s="27" t="str">
        <f>IFERROR(__xludf.DUMMYFUNCTION("""COMPUTED_VALUE"""),"[C]")</f>
        <v>[C]</v>
      </c>
      <c r="N352" s="27" t="str">
        <f>IFERROR(__xludf.DUMMYFUNCTION("""COMPUTED_VALUE"""),"""That was groovy, Ponygon.""")</f>
        <v>"That was groovy, Ponygon."</v>
      </c>
      <c r="O352" s="27"/>
      <c r="P352" s="27"/>
      <c r="Q352" s="27"/>
      <c r="R352" s="27"/>
      <c r="S352" s="27"/>
      <c r="T352" s="27"/>
      <c r="U352" s="27"/>
      <c r="V352" s="27"/>
      <c r="W352" s="27"/>
      <c r="X352" s="27"/>
      <c r="Y352" s="27"/>
      <c r="Z352" s="27"/>
    </row>
    <row r="353">
      <c r="A353" s="29" t="str">
        <f>IFERROR(__xludf.DUMMYFUNCTION("""COMPUTED_VALUE"""),"EX-084")</f>
        <v>EX-084</v>
      </c>
      <c r="B353" s="27" t="str">
        <f>IFERROR(__xludf.DUMMYFUNCTION("""COMPUTED_VALUE"""),"Partner")</f>
        <v>Partner</v>
      </c>
      <c r="C353" s="27" t="str">
        <f>IFERROR(__xludf.DUMMYFUNCTION("""COMPUTED_VALUE"""),"Koko")</f>
        <v>Koko</v>
      </c>
      <c r="D353" s="27" t="str">
        <f>IFERROR(__xludf.DUMMYFUNCTION("""COMPUTED_VALUE"""),"Zofis")</f>
        <v>Zofis</v>
      </c>
      <c r="E353" s="27" t="str">
        <f>IFERROR(__xludf.DUMMYFUNCTION("""COMPUTED_VALUE"""),"-")</f>
        <v>-</v>
      </c>
      <c r="F353" s="27" t="str">
        <f>IFERROR(__xludf.DUMMYFUNCTION("""COMPUTED_VALUE"""),"-")</f>
        <v>-</v>
      </c>
      <c r="G353" s="27" t="str">
        <f>IFERROR(__xludf.DUMMYFUNCTION("""COMPUTED_VALUE"""),"None")</f>
        <v>None</v>
      </c>
      <c r="H353" s="27" t="str">
        <f>IFERROR(__xludf.DUMMYFUNCTION("""COMPUTED_VALUE"""),"True Character")</f>
        <v>True Character</v>
      </c>
      <c r="I353" s="28" t="str">
        <f>IFERROR(__xludf.DUMMYFUNCTION("""COMPUTED_VALUE"""),"[IN PLAY] Your opponent cannot apply effects that allow them to re-do coin tosses and/or guarantee the outcome of a coin toss as heads or tails.")</f>
        <v>[IN PLAY] Your opponent cannot apply effects that allow them to re-do coin tosses and/or guarantee the outcome of a coin toss as heads or tails.</v>
      </c>
      <c r="J353" s="27" t="str">
        <f>IFERROR(__xludf.DUMMYFUNCTION("""COMPUTED_VALUE"""),"-")</f>
        <v>-</v>
      </c>
      <c r="K353" s="27" t="str">
        <f>IFERROR(__xludf.DUMMYFUNCTION("""COMPUTED_VALUE"""),"-")</f>
        <v>-</v>
      </c>
      <c r="L353" s="27" t="str">
        <f>IFERROR(__xludf.DUMMYFUNCTION("""COMPUTED_VALUE"""),"-")</f>
        <v>-</v>
      </c>
      <c r="M353" s="27" t="str">
        <f>IFERROR(__xludf.DUMMYFUNCTION("""COMPUTED_VALUE"""),"[R]")</f>
        <v>[R]</v>
      </c>
      <c r="N353" s="27" t="str">
        <f>IFERROR(__xludf.DUMMYFUNCTION("""COMPUTED_VALUE"""),"""Ha ha... This is the real me.""")</f>
        <v>"Ha ha... This is the real me."</v>
      </c>
      <c r="O353" s="27"/>
      <c r="P353" s="27"/>
      <c r="Q353" s="27"/>
      <c r="R353" s="27"/>
      <c r="S353" s="27"/>
      <c r="T353" s="27"/>
      <c r="U353" s="27"/>
      <c r="V353" s="27"/>
      <c r="W353" s="27"/>
      <c r="X353" s="27"/>
      <c r="Y353" s="27"/>
      <c r="Z353" s="27"/>
    </row>
    <row r="354">
      <c r="A354" s="29" t="str">
        <f>IFERROR(__xludf.DUMMYFUNCTION("""COMPUTED_VALUE"""),"EX-085")</f>
        <v>EX-085</v>
      </c>
      <c r="B354" s="27" t="str">
        <f>IFERROR(__xludf.DUMMYFUNCTION("""COMPUTED_VALUE"""),"Partner")</f>
        <v>Partner</v>
      </c>
      <c r="C354" s="27" t="str">
        <f>IFERROR(__xludf.DUMMYFUNCTION("""COMPUTED_VALUE"""),"Mohawk Ace")</f>
        <v>Mohawk Ace</v>
      </c>
      <c r="D354" s="27" t="str">
        <f>IFERROR(__xludf.DUMMYFUNCTION("""COMPUTED_VALUE"""),"Victoream")</f>
        <v>Victoream</v>
      </c>
      <c r="E354" s="27" t="str">
        <f>IFERROR(__xludf.DUMMYFUNCTION("""COMPUTED_VALUE"""),"-")</f>
        <v>-</v>
      </c>
      <c r="F354" s="27" t="str">
        <f>IFERROR(__xludf.DUMMYFUNCTION("""COMPUTED_VALUE"""),"-")</f>
        <v>-</v>
      </c>
      <c r="G354" s="27" t="str">
        <f>IFERROR(__xludf.DUMMYFUNCTION("""COMPUTED_VALUE"""),"None")</f>
        <v>None</v>
      </c>
      <c r="H354" s="27" t="str">
        <f>IFERROR(__xludf.DUMMYFUNCTION("""COMPUTED_VALUE"""),"Unleashing the Power")</f>
        <v>Unleashing the Power</v>
      </c>
      <c r="I354" s="28" t="str">
        <f>IFERROR(__xludf.DUMMYFUNCTION("""COMPUTED_VALUE"""),"[SEND THIS CARD TO THE DISCARD PILE] Turn 2 pages of your opponent's Spell Book if your opponent turned pages of your Spell Book with their card effects this turn.")</f>
        <v>[SEND THIS CARD TO THE DISCARD PILE] Turn 2 pages of your opponent's Spell Book if your opponent turned pages of your Spell Book with their card effects this turn.</v>
      </c>
      <c r="J354" s="27" t="str">
        <f>IFERROR(__xludf.DUMMYFUNCTION("""COMPUTED_VALUE"""),"-")</f>
        <v>-</v>
      </c>
      <c r="K354" s="27" t="str">
        <f>IFERROR(__xludf.DUMMYFUNCTION("""COMPUTED_VALUE"""),"-")</f>
        <v>-</v>
      </c>
      <c r="L354" s="27" t="str">
        <f>IFERROR(__xludf.DUMMYFUNCTION("""COMPUTED_VALUE"""),"-")</f>
        <v>-</v>
      </c>
      <c r="M354" s="27" t="str">
        <f>IFERROR(__xludf.DUMMYFUNCTION("""COMPUTED_VALUE"""),"[C]")</f>
        <v>[C]</v>
      </c>
      <c r="N354" s="27" t="str">
        <f>IFERROR(__xludf.DUMMYFUNCTION("""COMPUTED_VALUE"""),"""Show them our number one power that never fails to destroy our enemies, Mohawk Ace!""")</f>
        <v>"Show them our number one power that never fails to destroy our enemies, Mohawk Ace!"</v>
      </c>
      <c r="O354" s="27"/>
      <c r="P354" s="27"/>
      <c r="Q354" s="27"/>
      <c r="R354" s="27"/>
      <c r="S354" s="27"/>
      <c r="T354" s="27"/>
      <c r="U354" s="27"/>
      <c r="V354" s="27"/>
      <c r="W354" s="27"/>
      <c r="X354" s="27"/>
      <c r="Y354" s="27"/>
      <c r="Z354" s="27"/>
    </row>
    <row r="355">
      <c r="A355" s="29" t="str">
        <f>IFERROR(__xludf.DUMMYFUNCTION("""COMPUTED_VALUE"""),"EX-086")</f>
        <v>EX-086</v>
      </c>
      <c r="B355" s="27" t="str">
        <f>IFERROR(__xludf.DUMMYFUNCTION("""COMPUTED_VALUE"""),"Spell")</f>
        <v>Spell</v>
      </c>
      <c r="C355" s="27" t="str">
        <f>IFERROR(__xludf.DUMMYFUNCTION("""COMPUTED_VALUE"""),"Rauzaruk")</f>
        <v>Rauzaruk</v>
      </c>
      <c r="D355" s="27" t="str">
        <f>IFERROR(__xludf.DUMMYFUNCTION("""COMPUTED_VALUE"""),"Zatch Bell")</f>
        <v>Zatch Bell</v>
      </c>
      <c r="E355" s="27">
        <f>IFERROR(__xludf.DUMMYFUNCTION("""COMPUTED_VALUE"""),1.0)</f>
        <v>1</v>
      </c>
      <c r="F355" s="27" t="str">
        <f>IFERROR(__xludf.DUMMYFUNCTION("""COMPUTED_VALUE"""),"D")</f>
        <v>D</v>
      </c>
      <c r="G355" s="27" t="str">
        <f>IFERROR(__xludf.DUMMYFUNCTION("""COMPUTED_VALUE"""),"Intermediate")</f>
        <v>Intermediate</v>
      </c>
      <c r="H355" s="27" t="str">
        <f>IFERROR(__xludf.DUMMYFUNCTION("""COMPUTED_VALUE"""),"-")</f>
        <v>-</v>
      </c>
      <c r="I355" s="28" t="str">
        <f>IFERROR(__xludf.DUMMYFUNCTION("""COMPUTED_VALUE"""),"Regardless of their Power, any of your opponent's Attacks with a Total Power of 8000 or less are negated during this turn ([STAY]).")</f>
        <v>Regardless of their Power, any of your opponent's Attacks with a Total Power of 8000 or less are negated during this turn ([STAY]).</v>
      </c>
      <c r="J355" s="27" t="str">
        <f>IFERROR(__xludf.DUMMYFUNCTION("""COMPUTED_VALUE"""),"Special")</f>
        <v>Special</v>
      </c>
      <c r="K355" s="27" t="str">
        <f>IFERROR(__xludf.DUMMYFUNCTION("""COMPUTED_VALUE"""),"-")</f>
        <v>-</v>
      </c>
      <c r="L355" s="27" t="str">
        <f>IFERROR(__xludf.DUMMYFUNCTION("""COMPUTED_VALUE"""),"-")</f>
        <v>-</v>
      </c>
      <c r="M355" s="27" t="str">
        <f>IFERROR(__xludf.DUMMYFUNCTION("""COMPUTED_VALUE"""),"[U]")</f>
        <v>[U]</v>
      </c>
      <c r="N355" s="27" t="str">
        <f>IFERROR(__xludf.DUMMYFUNCTION("""COMPUTED_VALUE"""),"Zatch's 6th spell. ""I won't let you lay a hand on Kiyo!""")</f>
        <v>Zatch's 6th spell. "I won't let you lay a hand on Kiyo!"</v>
      </c>
      <c r="O355" s="27"/>
      <c r="P355" s="27"/>
      <c r="Q355" s="27"/>
      <c r="R355" s="27"/>
      <c r="S355" s="27"/>
      <c r="T355" s="27"/>
      <c r="U355" s="27"/>
      <c r="V355" s="27"/>
      <c r="W355" s="27"/>
      <c r="X355" s="27"/>
      <c r="Y355" s="27"/>
      <c r="Z355" s="27"/>
    </row>
    <row r="356">
      <c r="A356" s="29" t="str">
        <f>IFERROR(__xludf.DUMMYFUNCTION("""COMPUTED_VALUE"""),"EX-087")</f>
        <v>EX-087</v>
      </c>
      <c r="B356" s="27" t="str">
        <f>IFERROR(__xludf.DUMMYFUNCTION("""COMPUTED_VALUE"""),"Spell")</f>
        <v>Spell</v>
      </c>
      <c r="C356" s="27" t="str">
        <f>IFERROR(__xludf.DUMMYFUNCTION("""COMPUTED_VALUE"""),"Shudoruk")</f>
        <v>Shudoruk</v>
      </c>
      <c r="D356" s="27" t="str">
        <f>IFERROR(__xludf.DUMMYFUNCTION("""COMPUTED_VALUE"""),"Ponygon")</f>
        <v>Ponygon</v>
      </c>
      <c r="E356" s="27">
        <f>IFERROR(__xludf.DUMMYFUNCTION("""COMPUTED_VALUE"""),2.0)</f>
        <v>2</v>
      </c>
      <c r="F356" s="27" t="str">
        <f>IFERROR(__xludf.DUMMYFUNCTION("""COMPUTED_VALUE"""),"AD")</f>
        <v>AD</v>
      </c>
      <c r="G356" s="27" t="str">
        <f>IFERROR(__xludf.DUMMYFUNCTION("""COMPUTED_VALUE"""),"None")</f>
        <v>None</v>
      </c>
      <c r="H356" s="27" t="str">
        <f>IFERROR(__xludf.DUMMYFUNCTION("""COMPUTED_VALUE"""),"-")</f>
        <v>-</v>
      </c>
      <c r="I356" s="28" t="str">
        <f>IFERROR(__xludf.DUMMYFUNCTION("""COMPUTED_VALUE"""),"Damage your opponent's Spell Book when you win the Battle as an Attacker.")</f>
        <v>Damage your opponent's Spell Book when you win the Battle as an Attacker.</v>
      </c>
      <c r="J356" s="27" t="str">
        <f>IFERROR(__xludf.DUMMYFUNCTION("""COMPUTED_VALUE"""),"+2000")</f>
        <v>+2000</v>
      </c>
      <c r="K356" s="27">
        <f>IFERROR(__xludf.DUMMYFUNCTION("""COMPUTED_VALUE"""),2.0)</f>
        <v>2</v>
      </c>
      <c r="L356" s="27" t="str">
        <f>IFERROR(__xludf.DUMMYFUNCTION("""COMPUTED_VALUE"""),"-")</f>
        <v>-</v>
      </c>
      <c r="M356" s="27" t="str">
        <f>IFERROR(__xludf.DUMMYFUNCTION("""COMPUTED_VALUE"""),"[C]")</f>
        <v>[C]</v>
      </c>
      <c r="N356" s="27" t="str">
        <f>IFERROR(__xludf.DUMMYFUNCTION("""COMPUTED_VALUE"""),"Ponygon's 1st spell. His strong determination to protect his friends keeps him steady in the face of battle.")</f>
        <v>Ponygon's 1st spell. His strong determination to protect his friends keeps him steady in the face of battle.</v>
      </c>
      <c r="O356" s="27"/>
      <c r="P356" s="27"/>
      <c r="Q356" s="27"/>
      <c r="R356" s="27"/>
      <c r="S356" s="27"/>
      <c r="T356" s="27"/>
      <c r="U356" s="27"/>
      <c r="V356" s="27"/>
      <c r="W356" s="27"/>
      <c r="X356" s="27"/>
      <c r="Y356" s="27"/>
      <c r="Z356" s="27"/>
    </row>
    <row r="357">
      <c r="A357" s="29" t="str">
        <f>IFERROR(__xludf.DUMMYFUNCTION("""COMPUTED_VALUE"""),"EX-088")</f>
        <v>EX-088</v>
      </c>
      <c r="B357" s="27" t="str">
        <f>IFERROR(__xludf.DUMMYFUNCTION("""COMPUTED_VALUE"""),"Spell")</f>
        <v>Spell</v>
      </c>
      <c r="C357" s="27" t="str">
        <f>IFERROR(__xludf.DUMMYFUNCTION("""COMPUTED_VALUE"""),"Radom")</f>
        <v>Radom</v>
      </c>
      <c r="D357" s="27" t="str">
        <f>IFERROR(__xludf.DUMMYFUNCTION("""COMPUTED_VALUE"""),"Zofis")</f>
        <v>Zofis</v>
      </c>
      <c r="E357" s="27">
        <f>IFERROR(__xludf.DUMMYFUNCTION("""COMPUTED_VALUE"""),2.0)</f>
        <v>2</v>
      </c>
      <c r="F357" s="27" t="str">
        <f>IFERROR(__xludf.DUMMYFUNCTION("""COMPUTED_VALUE"""),"AD")</f>
        <v>AD</v>
      </c>
      <c r="G357" s="27" t="str">
        <f>IFERROR(__xludf.DUMMYFUNCTION("""COMPUTED_VALUE"""),"None")</f>
        <v>None</v>
      </c>
      <c r="H357" s="27" t="str">
        <f>IFERROR(__xludf.DUMMYFUNCTION("""COMPUTED_VALUE"""),"-")</f>
        <v>-</v>
      </c>
      <c r="I357" s="28" t="str">
        <f>IFERROR(__xludf.DUMMYFUNCTION("""COMPUTED_VALUE"""),"Damage your opponent's Spell Book when you win the Battle as an Attacker.")</f>
        <v>Damage your opponent's Spell Book when you win the Battle as an Attacker.</v>
      </c>
      <c r="J357" s="27" t="str">
        <f>IFERROR(__xludf.DUMMYFUNCTION("""COMPUTED_VALUE"""),"+4000")</f>
        <v>+4000</v>
      </c>
      <c r="K357" s="27">
        <f>IFERROR(__xludf.DUMMYFUNCTION("""COMPUTED_VALUE"""),2.0)</f>
        <v>2</v>
      </c>
      <c r="L357" s="27" t="str">
        <f>IFERROR(__xludf.DUMMYFUNCTION("""COMPUTED_VALUE"""),"-")</f>
        <v>-</v>
      </c>
      <c r="M357" s="27" t="str">
        <f>IFERROR(__xludf.DUMMYFUNCTION("""COMPUTED_VALUE"""),"[U]")</f>
        <v>[U]</v>
      </c>
      <c r="N357" s="27" t="str">
        <f>IFERROR(__xludf.DUMMYFUNCTION("""COMPUTED_VALUE"""),"Zofis' 1st spell. ""Too bad you didn't have time for a counterattack.""")</f>
        <v>Zofis' 1st spell. "Too bad you didn't have time for a counterattack."</v>
      </c>
      <c r="O357" s="27"/>
      <c r="P357" s="27"/>
      <c r="Q357" s="27"/>
      <c r="R357" s="27"/>
      <c r="S357" s="27"/>
      <c r="T357" s="27"/>
      <c r="U357" s="27"/>
      <c r="V357" s="27"/>
      <c r="W357" s="27"/>
      <c r="X357" s="27"/>
      <c r="Y357" s="27"/>
      <c r="Z357" s="27"/>
    </row>
    <row r="358">
      <c r="A358" s="29" t="str">
        <f>IFERROR(__xludf.DUMMYFUNCTION("""COMPUTED_VALUE"""),"EX-089")</f>
        <v>EX-089</v>
      </c>
      <c r="B358" s="27" t="str">
        <f>IFERROR(__xludf.DUMMYFUNCTION("""COMPUTED_VALUE"""),"Spell")</f>
        <v>Spell</v>
      </c>
      <c r="C358" s="27" t="str">
        <f>IFERROR(__xludf.DUMMYFUNCTION("""COMPUTED_VALUE"""),"Neshir")</f>
        <v>Neshir</v>
      </c>
      <c r="D358" s="27" t="str">
        <f>IFERROR(__xludf.DUMMYFUNCTION("""COMPUTED_VALUE"""),"Alm")</f>
        <v>Alm</v>
      </c>
      <c r="E358" s="27">
        <f>IFERROR(__xludf.DUMMYFUNCTION("""COMPUTED_VALUE"""),2.0)</f>
        <v>2</v>
      </c>
      <c r="F358" s="27" t="str">
        <f>IFERROR(__xludf.DUMMYFUNCTION("""COMPUTED_VALUE"""),"AD")</f>
        <v>AD</v>
      </c>
      <c r="G358" s="27" t="str">
        <f>IFERROR(__xludf.DUMMYFUNCTION("""COMPUTED_VALUE"""),"None")</f>
        <v>None</v>
      </c>
      <c r="H358" s="27" t="str">
        <f>IFERROR(__xludf.DUMMYFUNCTION("""COMPUTED_VALUE"""),"-")</f>
        <v>-</v>
      </c>
      <c r="I358" s="28" t="str">
        <f>IFERROR(__xludf.DUMMYFUNCTION("""COMPUTED_VALUE"""),"Damage your opponent's Spell Book when you win the Battle as an Attacker.")</f>
        <v>Damage your opponent's Spell Book when you win the Battle as an Attacker.</v>
      </c>
      <c r="J358" s="27" t="str">
        <f>IFERROR(__xludf.DUMMYFUNCTION("""COMPUTED_VALUE"""),"+2000")</f>
        <v>+2000</v>
      </c>
      <c r="K358" s="27">
        <f>IFERROR(__xludf.DUMMYFUNCTION("""COMPUTED_VALUE"""),2.0)</f>
        <v>2</v>
      </c>
      <c r="L358" s="27" t="str">
        <f>IFERROR(__xludf.DUMMYFUNCTION("""COMPUTED_VALUE"""),"-")</f>
        <v>-</v>
      </c>
      <c r="M358" s="27" t="str">
        <f>IFERROR(__xludf.DUMMYFUNCTION("""COMPUTED_VALUE"""),"[C]")</f>
        <v>[C]</v>
      </c>
      <c r="N358" s="27" t="str">
        <f>IFERROR(__xludf.DUMMYFUNCTION("""COMPUTED_VALUE"""),"Alm's 1st spell. A highly destructive ball of energy is shot toward the opponent.")</f>
        <v>Alm's 1st spell. A highly destructive ball of energy is shot toward the opponent.</v>
      </c>
      <c r="O358" s="27"/>
      <c r="P358" s="27"/>
      <c r="Q358" s="27"/>
      <c r="R358" s="27"/>
      <c r="S358" s="27"/>
      <c r="T358" s="27"/>
      <c r="U358" s="27"/>
      <c r="V358" s="27"/>
      <c r="W358" s="27"/>
      <c r="X358" s="27"/>
      <c r="Y358" s="27"/>
      <c r="Z358" s="27"/>
    </row>
    <row r="359">
      <c r="A359" s="29" t="str">
        <f>IFERROR(__xludf.DUMMYFUNCTION("""COMPUTED_VALUE"""),"EX-090")</f>
        <v>EX-090</v>
      </c>
      <c r="B359" s="27" t="str">
        <f>IFERROR(__xludf.DUMMYFUNCTION("""COMPUTED_VALUE"""),"Spell")</f>
        <v>Spell</v>
      </c>
      <c r="C359" s="27" t="str">
        <f>IFERROR(__xludf.DUMMYFUNCTION("""COMPUTED_VALUE"""),"Degaruk")</f>
        <v>Degaruk</v>
      </c>
      <c r="D359" s="27" t="str">
        <f>IFERROR(__xludf.DUMMYFUNCTION("""COMPUTED_VALUE"""),"Gelios")</f>
        <v>Gelios</v>
      </c>
      <c r="E359" s="27">
        <f>IFERROR(__xludf.DUMMYFUNCTION("""COMPUTED_VALUE"""),2.0)</f>
        <v>2</v>
      </c>
      <c r="F359" s="27" t="str">
        <f>IFERROR(__xludf.DUMMYFUNCTION("""COMPUTED_VALUE"""),"AD")</f>
        <v>AD</v>
      </c>
      <c r="G359" s="27" t="str">
        <f>IFERROR(__xludf.DUMMYFUNCTION("""COMPUTED_VALUE"""),"None")</f>
        <v>None</v>
      </c>
      <c r="H359" s="27" t="str">
        <f>IFERROR(__xludf.DUMMYFUNCTION("""COMPUTED_VALUE"""),"-")</f>
        <v>-</v>
      </c>
      <c r="I359" s="28" t="str">
        <f>IFERROR(__xludf.DUMMYFUNCTION("""COMPUTED_VALUE"""),"Damage your opponent's Spell Book when you win the Battle as an Attacker.")</f>
        <v>Damage your opponent's Spell Book when you win the Battle as an Attacker.</v>
      </c>
      <c r="J359" s="27" t="str">
        <f>IFERROR(__xludf.DUMMYFUNCTION("""COMPUTED_VALUE"""),"+2000")</f>
        <v>+2000</v>
      </c>
      <c r="K359" s="27">
        <f>IFERROR(__xludf.DUMMYFUNCTION("""COMPUTED_VALUE"""),2.0)</f>
        <v>2</v>
      </c>
      <c r="L359" s="27" t="str">
        <f>IFERROR(__xludf.DUMMYFUNCTION("""COMPUTED_VALUE"""),"-")</f>
        <v>-</v>
      </c>
      <c r="M359" s="27" t="str">
        <f>IFERROR(__xludf.DUMMYFUNCTION("""COMPUTED_VALUE"""),"[C]")</f>
        <v>[C]</v>
      </c>
      <c r="N359" s="27" t="str">
        <f>IFERROR(__xludf.DUMMYFUNCTION("""COMPUTED_VALUE"""),"Gelios' 1st spell. Powers up the horns on his head to ram intruders into the ground.")</f>
        <v>Gelios' 1st spell. Powers up the horns on his head to ram intruders into the ground.</v>
      </c>
      <c r="O359" s="27"/>
      <c r="P359" s="27"/>
      <c r="Q359" s="27"/>
      <c r="R359" s="27"/>
      <c r="S359" s="27"/>
      <c r="T359" s="27"/>
      <c r="U359" s="27"/>
      <c r="V359" s="27"/>
      <c r="W359" s="27"/>
      <c r="X359" s="27"/>
      <c r="Y359" s="27"/>
      <c r="Z359" s="27"/>
    </row>
    <row r="360">
      <c r="A360" s="29" t="str">
        <f>IFERROR(__xludf.DUMMYFUNCTION("""COMPUTED_VALUE"""),"EX-091")</f>
        <v>EX-091</v>
      </c>
      <c r="B360" s="27" t="str">
        <f>IFERROR(__xludf.DUMMYFUNCTION("""COMPUTED_VALUE"""),"Spell")</f>
        <v>Spell</v>
      </c>
      <c r="C360" s="27" t="str">
        <f>IFERROR(__xludf.DUMMYFUNCTION("""COMPUTED_VALUE"""),"Amuruk")</f>
        <v>Amuruk</v>
      </c>
      <c r="D360" s="27" t="str">
        <f>IFERROR(__xludf.DUMMYFUNCTION("""COMPUTED_VALUE"""),"Gantz")</f>
        <v>Gantz</v>
      </c>
      <c r="E360" s="27">
        <f>IFERROR(__xludf.DUMMYFUNCTION("""COMPUTED_VALUE"""),2.0)</f>
        <v>2</v>
      </c>
      <c r="F360" s="27" t="str">
        <f>IFERROR(__xludf.DUMMYFUNCTION("""COMPUTED_VALUE"""),"AD")</f>
        <v>AD</v>
      </c>
      <c r="G360" s="27" t="str">
        <f>IFERROR(__xludf.DUMMYFUNCTION("""COMPUTED_VALUE"""),"None")</f>
        <v>None</v>
      </c>
      <c r="H360" s="27" t="str">
        <f>IFERROR(__xludf.DUMMYFUNCTION("""COMPUTED_VALUE"""),"-")</f>
        <v>-</v>
      </c>
      <c r="I360" s="28" t="str">
        <f>IFERROR(__xludf.DUMMYFUNCTION("""COMPUTED_VALUE"""),"Damage your opponent's Spell Book when you win the Battle as an Attacker.")</f>
        <v>Damage your opponent's Spell Book when you win the Battle as an Attacker.</v>
      </c>
      <c r="J360" s="27" t="str">
        <f>IFERROR(__xludf.DUMMYFUNCTION("""COMPUTED_VALUE"""),"+2000")</f>
        <v>+2000</v>
      </c>
      <c r="K360" s="27">
        <f>IFERROR(__xludf.DUMMYFUNCTION("""COMPUTED_VALUE"""),2.0)</f>
        <v>2</v>
      </c>
      <c r="L360" s="27" t="str">
        <f>IFERROR(__xludf.DUMMYFUNCTION("""COMPUTED_VALUE"""),"-")</f>
        <v>-</v>
      </c>
      <c r="M360" s="27" t="str">
        <f>IFERROR(__xludf.DUMMYFUNCTION("""COMPUTED_VALUE"""),"[C]")</f>
        <v>[C]</v>
      </c>
      <c r="N360" s="27" t="str">
        <f>IFERROR(__xludf.DUMMYFUNCTION("""COMPUTED_VALUE"""),"Gantz's 1st spell. His fist grows in size and delivers a devastating punch.")</f>
        <v>Gantz's 1st spell. His fist grows in size and delivers a devastating punch.</v>
      </c>
      <c r="O360" s="27"/>
      <c r="P360" s="27"/>
      <c r="Q360" s="27"/>
      <c r="R360" s="27"/>
      <c r="S360" s="27"/>
      <c r="T360" s="27"/>
      <c r="U360" s="27"/>
      <c r="V360" s="27"/>
      <c r="W360" s="27"/>
      <c r="X360" s="27"/>
      <c r="Y360" s="27"/>
      <c r="Z360" s="27"/>
    </row>
    <row r="361">
      <c r="A361" s="29" t="str">
        <f>IFERROR(__xludf.DUMMYFUNCTION("""COMPUTED_VALUE"""),"EX-092")</f>
        <v>EX-092</v>
      </c>
      <c r="B361" s="27" t="str">
        <f>IFERROR(__xludf.DUMMYFUNCTION("""COMPUTED_VALUE"""),"Spell")</f>
        <v>Spell</v>
      </c>
      <c r="C361" s="27" t="str">
        <f>IFERROR(__xludf.DUMMYFUNCTION("""COMPUTED_VALUE"""),"Magurga")</f>
        <v>Magurga</v>
      </c>
      <c r="D361" s="27" t="str">
        <f>IFERROR(__xludf.DUMMYFUNCTION("""COMPUTED_VALUE"""),"Victoream")</f>
        <v>Victoream</v>
      </c>
      <c r="E361" s="27">
        <f>IFERROR(__xludf.DUMMYFUNCTION("""COMPUTED_VALUE"""),2.0)</f>
        <v>2</v>
      </c>
      <c r="F361" s="27" t="str">
        <f>IFERROR(__xludf.DUMMYFUNCTION("""COMPUTED_VALUE"""),"AD")</f>
        <v>AD</v>
      </c>
      <c r="G361" s="27" t="str">
        <f>IFERROR(__xludf.DUMMYFUNCTION("""COMPUTED_VALUE"""),"None")</f>
        <v>None</v>
      </c>
      <c r="H361" s="27" t="str">
        <f>IFERROR(__xludf.DUMMYFUNCTION("""COMPUTED_VALUE"""),"-")</f>
        <v>-</v>
      </c>
      <c r="I361" s="28" t="str">
        <f>IFERROR(__xludf.DUMMYFUNCTION("""COMPUTED_VALUE"""),"Flip a coin; if it's heads, Damage your opponent's Spell Book when you win the Battle as an Attacker.")</f>
        <v>Flip a coin; if it's heads, Damage your opponent's Spell Book when you win the Battle as an Attacker.</v>
      </c>
      <c r="J361" s="27" t="str">
        <f>IFERROR(__xludf.DUMMYFUNCTION("""COMPUTED_VALUE"""),"+4000")</f>
        <v>+4000</v>
      </c>
      <c r="K361" s="27">
        <f>IFERROR(__xludf.DUMMYFUNCTION("""COMPUTED_VALUE"""),3.0)</f>
        <v>3</v>
      </c>
      <c r="L361" s="27" t="str">
        <f>IFERROR(__xludf.DUMMYFUNCTION("""COMPUTED_VALUE"""),"-")</f>
        <v>-</v>
      </c>
      <c r="M361" s="27" t="str">
        <f>IFERROR(__xludf.DUMMYFUNCTION("""COMPUTED_VALUE"""),"[R]")</f>
        <v>[R]</v>
      </c>
      <c r="N361" s="27" t="str">
        <f>IFERROR(__xludf.DUMMYFUNCTION("""COMPUTED_VALUE"""),"Victoream's 1st spell. ""Watch as I wreck the walls! Now the terrace!""")</f>
        <v>Victoream's 1st spell. "Watch as I wreck the walls! Now the terrace!"</v>
      </c>
      <c r="O361" s="27"/>
      <c r="P361" s="27"/>
      <c r="Q361" s="27"/>
      <c r="R361" s="27"/>
      <c r="S361" s="27"/>
      <c r="T361" s="27"/>
      <c r="U361" s="27"/>
      <c r="V361" s="27"/>
      <c r="W361" s="27"/>
      <c r="X361" s="27"/>
      <c r="Y361" s="27"/>
      <c r="Z361" s="27"/>
    </row>
    <row r="362">
      <c r="A362" s="29" t="str">
        <f>IFERROR(__xludf.DUMMYFUNCTION("""COMPUTED_VALUE"""),"EX-093")</f>
        <v>EX-093</v>
      </c>
      <c r="B362" s="27" t="str">
        <f>IFERROR(__xludf.DUMMYFUNCTION("""COMPUTED_VALUE"""),"Event")</f>
        <v>Event</v>
      </c>
      <c r="C362" s="27" t="str">
        <f>IFERROR(__xludf.DUMMYFUNCTION("""COMPUTED_VALUE"""),"Megumi's CD")</f>
        <v>Megumi's CD</v>
      </c>
      <c r="D362" s="27" t="str">
        <f>IFERROR(__xludf.DUMMYFUNCTION("""COMPUTED_VALUE"""),"-")</f>
        <v>-</v>
      </c>
      <c r="E362" s="27">
        <f>IFERROR(__xludf.DUMMYFUNCTION("""COMPUTED_VALUE"""),0.0)</f>
        <v>0</v>
      </c>
      <c r="F362" s="27" t="str">
        <f>IFERROR(__xludf.DUMMYFUNCTION("""COMPUTED_VALUE"""),"A")</f>
        <v>A</v>
      </c>
      <c r="G362" s="27" t="str">
        <f>IFERROR(__xludf.DUMMYFUNCTION("""COMPUTED_VALUE"""),"None")</f>
        <v>None</v>
      </c>
      <c r="H362" s="27" t="str">
        <f>IFERROR(__xludf.DUMMYFUNCTION("""COMPUTED_VALUE"""),"-")</f>
        <v>-</v>
      </c>
      <c r="I362" s="28" t="str">
        <f>IFERROR(__xludf.DUMMYFUNCTION("""COMPUTED_VALUE"""),"Apply both of the following effects in any order: ● Both players turn all of their Injured MAMODO to Normal Status ● Both players get 2 MP.")</f>
        <v>Apply both of the following effects in any order: ● Both players turn all of their Injured MAMODO to Normal Status ● Both players get 2 MP.</v>
      </c>
      <c r="J362" s="27" t="str">
        <f>IFERROR(__xludf.DUMMYFUNCTION("""COMPUTED_VALUE"""),"-")</f>
        <v>-</v>
      </c>
      <c r="K362" s="27" t="str">
        <f>IFERROR(__xludf.DUMMYFUNCTION("""COMPUTED_VALUE"""),"-")</f>
        <v>-</v>
      </c>
      <c r="L362" s="27" t="str">
        <f>IFERROR(__xludf.DUMMYFUNCTION("""COMPUTED_VALUE"""),"-")</f>
        <v>-</v>
      </c>
      <c r="M362" s="27" t="str">
        <f>IFERROR(__xludf.DUMMYFUNCTION("""COMPUTED_VALUE"""),"[C]")</f>
        <v>[C]</v>
      </c>
      <c r="N362" s="27" t="str">
        <f>IFERROR(__xludf.DUMMYFUNCTION("""COMPUTED_VALUE"""),"""It's perfect for a housewarming gift, no home's complete without it!""")</f>
        <v>"It's perfect for a housewarming gift, no home's complete without it!"</v>
      </c>
      <c r="O362" s="27"/>
      <c r="P362" s="27"/>
      <c r="Q362" s="27"/>
      <c r="R362" s="27"/>
      <c r="S362" s="27"/>
      <c r="T362" s="27"/>
      <c r="U362" s="27"/>
      <c r="V362" s="27"/>
      <c r="W362" s="27"/>
      <c r="X362" s="27"/>
      <c r="Y362" s="27"/>
      <c r="Z362" s="27"/>
    </row>
    <row r="363">
      <c r="A363" s="29" t="str">
        <f>IFERROR(__xludf.DUMMYFUNCTION("""COMPUTED_VALUE"""),"EX-094")</f>
        <v>EX-094</v>
      </c>
      <c r="B363" s="27" t="str">
        <f>IFERROR(__xludf.DUMMYFUNCTION("""COMPUTED_VALUE"""),"Event")</f>
        <v>Event</v>
      </c>
      <c r="C363" s="27" t="str">
        <f>IFERROR(__xludf.DUMMYFUNCTION("""COMPUTED_VALUE"""),"Hero Show")</f>
        <v>Hero Show</v>
      </c>
      <c r="D363" s="27" t="str">
        <f>IFERROR(__xludf.DUMMYFUNCTION("""COMPUTED_VALUE"""),"-")</f>
        <v>-</v>
      </c>
      <c r="E363" s="27">
        <f>IFERROR(__xludf.DUMMYFUNCTION("""COMPUTED_VALUE"""),4.0)</f>
        <v>4</v>
      </c>
      <c r="F363" s="27" t="str">
        <f>IFERROR(__xludf.DUMMYFUNCTION("""COMPUTED_VALUE"""),"AD")</f>
        <v>AD</v>
      </c>
      <c r="G363" s="27" t="str">
        <f>IFERROR(__xludf.DUMMYFUNCTION("""COMPUTED_VALUE"""),"None")</f>
        <v>None</v>
      </c>
      <c r="H363" s="27" t="str">
        <f>IFERROR(__xludf.DUMMYFUNCTION("""COMPUTED_VALUE"""),"-")</f>
        <v>-</v>
      </c>
      <c r="I363" s="28" t="str">
        <f>IFERROR(__xludf.DUMMYFUNCTION("""COMPUTED_VALUE"""),"Move 1 MAMODO card from your Discard Pile into play.")</f>
        <v>Move 1 MAMODO card from your Discard Pile into play.</v>
      </c>
      <c r="J363" s="27" t="str">
        <f>IFERROR(__xludf.DUMMYFUNCTION("""COMPUTED_VALUE"""),"-")</f>
        <v>-</v>
      </c>
      <c r="K363" s="27" t="str">
        <f>IFERROR(__xludf.DUMMYFUNCTION("""COMPUTED_VALUE"""),"-")</f>
        <v>-</v>
      </c>
      <c r="L363" s="27" t="str">
        <f>IFERROR(__xludf.DUMMYFUNCTION("""COMPUTED_VALUE"""),"-")</f>
        <v>-</v>
      </c>
      <c r="M363" s="27" t="str">
        <f>IFERROR(__xludf.DUMMYFUNCTION("""COMPUTED_VALUE"""),"[U]")</f>
        <v>[U]</v>
      </c>
      <c r="N363" s="27" t="str">
        <f>IFERROR(__xludf.DUMMYFUNCTION("""COMPUTED_VALUE"""),"""I'll punish this little scoundrel! Justice will prevail without fail!""")</f>
        <v>"I'll punish this little scoundrel! Justice will prevail without fail!"</v>
      </c>
      <c r="O363" s="27"/>
      <c r="P363" s="27"/>
      <c r="Q363" s="27"/>
      <c r="R363" s="27"/>
      <c r="S363" s="27"/>
      <c r="T363" s="27"/>
      <c r="U363" s="27"/>
      <c r="V363" s="27"/>
      <c r="W363" s="27"/>
      <c r="X363" s="27"/>
      <c r="Y363" s="27"/>
      <c r="Z363" s="27"/>
    </row>
    <row r="364">
      <c r="A364" s="29" t="str">
        <f>IFERROR(__xludf.DUMMYFUNCTION("""COMPUTED_VALUE"""),"EX-095")</f>
        <v>EX-095</v>
      </c>
      <c r="B364" s="27" t="str">
        <f>IFERROR(__xludf.DUMMYFUNCTION("""COMPUTED_VALUE"""),"Event")</f>
        <v>Event</v>
      </c>
      <c r="C364" s="27" t="str">
        <f>IFERROR(__xludf.DUMMYFUNCTION("""COMPUTED_VALUE"""),"Warriors From A Thousand Years Ago")</f>
        <v>Warriors From A Thousand Years Ago</v>
      </c>
      <c r="D364" s="27" t="str">
        <f>IFERROR(__xludf.DUMMYFUNCTION("""COMPUTED_VALUE"""),"-")</f>
        <v>-</v>
      </c>
      <c r="E364" s="27">
        <f>IFERROR(__xludf.DUMMYFUNCTION("""COMPUTED_VALUE"""),1.0)</f>
        <v>1</v>
      </c>
      <c r="F364" s="27" t="str">
        <f>IFERROR(__xludf.DUMMYFUNCTION("""COMPUTED_VALUE"""),"A")</f>
        <v>A</v>
      </c>
      <c r="G364" s="27" t="str">
        <f>IFERROR(__xludf.DUMMYFUNCTION("""COMPUTED_VALUE"""),"None")</f>
        <v>None</v>
      </c>
      <c r="H364" s="27" t="str">
        <f>IFERROR(__xludf.DUMMYFUNCTION("""COMPUTED_VALUE"""),"-")</f>
        <v>-</v>
      </c>
      <c r="I364" s="28" t="str">
        <f>IFERROR(__xludf.DUMMYFUNCTION("""COMPUTED_VALUE"""),"This effect can be applied only when you have 3 Stone Tablet MAMODO cards in play. [STAY] Reduce the Power of 1 of your opponent's in-play MAMODO cards to 0 during this turn.")</f>
        <v>This effect can be applied only when you have 3 Stone Tablet MAMODO cards in play. [STAY] Reduce the Power of 1 of your opponent's in-play MAMODO cards to 0 during this turn.</v>
      </c>
      <c r="J364" s="27" t="str">
        <f>IFERROR(__xludf.DUMMYFUNCTION("""COMPUTED_VALUE"""),"-")</f>
        <v>-</v>
      </c>
      <c r="K364" s="27" t="str">
        <f>IFERROR(__xludf.DUMMYFUNCTION("""COMPUTED_VALUE"""),"-")</f>
        <v>-</v>
      </c>
      <c r="L364" s="27" t="str">
        <f>IFERROR(__xludf.DUMMYFUNCTION("""COMPUTED_VALUE"""),"-")</f>
        <v>-</v>
      </c>
      <c r="M364" s="27" t="str">
        <f>IFERROR(__xludf.DUMMYFUNCTION("""COMPUTED_VALUE"""),"[C]")</f>
        <v>[C]</v>
      </c>
      <c r="N364" s="27" t="str">
        <f>IFERROR(__xludf.DUMMYFUNCTION("""COMPUTED_VALUE"""),"The mamodo from a thousand years ago, who fight in a group, have cornered the hunter Baransha.")</f>
        <v>The mamodo from a thousand years ago, who fight in a group, have cornered the hunter Baransha.</v>
      </c>
      <c r="O364" s="27"/>
      <c r="P364" s="27"/>
      <c r="Q364" s="27"/>
      <c r="R364" s="27"/>
      <c r="S364" s="27"/>
      <c r="T364" s="27"/>
      <c r="U364" s="27"/>
      <c r="V364" s="27"/>
      <c r="W364" s="27"/>
      <c r="X364" s="27"/>
      <c r="Y364" s="27"/>
      <c r="Z364" s="27"/>
    </row>
    <row r="365">
      <c r="A365" s="29" t="str">
        <f>IFERROR(__xludf.DUMMYFUNCTION("""COMPUTED_VALUE"""),"EX-096")</f>
        <v>EX-096</v>
      </c>
      <c r="B365" s="27" t="str">
        <f>IFERROR(__xludf.DUMMYFUNCTION("""COMPUTED_VALUE"""),"Event")</f>
        <v>Event</v>
      </c>
      <c r="C365" s="27" t="str">
        <f>IFERROR(__xludf.DUMMYFUNCTION("""COMPUTED_VALUE"""),"Someone Important")</f>
        <v>Someone Important</v>
      </c>
      <c r="D365" s="27" t="str">
        <f>IFERROR(__xludf.DUMMYFUNCTION("""COMPUTED_VALUE"""),"-")</f>
        <v>-</v>
      </c>
      <c r="E365" s="27">
        <f>IFERROR(__xludf.DUMMYFUNCTION("""COMPUTED_VALUE"""),0.0)</f>
        <v>0</v>
      </c>
      <c r="F365" s="27" t="str">
        <f>IFERROR(__xludf.DUMMYFUNCTION("""COMPUTED_VALUE"""),"AD")</f>
        <v>AD</v>
      </c>
      <c r="G365" s="27" t="str">
        <f>IFERROR(__xludf.DUMMYFUNCTION("""COMPUTED_VALUE"""),"None")</f>
        <v>None</v>
      </c>
      <c r="H365" s="27" t="str">
        <f>IFERROR(__xludf.DUMMYFUNCTION("""COMPUTED_VALUE"""),"-")</f>
        <v>-</v>
      </c>
      <c r="I365" s="28" t="str">
        <f>IFERROR(__xludf.DUMMYFUNCTION("""COMPUTED_VALUE"""),"Negate the card effect your opponent just applied that would send any of your in-play cards to the Discard Pile. If your opponent was applying a card effect that sends 2 or more of your in-play cards to the Discard Pile, select 1 of the targeted cards to "&amp;"keep in play, and send the rest to the Discard Pile instead.")</f>
        <v>Negate the card effect your opponent just applied that would send any of your in-play cards to the Discard Pile. If your opponent was applying a card effect that sends 2 or more of your in-play cards to the Discard Pile, select 1 of the targeted cards to keep in play, and send the rest to the Discard Pile instead.</v>
      </c>
      <c r="J365" s="27" t="str">
        <f>IFERROR(__xludf.DUMMYFUNCTION("""COMPUTED_VALUE"""),"-")</f>
        <v>-</v>
      </c>
      <c r="K365" s="27" t="str">
        <f>IFERROR(__xludf.DUMMYFUNCTION("""COMPUTED_VALUE"""),"-")</f>
        <v>-</v>
      </c>
      <c r="L365" s="27" t="str">
        <f>IFERROR(__xludf.DUMMYFUNCTION("""COMPUTED_VALUE"""),"-")</f>
        <v>-</v>
      </c>
      <c r="M365" s="27" t="str">
        <f>IFERROR(__xludf.DUMMYFUNCTION("""COMPUTED_VALUE"""),"[U]")</f>
        <v>[U]</v>
      </c>
      <c r="N365" s="27" t="str">
        <f>IFERROR(__xludf.DUMMYFUNCTION("""COMPUTED_VALUE"""),"""Let me ask you this... Even if Wonrei and I separate... what do you think will be left behind?""")</f>
        <v>"Let me ask you this... Even if Wonrei and I separate... what do you think will be left behind?"</v>
      </c>
      <c r="O365" s="27"/>
      <c r="P365" s="27"/>
      <c r="Q365" s="27"/>
      <c r="R365" s="27"/>
      <c r="S365" s="27"/>
      <c r="T365" s="27"/>
      <c r="U365" s="27"/>
      <c r="V365" s="27"/>
      <c r="W365" s="27"/>
      <c r="X365" s="27"/>
      <c r="Y365" s="27"/>
      <c r="Z365" s="27"/>
    </row>
    <row r="366">
      <c r="A366" s="29" t="str">
        <f>IFERROR(__xludf.DUMMYFUNCTION("""COMPUTED_VALUE"""),"EX-097")</f>
        <v>EX-097</v>
      </c>
      <c r="B366" s="27" t="str">
        <f>IFERROR(__xludf.DUMMYFUNCTION("""COMPUTED_VALUE"""),"Event")</f>
        <v>Event</v>
      </c>
      <c r="C366" s="27" t="str">
        <f>IFERROR(__xludf.DUMMYFUNCTION("""COMPUTED_VALUE"""),"Mysterious Stone Tablets")</f>
        <v>Mysterious Stone Tablets</v>
      </c>
      <c r="D366" s="27" t="str">
        <f>IFERROR(__xludf.DUMMYFUNCTION("""COMPUTED_VALUE"""),"-")</f>
        <v>-</v>
      </c>
      <c r="E366" s="27">
        <f>IFERROR(__xludf.DUMMYFUNCTION("""COMPUTED_VALUE"""),2.0)</f>
        <v>2</v>
      </c>
      <c r="F366" s="27" t="str">
        <f>IFERROR(__xludf.DUMMYFUNCTION("""COMPUTED_VALUE"""),"A")</f>
        <v>A</v>
      </c>
      <c r="G366" s="27" t="str">
        <f>IFERROR(__xludf.DUMMYFUNCTION("""COMPUTED_VALUE"""),"None")</f>
        <v>None</v>
      </c>
      <c r="H366" s="27" t="str">
        <f>IFERROR(__xludf.DUMMYFUNCTION("""COMPUTED_VALUE"""),"-")</f>
        <v>-</v>
      </c>
      <c r="I366" s="28" t="str">
        <f>IFERROR(__xludf.DUMMYFUNCTION("""COMPUTED_VALUE"""),"Petrify 1 of your opponent's Stone Tablet MAMODO cards.")</f>
        <v>Petrify 1 of your opponent's Stone Tablet MAMODO cards.</v>
      </c>
      <c r="J366" s="27" t="str">
        <f>IFERROR(__xludf.DUMMYFUNCTION("""COMPUTED_VALUE"""),"-")</f>
        <v>-</v>
      </c>
      <c r="K366" s="27" t="str">
        <f>IFERROR(__xludf.DUMMYFUNCTION("""COMPUTED_VALUE"""),"-")</f>
        <v>-</v>
      </c>
      <c r="L366" s="27" t="str">
        <f>IFERROR(__xludf.DUMMYFUNCTION("""COMPUTED_VALUE"""),"-")</f>
        <v>-</v>
      </c>
      <c r="M366" s="27" t="str">
        <f>IFERROR(__xludf.DUMMYFUNCTION("""COMPUTED_VALUE"""),"[C]")</f>
        <v>[C]</v>
      </c>
      <c r="N366" s="27" t="str">
        <f>IFERROR(__xludf.DUMMYFUNCTION("""COMPUTED_VALUE"""),"Over 40 mamodo from a thousand years ago were awakened from within these stone tablets.")</f>
        <v>Over 40 mamodo from a thousand years ago were awakened from within these stone tablets.</v>
      </c>
      <c r="O366" s="27"/>
      <c r="P366" s="27"/>
      <c r="Q366" s="27"/>
      <c r="R366" s="27"/>
      <c r="S366" s="27"/>
      <c r="T366" s="27"/>
      <c r="U366" s="27"/>
      <c r="V366" s="27"/>
      <c r="W366" s="27"/>
      <c r="X366" s="27"/>
      <c r="Y366" s="27"/>
      <c r="Z366" s="27"/>
    </row>
    <row r="367">
      <c r="A367" s="29" t="str">
        <f>IFERROR(__xludf.DUMMYFUNCTION("""COMPUTED_VALUE"""),"EX-098")</f>
        <v>EX-098</v>
      </c>
      <c r="B367" s="27" t="str">
        <f>IFERROR(__xludf.DUMMYFUNCTION("""COMPUTED_VALUE"""),"Event")</f>
        <v>Event</v>
      </c>
      <c r="C367" s="27" t="str">
        <f>IFERROR(__xludf.DUMMYFUNCTION("""COMPUTED_VALUE"""),"Folgore's CD")</f>
        <v>Folgore's CD</v>
      </c>
      <c r="D367" s="27" t="str">
        <f>IFERROR(__xludf.DUMMYFUNCTION("""COMPUTED_VALUE"""),"-")</f>
        <v>-</v>
      </c>
      <c r="E367" s="27">
        <f>IFERROR(__xludf.DUMMYFUNCTION("""COMPUTED_VALUE"""),0.0)</f>
        <v>0</v>
      </c>
      <c r="F367" s="27" t="str">
        <f>IFERROR(__xludf.DUMMYFUNCTION("""COMPUTED_VALUE"""),"A")</f>
        <v>A</v>
      </c>
      <c r="G367" s="27" t="str">
        <f>IFERROR(__xludf.DUMMYFUNCTION("""COMPUTED_VALUE"""),"None")</f>
        <v>None</v>
      </c>
      <c r="H367" s="27" t="str">
        <f>IFERROR(__xludf.DUMMYFUNCTION("""COMPUTED_VALUE"""),"-")</f>
        <v>-</v>
      </c>
      <c r="I367" s="28" t="str">
        <f>IFERROR(__xludf.DUMMYFUNCTION("""COMPUTED_VALUE"""),"Reduce your MP by any amount. Then, reduce your opponent's MP by an equal amount.")</f>
        <v>Reduce your MP by any amount. Then, reduce your opponent's MP by an equal amount.</v>
      </c>
      <c r="J367" s="27" t="str">
        <f>IFERROR(__xludf.DUMMYFUNCTION("""COMPUTED_VALUE"""),"-")</f>
        <v>-</v>
      </c>
      <c r="K367" s="27" t="str">
        <f>IFERROR(__xludf.DUMMYFUNCTION("""COMPUTED_VALUE"""),"-")</f>
        <v>-</v>
      </c>
      <c r="L367" s="27" t="str">
        <f>IFERROR(__xludf.DUMMYFUNCTION("""COMPUTED_VALUE"""),"-")</f>
        <v>-</v>
      </c>
      <c r="M367" s="27" t="str">
        <f>IFERROR(__xludf.DUMMYFUNCTION("""COMPUTED_VALUE"""),"[R]")</f>
        <v>[R]</v>
      </c>
      <c r="N367" s="27" t="str">
        <f>IFERROR(__xludf.DUMMYFUNCTION("""COMPUTED_VALUE"""),"""Here you go, have a copy of my latest hit song!"" ""Hey, Hey, Let's Dance All Day?""")</f>
        <v>"Here you go, have a copy of my latest hit song!" "Hey, Hey, Let's Dance All Day?"</v>
      </c>
      <c r="O367" s="27"/>
      <c r="P367" s="27"/>
      <c r="Q367" s="27"/>
      <c r="R367" s="27"/>
      <c r="S367" s="27"/>
      <c r="T367" s="27"/>
      <c r="U367" s="27"/>
      <c r="V367" s="27"/>
      <c r="W367" s="27"/>
      <c r="X367" s="27"/>
      <c r="Y367" s="27"/>
      <c r="Z367" s="27"/>
    </row>
    <row r="368">
      <c r="A368" s="29" t="str">
        <f>IFERROR(__xludf.DUMMYFUNCTION("""COMPUTED_VALUE"""),"EX-099")</f>
        <v>EX-099</v>
      </c>
      <c r="B368" s="27" t="str">
        <f>IFERROR(__xludf.DUMMYFUNCTION("""COMPUTED_VALUE"""),"Mamodo")</f>
        <v>Mamodo</v>
      </c>
      <c r="C368" s="27" t="str">
        <f>IFERROR(__xludf.DUMMYFUNCTION("""COMPUTED_VALUE"""),"Zatch Bell")</f>
        <v>Zatch Bell</v>
      </c>
      <c r="D368" s="27" t="str">
        <f>IFERROR(__xludf.DUMMYFUNCTION("""COMPUTED_VALUE"""),"Zatch Bell")</f>
        <v>Zatch Bell</v>
      </c>
      <c r="E368" s="27" t="str">
        <f>IFERROR(__xludf.DUMMYFUNCTION("""COMPUTED_VALUE"""),"-")</f>
        <v>-</v>
      </c>
      <c r="F368" s="27" t="str">
        <f>IFERROR(__xludf.DUMMYFUNCTION("""COMPUTED_VALUE"""),"-")</f>
        <v>-</v>
      </c>
      <c r="G368" s="27" t="str">
        <f>IFERROR(__xludf.DUMMYFUNCTION("""COMPUTED_VALUE"""),"None")</f>
        <v>None</v>
      </c>
      <c r="H368" s="27" t="str">
        <f>IFERROR(__xludf.DUMMYFUNCTION("""COMPUTED_VALUE"""),"Crybaby Zatch")</f>
        <v>Crybaby Zatch</v>
      </c>
      <c r="I368" s="28" t="str">
        <f>IFERROR(__xludf.DUMMYFUNCTION("""COMPUTED_VALUE"""),"[IN PLAY] This MAMODO card cannot be a target of any card effects when it is the only MAMODO card you have in play.")</f>
        <v>[IN PLAY] This MAMODO card cannot be a target of any card effects when it is the only MAMODO card you have in play.</v>
      </c>
      <c r="J368" s="27">
        <f>IFERROR(__xludf.DUMMYFUNCTION("""COMPUTED_VALUE"""),4000.0)</f>
        <v>4000</v>
      </c>
      <c r="K368" s="27" t="str">
        <f>IFERROR(__xludf.DUMMYFUNCTION("""COMPUTED_VALUE"""),"-")</f>
        <v>-</v>
      </c>
      <c r="L368" s="27" t="str">
        <f>IFERROR(__xludf.DUMMYFUNCTION("""COMPUTED_VALUE"""),"-")</f>
        <v>-</v>
      </c>
      <c r="M368" s="27" t="str">
        <f>IFERROR(__xludf.DUMMYFUNCTION("""COMPUTED_VALUE"""),"[R]")</f>
        <v>[R]</v>
      </c>
      <c r="N368" s="27" t="str">
        <f>IFERROR(__xludf.DUMMYFUNCTION("""COMPUTED_VALUE"""),"""Waaaah! Enough already! Kiyo, why do you have to be so mean?!""")</f>
        <v>"Waaaah! Enough already! Kiyo, why do you have to be so mean?!"</v>
      </c>
      <c r="O368" s="27"/>
      <c r="P368" s="27"/>
      <c r="Q368" s="27"/>
      <c r="R368" s="27"/>
      <c r="S368" s="27"/>
      <c r="T368" s="27"/>
      <c r="U368" s="27"/>
      <c r="V368" s="27"/>
      <c r="W368" s="27"/>
      <c r="X368" s="27"/>
      <c r="Y368" s="27"/>
      <c r="Z368" s="27"/>
    </row>
    <row r="369">
      <c r="A369" s="29" t="str">
        <f>IFERROR(__xludf.DUMMYFUNCTION("""COMPUTED_VALUE"""),"EX-100")</f>
        <v>EX-100</v>
      </c>
      <c r="B369" s="27" t="str">
        <f>IFERROR(__xludf.DUMMYFUNCTION("""COMPUTED_VALUE"""),"Event")</f>
        <v>Event</v>
      </c>
      <c r="C369" s="27" t="str">
        <f>IFERROR(__xludf.DUMMYFUNCTION("""COMPUTED_VALUE"""),"Treasure Map")</f>
        <v>Treasure Map</v>
      </c>
      <c r="D369" s="27" t="str">
        <f>IFERROR(__xludf.DUMMYFUNCTION("""COMPUTED_VALUE"""),"-")</f>
        <v>-</v>
      </c>
      <c r="E369" s="27">
        <f>IFERROR(__xludf.DUMMYFUNCTION("""COMPUTED_VALUE"""),0.0)</f>
        <v>0</v>
      </c>
      <c r="F369" s="27" t="str">
        <f>IFERROR(__xludf.DUMMYFUNCTION("""COMPUTED_VALUE"""),"A")</f>
        <v>A</v>
      </c>
      <c r="G369" s="27" t="str">
        <f>IFERROR(__xludf.DUMMYFUNCTION("""COMPUTED_VALUE"""),"None")</f>
        <v>None</v>
      </c>
      <c r="H369" s="27" t="str">
        <f>IFERROR(__xludf.DUMMYFUNCTION("""COMPUTED_VALUE"""),"-")</f>
        <v>-</v>
      </c>
      <c r="I369" s="28" t="str">
        <f>IFERROR(__xludf.DUMMYFUNCTION("""COMPUTED_VALUE"""),"Flip a coin twice; if you get heads twice, get 5 MP.")</f>
        <v>Flip a coin twice; if you get heads twice, get 5 MP.</v>
      </c>
      <c r="J369" s="27" t="str">
        <f>IFERROR(__xludf.DUMMYFUNCTION("""COMPUTED_VALUE"""),"-")</f>
        <v>-</v>
      </c>
      <c r="K369" s="27" t="str">
        <f>IFERROR(__xludf.DUMMYFUNCTION("""COMPUTED_VALUE"""),"-")</f>
        <v>-</v>
      </c>
      <c r="L369" s="27" t="str">
        <f>IFERROR(__xludf.DUMMYFUNCTION("""COMPUTED_VALUE"""),"-")</f>
        <v>-</v>
      </c>
      <c r="M369" s="27" t="str">
        <f>IFERROR(__xludf.DUMMYFUNCTION("""COMPUTED_VALUE"""),"[R]")</f>
        <v>[R]</v>
      </c>
      <c r="N369" s="27" t="str">
        <f>IFERROR(__xludf.DUMMYFUNCTION("""COMPUTED_VALUE"""),"It was supposed to be a fun search for a secret hot spring, but...")</f>
        <v>It was supposed to be a fun search for a secret hot spring, but...</v>
      </c>
      <c r="O369" s="27"/>
      <c r="P369" s="27"/>
      <c r="Q369" s="27"/>
      <c r="R369" s="27"/>
      <c r="S369" s="27"/>
      <c r="T369" s="27"/>
      <c r="U369" s="27"/>
      <c r="V369" s="27"/>
      <c r="W369" s="27"/>
      <c r="X369" s="27"/>
      <c r="Y369" s="27"/>
      <c r="Z369" s="27"/>
    </row>
    <row r="370">
      <c r="A370" s="29" t="str">
        <f>IFERROR(__xludf.DUMMYFUNCTION("""COMPUTED_VALUE"""),"EX-101")</f>
        <v>EX-101</v>
      </c>
      <c r="B370" s="27" t="str">
        <f>IFERROR(__xludf.DUMMYFUNCTION("""COMPUTED_VALUE"""),"Event")</f>
        <v>Event</v>
      </c>
      <c r="C370" s="27" t="str">
        <f>IFERROR(__xludf.DUMMYFUNCTION("""COMPUTED_VALUE"""),"Mileage Card")</f>
        <v>Mileage Card</v>
      </c>
      <c r="D370" s="27" t="str">
        <f>IFERROR(__xludf.DUMMYFUNCTION("""COMPUTED_VALUE"""),"-")</f>
        <v>-</v>
      </c>
      <c r="E370" s="27">
        <f>IFERROR(__xludf.DUMMYFUNCTION("""COMPUTED_VALUE"""),2.0)</f>
        <v>2</v>
      </c>
      <c r="F370" s="27" t="str">
        <f>IFERROR(__xludf.DUMMYFUNCTION("""COMPUTED_VALUE"""),"A")</f>
        <v>A</v>
      </c>
      <c r="G370" s="27" t="str">
        <f>IFERROR(__xludf.DUMMYFUNCTION("""COMPUTED_VALUE"""),"None")</f>
        <v>None</v>
      </c>
      <c r="H370" s="27" t="str">
        <f>IFERROR(__xludf.DUMMYFUNCTION("""COMPUTED_VALUE"""),"-")</f>
        <v>-</v>
      </c>
      <c r="I370" s="28" t="str">
        <f>IFERROR(__xludf.DUMMYFUNCTION("""COMPUTED_VALUE"""),"[STANDBY] At the END PHASE of this turn, get MP equal to half of the MP you spent or lost (rounded down) during this turn's BATTLE PHASE.")</f>
        <v>[STANDBY] At the END PHASE of this turn, get MP equal to half of the MP you spent or lost (rounded down) during this turn's BATTLE PHASE.</v>
      </c>
      <c r="J370" s="27" t="str">
        <f>IFERROR(__xludf.DUMMYFUNCTION("""COMPUTED_VALUE"""),"-")</f>
        <v>-</v>
      </c>
      <c r="K370" s="27" t="str">
        <f>IFERROR(__xludf.DUMMYFUNCTION("""COMPUTED_VALUE"""),"-")</f>
        <v>-</v>
      </c>
      <c r="L370" s="27" t="str">
        <f>IFERROR(__xludf.DUMMYFUNCTION("""COMPUTED_VALUE"""),"-")</f>
        <v>-</v>
      </c>
      <c r="M370" s="27" t="str">
        <f>IFERROR(__xludf.DUMMYFUNCTION("""COMPUTED_VALUE"""),"[R]")</f>
        <v>[R]</v>
      </c>
      <c r="N370" s="27" t="str">
        <f>IFERROR(__xludf.DUMMYFUNCTION("""COMPUTED_VALUE"""),"""Aren't I the greatest person who ever lived? Hee hee hee hee! I'm great, I'm great, I'm great! I'm great, I'm great, I'm great!""")</f>
        <v>"Aren't I the greatest person who ever lived? Hee hee hee hee! I'm great, I'm great, I'm great! I'm great, I'm great, I'm great!"</v>
      </c>
      <c r="O370" s="27"/>
      <c r="P370" s="27"/>
      <c r="Q370" s="27"/>
      <c r="R370" s="27"/>
      <c r="S370" s="27"/>
      <c r="T370" s="27"/>
      <c r="U370" s="27"/>
      <c r="V370" s="27"/>
      <c r="W370" s="27"/>
      <c r="X370" s="27"/>
      <c r="Y370" s="27"/>
      <c r="Z370" s="27"/>
    </row>
    <row r="371">
      <c r="A371" s="29" t="str">
        <f>IFERROR(__xludf.DUMMYFUNCTION("""COMPUTED_VALUE"""),"KIRE-001")</f>
        <v>KIRE-001</v>
      </c>
      <c r="B371" s="27" t="str">
        <f>IFERROR(__xludf.DUMMYFUNCTION("""COMPUTED_VALUE"""),"Kiremaro")</f>
        <v>Kiremaro</v>
      </c>
      <c r="C371" s="27" t="str">
        <f>IFERROR(__xludf.DUMMYFUNCTION("""COMPUTED_VALUE"""),"Kiremaro")</f>
        <v>Kiremaro</v>
      </c>
      <c r="D371" s="27" t="str">
        <f>IFERROR(__xludf.DUMMYFUNCTION("""COMPUTED_VALUE"""),"-")</f>
        <v>-</v>
      </c>
      <c r="E371" s="27" t="str">
        <f>IFERROR(__xludf.DUMMYFUNCTION("""COMPUTED_VALUE"""),"-")</f>
        <v>-</v>
      </c>
      <c r="F371" s="27" t="str">
        <f>IFERROR(__xludf.DUMMYFUNCTION("""COMPUTED_VALUE"""),"-")</f>
        <v>-</v>
      </c>
      <c r="G371" s="27" t="str">
        <f>IFERROR(__xludf.DUMMYFUNCTION("""COMPUTED_VALUE"""),"None")</f>
        <v>None</v>
      </c>
      <c r="H371" s="27" t="str">
        <f>IFERROR(__xludf.DUMMYFUNCTION("""COMPUTED_VALUE"""),"-")</f>
        <v>-</v>
      </c>
      <c r="I371" s="28" t="str">
        <f>IFERROR(__xludf.DUMMYFUNCTION("""COMPUTED_VALUE"""),"A KIREMARO card can be put in play from the currently open pages of your Spell Book during either player's BATTLE PHASE. You can apply the effects of a KIREMARO card on your side of play. [SEND THIS CARD TO THE DISCARD PILE] Send all of your in-play PARTN"&amp;"ER cards to the Discard Pile.")</f>
        <v>A KIREMARO card can be put in play from the currently open pages of your Spell Book during either player's BATTLE PHASE. You can apply the effects of a KIREMARO card on your side of play. [SEND THIS CARD TO THE DISCARD PILE] Send all of your in-play PARTNER cards to the Discard Pile.</v>
      </c>
      <c r="J371" s="27" t="str">
        <f>IFERROR(__xludf.DUMMYFUNCTION("""COMPUTED_VALUE"""),"-")</f>
        <v>-</v>
      </c>
      <c r="K371" s="27" t="str">
        <f>IFERROR(__xludf.DUMMYFUNCTION("""COMPUTED_VALUE"""),"-")</f>
        <v>-</v>
      </c>
      <c r="L371" s="27" t="str">
        <f>IFERROR(__xludf.DUMMYFUNCTION("""COMPUTED_VALUE"""),"-")</f>
        <v>-</v>
      </c>
      <c r="M371" s="27" t="str">
        <f>IFERROR(__xludf.DUMMYFUNCTION("""COMPUTED_VALUE"""),"[R]")</f>
        <v>[R]</v>
      </c>
      <c r="N371" s="27" t="str">
        <f>IFERROR(__xludf.DUMMYFUNCTION("""COMPUTED_VALUE"""),"""The Card Battle Master, Kiremaro, has arrived!""")</f>
        <v>"The Card Battle Master, Kiremaro, has arrived!"</v>
      </c>
      <c r="O371" s="27"/>
      <c r="P371" s="27"/>
      <c r="Q371" s="27"/>
      <c r="R371" s="27"/>
      <c r="S371" s="27"/>
      <c r="T371" s="27"/>
      <c r="U371" s="27"/>
      <c r="V371" s="27"/>
      <c r="W371" s="27"/>
      <c r="X371" s="27"/>
      <c r="Y371" s="27"/>
      <c r="Z371" s="27"/>
    </row>
    <row r="372">
      <c r="A372" s="29" t="str">
        <f>IFERROR(__xludf.DUMMYFUNCTION("""COMPUTED_VALUE"""),"KIRE-002")</f>
        <v>KIRE-002</v>
      </c>
      <c r="B372" s="27" t="str">
        <f>IFERROR(__xludf.DUMMYFUNCTION("""COMPUTED_VALUE"""),"S Kiremaro")</f>
        <v>S Kiremaro</v>
      </c>
      <c r="C372" s="27" t="str">
        <f>IFERROR(__xludf.DUMMYFUNCTION("""COMPUTED_VALUE"""),"Kiremaro")</f>
        <v>Kiremaro</v>
      </c>
      <c r="D372" s="27" t="str">
        <f>IFERROR(__xludf.DUMMYFUNCTION("""COMPUTED_VALUE"""),"-")</f>
        <v>-</v>
      </c>
      <c r="E372" s="27" t="str">
        <f>IFERROR(__xludf.DUMMYFUNCTION("""COMPUTED_VALUE"""),"-")</f>
        <v>-</v>
      </c>
      <c r="F372" s="27" t="str">
        <f>IFERROR(__xludf.DUMMYFUNCTION("""COMPUTED_VALUE"""),"-")</f>
        <v>-</v>
      </c>
      <c r="G372" s="27" t="str">
        <f>IFERROR(__xludf.DUMMYFUNCTION("""COMPUTED_VALUE"""),"Intermediate")</f>
        <v>Intermediate</v>
      </c>
      <c r="H372" s="27" t="str">
        <f>IFERROR(__xludf.DUMMYFUNCTION("""COMPUTED_VALUE"""),"-")</f>
        <v>-</v>
      </c>
      <c r="I372" s="28" t="str">
        <f>IFERROR(__xludf.DUMMYFUNCTION("""COMPUTED_VALUE"""),"This card is placed on a regular Kiremaro card. A KIREMARO card can be put in play from the currently open pages of your Spell Book during either player's BATTLE PHASE. You can apply the effects of a KIREMARO card on your side of play. [DECLARE TO USE] Se"&amp;"nd any number of your in-play MAMODO cards to the Discard Pile.")</f>
        <v>This card is placed on a regular Kiremaro card. A KIREMARO card can be put in play from the currently open pages of your Spell Book during either player's BATTLE PHASE. You can apply the effects of a KIREMARO card on your side of play. [DECLARE TO USE] Send any number of your in-play MAMODO cards to the Discard Pile.</v>
      </c>
      <c r="J372" s="27" t="str">
        <f>IFERROR(__xludf.DUMMYFUNCTION("""COMPUTED_VALUE"""),"-")</f>
        <v>-</v>
      </c>
      <c r="K372" s="27" t="str">
        <f>IFERROR(__xludf.DUMMYFUNCTION("""COMPUTED_VALUE"""),"-")</f>
        <v>-</v>
      </c>
      <c r="L372" s="27" t="str">
        <f>IFERROR(__xludf.DUMMYFUNCTION("""COMPUTED_VALUE"""),"-")</f>
        <v>-</v>
      </c>
      <c r="M372" s="27" t="str">
        <f>IFERROR(__xludf.DUMMYFUNCTION("""COMPUTED_VALUE"""),"[R]")</f>
        <v>[R]</v>
      </c>
      <c r="N372" s="27" t="str">
        <f>IFERROR(__xludf.DUMMYFUNCTION("""COMPUTED_VALUE"""),"Kiremaro's burning passion for cards has powered him up.")</f>
        <v>Kiremaro's burning passion for cards has powered him up.</v>
      </c>
      <c r="O372" s="27"/>
      <c r="P372" s="27"/>
      <c r="Q372" s="27"/>
      <c r="R372" s="27"/>
      <c r="S372" s="27"/>
      <c r="T372" s="27"/>
      <c r="U372" s="27"/>
      <c r="V372" s="27"/>
      <c r="W372" s="27"/>
      <c r="X372" s="27"/>
      <c r="Y372" s="27"/>
      <c r="Z372" s="27"/>
    </row>
    <row r="373">
      <c r="A373" s="29" t="str">
        <f>IFERROR(__xludf.DUMMYFUNCTION("""COMPUTED_VALUE"""),"M-001")</f>
        <v>M-001</v>
      </c>
      <c r="B373" s="27" t="str">
        <f>IFERROR(__xludf.DUMMYFUNCTION("""COMPUTED_VALUE"""),"Mamodo")</f>
        <v>Mamodo</v>
      </c>
      <c r="C373" s="27" t="str">
        <f>IFERROR(__xludf.DUMMYFUNCTION("""COMPUTED_VALUE"""),"Zatch Bell")</f>
        <v>Zatch Bell</v>
      </c>
      <c r="D373" s="27" t="str">
        <f>IFERROR(__xludf.DUMMYFUNCTION("""COMPUTED_VALUE"""),"Zatch Bell")</f>
        <v>Zatch Bell</v>
      </c>
      <c r="E373" s="27" t="str">
        <f>IFERROR(__xludf.DUMMYFUNCTION("""COMPUTED_VALUE"""),"-")</f>
        <v>-</v>
      </c>
      <c r="F373" s="27" t="str">
        <f>IFERROR(__xludf.DUMMYFUNCTION("""COMPUTED_VALUE"""),"-")</f>
        <v>-</v>
      </c>
      <c r="G373" s="27" t="str">
        <f>IFERROR(__xludf.DUMMYFUNCTION("""COMPUTED_VALUE"""),"None")</f>
        <v>None</v>
      </c>
      <c r="H373" s="27" t="str">
        <f>IFERROR(__xludf.DUMMYFUNCTION("""COMPUTED_VALUE"""),"Kind King")</f>
        <v>Kind King</v>
      </c>
      <c r="I373" s="28" t="str">
        <f>IFERROR(__xludf.DUMMYFUNCTION("""COMPUTED_VALUE"""),"[1 MP] [STAY] Add 1000 Power to this MAMODO card during the Battle when it Attacks.")</f>
        <v>[1 MP] [STAY] Add 1000 Power to this MAMODO card during the Battle when it Attacks.</v>
      </c>
      <c r="J373" s="27">
        <f>IFERROR(__xludf.DUMMYFUNCTION("""COMPUTED_VALUE"""),4000.0)</f>
        <v>4000</v>
      </c>
      <c r="K373" s="27" t="str">
        <f>IFERROR(__xludf.DUMMYFUNCTION("""COMPUTED_VALUE"""),"-")</f>
        <v>-</v>
      </c>
      <c r="L373" s="27" t="str">
        <f>IFERROR(__xludf.DUMMYFUNCTION("""COMPUTED_VALUE"""),"Series 1, Level 1")</f>
        <v>Series 1, Level 1</v>
      </c>
      <c r="M373" s="27" t="str">
        <f>IFERROR(__xludf.DUMMYFUNCTION("""COMPUTED_VALUE"""),"[C]")</f>
        <v>[C]</v>
      </c>
      <c r="N373" s="27" t="str">
        <f>IFERROR(__xludf.DUMMYFUNCTION("""COMPUTED_VALUE"""),"He was found and saved by Kiyo's father in a forest in England.")</f>
        <v>He was found and saved by Kiyo's father in a forest in England.</v>
      </c>
      <c r="O373" s="27"/>
      <c r="P373" s="27"/>
      <c r="Q373" s="27"/>
      <c r="R373" s="27"/>
      <c r="S373" s="27"/>
      <c r="T373" s="27"/>
      <c r="U373" s="27"/>
      <c r="V373" s="27"/>
      <c r="W373" s="27"/>
      <c r="X373" s="27"/>
      <c r="Y373" s="27"/>
      <c r="Z373" s="27"/>
    </row>
    <row r="374">
      <c r="A374" s="29" t="str">
        <f>IFERROR(__xludf.DUMMYFUNCTION("""COMPUTED_VALUE"""),"M-002")</f>
        <v>M-002</v>
      </c>
      <c r="B374" s="27" t="str">
        <f>IFERROR(__xludf.DUMMYFUNCTION("""COMPUTED_VALUE"""),"Mamodo")</f>
        <v>Mamodo</v>
      </c>
      <c r="C374" s="27" t="str">
        <f>IFERROR(__xludf.DUMMYFUNCTION("""COMPUTED_VALUE"""),"Zatch Bell")</f>
        <v>Zatch Bell</v>
      </c>
      <c r="D374" s="27" t="str">
        <f>IFERROR(__xludf.DUMMYFUNCTION("""COMPUTED_VALUE"""),"Zatch Bell")</f>
        <v>Zatch Bell</v>
      </c>
      <c r="E374" s="27" t="str">
        <f>IFERROR(__xludf.DUMMYFUNCTION("""COMPUTED_VALUE"""),"-")</f>
        <v>-</v>
      </c>
      <c r="F374" s="27" t="str">
        <f>IFERROR(__xludf.DUMMYFUNCTION("""COMPUTED_VALUE"""),"-")</f>
        <v>-</v>
      </c>
      <c r="G374" s="27" t="str">
        <f>IFERROR(__xludf.DUMMYFUNCTION("""COMPUTED_VALUE"""),"None")</f>
        <v>None</v>
      </c>
      <c r="H374" s="27" t="str">
        <f>IFERROR(__xludf.DUMMYFUNCTION("""COMPUTED_VALUE"""),"Dropout Zatch")</f>
        <v>Dropout Zatch</v>
      </c>
      <c r="I374" s="28" t="str">
        <f>IFERROR(__xludf.DUMMYFUNCTION("""COMPUTED_VALUE"""),"[IN PLAY] If you have 2 MP or less at your START PHASE, get 1 MP.")</f>
        <v>[IN PLAY] If you have 2 MP or less at your START PHASE, get 1 MP.</v>
      </c>
      <c r="J374" s="27">
        <f>IFERROR(__xludf.DUMMYFUNCTION("""COMPUTED_VALUE"""),3000.0)</f>
        <v>3000</v>
      </c>
      <c r="K374" s="27" t="str">
        <f>IFERROR(__xludf.DUMMYFUNCTION("""COMPUTED_VALUE"""),"-")</f>
        <v>-</v>
      </c>
      <c r="L374" s="27" t="str">
        <f>IFERROR(__xludf.DUMMYFUNCTION("""COMPUTED_VALUE"""),"Series 1, Level 1")</f>
        <v>Series 1, Level 1</v>
      </c>
      <c r="M374" s="27" t="str">
        <f>IFERROR(__xludf.DUMMYFUNCTION("""COMPUTED_VALUE"""),"[R]")</f>
        <v>[R]</v>
      </c>
      <c r="N374" s="27" t="str">
        <f>IFERROR(__xludf.DUMMYFUNCTION("""COMPUTED_VALUE"""),"He was an outcast among the other kids in his world.")</f>
        <v>He was an outcast among the other kids in his world.</v>
      </c>
      <c r="O374" s="27"/>
      <c r="P374" s="27"/>
      <c r="Q374" s="27"/>
      <c r="R374" s="27"/>
      <c r="S374" s="27"/>
      <c r="T374" s="27"/>
      <c r="U374" s="27"/>
      <c r="V374" s="27"/>
      <c r="W374" s="27"/>
      <c r="X374" s="27"/>
      <c r="Y374" s="27"/>
      <c r="Z374" s="27"/>
    </row>
    <row r="375">
      <c r="A375" s="29" t="str">
        <f>IFERROR(__xludf.DUMMYFUNCTION("""COMPUTED_VALUE"""),"M-003")</f>
        <v>M-003</v>
      </c>
      <c r="B375" s="27" t="str">
        <f>IFERROR(__xludf.DUMMYFUNCTION("""COMPUTED_VALUE"""),"Mamodo")</f>
        <v>Mamodo</v>
      </c>
      <c r="C375" s="27" t="str">
        <f>IFERROR(__xludf.DUMMYFUNCTION("""COMPUTED_VALUE"""),"Zatch Bell")</f>
        <v>Zatch Bell</v>
      </c>
      <c r="D375" s="27" t="str">
        <f>IFERROR(__xludf.DUMMYFUNCTION("""COMPUTED_VALUE"""),"Zatch Bell")</f>
        <v>Zatch Bell</v>
      </c>
      <c r="E375" s="27" t="str">
        <f>IFERROR(__xludf.DUMMYFUNCTION("""COMPUTED_VALUE"""),"-")</f>
        <v>-</v>
      </c>
      <c r="F375" s="27" t="str">
        <f>IFERROR(__xludf.DUMMYFUNCTION("""COMPUTED_VALUE"""),"-")</f>
        <v>-</v>
      </c>
      <c r="G375" s="27" t="str">
        <f>IFERROR(__xludf.DUMMYFUNCTION("""COMPUTED_VALUE"""),"None")</f>
        <v>None</v>
      </c>
      <c r="H375" s="27" t="str">
        <f>IFERROR(__xludf.DUMMYFUNCTION("""COMPUTED_VALUE"""),"Injured Hero")</f>
        <v>Injured Hero</v>
      </c>
      <c r="I375" s="28" t="str">
        <f>IFERROR(__xludf.DUMMYFUNCTION("""COMPUTED_VALUE"""),"[IN PLAY] Add 1000 Power to this MAMODO card when it is in Injured Status.")</f>
        <v>[IN PLAY] Add 1000 Power to this MAMODO card when it is in Injured Status.</v>
      </c>
      <c r="J375" s="27">
        <f>IFERROR(__xludf.DUMMYFUNCTION("""COMPUTED_VALUE"""),4000.0)</f>
        <v>4000</v>
      </c>
      <c r="K375" s="27" t="str">
        <f>IFERROR(__xludf.DUMMYFUNCTION("""COMPUTED_VALUE"""),"-")</f>
        <v>-</v>
      </c>
      <c r="L375" s="27" t="str">
        <f>IFERROR(__xludf.DUMMYFUNCTION("""COMPUTED_VALUE"""),"Series 1, Level 1, The Best Booster 1")</f>
        <v>Series 1, Level 1, The Best Booster 1</v>
      </c>
      <c r="M375" s="27" t="str">
        <f>IFERROR(__xludf.DUMMYFUNCTION("""COMPUTED_VALUE"""),"[SR]")</f>
        <v>[SR]</v>
      </c>
      <c r="N375" s="27" t="str">
        <f>IFERROR(__xludf.DUMMYFUNCTION("""COMPUTED_VALUE"""),"His strong will to win makes him even stronger.")</f>
        <v>His strong will to win makes him even stronger.</v>
      </c>
      <c r="O375" s="27"/>
      <c r="P375" s="27"/>
      <c r="Q375" s="27"/>
      <c r="R375" s="27"/>
      <c r="S375" s="27"/>
      <c r="T375" s="27"/>
      <c r="U375" s="27"/>
      <c r="V375" s="27"/>
      <c r="W375" s="27"/>
      <c r="X375" s="27"/>
      <c r="Y375" s="27"/>
      <c r="Z375" s="27"/>
    </row>
    <row r="376">
      <c r="A376" s="29" t="str">
        <f>IFERROR(__xludf.DUMMYFUNCTION("""COMPUTED_VALUE"""),"M-004")</f>
        <v>M-004</v>
      </c>
      <c r="B376" s="27" t="str">
        <f>IFERROR(__xludf.DUMMYFUNCTION("""COMPUTED_VALUE"""),"Mamodo")</f>
        <v>Mamodo</v>
      </c>
      <c r="C376" s="27" t="str">
        <f>IFERROR(__xludf.DUMMYFUNCTION("""COMPUTED_VALUE"""),"Reycom")</f>
        <v>Reycom</v>
      </c>
      <c r="D376" s="27" t="str">
        <f>IFERROR(__xludf.DUMMYFUNCTION("""COMPUTED_VALUE"""),"Reycom")</f>
        <v>Reycom</v>
      </c>
      <c r="E376" s="27" t="str">
        <f>IFERROR(__xludf.DUMMYFUNCTION("""COMPUTED_VALUE"""),"-")</f>
        <v>-</v>
      </c>
      <c r="F376" s="27" t="str">
        <f>IFERROR(__xludf.DUMMYFUNCTION("""COMPUTED_VALUE"""),"-")</f>
        <v>-</v>
      </c>
      <c r="G376" s="27" t="str">
        <f>IFERROR(__xludf.DUMMYFUNCTION("""COMPUTED_VALUE"""),"None")</f>
        <v>None</v>
      </c>
      <c r="H376" s="27" t="str">
        <f>IFERROR(__xludf.DUMMYFUNCTION("""COMPUTED_VALUE"""),"Evil Tool")</f>
        <v>Evil Tool</v>
      </c>
      <c r="I376" s="28" t="str">
        <f>IFERROR(__xludf.DUMMYFUNCTION("""COMPUTED_VALUE"""),"[IN PLAY] Add 1000 Power to this MAMODO card when it has a PARTNER card attached.")</f>
        <v>[IN PLAY] Add 1000 Power to this MAMODO card when it has a PARTNER card attached.</v>
      </c>
      <c r="J376" s="27">
        <f>IFERROR(__xludf.DUMMYFUNCTION("""COMPUTED_VALUE"""),3000.0)</f>
        <v>3000</v>
      </c>
      <c r="K376" s="27" t="str">
        <f>IFERROR(__xludf.DUMMYFUNCTION("""COMPUTED_VALUE"""),"-")</f>
        <v>-</v>
      </c>
      <c r="L376" s="27" t="str">
        <f>IFERROR(__xludf.DUMMYFUNCTION("""COMPUTED_VALUE"""),"Series 1, Level 1")</f>
        <v>Series 1, Level 1</v>
      </c>
      <c r="M376" s="27" t="str">
        <f>IFERROR(__xludf.DUMMYFUNCTION("""COMPUTED_VALUE"""),"[C]")</f>
        <v>[C]</v>
      </c>
      <c r="N376" s="27" t="str">
        <f>IFERROR(__xludf.DUMMYFUNCTION("""COMPUTED_VALUE"""),"He controls ice spells, and does not care if his evil human partner uses him.")</f>
        <v>He controls ice spells, and does not care if his evil human partner uses him.</v>
      </c>
      <c r="O376" s="27"/>
      <c r="P376" s="27"/>
      <c r="Q376" s="27"/>
      <c r="R376" s="27"/>
      <c r="S376" s="27"/>
      <c r="T376" s="27"/>
      <c r="U376" s="27"/>
      <c r="V376" s="27"/>
      <c r="W376" s="27"/>
      <c r="X376" s="27"/>
      <c r="Y376" s="27"/>
      <c r="Z376" s="27"/>
    </row>
    <row r="377">
      <c r="A377" s="29" t="str">
        <f>IFERROR(__xludf.DUMMYFUNCTION("""COMPUTED_VALUE"""),"M-005")</f>
        <v>M-005</v>
      </c>
      <c r="B377" s="27" t="str">
        <f>IFERROR(__xludf.DUMMYFUNCTION("""COMPUTED_VALUE"""),"Mamodo")</f>
        <v>Mamodo</v>
      </c>
      <c r="C377" s="27" t="str">
        <f>IFERROR(__xludf.DUMMYFUNCTION("""COMPUTED_VALUE"""),"Brago")</f>
        <v>Brago</v>
      </c>
      <c r="D377" s="27" t="str">
        <f>IFERROR(__xludf.DUMMYFUNCTION("""COMPUTED_VALUE"""),"Brago")</f>
        <v>Brago</v>
      </c>
      <c r="E377" s="27" t="str">
        <f>IFERROR(__xludf.DUMMYFUNCTION("""COMPUTED_VALUE"""),"-")</f>
        <v>-</v>
      </c>
      <c r="F377" s="27" t="str">
        <f>IFERROR(__xludf.DUMMYFUNCTION("""COMPUTED_VALUE"""),"-")</f>
        <v>-</v>
      </c>
      <c r="G377" s="27" t="str">
        <f>IFERROR(__xludf.DUMMYFUNCTION("""COMPUTED_VALUE"""),"None")</f>
        <v>None</v>
      </c>
      <c r="H377" s="27" t="str">
        <f>IFERROR(__xludf.DUMMYFUNCTION("""COMPUTED_VALUE"""),"Self-Possessed Warrior")</f>
        <v>Self-Possessed Warrior</v>
      </c>
      <c r="I377" s="28" t="str">
        <f>IFERROR(__xludf.DUMMYFUNCTION("""COMPUTED_VALUE"""),"[2 MP] [STAY] Increase the Damage of this MAMODO card's Attack by 1 during the Battle when it Attacks.")</f>
        <v>[2 MP] [STAY] Increase the Damage of this MAMODO card's Attack by 1 during the Battle when it Attacks.</v>
      </c>
      <c r="J377" s="27">
        <f>IFERROR(__xludf.DUMMYFUNCTION("""COMPUTED_VALUE"""),5000.0)</f>
        <v>5000</v>
      </c>
      <c r="K377" s="27" t="str">
        <f>IFERROR(__xludf.DUMMYFUNCTION("""COMPUTED_VALUE"""),"-")</f>
        <v>-</v>
      </c>
      <c r="L377" s="27" t="str">
        <f>IFERROR(__xludf.DUMMYFUNCTION("""COMPUTED_VALUE"""),"Series 1, Level 1")</f>
        <v>Series 1, Level 1</v>
      </c>
      <c r="M377" s="27" t="str">
        <f>IFERROR(__xludf.DUMMYFUNCTION("""COMPUTED_VALUE"""),"[U]")</f>
        <v>[U]</v>
      </c>
      <c r="N377" s="27" t="str">
        <f>IFERROR(__xludf.DUMMYFUNCTION("""COMPUTED_VALUE"""),"He is a strong mamodo who looks for opponents day and night.")</f>
        <v>He is a strong mamodo who looks for opponents day and night.</v>
      </c>
      <c r="O377" s="27"/>
      <c r="P377" s="27"/>
      <c r="Q377" s="27"/>
      <c r="R377" s="27"/>
      <c r="S377" s="27"/>
      <c r="T377" s="27"/>
      <c r="U377" s="27"/>
      <c r="V377" s="27"/>
      <c r="W377" s="27"/>
      <c r="X377" s="27"/>
      <c r="Y377" s="27"/>
      <c r="Z377" s="27"/>
    </row>
    <row r="378">
      <c r="A378" s="29" t="str">
        <f>IFERROR(__xludf.DUMMYFUNCTION("""COMPUTED_VALUE"""),"M-006")</f>
        <v>M-006</v>
      </c>
      <c r="B378" s="27" t="str">
        <f>IFERROR(__xludf.DUMMYFUNCTION("""COMPUTED_VALUE"""),"Mamodo")</f>
        <v>Mamodo</v>
      </c>
      <c r="C378" s="27" t="str">
        <f>IFERROR(__xludf.DUMMYFUNCTION("""COMPUTED_VALUE"""),"Gofure")</f>
        <v>Gofure</v>
      </c>
      <c r="D378" s="27" t="str">
        <f>IFERROR(__xludf.DUMMYFUNCTION("""COMPUTED_VALUE"""),"Gofure")</f>
        <v>Gofure</v>
      </c>
      <c r="E378" s="27" t="str">
        <f>IFERROR(__xludf.DUMMYFUNCTION("""COMPUTED_VALUE"""),"-")</f>
        <v>-</v>
      </c>
      <c r="F378" s="27" t="str">
        <f>IFERROR(__xludf.DUMMYFUNCTION("""COMPUTED_VALUE"""),"-")</f>
        <v>-</v>
      </c>
      <c r="G378" s="27" t="str">
        <f>IFERROR(__xludf.DUMMYFUNCTION("""COMPUTED_VALUE"""),"None")</f>
        <v>None</v>
      </c>
      <c r="H378" s="27" t="str">
        <f>IFERROR(__xludf.DUMMYFUNCTION("""COMPUTED_VALUE"""),"Imitated Friend")</f>
        <v>Imitated Friend</v>
      </c>
      <c r="I378" s="28" t="str">
        <f>IFERROR(__xludf.DUMMYFUNCTION("""COMPUTED_VALUE"""),"[IN PLAY] [STAY] Your opponent cannot play SPELL cards during the turn this MAMODO card is put in play.")</f>
        <v>[IN PLAY] [STAY] Your opponent cannot play SPELL cards during the turn this MAMODO card is put in play.</v>
      </c>
      <c r="J378" s="27">
        <f>IFERROR(__xludf.DUMMYFUNCTION("""COMPUTED_VALUE"""),2000.0)</f>
        <v>2000</v>
      </c>
      <c r="K378" s="27" t="str">
        <f>IFERROR(__xludf.DUMMYFUNCTION("""COMPUTED_VALUE"""),"-")</f>
        <v>-</v>
      </c>
      <c r="L378" s="27" t="str">
        <f>IFERROR(__xludf.DUMMYFUNCTION("""COMPUTED_VALUE"""),"Series 1, Level 1")</f>
        <v>Series 1, Level 1</v>
      </c>
      <c r="M378" s="27" t="str">
        <f>IFERROR(__xludf.DUMMYFUNCTION("""COMPUTED_VALUE"""),"[C]")</f>
        <v>[C]</v>
      </c>
      <c r="N378" s="27" t="str">
        <f>IFERROR(__xludf.DUMMYFUNCTION("""COMPUTED_VALUE"""),"Zatch met a puppy when he was feeling sad, but the puppy was actually...")</f>
        <v>Zatch met a puppy when he was feeling sad, but the puppy was actually...</v>
      </c>
      <c r="O378" s="27"/>
      <c r="P378" s="27"/>
      <c r="Q378" s="27"/>
      <c r="R378" s="27"/>
      <c r="S378" s="27"/>
      <c r="T378" s="27"/>
      <c r="U378" s="27"/>
      <c r="V378" s="27"/>
      <c r="W378" s="27"/>
      <c r="X378" s="27"/>
      <c r="Y378" s="27"/>
      <c r="Z378" s="27"/>
    </row>
    <row r="379">
      <c r="A379" s="29" t="str">
        <f>IFERROR(__xludf.DUMMYFUNCTION("""COMPUTED_VALUE"""),"M-007")</f>
        <v>M-007</v>
      </c>
      <c r="B379" s="27" t="str">
        <f>IFERROR(__xludf.DUMMYFUNCTION("""COMPUTED_VALUE"""),"Mamodo")</f>
        <v>Mamodo</v>
      </c>
      <c r="C379" s="27" t="str">
        <f>IFERROR(__xludf.DUMMYFUNCTION("""COMPUTED_VALUE"""),"Gofure (Transformed)")</f>
        <v>Gofure (Transformed)</v>
      </c>
      <c r="D379" s="27" t="str">
        <f>IFERROR(__xludf.DUMMYFUNCTION("""COMPUTED_VALUE"""),"Gofure")</f>
        <v>Gofure</v>
      </c>
      <c r="E379" s="27" t="str">
        <f>IFERROR(__xludf.DUMMYFUNCTION("""COMPUTED_VALUE"""),"-")</f>
        <v>-</v>
      </c>
      <c r="F379" s="27" t="str">
        <f>IFERROR(__xludf.DUMMYFUNCTION("""COMPUTED_VALUE"""),"-")</f>
        <v>-</v>
      </c>
      <c r="G379" s="27" t="str">
        <f>IFERROR(__xludf.DUMMYFUNCTION("""COMPUTED_VALUE"""),"None")</f>
        <v>None</v>
      </c>
      <c r="H379" s="27" t="str">
        <f>IFERROR(__xludf.DUMMYFUNCTION("""COMPUTED_VALUE"""),"Real Self")</f>
        <v>Real Self</v>
      </c>
      <c r="I379" s="28" t="str">
        <f>IFERROR(__xludf.DUMMYFUNCTION("""COMPUTED_VALUE"""),"This card is placed on a regular Gofure MAMODO card. [IN PLAY] Turn 1 page of your opponent's Spell Book when this MAMODO card is put in play.")</f>
        <v>This card is placed on a regular Gofure MAMODO card. [IN PLAY] Turn 1 page of your opponent's Spell Book when this MAMODO card is put in play.</v>
      </c>
      <c r="J379" s="27">
        <f>IFERROR(__xludf.DUMMYFUNCTION("""COMPUTED_VALUE"""),3000.0)</f>
        <v>3000</v>
      </c>
      <c r="K379" s="27" t="str">
        <f>IFERROR(__xludf.DUMMYFUNCTION("""COMPUTED_VALUE"""),"-")</f>
        <v>-</v>
      </c>
      <c r="L379" s="27" t="str">
        <f>IFERROR(__xludf.DUMMYFUNCTION("""COMPUTED_VALUE"""),"Series 1, Level 1")</f>
        <v>Series 1, Level 1</v>
      </c>
      <c r="M379" s="27" t="str">
        <f>IFERROR(__xludf.DUMMYFUNCTION("""COMPUTED_VALUE"""),"[U]")</f>
        <v>[U]</v>
      </c>
      <c r="N379" s="27" t="str">
        <f>IFERROR(__xludf.DUMMYFUNCTION("""COMPUTED_VALUE"""),"...not a puppy but a vicious mamodo transformed by a spell.")</f>
        <v>...not a puppy but a vicious mamodo transformed by a spell.</v>
      </c>
      <c r="O379" s="27"/>
      <c r="P379" s="27"/>
      <c r="Q379" s="27"/>
      <c r="R379" s="27"/>
      <c r="S379" s="27"/>
      <c r="T379" s="27"/>
      <c r="U379" s="27"/>
      <c r="V379" s="27"/>
      <c r="W379" s="27"/>
      <c r="X379" s="27"/>
      <c r="Y379" s="27"/>
      <c r="Z379" s="27"/>
    </row>
    <row r="380">
      <c r="A380" s="29" t="str">
        <f>IFERROR(__xludf.DUMMYFUNCTION("""COMPUTED_VALUE"""),"M-008")</f>
        <v>M-008</v>
      </c>
      <c r="B380" s="27" t="str">
        <f>IFERROR(__xludf.DUMMYFUNCTION("""COMPUTED_VALUE"""),"Mamodo")</f>
        <v>Mamodo</v>
      </c>
      <c r="C380" s="27" t="str">
        <f>IFERROR(__xludf.DUMMYFUNCTION("""COMPUTED_VALUE"""),"Sugino")</f>
        <v>Sugino</v>
      </c>
      <c r="D380" s="27" t="str">
        <f>IFERROR(__xludf.DUMMYFUNCTION("""COMPUTED_VALUE"""),"Sugino")</f>
        <v>Sugino</v>
      </c>
      <c r="E380" s="27" t="str">
        <f>IFERROR(__xludf.DUMMYFUNCTION("""COMPUTED_VALUE"""),"-")</f>
        <v>-</v>
      </c>
      <c r="F380" s="27" t="str">
        <f>IFERROR(__xludf.DUMMYFUNCTION("""COMPUTED_VALUE"""),"-")</f>
        <v>-</v>
      </c>
      <c r="G380" s="27" t="str">
        <f>IFERROR(__xludf.DUMMYFUNCTION("""COMPUTED_VALUE"""),"None")</f>
        <v>None</v>
      </c>
      <c r="H380" s="27" t="str">
        <f>IFERROR(__xludf.DUMMYFUNCTION("""COMPUTED_VALUE"""),"Tactician")</f>
        <v>Tactician</v>
      </c>
      <c r="I380" s="28" t="str">
        <f>IFERROR(__xludf.DUMMYFUNCTION("""COMPUTED_VALUE"""),"[DECLARE TO USE] [STANDBY] Reduce the MP cost of a SPELL card played for this MAMODO card by 1. In addition, reduce the Power of that SPELL card by 1000.")</f>
        <v>[DECLARE TO USE] [STANDBY] Reduce the MP cost of a SPELL card played for this MAMODO card by 1. In addition, reduce the Power of that SPELL card by 1000.</v>
      </c>
      <c r="J380" s="27">
        <f>IFERROR(__xludf.DUMMYFUNCTION("""COMPUTED_VALUE"""),3500.0)</f>
        <v>3500</v>
      </c>
      <c r="K380" s="27" t="str">
        <f>IFERROR(__xludf.DUMMYFUNCTION("""COMPUTED_VALUE"""),"-")</f>
        <v>-</v>
      </c>
      <c r="L380" s="27" t="str">
        <f>IFERROR(__xludf.DUMMYFUNCTION("""COMPUTED_VALUE"""),"Series 1, Level 1")</f>
        <v>Series 1, Level 1</v>
      </c>
      <c r="M380" s="27" t="str">
        <f>IFERROR(__xludf.DUMMYFUNCTION("""COMPUTED_VALUE"""),"[C]")</f>
        <v>[C]</v>
      </c>
      <c r="N380" s="27" t="str">
        <f>IFERROR(__xludf.DUMMYFUNCTION("""COMPUTED_VALUE"""),"He can control plants.")</f>
        <v>He can control plants.</v>
      </c>
      <c r="O380" s="27"/>
      <c r="P380" s="27"/>
      <c r="Q380" s="27"/>
      <c r="R380" s="27"/>
      <c r="S380" s="27"/>
      <c r="T380" s="27"/>
      <c r="U380" s="27"/>
      <c r="V380" s="27"/>
      <c r="W380" s="27"/>
      <c r="X380" s="27"/>
      <c r="Y380" s="27"/>
      <c r="Z380" s="27"/>
    </row>
    <row r="381">
      <c r="A381" s="29" t="str">
        <f>IFERROR(__xludf.DUMMYFUNCTION("""COMPUTED_VALUE"""),"M-009")</f>
        <v>M-009</v>
      </c>
      <c r="B381" s="27" t="str">
        <f>IFERROR(__xludf.DUMMYFUNCTION("""COMPUTED_VALUE"""),"Mamodo")</f>
        <v>Mamodo</v>
      </c>
      <c r="C381" s="27" t="str">
        <f>IFERROR(__xludf.DUMMYFUNCTION("""COMPUTED_VALUE"""),"Kolulu")</f>
        <v>Kolulu</v>
      </c>
      <c r="D381" s="27" t="str">
        <f>IFERROR(__xludf.DUMMYFUNCTION("""COMPUTED_VALUE"""),"Kolulu")</f>
        <v>Kolulu</v>
      </c>
      <c r="E381" s="27" t="str">
        <f>IFERROR(__xludf.DUMMYFUNCTION("""COMPUTED_VALUE"""),"-")</f>
        <v>-</v>
      </c>
      <c r="F381" s="27" t="str">
        <f>IFERROR(__xludf.DUMMYFUNCTION("""COMPUTED_VALUE"""),"-")</f>
        <v>-</v>
      </c>
      <c r="G381" s="27" t="str">
        <f>IFERROR(__xludf.DUMMYFUNCTION("""COMPUTED_VALUE"""),"None")</f>
        <v>None</v>
      </c>
      <c r="H381" s="27" t="str">
        <f>IFERROR(__xludf.DUMMYFUNCTION("""COMPUTED_VALUE"""),"Kind Girl")</f>
        <v>Kind Girl</v>
      </c>
      <c r="I381" s="28" t="str">
        <f>IFERROR(__xludf.DUMMYFUNCTION("""COMPUTED_VALUE"""),"[IN PLAY] When this MAMODO card is sent to the Discard Pile, get 4 MP.")</f>
        <v>[IN PLAY] When this MAMODO card is sent to the Discard Pile, get 4 MP.</v>
      </c>
      <c r="J381" s="27">
        <f>IFERROR(__xludf.DUMMYFUNCTION("""COMPUTED_VALUE"""),1000.0)</f>
        <v>1000</v>
      </c>
      <c r="K381" s="27" t="str">
        <f>IFERROR(__xludf.DUMMYFUNCTION("""COMPUTED_VALUE"""),"-")</f>
        <v>-</v>
      </c>
      <c r="L381" s="27" t="str">
        <f>IFERROR(__xludf.DUMMYFUNCTION("""COMPUTED_VALUE"""),"Series 1, Level 1")</f>
        <v>Series 1, Level 1</v>
      </c>
      <c r="M381" s="27" t="str">
        <f>IFERROR(__xludf.DUMMYFUNCTION("""COMPUTED_VALUE"""),"[C]")</f>
        <v>[C]</v>
      </c>
      <c r="N381" s="27" t="str">
        <f>IFERROR(__xludf.DUMMYFUNCTION("""COMPUTED_VALUE"""),"She is a gentle mamodo that doesn't normaly have the will to fight.")</f>
        <v>She is a gentle mamodo that doesn't normaly have the will to fight.</v>
      </c>
      <c r="O381" s="27"/>
      <c r="P381" s="27"/>
      <c r="Q381" s="27"/>
      <c r="R381" s="27"/>
      <c r="S381" s="27"/>
      <c r="T381" s="27"/>
      <c r="U381" s="27"/>
      <c r="V381" s="27"/>
      <c r="W381" s="27"/>
      <c r="X381" s="27"/>
      <c r="Y381" s="27"/>
      <c r="Z381" s="27"/>
    </row>
    <row r="382">
      <c r="A382" s="29" t="str">
        <f>IFERROR(__xludf.DUMMYFUNCTION("""COMPUTED_VALUE"""),"M-010")</f>
        <v>M-010</v>
      </c>
      <c r="B382" s="27" t="str">
        <f>IFERROR(__xludf.DUMMYFUNCTION("""COMPUTED_VALUE"""),"Mamodo")</f>
        <v>Mamodo</v>
      </c>
      <c r="C382" s="27" t="str">
        <f>IFERROR(__xludf.DUMMYFUNCTION("""COMPUTED_VALUE"""),"Kolulu (Transformed)")</f>
        <v>Kolulu (Transformed)</v>
      </c>
      <c r="D382" s="27" t="str">
        <f>IFERROR(__xludf.DUMMYFUNCTION("""COMPUTED_VALUE"""),"Kolulu")</f>
        <v>Kolulu</v>
      </c>
      <c r="E382" s="27" t="str">
        <f>IFERROR(__xludf.DUMMYFUNCTION("""COMPUTED_VALUE"""),"-")</f>
        <v>-</v>
      </c>
      <c r="F382" s="27" t="str">
        <f>IFERROR(__xludf.DUMMYFUNCTION("""COMPUTED_VALUE"""),"-")</f>
        <v>-</v>
      </c>
      <c r="G382" s="27" t="str">
        <f>IFERROR(__xludf.DUMMYFUNCTION("""COMPUTED_VALUE"""),"None")</f>
        <v>None</v>
      </c>
      <c r="H382" s="27" t="str">
        <f>IFERROR(__xludf.DUMMYFUNCTION("""COMPUTED_VALUE"""),"Mad Warrior")</f>
        <v>Mad Warrior</v>
      </c>
      <c r="I382" s="28" t="str">
        <f>IFERROR(__xludf.DUMMYFUNCTION("""COMPUTED_VALUE"""),"This card is placed on a regular Kolulu MAMODO card. [1 MP] [STAY] Add 1000 Power to this MAMODO card during the Battle when it Defends.")</f>
        <v>This card is placed on a regular Kolulu MAMODO card. [1 MP] [STAY] Add 1000 Power to this MAMODO card during the Battle when it Defends.</v>
      </c>
      <c r="J382" s="27">
        <f>IFERROR(__xludf.DUMMYFUNCTION("""COMPUTED_VALUE"""),4000.0)</f>
        <v>4000</v>
      </c>
      <c r="K382" s="27" t="str">
        <f>IFERROR(__xludf.DUMMYFUNCTION("""COMPUTED_VALUE"""),"-")</f>
        <v>-</v>
      </c>
      <c r="L382" s="27" t="str">
        <f>IFERROR(__xludf.DUMMYFUNCTION("""COMPUTED_VALUE"""),"Series 1, Level 1")</f>
        <v>Series 1, Level 1</v>
      </c>
      <c r="M382" s="27" t="str">
        <f>IFERROR(__xludf.DUMMYFUNCTION("""COMPUTED_VALUE"""),"[C]")</f>
        <v>[C]</v>
      </c>
      <c r="N382" s="27" t="str">
        <f>IFERROR(__xludf.DUMMYFUNCTION("""COMPUTED_VALUE"""),"This is how Kolulu transforms when she is forced to battle.")</f>
        <v>This is how Kolulu transforms when she is forced to battle.</v>
      </c>
      <c r="O382" s="27"/>
      <c r="P382" s="27"/>
      <c r="Q382" s="27"/>
      <c r="R382" s="27"/>
      <c r="S382" s="27"/>
      <c r="T382" s="27"/>
      <c r="U382" s="27"/>
      <c r="V382" s="27"/>
      <c r="W382" s="27"/>
      <c r="X382" s="27"/>
      <c r="Y382" s="27"/>
      <c r="Z382" s="27"/>
    </row>
    <row r="383">
      <c r="A383" s="29" t="str">
        <f>IFERROR(__xludf.DUMMYFUNCTION("""COMPUTED_VALUE"""),"M-011")</f>
        <v>M-011</v>
      </c>
      <c r="B383" s="27" t="str">
        <f>IFERROR(__xludf.DUMMYFUNCTION("""COMPUTED_VALUE"""),"Mamodo")</f>
        <v>Mamodo</v>
      </c>
      <c r="C383" s="27" t="str">
        <f>IFERROR(__xludf.DUMMYFUNCTION("""COMPUTED_VALUE"""),"Fein")</f>
        <v>Fein</v>
      </c>
      <c r="D383" s="27" t="str">
        <f>IFERROR(__xludf.DUMMYFUNCTION("""COMPUTED_VALUE"""),"Fein")</f>
        <v>Fein</v>
      </c>
      <c r="E383" s="27" t="str">
        <f>IFERROR(__xludf.DUMMYFUNCTION("""COMPUTED_VALUE"""),"-")</f>
        <v>-</v>
      </c>
      <c r="F383" s="27" t="str">
        <f>IFERROR(__xludf.DUMMYFUNCTION("""COMPUTED_VALUE"""),"-")</f>
        <v>-</v>
      </c>
      <c r="G383" s="27" t="str">
        <f>IFERROR(__xludf.DUMMYFUNCTION("""COMPUTED_VALUE"""),"None")</f>
        <v>None</v>
      </c>
      <c r="H383" s="27" t="str">
        <f>IFERROR(__xludf.DUMMYFUNCTION("""COMPUTED_VALUE"""),"Tactical Enemy")</f>
        <v>Tactical Enemy</v>
      </c>
      <c r="I383" s="28" t="str">
        <f>IFERROR(__xludf.DUMMYFUNCTION("""COMPUTED_VALUE"""),"[DECLARE TO USE] Look at your opponent's Spell Book. Select 1 MAMODO card from any of the pages and send it to the Discard Pile. This effect can be applied only once per game (per player).")</f>
        <v>[DECLARE TO USE] Look at your opponent's Spell Book. Select 1 MAMODO card from any of the pages and send it to the Discard Pile. This effect can be applied only once per game (per player).</v>
      </c>
      <c r="J383" s="27">
        <f>IFERROR(__xludf.DUMMYFUNCTION("""COMPUTED_VALUE"""),3000.0)</f>
        <v>3000</v>
      </c>
      <c r="K383" s="27" t="str">
        <f>IFERROR(__xludf.DUMMYFUNCTION("""COMPUTED_VALUE"""),"-")</f>
        <v>-</v>
      </c>
      <c r="L383" s="27" t="str">
        <f>IFERROR(__xludf.DUMMYFUNCTION("""COMPUTED_VALUE"""),"Series 1, Level 1")</f>
        <v>Series 1, Level 1</v>
      </c>
      <c r="M383" s="27" t="str">
        <f>IFERROR(__xludf.DUMMYFUNCTION("""COMPUTED_VALUE"""),"[U]")</f>
        <v>[U]</v>
      </c>
      <c r="N383" s="27" t="str">
        <f>IFERROR(__xludf.DUMMYFUNCTION("""COMPUTED_VALUE"""),"""I will be the King. I will have more power, and nobody will disobey me.""")</f>
        <v>"I will be the King. I will have more power, and nobody will disobey me."</v>
      </c>
      <c r="O383" s="27"/>
      <c r="P383" s="27"/>
      <c r="Q383" s="27"/>
      <c r="R383" s="27"/>
      <c r="S383" s="27"/>
      <c r="T383" s="27"/>
      <c r="U383" s="27"/>
      <c r="V383" s="27"/>
      <c r="W383" s="27"/>
      <c r="X383" s="27"/>
      <c r="Y383" s="27"/>
      <c r="Z383" s="27"/>
    </row>
    <row r="384">
      <c r="A384" s="29" t="str">
        <f>IFERROR(__xludf.DUMMYFUNCTION("""COMPUTED_VALUE"""),"M-012")</f>
        <v>M-012</v>
      </c>
      <c r="B384" s="27" t="str">
        <f>IFERROR(__xludf.DUMMYFUNCTION("""COMPUTED_VALUE"""),"Mamodo")</f>
        <v>Mamodo</v>
      </c>
      <c r="C384" s="27" t="str">
        <f>IFERROR(__xludf.DUMMYFUNCTION("""COMPUTED_VALUE"""),"Kanchome")</f>
        <v>Kanchome</v>
      </c>
      <c r="D384" s="27" t="str">
        <f>IFERROR(__xludf.DUMMYFUNCTION("""COMPUTED_VALUE"""),"Kanchome")</f>
        <v>Kanchome</v>
      </c>
      <c r="E384" s="27" t="str">
        <f>IFERROR(__xludf.DUMMYFUNCTION("""COMPUTED_VALUE"""),"-")</f>
        <v>-</v>
      </c>
      <c r="F384" s="27" t="str">
        <f>IFERROR(__xludf.DUMMYFUNCTION("""COMPUTED_VALUE"""),"-")</f>
        <v>-</v>
      </c>
      <c r="G384" s="27" t="str">
        <f>IFERROR(__xludf.DUMMYFUNCTION("""COMPUTED_VALUE"""),"None")</f>
        <v>None</v>
      </c>
      <c r="H384" s="27" t="str">
        <f>IFERROR(__xludf.DUMMYFUNCTION("""COMPUTED_VALUE"""),"Lucky Guy")</f>
        <v>Lucky Guy</v>
      </c>
      <c r="I384" s="28" t="str">
        <f>IFERROR(__xludf.DUMMYFUNCTION("""COMPUTED_VALUE"""),"[DECLARE TO USE] Re-do your coin toss.")</f>
        <v>[DECLARE TO USE] Re-do your coin toss.</v>
      </c>
      <c r="J384" s="27">
        <f>IFERROR(__xludf.DUMMYFUNCTION("""COMPUTED_VALUE"""),1000.0)</f>
        <v>1000</v>
      </c>
      <c r="K384" s="27" t="str">
        <f>IFERROR(__xludf.DUMMYFUNCTION("""COMPUTED_VALUE"""),"-")</f>
        <v>-</v>
      </c>
      <c r="L384" s="27" t="str">
        <f>IFERROR(__xludf.DUMMYFUNCTION("""COMPUTED_VALUE"""),"Series 1, Level 1")</f>
        <v>Series 1, Level 1</v>
      </c>
      <c r="M384" s="27" t="str">
        <f>IFERROR(__xludf.DUMMYFUNCTION("""COMPUTED_VALUE"""),"[U]")</f>
        <v>[U]</v>
      </c>
      <c r="N384" s="27" t="str">
        <f>IFERROR(__xludf.DUMMYFUNCTION("""COMPUTED_VALUE"""),"""Iron Man Kanchome! Invincible Kanchome!""")</f>
        <v>"Iron Man Kanchome! Invincible Kanchome!"</v>
      </c>
      <c r="O384" s="27"/>
      <c r="P384" s="27"/>
      <c r="Q384" s="27"/>
      <c r="R384" s="27"/>
      <c r="S384" s="27"/>
      <c r="T384" s="27"/>
      <c r="U384" s="27"/>
      <c r="V384" s="27"/>
      <c r="W384" s="27"/>
      <c r="X384" s="27"/>
      <c r="Y384" s="27"/>
      <c r="Z384" s="27"/>
    </row>
    <row r="385">
      <c r="A385" s="29" t="str">
        <f>IFERROR(__xludf.DUMMYFUNCTION("""COMPUTED_VALUE"""),"M-013")</f>
        <v>M-013</v>
      </c>
      <c r="B385" s="27" t="str">
        <f>IFERROR(__xludf.DUMMYFUNCTION("""COMPUTED_VALUE"""),"Mamodo")</f>
        <v>Mamodo</v>
      </c>
      <c r="C385" s="27" t="str">
        <f>IFERROR(__xludf.DUMMYFUNCTION("""COMPUTED_VALUE"""),"Kanchome")</f>
        <v>Kanchome</v>
      </c>
      <c r="D385" s="27" t="str">
        <f>IFERROR(__xludf.DUMMYFUNCTION("""COMPUTED_VALUE"""),"Kanchome")</f>
        <v>Kanchome</v>
      </c>
      <c r="E385" s="27" t="str">
        <f>IFERROR(__xludf.DUMMYFUNCTION("""COMPUTED_VALUE"""),"-")</f>
        <v>-</v>
      </c>
      <c r="F385" s="27" t="str">
        <f>IFERROR(__xludf.DUMMYFUNCTION("""COMPUTED_VALUE"""),"-")</f>
        <v>-</v>
      </c>
      <c r="G385" s="27" t="str">
        <f>IFERROR(__xludf.DUMMYFUNCTION("""COMPUTED_VALUE"""),"None")</f>
        <v>None</v>
      </c>
      <c r="H385" s="27" t="str">
        <f>IFERROR(__xludf.DUMMYFUNCTION("""COMPUTED_VALUE"""),"Invincible Fellow")</f>
        <v>Invincible Fellow</v>
      </c>
      <c r="I385" s="28" t="str">
        <f>IFERROR(__xludf.DUMMYFUNCTION("""COMPUTED_VALUE"""),"[2 MP] [STAY] This MAMODO card does not receive Damage or Injury during the Battle. This effect can be applied only when this MAMODO card is in Injured Status.")</f>
        <v>[2 MP] [STAY] This MAMODO card does not receive Damage or Injury during the Battle. This effect can be applied only when this MAMODO card is in Injured Status.</v>
      </c>
      <c r="J385" s="27">
        <f>IFERROR(__xludf.DUMMYFUNCTION("""COMPUTED_VALUE"""),1000.0)</f>
        <v>1000</v>
      </c>
      <c r="K385" s="27" t="str">
        <f>IFERROR(__xludf.DUMMYFUNCTION("""COMPUTED_VALUE"""),"-")</f>
        <v>-</v>
      </c>
      <c r="L385" s="27" t="str">
        <f>IFERROR(__xludf.DUMMYFUNCTION("""COMPUTED_VALUE"""),"Series 1, Level 1, The Best Booster 1")</f>
        <v>Series 1, Level 1, The Best Booster 1</v>
      </c>
      <c r="M385" s="27" t="str">
        <f>IFERROR(__xludf.DUMMYFUNCTION("""COMPUTED_VALUE"""),"[R]")</f>
        <v>[R]</v>
      </c>
      <c r="N385" s="27" t="str">
        <f>IFERROR(__xludf.DUMMYFUNCTION("""COMPUTED_VALUE"""),"""I've got lots of sweets in my pocket.""")</f>
        <v>"I've got lots of sweets in my pocket."</v>
      </c>
      <c r="O385" s="27"/>
      <c r="P385" s="27"/>
      <c r="Q385" s="27"/>
      <c r="R385" s="27"/>
      <c r="S385" s="27"/>
      <c r="T385" s="27"/>
      <c r="U385" s="27"/>
      <c r="V385" s="27"/>
      <c r="W385" s="27"/>
      <c r="X385" s="27"/>
      <c r="Y385" s="27"/>
      <c r="Z385" s="27"/>
    </row>
    <row r="386">
      <c r="A386" s="29" t="str">
        <f>IFERROR(__xludf.DUMMYFUNCTION("""COMPUTED_VALUE"""),"M-014e")</f>
        <v>M-014e</v>
      </c>
      <c r="B386" s="27" t="str">
        <f>IFERROR(__xludf.DUMMYFUNCTION("""COMPUTED_VALUE"""),"Mamodo")</f>
        <v>Mamodo</v>
      </c>
      <c r="C386" s="27" t="str">
        <f>IFERROR(__xludf.DUMMYFUNCTION("""COMPUTED_VALUE"""),"Tia")</f>
        <v>Tia</v>
      </c>
      <c r="D386" s="27" t="str">
        <f>IFERROR(__xludf.DUMMYFUNCTION("""COMPUTED_VALUE"""),"Tia")</f>
        <v>Tia</v>
      </c>
      <c r="E386" s="27" t="str">
        <f>IFERROR(__xludf.DUMMYFUNCTION("""COMPUTED_VALUE"""),"-")</f>
        <v>-</v>
      </c>
      <c r="F386" s="27" t="str">
        <f>IFERROR(__xludf.DUMMYFUNCTION("""COMPUTED_VALUE"""),"-")</f>
        <v>-</v>
      </c>
      <c r="G386" s="27" t="str">
        <f>IFERROR(__xludf.DUMMYFUNCTION("""COMPUTED_VALUE"""),"None")</f>
        <v>None</v>
      </c>
      <c r="H386" s="27" t="str">
        <f>IFERROR(__xludf.DUMMYFUNCTION("""COMPUTED_VALUE"""),"Reliable Partner")</f>
        <v>Reliable Partner</v>
      </c>
      <c r="I386" s="28" t="str">
        <f>IFERROR(__xludf.DUMMYFUNCTION("""COMPUTED_VALUE"""),"[IN PLAY] Add 1000 Power to all of your in-play MAMODO cards when more than 2 MAMODO cards (including this card) are in play.")</f>
        <v>[IN PLAY] Add 1000 Power to all of your in-play MAMODO cards when more than 2 MAMODO cards (including this card) are in play.</v>
      </c>
      <c r="J386" s="27">
        <f>IFERROR(__xludf.DUMMYFUNCTION("""COMPUTED_VALUE"""),2000.0)</f>
        <v>2000</v>
      </c>
      <c r="K386" s="27" t="str">
        <f>IFERROR(__xludf.DUMMYFUNCTION("""COMPUTED_VALUE"""),"-")</f>
        <v>-</v>
      </c>
      <c r="L386" s="27" t="str">
        <f>IFERROR(__xludf.DUMMYFUNCTION("""COMPUTED_VALUE"""),"Series 1, Level 1")</f>
        <v>Series 1, Level 1</v>
      </c>
      <c r="M386" s="27" t="str">
        <f>IFERROR(__xludf.DUMMYFUNCTION("""COMPUTED_VALUE"""),"[U]")</f>
        <v>[U]</v>
      </c>
      <c r="N386" s="27" t="str">
        <f>IFERROR(__xludf.DUMMYFUNCTION("""COMPUTED_VALUE"""),"She used to bully Zatch back in the mamodo world.")</f>
        <v>She used to bully Zatch back in the mamodo world.</v>
      </c>
      <c r="O386" s="27"/>
      <c r="P386" s="27"/>
      <c r="Q386" s="27"/>
      <c r="R386" s="27"/>
      <c r="S386" s="27"/>
      <c r="T386" s="27"/>
      <c r="U386" s="27"/>
      <c r="V386" s="27"/>
      <c r="W386" s="27"/>
      <c r="X386" s="27"/>
      <c r="Y386" s="27"/>
      <c r="Z386" s="27"/>
    </row>
    <row r="387">
      <c r="A387" s="29" t="str">
        <f>IFERROR(__xludf.DUMMYFUNCTION("""COMPUTED_VALUE"""),"M-014j")</f>
        <v>M-014j</v>
      </c>
      <c r="B387" s="27" t="str">
        <f>IFERROR(__xludf.DUMMYFUNCTION("""COMPUTED_VALUE"""),"Mamodo")</f>
        <v>Mamodo</v>
      </c>
      <c r="C387" s="27" t="str">
        <f>IFERROR(__xludf.DUMMYFUNCTION("""COMPUTED_VALUE"""),"Tia")</f>
        <v>Tia</v>
      </c>
      <c r="D387" s="27" t="str">
        <f>IFERROR(__xludf.DUMMYFUNCTION("""COMPUTED_VALUE"""),"Tia")</f>
        <v>Tia</v>
      </c>
      <c r="E387" s="27" t="str">
        <f>IFERROR(__xludf.DUMMYFUNCTION("""COMPUTED_VALUE"""),"-")</f>
        <v>-</v>
      </c>
      <c r="F387" s="27" t="str">
        <f>IFERROR(__xludf.DUMMYFUNCTION("""COMPUTED_VALUE"""),"-")</f>
        <v>-</v>
      </c>
      <c r="G387" s="27" t="str">
        <f>IFERROR(__xludf.DUMMYFUNCTION("""COMPUTED_VALUE"""),"None")</f>
        <v>None</v>
      </c>
      <c r="H387" s="27" t="str">
        <f>IFERROR(__xludf.DUMMYFUNCTION("""COMPUTED_VALUE"""),"Reliable Partner")</f>
        <v>Reliable Partner</v>
      </c>
      <c r="I387" s="28" t="str">
        <f>IFERROR(__xludf.DUMMYFUNCTION("""COMPUTED_VALUE"""),"[IN PLAY] Add 1000 Power to all of your in-play MAMODO cards when you have 2 or more MAMODO cards (including this card) in play.")</f>
        <v>[IN PLAY] Add 1000 Power to all of your in-play MAMODO cards when you have 2 or more MAMODO cards (including this card) in play.</v>
      </c>
      <c r="J387" s="27">
        <f>IFERROR(__xludf.DUMMYFUNCTION("""COMPUTED_VALUE"""),2000.0)</f>
        <v>2000</v>
      </c>
      <c r="K387" s="27" t="str">
        <f>IFERROR(__xludf.DUMMYFUNCTION("""COMPUTED_VALUE"""),"-")</f>
        <v>-</v>
      </c>
      <c r="L387" s="27" t="str">
        <f>IFERROR(__xludf.DUMMYFUNCTION("""COMPUTED_VALUE"""),"Series 1, Level 1")</f>
        <v>Series 1, Level 1</v>
      </c>
      <c r="M387" s="27" t="str">
        <f>IFERROR(__xludf.DUMMYFUNCTION("""COMPUTED_VALUE"""),"[U]")</f>
        <v>[U]</v>
      </c>
      <c r="N387" s="27" t="str">
        <f>IFERROR(__xludf.DUMMYFUNCTION("""COMPUTED_VALUE"""),"She used to bully Zatch back in the mamodo world.")</f>
        <v>She used to bully Zatch back in the mamodo world.</v>
      </c>
      <c r="O387" s="27"/>
      <c r="P387" s="27"/>
      <c r="Q387" s="27"/>
      <c r="R387" s="27"/>
      <c r="S387" s="27"/>
      <c r="T387" s="27"/>
      <c r="U387" s="27"/>
      <c r="V387" s="27"/>
      <c r="W387" s="27"/>
      <c r="X387" s="27"/>
      <c r="Y387" s="27"/>
      <c r="Z387" s="27"/>
    </row>
    <row r="388">
      <c r="A388" s="29" t="str">
        <f>IFERROR(__xludf.DUMMYFUNCTION("""COMPUTED_VALUE"""),"M-015")</f>
        <v>M-015</v>
      </c>
      <c r="B388" s="27" t="str">
        <f>IFERROR(__xludf.DUMMYFUNCTION("""COMPUTED_VALUE"""),"Mamodo")</f>
        <v>Mamodo</v>
      </c>
      <c r="C388" s="27" t="str">
        <f>IFERROR(__xludf.DUMMYFUNCTION("""COMPUTED_VALUE"""),"Tia")</f>
        <v>Tia</v>
      </c>
      <c r="D388" s="27" t="str">
        <f>IFERROR(__xludf.DUMMYFUNCTION("""COMPUTED_VALUE"""),"Tia")</f>
        <v>Tia</v>
      </c>
      <c r="E388" s="27" t="str">
        <f>IFERROR(__xludf.DUMMYFUNCTION("""COMPUTED_VALUE"""),"-")</f>
        <v>-</v>
      </c>
      <c r="F388" s="27" t="str">
        <f>IFERROR(__xludf.DUMMYFUNCTION("""COMPUTED_VALUE"""),"-")</f>
        <v>-</v>
      </c>
      <c r="G388" s="27" t="str">
        <f>IFERROR(__xludf.DUMMYFUNCTION("""COMPUTED_VALUE"""),"None")</f>
        <v>None</v>
      </c>
      <c r="H388" s="27" t="str">
        <f>IFERROR(__xludf.DUMMYFUNCTION("""COMPUTED_VALUE"""),"Obstinacy")</f>
        <v>Obstinacy</v>
      </c>
      <c r="I388" s="28" t="str">
        <f>IFERROR(__xludf.DUMMYFUNCTION("""COMPUTED_VALUE"""),"[5 MP] [STAY] This MAMODO card does not receive Damage or Injury during the Battle.")</f>
        <v>[5 MP] [STAY] This MAMODO card does not receive Damage or Injury during the Battle.</v>
      </c>
      <c r="J388" s="27">
        <f>IFERROR(__xludf.DUMMYFUNCTION("""COMPUTED_VALUE"""),3000.0)</f>
        <v>3000</v>
      </c>
      <c r="K388" s="27" t="str">
        <f>IFERROR(__xludf.DUMMYFUNCTION("""COMPUTED_VALUE"""),"-")</f>
        <v>-</v>
      </c>
      <c r="L388" s="27" t="str">
        <f>IFERROR(__xludf.DUMMYFUNCTION("""COMPUTED_VALUE"""),"Series 1, Level 1")</f>
        <v>Series 1, Level 1</v>
      </c>
      <c r="M388" s="27" t="str">
        <f>IFERROR(__xludf.DUMMYFUNCTION("""COMPUTED_VALUE"""),"[R]")</f>
        <v>[R]</v>
      </c>
      <c r="N388" s="27" t="str">
        <f>IFERROR(__xludf.DUMMYFUNCTION("""COMPUTED_VALUE"""),"""I'll also try to become a kind ruler of the mamodo world.""")</f>
        <v>"I'll also try to become a kind ruler of the mamodo world."</v>
      </c>
      <c r="O388" s="27"/>
      <c r="P388" s="27"/>
      <c r="Q388" s="27"/>
      <c r="R388" s="27"/>
      <c r="S388" s="27"/>
      <c r="T388" s="27"/>
      <c r="U388" s="27"/>
      <c r="V388" s="27"/>
      <c r="W388" s="27"/>
      <c r="X388" s="27"/>
      <c r="Y388" s="27"/>
      <c r="Z388" s="27"/>
    </row>
    <row r="389">
      <c r="A389" s="29" t="str">
        <f>IFERROR(__xludf.DUMMYFUNCTION("""COMPUTED_VALUE"""),"M-016")</f>
        <v>M-016</v>
      </c>
      <c r="B389" s="27" t="str">
        <f>IFERROR(__xludf.DUMMYFUNCTION("""COMPUTED_VALUE"""),"Mamodo")</f>
        <v>Mamodo</v>
      </c>
      <c r="C389" s="27" t="str">
        <f>IFERROR(__xludf.DUMMYFUNCTION("""COMPUTED_VALUE"""),"Zatch Bell")</f>
        <v>Zatch Bell</v>
      </c>
      <c r="D389" s="27" t="str">
        <f>IFERROR(__xludf.DUMMYFUNCTION("""COMPUTED_VALUE"""),"Zatch Bell")</f>
        <v>Zatch Bell</v>
      </c>
      <c r="E389" s="27" t="str">
        <f>IFERROR(__xludf.DUMMYFUNCTION("""COMPUTED_VALUE"""),"-")</f>
        <v>-</v>
      </c>
      <c r="F389" s="27" t="str">
        <f>IFERROR(__xludf.DUMMYFUNCTION("""COMPUTED_VALUE"""),"-")</f>
        <v>-</v>
      </c>
      <c r="G389" s="27" t="str">
        <f>IFERROR(__xludf.DUMMYFUNCTION("""COMPUTED_VALUE"""),"None")</f>
        <v>None</v>
      </c>
      <c r="H389" s="27" t="str">
        <f>IFERROR(__xludf.DUMMYFUNCTION("""COMPUTED_VALUE"""),"Lost Memory")</f>
        <v>Lost Memory</v>
      </c>
      <c r="I389" s="28" t="str">
        <f>IFERROR(__xludf.DUMMYFUNCTION("""COMPUTED_VALUE"""),"[DECLARE TO USE] Switch 1 card in the currently open pages of your Spell Book with a card in any of the previous pages. This effect can be applied only once per game (per player).")</f>
        <v>[DECLARE TO USE] Switch 1 card in the currently open pages of your Spell Book with a card in any of the previous pages. This effect can be applied only once per game (per player).</v>
      </c>
      <c r="J389" s="27">
        <f>IFERROR(__xludf.DUMMYFUNCTION("""COMPUTED_VALUE"""),4000.0)</f>
        <v>4000</v>
      </c>
      <c r="K389" s="27" t="str">
        <f>IFERROR(__xludf.DUMMYFUNCTION("""COMPUTED_VALUE"""),"-")</f>
        <v>-</v>
      </c>
      <c r="L389" s="27" t="str">
        <f>IFERROR(__xludf.DUMMYFUNCTION("""COMPUTED_VALUE"""),"Series 1, Level 2, The Best Booster 2, File 1: Zatch Bell &amp; Ponygon")</f>
        <v>Series 1, Level 2, The Best Booster 2, File 1: Zatch Bell &amp; Ponygon</v>
      </c>
      <c r="M389" s="27" t="str">
        <f>IFERROR(__xludf.DUMMYFUNCTION("""COMPUTED_VALUE"""),"[U]")</f>
        <v>[U]</v>
      </c>
      <c r="N389" s="27" t="str">
        <f>IFERROR(__xludf.DUMMYFUNCTION("""COMPUTED_VALUE"""),"""Let's go, Kiyo!""")</f>
        <v>"Let's go, Kiyo!"</v>
      </c>
      <c r="O389" s="27"/>
      <c r="P389" s="27"/>
      <c r="Q389" s="27"/>
      <c r="R389" s="27"/>
      <c r="S389" s="27"/>
      <c r="T389" s="27"/>
      <c r="U389" s="27"/>
      <c r="V389" s="27"/>
      <c r="W389" s="27"/>
      <c r="X389" s="27"/>
      <c r="Y389" s="27"/>
      <c r="Z389" s="27"/>
    </row>
    <row r="390">
      <c r="A390" s="29" t="str">
        <f>IFERROR(__xludf.DUMMYFUNCTION("""COMPUTED_VALUE"""),"M-017")</f>
        <v>M-017</v>
      </c>
      <c r="B390" s="27" t="str">
        <f>IFERROR(__xludf.DUMMYFUNCTION("""COMPUTED_VALUE"""),"Mamodo")</f>
        <v>Mamodo</v>
      </c>
      <c r="C390" s="27" t="str">
        <f>IFERROR(__xludf.DUMMYFUNCTION("""COMPUTED_VALUE"""),"Brago")</f>
        <v>Brago</v>
      </c>
      <c r="D390" s="27" t="str">
        <f>IFERROR(__xludf.DUMMYFUNCTION("""COMPUTED_VALUE"""),"Brago")</f>
        <v>Brago</v>
      </c>
      <c r="E390" s="27" t="str">
        <f>IFERROR(__xludf.DUMMYFUNCTION("""COMPUTED_VALUE"""),"-")</f>
        <v>-</v>
      </c>
      <c r="F390" s="27" t="str">
        <f>IFERROR(__xludf.DUMMYFUNCTION("""COMPUTED_VALUE"""),"-")</f>
        <v>-</v>
      </c>
      <c r="G390" s="27" t="str">
        <f>IFERROR(__xludf.DUMMYFUNCTION("""COMPUTED_VALUE"""),"None")</f>
        <v>None</v>
      </c>
      <c r="H390" s="27" t="str">
        <f>IFERROR(__xludf.DUMMYFUNCTION("""COMPUTED_VALUE"""),"Dark Mamodo")</f>
        <v>Dark Mamodo</v>
      </c>
      <c r="I390" s="28" t="str">
        <f>IFERROR(__xludf.DUMMYFUNCTION("""COMPUTED_VALUE"""),"[2 MP] [STAY] Add 2000 Power to this MAMODO card during the Battle when it Attacks.")</f>
        <v>[2 MP] [STAY] Add 2000 Power to this MAMODO card during the Battle when it Attacks.</v>
      </c>
      <c r="J390" s="27">
        <f>IFERROR(__xludf.DUMMYFUNCTION("""COMPUTED_VALUE"""),5000.0)</f>
        <v>5000</v>
      </c>
      <c r="K390" s="27" t="str">
        <f>IFERROR(__xludf.DUMMYFUNCTION("""COMPUTED_VALUE"""),"-")</f>
        <v>-</v>
      </c>
      <c r="L390" s="27" t="str">
        <f>IFERROR(__xludf.DUMMYFUNCTION("""COMPUTED_VALUE"""),"Series 1, Level 2")</f>
        <v>Series 1, Level 2</v>
      </c>
      <c r="M390" s="27" t="str">
        <f>IFERROR(__xludf.DUMMYFUNCTION("""COMPUTED_VALUE"""),"[R]")</f>
        <v>[R]</v>
      </c>
      <c r="N390" s="27" t="str">
        <f>IFERROR(__xludf.DUMMYFUNCTION("""COMPUTED_VALUE"""),"""I'm positive there are many mamodo that don't want to go against me.""")</f>
        <v>"I'm positive there are many mamodo that don't want to go against me."</v>
      </c>
      <c r="O390" s="27"/>
      <c r="P390" s="27"/>
      <c r="Q390" s="27"/>
      <c r="R390" s="27"/>
      <c r="S390" s="27"/>
      <c r="T390" s="27"/>
      <c r="U390" s="27"/>
      <c r="V390" s="27"/>
      <c r="W390" s="27"/>
      <c r="X390" s="27"/>
      <c r="Y390" s="27"/>
      <c r="Z390" s="27"/>
    </row>
    <row r="391">
      <c r="A391" s="29" t="str">
        <f>IFERROR(__xludf.DUMMYFUNCTION("""COMPUTED_VALUE"""),"M-018")</f>
        <v>M-018</v>
      </c>
      <c r="B391" s="27" t="str">
        <f>IFERROR(__xludf.DUMMYFUNCTION("""COMPUTED_VALUE"""),"Mamodo")</f>
        <v>Mamodo</v>
      </c>
      <c r="C391" s="27" t="str">
        <f>IFERROR(__xludf.DUMMYFUNCTION("""COMPUTED_VALUE"""),"Brago")</f>
        <v>Brago</v>
      </c>
      <c r="D391" s="27" t="str">
        <f>IFERROR(__xludf.DUMMYFUNCTION("""COMPUTED_VALUE"""),"Brago")</f>
        <v>Brago</v>
      </c>
      <c r="E391" s="27" t="str">
        <f>IFERROR(__xludf.DUMMYFUNCTION("""COMPUTED_VALUE"""),"-")</f>
        <v>-</v>
      </c>
      <c r="F391" s="27" t="str">
        <f>IFERROR(__xludf.DUMMYFUNCTION("""COMPUTED_VALUE"""),"-")</f>
        <v>-</v>
      </c>
      <c r="G391" s="27" t="str">
        <f>IFERROR(__xludf.DUMMYFUNCTION("""COMPUTED_VALUE"""),"None")</f>
        <v>None</v>
      </c>
      <c r="H391" s="27" t="str">
        <f>IFERROR(__xludf.DUMMYFUNCTION("""COMPUTED_VALUE"""),"Self-Possession")</f>
        <v>Self-Possession</v>
      </c>
      <c r="I391" s="28" t="str">
        <f>IFERROR(__xludf.DUMMYFUNCTION("""COMPUTED_VALUE"""),"[1 MP] Look at the currently open pages of your opponent's Spell Book during your BATTLE PHASE; if there are no SPELL cards with a ""Defend"" Icon, get 2 MP.")</f>
        <v>[1 MP] Look at the currently open pages of your opponent's Spell Book during your BATTLE PHASE; if there are no SPELL cards with a "Defend" Icon, get 2 MP.</v>
      </c>
      <c r="J391" s="27">
        <f>IFERROR(__xludf.DUMMYFUNCTION("""COMPUTED_VALUE"""),5000.0)</f>
        <v>5000</v>
      </c>
      <c r="K391" s="27" t="str">
        <f>IFERROR(__xludf.DUMMYFUNCTION("""COMPUTED_VALUE"""),"-")</f>
        <v>-</v>
      </c>
      <c r="L391" s="27" t="str">
        <f>IFERROR(__xludf.DUMMYFUNCTION("""COMPUTED_VALUE"""),"Series 1 Level 2, The Best Booster 1")</f>
        <v>Series 1 Level 2, The Best Booster 1</v>
      </c>
      <c r="M391" s="27" t="str">
        <f>IFERROR(__xludf.DUMMYFUNCTION("""COMPUTED_VALUE"""),"[R]")</f>
        <v>[R]</v>
      </c>
      <c r="N391" s="27" t="str">
        <f>IFERROR(__xludf.DUMMYFUNCTION("""COMPUTED_VALUE"""),"""Do you want me to end your life now?""")</f>
        <v>"Do you want me to end your life now?"</v>
      </c>
      <c r="O391" s="27"/>
      <c r="P391" s="27"/>
      <c r="Q391" s="27"/>
      <c r="R391" s="27"/>
      <c r="S391" s="27"/>
      <c r="T391" s="27"/>
      <c r="U391" s="27"/>
      <c r="V391" s="27"/>
      <c r="W391" s="27"/>
      <c r="X391" s="27"/>
      <c r="Y391" s="27"/>
      <c r="Z391" s="27"/>
    </row>
    <row r="392">
      <c r="A392" s="29" t="str">
        <f>IFERROR(__xludf.DUMMYFUNCTION("""COMPUTED_VALUE"""),"M-019")</f>
        <v>M-019</v>
      </c>
      <c r="B392" s="27" t="str">
        <f>IFERROR(__xludf.DUMMYFUNCTION("""COMPUTED_VALUE"""),"Mamodo")</f>
        <v>Mamodo</v>
      </c>
      <c r="C392" s="27" t="str">
        <f>IFERROR(__xludf.DUMMYFUNCTION("""COMPUTED_VALUE"""),"Kanchome")</f>
        <v>Kanchome</v>
      </c>
      <c r="D392" s="27" t="str">
        <f>IFERROR(__xludf.DUMMYFUNCTION("""COMPUTED_VALUE"""),"Kanchome")</f>
        <v>Kanchome</v>
      </c>
      <c r="E392" s="27" t="str">
        <f>IFERROR(__xludf.DUMMYFUNCTION("""COMPUTED_VALUE"""),"-")</f>
        <v>-</v>
      </c>
      <c r="F392" s="27" t="str">
        <f>IFERROR(__xludf.DUMMYFUNCTION("""COMPUTED_VALUE"""),"-")</f>
        <v>-</v>
      </c>
      <c r="G392" s="27" t="str">
        <f>IFERROR(__xludf.DUMMYFUNCTION("""COMPUTED_VALUE"""),"None")</f>
        <v>None</v>
      </c>
      <c r="H392" s="27" t="str">
        <f>IFERROR(__xludf.DUMMYFUNCTION("""COMPUTED_VALUE"""),"Odd Animal")</f>
        <v>Odd Animal</v>
      </c>
      <c r="I392" s="28" t="str">
        <f>IFERROR(__xludf.DUMMYFUNCTION("""COMPUTED_VALUE"""),"[DECLARE TO USE] Your opponent re-does their coin toss.")</f>
        <v>[DECLARE TO USE] Your opponent re-does their coin toss.</v>
      </c>
      <c r="J392" s="27">
        <f>IFERROR(__xludf.DUMMYFUNCTION("""COMPUTED_VALUE"""),1000.0)</f>
        <v>1000</v>
      </c>
      <c r="K392" s="27" t="str">
        <f>IFERROR(__xludf.DUMMYFUNCTION("""COMPUTED_VALUE"""),"-")</f>
        <v>-</v>
      </c>
      <c r="L392" s="27" t="str">
        <f>IFERROR(__xludf.DUMMYFUNCTION("""COMPUTED_VALUE"""),"Series 1, Level 2")</f>
        <v>Series 1, Level 2</v>
      </c>
      <c r="M392" s="27" t="str">
        <f>IFERROR(__xludf.DUMMYFUNCTION("""COMPUTED_VALUE"""),"[R]")</f>
        <v>[R]</v>
      </c>
      <c r="N392" s="27" t="str">
        <f>IFERROR(__xludf.DUMMYFUNCTION("""COMPUTED_VALUE"""),"""Munch, munch, munch...""")</f>
        <v>"Munch, munch, munch..."</v>
      </c>
      <c r="O392" s="27"/>
      <c r="P392" s="27"/>
      <c r="Q392" s="27"/>
      <c r="R392" s="27"/>
      <c r="S392" s="27"/>
      <c r="T392" s="27"/>
      <c r="U392" s="27"/>
      <c r="V392" s="27"/>
      <c r="W392" s="27"/>
      <c r="X392" s="27"/>
      <c r="Y392" s="27"/>
      <c r="Z392" s="27"/>
    </row>
    <row r="393">
      <c r="A393" s="29" t="str">
        <f>IFERROR(__xludf.DUMMYFUNCTION("""COMPUTED_VALUE"""),"M-020")</f>
        <v>M-020</v>
      </c>
      <c r="B393" s="27" t="str">
        <f>IFERROR(__xludf.DUMMYFUNCTION("""COMPUTED_VALUE"""),"Mamodo")</f>
        <v>Mamodo</v>
      </c>
      <c r="C393" s="27" t="str">
        <f>IFERROR(__xludf.DUMMYFUNCTION("""COMPUTED_VALUE"""),"Tia")</f>
        <v>Tia</v>
      </c>
      <c r="D393" s="27" t="str">
        <f>IFERROR(__xludf.DUMMYFUNCTION("""COMPUTED_VALUE"""),"Tia")</f>
        <v>Tia</v>
      </c>
      <c r="E393" s="27" t="str">
        <f>IFERROR(__xludf.DUMMYFUNCTION("""COMPUTED_VALUE"""),"-")</f>
        <v>-</v>
      </c>
      <c r="F393" s="27" t="str">
        <f>IFERROR(__xludf.DUMMYFUNCTION("""COMPUTED_VALUE"""),"-")</f>
        <v>-</v>
      </c>
      <c r="G393" s="27" t="str">
        <f>IFERROR(__xludf.DUMMYFUNCTION("""COMPUTED_VALUE"""),"None")</f>
        <v>None</v>
      </c>
      <c r="H393" s="27" t="str">
        <f>IFERROR(__xludf.DUMMYFUNCTION("""COMPUTED_VALUE"""),"Along With Megumi")</f>
        <v>Along With Megumi</v>
      </c>
      <c r="I393" s="28" t="str">
        <f>IFERROR(__xludf.DUMMYFUNCTION("""COMPUTED_VALUE"""),"[1 MP] Select 1 Megumi PARTNER card from any page of your Spell Book and attach it to this MAMODO card.")</f>
        <v>[1 MP] Select 1 Megumi PARTNER card from any page of your Spell Book and attach it to this MAMODO card.</v>
      </c>
      <c r="J393" s="27">
        <f>IFERROR(__xludf.DUMMYFUNCTION("""COMPUTED_VALUE"""),3500.0)</f>
        <v>3500</v>
      </c>
      <c r="K393" s="27" t="str">
        <f>IFERROR(__xludf.DUMMYFUNCTION("""COMPUTED_VALUE"""),"-")</f>
        <v>-</v>
      </c>
      <c r="L393" s="27" t="str">
        <f>IFERROR(__xludf.DUMMYFUNCTION("""COMPUTED_VALUE"""),"Series 1, Level 2")</f>
        <v>Series 1, Level 2</v>
      </c>
      <c r="M393" s="27" t="str">
        <f>IFERROR(__xludf.DUMMYFUNCTION("""COMPUTED_VALUE"""),"[R]")</f>
        <v>[R]</v>
      </c>
      <c r="N393" s="27" t="str">
        <f>IFERROR(__xludf.DUMMYFUNCTION("""COMPUTED_VALUE"""),"""I will protect Megumi!""")</f>
        <v>"I will protect Megumi!"</v>
      </c>
      <c r="O393" s="27"/>
      <c r="P393" s="27"/>
      <c r="Q393" s="27"/>
      <c r="R393" s="27"/>
      <c r="S393" s="27"/>
      <c r="T393" s="27"/>
      <c r="U393" s="27"/>
      <c r="V393" s="27"/>
      <c r="W393" s="27"/>
      <c r="X393" s="27"/>
      <c r="Y393" s="27"/>
      <c r="Z393" s="27"/>
    </row>
    <row r="394">
      <c r="A394" s="29" t="str">
        <f>IFERROR(__xludf.DUMMYFUNCTION("""COMPUTED_VALUE"""),"M-021")</f>
        <v>M-021</v>
      </c>
      <c r="B394" s="27" t="str">
        <f>IFERROR(__xludf.DUMMYFUNCTION("""COMPUTED_VALUE"""),"Mamodo")</f>
        <v>Mamodo</v>
      </c>
      <c r="C394" s="27" t="str">
        <f>IFERROR(__xludf.DUMMYFUNCTION("""COMPUTED_VALUE"""),"Hyde")</f>
        <v>Hyde</v>
      </c>
      <c r="D394" s="27" t="str">
        <f>IFERROR(__xludf.DUMMYFUNCTION("""COMPUTED_VALUE"""),"Hyde")</f>
        <v>Hyde</v>
      </c>
      <c r="E394" s="27" t="str">
        <f>IFERROR(__xludf.DUMMYFUNCTION("""COMPUTED_VALUE"""),"-")</f>
        <v>-</v>
      </c>
      <c r="F394" s="27" t="str">
        <f>IFERROR(__xludf.DUMMYFUNCTION("""COMPUTED_VALUE"""),"-")</f>
        <v>-</v>
      </c>
      <c r="G394" s="27" t="str">
        <f>IFERROR(__xludf.DUMMYFUNCTION("""COMPUTED_VALUE"""),"None")</f>
        <v>None</v>
      </c>
      <c r="H394" s="27" t="str">
        <f>IFERROR(__xludf.DUMMYFUNCTION("""COMPUTED_VALUE"""),"Rider on the Wind")</f>
        <v>Rider on the Wind</v>
      </c>
      <c r="I394" s="28" t="str">
        <f>IFERROR(__xludf.DUMMYFUNCTION("""COMPUTED_VALUE"""),"[1 MP] Select 1 Eido PARTNER card from any page of your Spell Book and attach it to this MAMODO card.")</f>
        <v>[1 MP] Select 1 Eido PARTNER card from any page of your Spell Book and attach it to this MAMODO card.</v>
      </c>
      <c r="J394" s="27">
        <f>IFERROR(__xludf.DUMMYFUNCTION("""COMPUTED_VALUE"""),3000.0)</f>
        <v>3000</v>
      </c>
      <c r="K394" s="27" t="str">
        <f>IFERROR(__xludf.DUMMYFUNCTION("""COMPUTED_VALUE"""),"-")</f>
        <v>-</v>
      </c>
      <c r="L394" s="27" t="str">
        <f>IFERROR(__xludf.DUMMYFUNCTION("""COMPUTED_VALUE"""),"Series 1, Level 2")</f>
        <v>Series 1, Level 2</v>
      </c>
      <c r="M394" s="27" t="str">
        <f>IFERROR(__xludf.DUMMYFUNCTION("""COMPUTED_VALUE"""),"[U]")</f>
        <v>[U]</v>
      </c>
      <c r="N394" s="27" t="str">
        <f>IFERROR(__xludf.DUMMYFUNCTION("""COMPUTED_VALUE"""),"He is a cool mamodo with the power to control the wind.")</f>
        <v>He is a cool mamodo with the power to control the wind.</v>
      </c>
      <c r="O394" s="27"/>
      <c r="P394" s="27"/>
      <c r="Q394" s="27"/>
      <c r="R394" s="27"/>
      <c r="S394" s="27"/>
      <c r="T394" s="27"/>
      <c r="U394" s="27"/>
      <c r="V394" s="27"/>
      <c r="W394" s="27"/>
      <c r="X394" s="27"/>
      <c r="Y394" s="27"/>
      <c r="Z394" s="27"/>
    </row>
    <row r="395">
      <c r="A395" s="29" t="str">
        <f>IFERROR(__xludf.DUMMYFUNCTION("""COMPUTED_VALUE"""),"M-022")</f>
        <v>M-022</v>
      </c>
      <c r="B395" s="27" t="str">
        <f>IFERROR(__xludf.DUMMYFUNCTION("""COMPUTED_VALUE"""),"Mamodo")</f>
        <v>Mamodo</v>
      </c>
      <c r="C395" s="27" t="str">
        <f>IFERROR(__xludf.DUMMYFUNCTION("""COMPUTED_VALUE"""),"Zofis")</f>
        <v>Zofis</v>
      </c>
      <c r="D395" s="27" t="str">
        <f>IFERROR(__xludf.DUMMYFUNCTION("""COMPUTED_VALUE"""),"Zofis")</f>
        <v>Zofis</v>
      </c>
      <c r="E395" s="27" t="str">
        <f>IFERROR(__xludf.DUMMYFUNCTION("""COMPUTED_VALUE"""),"-")</f>
        <v>-</v>
      </c>
      <c r="F395" s="27" t="str">
        <f>IFERROR(__xludf.DUMMYFUNCTION("""COMPUTED_VALUE"""),"-")</f>
        <v>-</v>
      </c>
      <c r="G395" s="27" t="str">
        <f>IFERROR(__xludf.DUMMYFUNCTION("""COMPUTED_VALUE"""),"None")</f>
        <v>None</v>
      </c>
      <c r="H395" s="27" t="str">
        <f>IFERROR(__xludf.DUMMYFUNCTION("""COMPUTED_VALUE"""),"Mental Controller")</f>
        <v>Mental Controller</v>
      </c>
      <c r="I395" s="28" t="str">
        <f>IFERROR(__xludf.DUMMYFUNCTION("""COMPUTED_VALUE"""),"[5 MP] Send 1 of your opponent's in-play PARTNER cards to the Discard Pile.")</f>
        <v>[5 MP] Send 1 of your opponent's in-play PARTNER cards to the Discard Pile.</v>
      </c>
      <c r="J395" s="27">
        <f>IFERROR(__xludf.DUMMYFUNCTION("""COMPUTED_VALUE"""),5500.0)</f>
        <v>5500</v>
      </c>
      <c r="K395" s="27" t="str">
        <f>IFERROR(__xludf.DUMMYFUNCTION("""COMPUTED_VALUE"""),"-")</f>
        <v>-</v>
      </c>
      <c r="L395" s="27" t="str">
        <f>IFERROR(__xludf.DUMMYFUNCTION("""COMPUTED_VALUE"""),"Series 1, Level 2")</f>
        <v>Series 1, Level 2</v>
      </c>
      <c r="M395" s="27" t="str">
        <f>IFERROR(__xludf.DUMMYFUNCTION("""COMPUTED_VALUE"""),"[SR]")</f>
        <v>[SR]</v>
      </c>
      <c r="N395" s="27" t="str">
        <f>IFERROR(__xludf.DUMMYFUNCTION("""COMPUTED_VALUE"""),"He is a cold-hearted mamodo that manipulates people's minds.")</f>
        <v>He is a cold-hearted mamodo that manipulates people's minds.</v>
      </c>
      <c r="O395" s="27"/>
      <c r="P395" s="27"/>
      <c r="Q395" s="27"/>
      <c r="R395" s="27"/>
      <c r="S395" s="27"/>
      <c r="T395" s="27"/>
      <c r="U395" s="27"/>
      <c r="V395" s="27"/>
      <c r="W395" s="27"/>
      <c r="X395" s="27"/>
      <c r="Y395" s="27"/>
      <c r="Z395" s="27"/>
    </row>
    <row r="396">
      <c r="A396" s="29" t="str">
        <f>IFERROR(__xludf.DUMMYFUNCTION("""COMPUTED_VALUE"""),"M-023")</f>
        <v>M-023</v>
      </c>
      <c r="B396" s="27" t="str">
        <f>IFERROR(__xludf.DUMMYFUNCTION("""COMPUTED_VALUE"""),"Mamodo")</f>
        <v>Mamodo</v>
      </c>
      <c r="C396" s="27" t="str">
        <f>IFERROR(__xludf.DUMMYFUNCTION("""COMPUTED_VALUE"""),"Pokkerio")</f>
        <v>Pokkerio</v>
      </c>
      <c r="D396" s="27" t="str">
        <f>IFERROR(__xludf.DUMMYFUNCTION("""COMPUTED_VALUE"""),"Pokkerio")</f>
        <v>Pokkerio</v>
      </c>
      <c r="E396" s="27" t="str">
        <f>IFERROR(__xludf.DUMMYFUNCTION("""COMPUTED_VALUE"""),"-")</f>
        <v>-</v>
      </c>
      <c r="F396" s="27" t="str">
        <f>IFERROR(__xludf.DUMMYFUNCTION("""COMPUTED_VALUE"""),"-")</f>
        <v>-</v>
      </c>
      <c r="G396" s="27" t="str">
        <f>IFERROR(__xludf.DUMMYFUNCTION("""COMPUTED_VALUE"""),"None")</f>
        <v>None</v>
      </c>
      <c r="H396" s="27" t="str">
        <f>IFERROR(__xludf.DUMMYFUNCTION("""COMPUTED_VALUE"""),"Vegetation Mamodo")</f>
        <v>Vegetation Mamodo</v>
      </c>
      <c r="I396" s="28" t="str">
        <f>IFERROR(__xludf.DUMMYFUNCTION("""COMPUTED_VALUE"""),"[IN PLAY] Any SPELL cards with a ""Wood"" Attribute can be played for this MAMODO card.")</f>
        <v>[IN PLAY] Any SPELL cards with a "Wood" Attribute can be played for this MAMODO card.</v>
      </c>
      <c r="J396" s="27">
        <f>IFERROR(__xludf.DUMMYFUNCTION("""COMPUTED_VALUE"""),3000.0)</f>
        <v>3000</v>
      </c>
      <c r="K396" s="27" t="str">
        <f>IFERROR(__xludf.DUMMYFUNCTION("""COMPUTED_VALUE"""),"-")</f>
        <v>-</v>
      </c>
      <c r="L396" s="27" t="str">
        <f>IFERROR(__xludf.DUMMYFUNCTION("""COMPUTED_VALUE"""),"Series 1, Level 2")</f>
        <v>Series 1, Level 2</v>
      </c>
      <c r="M396" s="27" t="str">
        <f>IFERROR(__xludf.DUMMYFUNCTION("""COMPUTED_VALUE"""),"[C]")</f>
        <v>[C]</v>
      </c>
      <c r="N396" s="27" t="str">
        <f>IFERROR(__xludf.DUMMYFUNCTION("""COMPUTED_VALUE"""),"He is a mamodo that encounters Brago in the jungle, and has the power to control trees.")</f>
        <v>He is a mamodo that encounters Brago in the jungle, and has the power to control trees.</v>
      </c>
      <c r="O396" s="27"/>
      <c r="P396" s="27"/>
      <c r="Q396" s="27"/>
      <c r="R396" s="27"/>
      <c r="S396" s="27"/>
      <c r="T396" s="27"/>
      <c r="U396" s="27"/>
      <c r="V396" s="27"/>
      <c r="W396" s="27"/>
      <c r="X396" s="27"/>
      <c r="Y396" s="27"/>
      <c r="Z396" s="27"/>
    </row>
    <row r="397">
      <c r="A397" s="29" t="str">
        <f>IFERROR(__xludf.DUMMYFUNCTION("""COMPUTED_VALUE"""),"M-024")</f>
        <v>M-024</v>
      </c>
      <c r="B397" s="27" t="str">
        <f>IFERROR(__xludf.DUMMYFUNCTION("""COMPUTED_VALUE"""),"Mamodo")</f>
        <v>Mamodo</v>
      </c>
      <c r="C397" s="27" t="str">
        <f>IFERROR(__xludf.DUMMYFUNCTION("""COMPUTED_VALUE"""),"Robnos (Double)")</f>
        <v>Robnos (Double)</v>
      </c>
      <c r="D397" s="27" t="str">
        <f>IFERROR(__xludf.DUMMYFUNCTION("""COMPUTED_VALUE"""),"Robnos")</f>
        <v>Robnos</v>
      </c>
      <c r="E397" s="27" t="str">
        <f>IFERROR(__xludf.DUMMYFUNCTION("""COMPUTED_VALUE"""),"-")</f>
        <v>-</v>
      </c>
      <c r="F397" s="27" t="str">
        <f>IFERROR(__xludf.DUMMYFUNCTION("""COMPUTED_VALUE"""),"-")</f>
        <v>-</v>
      </c>
      <c r="G397" s="27" t="str">
        <f>IFERROR(__xludf.DUMMYFUNCTION("""COMPUTED_VALUE"""),"None")</f>
        <v>None</v>
      </c>
      <c r="H397" s="27" t="str">
        <f>IFERROR(__xludf.DUMMYFUNCTION("""COMPUTED_VALUE"""),"Two in One")</f>
        <v>Two in One</v>
      </c>
      <c r="I397" s="28" t="str">
        <f>IFERROR(__xludf.DUMMYFUNCTION("""COMPUTED_VALUE"""),"Up to 2 Robnos (Double) MAMODO cards can be in play (per player). [IN PLAY] When you have 2 Robnos (Double) MAMODO cards in play, a Biraitsu SPELL card can be played up to twice per turn (per player).")</f>
        <v>Up to 2 Robnos (Double) MAMODO cards can be in play (per player). [IN PLAY] When you have 2 Robnos (Double) MAMODO cards in play, a Biraitsu SPELL card can be played up to twice per turn (per player).</v>
      </c>
      <c r="J397" s="27">
        <f>IFERROR(__xludf.DUMMYFUNCTION("""COMPUTED_VALUE"""),3000.0)</f>
        <v>3000</v>
      </c>
      <c r="K397" s="27" t="str">
        <f>IFERROR(__xludf.DUMMYFUNCTION("""COMPUTED_VALUE"""),"-")</f>
        <v>-</v>
      </c>
      <c r="L397" s="27" t="str">
        <f>IFERROR(__xludf.DUMMYFUNCTION("""COMPUTED_VALUE"""),"Series 1, Level 2, The Best Booster 1")</f>
        <v>Series 1, Level 2, The Best Booster 1</v>
      </c>
      <c r="M397" s="27" t="str">
        <f>IFERROR(__xludf.DUMMYFUNCTION("""COMPUTED_VALUE"""),"[U]")</f>
        <v>[U]</v>
      </c>
      <c r="N397" s="27" t="str">
        <f>IFERROR(__xludf.DUMMYFUNCTION("""COMPUTED_VALUE"""),"I am the invincible Robnos and I love to sculpt!")</f>
        <v>I am the invincible Robnos and I love to sculpt!</v>
      </c>
      <c r="O397" s="27"/>
      <c r="P397" s="27"/>
      <c r="Q397" s="27"/>
      <c r="R397" s="27"/>
      <c r="S397" s="27"/>
      <c r="T397" s="27"/>
      <c r="U397" s="27"/>
      <c r="V397" s="27"/>
      <c r="W397" s="27"/>
      <c r="X397" s="27"/>
      <c r="Y397" s="27"/>
      <c r="Z397" s="27"/>
    </row>
    <row r="398">
      <c r="A398" s="29" t="str">
        <f>IFERROR(__xludf.DUMMYFUNCTION("""COMPUTED_VALUE"""),"M-025")</f>
        <v>M-025</v>
      </c>
      <c r="B398" s="27" t="str">
        <f>IFERROR(__xludf.DUMMYFUNCTION("""COMPUTED_VALUE"""),"Mamodo")</f>
        <v>Mamodo</v>
      </c>
      <c r="C398" s="27" t="str">
        <f>IFERROR(__xludf.DUMMYFUNCTION("""COMPUTED_VALUE"""),"Robnos (Complete)")</f>
        <v>Robnos (Complete)</v>
      </c>
      <c r="D398" s="27" t="str">
        <f>IFERROR(__xludf.DUMMYFUNCTION("""COMPUTED_VALUE"""),"Robnos")</f>
        <v>Robnos</v>
      </c>
      <c r="E398" s="27" t="str">
        <f>IFERROR(__xludf.DUMMYFUNCTION("""COMPUTED_VALUE"""),"-")</f>
        <v>-</v>
      </c>
      <c r="F398" s="27" t="str">
        <f>IFERROR(__xludf.DUMMYFUNCTION("""COMPUTED_VALUE"""),"-")</f>
        <v>-</v>
      </c>
      <c r="G398" s="27" t="str">
        <f>IFERROR(__xludf.DUMMYFUNCTION("""COMPUTED_VALUE"""),"None")</f>
        <v>None</v>
      </c>
      <c r="H398" s="27" t="str">
        <f>IFERROR(__xludf.DUMMYFUNCTION("""COMPUTED_VALUE"""),"Maximum Power")</f>
        <v>Maximum Power</v>
      </c>
      <c r="I398" s="28" t="str">
        <f>IFERROR(__xludf.DUMMYFUNCTION("""COMPUTED_VALUE"""),"[IN PLAY] Apply both of the following effects in order when this MAMODO card is put in play: ● Move 1 Robnos (Double) or Robnos (Complete) MAMODO card from your Discard Pile to an empty page of your Spell Book. ● Get 2 MP.")</f>
        <v>[IN PLAY] Apply both of the following effects in order when this MAMODO card is put in play: ● Move 1 Robnos (Double) or Robnos (Complete) MAMODO card from your Discard Pile to an empty page of your Spell Book. ● Get 2 MP.</v>
      </c>
      <c r="J398" s="27">
        <f>IFERROR(__xludf.DUMMYFUNCTION("""COMPUTED_VALUE"""),5000.0)</f>
        <v>5000</v>
      </c>
      <c r="K398" s="27" t="str">
        <f>IFERROR(__xludf.DUMMYFUNCTION("""COMPUTED_VALUE"""),"-")</f>
        <v>-</v>
      </c>
      <c r="L398" s="27" t="str">
        <f>IFERROR(__xludf.DUMMYFUNCTION("""COMPUTED_VALUE"""),"Series 1, Level 2, The Best Booster 1")</f>
        <v>Series 1, Level 2, The Best Booster 1</v>
      </c>
      <c r="M398" s="27" t="str">
        <f>IFERROR(__xludf.DUMMYFUNCTION("""COMPUTED_VALUE"""),"[SR]")</f>
        <v>[SR]</v>
      </c>
      <c r="N398" s="27" t="str">
        <f>IFERROR(__xludf.DUMMYFUNCTION("""COMPUTED_VALUE"""),"You were only fighting against half of our power!")</f>
        <v>You were only fighting against half of our power!</v>
      </c>
      <c r="O398" s="27"/>
      <c r="P398" s="27"/>
      <c r="Q398" s="27"/>
      <c r="R398" s="27"/>
      <c r="S398" s="27"/>
      <c r="T398" s="27"/>
      <c r="U398" s="27"/>
      <c r="V398" s="27"/>
      <c r="W398" s="27"/>
      <c r="X398" s="27"/>
      <c r="Y398" s="27"/>
      <c r="Z398" s="27"/>
    </row>
    <row r="399">
      <c r="A399" s="29" t="str">
        <f>IFERROR(__xludf.DUMMYFUNCTION("""COMPUTED_VALUE"""),"M-026")</f>
        <v>M-026</v>
      </c>
      <c r="B399" s="27" t="str">
        <f>IFERROR(__xludf.DUMMYFUNCTION("""COMPUTED_VALUE"""),"Mamodo")</f>
        <v>Mamodo</v>
      </c>
      <c r="C399" s="27" t="str">
        <f>IFERROR(__xludf.DUMMYFUNCTION("""COMPUTED_VALUE"""),"Maruss")</f>
        <v>Maruss</v>
      </c>
      <c r="D399" s="27" t="str">
        <f>IFERROR(__xludf.DUMMYFUNCTION("""COMPUTED_VALUE"""),"Maruss")</f>
        <v>Maruss</v>
      </c>
      <c r="E399" s="27" t="str">
        <f>IFERROR(__xludf.DUMMYFUNCTION("""COMPUTED_VALUE"""),"-")</f>
        <v>-</v>
      </c>
      <c r="F399" s="27" t="str">
        <f>IFERROR(__xludf.DUMMYFUNCTION("""COMPUTED_VALUE"""),"-")</f>
        <v>-</v>
      </c>
      <c r="G399" s="27" t="str">
        <f>IFERROR(__xludf.DUMMYFUNCTION("""COMPUTED_VALUE"""),"None")</f>
        <v>None</v>
      </c>
      <c r="H399" s="27" t="str">
        <f>IFERROR(__xludf.DUMMYFUNCTION("""COMPUTED_VALUE"""),"Betrayer")</f>
        <v>Betrayer</v>
      </c>
      <c r="I399" s="28" t="str">
        <f>IFERROR(__xludf.DUMMYFUNCTION("""COMPUTED_VALUE"""),"[2 MP] Negate a MAMODO card's effect your opponent just applied.")</f>
        <v>[2 MP] Negate a MAMODO card's effect your opponent just applied.</v>
      </c>
      <c r="J399" s="27">
        <f>IFERROR(__xludf.DUMMYFUNCTION("""COMPUTED_VALUE"""),3500.0)</f>
        <v>3500</v>
      </c>
      <c r="K399" s="27" t="str">
        <f>IFERROR(__xludf.DUMMYFUNCTION("""COMPUTED_VALUE"""),"-")</f>
        <v>-</v>
      </c>
      <c r="L399" s="27" t="str">
        <f>IFERROR(__xludf.DUMMYFUNCTION("""COMPUTED_VALUE"""),"Series 1, Level 2, The Best Booster 1, Revised Edition")</f>
        <v>Series 1, Level 2, The Best Booster 1, Revised Edition</v>
      </c>
      <c r="M399" s="27" t="str">
        <f>IFERROR(__xludf.DUMMYFUNCTION("""COMPUTED_VALUE"""),"[U]")</f>
        <v>[U]</v>
      </c>
      <c r="N399" s="27" t="str">
        <f>IFERROR(__xludf.DUMMYFUNCTION("""COMPUTED_VALUE"""),"You're weaker than me...how can I forget it?")</f>
        <v>You're weaker than me...how can I forget it?</v>
      </c>
      <c r="O399" s="27"/>
      <c r="P399" s="27"/>
      <c r="Q399" s="27"/>
      <c r="R399" s="27"/>
      <c r="S399" s="27"/>
      <c r="T399" s="27"/>
      <c r="U399" s="27"/>
      <c r="V399" s="27"/>
      <c r="W399" s="27"/>
      <c r="X399" s="27"/>
      <c r="Y399" s="27"/>
      <c r="Z399" s="27"/>
    </row>
    <row r="400">
      <c r="A400" s="29" t="str">
        <f>IFERROR(__xludf.DUMMYFUNCTION("""COMPUTED_VALUE"""),"M-027")</f>
        <v>M-027</v>
      </c>
      <c r="B400" s="27" t="str">
        <f>IFERROR(__xludf.DUMMYFUNCTION("""COMPUTED_VALUE"""),"Mamodo")</f>
        <v>Mamodo</v>
      </c>
      <c r="C400" s="27" t="str">
        <f>IFERROR(__xludf.DUMMYFUNCTION("""COMPUTED_VALUE"""),"Baltro (Armored)")</f>
        <v>Baltro (Armored)</v>
      </c>
      <c r="D400" s="27" t="str">
        <f>IFERROR(__xludf.DUMMYFUNCTION("""COMPUTED_VALUE"""),"Baltro")</f>
        <v>Baltro</v>
      </c>
      <c r="E400" s="27" t="str">
        <f>IFERROR(__xludf.DUMMYFUNCTION("""COMPUTED_VALUE"""),"-")</f>
        <v>-</v>
      </c>
      <c r="F400" s="27" t="str">
        <f>IFERROR(__xludf.DUMMYFUNCTION("""COMPUTED_VALUE"""),"-")</f>
        <v>-</v>
      </c>
      <c r="G400" s="27" t="str">
        <f>IFERROR(__xludf.DUMMYFUNCTION("""COMPUTED_VALUE"""),"None")</f>
        <v>None</v>
      </c>
      <c r="H400" s="27" t="str">
        <f>IFERROR(__xludf.DUMMYFUNCTION("""COMPUTED_VALUE"""),"Emulated Armor")</f>
        <v>Emulated Armor</v>
      </c>
      <c r="I400" s="28" t="str">
        <f>IFERROR(__xludf.DUMMYFUNCTION("""COMPUTED_VALUE"""),"This card is placed on a regular Baltro MAMODO card when a Zeberu SPELL card is played for the Baltro MAMODO card. The regular Baltro MAMODO card remains in play when this card is sent to the Discard Pile. [1 MP] This card may Attack without using a SPELL"&amp;" card (Total Power=5000, Damage=2).")</f>
        <v>This card is placed on a regular Baltro MAMODO card when a Zeberu SPELL card is played for the Baltro MAMODO card. The regular Baltro MAMODO card remains in play when this card is sent to the Discard Pile. [1 MP] This card may Attack without using a SPELL card (Total Power=5000, Damage=2).</v>
      </c>
      <c r="J400" s="27">
        <f>IFERROR(__xludf.DUMMYFUNCTION("""COMPUTED_VALUE"""),5000.0)</f>
        <v>5000</v>
      </c>
      <c r="K400" s="27" t="str">
        <f>IFERROR(__xludf.DUMMYFUNCTION("""COMPUTED_VALUE"""),"-")</f>
        <v>-</v>
      </c>
      <c r="L400" s="27" t="str">
        <f>IFERROR(__xludf.DUMMYFUNCTION("""COMPUTED_VALUE"""),"Series 1, Level 2")</f>
        <v>Series 1, Level 2</v>
      </c>
      <c r="M400" s="27" t="str">
        <f>IFERROR(__xludf.DUMMYFUNCTION("""COMPUTED_VALUE"""),"[SR]")</f>
        <v>[SR]</v>
      </c>
      <c r="N400" s="27" t="str">
        <f>IFERROR(__xludf.DUMMYFUNCTION("""COMPUTED_VALUE"""),"He descends upon his opponents with his big, powerful, destructive body.")</f>
        <v>He descends upon his opponents with his big, powerful, destructive body.</v>
      </c>
      <c r="O400" s="27"/>
      <c r="P400" s="27"/>
      <c r="Q400" s="27"/>
      <c r="R400" s="27"/>
      <c r="S400" s="27"/>
      <c r="T400" s="27"/>
      <c r="U400" s="27"/>
      <c r="V400" s="27"/>
      <c r="W400" s="27"/>
      <c r="X400" s="27"/>
      <c r="Y400" s="27"/>
      <c r="Z400" s="27"/>
    </row>
    <row r="401">
      <c r="A401" s="29" t="str">
        <f>IFERROR(__xludf.DUMMYFUNCTION("""COMPUTED_VALUE"""),"M-028")</f>
        <v>M-028</v>
      </c>
      <c r="B401" s="27" t="str">
        <f>IFERROR(__xludf.DUMMYFUNCTION("""COMPUTED_VALUE"""),"Mamodo")</f>
        <v>Mamodo</v>
      </c>
      <c r="C401" s="27" t="str">
        <f>IFERROR(__xludf.DUMMYFUNCTION("""COMPUTED_VALUE"""),"Baltro")</f>
        <v>Baltro</v>
      </c>
      <c r="D401" s="27" t="str">
        <f>IFERROR(__xludf.DUMMYFUNCTION("""COMPUTED_VALUE"""),"Baltro")</f>
        <v>Baltro</v>
      </c>
      <c r="E401" s="27" t="str">
        <f>IFERROR(__xludf.DUMMYFUNCTION("""COMPUTED_VALUE"""),"-")</f>
        <v>-</v>
      </c>
      <c r="F401" s="27" t="str">
        <f>IFERROR(__xludf.DUMMYFUNCTION("""COMPUTED_VALUE"""),"-")</f>
        <v>-</v>
      </c>
      <c r="G401" s="27" t="str">
        <f>IFERROR(__xludf.DUMMYFUNCTION("""COMPUTED_VALUE"""),"None")</f>
        <v>None</v>
      </c>
      <c r="H401" s="27" t="str">
        <f>IFERROR(__xludf.DUMMYFUNCTION("""COMPUTED_VALUE"""),"Brutal Real Form")</f>
        <v>Brutal Real Form</v>
      </c>
      <c r="I401" s="28" t="str">
        <f>IFERROR(__xludf.DUMMYFUNCTION("""COMPUTED_VALUE"""),"[IN PLAY] When the Baltro (Armored) MAMODO card placed over this MAMODO card is sent to the Discard Pile, turn 2 pages of your opponent's Spell Book.")</f>
        <v>[IN PLAY] When the Baltro (Armored) MAMODO card placed over this MAMODO card is sent to the Discard Pile, turn 2 pages of your opponent's Spell Book.</v>
      </c>
      <c r="J401" s="27">
        <f>IFERROR(__xludf.DUMMYFUNCTION("""COMPUTED_VALUE"""),3000.0)</f>
        <v>3000</v>
      </c>
      <c r="K401" s="27" t="str">
        <f>IFERROR(__xludf.DUMMYFUNCTION("""COMPUTED_VALUE"""),"-")</f>
        <v>-</v>
      </c>
      <c r="L401" s="27" t="str">
        <f>IFERROR(__xludf.DUMMYFUNCTION("""COMPUTED_VALUE"""),"Series 1, Level 2")</f>
        <v>Series 1, Level 2</v>
      </c>
      <c r="M401" s="27" t="str">
        <f>IFERROR(__xludf.DUMMYFUNCTION("""COMPUTED_VALUE"""),"[U]")</f>
        <v>[U]</v>
      </c>
      <c r="N401" s="27" t="str">
        <f>IFERROR(__xludf.DUMMYFUNCTION("""COMPUTED_VALUE"""),"This guy is so weak that he has to hide himself in a big metal body!")</f>
        <v>This guy is so weak that he has to hide himself in a big metal body!</v>
      </c>
      <c r="O401" s="27"/>
      <c r="P401" s="27"/>
      <c r="Q401" s="27"/>
      <c r="R401" s="27"/>
      <c r="S401" s="27"/>
      <c r="T401" s="27"/>
      <c r="U401" s="27"/>
      <c r="V401" s="27"/>
      <c r="W401" s="27"/>
      <c r="X401" s="27"/>
      <c r="Y401" s="27"/>
      <c r="Z401" s="27"/>
    </row>
    <row r="402">
      <c r="A402" s="29" t="str">
        <f>IFERROR(__xludf.DUMMYFUNCTION("""COMPUTED_VALUE"""),"M-029")</f>
        <v>M-029</v>
      </c>
      <c r="B402" s="27" t="str">
        <f>IFERROR(__xludf.DUMMYFUNCTION("""COMPUTED_VALUE"""),"Mamodo")</f>
        <v>Mamodo</v>
      </c>
      <c r="C402" s="27" t="str">
        <f>IFERROR(__xludf.DUMMYFUNCTION("""COMPUTED_VALUE"""),"Zeno")</f>
        <v>Zeno</v>
      </c>
      <c r="D402" s="27" t="str">
        <f>IFERROR(__xludf.DUMMYFUNCTION("""COMPUTED_VALUE"""),"Zeno")</f>
        <v>Zeno</v>
      </c>
      <c r="E402" s="27" t="str">
        <f>IFERROR(__xludf.DUMMYFUNCTION("""COMPUTED_VALUE"""),"-")</f>
        <v>-</v>
      </c>
      <c r="F402" s="27" t="str">
        <f>IFERROR(__xludf.DUMMYFUNCTION("""COMPUTED_VALUE"""),"-")</f>
        <v>-</v>
      </c>
      <c r="G402" s="27" t="str">
        <f>IFERROR(__xludf.DUMMYFUNCTION("""COMPUTED_VALUE"""),"None")</f>
        <v>None</v>
      </c>
      <c r="H402" s="27" t="str">
        <f>IFERROR(__xludf.DUMMYFUNCTION("""COMPUTED_VALUE"""),"Enmity")</f>
        <v>Enmity</v>
      </c>
      <c r="I402" s="28" t="str">
        <f>IFERROR(__xludf.DUMMYFUNCTION("""COMPUTED_VALUE"""),"Any Zaker SPELL cards with Zatch Bell as their MAMODO name can be played for this MAMODO card. [7 MP] Send 1 of your opponent's Injured MAMODO cards to the Discard Pile.")</f>
        <v>Any Zaker SPELL cards with Zatch Bell as their MAMODO name can be played for this MAMODO card. [7 MP] Send 1 of your opponent's Injured MAMODO cards to the Discard Pile.</v>
      </c>
      <c r="J402" s="27">
        <f>IFERROR(__xludf.DUMMYFUNCTION("""COMPUTED_VALUE"""),6000.0)</f>
        <v>6000</v>
      </c>
      <c r="K402" s="27" t="str">
        <f>IFERROR(__xludf.DUMMYFUNCTION("""COMPUTED_VALUE"""),"-")</f>
        <v>-</v>
      </c>
      <c r="L402" s="27" t="str">
        <f>IFERROR(__xludf.DUMMYFUNCTION("""COMPUTED_VALUE"""),"Series 1, Level 2, The Best Booster 1")</f>
        <v>Series 1, Level 2, The Best Booster 1</v>
      </c>
      <c r="M402" s="27" t="str">
        <f>IFERROR(__xludf.DUMMYFUNCTION("""COMPUTED_VALUE"""),"[SR]")</f>
        <v>[SR]</v>
      </c>
      <c r="N402" s="27" t="str">
        <f>IFERROR(__xludf.DUMMYFUNCTION("""COMPUTED_VALUE"""),"He is a mysterious mamodo that hates Zatch and has deleted Zatch's memory of the mamodo world.")</f>
        <v>He is a mysterious mamodo that hates Zatch and has deleted Zatch's memory of the mamodo world.</v>
      </c>
      <c r="O402" s="27"/>
      <c r="P402" s="27"/>
      <c r="Q402" s="27"/>
      <c r="R402" s="27"/>
      <c r="S402" s="27"/>
      <c r="T402" s="27"/>
      <c r="U402" s="27"/>
      <c r="V402" s="27"/>
      <c r="W402" s="27"/>
      <c r="X402" s="27"/>
      <c r="Y402" s="27"/>
      <c r="Z402" s="27"/>
    </row>
    <row r="403">
      <c r="A403" s="29" t="str">
        <f>IFERROR(__xludf.DUMMYFUNCTION("""COMPUTED_VALUE"""),"M-030")</f>
        <v>M-030</v>
      </c>
      <c r="B403" s="27" t="str">
        <f>IFERROR(__xludf.DUMMYFUNCTION("""COMPUTED_VALUE"""),"Mamodo")</f>
        <v>Mamodo</v>
      </c>
      <c r="C403" s="27" t="str">
        <f>IFERROR(__xludf.DUMMYFUNCTION("""COMPUTED_VALUE"""),"Yopopo")</f>
        <v>Yopopo</v>
      </c>
      <c r="D403" s="27" t="str">
        <f>IFERROR(__xludf.DUMMYFUNCTION("""COMPUTED_VALUE"""),"Yopopo")</f>
        <v>Yopopo</v>
      </c>
      <c r="E403" s="27" t="str">
        <f>IFERROR(__xludf.DUMMYFUNCTION("""COMPUTED_VALUE"""),"-")</f>
        <v>-</v>
      </c>
      <c r="F403" s="27" t="str">
        <f>IFERROR(__xludf.DUMMYFUNCTION("""COMPUTED_VALUE"""),"-")</f>
        <v>-</v>
      </c>
      <c r="G403" s="27" t="str">
        <f>IFERROR(__xludf.DUMMYFUNCTION("""COMPUTED_VALUE"""),"None")</f>
        <v>None</v>
      </c>
      <c r="H403" s="27" t="str">
        <f>IFERROR(__xludf.DUMMYFUNCTION("""COMPUTED_VALUE"""),"Topopoi")</f>
        <v>Topopoi</v>
      </c>
      <c r="I403" s="28" t="str">
        <f>IFERROR(__xludf.DUMMYFUNCTION("""COMPUTED_VALUE"""),"[DECLARE TO USE] This effect can be applied only when you are on the last page of your Spell Book. [STANDBY] End the turn without turning a page of the Spell Book at the END PHASE of this turn. This effect can be applied only once per game (per player).")</f>
        <v>[DECLARE TO USE] This effect can be applied only when you are on the last page of your Spell Book. [STANDBY] End the turn without turning a page of the Spell Book at the END PHASE of this turn. This effect can be applied only once per game (per player).</v>
      </c>
      <c r="J403" s="27">
        <f>IFERROR(__xludf.DUMMYFUNCTION("""COMPUTED_VALUE"""),2000.0)</f>
        <v>2000</v>
      </c>
      <c r="K403" s="27" t="str">
        <f>IFERROR(__xludf.DUMMYFUNCTION("""COMPUTED_VALUE"""),"-")</f>
        <v>-</v>
      </c>
      <c r="L403" s="27" t="str">
        <f>IFERROR(__xludf.DUMMYFUNCTION("""COMPUTED_VALUE"""),"Series 1, Level 2, The Best Booster 2")</f>
        <v>Series 1, Level 2, The Best Booster 2</v>
      </c>
      <c r="M403" s="27" t="str">
        <f>IFERROR(__xludf.DUMMYFUNCTION("""COMPUTED_VALUE"""),"[R]")</f>
        <v>[R]</v>
      </c>
      <c r="N403" s="27" t="str">
        <f>IFERROR(__xludf.DUMMYFUNCTION("""COMPUTED_VALUE"""),"He is a warm-hearted mamodo who loves to sing and dance.")</f>
        <v>He is a warm-hearted mamodo who loves to sing and dance.</v>
      </c>
      <c r="O403" s="27"/>
      <c r="P403" s="27"/>
      <c r="Q403" s="27"/>
      <c r="R403" s="27"/>
      <c r="S403" s="27"/>
      <c r="T403" s="27"/>
      <c r="U403" s="27"/>
      <c r="V403" s="27"/>
      <c r="W403" s="27"/>
      <c r="X403" s="27"/>
      <c r="Y403" s="27"/>
      <c r="Z403" s="27"/>
    </row>
    <row r="404">
      <c r="A404" s="29" t="str">
        <f>IFERROR(__xludf.DUMMYFUNCTION("""COMPUTED_VALUE"""),"M-031")</f>
        <v>M-031</v>
      </c>
      <c r="B404" s="27" t="str">
        <f>IFERROR(__xludf.DUMMYFUNCTION("""COMPUTED_VALUE"""),"Mamodo")</f>
        <v>Mamodo</v>
      </c>
      <c r="C404" s="27" t="str">
        <f>IFERROR(__xludf.DUMMYFUNCTION("""COMPUTED_VALUE"""),"Kikuropu")</f>
        <v>Kikuropu</v>
      </c>
      <c r="D404" s="27" t="str">
        <f>IFERROR(__xludf.DUMMYFUNCTION("""COMPUTED_VALUE"""),"Kikuropu")</f>
        <v>Kikuropu</v>
      </c>
      <c r="E404" s="27" t="str">
        <f>IFERROR(__xludf.DUMMYFUNCTION("""COMPUTED_VALUE"""),"-")</f>
        <v>-</v>
      </c>
      <c r="F404" s="27" t="str">
        <f>IFERROR(__xludf.DUMMYFUNCTION("""COMPUTED_VALUE"""),"-")</f>
        <v>-</v>
      </c>
      <c r="G404" s="27" t="str">
        <f>IFERROR(__xludf.DUMMYFUNCTION("""COMPUTED_VALUE"""),"None")</f>
        <v>None</v>
      </c>
      <c r="H404" s="27" t="str">
        <f>IFERROR(__xludf.DUMMYFUNCTION("""COMPUTED_VALUE"""),"Kikuropu's Armor")</f>
        <v>Kikuropu's Armor</v>
      </c>
      <c r="I404" s="28" t="str">
        <f>IFERROR(__xludf.DUMMYFUNCTION("""COMPUTED_VALUE"""),"[IN PLAY] This MAMODO card does not receive Damage or Injury from a SPELL card with a Total Power of 6000 or less.")</f>
        <v>[IN PLAY] This MAMODO card does not receive Damage or Injury from a SPELL card with a Total Power of 6000 or less.</v>
      </c>
      <c r="J404" s="27">
        <f>IFERROR(__xludf.DUMMYFUNCTION("""COMPUTED_VALUE"""),4000.0)</f>
        <v>4000</v>
      </c>
      <c r="K404" s="27" t="str">
        <f>IFERROR(__xludf.DUMMYFUNCTION("""COMPUTED_VALUE"""),"-")</f>
        <v>-</v>
      </c>
      <c r="L404" s="27" t="str">
        <f>IFERROR(__xludf.DUMMYFUNCTION("""COMPUTED_VALUE"""),"Series 1, Level 2")</f>
        <v>Series 1, Level 2</v>
      </c>
      <c r="M404" s="27" t="str">
        <f>IFERROR(__xludf.DUMMYFUNCTION("""COMPUTED_VALUE"""),"[U]")</f>
        <v>[U]</v>
      </c>
      <c r="N404" s="27" t="str">
        <f>IFERROR(__xludf.DUMMYFUNCTION("""COMPUTED_VALUE"""),"He is a mamodo whose body is protected by hard volcanic rocks for best defensive performance.")</f>
        <v>He is a mamodo whose body is protected by hard volcanic rocks for best defensive performance.</v>
      </c>
      <c r="O404" s="27"/>
      <c r="P404" s="27"/>
      <c r="Q404" s="27"/>
      <c r="R404" s="27"/>
      <c r="S404" s="27"/>
      <c r="T404" s="27"/>
      <c r="U404" s="27"/>
      <c r="V404" s="27"/>
      <c r="W404" s="27"/>
      <c r="X404" s="27"/>
      <c r="Y404" s="27"/>
      <c r="Z404" s="27"/>
    </row>
    <row r="405">
      <c r="A405" s="29" t="str">
        <f>IFERROR(__xludf.DUMMYFUNCTION("""COMPUTED_VALUE"""),"M-032")</f>
        <v>M-032</v>
      </c>
      <c r="B405" s="27" t="str">
        <f>IFERROR(__xludf.DUMMYFUNCTION("""COMPUTED_VALUE"""),"Mamodo")</f>
        <v>Mamodo</v>
      </c>
      <c r="C405" s="27" t="str">
        <f>IFERROR(__xludf.DUMMYFUNCTION("""COMPUTED_VALUE"""),"Zatch Bell")</f>
        <v>Zatch Bell</v>
      </c>
      <c r="D405" s="27" t="str">
        <f>IFERROR(__xludf.DUMMYFUNCTION("""COMPUTED_VALUE"""),"Zatch Bell")</f>
        <v>Zatch Bell</v>
      </c>
      <c r="E405" s="27" t="str">
        <f>IFERROR(__xludf.DUMMYFUNCTION("""COMPUTED_VALUE"""),"-")</f>
        <v>-</v>
      </c>
      <c r="F405" s="27" t="str">
        <f>IFERROR(__xludf.DUMMYFUNCTION("""COMPUTED_VALUE"""),"-")</f>
        <v>-</v>
      </c>
      <c r="G405" s="27" t="str">
        <f>IFERROR(__xludf.DUMMYFUNCTION("""COMPUTED_VALUE"""),"None")</f>
        <v>None</v>
      </c>
      <c r="H405" s="27" t="str">
        <f>IFERROR(__xludf.DUMMYFUNCTION("""COMPUTED_VALUE"""),"Going Out")</f>
        <v>Going Out</v>
      </c>
      <c r="I405" s="28" t="str">
        <f>IFERROR(__xludf.DUMMYFUNCTION("""COMPUTED_VALUE"""),"[SEND THIS CARD TO THE DISCARD PILE] (Cut-In) Negate the EVENT card your opponent just played.")</f>
        <v>[SEND THIS CARD TO THE DISCARD PILE] (Cut-In) Negate the EVENT card your opponent just played.</v>
      </c>
      <c r="J405" s="27">
        <f>IFERROR(__xludf.DUMMYFUNCTION("""COMPUTED_VALUE"""),3000.0)</f>
        <v>3000</v>
      </c>
      <c r="K405" s="27" t="str">
        <f>IFERROR(__xludf.DUMMYFUNCTION("""COMPUTED_VALUE"""),"-")</f>
        <v>-</v>
      </c>
      <c r="L405" s="27" t="str">
        <f>IFERROR(__xludf.DUMMYFUNCTION("""COMPUTED_VALUE"""),"Spell Book")</f>
        <v>Spell Book</v>
      </c>
      <c r="M405" s="27" t="str">
        <f>IFERROR(__xludf.DUMMYFUNCTION("""COMPUTED_VALUE"""),"[R]")</f>
        <v>[R]</v>
      </c>
      <c r="N405" s="27" t="str">
        <f>IFERROR(__xludf.DUMMYFUNCTION("""COMPUTED_VALUE"""),"""Kiyo! You're taking me with you!""")</f>
        <v>"Kiyo! You're taking me with you!"</v>
      </c>
      <c r="O405" s="27"/>
      <c r="P405" s="27"/>
      <c r="Q405" s="27"/>
      <c r="R405" s="27"/>
      <c r="S405" s="27"/>
      <c r="T405" s="27"/>
      <c r="U405" s="27"/>
      <c r="V405" s="27"/>
      <c r="W405" s="27"/>
      <c r="X405" s="27"/>
      <c r="Y405" s="27"/>
      <c r="Z405" s="27"/>
    </row>
    <row r="406">
      <c r="A406" s="29" t="str">
        <f>IFERROR(__xludf.DUMMYFUNCTION("""COMPUTED_VALUE"""),"M-033e")</f>
        <v>M-033e</v>
      </c>
      <c r="B406" s="27" t="str">
        <f>IFERROR(__xludf.DUMMYFUNCTION("""COMPUTED_VALUE"""),"Mamodo")</f>
        <v>Mamodo</v>
      </c>
      <c r="C406" s="27" t="str">
        <f>IFERROR(__xludf.DUMMYFUNCTION("""COMPUTED_VALUE"""),"Brago")</f>
        <v>Brago</v>
      </c>
      <c r="D406" s="27" t="str">
        <f>IFERROR(__xludf.DUMMYFUNCTION("""COMPUTED_VALUE"""),"Brago")</f>
        <v>Brago</v>
      </c>
      <c r="E406" s="27" t="str">
        <f>IFERROR(__xludf.DUMMYFUNCTION("""COMPUTED_VALUE"""),"-")</f>
        <v>-</v>
      </c>
      <c r="F406" s="27" t="str">
        <f>IFERROR(__xludf.DUMMYFUNCTION("""COMPUTED_VALUE"""),"-")</f>
        <v>-</v>
      </c>
      <c r="G406" s="27" t="str">
        <f>IFERROR(__xludf.DUMMYFUNCTION("""COMPUTED_VALUE"""),"None")</f>
        <v>None</v>
      </c>
      <c r="H406" s="27" t="str">
        <f>IFERROR(__xludf.DUMMYFUNCTION("""COMPUTED_VALUE"""),"Scornful Laughter")</f>
        <v>Scornful Laughter</v>
      </c>
      <c r="I406" s="28" t="str">
        <f>IFERROR(__xludf.DUMMYFUNCTION("""COMPUTED_VALUE"""),"[SEND THIS CARD TO THE DISCARD PILE] [STAY] Increase Damage by 1 when this MAMODO card inflicts Damage or Injury during this turn.")</f>
        <v>[SEND THIS CARD TO THE DISCARD PILE] [STAY] Increase Damage by 1 when this MAMODO card inflicts Damage or Injury during this turn.</v>
      </c>
      <c r="J406" s="27">
        <f>IFERROR(__xludf.DUMMYFUNCTION("""COMPUTED_VALUE"""),5000.0)</f>
        <v>5000</v>
      </c>
      <c r="K406" s="27" t="str">
        <f>IFERROR(__xludf.DUMMYFUNCTION("""COMPUTED_VALUE"""),"-")</f>
        <v>-</v>
      </c>
      <c r="L406" s="27" t="str">
        <f>IFERROR(__xludf.DUMMYFUNCTION("""COMPUTED_VALUE"""),"Spell Book")</f>
        <v>Spell Book</v>
      </c>
      <c r="M406" s="27" t="str">
        <f>IFERROR(__xludf.DUMMYFUNCTION("""COMPUTED_VALUE"""),"[R]")</f>
        <v>[R]</v>
      </c>
      <c r="N406" s="27" t="str">
        <f>IFERROR(__xludf.DUMMYFUNCTION("""COMPUTED_VALUE"""),"""Huh, don't bare your fangs at me, you pathetic creature!""")</f>
        <v>"Huh, don't bare your fangs at me, you pathetic creature!"</v>
      </c>
      <c r="O406" s="27"/>
      <c r="P406" s="27"/>
      <c r="Q406" s="27"/>
      <c r="R406" s="27"/>
      <c r="S406" s="27"/>
      <c r="T406" s="27"/>
      <c r="U406" s="27"/>
      <c r="V406" s="27"/>
      <c r="W406" s="27"/>
      <c r="X406" s="27"/>
      <c r="Y406" s="27"/>
      <c r="Z406" s="27"/>
    </row>
    <row r="407">
      <c r="A407" s="29" t="str">
        <f>IFERROR(__xludf.DUMMYFUNCTION("""COMPUTED_VALUE"""),"M-033j")</f>
        <v>M-033j</v>
      </c>
      <c r="B407" s="27" t="str">
        <f>IFERROR(__xludf.DUMMYFUNCTION("""COMPUTED_VALUE"""),"Mamodo")</f>
        <v>Mamodo</v>
      </c>
      <c r="C407" s="27" t="str">
        <f>IFERROR(__xludf.DUMMYFUNCTION("""COMPUTED_VALUE"""),"Brago")</f>
        <v>Brago</v>
      </c>
      <c r="D407" s="27" t="str">
        <f>IFERROR(__xludf.DUMMYFUNCTION("""COMPUTED_VALUE"""),"Brago")</f>
        <v>Brago</v>
      </c>
      <c r="E407" s="27" t="str">
        <f>IFERROR(__xludf.DUMMYFUNCTION("""COMPUTED_VALUE"""),"-")</f>
        <v>-</v>
      </c>
      <c r="F407" s="27" t="str">
        <f>IFERROR(__xludf.DUMMYFUNCTION("""COMPUTED_VALUE"""),"-")</f>
        <v>-</v>
      </c>
      <c r="G407" s="27" t="str">
        <f>IFERROR(__xludf.DUMMYFUNCTION("""COMPUTED_VALUE"""),"None")</f>
        <v>None</v>
      </c>
      <c r="H407" s="27" t="str">
        <f>IFERROR(__xludf.DUMMYFUNCTION("""COMPUTED_VALUE"""),"Scornful Laughter")</f>
        <v>Scornful Laughter</v>
      </c>
      <c r="I407" s="28" t="str">
        <f>IFERROR(__xludf.DUMMYFUNCTION("""COMPUTED_VALUE"""),"[SEND THIS CARD TO THE DISCARD PILE] [STAY] Increase the Damage of SPELL cards and MAMODO card effects that allow you to Attack without using a SPELL card by 1 during this turn.")</f>
        <v>[SEND THIS CARD TO THE DISCARD PILE] [STAY] Increase the Damage of SPELL cards and MAMODO card effects that allow you to Attack without using a SPELL card by 1 during this turn.</v>
      </c>
      <c r="J407" s="27">
        <f>IFERROR(__xludf.DUMMYFUNCTION("""COMPUTED_VALUE"""),5000.0)</f>
        <v>5000</v>
      </c>
      <c r="K407" s="27" t="str">
        <f>IFERROR(__xludf.DUMMYFUNCTION("""COMPUTED_VALUE"""),"-")</f>
        <v>-</v>
      </c>
      <c r="L407" s="27" t="str">
        <f>IFERROR(__xludf.DUMMYFUNCTION("""COMPUTED_VALUE"""),"Spell Book")</f>
        <v>Spell Book</v>
      </c>
      <c r="M407" s="27" t="str">
        <f>IFERROR(__xludf.DUMMYFUNCTION("""COMPUTED_VALUE"""),"[R]")</f>
        <v>[R]</v>
      </c>
      <c r="N407" s="27" t="str">
        <f>IFERROR(__xludf.DUMMYFUNCTION("""COMPUTED_VALUE"""),"""Huh, don't bare your fangs at me, you pathetic creature!""")</f>
        <v>"Huh, don't bare your fangs at me, you pathetic creature!"</v>
      </c>
      <c r="O407" s="27"/>
      <c r="P407" s="27"/>
      <c r="Q407" s="27"/>
      <c r="R407" s="27"/>
      <c r="S407" s="27"/>
      <c r="T407" s="27"/>
      <c r="U407" s="27"/>
      <c r="V407" s="27"/>
      <c r="W407" s="27"/>
      <c r="X407" s="27"/>
      <c r="Y407" s="27"/>
      <c r="Z407" s="27"/>
    </row>
    <row r="408">
      <c r="A408" s="29" t="str">
        <f>IFERROR(__xludf.DUMMYFUNCTION("""COMPUTED_VALUE"""),"M-034")</f>
        <v>M-034</v>
      </c>
      <c r="B408" s="27" t="str">
        <f>IFERROR(__xludf.DUMMYFUNCTION("""COMPUTED_VALUE"""),"Mamodo")</f>
        <v>Mamodo</v>
      </c>
      <c r="C408" s="27" t="str">
        <f>IFERROR(__xludf.DUMMYFUNCTION("""COMPUTED_VALUE"""),"Kanchome")</f>
        <v>Kanchome</v>
      </c>
      <c r="D408" s="27" t="str">
        <f>IFERROR(__xludf.DUMMYFUNCTION("""COMPUTED_VALUE"""),"Kanchome")</f>
        <v>Kanchome</v>
      </c>
      <c r="E408" s="27" t="str">
        <f>IFERROR(__xludf.DUMMYFUNCTION("""COMPUTED_VALUE"""),"-")</f>
        <v>-</v>
      </c>
      <c r="F408" s="27" t="str">
        <f>IFERROR(__xludf.DUMMYFUNCTION("""COMPUTED_VALUE"""),"-")</f>
        <v>-</v>
      </c>
      <c r="G408" s="27" t="str">
        <f>IFERROR(__xludf.DUMMYFUNCTION("""COMPUTED_VALUE"""),"None")</f>
        <v>None</v>
      </c>
      <c r="H408" s="27" t="str">
        <f>IFERROR(__xludf.DUMMYFUNCTION("""COMPUTED_VALUE"""),"Circus Training")</f>
        <v>Circus Training</v>
      </c>
      <c r="I408" s="28" t="str">
        <f>IFERROR(__xludf.DUMMYFUNCTION("""COMPUTED_VALUE"""),"[SEND THIS CARD TO THE DISCARD PILE] A coin you just flipped is considered to be ""heads"".")</f>
        <v>[SEND THIS CARD TO THE DISCARD PILE] A coin you just flipped is considered to be "heads".</v>
      </c>
      <c r="J408" s="27">
        <f>IFERROR(__xludf.DUMMYFUNCTION("""COMPUTED_VALUE"""),2000.0)</f>
        <v>2000</v>
      </c>
      <c r="K408" s="27" t="str">
        <f>IFERROR(__xludf.DUMMYFUNCTION("""COMPUTED_VALUE"""),"-")</f>
        <v>-</v>
      </c>
      <c r="L408" s="27" t="str">
        <f>IFERROR(__xludf.DUMMYFUNCTION("""COMPUTED_VALUE"""),"Spell Book")</f>
        <v>Spell Book</v>
      </c>
      <c r="M408" s="27" t="str">
        <f>IFERROR(__xludf.DUMMYFUNCTION("""COMPUTED_VALUE"""),"[R]")</f>
        <v>[R]</v>
      </c>
      <c r="N408" s="27" t="str">
        <f>IFERROR(__xludf.DUMMYFUNCTION("""COMPUTED_VALUE"""),"The lost Kanchomé was picked up by a circus troupe and...")</f>
        <v>The lost Kanchomé was picked up by a circus troupe and...</v>
      </c>
      <c r="O408" s="27"/>
      <c r="P408" s="27"/>
      <c r="Q408" s="27"/>
      <c r="R408" s="27"/>
      <c r="S408" s="27"/>
      <c r="T408" s="27"/>
      <c r="U408" s="27"/>
      <c r="V408" s="27"/>
      <c r="W408" s="27"/>
      <c r="X408" s="27"/>
      <c r="Y408" s="27"/>
      <c r="Z408" s="27"/>
    </row>
    <row r="409">
      <c r="A409" s="29" t="str">
        <f>IFERROR(__xludf.DUMMYFUNCTION("""COMPUTED_VALUE"""),"M-035")</f>
        <v>M-035</v>
      </c>
      <c r="B409" s="27" t="str">
        <f>IFERROR(__xludf.DUMMYFUNCTION("""COMPUTED_VALUE"""),"Mamodo")</f>
        <v>Mamodo</v>
      </c>
      <c r="C409" s="27" t="str">
        <f>IFERROR(__xludf.DUMMYFUNCTION("""COMPUTED_VALUE"""),"Zatch Bell")</f>
        <v>Zatch Bell</v>
      </c>
      <c r="D409" s="27" t="str">
        <f>IFERROR(__xludf.DUMMYFUNCTION("""COMPUTED_VALUE"""),"Zatch Bell")</f>
        <v>Zatch Bell</v>
      </c>
      <c r="E409" s="27" t="str">
        <f>IFERROR(__xludf.DUMMYFUNCTION("""COMPUTED_VALUE"""),"-")</f>
        <v>-</v>
      </c>
      <c r="F409" s="27" t="str">
        <f>IFERROR(__xludf.DUMMYFUNCTION("""COMPUTED_VALUE"""),"-")</f>
        <v>-</v>
      </c>
      <c r="G409" s="27" t="str">
        <f>IFERROR(__xludf.DUMMYFUNCTION("""COMPUTED_VALUE"""),"None")</f>
        <v>None</v>
      </c>
      <c r="H409" s="27" t="str">
        <f>IFERROR(__xludf.DUMMYFUNCTION("""COMPUTED_VALUE"""),"Unafraid Heart")</f>
        <v>Unafraid Heart</v>
      </c>
      <c r="I409" s="28" t="str">
        <f>IFERROR(__xludf.DUMMYFUNCTION("""COMPUTED_VALUE"""),"[1 MP] [STAY] The Power of this MAMODO card is equal to the Power of 1 of your opponent's in-play MAMODO cards during this turn.")</f>
        <v>[1 MP] [STAY] The Power of this MAMODO card is equal to the Power of 1 of your opponent's in-play MAMODO cards during this turn.</v>
      </c>
      <c r="J409" s="27">
        <f>IFERROR(__xludf.DUMMYFUNCTION("""COMPUTED_VALUE"""),3000.0)</f>
        <v>3000</v>
      </c>
      <c r="K409" s="27" t="str">
        <f>IFERROR(__xludf.DUMMYFUNCTION("""COMPUTED_VALUE"""),"-")</f>
        <v>-</v>
      </c>
      <c r="L409" s="27" t="str">
        <f>IFERROR(__xludf.DUMMYFUNCTION("""COMPUTED_VALUE"""),"Supreme Power of the Golden Spell, Series 2, Level 3")</f>
        <v>Supreme Power of the Golden Spell, Series 2, Level 3</v>
      </c>
      <c r="M409" s="27" t="str">
        <f>IFERROR(__xludf.DUMMYFUNCTION("""COMPUTED_VALUE"""),"[U]")</f>
        <v>[U]</v>
      </c>
      <c r="N409" s="27" t="str">
        <f>IFERROR(__xludf.DUMMYFUNCTION("""COMPUTED_VALUE"""),"""I want to be a kind king! That's the only thing I want to be!""")</f>
        <v>"I want to be a kind king! That's the only thing I want to be!"</v>
      </c>
      <c r="O409" s="27"/>
      <c r="P409" s="27"/>
      <c r="Q409" s="27"/>
      <c r="R409" s="27"/>
      <c r="S409" s="27"/>
      <c r="T409" s="27"/>
      <c r="U409" s="27"/>
      <c r="V409" s="27"/>
      <c r="W409" s="27"/>
      <c r="X409" s="27"/>
      <c r="Y409" s="27"/>
      <c r="Z409" s="27"/>
    </row>
    <row r="410">
      <c r="A410" s="29" t="str">
        <f>IFERROR(__xludf.DUMMYFUNCTION("""COMPUTED_VALUE"""),"M-036")</f>
        <v>M-036</v>
      </c>
      <c r="B410" s="27" t="str">
        <f>IFERROR(__xludf.DUMMYFUNCTION("""COMPUTED_VALUE"""),"Mamodo")</f>
        <v>Mamodo</v>
      </c>
      <c r="C410" s="27" t="str">
        <f>IFERROR(__xludf.DUMMYFUNCTION("""COMPUTED_VALUE"""),"Furigaro")</f>
        <v>Furigaro</v>
      </c>
      <c r="D410" s="27" t="str">
        <f>IFERROR(__xludf.DUMMYFUNCTION("""COMPUTED_VALUE"""),"Furigaro")</f>
        <v>Furigaro</v>
      </c>
      <c r="E410" s="27" t="str">
        <f>IFERROR(__xludf.DUMMYFUNCTION("""COMPUTED_VALUE"""),"-")</f>
        <v>-</v>
      </c>
      <c r="F410" s="27" t="str">
        <f>IFERROR(__xludf.DUMMYFUNCTION("""COMPUTED_VALUE"""),"-")</f>
        <v>-</v>
      </c>
      <c r="G410" s="27" t="str">
        <f>IFERROR(__xludf.DUMMYFUNCTION("""COMPUTED_VALUE"""),"None")</f>
        <v>None</v>
      </c>
      <c r="H410" s="27" t="str">
        <f>IFERROR(__xludf.DUMMYFUNCTION("""COMPUTED_VALUE"""),"Mamodo of Ice")</f>
        <v>Mamodo of Ice</v>
      </c>
      <c r="I410" s="28" t="str">
        <f>IFERROR(__xludf.DUMMYFUNCTION("""COMPUTED_VALUE"""),"[IN PLAY] Any SPELL cards with an ""Ice"" Attribute can be played for this MAMODO card.")</f>
        <v>[IN PLAY] Any SPELL cards with an "Ice" Attribute can be played for this MAMODO card.</v>
      </c>
      <c r="J410" s="27">
        <f>IFERROR(__xludf.DUMMYFUNCTION("""COMPUTED_VALUE"""),4000.0)</f>
        <v>4000</v>
      </c>
      <c r="K410" s="27" t="str">
        <f>IFERROR(__xludf.DUMMYFUNCTION("""COMPUTED_VALUE"""),"-")</f>
        <v>-</v>
      </c>
      <c r="L410" s="27" t="str">
        <f>IFERROR(__xludf.DUMMYFUNCTION("""COMPUTED_VALUE"""),"The Gathering Storm, Series 3, Level 3")</f>
        <v>The Gathering Storm, Series 3, Level 3</v>
      </c>
      <c r="M410" s="27" t="str">
        <f>IFERROR(__xludf.DUMMYFUNCTION("""COMPUTED_VALUE"""),"[C]")</f>
        <v>[C]</v>
      </c>
      <c r="N410" s="27" t="str">
        <f>IFERROR(__xludf.DUMMYFUNCTION("""COMPUTED_VALUE"""),"An atrocious mamodo who uses ice as a weapon.")</f>
        <v>An atrocious mamodo who uses ice as a weapon.</v>
      </c>
      <c r="O410" s="27"/>
      <c r="P410" s="27"/>
      <c r="Q410" s="27"/>
      <c r="R410" s="27"/>
      <c r="S410" s="27"/>
      <c r="T410" s="27"/>
      <c r="U410" s="27"/>
      <c r="V410" s="27"/>
      <c r="W410" s="27"/>
      <c r="X410" s="27"/>
      <c r="Y410" s="27"/>
      <c r="Z410" s="27"/>
    </row>
    <row r="411">
      <c r="A411" s="29" t="str">
        <f>IFERROR(__xludf.DUMMYFUNCTION("""COMPUTED_VALUE"""),"M-037")</f>
        <v>M-037</v>
      </c>
      <c r="B411" s="27" t="str">
        <f>IFERROR(__xludf.DUMMYFUNCTION("""COMPUTED_VALUE"""),"Mamodo")</f>
        <v>Mamodo</v>
      </c>
      <c r="C411" s="27" t="str">
        <f>IFERROR(__xludf.DUMMYFUNCTION("""COMPUTED_VALUE"""),"Eshros")</f>
        <v>Eshros</v>
      </c>
      <c r="D411" s="27" t="str">
        <f>IFERROR(__xludf.DUMMYFUNCTION("""COMPUTED_VALUE"""),"Eshros")</f>
        <v>Eshros</v>
      </c>
      <c r="E411" s="27" t="str">
        <f>IFERROR(__xludf.DUMMYFUNCTION("""COMPUTED_VALUE"""),"-")</f>
        <v>-</v>
      </c>
      <c r="F411" s="27" t="str">
        <f>IFERROR(__xludf.DUMMYFUNCTION("""COMPUTED_VALUE"""),"-")</f>
        <v>-</v>
      </c>
      <c r="G411" s="27" t="str">
        <f>IFERROR(__xludf.DUMMYFUNCTION("""COMPUTED_VALUE"""),"None")</f>
        <v>None</v>
      </c>
      <c r="H411" s="27" t="str">
        <f>IFERROR(__xludf.DUMMYFUNCTION("""COMPUTED_VALUE"""),"Elite")</f>
        <v>Elite</v>
      </c>
      <c r="I411" s="28" t="str">
        <f>IFERROR(__xludf.DUMMYFUNCTION("""COMPUTED_VALUE"""),"[2 MP] [STANDBY] 1 SPELL card with Eshros as its MAMODO name can be played for this MAMODO card from any of the previous 2 pages of your Spell Book during this turn.")</f>
        <v>[2 MP] [STANDBY] 1 SPELL card with Eshros as its MAMODO name can be played for this MAMODO card from any of the previous 2 pages of your Spell Book during this turn.</v>
      </c>
      <c r="J411" s="27">
        <f>IFERROR(__xludf.DUMMYFUNCTION("""COMPUTED_VALUE"""),3500.0)</f>
        <v>3500</v>
      </c>
      <c r="K411" s="27" t="str">
        <f>IFERROR(__xludf.DUMMYFUNCTION("""COMPUTED_VALUE"""),"-")</f>
        <v>-</v>
      </c>
      <c r="L411" s="27" t="str">
        <f>IFERROR(__xludf.DUMMYFUNCTION("""COMPUTED_VALUE"""),"Supreme Power of the Golden Spell, Series 2, Level 3")</f>
        <v>Supreme Power of the Golden Spell, Series 2, Level 3</v>
      </c>
      <c r="M411" s="27" t="str">
        <f>IFERROR(__xludf.DUMMYFUNCTION("""COMPUTED_VALUE"""),"[R]")</f>
        <v>[R]</v>
      </c>
      <c r="N411" s="27" t="str">
        <f>IFERROR(__xludf.DUMMYFUNCTION("""COMPUTED_VALUE"""),"""I'm the elite among the mamodo.""")</f>
        <v>"I'm the elite among the mamodo."</v>
      </c>
      <c r="O411" s="27"/>
      <c r="P411" s="27"/>
      <c r="Q411" s="27"/>
      <c r="R411" s="27"/>
      <c r="S411" s="27"/>
      <c r="T411" s="27"/>
      <c r="U411" s="27"/>
      <c r="V411" s="27"/>
      <c r="W411" s="27"/>
      <c r="X411" s="27"/>
      <c r="Y411" s="27"/>
      <c r="Z411" s="27"/>
    </row>
    <row r="412">
      <c r="A412" s="29" t="str">
        <f>IFERROR(__xludf.DUMMYFUNCTION("""COMPUTED_VALUE"""),"M-038")</f>
        <v>M-038</v>
      </c>
      <c r="B412" s="27" t="str">
        <f>IFERROR(__xludf.DUMMYFUNCTION("""COMPUTED_VALUE"""),"Mamodo")</f>
        <v>Mamodo</v>
      </c>
      <c r="C412" s="27" t="str">
        <f>IFERROR(__xludf.DUMMYFUNCTION("""COMPUTED_VALUE"""),"Rops")</f>
        <v>Rops</v>
      </c>
      <c r="D412" s="27" t="str">
        <f>IFERROR(__xludf.DUMMYFUNCTION("""COMPUTED_VALUE"""),"Rops")</f>
        <v>Rops</v>
      </c>
      <c r="E412" s="27" t="str">
        <f>IFERROR(__xludf.DUMMYFUNCTION("""COMPUTED_VALUE"""),"-")</f>
        <v>-</v>
      </c>
      <c r="F412" s="27" t="str">
        <f>IFERROR(__xludf.DUMMYFUNCTION("""COMPUTED_VALUE"""),"-")</f>
        <v>-</v>
      </c>
      <c r="G412" s="27" t="str">
        <f>IFERROR(__xludf.DUMMYFUNCTION("""COMPUTED_VALUE"""),"None")</f>
        <v>None</v>
      </c>
      <c r="H412" s="27" t="str">
        <f>IFERROR(__xludf.DUMMYFUNCTION("""COMPUTED_VALUE"""),"A King for Freedom")</f>
        <v>A King for Freedom</v>
      </c>
      <c r="I412" s="28" t="str">
        <f>IFERROR(__xludf.DUMMYFUNCTION("""COMPUTED_VALUE"""),"[IN PLAY] SPELL cards can be played for this MAMODO card and this MAMODO card's effects can be applied even when you are prohibited to do so.")</f>
        <v>[IN PLAY] SPELL cards can be played for this MAMODO card and this MAMODO card's effects can be applied even when you are prohibited to do so.</v>
      </c>
      <c r="J412" s="27">
        <f>IFERROR(__xludf.DUMMYFUNCTION("""COMPUTED_VALUE"""),3000.0)</f>
        <v>3000</v>
      </c>
      <c r="K412" s="27" t="str">
        <f>IFERROR(__xludf.DUMMYFUNCTION("""COMPUTED_VALUE"""),"-")</f>
        <v>-</v>
      </c>
      <c r="L412" s="27" t="str">
        <f>IFERROR(__xludf.DUMMYFUNCTION("""COMPUTED_VALUE"""),"Supreme Power of the Golden Spell, Series 2, Level 3, The Best Booster 1")</f>
        <v>Supreme Power of the Golden Spell, Series 2, Level 3, The Best Booster 1</v>
      </c>
      <c r="M412" s="27" t="str">
        <f>IFERROR(__xludf.DUMMYFUNCTION("""COMPUTED_VALUE"""),"[SR]")</f>
        <v>[SR]</v>
      </c>
      <c r="N412" s="27" t="str">
        <f>IFERROR(__xludf.DUMMYFUNCTION("""COMPUTED_VALUE"""),"A mamodo who fights to become a king for freedom.")</f>
        <v>A mamodo who fights to become a king for freedom.</v>
      </c>
      <c r="O412" s="27"/>
      <c r="P412" s="27"/>
      <c r="Q412" s="27"/>
      <c r="R412" s="27"/>
      <c r="S412" s="27"/>
      <c r="T412" s="27"/>
      <c r="U412" s="27"/>
      <c r="V412" s="27"/>
      <c r="W412" s="27"/>
      <c r="X412" s="27"/>
      <c r="Y412" s="27"/>
      <c r="Z412" s="27"/>
    </row>
    <row r="413">
      <c r="A413" s="29" t="str">
        <f>IFERROR(__xludf.DUMMYFUNCTION("""COMPUTED_VALUE"""),"M-039")</f>
        <v>M-039</v>
      </c>
      <c r="B413" s="27" t="str">
        <f>IFERROR(__xludf.DUMMYFUNCTION("""COMPUTED_VALUE"""),"Mamodo")</f>
        <v>Mamodo</v>
      </c>
      <c r="C413" s="27" t="str">
        <f>IFERROR(__xludf.DUMMYFUNCTION("""COMPUTED_VALUE"""),"Danny")</f>
        <v>Danny</v>
      </c>
      <c r="D413" s="27" t="str">
        <f>IFERROR(__xludf.DUMMYFUNCTION("""COMPUTED_VALUE"""),"Danny")</f>
        <v>Danny</v>
      </c>
      <c r="E413" s="27" t="str">
        <f>IFERROR(__xludf.DUMMYFUNCTION("""COMPUTED_VALUE"""),"-")</f>
        <v>-</v>
      </c>
      <c r="F413" s="27" t="str">
        <f>IFERROR(__xludf.DUMMYFUNCTION("""COMPUTED_VALUE"""),"-")</f>
        <v>-</v>
      </c>
      <c r="G413" s="27" t="str">
        <f>IFERROR(__xludf.DUMMYFUNCTION("""COMPUTED_VALUE"""),"None")</f>
        <v>None</v>
      </c>
      <c r="H413" s="27" t="str">
        <f>IFERROR(__xludf.DUMMYFUNCTION("""COMPUTED_VALUE"""),"Combat")</f>
        <v>Combat</v>
      </c>
      <c r="I413" s="28" t="str">
        <f>IFERROR(__xludf.DUMMYFUNCTION("""COMPUTED_VALUE"""),"[1 MP] This card may Attack without using a SPELL card (Total Power=6500, Damage=1). [1 MP] This card may Defend without using a SPELL card (Total Power=6500).")</f>
        <v>[1 MP] This card may Attack without using a SPELL card (Total Power=6500, Damage=1). [1 MP] This card may Defend without using a SPELL card (Total Power=6500).</v>
      </c>
      <c r="J413" s="27">
        <f>IFERROR(__xludf.DUMMYFUNCTION("""COMPUTED_VALUE"""),4500.0)</f>
        <v>4500</v>
      </c>
      <c r="K413" s="27" t="str">
        <f>IFERROR(__xludf.DUMMYFUNCTION("""COMPUTED_VALUE"""),"-")</f>
        <v>-</v>
      </c>
      <c r="L413" s="27" t="str">
        <f>IFERROR(__xludf.DUMMYFUNCTION("""COMPUTED_VALUE"""),"Supreme Power of the Golden Spell, Series 2, Level 3")</f>
        <v>Supreme Power of the Golden Spell, Series 2, Level 3</v>
      </c>
      <c r="M413" s="27" t="str">
        <f>IFERROR(__xludf.DUMMYFUNCTION("""COMPUTED_VALUE"""),"[SR]")</f>
        <v>[SR]</v>
      </c>
      <c r="N413" s="27" t="str">
        <f>IFERROR(__xludf.DUMMYFUNCTION("""COMPUTED_VALUE"""),"""Don't call me Danny Boy!""")</f>
        <v>"Don't call me Danny Boy!"</v>
      </c>
      <c r="O413" s="27"/>
      <c r="P413" s="27"/>
      <c r="Q413" s="27"/>
      <c r="R413" s="27"/>
      <c r="S413" s="27"/>
      <c r="T413" s="27"/>
      <c r="U413" s="27"/>
      <c r="V413" s="27"/>
      <c r="W413" s="27"/>
      <c r="X413" s="27"/>
      <c r="Y413" s="27"/>
      <c r="Z413" s="27"/>
    </row>
    <row r="414">
      <c r="A414" s="29" t="str">
        <f>IFERROR(__xludf.DUMMYFUNCTION("""COMPUTED_VALUE"""),"M-040")</f>
        <v>M-040</v>
      </c>
      <c r="B414" s="27" t="str">
        <f>IFERROR(__xludf.DUMMYFUNCTION("""COMPUTED_VALUE"""),"Mamodo")</f>
        <v>Mamodo</v>
      </c>
      <c r="C414" s="27" t="str">
        <f>IFERROR(__xludf.DUMMYFUNCTION("""COMPUTED_VALUE"""),"Purio")</f>
        <v>Purio</v>
      </c>
      <c r="D414" s="27" t="str">
        <f>IFERROR(__xludf.DUMMYFUNCTION("""COMPUTED_VALUE"""),"Purio")</f>
        <v>Purio</v>
      </c>
      <c r="E414" s="27" t="str">
        <f>IFERROR(__xludf.DUMMYFUNCTION("""COMPUTED_VALUE"""),"-")</f>
        <v>-</v>
      </c>
      <c r="F414" s="27" t="str">
        <f>IFERROR(__xludf.DUMMYFUNCTION("""COMPUTED_VALUE"""),"-")</f>
        <v>-</v>
      </c>
      <c r="G414" s="27" t="str">
        <f>IFERROR(__xludf.DUMMYFUNCTION("""COMPUTED_VALUE"""),"None")</f>
        <v>None</v>
      </c>
      <c r="H414" s="27" t="str">
        <f>IFERROR(__xludf.DUMMYFUNCTION("""COMPUTED_VALUE"""),"A Difficult Child")</f>
        <v>A Difficult Child</v>
      </c>
      <c r="I414" s="28" t="str">
        <f>IFERROR(__xludf.DUMMYFUNCTION("""COMPUTED_VALUE"""),"[IN PLAY] Increase the MP costs of your opponent's EVENT cards by 1.")</f>
        <v>[IN PLAY] Increase the MP costs of your opponent's EVENT cards by 1.</v>
      </c>
      <c r="J414" s="27">
        <f>IFERROR(__xludf.DUMMYFUNCTION("""COMPUTED_VALUE"""),1000.0)</f>
        <v>1000</v>
      </c>
      <c r="K414" s="27" t="str">
        <f>IFERROR(__xludf.DUMMYFUNCTION("""COMPUTED_VALUE"""),"-")</f>
        <v>-</v>
      </c>
      <c r="L414" s="27" t="str">
        <f>IFERROR(__xludf.DUMMYFUNCTION("""COMPUTED_VALUE"""),"Supreme Power of the Golden Spell, Series 2, Level 3, The Best Booster 1")</f>
        <v>Supreme Power of the Golden Spell, Series 2, Level 3, The Best Booster 1</v>
      </c>
      <c r="M414" s="27" t="str">
        <f>IFERROR(__xludf.DUMMYFUNCTION("""COMPUTED_VALUE"""),"[C]")</f>
        <v>[C]</v>
      </c>
      <c r="N414" s="27" t="str">
        <f>IFERROR(__xludf.DUMMYFUNCTION("""COMPUTED_VALUE"""),"He likes to make fun of people.")</f>
        <v>He likes to make fun of people.</v>
      </c>
      <c r="O414" s="27"/>
      <c r="P414" s="27"/>
      <c r="Q414" s="27"/>
      <c r="R414" s="27"/>
      <c r="S414" s="27"/>
      <c r="T414" s="27"/>
      <c r="U414" s="27"/>
      <c r="V414" s="27"/>
      <c r="W414" s="27"/>
      <c r="X414" s="27"/>
      <c r="Y414" s="27"/>
      <c r="Z414" s="27"/>
    </row>
    <row r="415">
      <c r="A415" s="29" t="str">
        <f>IFERROR(__xludf.DUMMYFUNCTION("""COMPUTED_VALUE"""),"M-041")</f>
        <v>M-041</v>
      </c>
      <c r="B415" s="27" t="str">
        <f>IFERROR(__xludf.DUMMYFUNCTION("""COMPUTED_VALUE"""),"Mamodo")</f>
        <v>Mamodo</v>
      </c>
      <c r="C415" s="27" t="str">
        <f>IFERROR(__xludf.DUMMYFUNCTION("""COMPUTED_VALUE"""),"Zoboron")</f>
        <v>Zoboron</v>
      </c>
      <c r="D415" s="27" t="str">
        <f>IFERROR(__xludf.DUMMYFUNCTION("""COMPUTED_VALUE"""),"Zoboron")</f>
        <v>Zoboron</v>
      </c>
      <c r="E415" s="27" t="str">
        <f>IFERROR(__xludf.DUMMYFUNCTION("""COMPUTED_VALUE"""),"-")</f>
        <v>-</v>
      </c>
      <c r="F415" s="27" t="str">
        <f>IFERROR(__xludf.DUMMYFUNCTION("""COMPUTED_VALUE"""),"-")</f>
        <v>-</v>
      </c>
      <c r="G415" s="27" t="str">
        <f>IFERROR(__xludf.DUMMYFUNCTION("""COMPUTED_VALUE"""),"None")</f>
        <v>None</v>
      </c>
      <c r="H415" s="27" t="str">
        <f>IFERROR(__xludf.DUMMYFUNCTION("""COMPUTED_VALUE"""),"A Strange Pet")</f>
        <v>A Strange Pet</v>
      </c>
      <c r="I415" s="28" t="str">
        <f>IFERROR(__xludf.DUMMYFUNCTION("""COMPUTED_VALUE"""),"[2 MP] Select 1 Hige PARTNER card from any page of your Spell Book and put it in play.")</f>
        <v>[2 MP] Select 1 Hige PARTNER card from any page of your Spell Book and put it in play.</v>
      </c>
      <c r="J415" s="27">
        <f>IFERROR(__xludf.DUMMYFUNCTION("""COMPUTED_VALUE"""),1000.0)</f>
        <v>1000</v>
      </c>
      <c r="K415" s="27" t="str">
        <f>IFERROR(__xludf.DUMMYFUNCTION("""COMPUTED_VALUE"""),"-")</f>
        <v>-</v>
      </c>
      <c r="L415" s="27" t="str">
        <f>IFERROR(__xludf.DUMMYFUNCTION("""COMPUTED_VALUE"""),"Supreme Power of the Golden Spell, Series 2, Level 3, The Best Booster 1")</f>
        <v>Supreme Power of the Golden Spell, Series 2, Level 3, The Best Booster 1</v>
      </c>
      <c r="M415" s="27" t="str">
        <f>IFERROR(__xludf.DUMMYFUNCTION("""COMPUTED_VALUE"""),"[C]")</f>
        <v>[C]</v>
      </c>
      <c r="N415" s="27" t="str">
        <f>IFERROR(__xludf.DUMMYFUNCTION("""COMPUTED_VALUE"""),"He is 7 years old, loves fish, and hates bugs.")</f>
        <v>He is 7 years old, loves fish, and hates bugs.</v>
      </c>
      <c r="O415" s="27"/>
      <c r="P415" s="27"/>
      <c r="Q415" s="27"/>
      <c r="R415" s="27"/>
      <c r="S415" s="27"/>
      <c r="T415" s="27"/>
      <c r="U415" s="27"/>
      <c r="V415" s="27"/>
      <c r="W415" s="27"/>
      <c r="X415" s="27"/>
      <c r="Y415" s="27"/>
      <c r="Z415" s="27"/>
    </row>
    <row r="416">
      <c r="A416" s="29" t="str">
        <f>IFERROR(__xludf.DUMMYFUNCTION("""COMPUTED_VALUE"""),"M-042")</f>
        <v>M-042</v>
      </c>
      <c r="B416" s="27" t="str">
        <f>IFERROR(__xludf.DUMMYFUNCTION("""COMPUTED_VALUE"""),"Mamodo")</f>
        <v>Mamodo</v>
      </c>
      <c r="C416" s="27" t="str">
        <f>IFERROR(__xludf.DUMMYFUNCTION("""COMPUTED_VALUE"""),"Wonrei")</f>
        <v>Wonrei</v>
      </c>
      <c r="D416" s="27" t="str">
        <f>IFERROR(__xludf.DUMMYFUNCTION("""COMPUTED_VALUE"""),"Wonrei")</f>
        <v>Wonrei</v>
      </c>
      <c r="E416" s="27" t="str">
        <f>IFERROR(__xludf.DUMMYFUNCTION("""COMPUTED_VALUE"""),"-")</f>
        <v>-</v>
      </c>
      <c r="F416" s="27" t="str">
        <f>IFERROR(__xludf.DUMMYFUNCTION("""COMPUTED_VALUE"""),"-")</f>
        <v>-</v>
      </c>
      <c r="G416" s="27" t="str">
        <f>IFERROR(__xludf.DUMMYFUNCTION("""COMPUTED_VALUE"""),"None")</f>
        <v>None</v>
      </c>
      <c r="H416" s="27" t="str">
        <f>IFERROR(__xludf.DUMMYFUNCTION("""COMPUTED_VALUE"""),"Protective King")</f>
        <v>Protective King</v>
      </c>
      <c r="I416" s="28" t="str">
        <f>IFERROR(__xludf.DUMMYFUNCTION("""COMPUTED_VALUE"""),"[1 MP] [STAY] This MAMODO card can SACRIFICE or PROTECT your Spell Book from Damage during this turn even when it is prohibited to do so.")</f>
        <v>[1 MP] [STAY] This MAMODO card can SACRIFICE or PROTECT your Spell Book from Damage during this turn even when it is prohibited to do so.</v>
      </c>
      <c r="J416" s="27">
        <f>IFERROR(__xludf.DUMMYFUNCTION("""COMPUTED_VALUE"""),4000.0)</f>
        <v>4000</v>
      </c>
      <c r="K416" s="27" t="str">
        <f>IFERROR(__xludf.DUMMYFUNCTION("""COMPUTED_VALUE"""),"-")</f>
        <v>-</v>
      </c>
      <c r="L416" s="27" t="str">
        <f>IFERROR(__xludf.DUMMYFUNCTION("""COMPUTED_VALUE"""),"Supreme Power of the Golden Spell, Series 2, Level 3, Revised Edition")</f>
        <v>Supreme Power of the Golden Spell, Series 2, Level 3, Revised Edition</v>
      </c>
      <c r="M416" s="27" t="str">
        <f>IFERROR(__xludf.DUMMYFUNCTION("""COMPUTED_VALUE"""),"[SR]")</f>
        <v>[SR]</v>
      </c>
      <c r="N416" s="27" t="str">
        <f>IFERROR(__xludf.DUMMYFUNCTION("""COMPUTED_VALUE"""),"""I won't let you touch Li-en!""")</f>
        <v>"I won't let you touch Li-en!"</v>
      </c>
      <c r="O416" s="27"/>
      <c r="P416" s="27"/>
      <c r="Q416" s="27"/>
      <c r="R416" s="27"/>
      <c r="S416" s="27"/>
      <c r="T416" s="27"/>
      <c r="U416" s="27"/>
      <c r="V416" s="27"/>
      <c r="W416" s="27"/>
      <c r="X416" s="27"/>
      <c r="Y416" s="27"/>
      <c r="Z416" s="27"/>
    </row>
    <row r="417">
      <c r="A417" s="29" t="str">
        <f>IFERROR(__xludf.DUMMYFUNCTION("""COMPUTED_VALUE"""),"M-043")</f>
        <v>M-043</v>
      </c>
      <c r="B417" s="27" t="str">
        <f>IFERROR(__xludf.DUMMYFUNCTION("""COMPUTED_VALUE"""),"Mamodo")</f>
        <v>Mamodo</v>
      </c>
      <c r="C417" s="27" t="str">
        <f>IFERROR(__xludf.DUMMYFUNCTION("""COMPUTED_VALUE"""),"Zabas")</f>
        <v>Zabas</v>
      </c>
      <c r="D417" s="27" t="str">
        <f>IFERROR(__xludf.DUMMYFUNCTION("""COMPUTED_VALUE"""),"Zabas")</f>
        <v>Zabas</v>
      </c>
      <c r="E417" s="27" t="str">
        <f>IFERROR(__xludf.DUMMYFUNCTION("""COMPUTED_VALUE"""),"-")</f>
        <v>-</v>
      </c>
      <c r="F417" s="27" t="str">
        <f>IFERROR(__xludf.DUMMYFUNCTION("""COMPUTED_VALUE"""),"-")</f>
        <v>-</v>
      </c>
      <c r="G417" s="27" t="str">
        <f>IFERROR(__xludf.DUMMYFUNCTION("""COMPUTED_VALUE"""),"None")</f>
        <v>None</v>
      </c>
      <c r="H417" s="27" t="str">
        <f>IFERROR(__xludf.DUMMYFUNCTION("""COMPUTED_VALUE"""),"Armored Wing")</f>
        <v>Armored Wing</v>
      </c>
      <c r="I417" s="28" t="str">
        <f>IFERROR(__xludf.DUMMYFUNCTION("""COMPUTED_VALUE"""),"[1 MP] Negate 1 Attack your opponent declared in the Battle that would inflict 1 Damage.")</f>
        <v>[1 MP] Negate 1 Attack your opponent declared in the Battle that would inflict 1 Damage.</v>
      </c>
      <c r="J417" s="27">
        <f>IFERROR(__xludf.DUMMYFUNCTION("""COMPUTED_VALUE"""),4500.0)</f>
        <v>4500</v>
      </c>
      <c r="K417" s="27" t="str">
        <f>IFERROR(__xludf.DUMMYFUNCTION("""COMPUTED_VALUE"""),"-")</f>
        <v>-</v>
      </c>
      <c r="L417" s="27" t="str">
        <f>IFERROR(__xludf.DUMMYFUNCTION("""COMPUTED_VALUE"""),"Supreme Power of the Golden Spell, Series 2, Level 3, Revised Edition")</f>
        <v>Supreme Power of the Golden Spell, Series 2, Level 3, Revised Edition</v>
      </c>
      <c r="M417" s="27" t="str">
        <f>IFERROR(__xludf.DUMMYFUNCTION("""COMPUTED_VALUE"""),"[U]")</f>
        <v>[U]</v>
      </c>
      <c r="N417" s="27" t="str">
        <f>IFERROR(__xludf.DUMMYFUNCTION("""COMPUTED_VALUE"""),"""Once a loser, always a loser.""")</f>
        <v>"Once a loser, always a loser."</v>
      </c>
      <c r="O417" s="27"/>
      <c r="P417" s="27"/>
      <c r="Q417" s="27"/>
      <c r="R417" s="27"/>
      <c r="S417" s="27"/>
      <c r="T417" s="27"/>
      <c r="U417" s="27"/>
      <c r="V417" s="27"/>
      <c r="W417" s="27"/>
      <c r="X417" s="27"/>
      <c r="Y417" s="27"/>
      <c r="Z417" s="27"/>
    </row>
    <row r="418">
      <c r="A418" s="29" t="str">
        <f>IFERROR(__xludf.DUMMYFUNCTION("""COMPUTED_VALUE"""),"M-044")</f>
        <v>M-044</v>
      </c>
      <c r="B418" s="27" t="str">
        <f>IFERROR(__xludf.DUMMYFUNCTION("""COMPUTED_VALUE"""),"Mamodo")</f>
        <v>Mamodo</v>
      </c>
      <c r="C418" s="27" t="str">
        <f>IFERROR(__xludf.DUMMYFUNCTION("""COMPUTED_VALUE"""),"Bago")</f>
        <v>Bago</v>
      </c>
      <c r="D418" s="27" t="str">
        <f>IFERROR(__xludf.DUMMYFUNCTION("""COMPUTED_VALUE"""),"Bago")</f>
        <v>Bago</v>
      </c>
      <c r="E418" s="27" t="str">
        <f>IFERROR(__xludf.DUMMYFUNCTION("""COMPUTED_VALUE"""),"-")</f>
        <v>-</v>
      </c>
      <c r="F418" s="27" t="str">
        <f>IFERROR(__xludf.DUMMYFUNCTION("""COMPUTED_VALUE"""),"-")</f>
        <v>-</v>
      </c>
      <c r="G418" s="27" t="str">
        <f>IFERROR(__xludf.DUMMYFUNCTION("""COMPUTED_VALUE"""),"None")</f>
        <v>None</v>
      </c>
      <c r="H418" s="27" t="str">
        <f>IFERROR(__xludf.DUMMYFUNCTION("""COMPUTED_VALUE"""),"Robber")</f>
        <v>Robber</v>
      </c>
      <c r="I418" s="28" t="str">
        <f>IFERROR(__xludf.DUMMYFUNCTION("""COMPUTED_VALUE"""),"[DECLARE TO USE] Apply both of the following effects in order when your opponent has 8 MP or more: ● Reduce your opponent's MP by 3. ● Get 3 MP.")</f>
        <v>[DECLARE TO USE] Apply both of the following effects in order when your opponent has 8 MP or more: ● Reduce your opponent's MP by 3. ● Get 3 MP.</v>
      </c>
      <c r="J418" s="27">
        <f>IFERROR(__xludf.DUMMYFUNCTION("""COMPUTED_VALUE"""),3500.0)</f>
        <v>3500</v>
      </c>
      <c r="K418" s="27" t="str">
        <f>IFERROR(__xludf.DUMMYFUNCTION("""COMPUTED_VALUE"""),"-")</f>
        <v>-</v>
      </c>
      <c r="L418" s="27" t="str">
        <f>IFERROR(__xludf.DUMMYFUNCTION("""COMPUTED_VALUE"""),"Supreme Power of the Golden Spell, Series 2, Level 3")</f>
        <v>Supreme Power of the Golden Spell, Series 2, Level 3</v>
      </c>
      <c r="M418" s="27" t="str">
        <f>IFERROR(__xludf.DUMMYFUNCTION("""COMPUTED_VALUE"""),"[U]")</f>
        <v>[U]</v>
      </c>
      <c r="N418" s="27" t="str">
        <f>IFERROR(__xludf.DUMMYFUNCTION("""COMPUTED_VALUE"""),"A gluttonous mamodo who stole Rushka's sheep.")</f>
        <v>A gluttonous mamodo who stole Rushka's sheep.</v>
      </c>
      <c r="O418" s="27"/>
      <c r="P418" s="27"/>
      <c r="Q418" s="27"/>
      <c r="R418" s="27"/>
      <c r="S418" s="27"/>
      <c r="T418" s="27"/>
      <c r="U418" s="27"/>
      <c r="V418" s="27"/>
      <c r="W418" s="27"/>
      <c r="X418" s="27"/>
      <c r="Y418" s="27"/>
      <c r="Z418" s="27"/>
    </row>
    <row r="419">
      <c r="A419" s="29" t="str">
        <f>IFERROR(__xludf.DUMMYFUNCTION("""COMPUTED_VALUE"""),"M-045")</f>
        <v>M-045</v>
      </c>
      <c r="B419" s="27" t="str">
        <f>IFERROR(__xludf.DUMMYFUNCTION("""COMPUTED_VALUE"""),"Mamodo")</f>
        <v>Mamodo</v>
      </c>
      <c r="C419" s="27" t="str">
        <f>IFERROR(__xludf.DUMMYFUNCTION("""COMPUTED_VALUE"""),"Ponygon")</f>
        <v>Ponygon</v>
      </c>
      <c r="D419" s="27" t="str">
        <f>IFERROR(__xludf.DUMMYFUNCTION("""COMPUTED_VALUE"""),"Ponygon")</f>
        <v>Ponygon</v>
      </c>
      <c r="E419" s="27" t="str">
        <f>IFERROR(__xludf.DUMMYFUNCTION("""COMPUTED_VALUE"""),"-")</f>
        <v>-</v>
      </c>
      <c r="F419" s="27" t="str">
        <f>IFERROR(__xludf.DUMMYFUNCTION("""COMPUTED_VALUE"""),"-")</f>
        <v>-</v>
      </c>
      <c r="G419" s="27" t="str">
        <f>IFERROR(__xludf.DUMMYFUNCTION("""COMPUTED_VALUE"""),"None")</f>
        <v>None</v>
      </c>
      <c r="H419" s="27" t="str">
        <f>IFERROR(__xludf.DUMMYFUNCTION("""COMPUTED_VALUE"""),"Who's His Owner?")</f>
        <v>Who's His Owner?</v>
      </c>
      <c r="I419" s="28" t="str">
        <f>IFERROR(__xludf.DUMMYFUNCTION("""COMPUTED_VALUE"""),"[1 MP] Look at the currently open pages of your opponent's Spell Book during your BATTLE PHASE. If there are PARTNER cards in any of the pages, send 1 of them to the Discard Pile.")</f>
        <v>[1 MP] Look at the currently open pages of your opponent's Spell Book during your BATTLE PHASE. If there are PARTNER cards in any of the pages, send 1 of them to the Discard Pile.</v>
      </c>
      <c r="J419" s="27">
        <f>IFERROR(__xludf.DUMMYFUNCTION("""COMPUTED_VALUE"""),1000.0)</f>
        <v>1000</v>
      </c>
      <c r="K419" s="27" t="str">
        <f>IFERROR(__xludf.DUMMYFUNCTION("""COMPUTED_VALUE"""),"-")</f>
        <v>-</v>
      </c>
      <c r="L419" s="27" t="str">
        <f>IFERROR(__xludf.DUMMYFUNCTION("""COMPUTED_VALUE"""),"The Gathering Storm, Series 3, Level 3")</f>
        <v>The Gathering Storm, Series 3, Level 3</v>
      </c>
      <c r="M419" s="27" t="str">
        <f>IFERROR(__xludf.DUMMYFUNCTION("""COMPUTED_VALUE"""),"[R]")</f>
        <v>[R]</v>
      </c>
      <c r="N419" s="27" t="str">
        <f>IFERROR(__xludf.DUMMYFUNCTION("""COMPUTED_VALUE"""),"""Meru meru me~~""")</f>
        <v>"Meru meru me~~"</v>
      </c>
      <c r="O419" s="27"/>
      <c r="P419" s="27"/>
      <c r="Q419" s="27"/>
      <c r="R419" s="27"/>
      <c r="S419" s="27"/>
      <c r="T419" s="27"/>
      <c r="U419" s="27"/>
      <c r="V419" s="27"/>
      <c r="W419" s="27"/>
      <c r="X419" s="27"/>
      <c r="Y419" s="27"/>
      <c r="Z419" s="27"/>
    </row>
    <row r="420">
      <c r="A420" s="29" t="str">
        <f>IFERROR(__xludf.DUMMYFUNCTION("""COMPUTED_VALUE"""),"M-046")</f>
        <v>M-046</v>
      </c>
      <c r="B420" s="27" t="str">
        <f>IFERROR(__xludf.DUMMYFUNCTION("""COMPUTED_VALUE"""),"Mamodo")</f>
        <v>Mamodo</v>
      </c>
      <c r="C420" s="27" t="str">
        <f>IFERROR(__xludf.DUMMYFUNCTION("""COMPUTED_VALUE"""),"Ponygon (Shudoruk Form)")</f>
        <v>Ponygon (Shudoruk Form)</v>
      </c>
      <c r="D420" s="27" t="str">
        <f>IFERROR(__xludf.DUMMYFUNCTION("""COMPUTED_VALUE"""),"Ponygon")</f>
        <v>Ponygon</v>
      </c>
      <c r="E420" s="27" t="str">
        <f>IFERROR(__xludf.DUMMYFUNCTION("""COMPUTED_VALUE"""),"-")</f>
        <v>-</v>
      </c>
      <c r="F420" s="27" t="str">
        <f>IFERROR(__xludf.DUMMYFUNCTION("""COMPUTED_VALUE"""),"-")</f>
        <v>-</v>
      </c>
      <c r="G420" s="27" t="str">
        <f>IFERROR(__xludf.DUMMYFUNCTION("""COMPUTED_VALUE"""),"None")</f>
        <v>None</v>
      </c>
      <c r="H420" s="27" t="str">
        <f>IFERROR(__xludf.DUMMYFUNCTION("""COMPUTED_VALUE"""),"Accelerate")</f>
        <v>Accelerate</v>
      </c>
      <c r="I420" s="28" t="str">
        <f>IFERROR(__xludf.DUMMYFUNCTION("""COMPUTED_VALUE"""),"This card is placed on a regular Ponygon MAMODO card when a Shudoruk SPELL card is played for the Ponygon MAMODO card. You can send this card to the Discard Pile at any time (the regular Ponygon card remains in play). (Attack)[1 MP] This card may Attack w"&amp;"ithout using a SPELL card (Total Power=7000, Damage=2).")</f>
        <v>This card is placed on a regular Ponygon MAMODO card when a Shudoruk SPELL card is played for the Ponygon MAMODO card. You can send this card to the Discard Pile at any time (the regular Ponygon card remains in play). (Attack)[1 MP] This card may Attack without using a SPELL card (Total Power=7000, Damage=2).</v>
      </c>
      <c r="J420" s="27">
        <f>IFERROR(__xludf.DUMMYFUNCTION("""COMPUTED_VALUE"""),5000.0)</f>
        <v>5000</v>
      </c>
      <c r="K420" s="27" t="str">
        <f>IFERROR(__xludf.DUMMYFUNCTION("""COMPUTED_VALUE"""),"-")</f>
        <v>-</v>
      </c>
      <c r="L420" s="27" t="str">
        <f>IFERROR(__xludf.DUMMYFUNCTION("""COMPUTED_VALUE"""),"Dawn of the Ancients, Series 4, Level 3")</f>
        <v>Dawn of the Ancients, Series 4, Level 3</v>
      </c>
      <c r="M420" s="27" t="str">
        <f>IFERROR(__xludf.DUMMYFUNCTION("""COMPUTED_VALUE"""),"[SR]")</f>
        <v>[SR]</v>
      </c>
      <c r="N420" s="27" t="str">
        <f>IFERROR(__xludf.DUMMYFUNCTION("""COMPUTED_VALUE"""),"His strong will to fight changed his form!")</f>
        <v>His strong will to fight changed his form!</v>
      </c>
      <c r="O420" s="27"/>
      <c r="P420" s="27"/>
      <c r="Q420" s="27"/>
      <c r="R420" s="27"/>
      <c r="S420" s="27"/>
      <c r="T420" s="27"/>
      <c r="U420" s="27"/>
      <c r="V420" s="27"/>
      <c r="W420" s="27"/>
      <c r="X420" s="27"/>
      <c r="Y420" s="27"/>
      <c r="Z420" s="27"/>
    </row>
    <row r="421">
      <c r="A421" s="29" t="str">
        <f>IFERROR(__xludf.DUMMYFUNCTION("""COMPUTED_VALUE"""),"M-047e")</f>
        <v>M-047e</v>
      </c>
      <c r="B421" s="27" t="str">
        <f>IFERROR(__xludf.DUMMYFUNCTION("""COMPUTED_VALUE"""),"Mamodo")</f>
        <v>Mamodo</v>
      </c>
      <c r="C421" s="27" t="str">
        <f>IFERROR(__xludf.DUMMYFUNCTION("""COMPUTED_VALUE"""),"Zatch Bell")</f>
        <v>Zatch Bell</v>
      </c>
      <c r="D421" s="27" t="str">
        <f>IFERROR(__xludf.DUMMYFUNCTION("""COMPUTED_VALUE"""),"Zatch Bell")</f>
        <v>Zatch Bell</v>
      </c>
      <c r="E421" s="27" t="str">
        <f>IFERROR(__xludf.DUMMYFUNCTION("""COMPUTED_VALUE"""),"-")</f>
        <v>-</v>
      </c>
      <c r="F421" s="27" t="str">
        <f>IFERROR(__xludf.DUMMYFUNCTION("""COMPUTED_VALUE"""),"-")</f>
        <v>-</v>
      </c>
      <c r="G421" s="27" t="str">
        <f>IFERROR(__xludf.DUMMYFUNCTION("""COMPUTED_VALUE"""),"None")</f>
        <v>None</v>
      </c>
      <c r="H421" s="27" t="str">
        <f>IFERROR(__xludf.DUMMYFUNCTION("""COMPUTED_VALUE"""),"Shining Body")</f>
        <v>Shining Body</v>
      </c>
      <c r="I421" s="28" t="str">
        <f>IFERROR(__xludf.DUMMYFUNCTION("""COMPUTED_VALUE"""),"This card is placed on a regular Zatch Bell MAMODO card. Send this card to the Discard Pile at the END PHASE of your next turn (the regular Zatch Bell MAMODO card remains in play). This card is considered to be the same as the Zatch Bell MAMODO card. [IN "&amp;"PLAY] This MAMODO card does not receive Damage or Injury.")</f>
        <v>This card is placed on a regular Zatch Bell MAMODO card. Send this card to the Discard Pile at the END PHASE of your next turn (the regular Zatch Bell MAMODO card remains in play). This card is considered to be the same as the Zatch Bell MAMODO card. [IN PLAY] This MAMODO card does not receive Damage or Injury.</v>
      </c>
      <c r="J421" s="27">
        <f>IFERROR(__xludf.DUMMYFUNCTION("""COMPUTED_VALUE"""),8000.0)</f>
        <v>8000</v>
      </c>
      <c r="K421" s="27" t="str">
        <f>IFERROR(__xludf.DUMMYFUNCTION("""COMPUTED_VALUE"""),"-")</f>
        <v>-</v>
      </c>
      <c r="L421" s="27" t="str">
        <f>IFERROR(__xludf.DUMMYFUNCTION("""COMPUTED_VALUE"""),"Supreme Power of the Golden Spell, Series 2, Level 3")</f>
        <v>Supreme Power of the Golden Spell, Series 2, Level 3</v>
      </c>
      <c r="M421" s="27" t="str">
        <f>IFERROR(__xludf.DUMMYFUNCTION("""COMPUTED_VALUE"""),"[SR]")</f>
        <v>[SR]</v>
      </c>
      <c r="N421" s="27" t="str">
        <f>IFERROR(__xludf.DUMMYFUNCTION("""COMPUTED_VALUE"""),"""No power can feel as good as this!""")</f>
        <v>"No power can feel as good as this!"</v>
      </c>
      <c r="O421" s="27"/>
      <c r="P421" s="27"/>
      <c r="Q421" s="27"/>
      <c r="R421" s="27"/>
      <c r="S421" s="27"/>
      <c r="T421" s="27"/>
      <c r="U421" s="27"/>
      <c r="V421" s="27"/>
      <c r="W421" s="27"/>
      <c r="X421" s="27"/>
      <c r="Y421" s="27"/>
      <c r="Z421" s="27"/>
    </row>
    <row r="422">
      <c r="A422" s="29" t="str">
        <f>IFERROR(__xludf.DUMMYFUNCTION("""COMPUTED_VALUE"""),"M-047j")</f>
        <v>M-047j</v>
      </c>
      <c r="B422" s="27" t="str">
        <f>IFERROR(__xludf.DUMMYFUNCTION("""COMPUTED_VALUE"""),"Mamodo")</f>
        <v>Mamodo</v>
      </c>
      <c r="C422" s="27" t="str">
        <f>IFERROR(__xludf.DUMMYFUNCTION("""COMPUTED_VALUE"""),"Zatch Bell")</f>
        <v>Zatch Bell</v>
      </c>
      <c r="D422" s="27" t="str">
        <f>IFERROR(__xludf.DUMMYFUNCTION("""COMPUTED_VALUE"""),"Zatch Bell")</f>
        <v>Zatch Bell</v>
      </c>
      <c r="E422" s="27" t="str">
        <f>IFERROR(__xludf.DUMMYFUNCTION("""COMPUTED_VALUE"""),"-")</f>
        <v>-</v>
      </c>
      <c r="F422" s="27" t="str">
        <f>IFERROR(__xludf.DUMMYFUNCTION("""COMPUTED_VALUE"""),"-")</f>
        <v>-</v>
      </c>
      <c r="G422" s="27" t="str">
        <f>IFERROR(__xludf.DUMMYFUNCTION("""COMPUTED_VALUE"""),"Intermediate")</f>
        <v>Intermediate</v>
      </c>
      <c r="H422" s="27" t="str">
        <f>IFERROR(__xludf.DUMMYFUNCTION("""COMPUTED_VALUE"""),"Shining Body")</f>
        <v>Shining Body</v>
      </c>
      <c r="I422" s="28" t="str">
        <f>IFERROR(__xludf.DUMMYFUNCTION("""COMPUTED_VALUE"""),"This card is placed on a regular Zatch Bell MAMODO card. Send this card to the Discard Pile at the END PHASE of your next turn (the regular Zatch Bell MAMODO card remains in play). This card is considered to be the same as the Zatch Bell MAMODO card. [IN "&amp;"PLAY] This MAMODO card does not receive Damage or Injury.")</f>
        <v>This card is placed on a regular Zatch Bell MAMODO card. Send this card to the Discard Pile at the END PHASE of your next turn (the regular Zatch Bell MAMODO card remains in play). This card is considered to be the same as the Zatch Bell MAMODO card. [IN PLAY] This MAMODO card does not receive Damage or Injury.</v>
      </c>
      <c r="J422" s="27">
        <f>IFERROR(__xludf.DUMMYFUNCTION("""COMPUTED_VALUE"""),9000.0)</f>
        <v>9000</v>
      </c>
      <c r="K422" s="27" t="str">
        <f>IFERROR(__xludf.DUMMYFUNCTION("""COMPUTED_VALUE"""),"-")</f>
        <v>-</v>
      </c>
      <c r="L422" s="27" t="str">
        <f>IFERROR(__xludf.DUMMYFUNCTION("""COMPUTED_VALUE"""),"Supreme Power of the Golden Spell, Series 2, Level 3")</f>
        <v>Supreme Power of the Golden Spell, Series 2, Level 3</v>
      </c>
      <c r="M422" s="27" t="str">
        <f>IFERROR(__xludf.DUMMYFUNCTION("""COMPUTED_VALUE"""),"[SR]")</f>
        <v>[SR]</v>
      </c>
      <c r="N422" s="27" t="str">
        <f>IFERROR(__xludf.DUMMYFUNCTION("""COMPUTED_VALUE"""),"""No power can feel as good as this!""")</f>
        <v>"No power can feel as good as this!"</v>
      </c>
      <c r="O422" s="27"/>
      <c r="P422" s="27"/>
      <c r="Q422" s="27"/>
      <c r="R422" s="27"/>
      <c r="S422" s="27"/>
      <c r="T422" s="27"/>
      <c r="U422" s="27"/>
      <c r="V422" s="27"/>
      <c r="W422" s="27"/>
      <c r="X422" s="27"/>
      <c r="Y422" s="27"/>
      <c r="Z422" s="27"/>
    </row>
    <row r="423">
      <c r="A423" s="29" t="str">
        <f>IFERROR(__xludf.DUMMYFUNCTION("""COMPUTED_VALUE"""),"M-048")</f>
        <v>M-048</v>
      </c>
      <c r="B423" s="27" t="str">
        <f>IFERROR(__xludf.DUMMYFUNCTION("""COMPUTED_VALUE"""),"Mamodo")</f>
        <v>Mamodo</v>
      </c>
      <c r="C423" s="27" t="str">
        <f>IFERROR(__xludf.DUMMYFUNCTION("""COMPUTED_VALUE"""),"Zatch Bell")</f>
        <v>Zatch Bell</v>
      </c>
      <c r="D423" s="27" t="str">
        <f>IFERROR(__xludf.DUMMYFUNCTION("""COMPUTED_VALUE"""),"Zatch Bell")</f>
        <v>Zatch Bell</v>
      </c>
      <c r="E423" s="27" t="str">
        <f>IFERROR(__xludf.DUMMYFUNCTION("""COMPUTED_VALUE"""),"-")</f>
        <v>-</v>
      </c>
      <c r="F423" s="27" t="str">
        <f>IFERROR(__xludf.DUMMYFUNCTION("""COMPUTED_VALUE"""),"-")</f>
        <v>-</v>
      </c>
      <c r="G423" s="27" t="str">
        <f>IFERROR(__xludf.DUMMYFUNCTION("""COMPUTED_VALUE"""),"None")</f>
        <v>None</v>
      </c>
      <c r="H423" s="27" t="str">
        <f>IFERROR(__xludf.DUMMYFUNCTION("""COMPUTED_VALUE"""),"All Strength")</f>
        <v>All Strength</v>
      </c>
      <c r="I423" s="28" t="str">
        <f>IFERROR(__xludf.DUMMYFUNCTION("""COMPUTED_VALUE"""),"[DECLARE TO USE] [STANDBY] During the next Battle this turn, an Attack declared by this MAMODO card with 10000 or more Total Power cannot be Defended.")</f>
        <v>[DECLARE TO USE] [STANDBY] During the next Battle this turn, an Attack declared by this MAMODO card with 10000 or more Total Power cannot be Defended.</v>
      </c>
      <c r="J423" s="27">
        <f>IFERROR(__xludf.DUMMYFUNCTION("""COMPUTED_VALUE"""),4000.0)</f>
        <v>4000</v>
      </c>
      <c r="K423" s="27" t="str">
        <f>IFERROR(__xludf.DUMMYFUNCTION("""COMPUTED_VALUE"""),"-")</f>
        <v>-</v>
      </c>
      <c r="L423" s="27" t="str">
        <f>IFERROR(__xludf.DUMMYFUNCTION("""COMPUTED_VALUE"""),"Supreme Power of the Golden Spell, Series 2, Zatch Bell and his Friends, File 1: Zatch Bell &amp; Ponygon")</f>
        <v>Supreme Power of the Golden Spell, Series 2, Zatch Bell and his Friends, File 1: Zatch Bell &amp; Ponygon</v>
      </c>
      <c r="M423" s="27" t="str">
        <f>IFERROR(__xludf.DUMMYFUNCTION("""COMPUTED_VALUE"""),"[R]")</f>
        <v>[R]</v>
      </c>
      <c r="N423" s="27" t="str">
        <f>IFERROR(__xludf.DUMMYFUNCTION("""COMPUTED_VALUE"""),"""I'll pursue my goal to be a kind king step by step.""")</f>
        <v>"I'll pursue my goal to be a kind king step by step."</v>
      </c>
      <c r="O423" s="27"/>
      <c r="P423" s="27"/>
      <c r="Q423" s="27"/>
      <c r="R423" s="27"/>
      <c r="S423" s="27"/>
      <c r="T423" s="27"/>
      <c r="U423" s="27"/>
      <c r="V423" s="27"/>
      <c r="W423" s="27"/>
      <c r="X423" s="27"/>
      <c r="Y423" s="27"/>
      <c r="Z423" s="27"/>
    </row>
    <row r="424">
      <c r="A424" s="29" t="str">
        <f>IFERROR(__xludf.DUMMYFUNCTION("""COMPUTED_VALUE"""),"M-049")</f>
        <v>M-049</v>
      </c>
      <c r="B424" s="27" t="str">
        <f>IFERROR(__xludf.DUMMYFUNCTION("""COMPUTED_VALUE"""),"Mamodo")</f>
        <v>Mamodo</v>
      </c>
      <c r="C424" s="27" t="str">
        <f>IFERROR(__xludf.DUMMYFUNCTION("""COMPUTED_VALUE"""),"Kanchome")</f>
        <v>Kanchome</v>
      </c>
      <c r="D424" s="27" t="str">
        <f>IFERROR(__xludf.DUMMYFUNCTION("""COMPUTED_VALUE"""),"Kanchome")</f>
        <v>Kanchome</v>
      </c>
      <c r="E424" s="27" t="str">
        <f>IFERROR(__xludf.DUMMYFUNCTION("""COMPUTED_VALUE"""),"-")</f>
        <v>-</v>
      </c>
      <c r="F424" s="27" t="str">
        <f>IFERROR(__xludf.DUMMYFUNCTION("""COMPUTED_VALUE"""),"-")</f>
        <v>-</v>
      </c>
      <c r="G424" s="27" t="str">
        <f>IFERROR(__xludf.DUMMYFUNCTION("""COMPUTED_VALUE"""),"None")</f>
        <v>None</v>
      </c>
      <c r="H424" s="27" t="str">
        <f>IFERROR(__xludf.DUMMYFUNCTION("""COMPUTED_VALUE"""),"Noble Soul")</f>
        <v>Noble Soul</v>
      </c>
      <c r="I424" s="28" t="str">
        <f>IFERROR(__xludf.DUMMYFUNCTION("""COMPUTED_VALUE"""),"[IN PLAY] The PARTNER card attached to this MAMODO card cannot be sent to the Discard Pile by your opponent's card effects.")</f>
        <v>[IN PLAY] The PARTNER card attached to this MAMODO card cannot be sent to the Discard Pile by your opponent's card effects.</v>
      </c>
      <c r="J424" s="27">
        <f>IFERROR(__xludf.DUMMYFUNCTION("""COMPUTED_VALUE"""),3000.0)</f>
        <v>3000</v>
      </c>
      <c r="K424" s="27" t="str">
        <f>IFERROR(__xludf.DUMMYFUNCTION("""COMPUTED_VALUE"""),"-")</f>
        <v>-</v>
      </c>
      <c r="L424" s="27" t="str">
        <f>IFERROR(__xludf.DUMMYFUNCTION("""COMPUTED_VALUE"""),"Supreme Power of the Golden Spell, Series 2, Zatch Bell and his Friends")</f>
        <v>Supreme Power of the Golden Spell, Series 2, Zatch Bell and his Friends</v>
      </c>
      <c r="M424" s="27" t="str">
        <f>IFERROR(__xludf.DUMMYFUNCTION("""COMPUTED_VALUE"""),"[C]")</f>
        <v>[C]</v>
      </c>
      <c r="N424" s="27" t="str">
        <f>IFERROR(__xludf.DUMMYFUNCTION("""COMPUTED_VALUE"""),"""Remember that I promised to always protect you.""")</f>
        <v>"Remember that I promised to always protect you."</v>
      </c>
      <c r="O424" s="27"/>
      <c r="P424" s="27"/>
      <c r="Q424" s="27"/>
      <c r="R424" s="27"/>
      <c r="S424" s="27"/>
      <c r="T424" s="27"/>
      <c r="U424" s="27"/>
      <c r="V424" s="27"/>
      <c r="W424" s="27"/>
      <c r="X424" s="27"/>
      <c r="Y424" s="27"/>
      <c r="Z424" s="27"/>
    </row>
    <row r="425">
      <c r="A425" s="29" t="str">
        <f>IFERROR(__xludf.DUMMYFUNCTION("""COMPUTED_VALUE"""),"M-050")</f>
        <v>M-050</v>
      </c>
      <c r="B425" s="27" t="str">
        <f>IFERROR(__xludf.DUMMYFUNCTION("""COMPUTED_VALUE"""),"Mamodo")</f>
        <v>Mamodo</v>
      </c>
      <c r="C425" s="27" t="str">
        <f>IFERROR(__xludf.DUMMYFUNCTION("""COMPUTED_VALUE"""),"Tia")</f>
        <v>Tia</v>
      </c>
      <c r="D425" s="27" t="str">
        <f>IFERROR(__xludf.DUMMYFUNCTION("""COMPUTED_VALUE"""),"Tia")</f>
        <v>Tia</v>
      </c>
      <c r="E425" s="27" t="str">
        <f>IFERROR(__xludf.DUMMYFUNCTION("""COMPUTED_VALUE"""),"-")</f>
        <v>-</v>
      </c>
      <c r="F425" s="27" t="str">
        <f>IFERROR(__xludf.DUMMYFUNCTION("""COMPUTED_VALUE"""),"-")</f>
        <v>-</v>
      </c>
      <c r="G425" s="27" t="str">
        <f>IFERROR(__xludf.DUMMYFUNCTION("""COMPUTED_VALUE"""),"None")</f>
        <v>None</v>
      </c>
      <c r="H425" s="27" t="str">
        <f>IFERROR(__xludf.DUMMYFUNCTION("""COMPUTED_VALUE"""),"We Are Not Alone")</f>
        <v>We Are Not Alone</v>
      </c>
      <c r="I425" s="28" t="str">
        <f>IFERROR(__xludf.DUMMYFUNCTION("""COMPUTED_VALUE"""),"[DECLARE TO USE][STAY] Add 2000 Power to 1 of your in-play MAMODO cards (except this MAMODO card) during this turn.")</f>
        <v>[DECLARE TO USE][STAY] Add 2000 Power to 1 of your in-play MAMODO cards (except this MAMODO card) during this turn.</v>
      </c>
      <c r="J425" s="27">
        <f>IFERROR(__xludf.DUMMYFUNCTION("""COMPUTED_VALUE"""),3000.0)</f>
        <v>3000</v>
      </c>
      <c r="K425" s="27" t="str">
        <f>IFERROR(__xludf.DUMMYFUNCTION("""COMPUTED_VALUE"""),"-")</f>
        <v>-</v>
      </c>
      <c r="L425" s="27" t="str">
        <f>IFERROR(__xludf.DUMMYFUNCTION("""COMPUTED_VALUE"""),"Supreme Power of the Golden Spell, Series 2, Zatch Bell and his Friends")</f>
        <v>Supreme Power of the Golden Spell, Series 2, Zatch Bell and his Friends</v>
      </c>
      <c r="M425" s="27" t="str">
        <f>IFERROR(__xludf.DUMMYFUNCTION("""COMPUTED_VALUE"""),"[R]")</f>
        <v>[R]</v>
      </c>
      <c r="N425" s="27" t="str">
        <f>IFERROR(__xludf.DUMMYFUNCTION("""COMPUTED_VALUE"""),"""Don't forget... none of us is alone.")</f>
        <v>"Don't forget... none of us is alone.</v>
      </c>
      <c r="O425" s="27"/>
      <c r="P425" s="27"/>
      <c r="Q425" s="27"/>
      <c r="R425" s="27"/>
      <c r="S425" s="27"/>
      <c r="T425" s="27"/>
      <c r="U425" s="27"/>
      <c r="V425" s="27"/>
      <c r="W425" s="27"/>
      <c r="X425" s="27"/>
      <c r="Y425" s="27"/>
      <c r="Z425" s="27"/>
    </row>
    <row r="426">
      <c r="A426" s="29" t="str">
        <f>IFERROR(__xludf.DUMMYFUNCTION("""COMPUTED_VALUE"""),"M-051")</f>
        <v>M-051</v>
      </c>
      <c r="B426" s="27" t="str">
        <f>IFERROR(__xludf.DUMMYFUNCTION("""COMPUTED_VALUE"""),"Mamodo")</f>
        <v>Mamodo</v>
      </c>
      <c r="C426" s="27" t="str">
        <f>IFERROR(__xludf.DUMMYFUNCTION("""COMPUTED_VALUE"""),"Zeno")</f>
        <v>Zeno</v>
      </c>
      <c r="D426" s="27" t="str">
        <f>IFERROR(__xludf.DUMMYFUNCTION("""COMPUTED_VALUE"""),"Zeno")</f>
        <v>Zeno</v>
      </c>
      <c r="E426" s="27" t="str">
        <f>IFERROR(__xludf.DUMMYFUNCTION("""COMPUTED_VALUE"""),"-")</f>
        <v>-</v>
      </c>
      <c r="F426" s="27" t="str">
        <f>IFERROR(__xludf.DUMMYFUNCTION("""COMPUTED_VALUE"""),"-")</f>
        <v>-</v>
      </c>
      <c r="G426" s="27" t="str">
        <f>IFERROR(__xludf.DUMMYFUNCTION("""COMPUTED_VALUE"""),"None")</f>
        <v>None</v>
      </c>
      <c r="H426" s="27" t="str">
        <f>IFERROR(__xludf.DUMMYFUNCTION("""COMPUTED_VALUE"""),"Invincible")</f>
        <v>Invincible</v>
      </c>
      <c r="I426" s="28" t="str">
        <f>IFERROR(__xludf.DUMMYFUNCTION("""COMPUTED_VALUE"""),"This MAMODO card can neither SACRIFICE nor PROTECT your Spell Book from Damage (even when effects would not prohibit it from doing so). [IN PLAY] This MAMODO card does not receive Damage or Injury.")</f>
        <v>This MAMODO card can neither SACRIFICE nor PROTECT your Spell Book from Damage (even when effects would not prohibit it from doing so). [IN PLAY] This MAMODO card does not receive Damage or Injury.</v>
      </c>
      <c r="J426" s="27">
        <f>IFERROR(__xludf.DUMMYFUNCTION("""COMPUTED_VALUE"""),6000.0)</f>
        <v>6000</v>
      </c>
      <c r="K426" s="27" t="str">
        <f>IFERROR(__xludf.DUMMYFUNCTION("""COMPUTED_VALUE"""),"-")</f>
        <v>-</v>
      </c>
      <c r="L426" s="27" t="str">
        <f>IFERROR(__xludf.DUMMYFUNCTION("""COMPUTED_VALUE"""),"Supreme Power of the Golden Spell, Series 2, Zeno and the Most Powerful Mamodo")</f>
        <v>Supreme Power of the Golden Spell, Series 2, Zeno and the Most Powerful Mamodo</v>
      </c>
      <c r="M426" s="27" t="str">
        <f>IFERROR(__xludf.DUMMYFUNCTION("""COMPUTED_VALUE"""),"[R]")</f>
        <v>[R]</v>
      </c>
      <c r="N426" s="27" t="str">
        <f>IFERROR(__xludf.DUMMYFUNCTION("""COMPUTED_VALUE"""),"""Who mistook me for that idiot?""")</f>
        <v>"Who mistook me for that idiot?"</v>
      </c>
      <c r="O426" s="27"/>
      <c r="P426" s="27"/>
      <c r="Q426" s="27"/>
      <c r="R426" s="27"/>
      <c r="S426" s="27"/>
      <c r="T426" s="27"/>
      <c r="U426" s="27"/>
      <c r="V426" s="27"/>
      <c r="W426" s="27"/>
      <c r="X426" s="27"/>
      <c r="Y426" s="27"/>
      <c r="Z426" s="27"/>
    </row>
    <row r="427">
      <c r="A427" s="29" t="str">
        <f>IFERROR(__xludf.DUMMYFUNCTION("""COMPUTED_VALUE"""),"M-052")</f>
        <v>M-052</v>
      </c>
      <c r="B427" s="27" t="str">
        <f>IFERROR(__xludf.DUMMYFUNCTION("""COMPUTED_VALUE"""),"Mamodo")</f>
        <v>Mamodo</v>
      </c>
      <c r="C427" s="27" t="str">
        <f>IFERROR(__xludf.DUMMYFUNCTION("""COMPUTED_VALUE"""),"Bari")</f>
        <v>Bari</v>
      </c>
      <c r="D427" s="27" t="str">
        <f>IFERROR(__xludf.DUMMYFUNCTION("""COMPUTED_VALUE"""),"Bari")</f>
        <v>Bari</v>
      </c>
      <c r="E427" s="27" t="str">
        <f>IFERROR(__xludf.DUMMYFUNCTION("""COMPUTED_VALUE"""),"-")</f>
        <v>-</v>
      </c>
      <c r="F427" s="27" t="str">
        <f>IFERROR(__xludf.DUMMYFUNCTION("""COMPUTED_VALUE"""),"-")</f>
        <v>-</v>
      </c>
      <c r="G427" s="27" t="str">
        <f>IFERROR(__xludf.DUMMYFUNCTION("""COMPUTED_VALUE"""),"None")</f>
        <v>None</v>
      </c>
      <c r="H427" s="27" t="str">
        <f>IFERROR(__xludf.DUMMYFUNCTION("""COMPUTED_VALUE"""),"A Strong King")</f>
        <v>A Strong King</v>
      </c>
      <c r="I427" s="28" t="str">
        <f>IFERROR(__xludf.DUMMYFUNCTION("""COMPUTED_VALUE"""),"[1 MP] [STAY] During the Battle when this MAMODO card Attacks during this turn, add 1000 Power and 1 Damage to this MAMODO card's Attack.")</f>
        <v>[1 MP] [STAY] During the Battle when this MAMODO card Attacks during this turn, add 1000 Power and 1 Damage to this MAMODO card's Attack.</v>
      </c>
      <c r="J427" s="27">
        <f>IFERROR(__xludf.DUMMYFUNCTION("""COMPUTED_VALUE"""),6000.0)</f>
        <v>6000</v>
      </c>
      <c r="K427" s="27" t="str">
        <f>IFERROR(__xludf.DUMMYFUNCTION("""COMPUTED_VALUE"""),"-")</f>
        <v>-</v>
      </c>
      <c r="L427" s="27" t="str">
        <f>IFERROR(__xludf.DUMMYFUNCTION("""COMPUTED_VALUE"""),"The Gathering Storm, Series 3, Zeno and the Most Powerful Mamodo")</f>
        <v>The Gathering Storm, Series 3, Zeno and the Most Powerful Mamodo</v>
      </c>
      <c r="M427" s="27" t="str">
        <f>IFERROR(__xludf.DUMMYFUNCTION("""COMPUTED_VALUE"""),"[SR]")</f>
        <v>[SR]</v>
      </c>
      <c r="N427" s="27" t="str">
        <f>IFERROR(__xludf.DUMMYFUNCTION("""COMPUTED_VALUE"""),"""The strongest king, who will never give in to anything!""")</f>
        <v>"The strongest king, who will never give in to anything!"</v>
      </c>
      <c r="O427" s="27"/>
      <c r="P427" s="27"/>
      <c r="Q427" s="27"/>
      <c r="R427" s="27"/>
      <c r="S427" s="27"/>
      <c r="T427" s="27"/>
      <c r="U427" s="27"/>
      <c r="V427" s="27"/>
      <c r="W427" s="27"/>
      <c r="X427" s="27"/>
      <c r="Y427" s="27"/>
      <c r="Z427" s="27"/>
    </row>
    <row r="428">
      <c r="A428" s="29" t="str">
        <f>IFERROR(__xludf.DUMMYFUNCTION("""COMPUTED_VALUE"""),"M-053e")</f>
        <v>M-053e</v>
      </c>
      <c r="B428" s="27" t="str">
        <f>IFERROR(__xludf.DUMMYFUNCTION("""COMPUTED_VALUE"""),"Mamodo")</f>
        <v>Mamodo</v>
      </c>
      <c r="C428" s="27" t="str">
        <f>IFERROR(__xludf.DUMMYFUNCTION("""COMPUTED_VALUE"""),"Brago")</f>
        <v>Brago</v>
      </c>
      <c r="D428" s="27" t="str">
        <f>IFERROR(__xludf.DUMMYFUNCTION("""COMPUTED_VALUE"""),"Brago")</f>
        <v>Brago</v>
      </c>
      <c r="E428" s="27" t="str">
        <f>IFERROR(__xludf.DUMMYFUNCTION("""COMPUTED_VALUE"""),"-")</f>
        <v>-</v>
      </c>
      <c r="F428" s="27" t="str">
        <f>IFERROR(__xludf.DUMMYFUNCTION("""COMPUTED_VALUE"""),"-")</f>
        <v>-</v>
      </c>
      <c r="G428" s="27" t="str">
        <f>IFERROR(__xludf.DUMMYFUNCTION("""COMPUTED_VALUE"""),"None")</f>
        <v>None</v>
      </c>
      <c r="H428" s="27" t="str">
        <f>IFERROR(__xludf.DUMMYFUNCTION("""COMPUTED_VALUE"""),"A Regal Presence")</f>
        <v>A Regal Presence</v>
      </c>
      <c r="I428" s="28" t="str">
        <f>IFERROR(__xludf.DUMMYFUNCTION("""COMPUTED_VALUE"""),"[IN PLAY] This MAMODO card does not receive Damage or Injury when it SACRIFICES or PROTECTS your Spell Book from an infliction of 1 Damage.")</f>
        <v>[IN PLAY] This MAMODO card does not receive Damage or Injury when it SACRIFICES or PROTECTS your Spell Book from an infliction of 1 Damage.</v>
      </c>
      <c r="J428" s="27">
        <f>IFERROR(__xludf.DUMMYFUNCTION("""COMPUTED_VALUE"""),5000.0)</f>
        <v>5000</v>
      </c>
      <c r="K428" s="27" t="str">
        <f>IFERROR(__xludf.DUMMYFUNCTION("""COMPUTED_VALUE"""),"-")</f>
        <v>-</v>
      </c>
      <c r="L428" s="27" t="str">
        <f>IFERROR(__xludf.DUMMYFUNCTION("""COMPUTED_VALUE"""),"Supreme Power of the Golden Spell, Series 2, Zeno and the Most Powerful Mamodo")</f>
        <v>Supreme Power of the Golden Spell, Series 2, Zeno and the Most Powerful Mamodo</v>
      </c>
      <c r="M428" s="27" t="str">
        <f>IFERROR(__xludf.DUMMYFUNCTION("""COMPUTED_VALUE"""),"[R]")</f>
        <v>[R]</v>
      </c>
      <c r="N428" s="27" t="str">
        <f>IFERROR(__xludf.DUMMYFUNCTION("""COMPUTED_VALUE"""),"""You will know how foolish it is to fight me!""")</f>
        <v>"You will know how foolish it is to fight me!"</v>
      </c>
      <c r="O428" s="27"/>
      <c r="P428" s="27"/>
      <c r="Q428" s="27"/>
      <c r="R428" s="27"/>
      <c r="S428" s="27"/>
      <c r="T428" s="27"/>
      <c r="U428" s="27"/>
      <c r="V428" s="27"/>
      <c r="W428" s="27"/>
      <c r="X428" s="27"/>
      <c r="Y428" s="27"/>
      <c r="Z428" s="27"/>
    </row>
    <row r="429">
      <c r="A429" s="29" t="str">
        <f>IFERROR(__xludf.DUMMYFUNCTION("""COMPUTED_VALUE"""),"M-053j")</f>
        <v>M-053j</v>
      </c>
      <c r="B429" s="27" t="str">
        <f>IFERROR(__xludf.DUMMYFUNCTION("""COMPUTED_VALUE"""),"Mamodo")</f>
        <v>Mamodo</v>
      </c>
      <c r="C429" s="27" t="str">
        <f>IFERROR(__xludf.DUMMYFUNCTION("""COMPUTED_VALUE"""),"Brago")</f>
        <v>Brago</v>
      </c>
      <c r="D429" s="27" t="str">
        <f>IFERROR(__xludf.DUMMYFUNCTION("""COMPUTED_VALUE"""),"Brago")</f>
        <v>Brago</v>
      </c>
      <c r="E429" s="27" t="str">
        <f>IFERROR(__xludf.DUMMYFUNCTION("""COMPUTED_VALUE"""),"-")</f>
        <v>-</v>
      </c>
      <c r="F429" s="27" t="str">
        <f>IFERROR(__xludf.DUMMYFUNCTION("""COMPUTED_VALUE"""),"-")</f>
        <v>-</v>
      </c>
      <c r="G429" s="27" t="str">
        <f>IFERROR(__xludf.DUMMYFUNCTION("""COMPUTED_VALUE"""),"None")</f>
        <v>None</v>
      </c>
      <c r="H429" s="27" t="str">
        <f>IFERROR(__xludf.DUMMYFUNCTION("""COMPUTED_VALUE"""),"A Regal Presence")</f>
        <v>A Regal Presence</v>
      </c>
      <c r="I429" s="28" t="str">
        <f>IFERROR(__xludf.DUMMYFUNCTION("""COMPUTED_VALUE"""),"[IN PLAY] This MAMODO card does not receive Damage or Injury from an infliction of 1 Damage.")</f>
        <v>[IN PLAY] This MAMODO card does not receive Damage or Injury from an infliction of 1 Damage.</v>
      </c>
      <c r="J429" s="27">
        <f>IFERROR(__xludf.DUMMYFUNCTION("""COMPUTED_VALUE"""),5000.0)</f>
        <v>5000</v>
      </c>
      <c r="K429" s="27" t="str">
        <f>IFERROR(__xludf.DUMMYFUNCTION("""COMPUTED_VALUE"""),"-")</f>
        <v>-</v>
      </c>
      <c r="L429" s="27" t="str">
        <f>IFERROR(__xludf.DUMMYFUNCTION("""COMPUTED_VALUE"""),"Supreme Power of the Golden Spell, Series 2, Zeno and the Most Powerful Mamodo")</f>
        <v>Supreme Power of the Golden Spell, Series 2, Zeno and the Most Powerful Mamodo</v>
      </c>
      <c r="M429" s="27" t="str">
        <f>IFERROR(__xludf.DUMMYFUNCTION("""COMPUTED_VALUE"""),"[R]")</f>
        <v>[R]</v>
      </c>
      <c r="N429" s="27" t="str">
        <f>IFERROR(__xludf.DUMMYFUNCTION("""COMPUTED_VALUE"""),"""You will know how foolish it is to fight me!""")</f>
        <v>"You will know how foolish it is to fight me!"</v>
      </c>
      <c r="O429" s="27"/>
      <c r="P429" s="27"/>
      <c r="Q429" s="27"/>
      <c r="R429" s="27"/>
      <c r="S429" s="27"/>
      <c r="T429" s="27"/>
      <c r="U429" s="27"/>
      <c r="V429" s="27"/>
      <c r="W429" s="27"/>
      <c r="X429" s="27"/>
      <c r="Y429" s="27"/>
      <c r="Z429" s="27"/>
    </row>
    <row r="430">
      <c r="A430" s="29" t="str">
        <f>IFERROR(__xludf.DUMMYFUNCTION("""COMPUTED_VALUE"""),"M-054")</f>
        <v>M-054</v>
      </c>
      <c r="B430" s="27" t="str">
        <f>IFERROR(__xludf.DUMMYFUNCTION("""COMPUTED_VALUE"""),"Mamodo")</f>
        <v>Mamodo</v>
      </c>
      <c r="C430" s="27" t="str">
        <f>IFERROR(__xludf.DUMMYFUNCTION("""COMPUTED_VALUE"""),"Zatch Bell")</f>
        <v>Zatch Bell</v>
      </c>
      <c r="D430" s="27" t="str">
        <f>IFERROR(__xludf.DUMMYFUNCTION("""COMPUTED_VALUE"""),"Zatch Bell")</f>
        <v>Zatch Bell</v>
      </c>
      <c r="E430" s="27" t="str">
        <f>IFERROR(__xludf.DUMMYFUNCTION("""COMPUTED_VALUE"""),"-")</f>
        <v>-</v>
      </c>
      <c r="F430" s="27" t="str">
        <f>IFERROR(__xludf.DUMMYFUNCTION("""COMPUTED_VALUE"""),"-")</f>
        <v>-</v>
      </c>
      <c r="G430" s="27" t="str">
        <f>IFERROR(__xludf.DUMMYFUNCTION("""COMPUTED_VALUE"""),"None")</f>
        <v>None</v>
      </c>
      <c r="H430" s="27" t="str">
        <f>IFERROR(__xludf.DUMMYFUNCTION("""COMPUTED_VALUE"""),"Go For It!")</f>
        <v>Go For It!</v>
      </c>
      <c r="I430" s="28" t="str">
        <f>IFERROR(__xludf.DUMMYFUNCTION("""COMPUTED_VALUE"""),"[1 MP] [STANDBY] Flip a coin; if it's heads, the SPELL card this MAMODO card Attacks with in the next Battle this turn cannot be Defended.")</f>
        <v>[1 MP] [STANDBY] Flip a coin; if it's heads, the SPELL card this MAMODO card Attacks with in the next Battle this turn cannot be Defended.</v>
      </c>
      <c r="J430" s="27">
        <f>IFERROR(__xludf.DUMMYFUNCTION("""COMPUTED_VALUE"""),4000.0)</f>
        <v>4000</v>
      </c>
      <c r="K430" s="27" t="str">
        <f>IFERROR(__xludf.DUMMYFUNCTION("""COMPUTED_VALUE"""),"-")</f>
        <v>-</v>
      </c>
      <c r="L430" s="27" t="str">
        <f>IFERROR(__xludf.DUMMYFUNCTION("""COMPUTED_VALUE"""),"The Gathering Storm, Series 3, Limited Edition I")</f>
        <v>The Gathering Storm, Series 3, Limited Edition I</v>
      </c>
      <c r="M430" s="27" t="str">
        <f>IFERROR(__xludf.DUMMYFUNCTION("""COMPUTED_VALUE"""),"[U]")</f>
        <v>[U]</v>
      </c>
      <c r="N430" s="27" t="str">
        <f>IFERROR(__xludf.DUMMYFUNCTION("""COMPUTED_VALUE"""),"""Even in times of difficulty, Zatch never gives up and pushes ahead.""")</f>
        <v>"Even in times of difficulty, Zatch never gives up and pushes ahead."</v>
      </c>
      <c r="O430" s="27"/>
      <c r="P430" s="27"/>
      <c r="Q430" s="27"/>
      <c r="R430" s="27"/>
      <c r="S430" s="27"/>
      <c r="T430" s="27"/>
      <c r="U430" s="27"/>
      <c r="V430" s="27"/>
      <c r="W430" s="27"/>
      <c r="X430" s="27"/>
      <c r="Y430" s="27"/>
      <c r="Z430" s="27"/>
    </row>
    <row r="431">
      <c r="A431" s="29" t="str">
        <f>IFERROR(__xludf.DUMMYFUNCTION("""COMPUTED_VALUE"""),"M-055")</f>
        <v>M-055</v>
      </c>
      <c r="B431" s="27" t="str">
        <f>IFERROR(__xludf.DUMMYFUNCTION("""COMPUTED_VALUE"""),"Mamodo")</f>
        <v>Mamodo</v>
      </c>
      <c r="C431" s="27" t="str">
        <f>IFERROR(__xludf.DUMMYFUNCTION("""COMPUTED_VALUE"""),"Brago")</f>
        <v>Brago</v>
      </c>
      <c r="D431" s="27" t="str">
        <f>IFERROR(__xludf.DUMMYFUNCTION("""COMPUTED_VALUE"""),"Brago")</f>
        <v>Brago</v>
      </c>
      <c r="E431" s="27" t="str">
        <f>IFERROR(__xludf.DUMMYFUNCTION("""COMPUTED_VALUE"""),"-")</f>
        <v>-</v>
      </c>
      <c r="F431" s="27" t="str">
        <f>IFERROR(__xludf.DUMMYFUNCTION("""COMPUTED_VALUE"""),"-")</f>
        <v>-</v>
      </c>
      <c r="G431" s="27" t="str">
        <f>IFERROR(__xludf.DUMMYFUNCTION("""COMPUTED_VALUE"""),"None")</f>
        <v>None</v>
      </c>
      <c r="H431" s="27" t="str">
        <f>IFERROR(__xludf.DUMMYFUNCTION("""COMPUTED_VALUE"""),"Preparing to Destroy")</f>
        <v>Preparing to Destroy</v>
      </c>
      <c r="I431" s="28" t="str">
        <f>IFERROR(__xludf.DUMMYFUNCTION("""COMPUTED_VALUE"""),"[1 MP] [STANDBY] In the next Battle this turn when you Attack with a SPELL card that Damages your opponent's Spell Book when you win the Battle as an Attacker, flip a coin; if it's heads, that SPELL card Injures 1 of your opponent's MAMODO cards instead o"&amp;"f Damaging their Spell Book. If it's tails, the SPELL card is negated.")</f>
        <v>[1 MP] [STANDBY] In the next Battle this turn when you Attack with a SPELL card that Damages your opponent's Spell Book when you win the Battle as an Attacker, flip a coin; if it's heads, that SPELL card Injures 1 of your opponent's MAMODO cards instead of Damaging their Spell Book. If it's tails, the SPELL card is negated.</v>
      </c>
      <c r="J431" s="27">
        <f>IFERROR(__xludf.DUMMYFUNCTION("""COMPUTED_VALUE"""),5000.0)</f>
        <v>5000</v>
      </c>
      <c r="K431" s="27" t="str">
        <f>IFERROR(__xludf.DUMMYFUNCTION("""COMPUTED_VALUE"""),"-")</f>
        <v>-</v>
      </c>
      <c r="L431" s="27" t="str">
        <f>IFERROR(__xludf.DUMMYFUNCTION("""COMPUTED_VALUE"""),"The Gathering Storm, Series 3, Limited Edition I")</f>
        <v>The Gathering Storm, Series 3, Limited Edition I</v>
      </c>
      <c r="M431" s="27" t="str">
        <f>IFERROR(__xludf.DUMMYFUNCTION("""COMPUTED_VALUE"""),"[U]")</f>
        <v>[U]</v>
      </c>
      <c r="N431" s="27" t="str">
        <f>IFERROR(__xludf.DUMMYFUNCTION("""COMPUTED_VALUE"""),"""This is going to be the end.""")</f>
        <v>"This is going to be the end."</v>
      </c>
      <c r="O431" s="27"/>
      <c r="P431" s="27"/>
      <c r="Q431" s="27"/>
      <c r="R431" s="27"/>
      <c r="S431" s="27"/>
      <c r="T431" s="27"/>
      <c r="U431" s="27"/>
      <c r="V431" s="27"/>
      <c r="W431" s="27"/>
      <c r="X431" s="27"/>
      <c r="Y431" s="27"/>
      <c r="Z431" s="27"/>
    </row>
    <row r="432">
      <c r="A432" s="29" t="str">
        <f>IFERROR(__xludf.DUMMYFUNCTION("""COMPUTED_VALUE"""),"M-056")</f>
        <v>M-056</v>
      </c>
      <c r="B432" s="27" t="str">
        <f>IFERROR(__xludf.DUMMYFUNCTION("""COMPUTED_VALUE"""),"Mamodo")</f>
        <v>Mamodo</v>
      </c>
      <c r="C432" s="27" t="str">
        <f>IFERROR(__xludf.DUMMYFUNCTION("""COMPUTED_VALUE"""),"Kanchome")</f>
        <v>Kanchome</v>
      </c>
      <c r="D432" s="27" t="str">
        <f>IFERROR(__xludf.DUMMYFUNCTION("""COMPUTED_VALUE"""),"Kanchome")</f>
        <v>Kanchome</v>
      </c>
      <c r="E432" s="27" t="str">
        <f>IFERROR(__xludf.DUMMYFUNCTION("""COMPUTED_VALUE"""),"-")</f>
        <v>-</v>
      </c>
      <c r="F432" s="27" t="str">
        <f>IFERROR(__xludf.DUMMYFUNCTION("""COMPUTED_VALUE"""),"-")</f>
        <v>-</v>
      </c>
      <c r="G432" s="27" t="str">
        <f>IFERROR(__xludf.DUMMYFUNCTION("""COMPUTED_VALUE"""),"None")</f>
        <v>None</v>
      </c>
      <c r="H432" s="27" t="str">
        <f>IFERROR(__xludf.DUMMYFUNCTION("""COMPUTED_VALUE"""),"Trembling With Excitement")</f>
        <v>Trembling With Excitement</v>
      </c>
      <c r="I432" s="28" t="str">
        <f>IFERROR(__xludf.DUMMYFUNCTION("""COMPUTED_VALUE"""),"[1 MP] Flip a coin during your BATTLE PHASE; if it's heads, get 3 MP.")</f>
        <v>[1 MP] Flip a coin during your BATTLE PHASE; if it's heads, get 3 MP.</v>
      </c>
      <c r="J432" s="27">
        <f>IFERROR(__xludf.DUMMYFUNCTION("""COMPUTED_VALUE"""),2000.0)</f>
        <v>2000</v>
      </c>
      <c r="K432" s="27" t="str">
        <f>IFERROR(__xludf.DUMMYFUNCTION("""COMPUTED_VALUE"""),"-")</f>
        <v>-</v>
      </c>
      <c r="L432" s="27" t="str">
        <f>IFERROR(__xludf.DUMMYFUNCTION("""COMPUTED_VALUE"""),"The Gathering Storm, Series 3, Limited Edition I")</f>
        <v>The Gathering Storm, Series 3, Limited Edition I</v>
      </c>
      <c r="M432" s="27" t="str">
        <f>IFERROR(__xludf.DUMMYFUNCTION("""COMPUTED_VALUE"""),"[U]")</f>
        <v>[U]</v>
      </c>
      <c r="N432" s="27" t="str">
        <f>IFERROR(__xludf.DUMMYFUNCTION("""COMPUTED_VALUE"""),"""Oh... what am I going to do?""")</f>
        <v>"Oh... what am I going to do?"</v>
      </c>
      <c r="O432" s="27"/>
      <c r="P432" s="27"/>
      <c r="Q432" s="27"/>
      <c r="R432" s="27"/>
      <c r="S432" s="27"/>
      <c r="T432" s="27"/>
      <c r="U432" s="27"/>
      <c r="V432" s="27"/>
      <c r="W432" s="27"/>
      <c r="X432" s="27"/>
      <c r="Y432" s="27"/>
      <c r="Z432" s="27"/>
    </row>
    <row r="433">
      <c r="A433" s="29" t="str">
        <f>IFERROR(__xludf.DUMMYFUNCTION("""COMPUTED_VALUE"""),"M-057")</f>
        <v>M-057</v>
      </c>
      <c r="B433" s="27" t="str">
        <f>IFERROR(__xludf.DUMMYFUNCTION("""COMPUTED_VALUE"""),"Mamodo")</f>
        <v>Mamodo</v>
      </c>
      <c r="C433" s="27" t="str">
        <f>IFERROR(__xludf.DUMMYFUNCTION("""COMPUTED_VALUE"""),"Tia")</f>
        <v>Tia</v>
      </c>
      <c r="D433" s="27" t="str">
        <f>IFERROR(__xludf.DUMMYFUNCTION("""COMPUTED_VALUE"""),"Tia")</f>
        <v>Tia</v>
      </c>
      <c r="E433" s="27" t="str">
        <f>IFERROR(__xludf.DUMMYFUNCTION("""COMPUTED_VALUE"""),"-")</f>
        <v>-</v>
      </c>
      <c r="F433" s="27" t="str">
        <f>IFERROR(__xludf.DUMMYFUNCTION("""COMPUTED_VALUE"""),"-")</f>
        <v>-</v>
      </c>
      <c r="G433" s="27" t="str">
        <f>IFERROR(__xludf.DUMMYFUNCTION("""COMPUTED_VALUE"""),"None")</f>
        <v>None</v>
      </c>
      <c r="H433" s="27" t="str">
        <f>IFERROR(__xludf.DUMMYFUNCTION("""COMPUTED_VALUE"""),"Guardian Goddess")</f>
        <v>Guardian Goddess</v>
      </c>
      <c r="I433" s="28" t="str">
        <f>IFERROR(__xludf.DUMMYFUNCTION("""COMPUTED_VALUE"""),"(Battle) [2 MP] Flip a coin; if it's heads, negate 1 of your opponent's Attacks in the Battle.")</f>
        <v>(Battle) [2 MP] Flip a coin; if it's heads, negate 1 of your opponent's Attacks in the Battle.</v>
      </c>
      <c r="J433" s="27">
        <f>IFERROR(__xludf.DUMMYFUNCTION("""COMPUTED_VALUE"""),3000.0)</f>
        <v>3000</v>
      </c>
      <c r="K433" s="27" t="str">
        <f>IFERROR(__xludf.DUMMYFUNCTION("""COMPUTED_VALUE"""),"-")</f>
        <v>-</v>
      </c>
      <c r="L433" s="27" t="str">
        <f>IFERROR(__xludf.DUMMYFUNCTION("""COMPUTED_VALUE"""),"The Gathering Storm, Series 3, Limited Edition I, Revised Edition")</f>
        <v>The Gathering Storm, Series 3, Limited Edition I, Revised Edition</v>
      </c>
      <c r="M433" s="27" t="str">
        <f>IFERROR(__xludf.DUMMYFUNCTION("""COMPUTED_VALUE"""),"[C]")</f>
        <v>[C]</v>
      </c>
      <c r="N433" s="27" t="str">
        <f>IFERROR(__xludf.DUMMYFUNCTION("""COMPUTED_VALUE"""),"""I won't run away from you!""")</f>
        <v>"I won't run away from you!"</v>
      </c>
      <c r="O433" s="27"/>
      <c r="P433" s="27"/>
      <c r="Q433" s="27"/>
      <c r="R433" s="27"/>
      <c r="S433" s="27"/>
      <c r="T433" s="27"/>
      <c r="U433" s="27"/>
      <c r="V433" s="27"/>
      <c r="W433" s="27"/>
      <c r="X433" s="27"/>
      <c r="Y433" s="27"/>
      <c r="Z433" s="27"/>
    </row>
    <row r="434">
      <c r="A434" s="29" t="str">
        <f>IFERROR(__xludf.DUMMYFUNCTION("""COMPUTED_VALUE"""),"M-058")</f>
        <v>M-058</v>
      </c>
      <c r="B434" s="27" t="str">
        <f>IFERROR(__xludf.DUMMYFUNCTION("""COMPUTED_VALUE"""),"Mamodo")</f>
        <v>Mamodo</v>
      </c>
      <c r="C434" s="27" t="str">
        <f>IFERROR(__xludf.DUMMYFUNCTION("""COMPUTED_VALUE"""),"Ponygon")</f>
        <v>Ponygon</v>
      </c>
      <c r="D434" s="27" t="str">
        <f>IFERROR(__xludf.DUMMYFUNCTION("""COMPUTED_VALUE"""),"Ponygon")</f>
        <v>Ponygon</v>
      </c>
      <c r="E434" s="27" t="str">
        <f>IFERROR(__xludf.DUMMYFUNCTION("""COMPUTED_VALUE"""),"-")</f>
        <v>-</v>
      </c>
      <c r="F434" s="27" t="str">
        <f>IFERROR(__xludf.DUMMYFUNCTION("""COMPUTED_VALUE"""),"-")</f>
        <v>-</v>
      </c>
      <c r="G434" s="27" t="str">
        <f>IFERROR(__xludf.DUMMYFUNCTION("""COMPUTED_VALUE"""),"None")</f>
        <v>None</v>
      </c>
      <c r="H434" s="27" t="str">
        <f>IFERROR(__xludf.DUMMYFUNCTION("""COMPUTED_VALUE"""),"Clup Clup Clup")</f>
        <v>Clup Clup Clup</v>
      </c>
      <c r="I434" s="28" t="str">
        <f>IFERROR(__xludf.DUMMYFUNCTION("""COMPUTED_VALUE"""),"No SPELL cards can be played for this MAMODO card. [3 MP] Select 1 PARTNER card from your opponent's Discard Pile and attach it to this MAMODO card. ● The PARTNER card can be attached even if it is not a Kafk Sunbeam PARTNER card. ● The PARTNER card's eff"&amp;"ect can be applied as if it were your own.")</f>
        <v>No SPELL cards can be played for this MAMODO card. [3 MP] Select 1 PARTNER card from your opponent's Discard Pile and attach it to this MAMODO card. ● The PARTNER card can be attached even if it is not a Kafk Sunbeam PARTNER card. ● The PARTNER card's effect can be applied as if it were your own.</v>
      </c>
      <c r="J434" s="27">
        <f>IFERROR(__xludf.DUMMYFUNCTION("""COMPUTED_VALUE"""),1000.0)</f>
        <v>1000</v>
      </c>
      <c r="K434" s="27" t="str">
        <f>IFERROR(__xludf.DUMMYFUNCTION("""COMPUTED_VALUE"""),"-")</f>
        <v>-</v>
      </c>
      <c r="L434" s="27" t="str">
        <f>IFERROR(__xludf.DUMMYFUNCTION("""COMPUTED_VALUE"""),"The Gathering Storm, Series 3, Limited Edition I")</f>
        <v>The Gathering Storm, Series 3, Limited Edition I</v>
      </c>
      <c r="M434" s="27" t="str">
        <f>IFERROR(__xludf.DUMMYFUNCTION("""COMPUTED_VALUE"""),"[U]")</f>
        <v>[U]</v>
      </c>
      <c r="N434" s="27" t="str">
        <f>IFERROR(__xludf.DUMMYFUNCTION("""COMPUTED_VALUE"""),"Ponygon has overcome his difficulties and left on his journey to find his partner.")</f>
        <v>Ponygon has overcome his difficulties and left on his journey to find his partner.</v>
      </c>
      <c r="O434" s="27"/>
      <c r="P434" s="27"/>
      <c r="Q434" s="27"/>
      <c r="R434" s="27"/>
      <c r="S434" s="27"/>
      <c r="T434" s="27"/>
      <c r="U434" s="27"/>
      <c r="V434" s="27"/>
      <c r="W434" s="27"/>
      <c r="X434" s="27"/>
      <c r="Y434" s="27"/>
      <c r="Z434" s="27"/>
    </row>
    <row r="435">
      <c r="A435" s="29" t="str">
        <f>IFERROR(__xludf.DUMMYFUNCTION("""COMPUTED_VALUE"""),"M-059e")</f>
        <v>M-059e</v>
      </c>
      <c r="B435" s="27" t="str">
        <f>IFERROR(__xludf.DUMMYFUNCTION("""COMPUTED_VALUE"""),"Mamodo")</f>
        <v>Mamodo</v>
      </c>
      <c r="C435" s="27" t="str">
        <f>IFERROR(__xludf.DUMMYFUNCTION("""COMPUTED_VALUE"""),"Zeno")</f>
        <v>Zeno</v>
      </c>
      <c r="D435" s="27" t="str">
        <f>IFERROR(__xludf.DUMMYFUNCTION("""COMPUTED_VALUE"""),"Zeno")</f>
        <v>Zeno</v>
      </c>
      <c r="E435" s="27" t="str">
        <f>IFERROR(__xludf.DUMMYFUNCTION("""COMPUTED_VALUE"""),"-")</f>
        <v>-</v>
      </c>
      <c r="F435" s="27" t="str">
        <f>IFERROR(__xludf.DUMMYFUNCTION("""COMPUTED_VALUE"""),"-")</f>
        <v>-</v>
      </c>
      <c r="G435" s="27" t="str">
        <f>IFERROR(__xludf.DUMMYFUNCTION("""COMPUTED_VALUE"""),"None")</f>
        <v>None</v>
      </c>
      <c r="H435" s="27" t="str">
        <f>IFERROR(__xludf.DUMMYFUNCTION("""COMPUTED_VALUE"""),"Road to Destruction")</f>
        <v>Road to Destruction</v>
      </c>
      <c r="I435" s="28" t="str">
        <f>IFERROR(__xludf.DUMMYFUNCTION("""COMPUTED_VALUE"""),"[SEND THIS CARD TO THE DISCARD PILE] Injure 1 of your opponent's MAMODO cards.")</f>
        <v>[SEND THIS CARD TO THE DISCARD PILE] Injure 1 of your opponent's MAMODO cards.</v>
      </c>
      <c r="J435" s="27">
        <f>IFERROR(__xludf.DUMMYFUNCTION("""COMPUTED_VALUE"""),6000.0)</f>
        <v>6000</v>
      </c>
      <c r="K435" s="27" t="str">
        <f>IFERROR(__xludf.DUMMYFUNCTION("""COMPUTED_VALUE"""),"-")</f>
        <v>-</v>
      </c>
      <c r="L435" s="27" t="str">
        <f>IFERROR(__xludf.DUMMYFUNCTION("""COMPUTED_VALUE"""),"Spell Book")</f>
        <v>Spell Book</v>
      </c>
      <c r="M435" s="27" t="str">
        <f>IFERROR(__xludf.DUMMYFUNCTION("""COMPUTED_VALUE"""),"[R]")</f>
        <v>[R]</v>
      </c>
      <c r="N435" s="27" t="str">
        <f>IFERROR(__xludf.DUMMYFUNCTION("""COMPUTED_VALUE"""),"""You're so naïve.""")</f>
        <v>"You're so naïve."</v>
      </c>
      <c r="O435" s="27"/>
      <c r="P435" s="27"/>
      <c r="Q435" s="27"/>
      <c r="R435" s="27"/>
      <c r="S435" s="27"/>
      <c r="T435" s="27"/>
      <c r="U435" s="27"/>
      <c r="V435" s="27"/>
      <c r="W435" s="27"/>
      <c r="X435" s="27"/>
      <c r="Y435" s="27"/>
      <c r="Z435" s="27"/>
    </row>
    <row r="436">
      <c r="A436" s="29" t="str">
        <f>IFERROR(__xludf.DUMMYFUNCTION("""COMPUTED_VALUE"""),"M-059j")</f>
        <v>M-059j</v>
      </c>
      <c r="B436" s="27" t="str">
        <f>IFERROR(__xludf.DUMMYFUNCTION("""COMPUTED_VALUE"""),"Mamodo")</f>
        <v>Mamodo</v>
      </c>
      <c r="C436" s="27" t="str">
        <f>IFERROR(__xludf.DUMMYFUNCTION("""COMPUTED_VALUE"""),"Zeno")</f>
        <v>Zeno</v>
      </c>
      <c r="D436" s="27" t="str">
        <f>IFERROR(__xludf.DUMMYFUNCTION("""COMPUTED_VALUE"""),"Zeno")</f>
        <v>Zeno</v>
      </c>
      <c r="E436" s="27" t="str">
        <f>IFERROR(__xludf.DUMMYFUNCTION("""COMPUTED_VALUE"""),"-")</f>
        <v>-</v>
      </c>
      <c r="F436" s="27" t="str">
        <f>IFERROR(__xludf.DUMMYFUNCTION("""COMPUTED_VALUE"""),"-")</f>
        <v>-</v>
      </c>
      <c r="G436" s="27" t="str">
        <f>IFERROR(__xludf.DUMMYFUNCTION("""COMPUTED_VALUE"""),"None")</f>
        <v>None</v>
      </c>
      <c r="H436" s="27" t="str">
        <f>IFERROR(__xludf.DUMMYFUNCTION("""COMPUTED_VALUE"""),"Road to Destruction")</f>
        <v>Road to Destruction</v>
      </c>
      <c r="I436" s="28" t="str">
        <f>IFERROR(__xludf.DUMMYFUNCTION("""COMPUTED_VALUE"""),"[SEND THIS CARD TO THE DISCARD PILE] Turn 1 of your opponent's in-play Normal Status MAMODO cards to Injured Status (this is not considered to be inflicting Damage or Injury).")</f>
        <v>[SEND THIS CARD TO THE DISCARD PILE] Turn 1 of your opponent's in-play Normal Status MAMODO cards to Injured Status (this is not considered to be inflicting Damage or Injury).</v>
      </c>
      <c r="J436" s="27">
        <f>IFERROR(__xludf.DUMMYFUNCTION("""COMPUTED_VALUE"""),6000.0)</f>
        <v>6000</v>
      </c>
      <c r="K436" s="27" t="str">
        <f>IFERROR(__xludf.DUMMYFUNCTION("""COMPUTED_VALUE"""),"-")</f>
        <v>-</v>
      </c>
      <c r="L436" s="27" t="str">
        <f>IFERROR(__xludf.DUMMYFUNCTION("""COMPUTED_VALUE"""),"Spell Book")</f>
        <v>Spell Book</v>
      </c>
      <c r="M436" s="27" t="str">
        <f>IFERROR(__xludf.DUMMYFUNCTION("""COMPUTED_VALUE"""),"[R]")</f>
        <v>[R]</v>
      </c>
      <c r="N436" s="27" t="str">
        <f>IFERROR(__xludf.DUMMYFUNCTION("""COMPUTED_VALUE"""),"""You're so naïve.""")</f>
        <v>"You're so naïve."</v>
      </c>
      <c r="O436" s="27"/>
      <c r="P436" s="27"/>
      <c r="Q436" s="27"/>
      <c r="R436" s="27"/>
      <c r="S436" s="27"/>
      <c r="T436" s="27"/>
      <c r="U436" s="27"/>
      <c r="V436" s="27"/>
      <c r="W436" s="27"/>
      <c r="X436" s="27"/>
      <c r="Y436" s="27"/>
      <c r="Z436" s="27"/>
    </row>
    <row r="437">
      <c r="A437" s="29" t="str">
        <f>IFERROR(__xludf.DUMMYFUNCTION("""COMPUTED_VALUE"""),"M-060")</f>
        <v>M-060</v>
      </c>
      <c r="B437" s="27" t="str">
        <f>IFERROR(__xludf.DUMMYFUNCTION("""COMPUTED_VALUE"""),"Mamodo")</f>
        <v>Mamodo</v>
      </c>
      <c r="C437" s="27" t="str">
        <f>IFERROR(__xludf.DUMMYFUNCTION("""COMPUTED_VALUE"""),"Ponygon")</f>
        <v>Ponygon</v>
      </c>
      <c r="D437" s="27" t="str">
        <f>IFERROR(__xludf.DUMMYFUNCTION("""COMPUTED_VALUE"""),"Ponygon")</f>
        <v>Ponygon</v>
      </c>
      <c r="E437" s="27" t="str">
        <f>IFERROR(__xludf.DUMMYFUNCTION("""COMPUTED_VALUE"""),"-")</f>
        <v>-</v>
      </c>
      <c r="F437" s="27" t="str">
        <f>IFERROR(__xludf.DUMMYFUNCTION("""COMPUTED_VALUE"""),"-")</f>
        <v>-</v>
      </c>
      <c r="G437" s="27" t="str">
        <f>IFERROR(__xludf.DUMMYFUNCTION("""COMPUTED_VALUE"""),"None")</f>
        <v>None</v>
      </c>
      <c r="H437" s="27" t="str">
        <f>IFERROR(__xludf.DUMMYFUNCTION("""COMPUTED_VALUE"""),"Meru Meru Me")</f>
        <v>Meru Meru Me</v>
      </c>
      <c r="I437" s="28" t="str">
        <f>IFERROR(__xludf.DUMMYFUNCTION("""COMPUTED_VALUE"""),"[SEND THIS CARD TO THE DISCARD PILE] Turn 1 page of your opponent's Spell Book. This effect can be applied only once per turn (per player).")</f>
        <v>[SEND THIS CARD TO THE DISCARD PILE] Turn 1 page of your opponent's Spell Book. This effect can be applied only once per turn (per player).</v>
      </c>
      <c r="J437" s="27">
        <f>IFERROR(__xludf.DUMMYFUNCTION("""COMPUTED_VALUE"""),1000.0)</f>
        <v>1000</v>
      </c>
      <c r="K437" s="27" t="str">
        <f>IFERROR(__xludf.DUMMYFUNCTION("""COMPUTED_VALUE"""),"-")</f>
        <v>-</v>
      </c>
      <c r="L437" s="27" t="str">
        <f>IFERROR(__xludf.DUMMYFUNCTION("""COMPUTED_VALUE"""),"Spell Book")</f>
        <v>Spell Book</v>
      </c>
      <c r="M437" s="27" t="str">
        <f>IFERROR(__xludf.DUMMYFUNCTION("""COMPUTED_VALUE"""),"[R]")</f>
        <v>[R]</v>
      </c>
      <c r="N437" s="27" t="str">
        <f>IFERROR(__xludf.DUMMYFUNCTION("""COMPUTED_VALUE"""),"""Meru meru me...""")</f>
        <v>"Meru meru me..."</v>
      </c>
      <c r="O437" s="27"/>
      <c r="P437" s="27"/>
      <c r="Q437" s="27"/>
      <c r="R437" s="27"/>
      <c r="S437" s="27"/>
      <c r="T437" s="27"/>
      <c r="U437" s="27"/>
      <c r="V437" s="27"/>
      <c r="W437" s="27"/>
      <c r="X437" s="27"/>
      <c r="Y437" s="27"/>
      <c r="Z437" s="27"/>
    </row>
    <row r="438">
      <c r="A438" s="29" t="str">
        <f>IFERROR(__xludf.DUMMYFUNCTION("""COMPUTED_VALUE"""),"M-061")</f>
        <v>M-061</v>
      </c>
      <c r="B438" s="27" t="str">
        <f>IFERROR(__xludf.DUMMYFUNCTION("""COMPUTED_VALUE"""),"Mamodo")</f>
        <v>Mamodo</v>
      </c>
      <c r="C438" s="27" t="str">
        <f>IFERROR(__xludf.DUMMYFUNCTION("""COMPUTED_VALUE"""),"Zofis")</f>
        <v>Zofis</v>
      </c>
      <c r="D438" s="27" t="str">
        <f>IFERROR(__xludf.DUMMYFUNCTION("""COMPUTED_VALUE"""),"Zofis")</f>
        <v>Zofis</v>
      </c>
      <c r="E438" s="27" t="str">
        <f>IFERROR(__xludf.DUMMYFUNCTION("""COMPUTED_VALUE"""),"-")</f>
        <v>-</v>
      </c>
      <c r="F438" s="27" t="str">
        <f>IFERROR(__xludf.DUMMYFUNCTION("""COMPUTED_VALUE"""),"-")</f>
        <v>-</v>
      </c>
      <c r="G438" s="27" t="str">
        <f>IFERROR(__xludf.DUMMYFUNCTION("""COMPUTED_VALUE"""),"None")</f>
        <v>None</v>
      </c>
      <c r="H438" s="27" t="str">
        <f>IFERROR(__xludf.DUMMYFUNCTION("""COMPUTED_VALUE"""),"Mind Release")</f>
        <v>Mind Release</v>
      </c>
      <c r="I438" s="28" t="str">
        <f>IFERROR(__xludf.DUMMYFUNCTION("""COMPUTED_VALUE"""),"[SEND THIS CARD TO THE DISCARD PILE] [STANDBY] Both players send all of their in-play PARTNER cards to the Discard Pile at the END PHASE of this turn.")</f>
        <v>[SEND THIS CARD TO THE DISCARD PILE] [STANDBY] Both players send all of their in-play PARTNER cards to the Discard Pile at the END PHASE of this turn.</v>
      </c>
      <c r="J438" s="27">
        <f>IFERROR(__xludf.DUMMYFUNCTION("""COMPUTED_VALUE"""),5500.0)</f>
        <v>5500</v>
      </c>
      <c r="K438" s="27" t="str">
        <f>IFERROR(__xludf.DUMMYFUNCTION("""COMPUTED_VALUE"""),"-")</f>
        <v>-</v>
      </c>
      <c r="L438" s="27" t="str">
        <f>IFERROR(__xludf.DUMMYFUNCTION("""COMPUTED_VALUE"""),"Spell Book")</f>
        <v>Spell Book</v>
      </c>
      <c r="M438" s="27" t="str">
        <f>IFERROR(__xludf.DUMMYFUNCTION("""COMPUTED_VALUE"""),"[R]")</f>
        <v>[R]</v>
      </c>
      <c r="N438" s="27" t="str">
        <f>IFERROR(__xludf.DUMMYFUNCTION("""COMPUTED_VALUE"""),"""Now, it's time to enjoy becoming king.""")</f>
        <v>"Now, it's time to enjoy becoming king."</v>
      </c>
      <c r="O438" s="27"/>
      <c r="P438" s="27"/>
      <c r="Q438" s="27"/>
      <c r="R438" s="27"/>
      <c r="S438" s="27"/>
      <c r="T438" s="27"/>
      <c r="U438" s="27"/>
      <c r="V438" s="27"/>
      <c r="W438" s="27"/>
      <c r="X438" s="27"/>
      <c r="Y438" s="27"/>
      <c r="Z438" s="27"/>
    </row>
    <row r="439">
      <c r="A439" s="29" t="str">
        <f>IFERROR(__xludf.DUMMYFUNCTION("""COMPUTED_VALUE"""),"M-062")</f>
        <v>M-062</v>
      </c>
      <c r="B439" s="27" t="str">
        <f>IFERROR(__xludf.DUMMYFUNCTION("""COMPUTED_VALUE"""),"Mamodo")</f>
        <v>Mamodo</v>
      </c>
      <c r="C439" s="27" t="str">
        <f>IFERROR(__xludf.DUMMYFUNCTION("""COMPUTED_VALUE"""),"Zatch Bell")</f>
        <v>Zatch Bell</v>
      </c>
      <c r="D439" s="27" t="str">
        <f>IFERROR(__xludf.DUMMYFUNCTION("""COMPUTED_VALUE"""),"Zatch Bell")</f>
        <v>Zatch Bell</v>
      </c>
      <c r="E439" s="27" t="str">
        <f>IFERROR(__xludf.DUMMYFUNCTION("""COMPUTED_VALUE"""),"-")</f>
        <v>-</v>
      </c>
      <c r="F439" s="27" t="str">
        <f>IFERROR(__xludf.DUMMYFUNCTION("""COMPUTED_VALUE"""),"-")</f>
        <v>-</v>
      </c>
      <c r="G439" s="27" t="str">
        <f>IFERROR(__xludf.DUMMYFUNCTION("""COMPUTED_VALUE"""),"None")</f>
        <v>None</v>
      </c>
      <c r="H439" s="27" t="str">
        <f>IFERROR(__xludf.DUMMYFUNCTION("""COMPUTED_VALUE"""),"Encounter")</f>
        <v>Encounter</v>
      </c>
      <c r="I439" s="28" t="str">
        <f>IFERROR(__xludf.DUMMYFUNCTION("""COMPUTED_VALUE"""),"[2 MP] Apply 1 or both of the following effects in order during your BATTLE PHASE: ● Send 1 of your in-play MAMODO cards to the Discard Pile. ● Select 1 MAMODO card from any pages of your Spell Book and put it in play.")</f>
        <v>[2 MP] Apply 1 or both of the following effects in order during your BATTLE PHASE: ● Send 1 of your in-play MAMODO cards to the Discard Pile. ● Select 1 MAMODO card from any pages of your Spell Book and put it in play.</v>
      </c>
      <c r="J439" s="27">
        <f>IFERROR(__xludf.DUMMYFUNCTION("""COMPUTED_VALUE"""),4000.0)</f>
        <v>4000</v>
      </c>
      <c r="K439" s="27" t="str">
        <f>IFERROR(__xludf.DUMMYFUNCTION("""COMPUTED_VALUE"""),"-")</f>
        <v>-</v>
      </c>
      <c r="L439" s="27" t="str">
        <f>IFERROR(__xludf.DUMMYFUNCTION("""COMPUTED_VALUE"""),"Special Box, The Best Booster 1, Revised Edition")</f>
        <v>Special Box, The Best Booster 1, Revised Edition</v>
      </c>
      <c r="M439" s="27" t="str">
        <f>IFERROR(__xludf.DUMMYFUNCTION("""COMPUTED_VALUE"""),"[C]")</f>
        <v>[C]</v>
      </c>
      <c r="N439" s="27" t="str">
        <f>IFERROR(__xludf.DUMMYFUNCTION("""COMPUTED_VALUE"""),"Zatch wishes for a strong heart and body so that he can protect Kiyo in future battles.")</f>
        <v>Zatch wishes for a strong heart and body so that he can protect Kiyo in future battles.</v>
      </c>
      <c r="O439" s="27"/>
      <c r="P439" s="27"/>
      <c r="Q439" s="27"/>
      <c r="R439" s="27"/>
      <c r="S439" s="27"/>
      <c r="T439" s="27"/>
      <c r="U439" s="27"/>
      <c r="V439" s="27"/>
      <c r="W439" s="27"/>
      <c r="X439" s="27"/>
      <c r="Y439" s="27"/>
      <c r="Z439" s="27"/>
    </row>
    <row r="440">
      <c r="A440" s="29" t="str">
        <f>IFERROR(__xludf.DUMMYFUNCTION("""COMPUTED_VALUE"""),"M-063")</f>
        <v>M-063</v>
      </c>
      <c r="B440" s="27" t="str">
        <f>IFERROR(__xludf.DUMMYFUNCTION("""COMPUTED_VALUE"""),"Mamodo")</f>
        <v>Mamodo</v>
      </c>
      <c r="C440" s="27" t="str">
        <f>IFERROR(__xludf.DUMMYFUNCTION("""COMPUTED_VALUE"""),"Brago")</f>
        <v>Brago</v>
      </c>
      <c r="D440" s="27" t="str">
        <f>IFERROR(__xludf.DUMMYFUNCTION("""COMPUTED_VALUE"""),"Brago")</f>
        <v>Brago</v>
      </c>
      <c r="E440" s="27" t="str">
        <f>IFERROR(__xludf.DUMMYFUNCTION("""COMPUTED_VALUE"""),"-")</f>
        <v>-</v>
      </c>
      <c r="F440" s="27" t="str">
        <f>IFERROR(__xludf.DUMMYFUNCTION("""COMPUTED_VALUE"""),"-")</f>
        <v>-</v>
      </c>
      <c r="G440" s="27" t="str">
        <f>IFERROR(__xludf.DUMMYFUNCTION("""COMPUTED_VALUE"""),"None")</f>
        <v>None</v>
      </c>
      <c r="H440" s="27" t="str">
        <f>IFERROR(__xludf.DUMMYFUNCTION("""COMPUTED_VALUE"""),"Unemotional Victory")</f>
        <v>Unemotional Victory</v>
      </c>
      <c r="I440" s="28" t="str">
        <f>IFERROR(__xludf.DUMMYFUNCTION("""COMPUTED_VALUE"""),"[DECLARE TO USE] Turn 1 page of your opponent's Spell Book. This effect can be applied only when your opponent is on the last page of their Spell Book. (If your opponent cannot negate this card's effect or otherwise avoid turning the last page, you win th"&amp;"e game.)")</f>
        <v>[DECLARE TO USE] Turn 1 page of your opponent's Spell Book. This effect can be applied only when your opponent is on the last page of their Spell Book. (If your opponent cannot negate this card's effect or otherwise avoid turning the last page, you win the game.)</v>
      </c>
      <c r="J440" s="27">
        <f>IFERROR(__xludf.DUMMYFUNCTION("""COMPUTED_VALUE"""),5000.0)</f>
        <v>5000</v>
      </c>
      <c r="K440" s="27" t="str">
        <f>IFERROR(__xludf.DUMMYFUNCTION("""COMPUTED_VALUE"""),"-")</f>
        <v>-</v>
      </c>
      <c r="L440" s="27" t="str">
        <f>IFERROR(__xludf.DUMMYFUNCTION("""COMPUTED_VALUE"""),"The Gathering Storm, Series 3, Special Box, The Best Booster 1")</f>
        <v>The Gathering Storm, Series 3, Special Box, The Best Booster 1</v>
      </c>
      <c r="M440" s="27" t="str">
        <f>IFERROR(__xludf.DUMMYFUNCTION("""COMPUTED_VALUE"""),"[U]")</f>
        <v>[U]</v>
      </c>
      <c r="N440" s="27" t="str">
        <f>IFERROR(__xludf.DUMMYFUNCTION("""COMPUTED_VALUE"""),"“Let go of your weak thoughts! Don’t be so optimistic.”")</f>
        <v>“Let go of your weak thoughts! Don’t be so optimistic.”</v>
      </c>
      <c r="O440" s="27"/>
      <c r="P440" s="27"/>
      <c r="Q440" s="27"/>
      <c r="R440" s="27"/>
      <c r="S440" s="27"/>
      <c r="T440" s="27"/>
      <c r="U440" s="27"/>
      <c r="V440" s="27"/>
      <c r="W440" s="27"/>
      <c r="X440" s="27"/>
      <c r="Y440" s="27"/>
      <c r="Z440" s="27"/>
    </row>
    <row r="441">
      <c r="A441" s="29" t="str">
        <f>IFERROR(__xludf.DUMMYFUNCTION("""COMPUTED_VALUE"""),"M-064")</f>
        <v>M-064</v>
      </c>
      <c r="B441" s="27" t="str">
        <f>IFERROR(__xludf.DUMMYFUNCTION("""COMPUTED_VALUE"""),"Mamodo")</f>
        <v>Mamodo</v>
      </c>
      <c r="C441" s="27" t="str">
        <f>IFERROR(__xludf.DUMMYFUNCTION("""COMPUTED_VALUE"""),"Kolulu")</f>
        <v>Kolulu</v>
      </c>
      <c r="D441" s="27" t="str">
        <f>IFERROR(__xludf.DUMMYFUNCTION("""COMPUTED_VALUE"""),"Kolulu")</f>
        <v>Kolulu</v>
      </c>
      <c r="E441" s="27" t="str">
        <f>IFERROR(__xludf.DUMMYFUNCTION("""COMPUTED_VALUE"""),"-")</f>
        <v>-</v>
      </c>
      <c r="F441" s="27" t="str">
        <f>IFERROR(__xludf.DUMMYFUNCTION("""COMPUTED_VALUE"""),"-")</f>
        <v>-</v>
      </c>
      <c r="G441" s="27" t="str">
        <f>IFERROR(__xludf.DUMMYFUNCTION("""COMPUTED_VALUE"""),"None")</f>
        <v>None</v>
      </c>
      <c r="H441" s="27" t="str">
        <f>IFERROR(__xludf.DUMMYFUNCTION("""COMPUTED_VALUE"""),"Please")</f>
        <v>Please</v>
      </c>
      <c r="I441" s="28" t="str">
        <f>IFERROR(__xludf.DUMMYFUNCTION("""COMPUTED_VALUE"""),"[SEND THIS CARD TO THE DISCARD PILE] [STAY] Add 2000 Power to 1 of your MAMODO cards during this game. This effect can be applied only once per game (per player).")</f>
        <v>[SEND THIS CARD TO THE DISCARD PILE] [STAY] Add 2000 Power to 1 of your MAMODO cards during this game. This effect can be applied only once per game (per player).</v>
      </c>
      <c r="J441" s="27">
        <f>IFERROR(__xludf.DUMMYFUNCTION("""COMPUTED_VALUE"""),1000.0)</f>
        <v>1000</v>
      </c>
      <c r="K441" s="27" t="str">
        <f>IFERROR(__xludf.DUMMYFUNCTION("""COMPUTED_VALUE"""),"-")</f>
        <v>-</v>
      </c>
      <c r="L441" s="27" t="str">
        <f>IFERROR(__xludf.DUMMYFUNCTION("""COMPUTED_VALUE"""),"The Gathering Storm, Series 3, Special Box, The Best Booster 1")</f>
        <v>The Gathering Storm, Series 3, Special Box, The Best Booster 1</v>
      </c>
      <c r="M441" s="27" t="str">
        <f>IFERROR(__xludf.DUMMYFUNCTION("""COMPUTED_VALUE"""),"[U]")</f>
        <v>[U]</v>
      </c>
      <c r="N441" s="27" t="str">
        <f>IFERROR(__xludf.DUMMYFUNCTION("""COMPUTED_VALUE"""),"Kind Kolulu hates to fight, but turns into a fierce mamodo when her spell is read.")</f>
        <v>Kind Kolulu hates to fight, but turns into a fierce mamodo when her spell is read.</v>
      </c>
      <c r="O441" s="27"/>
      <c r="P441" s="27"/>
      <c r="Q441" s="27"/>
      <c r="R441" s="27"/>
      <c r="S441" s="27"/>
      <c r="T441" s="27"/>
      <c r="U441" s="27"/>
      <c r="V441" s="27"/>
      <c r="W441" s="27"/>
      <c r="X441" s="27"/>
      <c r="Y441" s="27"/>
      <c r="Z441" s="27"/>
    </row>
    <row r="442">
      <c r="A442" s="29" t="str">
        <f>IFERROR(__xludf.DUMMYFUNCTION("""COMPUTED_VALUE"""),"M-065")</f>
        <v>M-065</v>
      </c>
      <c r="B442" s="27" t="str">
        <f>IFERROR(__xludf.DUMMYFUNCTION("""COMPUTED_VALUE"""),"Mamodo")</f>
        <v>Mamodo</v>
      </c>
      <c r="C442" s="27" t="str">
        <f>IFERROR(__xludf.DUMMYFUNCTION("""COMPUTED_VALUE"""),"Kanchome")</f>
        <v>Kanchome</v>
      </c>
      <c r="D442" s="27" t="str">
        <f>IFERROR(__xludf.DUMMYFUNCTION("""COMPUTED_VALUE"""),"Kanchome")</f>
        <v>Kanchome</v>
      </c>
      <c r="E442" s="27" t="str">
        <f>IFERROR(__xludf.DUMMYFUNCTION("""COMPUTED_VALUE"""),"-")</f>
        <v>-</v>
      </c>
      <c r="F442" s="27" t="str">
        <f>IFERROR(__xludf.DUMMYFUNCTION("""COMPUTED_VALUE"""),"-")</f>
        <v>-</v>
      </c>
      <c r="G442" s="27" t="str">
        <f>IFERROR(__xludf.DUMMYFUNCTION("""COMPUTED_VALUE"""),"None")</f>
        <v>None</v>
      </c>
      <c r="H442" s="27" t="str">
        <f>IFERROR(__xludf.DUMMYFUNCTION("""COMPUTED_VALUE"""),"I Won't Give You Any")</f>
        <v>I Won't Give You Any</v>
      </c>
      <c r="I442" s="28" t="str">
        <f>IFERROR(__xludf.DUMMYFUNCTION("""COMPUTED_VALUE"""),"(Cut-In) [DECLARE TO USE] If your MP is about to be reduced by a card effect your opponent is about to apply, flip a coin; if it's heads, negate that effect. This effect can be applied as many times as you desire per turn.")</f>
        <v>(Cut-In) [DECLARE TO USE] If your MP is about to be reduced by a card effect your opponent is about to apply, flip a coin; if it's heads, negate that effect. This effect can be applied as many times as you desire per turn.</v>
      </c>
      <c r="J442" s="27">
        <f>IFERROR(__xludf.DUMMYFUNCTION("""COMPUTED_VALUE"""),1000.0)</f>
        <v>1000</v>
      </c>
      <c r="K442" s="27" t="str">
        <f>IFERROR(__xludf.DUMMYFUNCTION("""COMPUTED_VALUE"""),"-")</f>
        <v>-</v>
      </c>
      <c r="L442" s="27" t="str">
        <f>IFERROR(__xludf.DUMMYFUNCTION("""COMPUTED_VALUE"""),"The Gathering Storm, Series 3, Special Box, The Best Booster 1, Revised Edition")</f>
        <v>The Gathering Storm, Series 3, Special Box, The Best Booster 1, Revised Edition</v>
      </c>
      <c r="M442" s="27" t="str">
        <f>IFERROR(__xludf.DUMMYFUNCTION("""COMPUTED_VALUE"""),"[C]")</f>
        <v>[C]</v>
      </c>
      <c r="N442" s="27" t="str">
        <f>IFERROR(__xludf.DUMMYFUNCTION("""COMPUTED_VALUE"""),"""I can be your friend, you know...""")</f>
        <v>"I can be your friend, you know..."</v>
      </c>
      <c r="O442" s="27"/>
      <c r="P442" s="27"/>
      <c r="Q442" s="27"/>
      <c r="R442" s="27"/>
      <c r="S442" s="27"/>
      <c r="T442" s="27"/>
      <c r="U442" s="27"/>
      <c r="V442" s="27"/>
      <c r="W442" s="27"/>
      <c r="X442" s="27"/>
      <c r="Y442" s="27"/>
      <c r="Z442" s="27"/>
    </row>
    <row r="443">
      <c r="A443" s="29" t="str">
        <f>IFERROR(__xludf.DUMMYFUNCTION("""COMPUTED_VALUE"""),"M-066")</f>
        <v>M-066</v>
      </c>
      <c r="B443" s="27" t="str">
        <f>IFERROR(__xludf.DUMMYFUNCTION("""COMPUTED_VALUE"""),"Mamodo")</f>
        <v>Mamodo</v>
      </c>
      <c r="C443" s="27" t="str">
        <f>IFERROR(__xludf.DUMMYFUNCTION("""COMPUTED_VALUE"""),"Tia")</f>
        <v>Tia</v>
      </c>
      <c r="D443" s="27" t="str">
        <f>IFERROR(__xludf.DUMMYFUNCTION("""COMPUTED_VALUE"""),"Tia")</f>
        <v>Tia</v>
      </c>
      <c r="E443" s="27" t="str">
        <f>IFERROR(__xludf.DUMMYFUNCTION("""COMPUTED_VALUE"""),"-")</f>
        <v>-</v>
      </c>
      <c r="F443" s="27" t="str">
        <f>IFERROR(__xludf.DUMMYFUNCTION("""COMPUTED_VALUE"""),"-")</f>
        <v>-</v>
      </c>
      <c r="G443" s="27" t="str">
        <f>IFERROR(__xludf.DUMMYFUNCTION("""COMPUTED_VALUE"""),"None")</f>
        <v>None</v>
      </c>
      <c r="H443" s="27" t="str">
        <f>IFERROR(__xludf.DUMMYFUNCTION("""COMPUTED_VALUE"""),"I'll Protect Megumi")</f>
        <v>I'll Protect Megumi</v>
      </c>
      <c r="I443" s="28" t="str">
        <f>IFERROR(__xludf.DUMMYFUNCTION("""COMPUTED_VALUE"""),"[IN PLAY] The PARTNER card attached to this MAMODO card cannot be sent to the Discard Pile by your opponent's card effects.")</f>
        <v>[IN PLAY] The PARTNER card attached to this MAMODO card cannot be sent to the Discard Pile by your opponent's card effects.</v>
      </c>
      <c r="J443" s="27">
        <f>IFERROR(__xludf.DUMMYFUNCTION("""COMPUTED_VALUE"""),3000.0)</f>
        <v>3000</v>
      </c>
      <c r="K443" s="27" t="str">
        <f>IFERROR(__xludf.DUMMYFUNCTION("""COMPUTED_VALUE"""),"-")</f>
        <v>-</v>
      </c>
      <c r="L443" s="27" t="str">
        <f>IFERROR(__xludf.DUMMYFUNCTION("""COMPUTED_VALUE"""),"The Gathering Storm, Series 3, Special Box, The Best Booster 1, Revised Edition")</f>
        <v>The Gathering Storm, Series 3, Special Box, The Best Booster 1, Revised Edition</v>
      </c>
      <c r="M443" s="27" t="str">
        <f>IFERROR(__xludf.DUMMYFUNCTION("""COMPUTED_VALUE"""),"[U]")</f>
        <v>[U]</v>
      </c>
      <c r="N443" s="27" t="str">
        <f>IFERROR(__xludf.DUMMYFUNCTION("""COMPUTED_VALUE"""),"She is an unyielding and obstinate girl.")</f>
        <v>She is an unyielding and obstinate girl.</v>
      </c>
      <c r="O443" s="27"/>
      <c r="P443" s="27"/>
      <c r="Q443" s="27"/>
      <c r="R443" s="27"/>
      <c r="S443" s="27"/>
      <c r="T443" s="27"/>
      <c r="U443" s="27"/>
      <c r="V443" s="27"/>
      <c r="W443" s="27"/>
      <c r="X443" s="27"/>
      <c r="Y443" s="27"/>
      <c r="Z443" s="27"/>
    </row>
    <row r="444">
      <c r="A444" s="29" t="str">
        <f>IFERROR(__xludf.DUMMYFUNCTION("""COMPUTED_VALUE"""),"M-067")</f>
        <v>M-067</v>
      </c>
      <c r="B444" s="27" t="str">
        <f>IFERROR(__xludf.DUMMYFUNCTION("""COMPUTED_VALUE"""),"Mamodo")</f>
        <v>Mamodo</v>
      </c>
      <c r="C444" s="27" t="str">
        <f>IFERROR(__xludf.DUMMYFUNCTION("""COMPUTED_VALUE"""),"Ponygon")</f>
        <v>Ponygon</v>
      </c>
      <c r="D444" s="27" t="str">
        <f>IFERROR(__xludf.DUMMYFUNCTION("""COMPUTED_VALUE"""),"Ponygon")</f>
        <v>Ponygon</v>
      </c>
      <c r="E444" s="27" t="str">
        <f>IFERROR(__xludf.DUMMYFUNCTION("""COMPUTED_VALUE"""),"-")</f>
        <v>-</v>
      </c>
      <c r="F444" s="27" t="str">
        <f>IFERROR(__xludf.DUMMYFUNCTION("""COMPUTED_VALUE"""),"-")</f>
        <v>-</v>
      </c>
      <c r="G444" s="27" t="str">
        <f>IFERROR(__xludf.DUMMYFUNCTION("""COMPUTED_VALUE"""),"None")</f>
        <v>None</v>
      </c>
      <c r="H444" s="27" t="str">
        <f>IFERROR(__xludf.DUMMYFUNCTION("""COMPUTED_VALUE"""),"Carrying Presents")</f>
        <v>Carrying Presents</v>
      </c>
      <c r="I444" s="28" t="str">
        <f>IFERROR(__xludf.DUMMYFUNCTION("""COMPUTED_VALUE"""),"[SEND THIS CARD TO THE DISCARD PILE] [STANDBY] Get 4 MP at the START PHASE of your next turn. This effect can be applied only once per turn (per player).")</f>
        <v>[SEND THIS CARD TO THE DISCARD PILE] [STANDBY] Get 4 MP at the START PHASE of your next turn. This effect can be applied only once per turn (per player).</v>
      </c>
      <c r="J444" s="27">
        <f>IFERROR(__xludf.DUMMYFUNCTION("""COMPUTED_VALUE"""),1000.0)</f>
        <v>1000</v>
      </c>
      <c r="K444" s="27" t="str">
        <f>IFERROR(__xludf.DUMMYFUNCTION("""COMPUTED_VALUE"""),"-")</f>
        <v>-</v>
      </c>
      <c r="L444" s="27" t="str">
        <f>IFERROR(__xludf.DUMMYFUNCTION("""COMPUTED_VALUE"""),"Special Box, The Best Booster 2, File 1: Zatch Bell &amp; Ponygon")</f>
        <v>Special Box, The Best Booster 2, File 1: Zatch Bell &amp; Ponygon</v>
      </c>
      <c r="M444" s="27" t="str">
        <f>IFERROR(__xludf.DUMMYFUNCTION("""COMPUTED_VALUE"""),"[U]")</f>
        <v>[U]</v>
      </c>
      <c r="N444" s="27" t="str">
        <f>IFERROR(__xludf.DUMMYFUNCTION("""COMPUTED_VALUE"""),"Ponygon decides to fight in order to help his friends.")</f>
        <v>Ponygon decides to fight in order to help his friends.</v>
      </c>
      <c r="O444" s="27"/>
      <c r="P444" s="27"/>
      <c r="Q444" s="27"/>
      <c r="R444" s="27"/>
      <c r="S444" s="27"/>
      <c r="T444" s="27"/>
      <c r="U444" s="27"/>
      <c r="V444" s="27"/>
      <c r="W444" s="27"/>
      <c r="X444" s="27"/>
      <c r="Y444" s="27"/>
      <c r="Z444" s="27"/>
    </row>
    <row r="445">
      <c r="A445" s="29" t="str">
        <f>IFERROR(__xludf.DUMMYFUNCTION("""COMPUTED_VALUE"""),"M-068")</f>
        <v>M-068</v>
      </c>
      <c r="B445" s="27" t="str">
        <f>IFERROR(__xludf.DUMMYFUNCTION("""COMPUTED_VALUE"""),"Mamodo")</f>
        <v>Mamodo</v>
      </c>
      <c r="C445" s="27" t="str">
        <f>IFERROR(__xludf.DUMMYFUNCTION("""COMPUTED_VALUE"""),"Danny")</f>
        <v>Danny</v>
      </c>
      <c r="D445" s="27" t="str">
        <f>IFERROR(__xludf.DUMMYFUNCTION("""COMPUTED_VALUE"""),"Danny")</f>
        <v>Danny</v>
      </c>
      <c r="E445" s="27" t="str">
        <f>IFERROR(__xludf.DUMMYFUNCTION("""COMPUTED_VALUE"""),"-")</f>
        <v>-</v>
      </c>
      <c r="F445" s="27" t="str">
        <f>IFERROR(__xludf.DUMMYFUNCTION("""COMPUTED_VALUE"""),"-")</f>
        <v>-</v>
      </c>
      <c r="G445" s="27" t="str">
        <f>IFERROR(__xludf.DUMMYFUNCTION("""COMPUTED_VALUE"""),"None")</f>
        <v>None</v>
      </c>
      <c r="H445" s="27" t="str">
        <f>IFERROR(__xludf.DUMMYFUNCTION("""COMPUTED_VALUE"""),"Continuous Punch")</f>
        <v>Continuous Punch</v>
      </c>
      <c r="I445" s="28" t="str">
        <f>IFERROR(__xludf.DUMMYFUNCTION("""COMPUTED_VALUE"""),"(Attack) [1 MP] This card may Attack without using a SPELL card (Total Power=6000, Damage=1). The effect can be applied up to twice per turn (per player).")</f>
        <v>(Attack) [1 MP] This card may Attack without using a SPELL card (Total Power=6000, Damage=1). The effect can be applied up to twice per turn (per player).</v>
      </c>
      <c r="J445" s="27">
        <f>IFERROR(__xludf.DUMMYFUNCTION("""COMPUTED_VALUE"""),4000.0)</f>
        <v>4000</v>
      </c>
      <c r="K445" s="27" t="str">
        <f>IFERROR(__xludf.DUMMYFUNCTION("""COMPUTED_VALUE"""),"-")</f>
        <v>-</v>
      </c>
      <c r="L445" s="27" t="str">
        <f>IFERROR(__xludf.DUMMYFUNCTION("""COMPUTED_VALUE"""),"The Gathering Storm, Series 3, Special Box, The Best Booster 1, Revised Edition")</f>
        <v>The Gathering Storm, Series 3, Special Box, The Best Booster 1, Revised Edition</v>
      </c>
      <c r="M445" s="27" t="str">
        <f>IFERROR(__xludf.DUMMYFUNCTION("""COMPUTED_VALUE"""),"[R]")</f>
        <v>[R]</v>
      </c>
      <c r="N445" s="27" t="str">
        <f>IFERROR(__xludf.DUMMYFUNCTION("""COMPUTED_VALUE"""),"A mamodo who moves quickly and has outstanding strength.")</f>
        <v>A mamodo who moves quickly and has outstanding strength.</v>
      </c>
      <c r="O445" s="27"/>
      <c r="P445" s="27"/>
      <c r="Q445" s="27"/>
      <c r="R445" s="27"/>
      <c r="S445" s="27"/>
      <c r="T445" s="27"/>
      <c r="U445" s="27"/>
      <c r="V445" s="27"/>
      <c r="W445" s="27"/>
      <c r="X445" s="27"/>
      <c r="Y445" s="27"/>
      <c r="Z445" s="27"/>
    </row>
    <row r="446">
      <c r="A446" s="29" t="str">
        <f>IFERROR(__xludf.DUMMYFUNCTION("""COMPUTED_VALUE"""),"M-069e")</f>
        <v>M-069e</v>
      </c>
      <c r="B446" s="27" t="str">
        <f>IFERROR(__xludf.DUMMYFUNCTION("""COMPUTED_VALUE"""),"Mamodo")</f>
        <v>Mamodo</v>
      </c>
      <c r="C446" s="27" t="str">
        <f>IFERROR(__xludf.DUMMYFUNCTION("""COMPUTED_VALUE"""),"Wonrei")</f>
        <v>Wonrei</v>
      </c>
      <c r="D446" s="27" t="str">
        <f>IFERROR(__xludf.DUMMYFUNCTION("""COMPUTED_VALUE"""),"Wonrei")</f>
        <v>Wonrei</v>
      </c>
      <c r="E446" s="27" t="str">
        <f>IFERROR(__xludf.DUMMYFUNCTION("""COMPUTED_VALUE"""),"-")</f>
        <v>-</v>
      </c>
      <c r="F446" s="27" t="str">
        <f>IFERROR(__xludf.DUMMYFUNCTION("""COMPUTED_VALUE"""),"-")</f>
        <v>-</v>
      </c>
      <c r="G446" s="27" t="str">
        <f>IFERROR(__xludf.DUMMYFUNCTION("""COMPUTED_VALUE"""),"None")</f>
        <v>None</v>
      </c>
      <c r="H446" s="27" t="str">
        <f>IFERROR(__xludf.DUMMYFUNCTION("""COMPUTED_VALUE"""),"Kung Fu")</f>
        <v>Kung Fu</v>
      </c>
      <c r="I446" s="28" t="str">
        <f>IFERROR(__xludf.DUMMYFUNCTION("""COMPUTED_VALUE"""),"(Attack) [2 MP] This card may Attack without using a SPELL card (Total Power=6000, Damage=1).")</f>
        <v>(Attack) [2 MP] This card may Attack without using a SPELL card (Total Power=6000, Damage=1).</v>
      </c>
      <c r="J446" s="27">
        <f>IFERROR(__xludf.DUMMYFUNCTION("""COMPUTED_VALUE"""),4000.0)</f>
        <v>4000</v>
      </c>
      <c r="K446" s="27" t="str">
        <f>IFERROR(__xludf.DUMMYFUNCTION("""COMPUTED_VALUE"""),"-")</f>
        <v>-</v>
      </c>
      <c r="L446" s="27" t="str">
        <f>IFERROR(__xludf.DUMMYFUNCTION("""COMPUTED_VALUE"""),"The Gathering Storm, Series 3, Special Box, The Best Booster 1")</f>
        <v>The Gathering Storm, Series 3, Special Box, The Best Booster 1</v>
      </c>
      <c r="M446" s="27" t="str">
        <f>IFERROR(__xludf.DUMMYFUNCTION("""COMPUTED_VALUE"""),"[U]")</f>
        <v>[U]</v>
      </c>
      <c r="N446" s="27" t="str">
        <f>IFERROR(__xludf.DUMMYFUNCTION("""COMPUTED_VALUE"""),"“My goal is to become a king who will protect everybody.”")</f>
        <v>“My goal is to become a king who will protect everybody.”</v>
      </c>
      <c r="O446" s="27"/>
      <c r="P446" s="27"/>
      <c r="Q446" s="27"/>
      <c r="R446" s="27"/>
      <c r="S446" s="27"/>
      <c r="T446" s="27"/>
      <c r="U446" s="27"/>
      <c r="V446" s="27"/>
      <c r="W446" s="27"/>
      <c r="X446" s="27"/>
      <c r="Y446" s="27"/>
      <c r="Z446" s="27"/>
    </row>
    <row r="447">
      <c r="A447" s="29" t="str">
        <f>IFERROR(__xludf.DUMMYFUNCTION("""COMPUTED_VALUE"""),"M-069j")</f>
        <v>M-069j</v>
      </c>
      <c r="B447" s="27" t="str">
        <f>IFERROR(__xludf.DUMMYFUNCTION("""COMPUTED_VALUE"""),"Mamodo")</f>
        <v>Mamodo</v>
      </c>
      <c r="C447" s="27" t="str">
        <f>IFERROR(__xludf.DUMMYFUNCTION("""COMPUTED_VALUE"""),"Wonrei")</f>
        <v>Wonrei</v>
      </c>
      <c r="D447" s="27" t="str">
        <f>IFERROR(__xludf.DUMMYFUNCTION("""COMPUTED_VALUE"""),"Wonrei")</f>
        <v>Wonrei</v>
      </c>
      <c r="E447" s="27" t="str">
        <f>IFERROR(__xludf.DUMMYFUNCTION("""COMPUTED_VALUE"""),"-")</f>
        <v>-</v>
      </c>
      <c r="F447" s="27" t="str">
        <f>IFERROR(__xludf.DUMMYFUNCTION("""COMPUTED_VALUE"""),"-")</f>
        <v>-</v>
      </c>
      <c r="G447" s="27" t="str">
        <f>IFERROR(__xludf.DUMMYFUNCTION("""COMPUTED_VALUE"""),"None")</f>
        <v>None</v>
      </c>
      <c r="H447" s="27" t="str">
        <f>IFERROR(__xludf.DUMMYFUNCTION("""COMPUTED_VALUE"""),"Kung Fu")</f>
        <v>Kung Fu</v>
      </c>
      <c r="I447" s="28" t="str">
        <f>IFERROR(__xludf.DUMMYFUNCTION("""COMPUTED_VALUE"""),"(Attack) [2 MP] This card may Attack without using a SPELL card (Total Power=6000, Damage=2).")</f>
        <v>(Attack) [2 MP] This card may Attack without using a SPELL card (Total Power=6000, Damage=2).</v>
      </c>
      <c r="J447" s="27">
        <f>IFERROR(__xludf.DUMMYFUNCTION("""COMPUTED_VALUE"""),4000.0)</f>
        <v>4000</v>
      </c>
      <c r="K447" s="27" t="str">
        <f>IFERROR(__xludf.DUMMYFUNCTION("""COMPUTED_VALUE"""),"-")</f>
        <v>-</v>
      </c>
      <c r="L447" s="27" t="str">
        <f>IFERROR(__xludf.DUMMYFUNCTION("""COMPUTED_VALUE"""),"The Gathering Storm, Series 3, Special Box, The Best Booster 1")</f>
        <v>The Gathering Storm, Series 3, Special Box, The Best Booster 1</v>
      </c>
      <c r="M447" s="27" t="str">
        <f>IFERROR(__xludf.DUMMYFUNCTION("""COMPUTED_VALUE"""),"[U]")</f>
        <v>[U]</v>
      </c>
      <c r="N447" s="27" t="str">
        <f>IFERROR(__xludf.DUMMYFUNCTION("""COMPUTED_VALUE"""),"“My goal is to become a king who will protect everybody.”")</f>
        <v>“My goal is to become a king who will protect everybody.”</v>
      </c>
      <c r="O447" s="27"/>
      <c r="P447" s="27"/>
      <c r="Q447" s="27"/>
      <c r="R447" s="27"/>
      <c r="S447" s="27"/>
      <c r="T447" s="27"/>
      <c r="U447" s="27"/>
      <c r="V447" s="27"/>
      <c r="W447" s="27"/>
      <c r="X447" s="27"/>
      <c r="Y447" s="27"/>
      <c r="Z447" s="27"/>
    </row>
    <row r="448">
      <c r="A448" s="29" t="str">
        <f>IFERROR(__xludf.DUMMYFUNCTION("""COMPUTED_VALUE"""),"M-070")</f>
        <v>M-070</v>
      </c>
      <c r="B448" s="27" t="str">
        <f>IFERROR(__xludf.DUMMYFUNCTION("""COMPUTED_VALUE"""),"Mamodo")</f>
        <v>Mamodo</v>
      </c>
      <c r="C448" s="27" t="str">
        <f>IFERROR(__xludf.DUMMYFUNCTION("""COMPUTED_VALUE"""),"Zatch Bell")</f>
        <v>Zatch Bell</v>
      </c>
      <c r="D448" s="27" t="str">
        <f>IFERROR(__xludf.DUMMYFUNCTION("""COMPUTED_VALUE"""),"Zatch Bell")</f>
        <v>Zatch Bell</v>
      </c>
      <c r="E448" s="27" t="str">
        <f>IFERROR(__xludf.DUMMYFUNCTION("""COMPUTED_VALUE"""),"-")</f>
        <v>-</v>
      </c>
      <c r="F448" s="27" t="str">
        <f>IFERROR(__xludf.DUMMYFUNCTION("""COMPUTED_VALUE"""),"-")</f>
        <v>-</v>
      </c>
      <c r="G448" s="27" t="str">
        <f>IFERROR(__xludf.DUMMYFUNCTION("""COMPUTED_VALUE"""),"None")</f>
        <v>None</v>
      </c>
      <c r="H448" s="27" t="str">
        <f>IFERROR(__xludf.DUMMYFUNCTION("""COMPUTED_VALUE"""),"Iron Will")</f>
        <v>Iron Will</v>
      </c>
      <c r="I448" s="28" t="str">
        <f>IFERROR(__xludf.DUMMYFUNCTION("""COMPUTED_VALUE"""),"[DECLARE TO USE] [STANDBY] During the Battle when this MAMODO card Attacks this turn, your opponent cannot apply the effects of their MAMODO and PARTNER cards.")</f>
        <v>[DECLARE TO USE] [STANDBY] During the Battle when this MAMODO card Attacks this turn, your opponent cannot apply the effects of their MAMODO and PARTNER cards.</v>
      </c>
      <c r="J448" s="27">
        <f>IFERROR(__xludf.DUMMYFUNCTION("""COMPUTED_VALUE"""),4000.0)</f>
        <v>4000</v>
      </c>
      <c r="K448" s="27" t="str">
        <f>IFERROR(__xludf.DUMMYFUNCTION("""COMPUTED_VALUE"""),"-")</f>
        <v>-</v>
      </c>
      <c r="L448" s="27" t="str">
        <f>IFERROR(__xludf.DUMMYFUNCTION("""COMPUTED_VALUE"""),"Supreme Power of the Golden Spell, Series 2, Level 4, The Best Booster 1, Revised Edition")</f>
        <v>Supreme Power of the Golden Spell, Series 2, Level 4, The Best Booster 1, Revised Edition</v>
      </c>
      <c r="M448" s="27" t="str">
        <f>IFERROR(__xludf.DUMMYFUNCTION("""COMPUTED_VALUE"""),"[U]")</f>
        <v>[U]</v>
      </c>
      <c r="N448" s="27" t="str">
        <f>IFERROR(__xludf.DUMMYFUNCTION("""COMPUTED_VALUE"""),"""I won't let you win!""")</f>
        <v>"I won't let you win!"</v>
      </c>
      <c r="O448" s="27"/>
      <c r="P448" s="27"/>
      <c r="Q448" s="27"/>
      <c r="R448" s="27"/>
      <c r="S448" s="27"/>
      <c r="T448" s="27"/>
      <c r="U448" s="27"/>
      <c r="V448" s="27"/>
      <c r="W448" s="27"/>
      <c r="X448" s="27"/>
      <c r="Y448" s="27"/>
      <c r="Z448" s="27"/>
    </row>
    <row r="449">
      <c r="A449" s="29" t="str">
        <f>IFERROR(__xludf.DUMMYFUNCTION("""COMPUTED_VALUE"""),"M-071")</f>
        <v>M-071</v>
      </c>
      <c r="B449" s="27" t="str">
        <f>IFERROR(__xludf.DUMMYFUNCTION("""COMPUTED_VALUE"""),"Mamodo")</f>
        <v>Mamodo</v>
      </c>
      <c r="C449" s="27" t="str">
        <f>IFERROR(__xludf.DUMMYFUNCTION("""COMPUTED_VALUE"""),"Brago")</f>
        <v>Brago</v>
      </c>
      <c r="D449" s="27" t="str">
        <f>IFERROR(__xludf.DUMMYFUNCTION("""COMPUTED_VALUE"""),"Brago")</f>
        <v>Brago</v>
      </c>
      <c r="E449" s="27" t="str">
        <f>IFERROR(__xludf.DUMMYFUNCTION("""COMPUTED_VALUE"""),"-")</f>
        <v>-</v>
      </c>
      <c r="F449" s="27" t="str">
        <f>IFERROR(__xludf.DUMMYFUNCTION("""COMPUTED_VALUE"""),"-")</f>
        <v>-</v>
      </c>
      <c r="G449" s="27" t="str">
        <f>IFERROR(__xludf.DUMMYFUNCTION("""COMPUTED_VALUE"""),"None")</f>
        <v>None</v>
      </c>
      <c r="H449" s="27" t="str">
        <f>IFERROR(__xludf.DUMMYFUNCTION("""COMPUTED_VALUE"""),"Lofty Ideal")</f>
        <v>Lofty Ideal</v>
      </c>
      <c r="I449" s="28" t="str">
        <f>IFERROR(__xludf.DUMMYFUNCTION("""COMPUTED_VALUE"""),"[IN PLAY] Get 3 MP when this MAMODO card loses the Battle as an Attacker.")</f>
        <v>[IN PLAY] Get 3 MP when this MAMODO card loses the Battle as an Attacker.</v>
      </c>
      <c r="J449" s="27">
        <f>IFERROR(__xludf.DUMMYFUNCTION("""COMPUTED_VALUE"""),5000.0)</f>
        <v>5000</v>
      </c>
      <c r="K449" s="27" t="str">
        <f>IFERROR(__xludf.DUMMYFUNCTION("""COMPUTED_VALUE"""),"-")</f>
        <v>-</v>
      </c>
      <c r="L449" s="27" t="str">
        <f>IFERROR(__xludf.DUMMYFUNCTION("""COMPUTED_VALUE"""),"Supreme Power of the Golden Spell, Series 2, Level 4")</f>
        <v>Supreme Power of the Golden Spell, Series 2, Level 4</v>
      </c>
      <c r="M449" s="27" t="str">
        <f>IFERROR(__xludf.DUMMYFUNCTION("""COMPUTED_VALUE"""),"[U]")</f>
        <v>[U]</v>
      </c>
      <c r="N449" s="27" t="str">
        <f>IFERROR(__xludf.DUMMYFUNCTION("""COMPUTED_VALUE"""),"""Crying accomplishes nothing.""")</f>
        <v>"Crying accomplishes nothing."</v>
      </c>
      <c r="O449" s="27"/>
      <c r="P449" s="27"/>
      <c r="Q449" s="27"/>
      <c r="R449" s="27"/>
      <c r="S449" s="27"/>
      <c r="T449" s="27"/>
      <c r="U449" s="27"/>
      <c r="V449" s="27"/>
      <c r="W449" s="27"/>
      <c r="X449" s="27"/>
      <c r="Y449" s="27"/>
      <c r="Z449" s="27"/>
    </row>
    <row r="450">
      <c r="A450" s="29" t="str">
        <f>IFERROR(__xludf.DUMMYFUNCTION("""COMPUTED_VALUE"""),"M-072")</f>
        <v>M-072</v>
      </c>
      <c r="B450" s="27" t="str">
        <f>IFERROR(__xludf.DUMMYFUNCTION("""COMPUTED_VALUE"""),"Mamodo")</f>
        <v>Mamodo</v>
      </c>
      <c r="C450" s="27" t="str">
        <f>IFERROR(__xludf.DUMMYFUNCTION("""COMPUTED_VALUE"""),"Kanchome")</f>
        <v>Kanchome</v>
      </c>
      <c r="D450" s="27" t="str">
        <f>IFERROR(__xludf.DUMMYFUNCTION("""COMPUTED_VALUE"""),"Kanchome")</f>
        <v>Kanchome</v>
      </c>
      <c r="E450" s="27" t="str">
        <f>IFERROR(__xludf.DUMMYFUNCTION("""COMPUTED_VALUE"""),"-")</f>
        <v>-</v>
      </c>
      <c r="F450" s="27" t="str">
        <f>IFERROR(__xludf.DUMMYFUNCTION("""COMPUTED_VALUE"""),"-")</f>
        <v>-</v>
      </c>
      <c r="G450" s="27" t="str">
        <f>IFERROR(__xludf.DUMMYFUNCTION("""COMPUTED_VALUE"""),"None")</f>
        <v>None</v>
      </c>
      <c r="H450" s="27" t="str">
        <f>IFERROR(__xludf.DUMMYFUNCTION("""COMPUTED_VALUE"""),"I Love Candy!")</f>
        <v>I Love Candy!</v>
      </c>
      <c r="I450" s="28" t="str">
        <f>IFERROR(__xludf.DUMMYFUNCTION("""COMPUTED_VALUE"""),"[IN PLAY] Get 1 MP for each time you flip a coin.")</f>
        <v>[IN PLAY] Get 1 MP for each time you flip a coin.</v>
      </c>
      <c r="J450" s="27">
        <f>IFERROR(__xludf.DUMMYFUNCTION("""COMPUTED_VALUE"""),2000.0)</f>
        <v>2000</v>
      </c>
      <c r="K450" s="27" t="str">
        <f>IFERROR(__xludf.DUMMYFUNCTION("""COMPUTED_VALUE"""),"-")</f>
        <v>-</v>
      </c>
      <c r="L450" s="27" t="str">
        <f>IFERROR(__xludf.DUMMYFUNCTION("""COMPUTED_VALUE"""),"Supreme Power of the Golden Spell, Series 2, Level 4")</f>
        <v>Supreme Power of the Golden Spell, Series 2, Level 4</v>
      </c>
      <c r="M450" s="27" t="str">
        <f>IFERROR(__xludf.DUMMYFUNCTION("""COMPUTED_VALUE"""),"[C]")</f>
        <v>[C]</v>
      </c>
      <c r="N450" s="27" t="str">
        <f>IFERROR(__xludf.DUMMYFUNCTION("""COMPUTED_VALUE"""),"""Candy? I won't give you any!""")</f>
        <v>"Candy? I won't give you any!"</v>
      </c>
      <c r="O450" s="27"/>
      <c r="P450" s="27"/>
      <c r="Q450" s="27"/>
      <c r="R450" s="27"/>
      <c r="S450" s="27"/>
      <c r="T450" s="27"/>
      <c r="U450" s="27"/>
      <c r="V450" s="27"/>
      <c r="W450" s="27"/>
      <c r="X450" s="27"/>
      <c r="Y450" s="27"/>
      <c r="Z450" s="27"/>
    </row>
    <row r="451">
      <c r="A451" s="29" t="str">
        <f>IFERROR(__xludf.DUMMYFUNCTION("""COMPUTED_VALUE"""),"M-073")</f>
        <v>M-073</v>
      </c>
      <c r="B451" s="27" t="str">
        <f>IFERROR(__xludf.DUMMYFUNCTION("""COMPUTED_VALUE"""),"Mamodo")</f>
        <v>Mamodo</v>
      </c>
      <c r="C451" s="27" t="str">
        <f>IFERROR(__xludf.DUMMYFUNCTION("""COMPUTED_VALUE"""),"Tia")</f>
        <v>Tia</v>
      </c>
      <c r="D451" s="27" t="str">
        <f>IFERROR(__xludf.DUMMYFUNCTION("""COMPUTED_VALUE"""),"Tia")</f>
        <v>Tia</v>
      </c>
      <c r="E451" s="27" t="str">
        <f>IFERROR(__xludf.DUMMYFUNCTION("""COMPUTED_VALUE"""),"-")</f>
        <v>-</v>
      </c>
      <c r="F451" s="27" t="str">
        <f>IFERROR(__xludf.DUMMYFUNCTION("""COMPUTED_VALUE"""),"-")</f>
        <v>-</v>
      </c>
      <c r="G451" s="27" t="str">
        <f>IFERROR(__xludf.DUMMYFUNCTION("""COMPUTED_VALUE"""),"None")</f>
        <v>None</v>
      </c>
      <c r="H451" s="27" t="str">
        <f>IFERROR(__xludf.DUMMYFUNCTION("""COMPUTED_VALUE"""),"Gotta Hurry!")</f>
        <v>Gotta Hurry!</v>
      </c>
      <c r="I451" s="28" t="str">
        <f>IFERROR(__xludf.DUMMYFUNCTION("""COMPUTED_VALUE"""),"[DECLARE TO USE] [STANDBY] 1 SPELL card with Tia as its MAMODO name can be played from any page of your Spell Book (except the last page) for Defending during this turn. Then, send the SPELL card you played to the Discard Pile.")</f>
        <v>[DECLARE TO USE] [STANDBY] 1 SPELL card with Tia as its MAMODO name can be played from any page of your Spell Book (except the last page) for Defending during this turn. Then, send the SPELL card you played to the Discard Pile.</v>
      </c>
      <c r="J451" s="27">
        <f>IFERROR(__xludf.DUMMYFUNCTION("""COMPUTED_VALUE"""),3000.0)</f>
        <v>3000</v>
      </c>
      <c r="K451" s="27" t="str">
        <f>IFERROR(__xludf.DUMMYFUNCTION("""COMPUTED_VALUE"""),"-")</f>
        <v>-</v>
      </c>
      <c r="L451" s="27" t="str">
        <f>IFERROR(__xludf.DUMMYFUNCTION("""COMPUTED_VALUE"""),"Supreme Power of the Golden Spell, Series 2, Level 4")</f>
        <v>Supreme Power of the Golden Spell, Series 2, Level 4</v>
      </c>
      <c r="M451" s="27" t="str">
        <f>IFERROR(__xludf.DUMMYFUNCTION("""COMPUTED_VALUE"""),"[C]")</f>
        <v>[C]</v>
      </c>
      <c r="N451" s="27" t="str">
        <f>IFERROR(__xludf.DUMMYFUNCTION("""COMPUTED_VALUE"""),"""Megumi, hurry up! Everybody is in danger now.""")</f>
        <v>"Megumi, hurry up! Everybody is in danger now."</v>
      </c>
      <c r="O451" s="27"/>
      <c r="P451" s="27"/>
      <c r="Q451" s="27"/>
      <c r="R451" s="27"/>
      <c r="S451" s="27"/>
      <c r="T451" s="27"/>
      <c r="U451" s="27"/>
      <c r="V451" s="27"/>
      <c r="W451" s="27"/>
      <c r="X451" s="27"/>
      <c r="Y451" s="27"/>
      <c r="Z451" s="27"/>
    </row>
    <row r="452">
      <c r="A452" s="29" t="str">
        <f>IFERROR(__xludf.DUMMYFUNCTION("""COMPUTED_VALUE"""),"M-074")</f>
        <v>M-074</v>
      </c>
      <c r="B452" s="27" t="str">
        <f>IFERROR(__xludf.DUMMYFUNCTION("""COMPUTED_VALUE"""),"Mamodo")</f>
        <v>Mamodo</v>
      </c>
      <c r="C452" s="27" t="str">
        <f>IFERROR(__xludf.DUMMYFUNCTION("""COMPUTED_VALUE"""),"Ponygon (Go Shudoruk Form)")</f>
        <v>Ponygon (Go Shudoruk Form)</v>
      </c>
      <c r="D452" s="27" t="str">
        <f>IFERROR(__xludf.DUMMYFUNCTION("""COMPUTED_VALUE"""),"Ponygon")</f>
        <v>Ponygon</v>
      </c>
      <c r="E452" s="27" t="str">
        <f>IFERROR(__xludf.DUMMYFUNCTION("""COMPUTED_VALUE"""),"-")</f>
        <v>-</v>
      </c>
      <c r="F452" s="27" t="str">
        <f>IFERROR(__xludf.DUMMYFUNCTION("""COMPUTED_VALUE"""),"-")</f>
        <v>-</v>
      </c>
      <c r="G452" s="27" t="str">
        <f>IFERROR(__xludf.DUMMYFUNCTION("""COMPUTED_VALUE"""),"None")</f>
        <v>None</v>
      </c>
      <c r="H452" s="27" t="str">
        <f>IFERROR(__xludf.DUMMYFUNCTION("""COMPUTED_VALUE"""),"Evade")</f>
        <v>Evade</v>
      </c>
      <c r="I452" s="28" t="str">
        <f>IFERROR(__xludf.DUMMYFUNCTION("""COMPUTED_VALUE"""),"This card is placed on a regular Ponygon MAMODO card when a Go Shudoruk SPELL card is played for the Ponygon MAMODO card. You can send this card to the Discard Pile at any time (the regular Ponygon card remains in play). [IN PLAY] The PARTNER card attache"&amp;"d to this MAMODO card cannot be sent to the Discard Pile by your opponent's card effects.")</f>
        <v>This card is placed on a regular Ponygon MAMODO card when a Go Shudoruk SPELL card is played for the Ponygon MAMODO card. You can send this card to the Discard Pile at any time (the regular Ponygon card remains in play). [IN PLAY] The PARTNER card attached to this MAMODO card cannot be sent to the Discard Pile by your opponent's card effects.</v>
      </c>
      <c r="J452" s="27">
        <f>IFERROR(__xludf.DUMMYFUNCTION("""COMPUTED_VALUE"""),5500.0)</f>
        <v>5500</v>
      </c>
      <c r="K452" s="27" t="str">
        <f>IFERROR(__xludf.DUMMYFUNCTION("""COMPUTED_VALUE"""),"-")</f>
        <v>-</v>
      </c>
      <c r="L452" s="27" t="str">
        <f>IFERROR(__xludf.DUMMYFUNCTION("""COMPUTED_VALUE"""),"Dawn of the Ancients, Series 4, Level 4, The Best Booster 1")</f>
        <v>Dawn of the Ancients, Series 4, Level 4, The Best Booster 1</v>
      </c>
      <c r="M452" s="27" t="str">
        <f>IFERROR(__xludf.DUMMYFUNCTION("""COMPUTED_VALUE"""),"[SR]")</f>
        <v>[SR]</v>
      </c>
      <c r="N452" s="27" t="str">
        <f>IFERROR(__xludf.DUMMYFUNCTION("""COMPUTED_VALUE"""),"Their partnership grew stronger and made Shudoruk evolve.")</f>
        <v>Their partnership grew stronger and made Shudoruk evolve.</v>
      </c>
      <c r="O452" s="27"/>
      <c r="P452" s="27"/>
      <c r="Q452" s="27"/>
      <c r="R452" s="27"/>
      <c r="S452" s="27"/>
      <c r="T452" s="27"/>
      <c r="U452" s="27"/>
      <c r="V452" s="27"/>
      <c r="W452" s="27"/>
      <c r="X452" s="27"/>
      <c r="Y452" s="27"/>
      <c r="Z452" s="27"/>
    </row>
    <row r="453">
      <c r="A453" s="29" t="str">
        <f>IFERROR(__xludf.DUMMYFUNCTION("""COMPUTED_VALUE"""),"M-075")</f>
        <v>M-075</v>
      </c>
      <c r="B453" s="27" t="str">
        <f>IFERROR(__xludf.DUMMYFUNCTION("""COMPUTED_VALUE"""),"Mamodo")</f>
        <v>Mamodo</v>
      </c>
      <c r="C453" s="27" t="str">
        <f>IFERROR(__xludf.DUMMYFUNCTION("""COMPUTED_VALUE"""),"Eshros")</f>
        <v>Eshros</v>
      </c>
      <c r="D453" s="27" t="str">
        <f>IFERROR(__xludf.DUMMYFUNCTION("""COMPUTED_VALUE"""),"Eshros")</f>
        <v>Eshros</v>
      </c>
      <c r="E453" s="27" t="str">
        <f>IFERROR(__xludf.DUMMYFUNCTION("""COMPUTED_VALUE"""),"-")</f>
        <v>-</v>
      </c>
      <c r="F453" s="27" t="str">
        <f>IFERROR(__xludf.DUMMYFUNCTION("""COMPUTED_VALUE"""),"-")</f>
        <v>-</v>
      </c>
      <c r="G453" s="27" t="str">
        <f>IFERROR(__xludf.DUMMYFUNCTION("""COMPUTED_VALUE"""),"None")</f>
        <v>None</v>
      </c>
      <c r="H453" s="27" t="str">
        <f>IFERROR(__xludf.DUMMYFUNCTION("""COMPUTED_VALUE"""),"Hidden True Character")</f>
        <v>Hidden True Character</v>
      </c>
      <c r="I453" s="28" t="str">
        <f>IFERROR(__xludf.DUMMYFUNCTION("""COMPUTED_VALUE"""),"[IN PLAY] Your opponent cannot target MAMODO cards with their effects that select a card to target. ● When a SPELL card is played for this MAMODO card, this effect cannot be applied during the next turn. This effect is [STANDBY] during this turn, and [STA"&amp;"Y] during the next turn.")</f>
        <v>[IN PLAY] Your opponent cannot target MAMODO cards with their effects that select a card to target. ● When a SPELL card is played for this MAMODO card, this effect cannot be applied during the next turn. This effect is [STANDBY] during this turn, and [STAY] during the next turn.</v>
      </c>
      <c r="J453" s="27">
        <f>IFERROR(__xludf.DUMMYFUNCTION("""COMPUTED_VALUE"""),3000.0)</f>
        <v>3000</v>
      </c>
      <c r="K453" s="27" t="str">
        <f>IFERROR(__xludf.DUMMYFUNCTION("""COMPUTED_VALUE"""),"-")</f>
        <v>-</v>
      </c>
      <c r="L453" s="27" t="str">
        <f>IFERROR(__xludf.DUMMYFUNCTION("""COMPUTED_VALUE"""),"Supreme Power of the Golden Spell, Series 2, Level 4, The Best Booster 1")</f>
        <v>Supreme Power of the Golden Spell, Series 2, Level 4, The Best Booster 1</v>
      </c>
      <c r="M453" s="27" t="str">
        <f>IFERROR(__xludf.DUMMYFUNCTION("""COMPUTED_VALUE"""),"[C]")</f>
        <v>[C]</v>
      </c>
      <c r="N453" s="27" t="str">
        <f>IFERROR(__xludf.DUMMYFUNCTION("""COMPUTED_VALUE"""),"""Let's destroy this city.""")</f>
        <v>"Let's destroy this city."</v>
      </c>
      <c r="O453" s="27"/>
      <c r="P453" s="27"/>
      <c r="Q453" s="27"/>
      <c r="R453" s="27"/>
      <c r="S453" s="27"/>
      <c r="T453" s="27"/>
      <c r="U453" s="27"/>
      <c r="V453" s="27"/>
      <c r="W453" s="27"/>
      <c r="X453" s="27"/>
      <c r="Y453" s="27"/>
      <c r="Z453" s="27"/>
    </row>
    <row r="454">
      <c r="A454" s="29" t="str">
        <f>IFERROR(__xludf.DUMMYFUNCTION("""COMPUTED_VALUE"""),"M-076")</f>
        <v>M-076</v>
      </c>
      <c r="B454" s="27" t="str">
        <f>IFERROR(__xludf.DUMMYFUNCTION("""COMPUTED_VALUE"""),"Mamodo")</f>
        <v>Mamodo</v>
      </c>
      <c r="C454" s="27" t="str">
        <f>IFERROR(__xludf.DUMMYFUNCTION("""COMPUTED_VALUE"""),"Baransha")</f>
        <v>Baransha</v>
      </c>
      <c r="D454" s="27" t="str">
        <f>IFERROR(__xludf.DUMMYFUNCTION("""COMPUTED_VALUE"""),"Baransha")</f>
        <v>Baransha</v>
      </c>
      <c r="E454" s="27" t="str">
        <f>IFERROR(__xludf.DUMMYFUNCTION("""COMPUTED_VALUE"""),"-")</f>
        <v>-</v>
      </c>
      <c r="F454" s="27" t="str">
        <f>IFERROR(__xludf.DUMMYFUNCTION("""COMPUTED_VALUE"""),"-")</f>
        <v>-</v>
      </c>
      <c r="G454" s="27" t="str">
        <f>IFERROR(__xludf.DUMMYFUNCTION("""COMPUTED_VALUE"""),"None")</f>
        <v>None</v>
      </c>
      <c r="H454" s="27" t="str">
        <f>IFERROR(__xludf.DUMMYFUNCTION("""COMPUTED_VALUE"""),"Hunter")</f>
        <v>Hunter</v>
      </c>
      <c r="I454" s="28" t="str">
        <f>IFERROR(__xludf.DUMMYFUNCTION("""COMPUTED_VALUE"""),"[IN PLAY] Your opponent cannot get more than 2 MP during their START PHASE.")</f>
        <v>[IN PLAY] Your opponent cannot get more than 2 MP during their START PHASE.</v>
      </c>
      <c r="J454" s="27">
        <f>IFERROR(__xludf.DUMMYFUNCTION("""COMPUTED_VALUE"""),3500.0)</f>
        <v>3500</v>
      </c>
      <c r="K454" s="27" t="str">
        <f>IFERROR(__xludf.DUMMYFUNCTION("""COMPUTED_VALUE"""),"-")</f>
        <v>-</v>
      </c>
      <c r="L454" s="27" t="str">
        <f>IFERROR(__xludf.DUMMYFUNCTION("""COMPUTED_VALUE"""),"Supreme Power of the Golden Spell, Series 2, Level 4, The Best Booster 1")</f>
        <v>Supreme Power of the Golden Spell, Series 2, Level 4, The Best Booster 1</v>
      </c>
      <c r="M454" s="27" t="str">
        <f>IFERROR(__xludf.DUMMYFUNCTION("""COMPUTED_VALUE"""),"[C]")</f>
        <v>[C]</v>
      </c>
      <c r="N454" s="27" t="str">
        <f>IFERROR(__xludf.DUMMYFUNCTION("""COMPUTED_VALUE"""),"A mamodo who enjoys hunting and fights with quick movements.")</f>
        <v>A mamodo who enjoys hunting and fights with quick movements.</v>
      </c>
      <c r="O454" s="27"/>
      <c r="P454" s="27"/>
      <c r="Q454" s="27"/>
      <c r="R454" s="27"/>
      <c r="S454" s="27"/>
      <c r="T454" s="27"/>
      <c r="U454" s="27"/>
      <c r="V454" s="27"/>
      <c r="W454" s="27"/>
      <c r="X454" s="27"/>
      <c r="Y454" s="27"/>
      <c r="Z454" s="27"/>
    </row>
    <row r="455">
      <c r="A455" s="29" t="str">
        <f>IFERROR(__xludf.DUMMYFUNCTION("""COMPUTED_VALUE"""),"M-077")</f>
        <v>M-077</v>
      </c>
      <c r="B455" s="27" t="str">
        <f>IFERROR(__xludf.DUMMYFUNCTION("""COMPUTED_VALUE"""),"Mamodo")</f>
        <v>Mamodo</v>
      </c>
      <c r="C455" s="27" t="str">
        <f>IFERROR(__xludf.DUMMYFUNCTION("""COMPUTED_VALUE"""),"Donpoccho")</f>
        <v>Donpoccho</v>
      </c>
      <c r="D455" s="27" t="str">
        <f>IFERROR(__xludf.DUMMYFUNCTION("""COMPUTED_VALUE"""),"Donpoccho")</f>
        <v>Donpoccho</v>
      </c>
      <c r="E455" s="27" t="str">
        <f>IFERROR(__xludf.DUMMYFUNCTION("""COMPUTED_VALUE"""),"-")</f>
        <v>-</v>
      </c>
      <c r="F455" s="27" t="str">
        <f>IFERROR(__xludf.DUMMYFUNCTION("""COMPUTED_VALUE"""),"-")</f>
        <v>-</v>
      </c>
      <c r="G455" s="27" t="str">
        <f>IFERROR(__xludf.DUMMYFUNCTION("""COMPUTED_VALUE"""),"None")</f>
        <v>None</v>
      </c>
      <c r="H455" s="27" t="str">
        <f>IFERROR(__xludf.DUMMYFUNCTION("""COMPUTED_VALUE"""),"Pleading for Life")</f>
        <v>Pleading for Life</v>
      </c>
      <c r="I455" s="28" t="str">
        <f>IFERROR(__xludf.DUMMYFUNCTION("""COMPUTED_VALUE"""),"[DECLARE TO USE] End this BATTLE PHASE (only a cut-in effect can be applied on this effect). Effects are resolved at the END PHASE of this turn, but neither player turns 1 page to get 2 MP. This effect can be applied only once per game (per player).")</f>
        <v>[DECLARE TO USE] End this BATTLE PHASE (only a cut-in effect can be applied on this effect). Effects are resolved at the END PHASE of this turn, but neither player turns 1 page to get 2 MP. This effect can be applied only once per game (per player).</v>
      </c>
      <c r="J455" s="27">
        <f>IFERROR(__xludf.DUMMYFUNCTION("""COMPUTED_VALUE"""),1000.0)</f>
        <v>1000</v>
      </c>
      <c r="K455" s="27" t="str">
        <f>IFERROR(__xludf.DUMMYFUNCTION("""COMPUTED_VALUE"""),"-")</f>
        <v>-</v>
      </c>
      <c r="L455" s="27" t="str">
        <f>IFERROR(__xludf.DUMMYFUNCTION("""COMPUTED_VALUE"""),"The Gathering Storm, Series 3, Level 4, The Best Booster 1, Revised Edition")</f>
        <v>The Gathering Storm, Series 3, Level 4, The Best Booster 1, Revised Edition</v>
      </c>
      <c r="M455" s="27" t="str">
        <f>IFERROR(__xludf.DUMMYFUNCTION("""COMPUTED_VALUE"""),"[R]")</f>
        <v>[R]</v>
      </c>
      <c r="N455" s="27" t="str">
        <f>IFERROR(__xludf.DUMMYFUNCTION("""COMPUTED_VALUE"""),"Defeated by Bari quickly, he used his spell only once.")</f>
        <v>Defeated by Bari quickly, he used his spell only once.</v>
      </c>
      <c r="O455" s="27"/>
      <c r="P455" s="27"/>
      <c r="Q455" s="27"/>
      <c r="R455" s="27"/>
      <c r="S455" s="27"/>
      <c r="T455" s="27"/>
      <c r="U455" s="27"/>
      <c r="V455" s="27"/>
      <c r="W455" s="27"/>
      <c r="X455" s="27"/>
      <c r="Y455" s="27"/>
      <c r="Z455" s="27"/>
    </row>
    <row r="456">
      <c r="A456" s="29" t="str">
        <f>IFERROR(__xludf.DUMMYFUNCTION("""COMPUTED_VALUE"""),"M-078")</f>
        <v>M-078</v>
      </c>
      <c r="B456" s="27" t="str">
        <f>IFERROR(__xludf.DUMMYFUNCTION("""COMPUTED_VALUE"""),"Mamodo")</f>
        <v>Mamodo</v>
      </c>
      <c r="C456" s="27" t="str">
        <f>IFERROR(__xludf.DUMMYFUNCTION("""COMPUTED_VALUE"""),"Kido")</f>
        <v>Kido</v>
      </c>
      <c r="D456" s="27" t="str">
        <f>IFERROR(__xludf.DUMMYFUNCTION("""COMPUTED_VALUE"""),"Kido")</f>
        <v>Kido</v>
      </c>
      <c r="E456" s="27" t="str">
        <f>IFERROR(__xludf.DUMMYFUNCTION("""COMPUTED_VALUE"""),"-")</f>
        <v>-</v>
      </c>
      <c r="F456" s="27" t="str">
        <f>IFERROR(__xludf.DUMMYFUNCTION("""COMPUTED_VALUE"""),"-")</f>
        <v>-</v>
      </c>
      <c r="G456" s="27" t="str">
        <f>IFERROR(__xludf.DUMMYFUNCTION("""COMPUTED_VALUE"""),"None")</f>
        <v>None</v>
      </c>
      <c r="H456" s="27" t="str">
        <f>IFERROR(__xludf.DUMMYFUNCTION("""COMPUTED_VALUE"""),"Cool! Doctor!")</f>
        <v>Cool! Doctor!</v>
      </c>
      <c r="I456" s="28" t="str">
        <f>IFERROR(__xludf.DUMMYFUNCTION("""COMPUTED_VALUE"""),"[IN PLAY] The PARTNER card attached to this MAMODO card cannot be sent to the Discard Pile by your opponent's card effects.")</f>
        <v>[IN PLAY] The PARTNER card attached to this MAMODO card cannot be sent to the Discard Pile by your opponent's card effects.</v>
      </c>
      <c r="J456" s="27">
        <f>IFERROR(__xludf.DUMMYFUNCTION("""COMPUTED_VALUE"""),4000.0)</f>
        <v>4000</v>
      </c>
      <c r="K456" s="27" t="str">
        <f>IFERROR(__xludf.DUMMYFUNCTION("""COMPUTED_VALUE"""),"-")</f>
        <v>-</v>
      </c>
      <c r="L456" s="27" t="str">
        <f>IFERROR(__xludf.DUMMYFUNCTION("""COMPUTED_VALUE"""),"The Gathering Storm, Series 3, Level 4, The Best Booster 1")</f>
        <v>The Gathering Storm, Series 3, Level 4, The Best Booster 1</v>
      </c>
      <c r="M456" s="27" t="str">
        <f>IFERROR(__xludf.DUMMYFUNCTION("""COMPUTED_VALUE"""),"[SR]")</f>
        <v>[SR]</v>
      </c>
      <c r="N456" s="27" t="str">
        <f>IFERROR(__xludf.DUMMYFUNCTION("""COMPUTED_VALUE"""),"""Awesome, Doctor! It's a perfect strategy!""")</f>
        <v>"Awesome, Doctor! It's a perfect strategy!"</v>
      </c>
      <c r="O456" s="27"/>
      <c r="P456" s="27"/>
      <c r="Q456" s="27"/>
      <c r="R456" s="27"/>
      <c r="S456" s="27"/>
      <c r="T456" s="27"/>
      <c r="U456" s="27"/>
      <c r="V456" s="27"/>
      <c r="W456" s="27"/>
      <c r="X456" s="27"/>
      <c r="Y456" s="27"/>
      <c r="Z456" s="27"/>
    </row>
    <row r="457">
      <c r="A457" s="29" t="str">
        <f>IFERROR(__xludf.DUMMYFUNCTION("""COMPUTED_VALUE"""),"M-079")</f>
        <v>M-079</v>
      </c>
      <c r="B457" s="27" t="str">
        <f>IFERROR(__xludf.DUMMYFUNCTION("""COMPUTED_VALUE"""),"Mamodo")</f>
        <v>Mamodo</v>
      </c>
      <c r="C457" s="27" t="str">
        <f>IFERROR(__xludf.DUMMYFUNCTION("""COMPUTED_VALUE"""),"Penny")</f>
        <v>Penny</v>
      </c>
      <c r="D457" s="27" t="str">
        <f>IFERROR(__xludf.DUMMYFUNCTION("""COMPUTED_VALUE"""),"Penny")</f>
        <v>Penny</v>
      </c>
      <c r="E457" s="27" t="str">
        <f>IFERROR(__xludf.DUMMYFUNCTION("""COMPUTED_VALUE"""),"-")</f>
        <v>-</v>
      </c>
      <c r="F457" s="27" t="str">
        <f>IFERROR(__xludf.DUMMYFUNCTION("""COMPUTED_VALUE"""),"-")</f>
        <v>-</v>
      </c>
      <c r="G457" s="27" t="str">
        <f>IFERROR(__xludf.DUMMYFUNCTION("""COMPUTED_VALUE"""),"None")</f>
        <v>None</v>
      </c>
      <c r="H457" s="27" t="str">
        <f>IFERROR(__xludf.DUMMYFUNCTION("""COMPUTED_VALUE"""),"A Maiden's Love")</f>
        <v>A Maiden's Love</v>
      </c>
      <c r="I457" s="28" t="str">
        <f>IFERROR(__xludf.DUMMYFUNCTION("""COMPUTED_VALUE"""),"[IN PLAY] Your opponent cannot look at the pages of your Spell Book, and your opponent cannot apply effects that involve looking at the pages of your Spell Book (such as looking at the pages to send a card to the Discard Pile).")</f>
        <v>[IN PLAY] Your opponent cannot look at the pages of your Spell Book, and your opponent cannot apply effects that involve looking at the pages of your Spell Book (such as looking at the pages to send a card to the Discard Pile).</v>
      </c>
      <c r="J457" s="27">
        <f>IFERROR(__xludf.DUMMYFUNCTION("""COMPUTED_VALUE"""),4000.0)</f>
        <v>4000</v>
      </c>
      <c r="K457" s="27" t="str">
        <f>IFERROR(__xludf.DUMMYFUNCTION("""COMPUTED_VALUE"""),"-")</f>
        <v>-</v>
      </c>
      <c r="L457" s="27" t="str">
        <f>IFERROR(__xludf.DUMMYFUNCTION("""COMPUTED_VALUE"""),"The Gathering Storm, Series 3, Level 4")</f>
        <v>The Gathering Storm, Series 3, Level 4</v>
      </c>
      <c r="M457" s="27" t="str">
        <f>IFERROR(__xludf.DUMMYFUNCTION("""COMPUTED_VALUE"""),"[C]")</f>
        <v>[C]</v>
      </c>
      <c r="N457" s="27" t="str">
        <f>IFERROR(__xludf.DUMMYFUNCTION("""COMPUTED_VALUE"""),"""My sweet darling Zatch will be mine!""")</f>
        <v>"My sweet darling Zatch will be mine!"</v>
      </c>
      <c r="O457" s="27"/>
      <c r="P457" s="27"/>
      <c r="Q457" s="27"/>
      <c r="R457" s="27"/>
      <c r="S457" s="27"/>
      <c r="T457" s="27"/>
      <c r="U457" s="27"/>
      <c r="V457" s="27"/>
      <c r="W457" s="27"/>
      <c r="X457" s="27"/>
      <c r="Y457" s="27"/>
      <c r="Z457" s="27"/>
    </row>
    <row r="458">
      <c r="A458" s="29" t="str">
        <f>IFERROR(__xludf.DUMMYFUNCTION("""COMPUTED_VALUE"""),"M-080")</f>
        <v>M-080</v>
      </c>
      <c r="B458" s="27" t="str">
        <f>IFERROR(__xludf.DUMMYFUNCTION("""COMPUTED_VALUE"""),"Mamodo")</f>
        <v>Mamodo</v>
      </c>
      <c r="C458" s="27" t="str">
        <f>IFERROR(__xludf.DUMMYFUNCTION("""COMPUTED_VALUE"""),"Byonko")</f>
        <v>Byonko</v>
      </c>
      <c r="D458" s="27" t="str">
        <f>IFERROR(__xludf.DUMMYFUNCTION("""COMPUTED_VALUE"""),"Byonko")</f>
        <v>Byonko</v>
      </c>
      <c r="E458" s="27" t="str">
        <f>IFERROR(__xludf.DUMMYFUNCTION("""COMPUTED_VALUE"""),"-")</f>
        <v>-</v>
      </c>
      <c r="F458" s="27" t="str">
        <f>IFERROR(__xludf.DUMMYFUNCTION("""COMPUTED_VALUE"""),"-")</f>
        <v>-</v>
      </c>
      <c r="G458" s="27" t="str">
        <f>IFERROR(__xludf.DUMMYFUNCTION("""COMPUTED_VALUE"""),"None")</f>
        <v>None</v>
      </c>
      <c r="H458" s="27" t="str">
        <f>IFERROR(__xludf.DUMMYFUNCTION("""COMPUTED_VALUE"""),"An Intrusion/Battle Intrusion")</f>
        <v>An Intrusion/Battle Intrusion</v>
      </c>
      <c r="I458" s="28" t="str">
        <f>IFERROR(__xludf.DUMMYFUNCTION("""COMPUTED_VALUE"""),"[SEND THIS CARD TO THE DISCARD PILE] (Cut-In) Negate 1 EVENT card your opponent just played during your BATTLE PHASE. [SEND THIS CARD TO THE DISCARD PILE] (Battle) Negate 1 of your opponent's Attacks in the Battle.")</f>
        <v>[SEND THIS CARD TO THE DISCARD PILE] (Cut-In) Negate 1 EVENT card your opponent just played during your BATTLE PHASE. [SEND THIS CARD TO THE DISCARD PILE] (Battle) Negate 1 of your opponent's Attacks in the Battle.</v>
      </c>
      <c r="J458" s="27">
        <f>IFERROR(__xludf.DUMMYFUNCTION("""COMPUTED_VALUE"""),3000.0)</f>
        <v>3000</v>
      </c>
      <c r="K458" s="27" t="str">
        <f>IFERROR(__xludf.DUMMYFUNCTION("""COMPUTED_VALUE"""),"-")</f>
        <v>-</v>
      </c>
      <c r="L458" s="27" t="str">
        <f>IFERROR(__xludf.DUMMYFUNCTION("""COMPUTED_VALUE"""),"The Gathering Storm, Series 3, Level 4, Revised Edition")</f>
        <v>The Gathering Storm, Series 3, Level 4, Revised Edition</v>
      </c>
      <c r="M458" s="27" t="str">
        <f>IFERROR(__xludf.DUMMYFUNCTION("""COMPUTED_VALUE"""),"[C]")</f>
        <v>[C]</v>
      </c>
      <c r="N458" s="27" t="str">
        <f>IFERROR(__xludf.DUMMYFUNCTION("""COMPUTED_VALUE"""),"""Ribbit! I won't let you do that, ribbit!""")</f>
        <v>"Ribbit! I won't let you do that, ribbit!"</v>
      </c>
      <c r="O458" s="27"/>
      <c r="P458" s="27"/>
      <c r="Q458" s="27"/>
      <c r="R458" s="27"/>
      <c r="S458" s="27"/>
      <c r="T458" s="27"/>
      <c r="U458" s="27"/>
      <c r="V458" s="27"/>
      <c r="W458" s="27"/>
      <c r="X458" s="27"/>
      <c r="Y458" s="27"/>
      <c r="Z458" s="27"/>
    </row>
    <row r="459">
      <c r="A459" s="29" t="str">
        <f>IFERROR(__xludf.DUMMYFUNCTION("""COMPUTED_VALUE"""),"M-081")</f>
        <v>M-081</v>
      </c>
      <c r="B459" s="27" t="str">
        <f>IFERROR(__xludf.DUMMYFUNCTION("""COMPUTED_VALUE"""),"Mamodo")</f>
        <v>Mamodo</v>
      </c>
      <c r="C459" s="27" t="str">
        <f>IFERROR(__xludf.DUMMYFUNCTION("""COMPUTED_VALUE"""),"Milordo-Z")</f>
        <v>Milordo-Z</v>
      </c>
      <c r="D459" s="27" t="str">
        <f>IFERROR(__xludf.DUMMYFUNCTION("""COMPUTED_VALUE"""),"Zofis")</f>
        <v>Zofis</v>
      </c>
      <c r="E459" s="27" t="str">
        <f>IFERROR(__xludf.DUMMYFUNCTION("""COMPUTED_VALUE"""),"-")</f>
        <v>-</v>
      </c>
      <c r="F459" s="27" t="str">
        <f>IFERROR(__xludf.DUMMYFUNCTION("""COMPUTED_VALUE"""),"-")</f>
        <v>-</v>
      </c>
      <c r="G459" s="27" t="str">
        <f>IFERROR(__xludf.DUMMYFUNCTION("""COMPUTED_VALUE"""),"None")</f>
        <v>None</v>
      </c>
      <c r="H459" s="27" t="str">
        <f>IFERROR(__xludf.DUMMYFUNCTION("""COMPUTED_VALUE"""),"An Evil Power")</f>
        <v>An Evil Power</v>
      </c>
      <c r="I459" s="28" t="str">
        <f>IFERROR(__xludf.DUMMYFUNCTION("""COMPUTED_VALUE"""),"This card is considered to be the same as the Zofis MAMODO card. [DECLARE TO USE] [STAY] Select 1 of your opponent's in-play MAMODO cards. Your opponent cannot apply the effects of that card during this game. This effect can be applied only once per game "&amp;"(per player).")</f>
        <v>This card is considered to be the same as the Zofis MAMODO card. [DECLARE TO USE] [STAY] Select 1 of your opponent's in-play MAMODO cards. Your opponent cannot apply the effects of that card during this game. This effect can be applied only once per game (per player).</v>
      </c>
      <c r="J459" s="27">
        <f>IFERROR(__xludf.DUMMYFUNCTION("""COMPUTED_VALUE"""),5500.0)</f>
        <v>5500</v>
      </c>
      <c r="K459" s="27" t="str">
        <f>IFERROR(__xludf.DUMMYFUNCTION("""COMPUTED_VALUE"""),"-")</f>
        <v>-</v>
      </c>
      <c r="L459" s="27" t="str">
        <f>IFERROR(__xludf.DUMMYFUNCTION("""COMPUTED_VALUE"""),"The Gathering Storm, Series 3, Level 4, Revised Edition")</f>
        <v>The Gathering Storm, Series 3, Level 4, Revised Edition</v>
      </c>
      <c r="M459" s="27" t="str">
        <f>IFERROR(__xludf.DUMMYFUNCTION("""COMPUTED_VALUE"""),"[SR]")</f>
        <v>[SR]</v>
      </c>
      <c r="N459" s="27" t="str">
        <f>IFERROR(__xludf.DUMMYFUNCTION("""COMPUTED_VALUE"""),"An evil mamodo who is plotting to revive the mamodo from a thousand years ago.")</f>
        <v>An evil mamodo who is plotting to revive the mamodo from a thousand years ago.</v>
      </c>
      <c r="O459" s="27"/>
      <c r="P459" s="27"/>
      <c r="Q459" s="27"/>
      <c r="R459" s="27"/>
      <c r="S459" s="27"/>
      <c r="T459" s="27"/>
      <c r="U459" s="27"/>
      <c r="V459" s="27"/>
      <c r="W459" s="27"/>
      <c r="X459" s="27"/>
      <c r="Y459" s="27"/>
      <c r="Z459" s="27"/>
    </row>
    <row r="460">
      <c r="A460" s="29" t="str">
        <f>IFERROR(__xludf.DUMMYFUNCTION("""COMPUTED_VALUE"""),"M-082")</f>
        <v>M-082</v>
      </c>
      <c r="B460" s="27" t="str">
        <f>IFERROR(__xludf.DUMMYFUNCTION("""COMPUTED_VALUE"""),"Mamodo")</f>
        <v>Mamodo</v>
      </c>
      <c r="C460" s="27" t="str">
        <f>IFERROR(__xludf.DUMMYFUNCTION("""COMPUTED_VALUE"""),"Cut N' Paste")</f>
        <v>Cut N' Paste</v>
      </c>
      <c r="D460" s="27" t="str">
        <f>IFERROR(__xludf.DUMMYFUNCTION("""COMPUTED_VALUE"""),"Cut N' Paste")</f>
        <v>Cut N' Paste</v>
      </c>
      <c r="E460" s="27" t="str">
        <f>IFERROR(__xludf.DUMMYFUNCTION("""COMPUTED_VALUE"""),"-")</f>
        <v>-</v>
      </c>
      <c r="F460" s="27" t="str">
        <f>IFERROR(__xludf.DUMMYFUNCTION("""COMPUTED_VALUE"""),"-")</f>
        <v>-</v>
      </c>
      <c r="G460" s="27" t="str">
        <f>IFERROR(__xludf.DUMMYFUNCTION("""COMPUTED_VALUE"""),"None")</f>
        <v>None</v>
      </c>
      <c r="H460" s="27" t="str">
        <f>IFERROR(__xludf.DUMMYFUNCTION("""COMPUTED_VALUE"""),"Cutting Off The Space")</f>
        <v>Cutting Off The Space</v>
      </c>
      <c r="I460" s="28" t="str">
        <f>IFERROR(__xludf.DUMMYFUNCTION("""COMPUTED_VALUE"""),"[2 MP] [STAY] Select 1 of your opponent's in-play MAMODO cards. The selected MAMODO card can neither SACRIFICE nor PROTECT its Spell Book from Damage during this turn.")</f>
        <v>[2 MP] [STAY] Select 1 of your opponent's in-play MAMODO cards. The selected MAMODO card can neither SACRIFICE nor PROTECT its Spell Book from Damage during this turn.</v>
      </c>
      <c r="J460" s="27">
        <f>IFERROR(__xludf.DUMMYFUNCTION("""COMPUTED_VALUE"""),4000.0)</f>
        <v>4000</v>
      </c>
      <c r="K460" s="27" t="str">
        <f>IFERROR(__xludf.DUMMYFUNCTION("""COMPUTED_VALUE"""),"-")</f>
        <v>-</v>
      </c>
      <c r="L460" s="27" t="str">
        <f>IFERROR(__xludf.DUMMYFUNCTION("""COMPUTED_VALUE"""),"Supreme Power of the Golden Spell, Series 2, Level 4")</f>
        <v>Supreme Power of the Golden Spell, Series 2, Level 4</v>
      </c>
      <c r="M460" s="27" t="str">
        <f>IFERROR(__xludf.DUMMYFUNCTION("""COMPUTED_VALUE"""),"[R]")</f>
        <v>[R]</v>
      </c>
      <c r="N460" s="27" t="str">
        <f>IFERROR(__xludf.DUMMYFUNCTION("""COMPUTED_VALUE"""),"""Give me the magic mirror!""")</f>
        <v>"Give me the magic mirror!"</v>
      </c>
      <c r="O460" s="27"/>
      <c r="P460" s="27"/>
      <c r="Q460" s="27"/>
      <c r="R460" s="27"/>
      <c r="S460" s="27"/>
      <c r="T460" s="27"/>
      <c r="U460" s="27"/>
      <c r="V460" s="27"/>
      <c r="W460" s="27"/>
      <c r="X460" s="27"/>
      <c r="Y460" s="27"/>
      <c r="Z460" s="27"/>
    </row>
    <row r="461">
      <c r="A461" s="29" t="str">
        <f>IFERROR(__xludf.DUMMYFUNCTION("""COMPUTED_VALUE"""),"M-083")</f>
        <v>M-083</v>
      </c>
      <c r="B461" s="27" t="str">
        <f>IFERROR(__xludf.DUMMYFUNCTION("""COMPUTED_VALUE"""),"Mamodo")</f>
        <v>Mamodo</v>
      </c>
      <c r="C461" s="27" t="str">
        <f>IFERROR(__xludf.DUMMYFUNCTION("""COMPUTED_VALUE"""),"Nya (Transformed)")</f>
        <v>Nya (Transformed)</v>
      </c>
      <c r="D461" s="27" t="str">
        <f>IFERROR(__xludf.DUMMYFUNCTION("""COMPUTED_VALUE"""),"Nya")</f>
        <v>Nya</v>
      </c>
      <c r="E461" s="27" t="str">
        <f>IFERROR(__xludf.DUMMYFUNCTION("""COMPUTED_VALUE"""),"-")</f>
        <v>-</v>
      </c>
      <c r="F461" s="27" t="str">
        <f>IFERROR(__xludf.DUMMYFUNCTION("""COMPUTED_VALUE"""),"-")</f>
        <v>-</v>
      </c>
      <c r="G461" s="27" t="str">
        <f>IFERROR(__xludf.DUMMYFUNCTION("""COMPUTED_VALUE"""),"None")</f>
        <v>None</v>
      </c>
      <c r="H461" s="27" t="str">
        <f>IFERROR(__xludf.DUMMYFUNCTION("""COMPUTED_VALUE"""),"Ribbon of Bounds")</f>
        <v>Ribbon of Bounds</v>
      </c>
      <c r="I461" s="28" t="str">
        <f>IFERROR(__xludf.DUMMYFUNCTION("""COMPUTED_VALUE"""),"This card is placed on a regular Nya MAMODO card. [1 MP] Select 1 Shion PARTNER card from any page of your Spell Book and put it in play.")</f>
        <v>This card is placed on a regular Nya MAMODO card. [1 MP] Select 1 Shion PARTNER card from any page of your Spell Book and put it in play.</v>
      </c>
      <c r="J461" s="27">
        <f>IFERROR(__xludf.DUMMYFUNCTION("""COMPUTED_VALUE"""),3000.0)</f>
        <v>3000</v>
      </c>
      <c r="K461" s="27" t="str">
        <f>IFERROR(__xludf.DUMMYFUNCTION("""COMPUTED_VALUE"""),"-")</f>
        <v>-</v>
      </c>
      <c r="L461" s="27" t="str">
        <f>IFERROR(__xludf.DUMMYFUNCTION("""COMPUTED_VALUE"""),"Supreme Power of the Golden Spell, Series 2, Level 4")</f>
        <v>Supreme Power of the Golden Spell, Series 2, Level 4</v>
      </c>
      <c r="M461" s="27" t="str">
        <f>IFERROR(__xludf.DUMMYFUNCTION("""COMPUTED_VALUE"""),"[U]")</f>
        <v>[U]</v>
      </c>
      <c r="N461" s="27" t="str">
        <f>IFERROR(__xludf.DUMMYFUNCTION("""COMPUTED_VALUE"""),"Nya transforms into an aggressive cat-mamodo.")</f>
        <v>Nya transforms into an aggressive cat-mamodo.</v>
      </c>
      <c r="O461" s="27"/>
      <c r="P461" s="27"/>
      <c r="Q461" s="27"/>
      <c r="R461" s="27"/>
      <c r="S461" s="27"/>
      <c r="T461" s="27"/>
      <c r="U461" s="27"/>
      <c r="V461" s="27"/>
      <c r="W461" s="27"/>
      <c r="X461" s="27"/>
      <c r="Y461" s="27"/>
      <c r="Z461" s="27"/>
    </row>
    <row r="462">
      <c r="A462" s="29" t="str">
        <f>IFERROR(__xludf.DUMMYFUNCTION("""COMPUTED_VALUE"""),"M-084e")</f>
        <v>M-084e</v>
      </c>
      <c r="B462" s="27" t="str">
        <f>IFERROR(__xludf.DUMMYFUNCTION("""COMPUTED_VALUE"""),"Mamodo")</f>
        <v>Mamodo</v>
      </c>
      <c r="C462" s="27" t="str">
        <f>IFERROR(__xludf.DUMMYFUNCTION("""COMPUTED_VALUE"""),"Penny")</f>
        <v>Penny</v>
      </c>
      <c r="D462" s="27" t="str">
        <f>IFERROR(__xludf.DUMMYFUNCTION("""COMPUTED_VALUE"""),"Penny")</f>
        <v>Penny</v>
      </c>
      <c r="E462" s="27" t="str">
        <f>IFERROR(__xludf.DUMMYFUNCTION("""COMPUTED_VALUE"""),"-")</f>
        <v>-</v>
      </c>
      <c r="F462" s="27" t="str">
        <f>IFERROR(__xludf.DUMMYFUNCTION("""COMPUTED_VALUE"""),"-")</f>
        <v>-</v>
      </c>
      <c r="G462" s="27" t="str">
        <f>IFERROR(__xludf.DUMMYFUNCTION("""COMPUTED_VALUE"""),"None")</f>
        <v>None</v>
      </c>
      <c r="H462" s="27" t="str">
        <f>IFERROR(__xludf.DUMMYFUNCTION("""COMPUTED_VALUE"""),"You Scumbag!")</f>
        <v>You Scumbag!</v>
      </c>
      <c r="I462" s="28" t="str">
        <f>IFERROR(__xludf.DUMMYFUNCTION("""COMPUTED_VALUE"""),"[DECLARE TO USE] When you turn more than 1 page of your Spell Book by your opponent's card effects during this turn (except as a result of Damage), turn the same number of pages of your opponent's Spell Book.")</f>
        <v>[DECLARE TO USE] When you turn more than 1 page of your Spell Book by your opponent's card effects during this turn (except as a result of Damage), turn the same number of pages of your opponent's Spell Book.</v>
      </c>
      <c r="J462" s="27">
        <f>IFERROR(__xludf.DUMMYFUNCTION("""COMPUTED_VALUE"""),4500.0)</f>
        <v>4500</v>
      </c>
      <c r="K462" s="27" t="str">
        <f>IFERROR(__xludf.DUMMYFUNCTION("""COMPUTED_VALUE"""),"-")</f>
        <v>-</v>
      </c>
      <c r="L462" s="27" t="str">
        <f>IFERROR(__xludf.DUMMYFUNCTION("""COMPUTED_VALUE"""),"The Gathering Storm, Series 3, Level 4")</f>
        <v>The Gathering Storm, Series 3, Level 4</v>
      </c>
      <c r="M462" s="27" t="str">
        <f>IFERROR(__xludf.DUMMYFUNCTION("""COMPUTED_VALUE"""),"[SR]")</f>
        <v>[SR]</v>
      </c>
      <c r="N462" s="27" t="str">
        <f>IFERROR(__xludf.DUMMYFUNCTION("""COMPUTED_VALUE"""),"""You scumbag!""")</f>
        <v>"You scumbag!"</v>
      </c>
      <c r="O462" s="27"/>
      <c r="P462" s="27"/>
      <c r="Q462" s="27"/>
      <c r="R462" s="27"/>
      <c r="S462" s="27"/>
      <c r="T462" s="27"/>
      <c r="U462" s="27"/>
      <c r="V462" s="27"/>
      <c r="W462" s="27"/>
      <c r="X462" s="27"/>
      <c r="Y462" s="27"/>
      <c r="Z462" s="27"/>
    </row>
    <row r="463">
      <c r="A463" s="29" t="str">
        <f>IFERROR(__xludf.DUMMYFUNCTION("""COMPUTED_VALUE"""),"M-084j")</f>
        <v>M-084j</v>
      </c>
      <c r="B463" s="27" t="str">
        <f>IFERROR(__xludf.DUMMYFUNCTION("""COMPUTED_VALUE"""),"Mamodo")</f>
        <v>Mamodo</v>
      </c>
      <c r="C463" s="27" t="str">
        <f>IFERROR(__xludf.DUMMYFUNCTION("""COMPUTED_VALUE"""),"Penny")</f>
        <v>Penny</v>
      </c>
      <c r="D463" s="27" t="str">
        <f>IFERROR(__xludf.DUMMYFUNCTION("""COMPUTED_VALUE"""),"Penny")</f>
        <v>Penny</v>
      </c>
      <c r="E463" s="27" t="str">
        <f>IFERROR(__xludf.DUMMYFUNCTION("""COMPUTED_VALUE"""),"-")</f>
        <v>-</v>
      </c>
      <c r="F463" s="27" t="str">
        <f>IFERROR(__xludf.DUMMYFUNCTION("""COMPUTED_VALUE"""),"-")</f>
        <v>-</v>
      </c>
      <c r="G463" s="27" t="str">
        <f>IFERROR(__xludf.DUMMYFUNCTION("""COMPUTED_VALUE"""),"None")</f>
        <v>None</v>
      </c>
      <c r="H463" s="27" t="str">
        <f>IFERROR(__xludf.DUMMYFUNCTION("""COMPUTED_VALUE"""),"You Scumbag!")</f>
        <v>You Scumbag!</v>
      </c>
      <c r="I463" s="28" t="str">
        <f>IFERROR(__xludf.DUMMYFUNCTION("""COMPUTED_VALUE"""),"[DECLARE TO USE] When you turn any pages of your Spell Book by your opponent's card effects during this turn (except as a result of Damage), turn the same number of pages of your opponent's Spell Book.")</f>
        <v>[DECLARE TO USE] When you turn any pages of your Spell Book by your opponent's card effects during this turn (except as a result of Damage), turn the same number of pages of your opponent's Spell Book.</v>
      </c>
      <c r="J463" s="27">
        <f>IFERROR(__xludf.DUMMYFUNCTION("""COMPUTED_VALUE"""),4500.0)</f>
        <v>4500</v>
      </c>
      <c r="K463" s="27" t="str">
        <f>IFERROR(__xludf.DUMMYFUNCTION("""COMPUTED_VALUE"""),"-")</f>
        <v>-</v>
      </c>
      <c r="L463" s="27" t="str">
        <f>IFERROR(__xludf.DUMMYFUNCTION("""COMPUTED_VALUE"""),"The Gathering Storm, Series 3, Level 4")</f>
        <v>The Gathering Storm, Series 3, Level 4</v>
      </c>
      <c r="M463" s="27" t="str">
        <f>IFERROR(__xludf.DUMMYFUNCTION("""COMPUTED_VALUE"""),"[SR]")</f>
        <v>[SR]</v>
      </c>
      <c r="N463" s="27" t="str">
        <f>IFERROR(__xludf.DUMMYFUNCTION("""COMPUTED_VALUE"""),"""You scumbag!""")</f>
        <v>"You scumbag!"</v>
      </c>
      <c r="O463" s="27"/>
      <c r="P463" s="27"/>
      <c r="Q463" s="27"/>
      <c r="R463" s="27"/>
      <c r="S463" s="27"/>
      <c r="T463" s="27"/>
      <c r="U463" s="27"/>
      <c r="V463" s="27"/>
      <c r="W463" s="27"/>
      <c r="X463" s="27"/>
      <c r="Y463" s="27"/>
      <c r="Z463" s="27"/>
    </row>
    <row r="464">
      <c r="A464" s="29" t="str">
        <f>IFERROR(__xludf.DUMMYFUNCTION("""COMPUTED_VALUE"""),"M-085")</f>
        <v>M-085</v>
      </c>
      <c r="B464" s="27" t="str">
        <f>IFERROR(__xludf.DUMMYFUNCTION("""COMPUTED_VALUE"""),"Mamodo")</f>
        <v>Mamodo</v>
      </c>
      <c r="C464" s="27" t="str">
        <f>IFERROR(__xludf.DUMMYFUNCTION("""COMPUTED_VALUE"""),"Goren of the Stone")</f>
        <v>Goren of the Stone</v>
      </c>
      <c r="D464" s="27" t="str">
        <f>IFERROR(__xludf.DUMMYFUNCTION("""COMPUTED_VALUE"""),"Goren")</f>
        <v>Goren</v>
      </c>
      <c r="E464" s="27" t="str">
        <f>IFERROR(__xludf.DUMMYFUNCTION("""COMPUTED_VALUE"""),"-")</f>
        <v>-</v>
      </c>
      <c r="F464" s="27" t="str">
        <f>IFERROR(__xludf.DUMMYFUNCTION("""COMPUTED_VALUE"""),"-")</f>
        <v>-</v>
      </c>
      <c r="G464" s="27" t="str">
        <f>IFERROR(__xludf.DUMMYFUNCTION("""COMPUTED_VALUE"""),"None")</f>
        <v>None</v>
      </c>
      <c r="H464" s="27" t="str">
        <f>IFERROR(__xludf.DUMMYFUNCTION("""COMPUTED_VALUE"""),"Petrify")</f>
        <v>Petrify</v>
      </c>
      <c r="I464" s="28" t="str">
        <f>IFERROR(__xludf.DUMMYFUNCTION("""COMPUTED_VALUE"""),"The card name of this MAMODO card is considered to be ""Goren"". [IN PLAY] Your opponent cannot move cards from their Discard Pile into play or into empty pages of their Spell Book.")</f>
        <v>The card name of this MAMODO card is considered to be "Goren". [IN PLAY] Your opponent cannot move cards from their Discard Pile into play or into empty pages of their Spell Book.</v>
      </c>
      <c r="J464" s="27">
        <f>IFERROR(__xludf.DUMMYFUNCTION("""COMPUTED_VALUE"""),7000.0)</f>
        <v>7000</v>
      </c>
      <c r="K464" s="27" t="str">
        <f>IFERROR(__xludf.DUMMYFUNCTION("""COMPUTED_VALUE"""),"-")</f>
        <v>-</v>
      </c>
      <c r="L464" s="27" t="str">
        <f>IFERROR(__xludf.DUMMYFUNCTION("""COMPUTED_VALUE"""),"Dawn of the Ancients, Series 4, Level 4")</f>
        <v>Dawn of the Ancients, Series 4, Level 4</v>
      </c>
      <c r="M464" s="27" t="str">
        <f>IFERROR(__xludf.DUMMYFUNCTION("""COMPUTED_VALUE"""),"[SR]")</f>
        <v>[SR]</v>
      </c>
      <c r="N464" s="27" t="str">
        <f>IFERROR(__xludf.DUMMYFUNCTION("""COMPUTED_VALUE"""),"The mamodo who won the most victories in the battle a thousand years ago.")</f>
        <v>The mamodo who won the most victories in the battle a thousand years ago.</v>
      </c>
      <c r="O464" s="27"/>
      <c r="P464" s="27"/>
      <c r="Q464" s="27"/>
      <c r="R464" s="27"/>
      <c r="S464" s="27"/>
      <c r="T464" s="27"/>
      <c r="U464" s="27"/>
      <c r="V464" s="27"/>
      <c r="W464" s="27"/>
      <c r="X464" s="27"/>
      <c r="Y464" s="27"/>
      <c r="Z464" s="27"/>
    </row>
    <row r="465">
      <c r="A465" s="29" t="str">
        <f>IFERROR(__xludf.DUMMYFUNCTION("""COMPUTED_VALUE"""),"M-086")</f>
        <v>M-086</v>
      </c>
      <c r="B465" s="27" t="str">
        <f>IFERROR(__xludf.DUMMYFUNCTION("""COMPUTED_VALUE"""),"Mamodo")</f>
        <v>Mamodo</v>
      </c>
      <c r="C465" s="27" t="str">
        <f>IFERROR(__xludf.DUMMYFUNCTION("""COMPUTED_VALUE"""),"Zatch Bell")</f>
        <v>Zatch Bell</v>
      </c>
      <c r="D465" s="27" t="str">
        <f>IFERROR(__xludf.DUMMYFUNCTION("""COMPUTED_VALUE"""),"Zatch Bell")</f>
        <v>Zatch Bell</v>
      </c>
      <c r="E465" s="27" t="str">
        <f>IFERROR(__xludf.DUMMYFUNCTION("""COMPUTED_VALUE"""),"-")</f>
        <v>-</v>
      </c>
      <c r="F465" s="27" t="str">
        <f>IFERROR(__xludf.DUMMYFUNCTION("""COMPUTED_VALUE"""),"-")</f>
        <v>-</v>
      </c>
      <c r="G465" s="27" t="str">
        <f>IFERROR(__xludf.DUMMYFUNCTION("""COMPUTED_VALUE"""),"None")</f>
        <v>None</v>
      </c>
      <c r="H465" s="27" t="str">
        <f>IFERROR(__xludf.DUMMYFUNCTION("""COMPUTED_VALUE"""),"There is no Turning Back")</f>
        <v>There is no Turning Back</v>
      </c>
      <c r="I465" s="28" t="str">
        <f>IFERROR(__xludf.DUMMYFUNCTION("""COMPUTED_VALUE"""),"[IN PLAY] Neither player can turn back any pages of their Spell Book with card effects during the BATTLE PHASE.")</f>
        <v>[IN PLAY] Neither player can turn back any pages of their Spell Book with card effects during the BATTLE PHASE.</v>
      </c>
      <c r="J465" s="27">
        <f>IFERROR(__xludf.DUMMYFUNCTION("""COMPUTED_VALUE"""),4000.0)</f>
        <v>4000</v>
      </c>
      <c r="K465" s="27" t="str">
        <f>IFERROR(__xludf.DUMMYFUNCTION("""COMPUTED_VALUE"""),"-")</f>
        <v>-</v>
      </c>
      <c r="L465" s="27" t="str">
        <f>IFERROR(__xludf.DUMMYFUNCTION("""COMPUTED_VALUE"""),"The Gathering Storm, Series 3, Limited Edition II")</f>
        <v>The Gathering Storm, Series 3, Limited Edition II</v>
      </c>
      <c r="M465" s="27" t="str">
        <f>IFERROR(__xludf.DUMMYFUNCTION("""COMPUTED_VALUE"""),"[C]")</f>
        <v>[C]</v>
      </c>
      <c r="N465" s="27" t="str">
        <f>IFERROR(__xludf.DUMMYFUNCTION("""COMPUTED_VALUE"""),"""A kind king - that's the only thing that I want to be.""")</f>
        <v>"A kind king - that's the only thing that I want to be."</v>
      </c>
      <c r="O465" s="27"/>
      <c r="P465" s="27"/>
      <c r="Q465" s="27"/>
      <c r="R465" s="27"/>
      <c r="S465" s="27"/>
      <c r="T465" s="27"/>
      <c r="U465" s="27"/>
      <c r="V465" s="27"/>
      <c r="W465" s="27"/>
      <c r="X465" s="27"/>
      <c r="Y465" s="27"/>
      <c r="Z465" s="27"/>
    </row>
    <row r="466">
      <c r="A466" s="29" t="str">
        <f>IFERROR(__xludf.DUMMYFUNCTION("""COMPUTED_VALUE"""),"M-087")</f>
        <v>M-087</v>
      </c>
      <c r="B466" s="27" t="str">
        <f>IFERROR(__xludf.DUMMYFUNCTION("""COMPUTED_VALUE"""),"Mamodo")</f>
        <v>Mamodo</v>
      </c>
      <c r="C466" s="27" t="str">
        <f>IFERROR(__xludf.DUMMYFUNCTION("""COMPUTED_VALUE"""),"Zeno")</f>
        <v>Zeno</v>
      </c>
      <c r="D466" s="27" t="str">
        <f>IFERROR(__xludf.DUMMYFUNCTION("""COMPUTED_VALUE"""),"Zeno")</f>
        <v>Zeno</v>
      </c>
      <c r="E466" s="27" t="str">
        <f>IFERROR(__xludf.DUMMYFUNCTION("""COMPUTED_VALUE"""),"-")</f>
        <v>-</v>
      </c>
      <c r="F466" s="27" t="str">
        <f>IFERROR(__xludf.DUMMYFUNCTION("""COMPUTED_VALUE"""),"-")</f>
        <v>-</v>
      </c>
      <c r="G466" s="27" t="str">
        <f>IFERROR(__xludf.DUMMYFUNCTION("""COMPUTED_VALUE"""),"None")</f>
        <v>None</v>
      </c>
      <c r="H466" s="27" t="str">
        <f>IFERROR(__xludf.DUMMYFUNCTION("""COMPUTED_VALUE"""),"Extermination")</f>
        <v>Extermination</v>
      </c>
      <c r="I466" s="28" t="str">
        <f>IFERROR(__xludf.DUMMYFUNCTION("""COMPUTED_VALUE"""),"[2 MP] If your opponent has 6 or more cards in play, send 1 of those cards to the Discard Pile.")</f>
        <v>[2 MP] If your opponent has 6 or more cards in play, send 1 of those cards to the Discard Pile.</v>
      </c>
      <c r="J466" s="27">
        <f>IFERROR(__xludf.DUMMYFUNCTION("""COMPUTED_VALUE"""),6000.0)</f>
        <v>6000</v>
      </c>
      <c r="K466" s="27" t="str">
        <f>IFERROR(__xludf.DUMMYFUNCTION("""COMPUTED_VALUE"""),"-")</f>
        <v>-</v>
      </c>
      <c r="L466" s="27" t="str">
        <f>IFERROR(__xludf.DUMMYFUNCTION("""COMPUTED_VALUE"""),"The Gathering Storm, Series 3, Limited Edition II")</f>
        <v>The Gathering Storm, Series 3, Limited Edition II</v>
      </c>
      <c r="M466" s="27" t="str">
        <f>IFERROR(__xludf.DUMMYFUNCTION("""COMPUTED_VALUE"""),"[U]")</f>
        <v>[U]</v>
      </c>
      <c r="N466" s="27" t="str">
        <f>IFERROR(__xludf.DUMMYFUNCTION("""COMPUTED_VALUE"""),"""Im sorry, but I won't let you go.""")</f>
        <v>"Im sorry, but I won't let you go."</v>
      </c>
      <c r="O466" s="27"/>
      <c r="P466" s="27"/>
      <c r="Q466" s="27"/>
      <c r="R466" s="27"/>
      <c r="S466" s="27"/>
      <c r="T466" s="27"/>
      <c r="U466" s="27"/>
      <c r="V466" s="27"/>
      <c r="W466" s="27"/>
      <c r="X466" s="27"/>
      <c r="Y466" s="27"/>
      <c r="Z466" s="27"/>
    </row>
    <row r="467">
      <c r="A467" s="29" t="str">
        <f>IFERROR(__xludf.DUMMYFUNCTION("""COMPUTED_VALUE"""),"M-088")</f>
        <v>M-088</v>
      </c>
      <c r="B467" s="27" t="str">
        <f>IFERROR(__xludf.DUMMYFUNCTION("""COMPUTED_VALUE"""),"Mamodo")</f>
        <v>Mamodo</v>
      </c>
      <c r="C467" s="27" t="str">
        <f>IFERROR(__xludf.DUMMYFUNCTION("""COMPUTED_VALUE"""),"Wonrei")</f>
        <v>Wonrei</v>
      </c>
      <c r="D467" s="27" t="str">
        <f>IFERROR(__xludf.DUMMYFUNCTION("""COMPUTED_VALUE"""),"Wonrei")</f>
        <v>Wonrei</v>
      </c>
      <c r="E467" s="27" t="str">
        <f>IFERROR(__xludf.DUMMYFUNCTION("""COMPUTED_VALUE"""),"-")</f>
        <v>-</v>
      </c>
      <c r="F467" s="27" t="str">
        <f>IFERROR(__xludf.DUMMYFUNCTION("""COMPUTED_VALUE"""),"-")</f>
        <v>-</v>
      </c>
      <c r="G467" s="27" t="str">
        <f>IFERROR(__xludf.DUMMYFUNCTION("""COMPUTED_VALUE"""),"None")</f>
        <v>None</v>
      </c>
      <c r="H467" s="27" t="str">
        <f>IFERROR(__xludf.DUMMYFUNCTION("""COMPUTED_VALUE"""),"Attack &amp; Defend as One")</f>
        <v>Attack &amp; Defend as One</v>
      </c>
      <c r="I467" s="28" t="str">
        <f>IFERROR(__xludf.DUMMYFUNCTION("""COMPUTED_VALUE"""),"[DECLARE TO USE] This effect can be applied only if you Attacked with this MAMODO card during your previous turn. [STANDBY] The MP cost of 1 SPELL card played for this MAMODO card that is used for Defending during this turn is considered to be 0.")</f>
        <v>[DECLARE TO USE] This effect can be applied only if you Attacked with this MAMODO card during your previous turn. [STANDBY] The MP cost of 1 SPELL card played for this MAMODO card that is used for Defending during this turn is considered to be 0.</v>
      </c>
      <c r="J467" s="27">
        <f>IFERROR(__xludf.DUMMYFUNCTION("""COMPUTED_VALUE"""),4000.0)</f>
        <v>4000</v>
      </c>
      <c r="K467" s="27" t="str">
        <f>IFERROR(__xludf.DUMMYFUNCTION("""COMPUTED_VALUE"""),"-")</f>
        <v>-</v>
      </c>
      <c r="L467" s="27" t="str">
        <f>IFERROR(__xludf.DUMMYFUNCTION("""COMPUTED_VALUE"""),"The Gathering Storm, Series 3, Limited Edition II")</f>
        <v>The Gathering Storm, Series 3, Limited Edition II</v>
      </c>
      <c r="M467" s="27" t="str">
        <f>IFERROR(__xludf.DUMMYFUNCTION("""COMPUTED_VALUE"""),"[U]")</f>
        <v>[U]</v>
      </c>
      <c r="N467" s="27" t="str">
        <f>IFERROR(__xludf.DUMMYFUNCTION("""COMPUTED_VALUE"""),"""With Li-en, I'll pursue my goal to become King.""")</f>
        <v>"With Li-en, I'll pursue my goal to become King."</v>
      </c>
      <c r="O467" s="27"/>
      <c r="P467" s="27"/>
      <c r="Q467" s="27"/>
      <c r="R467" s="27"/>
      <c r="S467" s="27"/>
      <c r="T467" s="27"/>
      <c r="U467" s="27"/>
      <c r="V467" s="27"/>
      <c r="W467" s="27"/>
      <c r="X467" s="27"/>
      <c r="Y467" s="27"/>
      <c r="Z467" s="27"/>
    </row>
    <row r="468">
      <c r="A468" s="29" t="str">
        <f>IFERROR(__xludf.DUMMYFUNCTION("""COMPUTED_VALUE"""),"M-089")</f>
        <v>M-089</v>
      </c>
      <c r="B468" s="27" t="str">
        <f>IFERROR(__xludf.DUMMYFUNCTION("""COMPUTED_VALUE"""),"Mamodo")</f>
        <v>Mamodo</v>
      </c>
      <c r="C468" s="27" t="str">
        <f>IFERROR(__xludf.DUMMYFUNCTION("""COMPUTED_VALUE"""),"Penny")</f>
        <v>Penny</v>
      </c>
      <c r="D468" s="27" t="str">
        <f>IFERROR(__xludf.DUMMYFUNCTION("""COMPUTED_VALUE"""),"Penny")</f>
        <v>Penny</v>
      </c>
      <c r="E468" s="27" t="str">
        <f>IFERROR(__xludf.DUMMYFUNCTION("""COMPUTED_VALUE"""),"-")</f>
        <v>-</v>
      </c>
      <c r="F468" s="27" t="str">
        <f>IFERROR(__xludf.DUMMYFUNCTION("""COMPUTED_VALUE"""),"-")</f>
        <v>-</v>
      </c>
      <c r="G468" s="27" t="str">
        <f>IFERROR(__xludf.DUMMYFUNCTION("""COMPUTED_VALUE"""),"None")</f>
        <v>None</v>
      </c>
      <c r="H468" s="27" t="str">
        <f>IFERROR(__xludf.DUMMYFUNCTION("""COMPUTED_VALUE"""),"Stealing the Cake!")</f>
        <v>Stealing the Cake!</v>
      </c>
      <c r="I468" s="28" t="str">
        <f>IFERROR(__xludf.DUMMYFUNCTION("""COMPUTED_VALUE"""),"[IN PLAY] When your opponent gets MP during the BATTLE PHASE, flip a coin; if it's heads, get the same number of MP instead of your opponent.")</f>
        <v>[IN PLAY] When your opponent gets MP during the BATTLE PHASE, flip a coin; if it's heads, get the same number of MP instead of your opponent.</v>
      </c>
      <c r="J468" s="27">
        <f>IFERROR(__xludf.DUMMYFUNCTION("""COMPUTED_VALUE"""),4000.0)</f>
        <v>4000</v>
      </c>
      <c r="K468" s="27" t="str">
        <f>IFERROR(__xludf.DUMMYFUNCTION("""COMPUTED_VALUE"""),"-")</f>
        <v>-</v>
      </c>
      <c r="L468" s="27" t="str">
        <f>IFERROR(__xludf.DUMMYFUNCTION("""COMPUTED_VALUE"""),"The Gathering Storm, Series 3, Limited Edition II")</f>
        <v>The Gathering Storm, Series 3, Limited Edition II</v>
      </c>
      <c r="M468" s="27" t="str">
        <f>IFERROR(__xludf.DUMMYFUNCTION("""COMPUTED_VALUE"""),"[C]")</f>
        <v>[C]</v>
      </c>
      <c r="N468" s="27" t="str">
        <f>IFERROR(__xludf.DUMMYFUNCTION("""COMPUTED_VALUE"""),"""Hahahaha... I love sweets.""")</f>
        <v>"Hahahaha... I love sweets."</v>
      </c>
      <c r="O468" s="27"/>
      <c r="P468" s="27"/>
      <c r="Q468" s="27"/>
      <c r="R468" s="27"/>
      <c r="S468" s="27"/>
      <c r="T468" s="27"/>
      <c r="U468" s="27"/>
      <c r="V468" s="27"/>
      <c r="W468" s="27"/>
      <c r="X468" s="27"/>
      <c r="Y468" s="27"/>
      <c r="Z468" s="27"/>
    </row>
    <row r="469">
      <c r="A469" s="29" t="str">
        <f>IFERROR(__xludf.DUMMYFUNCTION("""COMPUTED_VALUE"""),"M-090")</f>
        <v>M-090</v>
      </c>
      <c r="B469" s="27" t="str">
        <f>IFERROR(__xludf.DUMMYFUNCTION("""COMPUTED_VALUE"""),"Mamodo")</f>
        <v>Mamodo</v>
      </c>
      <c r="C469" s="27" t="str">
        <f>IFERROR(__xludf.DUMMYFUNCTION("""COMPUTED_VALUE"""),"Milordo-Z")</f>
        <v>Milordo-Z</v>
      </c>
      <c r="D469" s="27" t="str">
        <f>IFERROR(__xludf.DUMMYFUNCTION("""COMPUTED_VALUE"""),"Zofis")</f>
        <v>Zofis</v>
      </c>
      <c r="E469" s="27" t="str">
        <f>IFERROR(__xludf.DUMMYFUNCTION("""COMPUTED_VALUE"""),"-")</f>
        <v>-</v>
      </c>
      <c r="F469" s="27" t="str">
        <f>IFERROR(__xludf.DUMMYFUNCTION("""COMPUTED_VALUE"""),"-")</f>
        <v>-</v>
      </c>
      <c r="G469" s="27" t="str">
        <f>IFERROR(__xludf.DUMMYFUNCTION("""COMPUTED_VALUE"""),"None")</f>
        <v>None</v>
      </c>
      <c r="H469" s="27" t="str">
        <f>IFERROR(__xludf.DUMMYFUNCTION("""COMPUTED_VALUE"""),"Fearless Grin")</f>
        <v>Fearless Grin</v>
      </c>
      <c r="I469" s="28" t="str">
        <f>IFERROR(__xludf.DUMMYFUNCTION("""COMPUTED_VALUE"""),"This card is considered to be the same as the Zofis MAMODO card. (Cut-In) [2 MP] Flip a coin; if it's heads, negate the EVENT card your opponent just played.")</f>
        <v>This card is considered to be the same as the Zofis MAMODO card. (Cut-In) [2 MP] Flip a coin; if it's heads, negate the EVENT card your opponent just played.</v>
      </c>
      <c r="J469" s="27">
        <f>IFERROR(__xludf.DUMMYFUNCTION("""COMPUTED_VALUE"""),5500.0)</f>
        <v>5500</v>
      </c>
      <c r="K469" s="27" t="str">
        <f>IFERROR(__xludf.DUMMYFUNCTION("""COMPUTED_VALUE"""),"-")</f>
        <v>-</v>
      </c>
      <c r="L469" s="27" t="str">
        <f>IFERROR(__xludf.DUMMYFUNCTION("""COMPUTED_VALUE"""),"The Gathering Storm, Series 3, Limited Edition II, Revised Edition")</f>
        <v>The Gathering Storm, Series 3, Limited Edition II, Revised Edition</v>
      </c>
      <c r="M469" s="27" t="str">
        <f>IFERROR(__xludf.DUMMYFUNCTION("""COMPUTED_VALUE"""),"[U]")</f>
        <v>[U]</v>
      </c>
      <c r="N469" s="27" t="str">
        <f>IFERROR(__xludf.DUMMYFUNCTION("""COMPUTED_VALUE"""),"""I've already got the resolution for that.""")</f>
        <v>"I've already got the resolution for that."</v>
      </c>
      <c r="O469" s="27"/>
      <c r="P469" s="27"/>
      <c r="Q469" s="27"/>
      <c r="R469" s="27"/>
      <c r="S469" s="27"/>
      <c r="T469" s="27"/>
      <c r="U469" s="27"/>
      <c r="V469" s="27"/>
      <c r="W469" s="27"/>
      <c r="X469" s="27"/>
      <c r="Y469" s="27"/>
      <c r="Z469" s="27"/>
    </row>
    <row r="470">
      <c r="A470" s="29" t="str">
        <f>IFERROR(__xludf.DUMMYFUNCTION("""COMPUTED_VALUE"""),"M-091")</f>
        <v>M-091</v>
      </c>
      <c r="B470" s="27" t="str">
        <f>IFERROR(__xludf.DUMMYFUNCTION("""COMPUTED_VALUE"""),"Mamodo")</f>
        <v>Mamodo</v>
      </c>
      <c r="C470" s="27" t="str">
        <f>IFERROR(__xludf.DUMMYFUNCTION("""COMPUTED_VALUE"""),"Zatch Bell")</f>
        <v>Zatch Bell</v>
      </c>
      <c r="D470" s="27" t="str">
        <f>IFERROR(__xludf.DUMMYFUNCTION("""COMPUTED_VALUE"""),"Zatch Bell")</f>
        <v>Zatch Bell</v>
      </c>
      <c r="E470" s="27" t="str">
        <f>IFERROR(__xludf.DUMMYFUNCTION("""COMPUTED_VALUE"""),"-")</f>
        <v>-</v>
      </c>
      <c r="F470" s="27" t="str">
        <f>IFERROR(__xludf.DUMMYFUNCTION("""COMPUTED_VALUE"""),"-")</f>
        <v>-</v>
      </c>
      <c r="G470" s="27" t="str">
        <f>IFERROR(__xludf.DUMMYFUNCTION("""COMPUTED_VALUE"""),"None")</f>
        <v>None</v>
      </c>
      <c r="H470" s="27" t="str">
        <f>IFERROR(__xludf.DUMMYFUNCTION("""COMPUTED_VALUE"""),"Hidden Power")</f>
        <v>Hidden Power</v>
      </c>
      <c r="I470" s="28" t="str">
        <f>IFERROR(__xludf.DUMMYFUNCTION("""COMPUTED_VALUE"""),"Any Zaker SPELL cards with Zeno as their MAMODO name can be played for this MAMODO card. [2 MP] [STANDBY] During the next Battle this turn, your opponent can neither SACRIFICE nor PROTECT their Spell Book from the Damage of this MAMODO card's Attack.")</f>
        <v>Any Zaker SPELL cards with Zeno as their MAMODO name can be played for this MAMODO card. [2 MP] [STANDBY] During the next Battle this turn, your opponent can neither SACRIFICE nor PROTECT their Spell Book from the Damage of this MAMODO card's Attack.</v>
      </c>
      <c r="J470" s="27">
        <f>IFERROR(__xludf.DUMMYFUNCTION("""COMPUTED_VALUE"""),4000.0)</f>
        <v>4000</v>
      </c>
      <c r="K470" s="27" t="str">
        <f>IFERROR(__xludf.DUMMYFUNCTION("""COMPUTED_VALUE"""),"-")</f>
        <v>-</v>
      </c>
      <c r="L470" s="27" t="str">
        <f>IFERROR(__xludf.DUMMYFUNCTION("""COMPUTED_VALUE"""),"Secrets of the Ruins, Level 5")</f>
        <v>Secrets of the Ruins, Level 5</v>
      </c>
      <c r="M470" s="27" t="str">
        <f>IFERROR(__xludf.DUMMYFUNCTION("""COMPUTED_VALUE"""),"[U]")</f>
        <v>[U]</v>
      </c>
      <c r="N470" s="27" t="str">
        <f>IFERROR(__xludf.DUMMYFUNCTION("""COMPUTED_VALUE"""),"""I can become stronger!!!""")</f>
        <v>"I can become stronger!!!"</v>
      </c>
      <c r="O470" s="27"/>
      <c r="P470" s="27"/>
      <c r="Q470" s="27"/>
      <c r="R470" s="27"/>
      <c r="S470" s="27"/>
      <c r="T470" s="27"/>
      <c r="U470" s="27"/>
      <c r="V470" s="27"/>
      <c r="W470" s="27"/>
      <c r="X470" s="27"/>
      <c r="Y470" s="27"/>
      <c r="Z470" s="27"/>
    </row>
    <row r="471">
      <c r="A471" s="29" t="str">
        <f>IFERROR(__xludf.DUMMYFUNCTION("""COMPUTED_VALUE"""),"M-092")</f>
        <v>M-092</v>
      </c>
      <c r="B471" s="27" t="str">
        <f>IFERROR(__xludf.DUMMYFUNCTION("""COMPUTED_VALUE"""),"Mamodo")</f>
        <v>Mamodo</v>
      </c>
      <c r="C471" s="27" t="str">
        <f>IFERROR(__xludf.DUMMYFUNCTION("""COMPUTED_VALUE"""),"Kanchome")</f>
        <v>Kanchome</v>
      </c>
      <c r="D471" s="27" t="str">
        <f>IFERROR(__xludf.DUMMYFUNCTION("""COMPUTED_VALUE"""),"Kanchome")</f>
        <v>Kanchome</v>
      </c>
      <c r="E471" s="27" t="str">
        <f>IFERROR(__xludf.DUMMYFUNCTION("""COMPUTED_VALUE"""),"-")</f>
        <v>-</v>
      </c>
      <c r="F471" s="27" t="str">
        <f>IFERROR(__xludf.DUMMYFUNCTION("""COMPUTED_VALUE"""),"-")</f>
        <v>-</v>
      </c>
      <c r="G471" s="27" t="str">
        <f>IFERROR(__xludf.DUMMYFUNCTION("""COMPUTED_VALUE"""),"None")</f>
        <v>None</v>
      </c>
      <c r="H471" s="27" t="str">
        <f>IFERROR(__xludf.DUMMYFUNCTION("""COMPUTED_VALUE"""),"The Invincible Kanchome")</f>
        <v>The Invincible Kanchome</v>
      </c>
      <c r="I471" s="28" t="str">
        <f>IFERROR(__xludf.DUMMYFUNCTION("""COMPUTED_VALUE"""),"[IN PLAY] Apply the following effect when this MAMODO card is sent to the Discard Pile: [STANDBY] At the END PHASE of this turn, move 1 Kanchomé MAMODO card and 1 Parco Folgore PARTNER card from your Discard Pile into play.")</f>
        <v>[IN PLAY] Apply the following effect when this MAMODO card is sent to the Discard Pile: [STANDBY] At the END PHASE of this turn, move 1 Kanchomé MAMODO card and 1 Parco Folgore PARTNER card from your Discard Pile into play.</v>
      </c>
      <c r="J471" s="27">
        <f>IFERROR(__xludf.DUMMYFUNCTION("""COMPUTED_VALUE"""),2500.0)</f>
        <v>2500</v>
      </c>
      <c r="K471" s="27" t="str">
        <f>IFERROR(__xludf.DUMMYFUNCTION("""COMPUTED_VALUE"""),"-")</f>
        <v>-</v>
      </c>
      <c r="L471" s="27" t="str">
        <f>IFERROR(__xludf.DUMMYFUNCTION("""COMPUTED_VALUE"""),"Secrets of the Ruins, Level 5")</f>
        <v>Secrets of the Ruins, Level 5</v>
      </c>
      <c r="M471" s="27" t="str">
        <f>IFERROR(__xludf.DUMMYFUNCTION("""COMPUTED_VALUE"""),"[C]")</f>
        <v>[C]</v>
      </c>
      <c r="N471" s="27" t="str">
        <f>IFERROR(__xludf.DUMMYFUNCTION("""COMPUTED_VALUE"""),"""I'm no crybaby! I'm the invincible Kanchome!""")</f>
        <v>"I'm no crybaby! I'm the invincible Kanchome!"</v>
      </c>
      <c r="O471" s="27"/>
      <c r="P471" s="27"/>
      <c r="Q471" s="27"/>
      <c r="R471" s="27"/>
      <c r="S471" s="27"/>
      <c r="T471" s="27"/>
      <c r="U471" s="27"/>
      <c r="V471" s="27"/>
      <c r="W471" s="27"/>
      <c r="X471" s="27"/>
      <c r="Y471" s="27"/>
      <c r="Z471" s="27"/>
    </row>
    <row r="472">
      <c r="A472" s="29" t="str">
        <f>IFERROR(__xludf.DUMMYFUNCTION("""COMPUTED_VALUE"""),"M-093")</f>
        <v>M-093</v>
      </c>
      <c r="B472" s="27" t="str">
        <f>IFERROR(__xludf.DUMMYFUNCTION("""COMPUTED_VALUE"""),"Mamodo")</f>
        <v>Mamodo</v>
      </c>
      <c r="C472" s="27" t="str">
        <f>IFERROR(__xludf.DUMMYFUNCTION("""COMPUTED_VALUE"""),"Tia")</f>
        <v>Tia</v>
      </c>
      <c r="D472" s="27" t="str">
        <f>IFERROR(__xludf.DUMMYFUNCTION("""COMPUTED_VALUE"""),"Tia")</f>
        <v>Tia</v>
      </c>
      <c r="E472" s="27" t="str">
        <f>IFERROR(__xludf.DUMMYFUNCTION("""COMPUTED_VALUE"""),"-")</f>
        <v>-</v>
      </c>
      <c r="F472" s="27" t="str">
        <f>IFERROR(__xludf.DUMMYFUNCTION("""COMPUTED_VALUE"""),"-")</f>
        <v>-</v>
      </c>
      <c r="G472" s="27" t="str">
        <f>IFERROR(__xludf.DUMMYFUNCTION("""COMPUTED_VALUE"""),"None")</f>
        <v>None</v>
      </c>
      <c r="H472" s="27" t="str">
        <f>IFERROR(__xludf.DUMMYFUNCTION("""COMPUTED_VALUE"""),"A Maiden's Will")</f>
        <v>A Maiden's Will</v>
      </c>
      <c r="I472" s="28" t="str">
        <f>IFERROR(__xludf.DUMMYFUNCTION("""COMPUTED_VALUE"""),"[1 MP] [STAY] Your opponent can only declare 1 Attack during this turn.")</f>
        <v>[1 MP] [STAY] Your opponent can only declare 1 Attack during this turn.</v>
      </c>
      <c r="J472" s="27">
        <f>IFERROR(__xludf.DUMMYFUNCTION("""COMPUTED_VALUE"""),2500.0)</f>
        <v>2500</v>
      </c>
      <c r="K472" s="27" t="str">
        <f>IFERROR(__xludf.DUMMYFUNCTION("""COMPUTED_VALUE"""),"-")</f>
        <v>-</v>
      </c>
      <c r="L472" s="27" t="str">
        <f>IFERROR(__xludf.DUMMYFUNCTION("""COMPUTED_VALUE"""),"Secrets of the Ruins, Level 5")</f>
        <v>Secrets of the Ruins, Level 5</v>
      </c>
      <c r="M472" s="27" t="str">
        <f>IFERROR(__xludf.DUMMYFUNCTION("""COMPUTED_VALUE"""),"[C]")</f>
        <v>[C]</v>
      </c>
      <c r="N472" s="27" t="str">
        <f>IFERROR(__xludf.DUMMYFUNCTION("""COMPUTED_VALUE"""),"""I can't forgive you for this!""")</f>
        <v>"I can't forgive you for this!"</v>
      </c>
      <c r="O472" s="27"/>
      <c r="P472" s="27"/>
      <c r="Q472" s="27"/>
      <c r="R472" s="27"/>
      <c r="S472" s="27"/>
      <c r="T472" s="27"/>
      <c r="U472" s="27"/>
      <c r="V472" s="27"/>
      <c r="W472" s="27"/>
      <c r="X472" s="27"/>
      <c r="Y472" s="27"/>
      <c r="Z472" s="27"/>
    </row>
    <row r="473">
      <c r="A473" s="29" t="str">
        <f>IFERROR(__xludf.DUMMYFUNCTION("""COMPUTED_VALUE"""),"M-094")</f>
        <v>M-094</v>
      </c>
      <c r="B473" s="27" t="str">
        <f>IFERROR(__xludf.DUMMYFUNCTION("""COMPUTED_VALUE"""),"Mamodo")</f>
        <v>Mamodo</v>
      </c>
      <c r="C473" s="27" t="str">
        <f>IFERROR(__xludf.DUMMYFUNCTION("""COMPUTED_VALUE"""),"Reycom")</f>
        <v>Reycom</v>
      </c>
      <c r="D473" s="27" t="str">
        <f>IFERROR(__xludf.DUMMYFUNCTION("""COMPUTED_VALUE"""),"Reycom")</f>
        <v>Reycom</v>
      </c>
      <c r="E473" s="27" t="str">
        <f>IFERROR(__xludf.DUMMYFUNCTION("""COMPUTED_VALUE"""),"-")</f>
        <v>-</v>
      </c>
      <c r="F473" s="27" t="str">
        <f>IFERROR(__xludf.DUMMYFUNCTION("""COMPUTED_VALUE"""),"-")</f>
        <v>-</v>
      </c>
      <c r="G473" s="27" t="str">
        <f>IFERROR(__xludf.DUMMYFUNCTION("""COMPUTED_VALUE"""),"None")</f>
        <v>None</v>
      </c>
      <c r="H473" s="27" t="str">
        <f>IFERROR(__xludf.DUMMYFUNCTION("""COMPUTED_VALUE"""),"The Joy in Vice")</f>
        <v>The Joy in Vice</v>
      </c>
      <c r="I473" s="28" t="str">
        <f>IFERROR(__xludf.DUMMYFUNCTION("""COMPUTED_VALUE"""),"[IN PLAY] When your opponent's MP is reduced from 1 or more to 0 by your card effects, get 2 MP.")</f>
        <v>[IN PLAY] When your opponent's MP is reduced from 1 or more to 0 by your card effects, get 2 MP.</v>
      </c>
      <c r="J473" s="27">
        <f>IFERROR(__xludf.DUMMYFUNCTION("""COMPUTED_VALUE"""),3000.0)</f>
        <v>3000</v>
      </c>
      <c r="K473" s="27" t="str">
        <f>IFERROR(__xludf.DUMMYFUNCTION("""COMPUTED_VALUE"""),"-")</f>
        <v>-</v>
      </c>
      <c r="L473" s="27" t="str">
        <f>IFERROR(__xludf.DUMMYFUNCTION("""COMPUTED_VALUE"""),"Dawn of the Ancients, Series 4, Level 5, The Best Booster 2, Revised Edition")</f>
        <v>Dawn of the Ancients, Series 4, Level 5, The Best Booster 2, Revised Edition</v>
      </c>
      <c r="M473" s="27" t="str">
        <f>IFERROR(__xludf.DUMMYFUNCTION("""COMPUTED_VALUE"""),"[U]")</f>
        <v>[U]</v>
      </c>
      <c r="N473" s="27" t="str">
        <f>IFERROR(__xludf.DUMMYFUNCTION("""COMPUTED_VALUE"""),"""Being addicted to evil makes me very happy.""")</f>
        <v>"Being addicted to evil makes me very happy."</v>
      </c>
      <c r="O473" s="27"/>
      <c r="P473" s="27"/>
      <c r="Q473" s="27"/>
      <c r="R473" s="27"/>
      <c r="S473" s="27"/>
      <c r="T473" s="27"/>
      <c r="U473" s="27"/>
      <c r="V473" s="27"/>
      <c r="W473" s="27"/>
      <c r="X473" s="27"/>
      <c r="Y473" s="27"/>
      <c r="Z473" s="27"/>
    </row>
    <row r="474">
      <c r="A474" s="29" t="str">
        <f>IFERROR(__xludf.DUMMYFUNCTION("""COMPUTED_VALUE"""),"M-095")</f>
        <v>M-095</v>
      </c>
      <c r="B474" s="27" t="str">
        <f>IFERROR(__xludf.DUMMYFUNCTION("""COMPUTED_VALUE"""),"Mamodo")</f>
        <v>Mamodo</v>
      </c>
      <c r="C474" s="27" t="str">
        <f>IFERROR(__xludf.DUMMYFUNCTION("""COMPUTED_VALUE"""),"Sugino")</f>
        <v>Sugino</v>
      </c>
      <c r="D474" s="27" t="str">
        <f>IFERROR(__xludf.DUMMYFUNCTION("""COMPUTED_VALUE"""),"Sugino")</f>
        <v>Sugino</v>
      </c>
      <c r="E474" s="27" t="str">
        <f>IFERROR(__xludf.DUMMYFUNCTION("""COMPUTED_VALUE"""),"-")</f>
        <v>-</v>
      </c>
      <c r="F474" s="27" t="str">
        <f>IFERROR(__xludf.DUMMYFUNCTION("""COMPUTED_VALUE"""),"-")</f>
        <v>-</v>
      </c>
      <c r="G474" s="27" t="str">
        <f>IFERROR(__xludf.DUMMYFUNCTION("""COMPUTED_VALUE"""),"None")</f>
        <v>None</v>
      </c>
      <c r="H474" s="27" t="str">
        <f>IFERROR(__xludf.DUMMYFUNCTION("""COMPUTED_VALUE"""),"Manipulator of Plants")</f>
        <v>Manipulator of Plants</v>
      </c>
      <c r="I474" s="28" t="str">
        <f>IFERROR(__xludf.DUMMYFUNCTION("""COMPUTED_VALUE"""),"(Battle) [1 MP] Apply 1 of the following effects: ● [STAY] Increase or reduce the Damage of a ""Wood"" Attribute SPELL card you played in the Battle by 1. ● [STAY] Increase or reduce the Damage of a ""Wood"" Attribute SPELL card your opponent played in th"&amp;"e Battle by 1.")</f>
        <v>(Battle) [1 MP] Apply 1 of the following effects: ● [STAY] Increase or reduce the Damage of a "Wood" Attribute SPELL card you played in the Battle by 1. ● [STAY] Increase or reduce the Damage of a "Wood" Attribute SPELL card your opponent played in the Battle by 1.</v>
      </c>
      <c r="J474" s="27">
        <f>IFERROR(__xludf.DUMMYFUNCTION("""COMPUTED_VALUE"""),3500.0)</f>
        <v>3500</v>
      </c>
      <c r="K474" s="27" t="str">
        <f>IFERROR(__xludf.DUMMYFUNCTION("""COMPUTED_VALUE"""),"-")</f>
        <v>-</v>
      </c>
      <c r="L474" s="27" t="str">
        <f>IFERROR(__xludf.DUMMYFUNCTION("""COMPUTED_VALUE"""),"Dawn of the Ancients, Series 4, Level 5")</f>
        <v>Dawn of the Ancients, Series 4, Level 5</v>
      </c>
      <c r="M474" s="27" t="str">
        <f>IFERROR(__xludf.DUMMYFUNCTION("""COMPUTED_VALUE"""),"[U]")</f>
        <v>[U]</v>
      </c>
      <c r="N474" s="27" t="str">
        <f>IFERROR(__xludf.DUMMYFUNCTION("""COMPUTED_VALUE"""),"His training, aimed at humans, has started in the botanical garden.")</f>
        <v>His training, aimed at humans, has started in the botanical garden.</v>
      </c>
      <c r="O474" s="27"/>
      <c r="P474" s="27"/>
      <c r="Q474" s="27"/>
      <c r="R474" s="27"/>
      <c r="S474" s="27"/>
      <c r="T474" s="27"/>
      <c r="U474" s="27"/>
      <c r="V474" s="27"/>
      <c r="W474" s="27"/>
      <c r="X474" s="27"/>
      <c r="Y474" s="27"/>
      <c r="Z474" s="27"/>
    </row>
    <row r="475">
      <c r="A475" s="29" t="str">
        <f>IFERROR(__xludf.DUMMYFUNCTION("""COMPUTED_VALUE"""),"M-096")</f>
        <v>M-096</v>
      </c>
      <c r="B475" s="27" t="str">
        <f>IFERROR(__xludf.DUMMYFUNCTION("""COMPUTED_VALUE"""),"Mamodo")</f>
        <v>Mamodo</v>
      </c>
      <c r="C475" s="27" t="str">
        <f>IFERROR(__xludf.DUMMYFUNCTION("""COMPUTED_VALUE"""),"Kolulu")</f>
        <v>Kolulu</v>
      </c>
      <c r="D475" s="27" t="str">
        <f>IFERROR(__xludf.DUMMYFUNCTION("""COMPUTED_VALUE"""),"Kolulu")</f>
        <v>Kolulu</v>
      </c>
      <c r="E475" s="27" t="str">
        <f>IFERROR(__xludf.DUMMYFUNCTION("""COMPUTED_VALUE"""),"-")</f>
        <v>-</v>
      </c>
      <c r="F475" s="27" t="str">
        <f>IFERROR(__xludf.DUMMYFUNCTION("""COMPUTED_VALUE"""),"-")</f>
        <v>-</v>
      </c>
      <c r="G475" s="27" t="str">
        <f>IFERROR(__xludf.DUMMYFUNCTION("""COMPUTED_VALUE"""),"None")</f>
        <v>None</v>
      </c>
      <c r="H475" s="27" t="str">
        <f>IFERROR(__xludf.DUMMYFUNCTION("""COMPUTED_VALUE"""),"Kind Kolulu")</f>
        <v>Kind Kolulu</v>
      </c>
      <c r="I475" s="28" t="str">
        <f>IFERROR(__xludf.DUMMYFUNCTION("""COMPUTED_VALUE"""),"(Battle) [1 MP] Negate your own Attack. The MP cost paid for that Attack is restored.")</f>
        <v>(Battle) [1 MP] Negate your own Attack. The MP cost paid for that Attack is restored.</v>
      </c>
      <c r="J475" s="27">
        <f>IFERROR(__xludf.DUMMYFUNCTION("""COMPUTED_VALUE"""),1000.0)</f>
        <v>1000</v>
      </c>
      <c r="K475" s="27" t="str">
        <f>IFERROR(__xludf.DUMMYFUNCTION("""COMPUTED_VALUE"""),"-")</f>
        <v>-</v>
      </c>
      <c r="L475" s="27" t="str">
        <f>IFERROR(__xludf.DUMMYFUNCTION("""COMPUTED_VALUE"""),"Secrets of the Ruins, Level 5")</f>
        <v>Secrets of the Ruins, Level 5</v>
      </c>
      <c r="M475" s="27" t="str">
        <f>IFERROR(__xludf.DUMMYFUNCTION("""COMPUTED_VALUE"""),"[R]")</f>
        <v>[R]</v>
      </c>
      <c r="N475" s="27" t="str">
        <f>IFERROR(__xludf.DUMMYFUNCTION("""COMPUTED_VALUE"""),"""You're such a kind person, Lori.""")</f>
        <v>"You're such a kind person, Lori."</v>
      </c>
      <c r="O475" s="27"/>
      <c r="P475" s="27"/>
      <c r="Q475" s="27"/>
      <c r="R475" s="27"/>
      <c r="S475" s="27"/>
      <c r="T475" s="27"/>
      <c r="U475" s="27"/>
      <c r="V475" s="27"/>
      <c r="W475" s="27"/>
      <c r="X475" s="27"/>
      <c r="Y475" s="27"/>
      <c r="Z475" s="27"/>
    </row>
    <row r="476">
      <c r="A476" s="29" t="str">
        <f>IFERROR(__xludf.DUMMYFUNCTION("""COMPUTED_VALUE"""),"M-097")</f>
        <v>M-097</v>
      </c>
      <c r="B476" s="27" t="str">
        <f>IFERROR(__xludf.DUMMYFUNCTION("""COMPUTED_VALUE"""),"Mamodo")</f>
        <v>Mamodo</v>
      </c>
      <c r="C476" s="27" t="str">
        <f>IFERROR(__xludf.DUMMYFUNCTION("""COMPUTED_VALUE"""),"Kolulu (Transformed)")</f>
        <v>Kolulu (Transformed)</v>
      </c>
      <c r="D476" s="27" t="str">
        <f>IFERROR(__xludf.DUMMYFUNCTION("""COMPUTED_VALUE"""),"Kolulu")</f>
        <v>Kolulu</v>
      </c>
      <c r="E476" s="27" t="str">
        <f>IFERROR(__xludf.DUMMYFUNCTION("""COMPUTED_VALUE"""),"-")</f>
        <v>-</v>
      </c>
      <c r="F476" s="27" t="str">
        <f>IFERROR(__xludf.DUMMYFUNCTION("""COMPUTED_VALUE"""),"-")</f>
        <v>-</v>
      </c>
      <c r="G476" s="27" t="str">
        <f>IFERROR(__xludf.DUMMYFUNCTION("""COMPUTED_VALUE"""),"None")</f>
        <v>None</v>
      </c>
      <c r="H476" s="27" t="str">
        <f>IFERROR(__xludf.DUMMYFUNCTION("""COMPUTED_VALUE"""),"A Mamodo's Tears")</f>
        <v>A Mamodo's Tears</v>
      </c>
      <c r="I476" s="28" t="str">
        <f>IFERROR(__xludf.DUMMYFUNCTION("""COMPUTED_VALUE"""),"This card is placed on a regular Kolulu MAMODO card. [IN PLAY] Turn back 1 page of your Spell Book when this MAMODO card is sent to the Discard Pile (the regular Kolulu MAMODO card remains in play).")</f>
        <v>This card is placed on a regular Kolulu MAMODO card. [IN PLAY] Turn back 1 page of your Spell Book when this MAMODO card is sent to the Discard Pile (the regular Kolulu MAMODO card remains in play).</v>
      </c>
      <c r="J476" s="27">
        <f>IFERROR(__xludf.DUMMYFUNCTION("""COMPUTED_VALUE"""),4500.0)</f>
        <v>4500</v>
      </c>
      <c r="K476" s="27" t="str">
        <f>IFERROR(__xludf.DUMMYFUNCTION("""COMPUTED_VALUE"""),"-")</f>
        <v>-</v>
      </c>
      <c r="L476" s="27" t="str">
        <f>IFERROR(__xludf.DUMMYFUNCTION("""COMPUTED_VALUE"""),"Secrets of the Ruins, Level 5")</f>
        <v>Secrets of the Ruins, Level 5</v>
      </c>
      <c r="M476" s="27" t="str">
        <f>IFERROR(__xludf.DUMMYFUNCTION("""COMPUTED_VALUE"""),"[U]")</f>
        <v>[U]</v>
      </c>
      <c r="N476" s="27" t="str">
        <f>IFERROR(__xludf.DUMMYFUNCTION("""COMPUTED_VALUE"""),"""We can't run away... from our destiny.""")</f>
        <v>"We can't run away... from our destiny."</v>
      </c>
      <c r="O476" s="27"/>
      <c r="P476" s="27"/>
      <c r="Q476" s="27"/>
      <c r="R476" s="27"/>
      <c r="S476" s="27"/>
      <c r="T476" s="27"/>
      <c r="U476" s="27"/>
      <c r="V476" s="27"/>
      <c r="W476" s="27"/>
      <c r="X476" s="27"/>
      <c r="Y476" s="27"/>
      <c r="Z476" s="27"/>
    </row>
    <row r="477">
      <c r="A477" s="29" t="str">
        <f>IFERROR(__xludf.DUMMYFUNCTION("""COMPUTED_VALUE"""),"M-098")</f>
        <v>M-098</v>
      </c>
      <c r="B477" s="27" t="str">
        <f>IFERROR(__xludf.DUMMYFUNCTION("""COMPUTED_VALUE"""),"Mamodo")</f>
        <v>Mamodo</v>
      </c>
      <c r="C477" s="27" t="str">
        <f>IFERROR(__xludf.DUMMYFUNCTION("""COMPUTED_VALUE"""),"Kido")</f>
        <v>Kido</v>
      </c>
      <c r="D477" s="27" t="str">
        <f>IFERROR(__xludf.DUMMYFUNCTION("""COMPUTED_VALUE"""),"Kido")</f>
        <v>Kido</v>
      </c>
      <c r="E477" s="27" t="str">
        <f>IFERROR(__xludf.DUMMYFUNCTION("""COMPUTED_VALUE"""),"-")</f>
        <v>-</v>
      </c>
      <c r="F477" s="27" t="str">
        <f>IFERROR(__xludf.DUMMYFUNCTION("""COMPUTED_VALUE"""),"-")</f>
        <v>-</v>
      </c>
      <c r="G477" s="27" t="str">
        <f>IFERROR(__xludf.DUMMYFUNCTION("""COMPUTED_VALUE"""),"None")</f>
        <v>None</v>
      </c>
      <c r="H477" s="27" t="str">
        <f>IFERROR(__xludf.DUMMYFUNCTION("""COMPUTED_VALUE"""),"Little Strategist")</f>
        <v>Little Strategist</v>
      </c>
      <c r="I477" s="28" t="str">
        <f>IFERROR(__xludf.DUMMYFUNCTION("""COMPUTED_VALUE"""),"[IN PLAY] The MP cost of your opponent's 0 MP cost EVENT cards is considered to be 2 MP.")</f>
        <v>[IN PLAY] The MP cost of your opponent's 0 MP cost EVENT cards is considered to be 2 MP.</v>
      </c>
      <c r="J477" s="27">
        <f>IFERROR(__xludf.DUMMYFUNCTION("""COMPUTED_VALUE"""),4000.0)</f>
        <v>4000</v>
      </c>
      <c r="K477" s="27" t="str">
        <f>IFERROR(__xludf.DUMMYFUNCTION("""COMPUTED_VALUE"""),"-")</f>
        <v>-</v>
      </c>
      <c r="L477" s="27" t="str">
        <f>IFERROR(__xludf.DUMMYFUNCTION("""COMPUTED_VALUE"""),"Dawn of the Ancients, Series 4, Level 5, The Best Booster 2")</f>
        <v>Dawn of the Ancients, Series 4, Level 5, The Best Booster 2</v>
      </c>
      <c r="M477" s="27" t="str">
        <f>IFERROR(__xludf.DUMMYFUNCTION("""COMPUTED_VALUE"""),"[R]")</f>
        <v>[R]</v>
      </c>
      <c r="N477" s="27" t="str">
        <f>IFERROR(__xludf.DUMMYFUNCTION("""COMPUTED_VALUE"""),"Kido loves Dr. Riddles very much.")</f>
        <v>Kido loves Dr. Riddles very much.</v>
      </c>
      <c r="O477" s="27"/>
      <c r="P477" s="27"/>
      <c r="Q477" s="27"/>
      <c r="R477" s="27"/>
      <c r="S477" s="27"/>
      <c r="T477" s="27"/>
      <c r="U477" s="27"/>
      <c r="V477" s="27"/>
      <c r="W477" s="27"/>
      <c r="X477" s="27"/>
      <c r="Y477" s="27"/>
      <c r="Z477" s="27"/>
    </row>
    <row r="478">
      <c r="A478" s="29" t="str">
        <f>IFERROR(__xludf.DUMMYFUNCTION("""COMPUTED_VALUE"""),"M-099")</f>
        <v>M-099</v>
      </c>
      <c r="B478" s="27" t="str">
        <f>IFERROR(__xludf.DUMMYFUNCTION("""COMPUTED_VALUE"""),"Mamodo")</f>
        <v>Mamodo</v>
      </c>
      <c r="C478" s="27" t="str">
        <f>IFERROR(__xludf.DUMMYFUNCTION("""COMPUTED_VALUE"""),"Penny")</f>
        <v>Penny</v>
      </c>
      <c r="D478" s="27" t="str">
        <f>IFERROR(__xludf.DUMMYFUNCTION("""COMPUTED_VALUE"""),"Penny")</f>
        <v>Penny</v>
      </c>
      <c r="E478" s="27" t="str">
        <f>IFERROR(__xludf.DUMMYFUNCTION("""COMPUTED_VALUE"""),"-")</f>
        <v>-</v>
      </c>
      <c r="F478" s="27" t="str">
        <f>IFERROR(__xludf.DUMMYFUNCTION("""COMPUTED_VALUE"""),"-")</f>
        <v>-</v>
      </c>
      <c r="G478" s="27" t="str">
        <f>IFERROR(__xludf.DUMMYFUNCTION("""COMPUTED_VALUE"""),"None")</f>
        <v>None</v>
      </c>
      <c r="H478" s="27" t="str">
        <f>IFERROR(__xludf.DUMMYFUNCTION("""COMPUTED_VALUE"""),"Maiden's Tactics")</f>
        <v>Maiden's Tactics</v>
      </c>
      <c r="I478" s="28" t="str">
        <f>IFERROR(__xludf.DUMMYFUNCTION("""COMPUTED_VALUE"""),"[IN PLAY] Flip a coin when your opponent turns back any pages of their Spell Book; if it's heads, turn 3 pages of your opponent's Spell Book.")</f>
        <v>[IN PLAY] Flip a coin when your opponent turns back any pages of their Spell Book; if it's heads, turn 3 pages of your opponent's Spell Book.</v>
      </c>
      <c r="J478" s="27">
        <f>IFERROR(__xludf.DUMMYFUNCTION("""COMPUTED_VALUE"""),4000.0)</f>
        <v>4000</v>
      </c>
      <c r="K478" s="27" t="str">
        <f>IFERROR(__xludf.DUMMYFUNCTION("""COMPUTED_VALUE"""),"-")</f>
        <v>-</v>
      </c>
      <c r="L478" s="27" t="str">
        <f>IFERROR(__xludf.DUMMYFUNCTION("""COMPUTED_VALUE"""),"Dawn of the Ancients, Series 4, Level 5")</f>
        <v>Dawn of the Ancients, Series 4, Level 5</v>
      </c>
      <c r="M478" s="27" t="str">
        <f>IFERROR(__xludf.DUMMYFUNCTION("""COMPUTED_VALUE"""),"[R]")</f>
        <v>[R]</v>
      </c>
      <c r="N478" s="27" t="str">
        <f>IFERROR(__xludf.DUMMYFUNCTION("""COMPUTED_VALUE"""),"Penny leads the mamodo from a thousand years ago,  who have been revived.")</f>
        <v>Penny leads the mamodo from a thousand years ago,  who have been revived.</v>
      </c>
      <c r="O478" s="27"/>
      <c r="P478" s="27"/>
      <c r="Q478" s="27"/>
      <c r="R478" s="27"/>
      <c r="S478" s="27"/>
      <c r="T478" s="27"/>
      <c r="U478" s="27"/>
      <c r="V478" s="27"/>
      <c r="W478" s="27"/>
      <c r="X478" s="27"/>
      <c r="Y478" s="27"/>
      <c r="Z478" s="27"/>
    </row>
    <row r="479">
      <c r="A479" s="29" t="str">
        <f>IFERROR(__xludf.DUMMYFUNCTION("""COMPUTED_VALUE"""),"M-100")</f>
        <v>M-100</v>
      </c>
      <c r="B479" s="27" t="str">
        <f>IFERROR(__xludf.DUMMYFUNCTION("""COMPUTED_VALUE"""),"Mamodo")</f>
        <v>Mamodo</v>
      </c>
      <c r="C479" s="27" t="str">
        <f>IFERROR(__xludf.DUMMYFUNCTION("""COMPUTED_VALUE"""),"Zofis")</f>
        <v>Zofis</v>
      </c>
      <c r="D479" s="27" t="str">
        <f>IFERROR(__xludf.DUMMYFUNCTION("""COMPUTED_VALUE"""),"Zofis")</f>
        <v>Zofis</v>
      </c>
      <c r="E479" s="27" t="str">
        <f>IFERROR(__xludf.DUMMYFUNCTION("""COMPUTED_VALUE"""),"-")</f>
        <v>-</v>
      </c>
      <c r="F479" s="27" t="str">
        <f>IFERROR(__xludf.DUMMYFUNCTION("""COMPUTED_VALUE"""),"-")</f>
        <v>-</v>
      </c>
      <c r="G479" s="27" t="str">
        <f>IFERROR(__xludf.DUMMYFUNCTION("""COMPUTED_VALUE"""),"None")</f>
        <v>None</v>
      </c>
      <c r="H479" s="27" t="str">
        <f>IFERROR(__xludf.DUMMYFUNCTION("""COMPUTED_VALUE"""),"Revenge")</f>
        <v>Revenge</v>
      </c>
      <c r="I479" s="28" t="str">
        <f>IFERROR(__xludf.DUMMYFUNCTION("""COMPUTED_VALUE"""),"[DECLARE TO USE] If your MP is reduced by your opponent's card effects, flip a coin; if it's heads, send 1 of your opponent's in-play MAMODO cards to the Discard Pile.")</f>
        <v>[DECLARE TO USE] If your MP is reduced by your opponent's card effects, flip a coin; if it's heads, send 1 of your opponent's in-play MAMODO cards to the Discard Pile.</v>
      </c>
      <c r="J479" s="27">
        <f>IFERROR(__xludf.DUMMYFUNCTION("""COMPUTED_VALUE"""),5500.0)</f>
        <v>5500</v>
      </c>
      <c r="K479" s="27" t="str">
        <f>IFERROR(__xludf.DUMMYFUNCTION("""COMPUTED_VALUE"""),"-")</f>
        <v>-</v>
      </c>
      <c r="L479" s="27" t="str">
        <f>IFERROR(__xludf.DUMMYFUNCTION("""COMPUTED_VALUE"""),"Dawn of the Ancients, Series 4, Level 5")</f>
        <v>Dawn of the Ancients, Series 4, Level 5</v>
      </c>
      <c r="M479" s="27" t="str">
        <f>IFERROR(__xludf.DUMMYFUNCTION("""COMPUTED_VALUE"""),"[R]")</f>
        <v>[R]</v>
      </c>
      <c r="N479" s="27" t="str">
        <f>IFERROR(__xludf.DUMMYFUNCTION("""COMPUTED_VALUE"""),"""Now, let's wipe out the left-overs!""")</f>
        <v>"Now, let's wipe out the left-overs!"</v>
      </c>
      <c r="O479" s="27"/>
      <c r="P479" s="27"/>
      <c r="Q479" s="27"/>
      <c r="R479" s="27"/>
      <c r="S479" s="27"/>
      <c r="T479" s="27"/>
      <c r="U479" s="27"/>
      <c r="V479" s="27"/>
      <c r="W479" s="27"/>
      <c r="X479" s="27"/>
      <c r="Y479" s="27"/>
      <c r="Z479" s="27"/>
    </row>
    <row r="480">
      <c r="A480" s="29" t="str">
        <f>IFERROR(__xludf.DUMMYFUNCTION("""COMPUTED_VALUE"""),"M-101")</f>
        <v>M-101</v>
      </c>
      <c r="B480" s="27" t="str">
        <f>IFERROR(__xludf.DUMMYFUNCTION("""COMPUTED_VALUE"""),"Mamodo")</f>
        <v>Mamodo</v>
      </c>
      <c r="C480" s="27" t="str">
        <f>IFERROR(__xludf.DUMMYFUNCTION("""COMPUTED_VALUE"""),"Grisor")</f>
        <v>Grisor</v>
      </c>
      <c r="D480" s="27" t="str">
        <f>IFERROR(__xludf.DUMMYFUNCTION("""COMPUTED_VALUE"""),"Grisor")</f>
        <v>Grisor</v>
      </c>
      <c r="E480" s="27" t="str">
        <f>IFERROR(__xludf.DUMMYFUNCTION("""COMPUTED_VALUE"""),"-")</f>
        <v>-</v>
      </c>
      <c r="F480" s="27" t="str">
        <f>IFERROR(__xludf.DUMMYFUNCTION("""COMPUTED_VALUE"""),"-")</f>
        <v>-</v>
      </c>
      <c r="G480" s="27" t="str">
        <f>IFERROR(__xludf.DUMMYFUNCTION("""COMPUTED_VALUE"""),"None")</f>
        <v>None</v>
      </c>
      <c r="H480" s="27" t="str">
        <f>IFERROR(__xludf.DUMMYFUNCTION("""COMPUTED_VALUE"""),"A Dismal Life")</f>
        <v>A Dismal Life</v>
      </c>
      <c r="I480" s="28" t="str">
        <f>IFERROR(__xludf.DUMMYFUNCTION("""COMPUTED_VALUE"""),"[IN PLAY] When you have 0 MP, the MP cost of your 1 MP cost EVENT cards is considered to be 0.")</f>
        <v>[IN PLAY] When you have 0 MP, the MP cost of your 1 MP cost EVENT cards is considered to be 0.</v>
      </c>
      <c r="J480" s="27">
        <f>IFERROR(__xludf.DUMMYFUNCTION("""COMPUTED_VALUE"""),1000.0)</f>
        <v>1000</v>
      </c>
      <c r="K480" s="27" t="str">
        <f>IFERROR(__xludf.DUMMYFUNCTION("""COMPUTED_VALUE"""),"-")</f>
        <v>-</v>
      </c>
      <c r="L480" s="27" t="str">
        <f>IFERROR(__xludf.DUMMYFUNCTION("""COMPUTED_VALUE"""),"Secrets of the Ruins, Level 5")</f>
        <v>Secrets of the Ruins, Level 5</v>
      </c>
      <c r="M480" s="27" t="str">
        <f>IFERROR(__xludf.DUMMYFUNCTION("""COMPUTED_VALUE"""),"[C]")</f>
        <v>[C]</v>
      </c>
      <c r="N480" s="27" t="str">
        <f>IFERROR(__xludf.DUMMYFUNCTION("""COMPUTED_VALUE"""),"To compensate for being weak, Grisor stole the magic mirror from the mamodo world.")</f>
        <v>To compensate for being weak, Grisor stole the magic mirror from the mamodo world.</v>
      </c>
      <c r="O480" s="27"/>
      <c r="P480" s="27"/>
      <c r="Q480" s="27"/>
      <c r="R480" s="27"/>
      <c r="S480" s="27"/>
      <c r="T480" s="27"/>
      <c r="U480" s="27"/>
      <c r="V480" s="27"/>
      <c r="W480" s="27"/>
      <c r="X480" s="27"/>
      <c r="Y480" s="27"/>
      <c r="Z480" s="27"/>
    </row>
    <row r="481">
      <c r="A481" s="29" t="str">
        <f>IFERROR(__xludf.DUMMYFUNCTION("""COMPUTED_VALUE"""),"M-102")</f>
        <v>M-102</v>
      </c>
      <c r="B481" s="27" t="str">
        <f>IFERROR(__xludf.DUMMYFUNCTION("""COMPUTED_VALUE"""),"Mamodo")</f>
        <v>Mamodo</v>
      </c>
      <c r="C481" s="27" t="str">
        <f>IFERROR(__xludf.DUMMYFUNCTION("""COMPUTED_VALUE"""),"Grisor (Transformed)")</f>
        <v>Grisor (Transformed)</v>
      </c>
      <c r="D481" s="27" t="str">
        <f>IFERROR(__xludf.DUMMYFUNCTION("""COMPUTED_VALUE"""),"Grisor")</f>
        <v>Grisor</v>
      </c>
      <c r="E481" s="27" t="str">
        <f>IFERROR(__xludf.DUMMYFUNCTION("""COMPUTED_VALUE"""),"-")</f>
        <v>-</v>
      </c>
      <c r="F481" s="27" t="str">
        <f>IFERROR(__xludf.DUMMYFUNCTION("""COMPUTED_VALUE"""),"-")</f>
        <v>-</v>
      </c>
      <c r="G481" s="27" t="str">
        <f>IFERROR(__xludf.DUMMYFUNCTION("""COMPUTED_VALUE"""),"None")</f>
        <v>None</v>
      </c>
      <c r="H481" s="27" t="str">
        <f>IFERROR(__xludf.DUMMYFUNCTION("""COMPUTED_VALUE"""),"Scorching Inferno")</f>
        <v>Scorching Inferno</v>
      </c>
      <c r="I481" s="28" t="str">
        <f>IFERROR(__xludf.DUMMYFUNCTION("""COMPUTED_VALUE"""),"This card is placed on a regular Grisor MAMODO card when a Riapol SPELL card is played for the Grisor MAMODO card. [IN PLAY] If either player has 6 MP or more, adjust the MP until both players have 5 MP. In addition, neither player can have more than 5 MP"&amp;".")</f>
        <v>This card is placed on a regular Grisor MAMODO card when a Riapol SPELL card is played for the Grisor MAMODO card. [IN PLAY] If either player has 6 MP or more, adjust the MP until both players have 5 MP. In addition, neither player can have more than 5 MP.</v>
      </c>
      <c r="J481" s="27">
        <f>IFERROR(__xludf.DUMMYFUNCTION("""COMPUTED_VALUE"""),5000.0)</f>
        <v>5000</v>
      </c>
      <c r="K481" s="27" t="str">
        <f>IFERROR(__xludf.DUMMYFUNCTION("""COMPUTED_VALUE"""),"-")</f>
        <v>-</v>
      </c>
      <c r="L481" s="27" t="str">
        <f>IFERROR(__xludf.DUMMYFUNCTION("""COMPUTED_VALUE"""),"Secrets of the Ruins, Level 5")</f>
        <v>Secrets of the Ruins, Level 5</v>
      </c>
      <c r="M481" s="27" t="str">
        <f>IFERROR(__xludf.DUMMYFUNCTION("""COMPUTED_VALUE"""),"[U]")</f>
        <v>[U]</v>
      </c>
      <c r="N481" s="27" t="str">
        <f>IFERROR(__xludf.DUMMYFUNCTION("""COMPUTED_VALUE"""),"""This level of power is beyond my wildest imagination!""")</f>
        <v>"This level of power is beyond my wildest imagination!"</v>
      </c>
      <c r="O481" s="27"/>
      <c r="P481" s="27"/>
      <c r="Q481" s="27"/>
      <c r="R481" s="27"/>
      <c r="S481" s="27"/>
      <c r="T481" s="27"/>
      <c r="U481" s="27"/>
      <c r="V481" s="27"/>
      <c r="W481" s="27"/>
      <c r="X481" s="27"/>
      <c r="Y481" s="27"/>
      <c r="Z481" s="27"/>
    </row>
    <row r="482">
      <c r="A482" s="29" t="str">
        <f>IFERROR(__xludf.DUMMYFUNCTION("""COMPUTED_VALUE"""),"M-103")</f>
        <v>M-103</v>
      </c>
      <c r="B482" s="27" t="str">
        <f>IFERROR(__xludf.DUMMYFUNCTION("""COMPUTED_VALUE"""),"Dual Mamodo")</f>
        <v>Dual Mamodo</v>
      </c>
      <c r="C482" s="27" t="str">
        <f>IFERROR(__xludf.DUMMYFUNCTION("""COMPUTED_VALUE"""),"Zatch Bell &amp; Kanchome")</f>
        <v>Zatch Bell &amp; Kanchome</v>
      </c>
      <c r="D482" s="27" t="str">
        <f>IFERROR(__xludf.DUMMYFUNCTION("""COMPUTED_VALUE"""),"Zatch Bell | Kanchome")</f>
        <v>Zatch Bell | Kanchome</v>
      </c>
      <c r="E482" s="27" t="str">
        <f>IFERROR(__xludf.DUMMYFUNCTION("""COMPUTED_VALUE"""),"-")</f>
        <v>-</v>
      </c>
      <c r="F482" s="27" t="str">
        <f>IFERROR(__xludf.DUMMYFUNCTION("""COMPUTED_VALUE"""),"-")</f>
        <v>-</v>
      </c>
      <c r="G482" s="27" t="str">
        <f>IFERROR(__xludf.DUMMYFUNCTION("""COMPUTED_VALUE"""),"None")</f>
        <v>None</v>
      </c>
      <c r="H482" s="27" t="str">
        <f>IFERROR(__xludf.DUMMYFUNCTION("""COMPUTED_VALUE"""),"The Lucky One")</f>
        <v>The Lucky One</v>
      </c>
      <c r="I482" s="28" t="str">
        <f>IFERROR(__xludf.DUMMYFUNCTION("""COMPUTED_VALUE"""),"Send your in-play Zatch Bell or Kanchomé MAMODO card to the Discard Pile to put this MAMODO card in play. [DECLARE TO USE] Re-do a coin toss that was done by either player.")</f>
        <v>Send your in-play Zatch Bell or Kanchomé MAMODO card to the Discard Pile to put this MAMODO card in play. [DECLARE TO USE] Re-do a coin toss that was done by either player.</v>
      </c>
      <c r="J482" s="27">
        <f>IFERROR(__xludf.DUMMYFUNCTION("""COMPUTED_VALUE"""),4000.0)</f>
        <v>4000</v>
      </c>
      <c r="K482" s="27" t="str">
        <f>IFERROR(__xludf.DUMMYFUNCTION("""COMPUTED_VALUE"""),"-")</f>
        <v>-</v>
      </c>
      <c r="L482" s="27" t="str">
        <f>IFERROR(__xludf.DUMMYFUNCTION("""COMPUTED_VALUE"""),"Dawn of the Ancients, Series 4, Level 5, The Best Booster 2")</f>
        <v>Dawn of the Ancients, Series 4, Level 5, The Best Booster 2</v>
      </c>
      <c r="M482" s="27" t="str">
        <f>IFERROR(__xludf.DUMMYFUNCTION("""COMPUTED_VALUE"""),"[SR]")</f>
        <v>[SR]</v>
      </c>
      <c r="N482" s="27" t="str">
        <f>IFERROR(__xludf.DUMMYFUNCTION("""COMPUTED_VALUE"""),"""Ahh, Zatch! When you came, you saved me!""")</f>
        <v>"Ahh, Zatch! When you came, you saved me!"</v>
      </c>
      <c r="O482" s="27"/>
      <c r="P482" s="27"/>
      <c r="Q482" s="27"/>
      <c r="R482" s="27"/>
      <c r="S482" s="27"/>
      <c r="T482" s="27"/>
      <c r="U482" s="27"/>
      <c r="V482" s="27"/>
      <c r="W482" s="27"/>
      <c r="X482" s="27"/>
      <c r="Y482" s="27"/>
      <c r="Z482" s="27"/>
    </row>
    <row r="483">
      <c r="A483" s="29" t="str">
        <f>IFERROR(__xludf.DUMMYFUNCTION("""COMPUTED_VALUE"""),"M-104")</f>
        <v>M-104</v>
      </c>
      <c r="B483" s="27" t="str">
        <f>IFERROR(__xludf.DUMMYFUNCTION("""COMPUTED_VALUE"""),"Dual Mamodo")</f>
        <v>Dual Mamodo</v>
      </c>
      <c r="C483" s="27" t="str">
        <f>IFERROR(__xludf.DUMMYFUNCTION("""COMPUTED_VALUE"""),"Zatch Bell &amp; Ponygon")</f>
        <v>Zatch Bell &amp; Ponygon</v>
      </c>
      <c r="D483" s="27" t="str">
        <f>IFERROR(__xludf.DUMMYFUNCTION("""COMPUTED_VALUE"""),"Zatch Bell | Ponygon")</f>
        <v>Zatch Bell | Ponygon</v>
      </c>
      <c r="E483" s="27" t="str">
        <f>IFERROR(__xludf.DUMMYFUNCTION("""COMPUTED_VALUE"""),"-")</f>
        <v>-</v>
      </c>
      <c r="F483" s="27" t="str">
        <f>IFERROR(__xludf.DUMMYFUNCTION("""COMPUTED_VALUE"""),"-")</f>
        <v>-</v>
      </c>
      <c r="G483" s="27" t="str">
        <f>IFERROR(__xludf.DUMMYFUNCTION("""COMPUTED_VALUE"""),"None")</f>
        <v>None</v>
      </c>
      <c r="H483" s="27" t="str">
        <f>IFERROR(__xludf.DUMMYFUNCTION("""COMPUTED_VALUE"""),"The Reason for His Attitude")</f>
        <v>The Reason for His Attitude</v>
      </c>
      <c r="I483" s="28" t="str">
        <f>IFERROR(__xludf.DUMMYFUNCTION("""COMPUTED_VALUE"""),"Send your in-play Zatch Bell or Ponygon MAMODO card to the Discard Pile to put this MAMODO card in play. [DECLARE TO USE] Send your opponent's in-play Kiyo Takamine or Kafk Sunbeam PARTNER card to the Discard Pile.")</f>
        <v>Send your in-play Zatch Bell or Ponygon MAMODO card to the Discard Pile to put this MAMODO card in play. [DECLARE TO USE] Send your opponent's in-play Kiyo Takamine or Kafk Sunbeam PARTNER card to the Discard Pile.</v>
      </c>
      <c r="J483" s="27">
        <f>IFERROR(__xludf.DUMMYFUNCTION("""COMPUTED_VALUE"""),4000.0)</f>
        <v>4000</v>
      </c>
      <c r="K483" s="27" t="str">
        <f>IFERROR(__xludf.DUMMYFUNCTION("""COMPUTED_VALUE"""),"-")</f>
        <v>-</v>
      </c>
      <c r="L483" s="27" t="str">
        <f>IFERROR(__xludf.DUMMYFUNCTION("""COMPUTED_VALUE"""),"Dawn of the Ancients, Series 4, Level 5, The Best Booster 2")</f>
        <v>Dawn of the Ancients, Series 4, Level 5, The Best Booster 2</v>
      </c>
      <c r="M483" s="27" t="str">
        <f>IFERROR(__xludf.DUMMYFUNCTION("""COMPUTED_VALUE"""),"[R]")</f>
        <v>[R]</v>
      </c>
      <c r="N483" s="27" t="str">
        <f>IFERROR(__xludf.DUMMYFUNCTION("""COMPUTED_VALUE"""),"The reason for Ponygon's attitude towards Kiyo is that...")</f>
        <v>The reason for Ponygon's attitude towards Kiyo is that...</v>
      </c>
      <c r="O483" s="27"/>
      <c r="P483" s="27"/>
      <c r="Q483" s="27"/>
      <c r="R483" s="27"/>
      <c r="S483" s="27"/>
      <c r="T483" s="27"/>
      <c r="U483" s="27"/>
      <c r="V483" s="27"/>
      <c r="W483" s="27"/>
      <c r="X483" s="27"/>
      <c r="Y483" s="27"/>
      <c r="Z483" s="27"/>
    </row>
    <row r="484">
      <c r="A484" s="29" t="str">
        <f>IFERROR(__xludf.DUMMYFUNCTION("""COMPUTED_VALUE"""),"M-105")</f>
        <v>M-105</v>
      </c>
      <c r="B484" s="27" t="str">
        <f>IFERROR(__xludf.DUMMYFUNCTION("""COMPUTED_VALUE"""),"Dual Mamodo")</f>
        <v>Dual Mamodo</v>
      </c>
      <c r="C484" s="27" t="str">
        <f>IFERROR(__xludf.DUMMYFUNCTION("""COMPUTED_VALUE"""),"Zatch Bell &amp; Wonrei")</f>
        <v>Zatch Bell &amp; Wonrei</v>
      </c>
      <c r="D484" s="27" t="str">
        <f>IFERROR(__xludf.DUMMYFUNCTION("""COMPUTED_VALUE"""),"Zatch Bell | Wonrei")</f>
        <v>Zatch Bell | Wonrei</v>
      </c>
      <c r="E484" s="27" t="str">
        <f>IFERROR(__xludf.DUMMYFUNCTION("""COMPUTED_VALUE"""),"-")</f>
        <v>-</v>
      </c>
      <c r="F484" s="27" t="str">
        <f>IFERROR(__xludf.DUMMYFUNCTION("""COMPUTED_VALUE"""),"-")</f>
        <v>-</v>
      </c>
      <c r="G484" s="27" t="str">
        <f>IFERROR(__xludf.DUMMYFUNCTION("""COMPUTED_VALUE"""),"None")</f>
        <v>None</v>
      </c>
      <c r="H484" s="27" t="str">
        <f>IFERROR(__xludf.DUMMYFUNCTION("""COMPUTED_VALUE"""),"To Each Their Own King")</f>
        <v>To Each Their Own King</v>
      </c>
      <c r="I484" s="28" t="str">
        <f>IFERROR(__xludf.DUMMYFUNCTION("""COMPUTED_VALUE"""),"Send your in-play Zatch Bell or Wonrei MAMODO card to the Discard Pile to put this MAMODO card in play. [1 MP][STAY] During this turn, you can both play SPELL cards for and SACRIFICE or PROTECT your Spell Book from Damage with this MAMODO card, even when "&amp;"it is prohibited to do so.")</f>
        <v>Send your in-play Zatch Bell or Wonrei MAMODO card to the Discard Pile to put this MAMODO card in play. [1 MP][STAY] During this turn, you can both play SPELL cards for and SACRIFICE or PROTECT your Spell Book from Damage with this MAMODO card, even when it is prohibited to do so.</v>
      </c>
      <c r="J484" s="27">
        <f>IFERROR(__xludf.DUMMYFUNCTION("""COMPUTED_VALUE"""),5000.0)</f>
        <v>5000</v>
      </c>
      <c r="K484" s="27" t="str">
        <f>IFERROR(__xludf.DUMMYFUNCTION("""COMPUTED_VALUE"""),"-")</f>
        <v>-</v>
      </c>
      <c r="L484" s="27" t="str">
        <f>IFERROR(__xludf.DUMMYFUNCTION("""COMPUTED_VALUE"""),"Secrets of the Ruins, Level 5")</f>
        <v>Secrets of the Ruins, Level 5</v>
      </c>
      <c r="M484" s="27" t="str">
        <f>IFERROR(__xludf.DUMMYFUNCTION("""COMPUTED_VALUE"""),"[SR]")</f>
        <v>[SR]</v>
      </c>
      <c r="N484" s="27" t="str">
        <f>IFERROR(__xludf.DUMMYFUNCTION("""COMPUTED_VALUE"""),"The ""kind king"" and the ""king who protects""... They each strive toward their respective goals.")</f>
        <v>The "kind king" and the "king who protects"... They each strive toward their respective goals.</v>
      </c>
      <c r="O484" s="27"/>
      <c r="P484" s="27"/>
      <c r="Q484" s="27"/>
      <c r="R484" s="27"/>
      <c r="S484" s="27"/>
      <c r="T484" s="27"/>
      <c r="U484" s="27"/>
      <c r="V484" s="27"/>
      <c r="W484" s="27"/>
      <c r="X484" s="27"/>
      <c r="Y484" s="27"/>
      <c r="Z484" s="27"/>
    </row>
    <row r="485">
      <c r="A485" s="29" t="str">
        <f>IFERROR(__xludf.DUMMYFUNCTION("""COMPUTED_VALUE"""),"M-106")</f>
        <v>M-106</v>
      </c>
      <c r="B485" s="27" t="str">
        <f>IFERROR(__xludf.DUMMYFUNCTION("""COMPUTED_VALUE"""),"Mamodo")</f>
        <v>Mamodo</v>
      </c>
      <c r="C485" s="27" t="str">
        <f>IFERROR(__xludf.DUMMYFUNCTION("""COMPUTED_VALUE"""),"Victoream")</f>
        <v>Victoream</v>
      </c>
      <c r="D485" s="27" t="str">
        <f>IFERROR(__xludf.DUMMYFUNCTION("""COMPUTED_VALUE"""),"Victoream")</f>
        <v>Victoream</v>
      </c>
      <c r="E485" s="27" t="str">
        <f>IFERROR(__xludf.DUMMYFUNCTION("""COMPUTED_VALUE"""),"-")</f>
        <v>-</v>
      </c>
      <c r="F485" s="27" t="str">
        <f>IFERROR(__xludf.DUMMYFUNCTION("""COMPUTED_VALUE"""),"-")</f>
        <v>-</v>
      </c>
      <c r="G485" s="27" t="str">
        <f>IFERROR(__xludf.DUMMYFUNCTION("""COMPUTED_VALUE"""),"None")</f>
        <v>None</v>
      </c>
      <c r="H485" s="27" t="str">
        <f>IFERROR(__xludf.DUMMYFUNCTION("""COMPUTED_VALUE"""),"Assume the ""V"" Position!")</f>
        <v>Assume the "V" Position!</v>
      </c>
      <c r="I485" s="28" t="str">
        <f>IFERROR(__xludf.DUMMYFUNCTION("""COMPUTED_VALUE"""),"[1 MP] Inflict 5 Damage on your opponent (your opponent can PROTECT their Spell Book from this Damage). This effect can be applied only during your BATTLE PHASE when you are on the last page of your Spell Book.")</f>
        <v>[1 MP] Inflict 5 Damage on your opponent (your opponent can PROTECT their Spell Book from this Damage). This effect can be applied only during your BATTLE PHASE when you are on the last page of your Spell Book.</v>
      </c>
      <c r="J485" s="27">
        <f>IFERROR(__xludf.DUMMYFUNCTION("""COMPUTED_VALUE"""),5000.0)</f>
        <v>5000</v>
      </c>
      <c r="K485" s="27" t="str">
        <f>IFERROR(__xludf.DUMMYFUNCTION("""COMPUTED_VALUE"""),"-")</f>
        <v>-</v>
      </c>
      <c r="L485" s="27" t="str">
        <f>IFERROR(__xludf.DUMMYFUNCTION("""COMPUTED_VALUE"""),"Secrets of the Ruins, Level 5")</f>
        <v>Secrets of the Ruins, Level 5</v>
      </c>
      <c r="M485" s="27" t="str">
        <f>IFERROR(__xludf.DUMMYFUNCTION("""COMPUTED_VALUE"""),"[SR]")</f>
        <v>[SR]</v>
      </c>
      <c r="N485" s="27" t="str">
        <f>IFERROR(__xludf.DUMMYFUNCTION("""COMPUTED_VALUE"""),"""My name is Victoream! The Gorgeous Sir Victoream!""")</f>
        <v>"My name is Victoream! The Gorgeous Sir Victoream!"</v>
      </c>
      <c r="O485" s="27"/>
      <c r="P485" s="27"/>
      <c r="Q485" s="27"/>
      <c r="R485" s="27"/>
      <c r="S485" s="27"/>
      <c r="T485" s="27"/>
      <c r="U485" s="27"/>
      <c r="V485" s="27"/>
      <c r="W485" s="27"/>
      <c r="X485" s="27"/>
      <c r="Y485" s="27"/>
      <c r="Z485" s="27"/>
    </row>
    <row r="486">
      <c r="A486" s="29" t="str">
        <f>IFERROR(__xludf.DUMMYFUNCTION("""COMPUTED_VALUE"""),"M-107")</f>
        <v>M-107</v>
      </c>
      <c r="B486" s="27" t="str">
        <f>IFERROR(__xludf.DUMMYFUNCTION("""COMPUTED_VALUE"""),"Stone Tablet Mamodo")</f>
        <v>Stone Tablet Mamodo</v>
      </c>
      <c r="C486" s="27" t="str">
        <f>IFERROR(__xludf.DUMMYFUNCTION("""COMPUTED_VALUE"""),"Laila")</f>
        <v>Laila</v>
      </c>
      <c r="D486" s="27" t="str">
        <f>IFERROR(__xludf.DUMMYFUNCTION("""COMPUTED_VALUE"""),"Laila")</f>
        <v>Laila</v>
      </c>
      <c r="E486" s="27" t="str">
        <f>IFERROR(__xludf.DUMMYFUNCTION("""COMPUTED_VALUE"""),"-")</f>
        <v>-</v>
      </c>
      <c r="F486" s="27" t="str">
        <f>IFERROR(__xludf.DUMMYFUNCTION("""COMPUTED_VALUE"""),"-")</f>
        <v>-</v>
      </c>
      <c r="G486" s="27" t="str">
        <f>IFERROR(__xludf.DUMMYFUNCTION("""COMPUTED_VALUE"""),"None")</f>
        <v>None</v>
      </c>
      <c r="H486" s="27" t="str">
        <f>IFERROR(__xludf.DUMMYFUNCTION("""COMPUTED_VALUE"""),"Bounds of Partnership")</f>
        <v>Bounds of Partnership</v>
      </c>
      <c r="I486" s="28" t="str">
        <f>IFERROR(__xludf.DUMMYFUNCTION("""COMPUTED_VALUE"""),"[1 MP] [STAY] Neither player can send their in-play PARTNER cards to the Discard Pile during this turn (except when the PARTNER's MAMODO card is sent to the Discard Pile).")</f>
        <v>[1 MP] [STAY] Neither player can send their in-play PARTNER cards to the Discard Pile during this turn (except when the PARTNER's MAMODO card is sent to the Discard Pile).</v>
      </c>
      <c r="J486" s="27">
        <f>IFERROR(__xludf.DUMMYFUNCTION("""COMPUTED_VALUE"""),3000.0)</f>
        <v>3000</v>
      </c>
      <c r="K486" s="27" t="str">
        <f>IFERROR(__xludf.DUMMYFUNCTION("""COMPUTED_VALUE"""),"-")</f>
        <v>-</v>
      </c>
      <c r="L486" s="27" t="str">
        <f>IFERROR(__xludf.DUMMYFUNCTION("""COMPUTED_VALUE"""),"Dawn of the Ancients, Series 4, Level 5, Revised Edition")</f>
        <v>Dawn of the Ancients, Series 4, Level 5, Revised Edition</v>
      </c>
      <c r="M486" s="27" t="str">
        <f>IFERROR(__xludf.DUMMYFUNCTION("""COMPUTED_VALUE"""),"[SR]")</f>
        <v>[SR]</v>
      </c>
      <c r="N486" s="27" t="str">
        <f>IFERROR(__xludf.DUMMYFUNCTION("""COMPUTED_VALUE"""),"""But we were wrong...""")</f>
        <v>"But we were wrong..."</v>
      </c>
      <c r="O486" s="27"/>
      <c r="P486" s="27"/>
      <c r="Q486" s="27"/>
      <c r="R486" s="27"/>
      <c r="S486" s="27"/>
      <c r="T486" s="27"/>
      <c r="U486" s="27"/>
      <c r="V486" s="27"/>
      <c r="W486" s="27"/>
      <c r="X486" s="27"/>
      <c r="Y486" s="27"/>
      <c r="Z486" s="27"/>
    </row>
    <row r="487">
      <c r="A487" s="29" t="str">
        <f>IFERROR(__xludf.DUMMYFUNCTION("""COMPUTED_VALUE"""),"M-108")</f>
        <v>M-108</v>
      </c>
      <c r="B487" s="27" t="str">
        <f>IFERROR(__xludf.DUMMYFUNCTION("""COMPUTED_VALUE"""),"Mamodo")</f>
        <v>Mamodo</v>
      </c>
      <c r="C487" s="27" t="str">
        <f>IFERROR(__xludf.DUMMYFUNCTION("""COMPUTED_VALUE"""),"Zatch Bell")</f>
        <v>Zatch Bell</v>
      </c>
      <c r="D487" s="27" t="str">
        <f>IFERROR(__xludf.DUMMYFUNCTION("""COMPUTED_VALUE"""),"Zatch Bell")</f>
        <v>Zatch Bell</v>
      </c>
      <c r="E487" s="27" t="str">
        <f>IFERROR(__xludf.DUMMYFUNCTION("""COMPUTED_VALUE"""),"-")</f>
        <v>-</v>
      </c>
      <c r="F487" s="27" t="str">
        <f>IFERROR(__xludf.DUMMYFUNCTION("""COMPUTED_VALUE"""),"-")</f>
        <v>-</v>
      </c>
      <c r="G487" s="27" t="str">
        <f>IFERROR(__xludf.DUMMYFUNCTION("""COMPUTED_VALUE"""),"None")</f>
        <v>None</v>
      </c>
      <c r="H487" s="27" t="str">
        <f>IFERROR(__xludf.DUMMYFUNCTION("""COMPUTED_VALUE"""),"Rescue")</f>
        <v>Rescue</v>
      </c>
      <c r="I487" s="28" t="str">
        <f>IFERROR(__xludf.DUMMYFUNCTION("""COMPUTED_VALUE"""),"[1 MP] [STAY] Select 1 of your other in-play MAMODO. SPELL cards can be played for the selected MAMODO card, and the effects of the selected MAMODO card can be applied, even when you are prohibited to do so.")</f>
        <v>[1 MP] [STAY] Select 1 of your other in-play MAMODO. SPELL cards can be played for the selected MAMODO card, and the effects of the selected MAMODO card can be applied, even when you are prohibited to do so.</v>
      </c>
      <c r="J487" s="27">
        <f>IFERROR(__xludf.DUMMYFUNCTION("""COMPUTED_VALUE"""),3000.0)</f>
        <v>3000</v>
      </c>
      <c r="K487" s="27" t="str">
        <f>IFERROR(__xludf.DUMMYFUNCTION("""COMPUTED_VALUE"""),"-")</f>
        <v>-</v>
      </c>
      <c r="L487" s="27" t="str">
        <f>IFERROR(__xludf.DUMMYFUNCTION("""COMPUTED_VALUE"""),"Level 6")</f>
        <v>Level 6</v>
      </c>
      <c r="M487" s="27" t="str">
        <f>IFERROR(__xludf.DUMMYFUNCTION("""COMPUTED_VALUE"""),"[C]")</f>
        <v>[C]</v>
      </c>
      <c r="N487" s="27" t="str">
        <f>IFERROR(__xludf.DUMMYFUNCTION("""COMPUTED_VALUE"""),"Are you okay? Hurry up and give me your hand!""")</f>
        <v>Are you okay? Hurry up and give me your hand!"</v>
      </c>
      <c r="O487" s="27"/>
      <c r="P487" s="27"/>
      <c r="Q487" s="27"/>
      <c r="R487" s="27"/>
      <c r="S487" s="27"/>
      <c r="T487" s="27"/>
      <c r="U487" s="27"/>
      <c r="V487" s="27"/>
      <c r="W487" s="27"/>
      <c r="X487" s="27"/>
      <c r="Y487" s="27"/>
      <c r="Z487" s="27"/>
    </row>
    <row r="488">
      <c r="A488" s="29" t="str">
        <f>IFERROR(__xludf.DUMMYFUNCTION("""COMPUTED_VALUE"""),"M-109")</f>
        <v>M-109</v>
      </c>
      <c r="B488" s="27" t="str">
        <f>IFERROR(__xludf.DUMMYFUNCTION("""COMPUTED_VALUE"""),"Mamodo")</f>
        <v>Mamodo</v>
      </c>
      <c r="C488" s="27" t="str">
        <f>IFERROR(__xludf.DUMMYFUNCTION("""COMPUTED_VALUE"""),"Kanchome")</f>
        <v>Kanchome</v>
      </c>
      <c r="D488" s="27" t="str">
        <f>IFERROR(__xludf.DUMMYFUNCTION("""COMPUTED_VALUE"""),"Kanchome")</f>
        <v>Kanchome</v>
      </c>
      <c r="E488" s="27" t="str">
        <f>IFERROR(__xludf.DUMMYFUNCTION("""COMPUTED_VALUE"""),"-")</f>
        <v>-</v>
      </c>
      <c r="F488" s="27" t="str">
        <f>IFERROR(__xludf.DUMMYFUNCTION("""COMPUTED_VALUE"""),"-")</f>
        <v>-</v>
      </c>
      <c r="G488" s="27" t="str">
        <f>IFERROR(__xludf.DUMMYFUNCTION("""COMPUTED_VALUE"""),"None")</f>
        <v>None</v>
      </c>
      <c r="H488" s="27" t="str">
        <f>IFERROR(__xludf.DUMMYFUNCTION("""COMPUTED_VALUE"""),"I'll Beat Those Guys!")</f>
        <v>I'll Beat Those Guys!</v>
      </c>
      <c r="I488" s="28" t="str">
        <f>IFERROR(__xludf.DUMMYFUNCTION("""COMPUTED_VALUE"""),"(Cut-In) [DECLARE TO USE] If your opponent applied an effect that allows them to select 1 of your in-play MAMODO cards, your opponent must select this MAMODO card to apply that effect.")</f>
        <v>(Cut-In) [DECLARE TO USE] If your opponent applied an effect that allows them to select 1 of your in-play MAMODO cards, your opponent must select this MAMODO card to apply that effect.</v>
      </c>
      <c r="J488" s="27">
        <f>IFERROR(__xludf.DUMMYFUNCTION("""COMPUTED_VALUE"""),3000.0)</f>
        <v>3000</v>
      </c>
      <c r="K488" s="27" t="str">
        <f>IFERROR(__xludf.DUMMYFUNCTION("""COMPUTED_VALUE"""),"-")</f>
        <v>-</v>
      </c>
      <c r="L488" s="27" t="str">
        <f>IFERROR(__xludf.DUMMYFUNCTION("""COMPUTED_VALUE"""),"-")</f>
        <v>-</v>
      </c>
      <c r="M488" s="27" t="str">
        <f>IFERROR(__xludf.DUMMYFUNCTION("""COMPUTED_VALUE"""),"[SR]")</f>
        <v>[SR]</v>
      </c>
      <c r="N488" s="27" t="str">
        <f>IFERROR(__xludf.DUMMYFUNCTION("""COMPUTED_VALUE"""),"""I'm not gonna cry anymore!""")</f>
        <v>"I'm not gonna cry anymore!"</v>
      </c>
      <c r="O488" s="27"/>
      <c r="P488" s="27"/>
      <c r="Q488" s="27"/>
      <c r="R488" s="27"/>
      <c r="S488" s="27"/>
      <c r="T488" s="27"/>
      <c r="U488" s="27"/>
      <c r="V488" s="27"/>
      <c r="W488" s="27"/>
      <c r="X488" s="27"/>
      <c r="Y488" s="27"/>
      <c r="Z488" s="27"/>
    </row>
    <row r="489">
      <c r="A489" s="29" t="str">
        <f>IFERROR(__xludf.DUMMYFUNCTION("""COMPUTED_VALUE"""),"M-110")</f>
        <v>M-110</v>
      </c>
      <c r="B489" s="27" t="str">
        <f>IFERROR(__xludf.DUMMYFUNCTION("""COMPUTED_VALUE"""),"Mamodo")</f>
        <v>Mamodo</v>
      </c>
      <c r="C489" s="27" t="str">
        <f>IFERROR(__xludf.DUMMYFUNCTION("""COMPUTED_VALUE"""),"Tia")</f>
        <v>Tia</v>
      </c>
      <c r="D489" s="27" t="str">
        <f>IFERROR(__xludf.DUMMYFUNCTION("""COMPUTED_VALUE"""),"Tia")</f>
        <v>Tia</v>
      </c>
      <c r="E489" s="27" t="str">
        <f>IFERROR(__xludf.DUMMYFUNCTION("""COMPUTED_VALUE"""),"-")</f>
        <v>-</v>
      </c>
      <c r="F489" s="27" t="str">
        <f>IFERROR(__xludf.DUMMYFUNCTION("""COMPUTED_VALUE"""),"-")</f>
        <v>-</v>
      </c>
      <c r="G489" s="27" t="str">
        <f>IFERROR(__xludf.DUMMYFUNCTION("""COMPUTED_VALUE"""),"None")</f>
        <v>None</v>
      </c>
      <c r="H489" s="27" t="str">
        <f>IFERROR(__xludf.DUMMYFUNCTION("""COMPUTED_VALUE"""),"Defensive Position")</f>
        <v>Defensive Position</v>
      </c>
      <c r="I489" s="28" t="str">
        <f>IFERROR(__xludf.DUMMYFUNCTION("""COMPUTED_VALUE"""),"[IN PLAY] Your opponent cannot play EVENT cards with a 0 MP cost.")</f>
        <v>[IN PLAY] Your opponent cannot play EVENT cards with a 0 MP cost.</v>
      </c>
      <c r="J489" s="27">
        <f>IFERROR(__xludf.DUMMYFUNCTION("""COMPUTED_VALUE"""),3000.0)</f>
        <v>3000</v>
      </c>
      <c r="K489" s="27" t="str">
        <f>IFERROR(__xludf.DUMMYFUNCTION("""COMPUTED_VALUE"""),"-")</f>
        <v>-</v>
      </c>
      <c r="L489" s="27" t="str">
        <f>IFERROR(__xludf.DUMMYFUNCTION("""COMPUTED_VALUE"""),"-")</f>
        <v>-</v>
      </c>
      <c r="M489" s="27" t="str">
        <f>IFERROR(__xludf.DUMMYFUNCTION("""COMPUTED_VALUE"""),"[SR]")</f>
        <v>[SR]</v>
      </c>
      <c r="N489" s="27" t="str">
        <f>IFERROR(__xludf.DUMMYFUNCTION("""COMPUTED_VALUE"""),"""Get behind me, everyone!""")</f>
        <v>"Get behind me, everyone!"</v>
      </c>
      <c r="O489" s="27"/>
      <c r="P489" s="27"/>
      <c r="Q489" s="27"/>
      <c r="R489" s="27"/>
      <c r="S489" s="27"/>
      <c r="T489" s="27"/>
      <c r="U489" s="27"/>
      <c r="V489" s="27"/>
      <c r="W489" s="27"/>
      <c r="X489" s="27"/>
      <c r="Y489" s="27"/>
      <c r="Z489" s="27"/>
    </row>
    <row r="490">
      <c r="A490" s="29" t="str">
        <f>IFERROR(__xludf.DUMMYFUNCTION("""COMPUTED_VALUE"""),"M-111")</f>
        <v>M-111</v>
      </c>
      <c r="B490" s="27" t="str">
        <f>IFERROR(__xludf.DUMMYFUNCTION("""COMPUTED_VALUE"""),"Mamodo")</f>
        <v>Mamodo</v>
      </c>
      <c r="C490" s="27" t="str">
        <f>IFERROR(__xludf.DUMMYFUNCTION("""COMPUTED_VALUE"""),"Fein")</f>
        <v>Fein</v>
      </c>
      <c r="D490" s="27" t="str">
        <f>IFERROR(__xludf.DUMMYFUNCTION("""COMPUTED_VALUE"""),"Fein")</f>
        <v>Fein</v>
      </c>
      <c r="E490" s="27" t="str">
        <f>IFERROR(__xludf.DUMMYFUNCTION("""COMPUTED_VALUE"""),"-")</f>
        <v>-</v>
      </c>
      <c r="F490" s="27" t="str">
        <f>IFERROR(__xludf.DUMMYFUNCTION("""COMPUTED_VALUE"""),"-")</f>
        <v>-</v>
      </c>
      <c r="G490" s="27" t="str">
        <f>IFERROR(__xludf.DUMMYFUNCTION("""COMPUTED_VALUE"""),"None")</f>
        <v>None</v>
      </c>
      <c r="H490" s="27" t="str">
        <f>IFERROR(__xludf.DUMMYFUNCTION("""COMPUTED_VALUE"""),"A King No One Can Oppose")</f>
        <v>A King No One Can Oppose</v>
      </c>
      <c r="I490" s="28" t="str">
        <f>IFERROR(__xludf.DUMMYFUNCTION("""COMPUTED_VALUE"""),"[IN PLAY] Increase the MP cost of EVENT cards your opponent plays during your BATTLE PHASE by 2.")</f>
        <v>[IN PLAY] Increase the MP cost of EVENT cards your opponent plays during your BATTLE PHASE by 2.</v>
      </c>
      <c r="J490" s="27">
        <f>IFERROR(__xludf.DUMMYFUNCTION("""COMPUTED_VALUE"""),3000.0)</f>
        <v>3000</v>
      </c>
      <c r="K490" s="27" t="str">
        <f>IFERROR(__xludf.DUMMYFUNCTION("""COMPUTED_VALUE"""),"-")</f>
        <v>-</v>
      </c>
      <c r="L490" s="27" t="str">
        <f>IFERROR(__xludf.DUMMYFUNCTION("""COMPUTED_VALUE"""),"-")</f>
        <v>-</v>
      </c>
      <c r="M490" s="27" t="str">
        <f>IFERROR(__xludf.DUMMYFUNCTION("""COMPUTED_VALUE"""),"[R]")</f>
        <v>[R]</v>
      </c>
      <c r="N490" s="27" t="str">
        <f>IFERROR(__xludf.DUMMYFUNCTION("""COMPUTED_VALUE"""),"""When I am the king, I'll be the only one who matters!""")</f>
        <v>"When I am the king, I'll be the only one who matters!"</v>
      </c>
      <c r="O490" s="27"/>
      <c r="P490" s="27"/>
      <c r="Q490" s="27"/>
      <c r="R490" s="27"/>
      <c r="S490" s="27"/>
      <c r="T490" s="27"/>
      <c r="U490" s="27"/>
      <c r="V490" s="27"/>
      <c r="W490" s="27"/>
      <c r="X490" s="27"/>
      <c r="Y490" s="27"/>
      <c r="Z490" s="27"/>
    </row>
    <row r="491">
      <c r="A491" s="29" t="str">
        <f>IFERROR(__xludf.DUMMYFUNCTION("""COMPUTED_VALUE"""),"M-112")</f>
        <v>M-112</v>
      </c>
      <c r="B491" s="27" t="str">
        <f>IFERROR(__xludf.DUMMYFUNCTION("""COMPUTED_VALUE"""),"Mamodo")</f>
        <v>Mamodo</v>
      </c>
      <c r="C491" s="27" t="str">
        <f>IFERROR(__xludf.DUMMYFUNCTION("""COMPUTED_VALUE"""),"Maruss")</f>
        <v>Maruss</v>
      </c>
      <c r="D491" s="27" t="str">
        <f>IFERROR(__xludf.DUMMYFUNCTION("""COMPUTED_VALUE"""),"Maruss")</f>
        <v>Maruss</v>
      </c>
      <c r="E491" s="27" t="str">
        <f>IFERROR(__xludf.DUMMYFUNCTION("""COMPUTED_VALUE"""),"-")</f>
        <v>-</v>
      </c>
      <c r="F491" s="27" t="str">
        <f>IFERROR(__xludf.DUMMYFUNCTION("""COMPUTED_VALUE"""),"-")</f>
        <v>-</v>
      </c>
      <c r="G491" s="27" t="str">
        <f>IFERROR(__xludf.DUMMYFUNCTION("""COMPUTED_VALUE"""),"None")</f>
        <v>None</v>
      </c>
      <c r="H491" s="27" t="str">
        <f>IFERROR(__xludf.DUMMYFUNCTION("""COMPUTED_VALUE"""),"Treachery")</f>
        <v>Treachery</v>
      </c>
      <c r="I491" s="28" t="str">
        <f>IFERROR(__xludf.DUMMYFUNCTION("""COMPUTED_VALUE"""),"[1 MP] Select 1 of your opponent's in-play MAMODO cards. Your opponent cannot apply the effects of the selected MAMODO card during the next turn. This effect is [STANDBY] during this turn, and [STAY] during the next turn.")</f>
        <v>[1 MP] Select 1 of your opponent's in-play MAMODO cards. Your opponent cannot apply the effects of the selected MAMODO card during the next turn. This effect is [STANDBY] during this turn, and [STAY] during the next turn.</v>
      </c>
      <c r="J491" s="27">
        <f>IFERROR(__xludf.DUMMYFUNCTION("""COMPUTED_VALUE"""),3500.0)</f>
        <v>3500</v>
      </c>
      <c r="K491" s="27" t="str">
        <f>IFERROR(__xludf.DUMMYFUNCTION("""COMPUTED_VALUE"""),"-")</f>
        <v>-</v>
      </c>
      <c r="L491" s="27" t="str">
        <f>IFERROR(__xludf.DUMMYFUNCTION("""COMPUTED_VALUE"""),"-")</f>
        <v>-</v>
      </c>
      <c r="M491" s="27" t="str">
        <f>IFERROR(__xludf.DUMMYFUNCTION("""COMPUTED_VALUE"""),"[R]")</f>
        <v>[R]</v>
      </c>
      <c r="N491" s="27" t="str">
        <f>IFERROR(__xludf.DUMMYFUNCTION("""COMPUTED_VALUE"""),"""The moment you began to trust me... was the moment you lost the battle!""")</f>
        <v>"The moment you began to trust me... was the moment you lost the battle!"</v>
      </c>
      <c r="O491" s="27"/>
      <c r="P491" s="27"/>
      <c r="Q491" s="27"/>
      <c r="R491" s="27"/>
      <c r="S491" s="27"/>
      <c r="T491" s="27"/>
      <c r="U491" s="27"/>
      <c r="V491" s="27"/>
      <c r="W491" s="27"/>
      <c r="X491" s="27"/>
      <c r="Y491" s="27"/>
      <c r="Z491" s="27"/>
    </row>
    <row r="492">
      <c r="A492" s="29" t="str">
        <f>IFERROR(__xludf.DUMMYFUNCTION("""COMPUTED_VALUE"""),"M-113")</f>
        <v>M-113</v>
      </c>
      <c r="B492" s="27" t="str">
        <f>IFERROR(__xludf.DUMMYFUNCTION("""COMPUTED_VALUE"""),"Mamodo")</f>
        <v>Mamodo</v>
      </c>
      <c r="C492" s="27" t="str">
        <f>IFERROR(__xludf.DUMMYFUNCTION("""COMPUTED_VALUE"""),"Kido")</f>
        <v>Kido</v>
      </c>
      <c r="D492" s="27" t="str">
        <f>IFERROR(__xludf.DUMMYFUNCTION("""COMPUTED_VALUE"""),"Kido")</f>
        <v>Kido</v>
      </c>
      <c r="E492" s="27" t="str">
        <f>IFERROR(__xludf.DUMMYFUNCTION("""COMPUTED_VALUE"""),"-")</f>
        <v>-</v>
      </c>
      <c r="F492" s="27" t="str">
        <f>IFERROR(__xludf.DUMMYFUNCTION("""COMPUTED_VALUE"""),"-")</f>
        <v>-</v>
      </c>
      <c r="G492" s="27" t="str">
        <f>IFERROR(__xludf.DUMMYFUNCTION("""COMPUTED_VALUE"""),"None")</f>
        <v>None</v>
      </c>
      <c r="H492" s="27" t="str">
        <f>IFERROR(__xludf.DUMMYFUNCTION("""COMPUTED_VALUE"""),"Don't Leave Yet!")</f>
        <v>Don't Leave Yet!</v>
      </c>
      <c r="I492" s="28" t="str">
        <f>IFERROR(__xludf.DUMMYFUNCTION("""COMPUTED_VALUE"""),"[1 MP] Flip a coin; if it's heads, select 1 Dr. Riddles PARTNER card from your Discard Pile that was sent to the Discard Pile during this turn and attach it to this MAMODO card.")</f>
        <v>[1 MP] Flip a coin; if it's heads, select 1 Dr. Riddles PARTNER card from your Discard Pile that was sent to the Discard Pile during this turn and attach it to this MAMODO card.</v>
      </c>
      <c r="J492" s="27">
        <f>IFERROR(__xludf.DUMMYFUNCTION("""COMPUTED_VALUE"""),4000.0)</f>
        <v>4000</v>
      </c>
      <c r="K492" s="27" t="str">
        <f>IFERROR(__xludf.DUMMYFUNCTION("""COMPUTED_VALUE"""),"-")</f>
        <v>-</v>
      </c>
      <c r="L492" s="27" t="str">
        <f>IFERROR(__xludf.DUMMYFUNCTION("""COMPUTED_VALUE"""),"-")</f>
        <v>-</v>
      </c>
      <c r="M492" s="27" t="str">
        <f>IFERROR(__xludf.DUMMYFUNCTION("""COMPUTED_VALUE"""),"[R]")</f>
        <v>[R]</v>
      </c>
      <c r="N492" s="27" t="str">
        <f>IFERROR(__xludf.DUMMYFUNCTION("""COMPUTED_VALUE"""),"I won't forgive you! You'll pay for doing those horrible things to Dr. Riddles!""")</f>
        <v>I won't forgive you! You'll pay for doing those horrible things to Dr. Riddles!"</v>
      </c>
      <c r="O492" s="27"/>
      <c r="P492" s="27"/>
      <c r="Q492" s="27"/>
      <c r="R492" s="27"/>
      <c r="S492" s="27"/>
      <c r="T492" s="27"/>
      <c r="U492" s="27"/>
      <c r="V492" s="27"/>
      <c r="W492" s="27"/>
      <c r="X492" s="27"/>
      <c r="Y492" s="27"/>
      <c r="Z492" s="27"/>
    </row>
    <row r="493">
      <c r="A493" s="29" t="str">
        <f>IFERROR(__xludf.DUMMYFUNCTION("""COMPUTED_VALUE"""),"M-114")</f>
        <v>M-114</v>
      </c>
      <c r="B493" s="27" t="str">
        <f>IFERROR(__xludf.DUMMYFUNCTION("""COMPUTED_VALUE"""),"Mamodo")</f>
        <v>Mamodo</v>
      </c>
      <c r="C493" s="27" t="str">
        <f>IFERROR(__xludf.DUMMYFUNCTION("""COMPUTED_VALUE"""),"Penny")</f>
        <v>Penny</v>
      </c>
      <c r="D493" s="27" t="str">
        <f>IFERROR(__xludf.DUMMYFUNCTION("""COMPUTED_VALUE"""),"Penny")</f>
        <v>Penny</v>
      </c>
      <c r="E493" s="27" t="str">
        <f>IFERROR(__xludf.DUMMYFUNCTION("""COMPUTED_VALUE"""),"-")</f>
        <v>-</v>
      </c>
      <c r="F493" s="27" t="str">
        <f>IFERROR(__xludf.DUMMYFUNCTION("""COMPUTED_VALUE"""),"-")</f>
        <v>-</v>
      </c>
      <c r="G493" s="27" t="str">
        <f>IFERROR(__xludf.DUMMYFUNCTION("""COMPUTED_VALUE"""),"None")</f>
        <v>None</v>
      </c>
      <c r="H493" s="27" t="str">
        <f>IFERROR(__xludf.DUMMYFUNCTION("""COMPUTED_VALUE"""),"Fiendish Angel")</f>
        <v>Fiendish Angel</v>
      </c>
      <c r="I493" s="28" t="str">
        <f>IFERROR(__xludf.DUMMYFUNCTION("""COMPUTED_VALUE"""),"[DECLARE TO USE] [STAY] Add the text below to all of your in-play Stone Tablet MAMODO cards during this turn; ●(Attack)[1 MP] This card may Attack without using a SPELL card (Total Power=6000, Damage=2).")</f>
        <v>[DECLARE TO USE] [STAY] Add the text below to all of your in-play Stone Tablet MAMODO cards during this turn; ●(Attack)[1 MP] This card may Attack without using a SPELL card (Total Power=6000, Damage=2).</v>
      </c>
      <c r="J493" s="27">
        <f>IFERROR(__xludf.DUMMYFUNCTION("""COMPUTED_VALUE"""),4500.0)</f>
        <v>4500</v>
      </c>
      <c r="K493" s="27" t="str">
        <f>IFERROR(__xludf.DUMMYFUNCTION("""COMPUTED_VALUE"""),"-")</f>
        <v>-</v>
      </c>
      <c r="L493" s="27" t="str">
        <f>IFERROR(__xludf.DUMMYFUNCTION("""COMPUTED_VALUE"""),"-")</f>
        <v>-</v>
      </c>
      <c r="M493" s="27" t="str">
        <f>IFERROR(__xludf.DUMMYFUNCTION("""COMPUTED_VALUE"""),"[R]")</f>
        <v>[R]</v>
      </c>
      <c r="N493" s="27" t="str">
        <f>IFERROR(__xludf.DUMMYFUNCTION("""COMPUTED_VALUE"""),"""Try not to bully my little Zatchy-poo too much now.""")</f>
        <v>"Try not to bully my little Zatchy-poo too much now."</v>
      </c>
      <c r="O493" s="27"/>
      <c r="P493" s="27"/>
      <c r="Q493" s="27"/>
      <c r="R493" s="27"/>
      <c r="S493" s="27"/>
      <c r="T493" s="27"/>
      <c r="U493" s="27"/>
      <c r="V493" s="27"/>
      <c r="W493" s="27"/>
      <c r="X493" s="27"/>
      <c r="Y493" s="27"/>
      <c r="Z493" s="27"/>
    </row>
    <row r="494">
      <c r="A494" s="29" t="str">
        <f>IFERROR(__xludf.DUMMYFUNCTION("""COMPUTED_VALUE"""),"M-115")</f>
        <v>M-115</v>
      </c>
      <c r="B494" s="27" t="str">
        <f>IFERROR(__xludf.DUMMYFUNCTION("""COMPUTED_VALUE"""),"Stone Tablet Mamodo")</f>
        <v>Stone Tablet Mamodo</v>
      </c>
      <c r="C494" s="27" t="str">
        <f>IFERROR(__xludf.DUMMYFUNCTION("""COMPUTED_VALUE"""),"Borubora")</f>
        <v>Borubora</v>
      </c>
      <c r="D494" s="27" t="str">
        <f>IFERROR(__xludf.DUMMYFUNCTION("""COMPUTED_VALUE"""),"Borubora")</f>
        <v>Borubora</v>
      </c>
      <c r="E494" s="27" t="str">
        <f>IFERROR(__xludf.DUMMYFUNCTION("""COMPUTED_VALUE"""),"-")</f>
        <v>-</v>
      </c>
      <c r="F494" s="27" t="str">
        <f>IFERROR(__xludf.DUMMYFUNCTION("""COMPUTED_VALUE"""),"-")</f>
        <v>-</v>
      </c>
      <c r="G494" s="27" t="str">
        <f>IFERROR(__xludf.DUMMYFUNCTION("""COMPUTED_VALUE"""),"None")</f>
        <v>None</v>
      </c>
      <c r="H494" s="27" t="str">
        <f>IFERROR(__xludf.DUMMYFUNCTION("""COMPUTED_VALUE"""),"Boruboruboru")</f>
        <v>Boruboruboru</v>
      </c>
      <c r="I494" s="28" t="str">
        <f>IFERROR(__xludf.DUMMYFUNCTION("""COMPUTED_VALUE"""),"[IN PLAY] When you have 3 Stone Tablet MAMODO cards in play, your opponent cannot apply effects that reduce your MP.")</f>
        <v>[IN PLAY] When you have 3 Stone Tablet MAMODO cards in play, your opponent cannot apply effects that reduce your MP.</v>
      </c>
      <c r="J494" s="27">
        <f>IFERROR(__xludf.DUMMYFUNCTION("""COMPUTED_VALUE"""),4500.0)</f>
        <v>4500</v>
      </c>
      <c r="K494" s="27" t="str">
        <f>IFERROR(__xludf.DUMMYFUNCTION("""COMPUTED_VALUE"""),"-")</f>
        <v>-</v>
      </c>
      <c r="L494" s="27" t="str">
        <f>IFERROR(__xludf.DUMMYFUNCTION("""COMPUTED_VALUE"""),"-")</f>
        <v>-</v>
      </c>
      <c r="M494" s="27" t="str">
        <f>IFERROR(__xludf.DUMMYFUNCTION("""COMPUTED_VALUE"""),"[C]")</f>
        <v>[C]</v>
      </c>
      <c r="N494" s="27" t="str">
        <f>IFERROR(__xludf.DUMMYFUNCTION("""COMPUTED_VALUE"""),"A mamodo from a thousand years ago who overwhelms Zatch with its strength and agility.")</f>
        <v>A mamodo from a thousand years ago who overwhelms Zatch with its strength and agility.</v>
      </c>
      <c r="O494" s="27"/>
      <c r="P494" s="27"/>
      <c r="Q494" s="27"/>
      <c r="R494" s="27"/>
      <c r="S494" s="27"/>
      <c r="T494" s="27"/>
      <c r="U494" s="27"/>
      <c r="V494" s="27"/>
      <c r="W494" s="27"/>
      <c r="X494" s="27"/>
      <c r="Y494" s="27"/>
      <c r="Z494" s="27"/>
    </row>
    <row r="495">
      <c r="A495" s="29" t="str">
        <f>IFERROR(__xludf.DUMMYFUNCTION("""COMPUTED_VALUE"""),"M-116")</f>
        <v>M-116</v>
      </c>
      <c r="B495" s="27" t="str">
        <f>IFERROR(__xludf.DUMMYFUNCTION("""COMPUTED_VALUE"""),"Stone Tablet Mamodo")</f>
        <v>Stone Tablet Mamodo</v>
      </c>
      <c r="C495" s="27" t="str">
        <f>IFERROR(__xludf.DUMMYFUNCTION("""COMPUTED_VALUE"""),"Dogmos")</f>
        <v>Dogmos</v>
      </c>
      <c r="D495" s="27" t="str">
        <f>IFERROR(__xludf.DUMMYFUNCTION("""COMPUTED_VALUE"""),"Dogmos")</f>
        <v>Dogmos</v>
      </c>
      <c r="E495" s="27" t="str">
        <f>IFERROR(__xludf.DUMMYFUNCTION("""COMPUTED_VALUE"""),"-")</f>
        <v>-</v>
      </c>
      <c r="F495" s="27" t="str">
        <f>IFERROR(__xludf.DUMMYFUNCTION("""COMPUTED_VALUE"""),"-")</f>
        <v>-</v>
      </c>
      <c r="G495" s="27" t="str">
        <f>IFERROR(__xludf.DUMMYFUNCTION("""COMPUTED_VALUE"""),"None")</f>
        <v>None</v>
      </c>
      <c r="H495" s="27" t="str">
        <f>IFERROR(__xludf.DUMMYFUNCTION("""COMPUTED_VALUE"""),"Jishaaaa!")</f>
        <v>Jishaaaa!</v>
      </c>
      <c r="I495" s="28" t="str">
        <f>IFERROR(__xludf.DUMMYFUNCTION("""COMPUTED_VALUE"""),"[IN PLAY] When you have 3 Stone Tablet MAMODO cards in play, your opponent cannot apply effects that allow them to turn pages of your Spell Book with their card effects (except from Damage).")</f>
        <v>[IN PLAY] When you have 3 Stone Tablet MAMODO cards in play, your opponent cannot apply effects that allow them to turn pages of your Spell Book with their card effects (except from Damage).</v>
      </c>
      <c r="J495" s="27">
        <f>IFERROR(__xludf.DUMMYFUNCTION("""COMPUTED_VALUE"""),4500.0)</f>
        <v>4500</v>
      </c>
      <c r="K495" s="27" t="str">
        <f>IFERROR(__xludf.DUMMYFUNCTION("""COMPUTED_VALUE"""),"-")</f>
        <v>-</v>
      </c>
      <c r="L495" s="27" t="str">
        <f>IFERROR(__xludf.DUMMYFUNCTION("""COMPUTED_VALUE"""),"-")</f>
        <v>-</v>
      </c>
      <c r="M495" s="27" t="str">
        <f>IFERROR(__xludf.DUMMYFUNCTION("""COMPUTED_VALUE"""),"[C]")</f>
        <v>[C]</v>
      </c>
      <c r="N495" s="27" t="str">
        <f>IFERROR(__xludf.DUMMYFUNCTION("""COMPUTED_VALUE"""),"A mamodo from a thousand years ago who stands before Kiyo and Zatch alongside Borubora and Erujo.")</f>
        <v>A mamodo from a thousand years ago who stands before Kiyo and Zatch alongside Borubora and Erujo.</v>
      </c>
      <c r="O495" s="27"/>
      <c r="P495" s="27"/>
      <c r="Q495" s="27"/>
      <c r="R495" s="27"/>
      <c r="S495" s="27"/>
      <c r="T495" s="27"/>
      <c r="U495" s="27"/>
      <c r="V495" s="27"/>
      <c r="W495" s="27"/>
      <c r="X495" s="27"/>
      <c r="Y495" s="27"/>
      <c r="Z495" s="27"/>
    </row>
    <row r="496">
      <c r="A496" s="29" t="str">
        <f>IFERROR(__xludf.DUMMYFUNCTION("""COMPUTED_VALUE"""),"M-117")</f>
        <v>M-117</v>
      </c>
      <c r="B496" s="27" t="str">
        <f>IFERROR(__xludf.DUMMYFUNCTION("""COMPUTED_VALUE"""),"Stone Tablet Mamodo")</f>
        <v>Stone Tablet Mamodo</v>
      </c>
      <c r="C496" s="27" t="str">
        <f>IFERROR(__xludf.DUMMYFUNCTION("""COMPUTED_VALUE"""),"Erujo")</f>
        <v>Erujo</v>
      </c>
      <c r="D496" s="27" t="str">
        <f>IFERROR(__xludf.DUMMYFUNCTION("""COMPUTED_VALUE"""),"Erujo")</f>
        <v>Erujo</v>
      </c>
      <c r="E496" s="27" t="str">
        <f>IFERROR(__xludf.DUMMYFUNCTION("""COMPUTED_VALUE"""),"-")</f>
        <v>-</v>
      </c>
      <c r="F496" s="27" t="str">
        <f>IFERROR(__xludf.DUMMYFUNCTION("""COMPUTED_VALUE"""),"-")</f>
        <v>-</v>
      </c>
      <c r="G496" s="27" t="str">
        <f>IFERROR(__xludf.DUMMYFUNCTION("""COMPUTED_VALUE"""),"None")</f>
        <v>None</v>
      </c>
      <c r="H496" s="27" t="str">
        <f>IFERROR(__xludf.DUMMYFUNCTION("""COMPUTED_VALUE"""),"Foooooh!")</f>
        <v>Foooooh!</v>
      </c>
      <c r="I496" s="28" t="str">
        <f>IFERROR(__xludf.DUMMYFUNCTION("""COMPUTED_VALUE"""),"[IN PLAY] When you have 3 Stone Tablet MAMODO cards in play, your opponent cannot apply effects that allow them to turn back pages of their Spell Book.")</f>
        <v>[IN PLAY] When you have 3 Stone Tablet MAMODO cards in play, your opponent cannot apply effects that allow them to turn back pages of their Spell Book.</v>
      </c>
      <c r="J496" s="27">
        <f>IFERROR(__xludf.DUMMYFUNCTION("""COMPUTED_VALUE"""),4500.0)</f>
        <v>4500</v>
      </c>
      <c r="K496" s="27" t="str">
        <f>IFERROR(__xludf.DUMMYFUNCTION("""COMPUTED_VALUE"""),"-")</f>
        <v>-</v>
      </c>
      <c r="L496" s="27" t="str">
        <f>IFERROR(__xludf.DUMMYFUNCTION("""COMPUTED_VALUE"""),"-")</f>
        <v>-</v>
      </c>
      <c r="M496" s="27" t="str">
        <f>IFERROR(__xludf.DUMMYFUNCTION("""COMPUTED_VALUE"""),"[C]")</f>
        <v>[C]</v>
      </c>
      <c r="N496" s="27" t="str">
        <f>IFERROR(__xludf.DUMMYFUNCTION("""COMPUTED_VALUE"""),"A mamodo from a thousand years ago with wings on his back who can control light rays and rings of light.")</f>
        <v>A mamodo from a thousand years ago with wings on his back who can control light rays and rings of light.</v>
      </c>
      <c r="O496" s="27"/>
      <c r="P496" s="27"/>
      <c r="Q496" s="27"/>
      <c r="R496" s="27"/>
      <c r="S496" s="27"/>
      <c r="T496" s="27"/>
      <c r="U496" s="27"/>
      <c r="V496" s="27"/>
      <c r="W496" s="27"/>
      <c r="X496" s="27"/>
      <c r="Y496" s="27"/>
      <c r="Z496" s="27"/>
    </row>
    <row r="497">
      <c r="A497" s="29" t="str">
        <f>IFERROR(__xludf.DUMMYFUNCTION("""COMPUTED_VALUE"""),"M-118")</f>
        <v>M-118</v>
      </c>
      <c r="B497" s="27" t="str">
        <f>IFERROR(__xludf.DUMMYFUNCTION("""COMPUTED_VALUE"""),"Stone Tablet Mamodo")</f>
        <v>Stone Tablet Mamodo</v>
      </c>
      <c r="C497" s="27" t="str">
        <f>IFERROR(__xludf.DUMMYFUNCTION("""COMPUTED_VALUE"""),"Alm")</f>
        <v>Alm</v>
      </c>
      <c r="D497" s="27" t="str">
        <f>IFERROR(__xludf.DUMMYFUNCTION("""COMPUTED_VALUE"""),"Alm")</f>
        <v>Alm</v>
      </c>
      <c r="E497" s="27" t="str">
        <f>IFERROR(__xludf.DUMMYFUNCTION("""COMPUTED_VALUE"""),"-")</f>
        <v>-</v>
      </c>
      <c r="F497" s="27" t="str">
        <f>IFERROR(__xludf.DUMMYFUNCTION("""COMPUTED_VALUE"""),"-")</f>
        <v>-</v>
      </c>
      <c r="G497" s="27" t="str">
        <f>IFERROR(__xludf.DUMMYFUNCTION("""COMPUTED_VALUE"""),"None")</f>
        <v>None</v>
      </c>
      <c r="H497" s="27" t="str">
        <f>IFERROR(__xludf.DUMMYFUNCTION("""COMPUTED_VALUE"""),"Power Batteries")</f>
        <v>Power Batteries</v>
      </c>
      <c r="I497" s="28" t="str">
        <f>IFERROR(__xludf.DUMMYFUNCTION("""COMPUTED_VALUE"""),"[DECLARE TO USE] Send as many of your in-play PARTNER cards as you desire to the Discard Pile. Then, get MP equal to the number of PARTNER cards sent to the Discard Pile by this effect times 3.")</f>
        <v>[DECLARE TO USE] Send as many of your in-play PARTNER cards as you desire to the Discard Pile. Then, get MP equal to the number of PARTNER cards sent to the Discard Pile by this effect times 3.</v>
      </c>
      <c r="J497" s="27">
        <f>IFERROR(__xludf.DUMMYFUNCTION("""COMPUTED_VALUE"""),5000.0)</f>
        <v>5000</v>
      </c>
      <c r="K497" s="27" t="str">
        <f>IFERROR(__xludf.DUMMYFUNCTION("""COMPUTED_VALUE"""),"-")</f>
        <v>-</v>
      </c>
      <c r="L497" s="27" t="str">
        <f>IFERROR(__xludf.DUMMYFUNCTION("""COMPUTED_VALUE"""),"-")</f>
        <v>-</v>
      </c>
      <c r="M497" s="27" t="str">
        <f>IFERROR(__xludf.DUMMYFUNCTION("""COMPUTED_VALUE"""),"[R]")</f>
        <v>[R]</v>
      </c>
      <c r="N497" s="27" t="str">
        <f>IFERROR(__xludf.DUMMYFUNCTION("""COMPUTED_VALUE"""),"A mamodo from a thousand years ago who brings a millennium of bitterness and anger with him into battle.")</f>
        <v>A mamodo from a thousand years ago who brings a millennium of bitterness and anger with him into battle.</v>
      </c>
      <c r="O497" s="27"/>
      <c r="P497" s="27"/>
      <c r="Q497" s="27"/>
      <c r="R497" s="27"/>
      <c r="S497" s="27"/>
      <c r="T497" s="27"/>
      <c r="U497" s="27"/>
      <c r="V497" s="27"/>
      <c r="W497" s="27"/>
      <c r="X497" s="27"/>
      <c r="Y497" s="27"/>
      <c r="Z497" s="27"/>
    </row>
    <row r="498">
      <c r="A498" s="29" t="str">
        <f>IFERROR(__xludf.DUMMYFUNCTION("""COMPUTED_VALUE"""),"M-119")</f>
        <v>M-119</v>
      </c>
      <c r="B498" s="27" t="str">
        <f>IFERROR(__xludf.DUMMYFUNCTION("""COMPUTED_VALUE"""),"Stone Tablet Mamodo")</f>
        <v>Stone Tablet Mamodo</v>
      </c>
      <c r="C498" s="27" t="str">
        <f>IFERROR(__xludf.DUMMYFUNCTION("""COMPUTED_VALUE"""),"Gelios")</f>
        <v>Gelios</v>
      </c>
      <c r="D498" s="27" t="str">
        <f>IFERROR(__xludf.DUMMYFUNCTION("""COMPUTED_VALUE"""),"Gelios")</f>
        <v>Gelios</v>
      </c>
      <c r="E498" s="27" t="str">
        <f>IFERROR(__xludf.DUMMYFUNCTION("""COMPUTED_VALUE"""),"-")</f>
        <v>-</v>
      </c>
      <c r="F498" s="27" t="str">
        <f>IFERROR(__xludf.DUMMYFUNCTION("""COMPUTED_VALUE"""),"-")</f>
        <v>-</v>
      </c>
      <c r="G498" s="27" t="str">
        <f>IFERROR(__xludf.DUMMYFUNCTION("""COMPUTED_VALUE"""),"None")</f>
        <v>None</v>
      </c>
      <c r="H498" s="27" t="str">
        <f>IFERROR(__xludf.DUMMYFUNCTION("""COMPUTED_VALUE"""),"Buryuooooh!")</f>
        <v>Buryuooooh!</v>
      </c>
      <c r="I498" s="28" t="str">
        <f>IFERROR(__xludf.DUMMYFUNCTION("""COMPUTED_VALUE"""),"[IN PLAY] When you have 3 Stone Tablet MAMODO cards in play, your MAMODO cards can SACRIFICE or PROTECT your Spell Book from Damage even when they are prohibited to do so.")</f>
        <v>[IN PLAY] When you have 3 Stone Tablet MAMODO cards in play, your MAMODO cards can SACRIFICE or PROTECT your Spell Book from Damage even when they are prohibited to do so.</v>
      </c>
      <c r="J498" s="27">
        <f>IFERROR(__xludf.DUMMYFUNCTION("""COMPUTED_VALUE"""),5000.0)</f>
        <v>5000</v>
      </c>
      <c r="K498" s="27" t="str">
        <f>IFERROR(__xludf.DUMMYFUNCTION("""COMPUTED_VALUE"""),"-")</f>
        <v>-</v>
      </c>
      <c r="L498" s="27" t="str">
        <f>IFERROR(__xludf.DUMMYFUNCTION("""COMPUTED_VALUE"""),"-")</f>
        <v>-</v>
      </c>
      <c r="M498" s="27" t="str">
        <f>IFERROR(__xludf.DUMMYFUNCTION("""COMPUTED_VALUE"""),"[U]")</f>
        <v>[U]</v>
      </c>
      <c r="N498" s="27" t="str">
        <f>IFERROR(__xludf.DUMMYFUNCTION("""COMPUTED_VALUE"""),"A giant dragon mamodo from a thousand years ago whose human partner is a baseball player.")</f>
        <v>A giant dragon mamodo from a thousand years ago whose human partner is a baseball player.</v>
      </c>
      <c r="O498" s="27"/>
      <c r="P498" s="27"/>
      <c r="Q498" s="27"/>
      <c r="R498" s="27"/>
      <c r="S498" s="27"/>
      <c r="T498" s="27"/>
      <c r="U498" s="27"/>
      <c r="V498" s="27"/>
      <c r="W498" s="27"/>
      <c r="X498" s="27"/>
      <c r="Y498" s="27"/>
      <c r="Z498" s="27"/>
    </row>
    <row r="499">
      <c r="A499" s="29" t="str">
        <f>IFERROR(__xludf.DUMMYFUNCTION("""COMPUTED_VALUE"""),"M-120")</f>
        <v>M-120</v>
      </c>
      <c r="B499" s="27" t="str">
        <f>IFERROR(__xludf.DUMMYFUNCTION("""COMPUTED_VALUE"""),"Stone Tablet Mamodo")</f>
        <v>Stone Tablet Mamodo</v>
      </c>
      <c r="C499" s="27" t="str">
        <f>IFERROR(__xludf.DUMMYFUNCTION("""COMPUTED_VALUE"""),"Gantz")</f>
        <v>Gantz</v>
      </c>
      <c r="D499" s="27" t="str">
        <f>IFERROR(__xludf.DUMMYFUNCTION("""COMPUTED_VALUE"""),"Gantz")</f>
        <v>Gantz</v>
      </c>
      <c r="E499" s="27" t="str">
        <f>IFERROR(__xludf.DUMMYFUNCTION("""COMPUTED_VALUE"""),"-")</f>
        <v>-</v>
      </c>
      <c r="F499" s="27" t="str">
        <f>IFERROR(__xludf.DUMMYFUNCTION("""COMPUTED_VALUE"""),"-")</f>
        <v>-</v>
      </c>
      <c r="G499" s="27" t="str">
        <f>IFERROR(__xludf.DUMMYFUNCTION("""COMPUTED_VALUE"""),"None")</f>
        <v>None</v>
      </c>
      <c r="H499" s="27" t="str">
        <f>IFERROR(__xludf.DUMMYFUNCTION("""COMPUTED_VALUE"""),"Giruaaaa!")</f>
        <v>Giruaaaa!</v>
      </c>
      <c r="I499" s="28" t="str">
        <f>IFERROR(__xludf.DUMMYFUNCTION("""COMPUTED_VALUE"""),"[IN PLAY] When you have 3 Stone Tablet MAMODO cards in play, your opponent cannot apply effect that allow them to put cards from their Spell Book into play.")</f>
        <v>[IN PLAY] When you have 3 Stone Tablet MAMODO cards in play, your opponent cannot apply effect that allow them to put cards from their Spell Book into play.</v>
      </c>
      <c r="J499" s="27">
        <f>IFERROR(__xludf.DUMMYFUNCTION("""COMPUTED_VALUE"""),5000.0)</f>
        <v>5000</v>
      </c>
      <c r="K499" s="27" t="str">
        <f>IFERROR(__xludf.DUMMYFUNCTION("""COMPUTED_VALUE"""),"-")</f>
        <v>-</v>
      </c>
      <c r="L499" s="27" t="str">
        <f>IFERROR(__xludf.DUMMYFUNCTION("""COMPUTED_VALUE"""),"-")</f>
        <v>-</v>
      </c>
      <c r="M499" s="27" t="str">
        <f>IFERROR(__xludf.DUMMYFUNCTION("""COMPUTED_VALUE"""),"[U]")</f>
        <v>[U]</v>
      </c>
      <c r="N499" s="27" t="str">
        <f>IFERROR(__xludf.DUMMYFUNCTION("""COMPUTED_VALUE"""),"A mamodo from a thousand years ago whose punches are weapons of overwhelmingly destructive power.")</f>
        <v>A mamodo from a thousand years ago whose punches are weapons of overwhelmingly destructive power.</v>
      </c>
      <c r="O499" s="27"/>
      <c r="P499" s="27"/>
      <c r="Q499" s="27"/>
      <c r="R499" s="27"/>
      <c r="S499" s="27"/>
      <c r="T499" s="27"/>
      <c r="U499" s="27"/>
      <c r="V499" s="27"/>
      <c r="W499" s="27"/>
      <c r="X499" s="27"/>
      <c r="Y499" s="27"/>
      <c r="Z499" s="27"/>
    </row>
    <row r="500">
      <c r="A500" s="29" t="str">
        <f>IFERROR(__xludf.DUMMYFUNCTION("""COMPUTED_VALUE"""),"M-121")</f>
        <v>M-121</v>
      </c>
      <c r="B500" s="27" t="str">
        <f>IFERROR(__xludf.DUMMYFUNCTION("""COMPUTED_VALUE"""),"Stone Tablet Mamodo")</f>
        <v>Stone Tablet Mamodo</v>
      </c>
      <c r="C500" s="27" t="str">
        <f>IFERROR(__xludf.DUMMYFUNCTION("""COMPUTED_VALUE"""),"Victoream")</f>
        <v>Victoream</v>
      </c>
      <c r="D500" s="27" t="str">
        <f>IFERROR(__xludf.DUMMYFUNCTION("""COMPUTED_VALUE"""),"Victoream")</f>
        <v>Victoream</v>
      </c>
      <c r="E500" s="27" t="str">
        <f>IFERROR(__xludf.DUMMYFUNCTION("""COMPUTED_VALUE"""),"-")</f>
        <v>-</v>
      </c>
      <c r="F500" s="27" t="str">
        <f>IFERROR(__xludf.DUMMYFUNCTION("""COMPUTED_VALUE"""),"-")</f>
        <v>-</v>
      </c>
      <c r="G500" s="27" t="str">
        <f>IFERROR(__xludf.DUMMYFUNCTION("""COMPUTED_VALUE"""),"None")</f>
        <v>None</v>
      </c>
      <c r="H500" s="27" t="str">
        <f>IFERROR(__xludf.DUMMYFUNCTION("""COMPUTED_VALUE"""),"Very Bad!")</f>
        <v>Very Bad!</v>
      </c>
      <c r="I500" s="28" t="str">
        <f>IFERROR(__xludf.DUMMYFUNCTION("""COMPUTED_VALUE"""),"[IN PLAY] Inflict 1 Damage on your opponent immediately when this MAMODO card's Attack is negated by your opponent's card effects (except from losing the Battle as an Attacker). This effect is applied regardless of your opponent's card effects.")</f>
        <v>[IN PLAY] Inflict 1 Damage on your opponent immediately when this MAMODO card's Attack is negated by your opponent's card effects (except from losing the Battle as an Attacker). This effect is applied regardless of your opponent's card effects.</v>
      </c>
      <c r="J500" s="27">
        <f>IFERROR(__xludf.DUMMYFUNCTION("""COMPUTED_VALUE"""),5500.0)</f>
        <v>5500</v>
      </c>
      <c r="K500" s="27" t="str">
        <f>IFERROR(__xludf.DUMMYFUNCTION("""COMPUTED_VALUE"""),"-")</f>
        <v>-</v>
      </c>
      <c r="L500" s="27" t="str">
        <f>IFERROR(__xludf.DUMMYFUNCTION("""COMPUTED_VALUE"""),"-")</f>
        <v>-</v>
      </c>
      <c r="M500" s="27" t="str">
        <f>IFERROR(__xludf.DUMMYFUNCTION("""COMPUTED_VALUE"""),"[SR]")</f>
        <v>[SR]</v>
      </c>
      <c r="N500" s="27" t="str">
        <f>IFERROR(__xludf.DUMMYFUNCTION("""COMPUTED_VALUE"""),"""Very Bad! How impudent!""")</f>
        <v>"Very Bad! How impudent!"</v>
      </c>
      <c r="O500" s="27"/>
      <c r="P500" s="27"/>
      <c r="Q500" s="27"/>
      <c r="R500" s="27"/>
      <c r="S500" s="27"/>
      <c r="T500" s="27"/>
      <c r="U500" s="27"/>
      <c r="V500" s="27"/>
      <c r="W500" s="27"/>
      <c r="X500" s="27"/>
      <c r="Y500" s="27"/>
      <c r="Z500" s="27"/>
    </row>
    <row r="501">
      <c r="A501" s="29" t="str">
        <f>IFERROR(__xludf.DUMMYFUNCTION("""COMPUTED_VALUE"""),"M-122")</f>
        <v>M-122</v>
      </c>
      <c r="B501" s="27" t="str">
        <f>IFERROR(__xludf.DUMMYFUNCTION("""COMPUTED_VALUE"""),"Mamodo")</f>
        <v>Mamodo</v>
      </c>
      <c r="C501" s="27" t="str">
        <f>IFERROR(__xludf.DUMMYFUNCTION("""COMPUTED_VALUE"""),"Goren")</f>
        <v>Goren</v>
      </c>
      <c r="D501" s="27" t="str">
        <f>IFERROR(__xludf.DUMMYFUNCTION("""COMPUTED_VALUE"""),"Goren")</f>
        <v>Goren</v>
      </c>
      <c r="E501" s="27" t="str">
        <f>IFERROR(__xludf.DUMMYFUNCTION("""COMPUTED_VALUE"""),"-")</f>
        <v>-</v>
      </c>
      <c r="F501" s="27" t="str">
        <f>IFERROR(__xludf.DUMMYFUNCTION("""COMPUTED_VALUE"""),"-")</f>
        <v>-</v>
      </c>
      <c r="G501" s="27" t="str">
        <f>IFERROR(__xludf.DUMMYFUNCTION("""COMPUTED_VALUE"""),"None")</f>
        <v>None</v>
      </c>
      <c r="H501" s="27" t="str">
        <f>IFERROR(__xludf.DUMMYFUNCTION("""COMPUTED_VALUE"""),"Nightmare")</f>
        <v>Nightmare</v>
      </c>
      <c r="I501" s="28" t="str">
        <f>IFERROR(__xludf.DUMMYFUNCTION("""COMPUTED_VALUE"""),"[SEND THIS CARD TO THE DISCARD PILE] Petrify 1 of your opponent's MAMODO cards during your BATTLE PHASE. This effect can be applied only once per turn (per player).")</f>
        <v>[SEND THIS CARD TO THE DISCARD PILE] Petrify 1 of your opponent's MAMODO cards during your BATTLE PHASE. This effect can be applied only once per turn (per player).</v>
      </c>
      <c r="J501" s="27">
        <f>IFERROR(__xludf.DUMMYFUNCTION("""COMPUTED_VALUE"""),6000.0)</f>
        <v>6000</v>
      </c>
      <c r="K501" s="27" t="str">
        <f>IFERROR(__xludf.DUMMYFUNCTION("""COMPUTED_VALUE"""),"-")</f>
        <v>-</v>
      </c>
      <c r="L501" s="27" t="str">
        <f>IFERROR(__xludf.DUMMYFUNCTION("""COMPUTED_VALUE"""),"-")</f>
        <v>-</v>
      </c>
      <c r="M501" s="27" t="str">
        <f>IFERROR(__xludf.DUMMYFUNCTION("""COMPUTED_VALUE"""),"[SR]")</f>
        <v>[SR]</v>
      </c>
      <c r="N501" s="27" t="str">
        <f>IFERROR(__xludf.DUMMYFUNCTION("""COMPUTED_VALUE"""),"Goren of the Stone. He possesses the power to turn his foes into stone, rendering them frozen but still alive.")</f>
        <v>Goren of the Stone. He possesses the power to turn his foes into stone, rendering them frozen but still alive.</v>
      </c>
      <c r="O501" s="27"/>
      <c r="P501" s="27"/>
      <c r="Q501" s="27"/>
      <c r="R501" s="27"/>
      <c r="S501" s="27"/>
      <c r="T501" s="27"/>
      <c r="U501" s="27"/>
      <c r="V501" s="27"/>
      <c r="W501" s="27"/>
      <c r="X501" s="27"/>
      <c r="Y501" s="27"/>
      <c r="Z501" s="27"/>
    </row>
    <row r="502">
      <c r="A502" s="29" t="str">
        <f>IFERROR(__xludf.DUMMYFUNCTION("""COMPUTED_VALUE"""),"M-123")</f>
        <v>M-123</v>
      </c>
      <c r="B502" s="27" t="str">
        <f>IFERROR(__xludf.DUMMYFUNCTION("""COMPUTED_VALUE"""),"Dual Mamodo")</f>
        <v>Dual Mamodo</v>
      </c>
      <c r="C502" s="27" t="str">
        <f>IFERROR(__xludf.DUMMYFUNCTION("""COMPUTED_VALUE"""),"Zatch Bell &amp; Tia")</f>
        <v>Zatch Bell &amp; Tia</v>
      </c>
      <c r="D502" s="27" t="str">
        <f>IFERROR(__xludf.DUMMYFUNCTION("""COMPUTED_VALUE"""),"Zatch Bell | Tia")</f>
        <v>Zatch Bell | Tia</v>
      </c>
      <c r="E502" s="27" t="str">
        <f>IFERROR(__xludf.DUMMYFUNCTION("""COMPUTED_VALUE"""),"-")</f>
        <v>-</v>
      </c>
      <c r="F502" s="27" t="str">
        <f>IFERROR(__xludf.DUMMYFUNCTION("""COMPUTED_VALUE"""),"-")</f>
        <v>-</v>
      </c>
      <c r="G502" s="27" t="str">
        <f>IFERROR(__xludf.DUMMYFUNCTION("""COMPUTED_VALUE"""),"None")</f>
        <v>None</v>
      </c>
      <c r="H502" s="27" t="str">
        <f>IFERROR(__xludf.DUMMYFUNCTION("""COMPUTED_VALUE"""),"The Strongest Combination")</f>
        <v>The Strongest Combination</v>
      </c>
      <c r="I502" s="28" t="str">
        <f>IFERROR(__xludf.DUMMYFUNCTION("""COMPUTED_VALUE"""),"Send your in-play Zatch Bell or Tia MAMODO card to the Discard Pile to put this MAMODO card in play. [DECLARE TO USE][STANDBY] The MP cost of 1 SPELL card with Zatch Bell or Tia as its MAMODO name without an ""Attack"" Icon that you play in the next Battl"&amp;"e during this turn is considered to be 0.")</f>
        <v>Send your in-play Zatch Bell or Tia MAMODO card to the Discard Pile to put this MAMODO card in play. [DECLARE TO USE][STANDBY] The MP cost of 1 SPELL card with Zatch Bell or Tia as its MAMODO name without an "Attack" Icon that you play in the next Battle during this turn is considered to be 0.</v>
      </c>
      <c r="J502" s="27">
        <f>IFERROR(__xludf.DUMMYFUNCTION("""COMPUTED_VALUE"""),4500.0)</f>
        <v>4500</v>
      </c>
      <c r="K502" s="27" t="str">
        <f>IFERROR(__xludf.DUMMYFUNCTION("""COMPUTED_VALUE"""),"-")</f>
        <v>-</v>
      </c>
      <c r="L502" s="27" t="str">
        <f>IFERROR(__xludf.DUMMYFUNCTION("""COMPUTED_VALUE"""),"-")</f>
        <v>-</v>
      </c>
      <c r="M502" s="27" t="str">
        <f>IFERROR(__xludf.DUMMYFUNCTION("""COMPUTED_VALUE"""),"[SR]")</f>
        <v>[SR]</v>
      </c>
      <c r="N502" s="27" t="str">
        <f>IFERROR(__xludf.DUMMYFUNCTION("""COMPUTED_VALUE"""),"The hope born out of friendship makes Zatch and his comrades stronger.")</f>
        <v>The hope born out of friendship makes Zatch and his comrades stronger.</v>
      </c>
      <c r="O502" s="27"/>
      <c r="P502" s="27"/>
      <c r="Q502" s="27"/>
      <c r="R502" s="27"/>
      <c r="S502" s="27"/>
      <c r="T502" s="27"/>
      <c r="U502" s="27"/>
      <c r="V502" s="27"/>
      <c r="W502" s="27"/>
      <c r="X502" s="27"/>
      <c r="Y502" s="27"/>
      <c r="Z502" s="27"/>
    </row>
    <row r="503">
      <c r="A503" s="29" t="str">
        <f>IFERROR(__xludf.DUMMYFUNCTION("""COMPUTED_VALUE"""),"M-124")</f>
        <v>M-124</v>
      </c>
      <c r="B503" s="27" t="str">
        <f>IFERROR(__xludf.DUMMYFUNCTION("""COMPUTED_VALUE"""),"Dual Mamodo")</f>
        <v>Dual Mamodo</v>
      </c>
      <c r="C503" s="27" t="str">
        <f>IFERROR(__xludf.DUMMYFUNCTION("""COMPUTED_VALUE"""),"Kanchome &amp; Tia")</f>
        <v>Kanchome &amp; Tia</v>
      </c>
      <c r="D503" s="27" t="str">
        <f>IFERROR(__xludf.DUMMYFUNCTION("""COMPUTED_VALUE"""),"Kanchome | Tia")</f>
        <v>Kanchome | Tia</v>
      </c>
      <c r="E503" s="27" t="str">
        <f>IFERROR(__xludf.DUMMYFUNCTION("""COMPUTED_VALUE"""),"-")</f>
        <v>-</v>
      </c>
      <c r="F503" s="27" t="str">
        <f>IFERROR(__xludf.DUMMYFUNCTION("""COMPUTED_VALUE"""),"-")</f>
        <v>-</v>
      </c>
      <c r="G503" s="27" t="str">
        <f>IFERROR(__xludf.DUMMYFUNCTION("""COMPUTED_VALUE"""),"None")</f>
        <v>None</v>
      </c>
      <c r="H503" s="27" t="str">
        <f>IFERROR(__xludf.DUMMYFUNCTION("""COMPUTED_VALUE"""),"Support")</f>
        <v>Support</v>
      </c>
      <c r="I503" s="28" t="str">
        <f>IFERROR(__xludf.DUMMYFUNCTION("""COMPUTED_VALUE"""),"Send your in-play Kanchome or Tia MAMODO card to the Discard Pile to put this MAMODO card in play. [1 MP] Select 1 of your other in-play MAMODO cards. Neither player may target the selected card with effects during your next turn. This effect is [STANDBY]"&amp;" during this turn, and [STAY] during the next turn.")</f>
        <v>Send your in-play Kanchome or Tia MAMODO card to the Discard Pile to put this MAMODO card in play. [1 MP] Select 1 of your other in-play MAMODO cards. Neither player may target the selected card with effects during your next turn. This effect is [STANDBY] during this turn, and [STAY] during the next turn.</v>
      </c>
      <c r="J503" s="27">
        <f>IFERROR(__xludf.DUMMYFUNCTION("""COMPUTED_VALUE"""),4000.0)</f>
        <v>4000</v>
      </c>
      <c r="K503" s="27" t="str">
        <f>IFERROR(__xludf.DUMMYFUNCTION("""COMPUTED_VALUE"""),"-")</f>
        <v>-</v>
      </c>
      <c r="L503" s="27" t="str">
        <f>IFERROR(__xludf.DUMMYFUNCTION("""COMPUTED_VALUE"""),"-")</f>
        <v>-</v>
      </c>
      <c r="M503" s="27" t="str">
        <f>IFERROR(__xludf.DUMMYFUNCTION("""COMPUTED_VALUE"""),"[SR]")</f>
        <v>[SR]</v>
      </c>
      <c r="N503" s="27" t="str">
        <f>IFERROR(__xludf.DUMMYFUNCTION("""COMPUTED_VALUE"""),"""Come and get me!"" ""I'm going to save everyone!""")</f>
        <v>"Come and get me!" "I'm going to save everyone!"</v>
      </c>
      <c r="O503" s="27"/>
      <c r="P503" s="27"/>
      <c r="Q503" s="27"/>
      <c r="R503" s="27"/>
      <c r="S503" s="27"/>
      <c r="T503" s="27"/>
      <c r="U503" s="27"/>
      <c r="V503" s="27"/>
      <c r="W503" s="27"/>
      <c r="X503" s="27"/>
      <c r="Y503" s="27"/>
      <c r="Z503" s="27"/>
    </row>
    <row r="504">
      <c r="A504" s="29" t="str">
        <f>IFERROR(__xludf.DUMMYFUNCTION("""COMPUTED_VALUE"""),"M-125")</f>
        <v>M-125</v>
      </c>
      <c r="B504" s="27" t="str">
        <f>IFERROR(__xludf.DUMMYFUNCTION("""COMPUTED_VALUE"""),"Dual Mamodo")</f>
        <v>Dual Mamodo</v>
      </c>
      <c r="C504" s="27" t="str">
        <f>IFERROR(__xludf.DUMMYFUNCTION("""COMPUTED_VALUE"""),"Laila &amp; Victoream")</f>
        <v>Laila &amp; Victoream</v>
      </c>
      <c r="D504" s="27" t="str">
        <f>IFERROR(__xludf.DUMMYFUNCTION("""COMPUTED_VALUE"""),"Laila | Victoream")</f>
        <v>Laila | Victoream</v>
      </c>
      <c r="E504" s="27" t="str">
        <f>IFERROR(__xludf.DUMMYFUNCTION("""COMPUTED_VALUE"""),"-")</f>
        <v>-</v>
      </c>
      <c r="F504" s="27" t="str">
        <f>IFERROR(__xludf.DUMMYFUNCTION("""COMPUTED_VALUE"""),"-")</f>
        <v>-</v>
      </c>
      <c r="G504" s="27" t="str">
        <f>IFERROR(__xludf.DUMMYFUNCTION("""COMPUTED_VALUE"""),"None")</f>
        <v>None</v>
      </c>
      <c r="H504" s="27" t="str">
        <f>IFERROR(__xludf.DUMMYFUNCTION("""COMPUTED_VALUE"""),"Very Melon!")</f>
        <v>Very Melon!</v>
      </c>
      <c r="I504" s="28" t="str">
        <f>IFERROR(__xludf.DUMMYFUNCTION("""COMPUTED_VALUE"""),"Send your in-play Laila or Victoream MAMODO card to the Discard Pile to put this MAMODO card in play. [IN PLAY] Negate all [Stay] and [Standby] effects at your START PHASE. In addition, your opponent cannot play EVENT cards during your BATTLE PHASE.")</f>
        <v>Send your in-play Laila or Victoream MAMODO card to the Discard Pile to put this MAMODO card in play. [IN PLAY] Negate all [Stay] and [Standby] effects at your START PHASE. In addition, your opponent cannot play EVENT cards during your BATTLE PHASE.</v>
      </c>
      <c r="J504" s="27">
        <f>IFERROR(__xludf.DUMMYFUNCTION("""COMPUTED_VALUE"""),6000.0)</f>
        <v>6000</v>
      </c>
      <c r="K504" s="27" t="str">
        <f>IFERROR(__xludf.DUMMYFUNCTION("""COMPUTED_VALUE"""),"-")</f>
        <v>-</v>
      </c>
      <c r="L504" s="27" t="str">
        <f>IFERROR(__xludf.DUMMYFUNCTION("""COMPUTED_VALUE"""),"-")</f>
        <v>-</v>
      </c>
      <c r="M504" s="27" t="str">
        <f>IFERROR(__xludf.DUMMYFUNCTION("""COMPUTED_VALUE"""),"[SR]")</f>
        <v>[SR]</v>
      </c>
      <c r="N504" s="27" t="str">
        <f>IFERROR(__xludf.DUMMYFUNCTION("""COMPUTED_VALUE"""),"""Very Melon~ Very Melon~""")</f>
        <v>"Very Melon~ Very Melon~"</v>
      </c>
      <c r="O504" s="27"/>
      <c r="P504" s="27"/>
      <c r="Q504" s="27"/>
      <c r="R504" s="27"/>
      <c r="S504" s="27"/>
      <c r="T504" s="27"/>
      <c r="U504" s="27"/>
      <c r="V504" s="27"/>
      <c r="W504" s="27"/>
      <c r="X504" s="27"/>
      <c r="Y504" s="27"/>
      <c r="Z504" s="27"/>
    </row>
    <row r="505">
      <c r="A505" s="29" t="str">
        <f>IFERROR(__xludf.DUMMYFUNCTION("""COMPUTED_VALUE"""),"M-126")</f>
        <v>M-126</v>
      </c>
      <c r="B505" s="27" t="str">
        <f>IFERROR(__xludf.DUMMYFUNCTION("""COMPUTED_VALUE"""),"Mamodo")</f>
        <v>Mamodo</v>
      </c>
      <c r="C505" s="27" t="str">
        <f>IFERROR(__xludf.DUMMYFUNCTION("""COMPUTED_VALUE"""),"Zatch Bell")</f>
        <v>Zatch Bell</v>
      </c>
      <c r="D505" s="27" t="str">
        <f>IFERROR(__xludf.DUMMYFUNCTION("""COMPUTED_VALUE"""),"Zatch Bell")</f>
        <v>Zatch Bell</v>
      </c>
      <c r="E505" s="27" t="str">
        <f>IFERROR(__xludf.DUMMYFUNCTION("""COMPUTED_VALUE"""),"-")</f>
        <v>-</v>
      </c>
      <c r="F505" s="27" t="str">
        <f>IFERROR(__xludf.DUMMYFUNCTION("""COMPUTED_VALUE"""),"-")</f>
        <v>-</v>
      </c>
      <c r="G505" s="27" t="str">
        <f>IFERROR(__xludf.DUMMYFUNCTION("""COMPUTED_VALUE"""),"None")</f>
        <v>None</v>
      </c>
      <c r="H505" s="27" t="str">
        <f>IFERROR(__xludf.DUMMYFUNCTION("""COMPUTED_VALUE"""),"Aura of Battle")</f>
        <v>Aura of Battle</v>
      </c>
      <c r="I505" s="28" t="str">
        <f>IFERROR(__xludf.DUMMYFUNCTION("""COMPUTED_VALUE"""),"This MAMODO card can be put in play only when you have 2 MAMODO cards in play. (Attack) (Defend) [1 MP] This card may Attack without using a SPELL card (Total Power=7000, Damage=2) OR, Defend without using a SPELL card (Total Power=7000).")</f>
        <v>This MAMODO card can be put in play only when you have 2 MAMODO cards in play. (Attack) (Defend) [1 MP] This card may Attack without using a SPELL card (Total Power=7000, Damage=2) OR, Defend without using a SPELL card (Total Power=7000).</v>
      </c>
      <c r="J505" s="27">
        <f>IFERROR(__xludf.DUMMYFUNCTION("""COMPUTED_VALUE"""),4000.0)</f>
        <v>4000</v>
      </c>
      <c r="K505" s="27" t="str">
        <f>IFERROR(__xludf.DUMMYFUNCTION("""COMPUTED_VALUE"""),"-")</f>
        <v>-</v>
      </c>
      <c r="L505" s="27" t="str">
        <f>IFERROR(__xludf.DUMMYFUNCTION("""COMPUTED_VALUE"""),"Dawn of the Ancients, Series 4, Level 0")</f>
        <v>Dawn of the Ancients, Series 4, Level 0</v>
      </c>
      <c r="M505" s="27" t="str">
        <f>IFERROR(__xludf.DUMMYFUNCTION("""COMPUTED_VALUE"""),"[R]")</f>
        <v>[R]</v>
      </c>
      <c r="N505" s="27" t="str">
        <f>IFERROR(__xludf.DUMMYFUNCTION("""COMPUTED_VALUE"""),"""I must become a kind king!""")</f>
        <v>"I must become a kind king!"</v>
      </c>
      <c r="O505" s="27"/>
      <c r="P505" s="27"/>
      <c r="Q505" s="27"/>
      <c r="R505" s="27"/>
      <c r="S505" s="27"/>
      <c r="T505" s="27"/>
      <c r="U505" s="27"/>
      <c r="V505" s="27"/>
      <c r="W505" s="27"/>
      <c r="X505" s="27"/>
      <c r="Y505" s="27"/>
      <c r="Z505" s="27"/>
    </row>
    <row r="506">
      <c r="A506" s="29" t="str">
        <f>IFERROR(__xludf.DUMMYFUNCTION("""COMPUTED_VALUE"""),"M-127")</f>
        <v>M-127</v>
      </c>
      <c r="B506" s="27" t="str">
        <f>IFERROR(__xludf.DUMMYFUNCTION("""COMPUTED_VALUE"""),"Mamodo")</f>
        <v>Mamodo</v>
      </c>
      <c r="C506" s="27" t="str">
        <f>IFERROR(__xludf.DUMMYFUNCTION("""COMPUTED_VALUE"""),"Zatch Bell")</f>
        <v>Zatch Bell</v>
      </c>
      <c r="D506" s="27" t="str">
        <f>IFERROR(__xludf.DUMMYFUNCTION("""COMPUTED_VALUE"""),"Zatch Bell")</f>
        <v>Zatch Bell</v>
      </c>
      <c r="E506" s="27" t="str">
        <f>IFERROR(__xludf.DUMMYFUNCTION("""COMPUTED_VALUE"""),"-")</f>
        <v>-</v>
      </c>
      <c r="F506" s="27" t="str">
        <f>IFERROR(__xludf.DUMMYFUNCTION("""COMPUTED_VALUE"""),"-")</f>
        <v>-</v>
      </c>
      <c r="G506" s="27" t="str">
        <f>IFERROR(__xludf.DUMMYFUNCTION("""COMPUTED_VALUE"""),"None")</f>
        <v>None</v>
      </c>
      <c r="H506" s="27" t="str">
        <f>IFERROR(__xludf.DUMMYFUNCTION("""COMPUTED_VALUE"""),"Power of Friendship")</f>
        <v>Power of Friendship</v>
      </c>
      <c r="I506" s="28" t="str">
        <f>IFERROR(__xludf.DUMMYFUNCTION("""COMPUTED_VALUE"""),"[IN PLAY] When you have Kanchomé and Tia MAMODO cards in play at your START PHASE, get 2 MP.")</f>
        <v>[IN PLAY] When you have Kanchomé and Tia MAMODO cards in play at your START PHASE, get 2 MP.</v>
      </c>
      <c r="J506" s="27">
        <f>IFERROR(__xludf.DUMMYFUNCTION("""COMPUTED_VALUE"""),3000.0)</f>
        <v>3000</v>
      </c>
      <c r="K506" s="27" t="str">
        <f>IFERROR(__xludf.DUMMYFUNCTION("""COMPUTED_VALUE"""),"-")</f>
        <v>-</v>
      </c>
      <c r="L506" s="27" t="str">
        <f>IFERROR(__xludf.DUMMYFUNCTION("""COMPUTED_VALUE"""),"Dawn of the Ancients, Series 4, Level 0")</f>
        <v>Dawn of the Ancients, Series 4, Level 0</v>
      </c>
      <c r="M506" s="27" t="str">
        <f>IFERROR(__xludf.DUMMYFUNCTION("""COMPUTED_VALUE"""),"[C]")</f>
        <v>[C]</v>
      </c>
      <c r="N506" s="27" t="str">
        <f>IFERROR(__xludf.DUMMYFUNCTION("""COMPUTED_VALUE"""),"Zatch's friends make him even stronger.")</f>
        <v>Zatch's friends make him even stronger.</v>
      </c>
      <c r="O506" s="27"/>
      <c r="P506" s="27"/>
      <c r="Q506" s="27"/>
      <c r="R506" s="27"/>
      <c r="S506" s="27"/>
      <c r="T506" s="27"/>
      <c r="U506" s="27"/>
      <c r="V506" s="27"/>
      <c r="W506" s="27"/>
      <c r="X506" s="27"/>
      <c r="Y506" s="27"/>
      <c r="Z506" s="27"/>
    </row>
    <row r="507">
      <c r="A507" s="29" t="str">
        <f>IFERROR(__xludf.DUMMYFUNCTION("""COMPUTED_VALUE"""),"M-128e")</f>
        <v>M-128e</v>
      </c>
      <c r="B507" s="27" t="str">
        <f>IFERROR(__xludf.DUMMYFUNCTION("""COMPUTED_VALUE"""),"Mamodo")</f>
        <v>Mamodo</v>
      </c>
      <c r="C507" s="27" t="str">
        <f>IFERROR(__xludf.DUMMYFUNCTION("""COMPUTED_VALUE"""),"Kanchome")</f>
        <v>Kanchome</v>
      </c>
      <c r="D507" s="27" t="str">
        <f>IFERROR(__xludf.DUMMYFUNCTION("""COMPUTED_VALUE"""),"Kanchome")</f>
        <v>Kanchome</v>
      </c>
      <c r="E507" s="27" t="str">
        <f>IFERROR(__xludf.DUMMYFUNCTION("""COMPUTED_VALUE"""),"-")</f>
        <v>-</v>
      </c>
      <c r="F507" s="27" t="str">
        <f>IFERROR(__xludf.DUMMYFUNCTION("""COMPUTED_VALUE"""),"-")</f>
        <v>-</v>
      </c>
      <c r="G507" s="27" t="str">
        <f>IFERROR(__xludf.DUMMYFUNCTION("""COMPUTED_VALUE"""),"None")</f>
        <v>None</v>
      </c>
      <c r="H507" s="27" t="str">
        <f>IFERROR(__xludf.DUMMYFUNCTION("""COMPUTED_VALUE"""),"Determination")</f>
        <v>Determination</v>
      </c>
      <c r="I507" s="28" t="str">
        <f>IFERROR(__xludf.DUMMYFUNCTION("""COMPUTED_VALUE"""),"[3 MP] [STANDBY] The coin you flip next is considered to be ""heads"" (this effect can be applied only before flipping the coin).")</f>
        <v>[3 MP] [STANDBY] The coin you flip next is considered to be "heads" (this effect can be applied only before flipping the coin).</v>
      </c>
      <c r="J507" s="27">
        <f>IFERROR(__xludf.DUMMYFUNCTION("""COMPUTED_VALUE"""),3000.0)</f>
        <v>3000</v>
      </c>
      <c r="K507" s="27" t="str">
        <f>IFERROR(__xludf.DUMMYFUNCTION("""COMPUTED_VALUE"""),"-")</f>
        <v>-</v>
      </c>
      <c r="L507" s="27" t="str">
        <f>IFERROR(__xludf.DUMMYFUNCTION("""COMPUTED_VALUE"""),"Dawn of the Ancients, Series 4, Level 0")</f>
        <v>Dawn of the Ancients, Series 4, Level 0</v>
      </c>
      <c r="M507" s="27" t="str">
        <f>IFERROR(__xludf.DUMMYFUNCTION("""COMPUTED_VALUE"""),"[U]")</f>
        <v>[U]</v>
      </c>
      <c r="N507" s="27" t="str">
        <f>IFERROR(__xludf.DUMMYFUNCTION("""COMPUTED_VALUE"""),"""We have to bring Rushka's smile back!""")</f>
        <v>"We have to bring Rushka's smile back!"</v>
      </c>
      <c r="O507" s="27"/>
      <c r="P507" s="27"/>
      <c r="Q507" s="27"/>
      <c r="R507" s="27"/>
      <c r="S507" s="27"/>
      <c r="T507" s="27"/>
      <c r="U507" s="27"/>
      <c r="V507" s="27"/>
      <c r="W507" s="27"/>
      <c r="X507" s="27"/>
      <c r="Y507" s="27"/>
      <c r="Z507" s="27"/>
    </row>
    <row r="508">
      <c r="A508" s="29" t="str">
        <f>IFERROR(__xludf.DUMMYFUNCTION("""COMPUTED_VALUE"""),"M-128j")</f>
        <v>M-128j</v>
      </c>
      <c r="B508" s="27" t="str">
        <f>IFERROR(__xludf.DUMMYFUNCTION("""COMPUTED_VALUE"""),"Mamodo")</f>
        <v>Mamodo</v>
      </c>
      <c r="C508" s="27" t="str">
        <f>IFERROR(__xludf.DUMMYFUNCTION("""COMPUTED_VALUE"""),"Kanchome")</f>
        <v>Kanchome</v>
      </c>
      <c r="D508" s="27" t="str">
        <f>IFERROR(__xludf.DUMMYFUNCTION("""COMPUTED_VALUE"""),"Kanchome")</f>
        <v>Kanchome</v>
      </c>
      <c r="E508" s="27" t="str">
        <f>IFERROR(__xludf.DUMMYFUNCTION("""COMPUTED_VALUE"""),"-")</f>
        <v>-</v>
      </c>
      <c r="F508" s="27" t="str">
        <f>IFERROR(__xludf.DUMMYFUNCTION("""COMPUTED_VALUE"""),"-")</f>
        <v>-</v>
      </c>
      <c r="G508" s="27" t="str">
        <f>IFERROR(__xludf.DUMMYFUNCTION("""COMPUTED_VALUE"""),"None")</f>
        <v>None</v>
      </c>
      <c r="H508" s="27" t="str">
        <f>IFERROR(__xludf.DUMMYFUNCTION("""COMPUTED_VALUE"""),"Determination")</f>
        <v>Determination</v>
      </c>
      <c r="I508" s="28" t="str">
        <f>IFERROR(__xludf.DUMMYFUNCTION("""COMPUTED_VALUE"""),"[3 MP] [STANDBY] The coin you flip next during this turn is considered to be ""heads"" (this effect can be applied only before flipping the coin).")</f>
        <v>[3 MP] [STANDBY] The coin you flip next during this turn is considered to be "heads" (this effect can be applied only before flipping the coin).</v>
      </c>
      <c r="J508" s="27">
        <f>IFERROR(__xludf.DUMMYFUNCTION("""COMPUTED_VALUE"""),3000.0)</f>
        <v>3000</v>
      </c>
      <c r="K508" s="27" t="str">
        <f>IFERROR(__xludf.DUMMYFUNCTION("""COMPUTED_VALUE"""),"-")</f>
        <v>-</v>
      </c>
      <c r="L508" s="27" t="str">
        <f>IFERROR(__xludf.DUMMYFUNCTION("""COMPUTED_VALUE"""),"Dawn of the Ancients, Series 4, Level 0")</f>
        <v>Dawn of the Ancients, Series 4, Level 0</v>
      </c>
      <c r="M508" s="27" t="str">
        <f>IFERROR(__xludf.DUMMYFUNCTION("""COMPUTED_VALUE"""),"[U]")</f>
        <v>[U]</v>
      </c>
      <c r="N508" s="27" t="str">
        <f>IFERROR(__xludf.DUMMYFUNCTION("""COMPUTED_VALUE"""),"""We have to bring Rushka's smile back!""")</f>
        <v>"We have to bring Rushka's smile back!"</v>
      </c>
      <c r="O508" s="27"/>
      <c r="P508" s="27"/>
      <c r="Q508" s="27"/>
      <c r="R508" s="27"/>
      <c r="S508" s="27"/>
      <c r="T508" s="27"/>
      <c r="U508" s="27"/>
      <c r="V508" s="27"/>
      <c r="W508" s="27"/>
      <c r="X508" s="27"/>
      <c r="Y508" s="27"/>
      <c r="Z508" s="27"/>
    </row>
    <row r="509">
      <c r="A509" s="29" t="str">
        <f>IFERROR(__xludf.DUMMYFUNCTION("""COMPUTED_VALUE"""),"M-129")</f>
        <v>M-129</v>
      </c>
      <c r="B509" s="27" t="str">
        <f>IFERROR(__xludf.DUMMYFUNCTION("""COMPUTED_VALUE"""),"Mamodo")</f>
        <v>Mamodo</v>
      </c>
      <c r="C509" s="27" t="str">
        <f>IFERROR(__xludf.DUMMYFUNCTION("""COMPUTED_VALUE"""),"Tia")</f>
        <v>Tia</v>
      </c>
      <c r="D509" s="27" t="str">
        <f>IFERROR(__xludf.DUMMYFUNCTION("""COMPUTED_VALUE"""),"Tia")</f>
        <v>Tia</v>
      </c>
      <c r="E509" s="27" t="str">
        <f>IFERROR(__xludf.DUMMYFUNCTION("""COMPUTED_VALUE"""),"-")</f>
        <v>-</v>
      </c>
      <c r="F509" s="27" t="str">
        <f>IFERROR(__xludf.DUMMYFUNCTION("""COMPUTED_VALUE"""),"-")</f>
        <v>-</v>
      </c>
      <c r="G509" s="27" t="str">
        <f>IFERROR(__xludf.DUMMYFUNCTION("""COMPUTED_VALUE"""),"None")</f>
        <v>None</v>
      </c>
      <c r="H509" s="27" t="str">
        <f>IFERROR(__xludf.DUMMYFUNCTION("""COMPUTED_VALUE"""),"My Shield")</f>
        <v>My Shield</v>
      </c>
      <c r="I509" s="28" t="str">
        <f>IFERROR(__xludf.DUMMYFUNCTION("""COMPUTED_VALUE"""),"(Battle) [DECLARE TO USE] [STANDBY] If your Spell Book receives an infliction of 1 Damage this turn, negate that Damage. OR, when your opponent applies a card effect that turns 1 page of your Spell Book, no pages are turned.")</f>
        <v>(Battle) [DECLARE TO USE] [STANDBY] If your Spell Book receives an infliction of 1 Damage this turn, negate that Damage. OR, when your opponent applies a card effect that turns 1 page of your Spell Book, no pages are turned.</v>
      </c>
      <c r="J509" s="27">
        <f>IFERROR(__xludf.DUMMYFUNCTION("""COMPUTED_VALUE"""),3000.0)</f>
        <v>3000</v>
      </c>
      <c r="K509" s="27" t="str">
        <f>IFERROR(__xludf.DUMMYFUNCTION("""COMPUTED_VALUE"""),"-")</f>
        <v>-</v>
      </c>
      <c r="L509" s="27" t="str">
        <f>IFERROR(__xludf.DUMMYFUNCTION("""COMPUTED_VALUE"""),"Dawn of the Ancients, Series 4, Level 0, Revised Edition")</f>
        <v>Dawn of the Ancients, Series 4, Level 0, Revised Edition</v>
      </c>
      <c r="M509" s="27" t="str">
        <f>IFERROR(__xludf.DUMMYFUNCTION("""COMPUTED_VALUE"""),"[U]")</f>
        <v>[U]</v>
      </c>
      <c r="N509" s="27" t="str">
        <f>IFERROR(__xludf.DUMMYFUNCTION("""COMPUTED_VALUE"""),"""Leave it to me!""")</f>
        <v>"Leave it to me!"</v>
      </c>
      <c r="O509" s="27"/>
      <c r="P509" s="27"/>
      <c r="Q509" s="27"/>
      <c r="R509" s="27"/>
      <c r="S509" s="27"/>
      <c r="T509" s="27"/>
      <c r="U509" s="27"/>
      <c r="V509" s="27"/>
      <c r="W509" s="27"/>
      <c r="X509" s="27"/>
      <c r="Y509" s="27"/>
      <c r="Z509" s="27"/>
    </row>
    <row r="510">
      <c r="A510" s="29" t="str">
        <f>IFERROR(__xludf.DUMMYFUNCTION("""COMPUTED_VALUE"""),"M-130")</f>
        <v>M-130</v>
      </c>
      <c r="B510" s="27" t="str">
        <f>IFERROR(__xludf.DUMMYFUNCTION("""COMPUTED_VALUE"""),"Mamodo")</f>
        <v>Mamodo</v>
      </c>
      <c r="C510" s="27" t="str">
        <f>IFERROR(__xludf.DUMMYFUNCTION("""COMPUTED_VALUE"""),"Ponygon")</f>
        <v>Ponygon</v>
      </c>
      <c r="D510" s="27" t="str">
        <f>IFERROR(__xludf.DUMMYFUNCTION("""COMPUTED_VALUE"""),"Ponygon")</f>
        <v>Ponygon</v>
      </c>
      <c r="E510" s="27" t="str">
        <f>IFERROR(__xludf.DUMMYFUNCTION("""COMPUTED_VALUE"""),"-")</f>
        <v>-</v>
      </c>
      <c r="F510" s="27" t="str">
        <f>IFERROR(__xludf.DUMMYFUNCTION("""COMPUTED_VALUE"""),"-")</f>
        <v>-</v>
      </c>
      <c r="G510" s="27" t="str">
        <f>IFERROR(__xludf.DUMMYFUNCTION("""COMPUTED_VALUE"""),"None")</f>
        <v>None</v>
      </c>
      <c r="H510" s="27" t="str">
        <f>IFERROR(__xludf.DUMMYFUNCTION("""COMPUTED_VALUE"""),"Meru?")</f>
        <v>Meru?</v>
      </c>
      <c r="I510" s="28" t="str">
        <f>IFERROR(__xludf.DUMMYFUNCTION("""COMPUTED_VALUE"""),"[5 MP] Turn 1 page of your opponent's Spell Book during your BATTLE PHASE.")</f>
        <v>[5 MP] Turn 1 page of your opponent's Spell Book during your BATTLE PHASE.</v>
      </c>
      <c r="J510" s="27">
        <f>IFERROR(__xludf.DUMMYFUNCTION("""COMPUTED_VALUE"""),1000.0)</f>
        <v>1000</v>
      </c>
      <c r="K510" s="27" t="str">
        <f>IFERROR(__xludf.DUMMYFUNCTION("""COMPUTED_VALUE"""),"-")</f>
        <v>-</v>
      </c>
      <c r="L510" s="27" t="str">
        <f>IFERROR(__xludf.DUMMYFUNCTION("""COMPUTED_VALUE"""),"Dawn of the Ancients, Series 4, Level 0")</f>
        <v>Dawn of the Ancients, Series 4, Level 0</v>
      </c>
      <c r="M510" s="27" t="str">
        <f>IFERROR(__xludf.DUMMYFUNCTION("""COMPUTED_VALUE"""),"[C]")</f>
        <v>[C]</v>
      </c>
      <c r="N510" s="27" t="str">
        <f>IFERROR(__xludf.DUMMYFUNCTION("""COMPUTED_VALUE"""),"""Meru meru me~~""")</f>
        <v>"Meru meru me~~"</v>
      </c>
      <c r="O510" s="27"/>
      <c r="P510" s="27"/>
      <c r="Q510" s="27"/>
      <c r="R510" s="27"/>
      <c r="S510" s="27"/>
      <c r="T510" s="27"/>
      <c r="U510" s="27"/>
      <c r="V510" s="27"/>
      <c r="W510" s="27"/>
      <c r="X510" s="27"/>
      <c r="Y510" s="27"/>
      <c r="Z510" s="27"/>
    </row>
    <row r="511">
      <c r="A511" s="29" t="str">
        <f>IFERROR(__xludf.DUMMYFUNCTION("""COMPUTED_VALUE"""),"M-131e")</f>
        <v>M-131e</v>
      </c>
      <c r="B511" s="27" t="str">
        <f>IFERROR(__xludf.DUMMYFUNCTION("""COMPUTED_VALUE"""),"Dual Mamodo")</f>
        <v>Dual Mamodo</v>
      </c>
      <c r="C511" s="27" t="str">
        <f>IFERROR(__xludf.DUMMYFUNCTION("""COMPUTED_VALUE"""),"Kanchome &amp; Tia")</f>
        <v>Kanchome &amp; Tia</v>
      </c>
      <c r="D511" s="27" t="str">
        <f>IFERROR(__xludf.DUMMYFUNCTION("""COMPUTED_VALUE"""),"Kanchome | Tia")</f>
        <v>Kanchome | Tia</v>
      </c>
      <c r="E511" s="27" t="str">
        <f>IFERROR(__xludf.DUMMYFUNCTION("""COMPUTED_VALUE"""),"-")</f>
        <v>-</v>
      </c>
      <c r="F511" s="27" t="str">
        <f>IFERROR(__xludf.DUMMYFUNCTION("""COMPUTED_VALUE"""),"-")</f>
        <v>-</v>
      </c>
      <c r="G511" s="27" t="str">
        <f>IFERROR(__xludf.DUMMYFUNCTION("""COMPUTED_VALUE"""),"None")</f>
        <v>None</v>
      </c>
      <c r="H511" s="27" t="str">
        <f>IFERROR(__xludf.DUMMYFUNCTION("""COMPUTED_VALUE"""),"Superstar &amp; Popstar")</f>
        <v>Superstar &amp; Popstar</v>
      </c>
      <c r="I511" s="28" t="str">
        <f>IFERROR(__xludf.DUMMYFUNCTION("""COMPUTED_VALUE"""),"Send your in-play Kanchomé or Tia MAMODO card to the Discard Pile to put this MAMODO card in play. [IN PLAY] The PARTNER card attached to this MAMODO card cannot be sent to the Discard Pile by your opponent's card effects.")</f>
        <v>Send your in-play Kanchomé or Tia MAMODO card to the Discard Pile to put this MAMODO card in play. [IN PLAY] The PARTNER card attached to this MAMODO card cannot be sent to the Discard Pile by your opponent's card effects.</v>
      </c>
      <c r="J511" s="27">
        <f>IFERROR(__xludf.DUMMYFUNCTION("""COMPUTED_VALUE"""),4000.0)</f>
        <v>4000</v>
      </c>
      <c r="K511" s="27" t="str">
        <f>IFERROR(__xludf.DUMMYFUNCTION("""COMPUTED_VALUE"""),"-")</f>
        <v>-</v>
      </c>
      <c r="L511" s="27" t="str">
        <f>IFERROR(__xludf.DUMMYFUNCTION("""COMPUTED_VALUE"""),"Dawn of the Ancients, Series 4, Level 0")</f>
        <v>Dawn of the Ancients, Series 4, Level 0</v>
      </c>
      <c r="M511" s="27" t="str">
        <f>IFERROR(__xludf.DUMMYFUNCTION("""COMPUTED_VALUE"""),"[U]")</f>
        <v>[U]</v>
      </c>
      <c r="N511" s="27" t="str">
        <f>IFERROR(__xludf.DUMMYFUNCTION("""COMPUTED_VALUE"""),"Both mamodo have a star as their partner.")</f>
        <v>Both mamodo have a star as their partner.</v>
      </c>
      <c r="O511" s="27"/>
      <c r="P511" s="27"/>
      <c r="Q511" s="27"/>
      <c r="R511" s="27"/>
      <c r="S511" s="27"/>
      <c r="T511" s="27"/>
      <c r="U511" s="27"/>
      <c r="V511" s="27"/>
      <c r="W511" s="27"/>
      <c r="X511" s="27"/>
      <c r="Y511" s="27"/>
      <c r="Z511" s="27"/>
    </row>
    <row r="512">
      <c r="A512" s="29" t="str">
        <f>IFERROR(__xludf.DUMMYFUNCTION("""COMPUTED_VALUE"""),"M-131j")</f>
        <v>M-131j</v>
      </c>
      <c r="B512" s="27" t="str">
        <f>IFERROR(__xludf.DUMMYFUNCTION("""COMPUTED_VALUE"""),"Dual Mamodo")</f>
        <v>Dual Mamodo</v>
      </c>
      <c r="C512" s="27" t="str">
        <f>IFERROR(__xludf.DUMMYFUNCTION("""COMPUTED_VALUE"""),"Kanchome &amp; Tia")</f>
        <v>Kanchome &amp; Tia</v>
      </c>
      <c r="D512" s="27" t="str">
        <f>IFERROR(__xludf.DUMMYFUNCTION("""COMPUTED_VALUE"""),"Kanchome | Tia")</f>
        <v>Kanchome | Tia</v>
      </c>
      <c r="E512" s="27" t="str">
        <f>IFERROR(__xludf.DUMMYFUNCTION("""COMPUTED_VALUE"""),"-")</f>
        <v>-</v>
      </c>
      <c r="F512" s="27" t="str">
        <f>IFERROR(__xludf.DUMMYFUNCTION("""COMPUTED_VALUE"""),"-")</f>
        <v>-</v>
      </c>
      <c r="G512" s="27" t="str">
        <f>IFERROR(__xludf.DUMMYFUNCTION("""COMPUTED_VALUE"""),"None")</f>
        <v>None</v>
      </c>
      <c r="H512" s="27" t="str">
        <f>IFERROR(__xludf.DUMMYFUNCTION("""COMPUTED_VALUE"""),"Superstar &amp; Popstar")</f>
        <v>Superstar &amp; Popstar</v>
      </c>
      <c r="I512" s="28" t="str">
        <f>IFERROR(__xludf.DUMMYFUNCTION("""COMPUTED_VALUE"""),"Send your in-play Kanchomé or Tia MAMODO card to the Discard Pile to put this MAMODO card in play. Up to 2 PARTNER cards can be attached to this MAMODO card. [IN PLAY] The PARTNER card(s) attached to this MAMODO card cannot be sent to the Discard Pile by "&amp;"your opponent's effects.")</f>
        <v>Send your in-play Kanchomé or Tia MAMODO card to the Discard Pile to put this MAMODO card in play. Up to 2 PARTNER cards can be attached to this MAMODO card. [IN PLAY] The PARTNER card(s) attached to this MAMODO card cannot be sent to the Discard Pile by your opponent's effects.</v>
      </c>
      <c r="J512" s="27">
        <f>IFERROR(__xludf.DUMMYFUNCTION("""COMPUTED_VALUE"""),4000.0)</f>
        <v>4000</v>
      </c>
      <c r="K512" s="27" t="str">
        <f>IFERROR(__xludf.DUMMYFUNCTION("""COMPUTED_VALUE"""),"-")</f>
        <v>-</v>
      </c>
      <c r="L512" s="27" t="str">
        <f>IFERROR(__xludf.DUMMYFUNCTION("""COMPUTED_VALUE"""),"Dawn of the Ancients, Series 4, Level 0")</f>
        <v>Dawn of the Ancients, Series 4, Level 0</v>
      </c>
      <c r="M512" s="27" t="str">
        <f>IFERROR(__xludf.DUMMYFUNCTION("""COMPUTED_VALUE"""),"[U]")</f>
        <v>[U]</v>
      </c>
      <c r="N512" s="27" t="str">
        <f>IFERROR(__xludf.DUMMYFUNCTION("""COMPUTED_VALUE"""),"Both mamodo have a star as their partner.")</f>
        <v>Both mamodo have a star as their partner.</v>
      </c>
      <c r="O512" s="27"/>
      <c r="P512" s="27"/>
      <c r="Q512" s="27"/>
      <c r="R512" s="27"/>
      <c r="S512" s="27"/>
      <c r="T512" s="27"/>
      <c r="U512" s="27"/>
      <c r="V512" s="27"/>
      <c r="W512" s="27"/>
      <c r="X512" s="27"/>
      <c r="Y512" s="27"/>
      <c r="Z512" s="27"/>
    </row>
    <row r="513">
      <c r="A513" s="29" t="str">
        <f>IFERROR(__xludf.DUMMYFUNCTION("""COMPUTED_VALUE"""),"M-132")</f>
        <v>M-132</v>
      </c>
      <c r="B513" s="27" t="str">
        <f>IFERROR(__xludf.DUMMYFUNCTION("""COMPUTED_VALUE"""),"Mamodo")</f>
        <v>Mamodo</v>
      </c>
      <c r="C513" s="27" t="str">
        <f>IFERROR(__xludf.DUMMYFUNCTION("""COMPUTED_VALUE"""),"Zatch Bell")</f>
        <v>Zatch Bell</v>
      </c>
      <c r="D513" s="27" t="str">
        <f>IFERROR(__xludf.DUMMYFUNCTION("""COMPUTED_VALUE"""),"Zatch Bell")</f>
        <v>Zatch Bell</v>
      </c>
      <c r="E513" s="27" t="str">
        <f>IFERROR(__xludf.DUMMYFUNCTION("""COMPUTED_VALUE"""),"-")</f>
        <v>-</v>
      </c>
      <c r="F513" s="27" t="str">
        <f>IFERROR(__xludf.DUMMYFUNCTION("""COMPUTED_VALUE"""),"-")</f>
        <v>-</v>
      </c>
      <c r="G513" s="27" t="str">
        <f>IFERROR(__xludf.DUMMYFUNCTION("""COMPUTED_VALUE"""),"None")</f>
        <v>None</v>
      </c>
      <c r="H513" s="27" t="str">
        <f>IFERROR(__xludf.DUMMYFUNCTION("""COMPUTED_VALUE"""),"Golden Glow")</f>
        <v>Golden Glow</v>
      </c>
      <c r="I513" s="28" t="str">
        <f>IFERROR(__xludf.DUMMYFUNCTION("""COMPUTED_VALUE"""),"Send your in-play Zatch Bell MAMODO card to the Discard Pile to put this MAMODO card in play. [IN PLAY] This MAMODO card does not receive Damage or Injury from an infliction of 2 Damage.")</f>
        <v>Send your in-play Zatch Bell MAMODO card to the Discard Pile to put this MAMODO card in play. [IN PLAY] This MAMODO card does not receive Damage or Injury from an infliction of 2 Damage.</v>
      </c>
      <c r="J513" s="27">
        <f>IFERROR(__xludf.DUMMYFUNCTION("""COMPUTED_VALUE"""),4000.0)</f>
        <v>4000</v>
      </c>
      <c r="K513" s="27" t="str">
        <f>IFERROR(__xludf.DUMMYFUNCTION("""COMPUTED_VALUE"""),"-")</f>
        <v>-</v>
      </c>
      <c r="L513" s="27" t="str">
        <f>IFERROR(__xludf.DUMMYFUNCTION("""COMPUTED_VALUE"""),"-")</f>
        <v>-</v>
      </c>
      <c r="M513" s="27" t="str">
        <f>IFERROR(__xludf.DUMMYFUNCTION("""COMPUTED_VALUE"""),"[R]")</f>
        <v>[R]</v>
      </c>
      <c r="N513" s="27" t="str">
        <f>IFERROR(__xludf.DUMMYFUNCTION("""COMPUTED_VALUE"""),"""I have to! I have to become a kind king!""")</f>
        <v>"I have to! I have to become a kind king!"</v>
      </c>
      <c r="O513" s="27"/>
      <c r="P513" s="27"/>
      <c r="Q513" s="27"/>
      <c r="R513" s="27"/>
      <c r="S513" s="27"/>
      <c r="T513" s="27"/>
      <c r="U513" s="27"/>
      <c r="V513" s="27"/>
      <c r="W513" s="27"/>
      <c r="X513" s="27"/>
      <c r="Y513" s="27"/>
      <c r="Z513" s="27"/>
    </row>
    <row r="514">
      <c r="A514" s="29" t="str">
        <f>IFERROR(__xludf.DUMMYFUNCTION("""COMPUTED_VALUE"""),"M-133")</f>
        <v>M-133</v>
      </c>
      <c r="B514" s="27" t="str">
        <f>IFERROR(__xludf.DUMMYFUNCTION("""COMPUTED_VALUE"""),"Mamodo")</f>
        <v>Mamodo</v>
      </c>
      <c r="C514" s="27" t="str">
        <f>IFERROR(__xludf.DUMMYFUNCTION("""COMPUTED_VALUE"""),"Ponygon")</f>
        <v>Ponygon</v>
      </c>
      <c r="D514" s="27" t="str">
        <f>IFERROR(__xludf.DUMMYFUNCTION("""COMPUTED_VALUE"""),"Ponygon")</f>
        <v>Ponygon</v>
      </c>
      <c r="E514" s="27" t="str">
        <f>IFERROR(__xludf.DUMMYFUNCTION("""COMPUTED_VALUE"""),"-")</f>
        <v>-</v>
      </c>
      <c r="F514" s="27" t="str">
        <f>IFERROR(__xludf.DUMMYFUNCTION("""COMPUTED_VALUE"""),"-")</f>
        <v>-</v>
      </c>
      <c r="G514" s="27" t="str">
        <f>IFERROR(__xludf.DUMMYFUNCTION("""COMPUTED_VALUE"""),"None")</f>
        <v>None</v>
      </c>
      <c r="H514" s="27" t="str">
        <f>IFERROR(__xludf.DUMMYFUNCTION("""COMPUTED_VALUE"""),"Eyes of Determination")</f>
        <v>Eyes of Determination</v>
      </c>
      <c r="I514" s="28" t="str">
        <f>IFERROR(__xludf.DUMMYFUNCTION("""COMPUTED_VALUE"""),"[IN PLAY] When you place a Ponygon (Shudoruk Form) or (Go Shudoruk Form) MAMODO card on this MAMODO card, get 4 MP.")</f>
        <v>[IN PLAY] When you place a Ponygon (Shudoruk Form) or (Go Shudoruk Form) MAMODO card on this MAMODO card, get 4 MP.</v>
      </c>
      <c r="J514" s="27">
        <f>IFERROR(__xludf.DUMMYFUNCTION("""COMPUTED_VALUE"""),2000.0)</f>
        <v>2000</v>
      </c>
      <c r="K514" s="27" t="str">
        <f>IFERROR(__xludf.DUMMYFUNCTION("""COMPUTED_VALUE"""),"-")</f>
        <v>-</v>
      </c>
      <c r="L514" s="27" t="str">
        <f>IFERROR(__xludf.DUMMYFUNCTION("""COMPUTED_VALUE"""),"-")</f>
        <v>-</v>
      </c>
      <c r="M514" s="27" t="str">
        <f>IFERROR(__xludf.DUMMYFUNCTION("""COMPUTED_VALUE"""),"[R]")</f>
        <v>[R]</v>
      </c>
      <c r="N514" s="27" t="str">
        <f>IFERROR(__xludf.DUMMYFUNCTION("""COMPUTED_VALUE"""),"Ponygon has decided not to run away from the battle.")</f>
        <v>Ponygon has decided not to run away from the battle.</v>
      </c>
      <c r="O514" s="27"/>
      <c r="P514" s="27"/>
      <c r="Q514" s="27"/>
      <c r="R514" s="27"/>
      <c r="S514" s="27"/>
      <c r="T514" s="27"/>
      <c r="U514" s="27"/>
      <c r="V514" s="27"/>
      <c r="W514" s="27"/>
      <c r="X514" s="27"/>
      <c r="Y514" s="27"/>
      <c r="Z514" s="27"/>
    </row>
    <row r="515">
      <c r="A515" s="29" t="str">
        <f>IFERROR(__xludf.DUMMYFUNCTION("""COMPUTED_VALUE"""),"M-134")</f>
        <v>M-134</v>
      </c>
      <c r="B515" s="27" t="str">
        <f>IFERROR(__xludf.DUMMYFUNCTION("""COMPUTED_VALUE"""),"Mamodo")</f>
        <v>Mamodo</v>
      </c>
      <c r="C515" s="27" t="str">
        <f>IFERROR(__xludf.DUMMYFUNCTION("""COMPUTED_VALUE"""),"Ponygon (Shudoruk Form)")</f>
        <v>Ponygon (Shudoruk Form)</v>
      </c>
      <c r="D515" s="27" t="str">
        <f>IFERROR(__xludf.DUMMYFUNCTION("""COMPUTED_VALUE"""),"Ponygon")</f>
        <v>Ponygon</v>
      </c>
      <c r="E515" s="27" t="str">
        <f>IFERROR(__xludf.DUMMYFUNCTION("""COMPUTED_VALUE"""),"-")</f>
        <v>-</v>
      </c>
      <c r="F515" s="27" t="str">
        <f>IFERROR(__xludf.DUMMYFUNCTION("""COMPUTED_VALUE"""),"-")</f>
        <v>-</v>
      </c>
      <c r="G515" s="27" t="str">
        <f>IFERROR(__xludf.DUMMYFUNCTION("""COMPUTED_VALUE"""),"None")</f>
        <v>None</v>
      </c>
      <c r="H515" s="27" t="str">
        <f>IFERROR(__xludf.DUMMYFUNCTION("""COMPUTED_VALUE"""),"Like a Pegasus")</f>
        <v>Like a Pegasus</v>
      </c>
      <c r="I515" s="28" t="str">
        <f>IFERROR(__xludf.DUMMYFUNCTION("""COMPUTED_VALUE"""),"This card is placed on a regular Ponygon MAMODO card when a Shudoruk SPELL card is played for the Ponygon MAMODO card. [DECLARE TO USE] [STAY] During this turn, your opponent cannot apply the effects of their in-play MAMODO cards that target all of your i"&amp;"n-play MAMODO cards.")</f>
        <v>This card is placed on a regular Ponygon MAMODO card when a Shudoruk SPELL card is played for the Ponygon MAMODO card. [DECLARE TO USE] [STAY] During this turn, your opponent cannot apply the effects of their in-play MAMODO cards that target all of your in-play MAMODO cards.</v>
      </c>
      <c r="J515" s="27">
        <f>IFERROR(__xludf.DUMMYFUNCTION("""COMPUTED_VALUE"""),4000.0)</f>
        <v>4000</v>
      </c>
      <c r="K515" s="27" t="str">
        <f>IFERROR(__xludf.DUMMYFUNCTION("""COMPUTED_VALUE"""),"-")</f>
        <v>-</v>
      </c>
      <c r="L515" s="27" t="str">
        <f>IFERROR(__xludf.DUMMYFUNCTION("""COMPUTED_VALUE"""),"-")</f>
        <v>-</v>
      </c>
      <c r="M515" s="27" t="str">
        <f>IFERROR(__xludf.DUMMYFUNCTION("""COMPUTED_VALUE"""),"[R]")</f>
        <v>[R]</v>
      </c>
      <c r="N515" s="27" t="str">
        <f>IFERROR(__xludf.DUMMYFUNCTION("""COMPUTED_VALUE"""),"His appearance resembles that of a pegasus as he cuts through the air to strike foes.")</f>
        <v>His appearance resembles that of a pegasus as he cuts through the air to strike foes.</v>
      </c>
      <c r="O515" s="27"/>
      <c r="P515" s="27"/>
      <c r="Q515" s="27"/>
      <c r="R515" s="27"/>
      <c r="S515" s="27"/>
      <c r="T515" s="27"/>
      <c r="U515" s="27"/>
      <c r="V515" s="27"/>
      <c r="W515" s="27"/>
      <c r="X515" s="27"/>
      <c r="Y515" s="27"/>
      <c r="Z515" s="27"/>
    </row>
    <row r="516">
      <c r="A516" s="29" t="str">
        <f>IFERROR(__xludf.DUMMYFUNCTION("""COMPUTED_VALUE"""),"M-135")</f>
        <v>M-135</v>
      </c>
      <c r="B516" s="27" t="str">
        <f>IFERROR(__xludf.DUMMYFUNCTION("""COMPUTED_VALUE"""),"Mamodo")</f>
        <v>Mamodo</v>
      </c>
      <c r="C516" s="27" t="str">
        <f>IFERROR(__xludf.DUMMYFUNCTION("""COMPUTED_VALUE"""),"Ponygon (Go Shudoruk Form)")</f>
        <v>Ponygon (Go Shudoruk Form)</v>
      </c>
      <c r="D516" s="27" t="str">
        <f>IFERROR(__xludf.DUMMYFUNCTION("""COMPUTED_VALUE"""),"Ponygon")</f>
        <v>Ponygon</v>
      </c>
      <c r="E516" s="27" t="str">
        <f>IFERROR(__xludf.DUMMYFUNCTION("""COMPUTED_VALUE"""),"-")</f>
        <v>-</v>
      </c>
      <c r="F516" s="27" t="str">
        <f>IFERROR(__xludf.DUMMYFUNCTION("""COMPUTED_VALUE"""),"-")</f>
        <v>-</v>
      </c>
      <c r="G516" s="27" t="str">
        <f>IFERROR(__xludf.DUMMYFUNCTION("""COMPUTED_VALUE"""),"None")</f>
        <v>None</v>
      </c>
      <c r="H516" s="27" t="str">
        <f>IFERROR(__xludf.DUMMYFUNCTION("""COMPUTED_VALUE"""),"Exended Horn")</f>
        <v>Exended Horn</v>
      </c>
      <c r="I516" s="28" t="str">
        <f>IFERROR(__xludf.DUMMYFUNCTION("""COMPUTED_VALUE"""),"This card is placed on a regular Ponygon MAMODO card when a Go Shudoruk SPELL card is played for the Ponygon MAMODO card. [DECLARE TO USE] If your opponent turned any pages of their Spell Book with their card effects during this turn, send 1 of their in-p"&amp;"lay MAMODO cards to the Discard Pile.")</f>
        <v>This card is placed on a regular Ponygon MAMODO card when a Go Shudoruk SPELL card is played for the Ponygon MAMODO card. [DECLARE TO USE] If your opponent turned any pages of their Spell Book with their card effects during this turn, send 1 of their in-play MAMODO cards to the Discard Pile.</v>
      </c>
      <c r="J516" s="27">
        <f>IFERROR(__xludf.DUMMYFUNCTION("""COMPUTED_VALUE"""),4000.0)</f>
        <v>4000</v>
      </c>
      <c r="K516" s="27" t="str">
        <f>IFERROR(__xludf.DUMMYFUNCTION("""COMPUTED_VALUE"""),"-")</f>
        <v>-</v>
      </c>
      <c r="L516" s="27" t="str">
        <f>IFERROR(__xludf.DUMMYFUNCTION("""COMPUTED_VALUE"""),"-")</f>
        <v>-</v>
      </c>
      <c r="M516" s="27" t="str">
        <f>IFERROR(__xludf.DUMMYFUNCTION("""COMPUTED_VALUE"""),"[R]")</f>
        <v>[R]</v>
      </c>
      <c r="N516" s="27" t="str">
        <f>IFERROR(__xludf.DUMMYFUNCTION("""COMPUTED_VALUE"""),"Resembling a unicorn, this swift form surpasses the speed Ponygon gains from the Shudoruk spell.")</f>
        <v>Resembling a unicorn, this swift form surpasses the speed Ponygon gains from the Shudoruk spell.</v>
      </c>
      <c r="O516" s="27"/>
      <c r="P516" s="27"/>
      <c r="Q516" s="27"/>
      <c r="R516" s="27"/>
      <c r="S516" s="27"/>
      <c r="T516" s="27"/>
      <c r="U516" s="27"/>
      <c r="V516" s="27"/>
      <c r="W516" s="27"/>
      <c r="X516" s="27"/>
      <c r="Y516" s="27"/>
      <c r="Z516" s="27"/>
    </row>
    <row r="517">
      <c r="A517" s="29" t="str">
        <f>IFERROR(__xludf.DUMMYFUNCTION("""COMPUTED_VALUE"""),"M-136")</f>
        <v>M-136</v>
      </c>
      <c r="B517" s="27" t="str">
        <f>IFERROR(__xludf.DUMMYFUNCTION("""COMPUTED_VALUE"""),"Mamodo")</f>
        <v>Mamodo</v>
      </c>
      <c r="C517" s="27" t="str">
        <f>IFERROR(__xludf.DUMMYFUNCTION("""COMPUTED_VALUE"""),"Wonrei")</f>
        <v>Wonrei</v>
      </c>
      <c r="D517" s="27" t="str">
        <f>IFERROR(__xludf.DUMMYFUNCTION("""COMPUTED_VALUE"""),"Wonrei")</f>
        <v>Wonrei</v>
      </c>
      <c r="E517" s="27" t="str">
        <f>IFERROR(__xludf.DUMMYFUNCTION("""COMPUTED_VALUE"""),"-")</f>
        <v>-</v>
      </c>
      <c r="F517" s="27" t="str">
        <f>IFERROR(__xludf.DUMMYFUNCTION("""COMPUTED_VALUE"""),"-")</f>
        <v>-</v>
      </c>
      <c r="G517" s="27" t="str">
        <f>IFERROR(__xludf.DUMMYFUNCTION("""COMPUTED_VALUE"""),"None")</f>
        <v>None</v>
      </c>
      <c r="H517" s="27" t="str">
        <f>IFERROR(__xludf.DUMMYFUNCTION("""COMPUTED_VALUE"""),"Fist of Offense &amp; Defense")</f>
        <v>Fist of Offense &amp; Defense</v>
      </c>
      <c r="I517" s="28" t="str">
        <f>IFERROR(__xludf.DUMMYFUNCTION("""COMPUTED_VALUE"""),"(Attack)(Defend) [1 MP] This card may Attack without using a SPELL card (Total Power=6000, Damage=1) OR, Defend without using a SPELL card (Total Power=8000). When used for Defending, this effect can be applied up to twice per turn (per player).")</f>
        <v>(Attack)(Defend) [1 MP] This card may Attack without using a SPELL card (Total Power=6000, Damage=1) OR, Defend without using a SPELL card (Total Power=8000). When used for Defending, this effect can be applied up to twice per turn (per player).</v>
      </c>
      <c r="J517" s="27">
        <f>IFERROR(__xludf.DUMMYFUNCTION("""COMPUTED_VALUE"""),4000.0)</f>
        <v>4000</v>
      </c>
      <c r="K517" s="27" t="str">
        <f>IFERROR(__xludf.DUMMYFUNCTION("""COMPUTED_VALUE"""),"-")</f>
        <v>-</v>
      </c>
      <c r="L517" s="27" t="str">
        <f>IFERROR(__xludf.DUMMYFUNCTION("""COMPUTED_VALUE"""),"-")</f>
        <v>-</v>
      </c>
      <c r="M517" s="27" t="str">
        <f>IFERROR(__xludf.DUMMYFUNCTION("""COMPUTED_VALUE"""),"[R]")</f>
        <v>[R]</v>
      </c>
      <c r="N517" s="27" t="str">
        <f>IFERROR(__xludf.DUMMYFUNCTION("""COMPUTED_VALUE"""),"""Unlike you, who's just fighting for your own pleasure, we're determined to win this battle...""")</f>
        <v>"Unlike you, who's just fighting for your own pleasure, we're determined to win this battle..."</v>
      </c>
      <c r="O517" s="27"/>
      <c r="P517" s="27"/>
      <c r="Q517" s="27"/>
      <c r="R517" s="27"/>
      <c r="S517" s="27"/>
      <c r="T517" s="27"/>
      <c r="U517" s="27"/>
      <c r="V517" s="27"/>
      <c r="W517" s="27"/>
      <c r="X517" s="27"/>
      <c r="Y517" s="27"/>
      <c r="Z517" s="27"/>
    </row>
    <row r="518">
      <c r="A518" s="29" t="str">
        <f>IFERROR(__xludf.DUMMYFUNCTION("""COMPUTED_VALUE"""),"M-137")</f>
        <v>M-137</v>
      </c>
      <c r="B518" s="27" t="str">
        <f>IFERROR(__xludf.DUMMYFUNCTION("""COMPUTED_VALUE"""),"Mamodo")</f>
        <v>Mamodo</v>
      </c>
      <c r="C518" s="27" t="str">
        <f>IFERROR(__xludf.DUMMYFUNCTION("""COMPUTED_VALUE"""),"Kido")</f>
        <v>Kido</v>
      </c>
      <c r="D518" s="27" t="str">
        <f>IFERROR(__xludf.DUMMYFUNCTION("""COMPUTED_VALUE"""),"Kido")</f>
        <v>Kido</v>
      </c>
      <c r="E518" s="27" t="str">
        <f>IFERROR(__xludf.DUMMYFUNCTION("""COMPUTED_VALUE"""),"-")</f>
        <v>-</v>
      </c>
      <c r="F518" s="27" t="str">
        <f>IFERROR(__xludf.DUMMYFUNCTION("""COMPUTED_VALUE"""),"-")</f>
        <v>-</v>
      </c>
      <c r="G518" s="27" t="str">
        <f>IFERROR(__xludf.DUMMYFUNCTION("""COMPUTED_VALUE"""),"None")</f>
        <v>None</v>
      </c>
      <c r="H518" s="27" t="str">
        <f>IFERROR(__xludf.DUMMYFUNCTION("""COMPUTED_VALUE"""),"Thank You For Everything")</f>
        <v>Thank You For Everything</v>
      </c>
      <c r="I518" s="28" t="str">
        <f>IFERROR(__xludf.DUMMYFUNCTION("""COMPUTED_VALUE"""),"[SEND THIS CARD TO THE DISCARD PILE] (Cut-In) Negate the EVENT card your opponent just played.")</f>
        <v>[SEND THIS CARD TO THE DISCARD PILE] (Cut-In) Negate the EVENT card your opponent just played.</v>
      </c>
      <c r="J518" s="27">
        <f>IFERROR(__xludf.DUMMYFUNCTION("""COMPUTED_VALUE"""),3500.0)</f>
        <v>3500</v>
      </c>
      <c r="K518" s="27" t="str">
        <f>IFERROR(__xludf.DUMMYFUNCTION("""COMPUTED_VALUE"""),"-")</f>
        <v>-</v>
      </c>
      <c r="L518" s="27" t="str">
        <f>IFERROR(__xludf.DUMMYFUNCTION("""COMPUTED_VALUE"""),"-")</f>
        <v>-</v>
      </c>
      <c r="M518" s="27" t="str">
        <f>IFERROR(__xludf.DUMMYFUNCTION("""COMPUTED_VALUE"""),"[R]")</f>
        <v>[R]</v>
      </c>
      <c r="N518" s="27" t="str">
        <f>IFERROR(__xludf.DUMMYFUNCTION("""COMPUTED_VALUE"""),"""Maybe I've grown up. Hey... I think I turned out a lot like you, Dr. Riddles!""""")</f>
        <v>"Maybe I've grown up. Hey... I think I turned out a lot like you, Dr. Riddles!""</v>
      </c>
      <c r="O518" s="27"/>
      <c r="P518" s="27"/>
      <c r="Q518" s="27"/>
      <c r="R518" s="27"/>
      <c r="S518" s="27"/>
      <c r="T518" s="27"/>
      <c r="U518" s="27"/>
      <c r="V518" s="27"/>
      <c r="W518" s="27"/>
      <c r="X518" s="27"/>
      <c r="Y518" s="27"/>
      <c r="Z518" s="27"/>
    </row>
    <row r="519">
      <c r="A519" s="29" t="str">
        <f>IFERROR(__xludf.DUMMYFUNCTION("""COMPUTED_VALUE"""),"M-138")</f>
        <v>M-138</v>
      </c>
      <c r="B519" s="27" t="str">
        <f>IFERROR(__xludf.DUMMYFUNCTION("""COMPUTED_VALUE"""),"Stone Tablet Mamodo")</f>
        <v>Stone Tablet Mamodo</v>
      </c>
      <c r="C519" s="27" t="str">
        <f>IFERROR(__xludf.DUMMYFUNCTION("""COMPUTED_VALUE"""),"Ibaris")</f>
        <v>Ibaris</v>
      </c>
      <c r="D519" s="27" t="str">
        <f>IFERROR(__xludf.DUMMYFUNCTION("""COMPUTED_VALUE"""),"Ibaris")</f>
        <v>Ibaris</v>
      </c>
      <c r="E519" s="27" t="str">
        <f>IFERROR(__xludf.DUMMYFUNCTION("""COMPUTED_VALUE"""),"-")</f>
        <v>-</v>
      </c>
      <c r="F519" s="27" t="str">
        <f>IFERROR(__xludf.DUMMYFUNCTION("""COMPUTED_VALUE"""),"-")</f>
        <v>-</v>
      </c>
      <c r="G519" s="27" t="str">
        <f>IFERROR(__xludf.DUMMYFUNCTION("""COMPUTED_VALUE"""),"None")</f>
        <v>None</v>
      </c>
      <c r="H519" s="27" t="str">
        <f>IFERROR(__xludf.DUMMYFUNCTION("""COMPUTED_VALUE"""),"Shaaaaa!")</f>
        <v>Shaaaaa!</v>
      </c>
      <c r="I519" s="28" t="str">
        <f>IFERROR(__xludf.DUMMYFUNCTION("""COMPUTED_VALUE"""),"[IN PLAY] When you have 3 Stone Tablet MAMODO cards in play, increase the Damage inflicted by your Stone Tablet MAMODO cards by 1.")</f>
        <v>[IN PLAY] When you have 3 Stone Tablet MAMODO cards in play, increase the Damage inflicted by your Stone Tablet MAMODO cards by 1.</v>
      </c>
      <c r="J519" s="27">
        <f>IFERROR(__xludf.DUMMYFUNCTION("""COMPUTED_VALUE"""),4500.0)</f>
        <v>4500</v>
      </c>
      <c r="K519" s="27" t="str">
        <f>IFERROR(__xludf.DUMMYFUNCTION("""COMPUTED_VALUE"""),"-")</f>
        <v>-</v>
      </c>
      <c r="L519" s="27" t="str">
        <f>IFERROR(__xludf.DUMMYFUNCTION("""COMPUTED_VALUE"""),"-")</f>
        <v>-</v>
      </c>
      <c r="M519" s="27" t="str">
        <f>IFERROR(__xludf.DUMMYFUNCTION("""COMPUTED_VALUE"""),"[U]")</f>
        <v>[U]</v>
      </c>
      <c r="N519" s="27" t="str">
        <f>IFERROR(__xludf.DUMMYFUNCTION("""COMPUTED_VALUE"""),"One of the four warriors who defeated Baransha. His weakness is his tendency to run off on his own.")</f>
        <v>One of the four warriors who defeated Baransha. His weakness is his tendency to run off on his own.</v>
      </c>
      <c r="O519" s="27"/>
      <c r="P519" s="27"/>
      <c r="Q519" s="27"/>
      <c r="R519" s="27"/>
      <c r="S519" s="27"/>
      <c r="T519" s="27"/>
      <c r="U519" s="27"/>
      <c r="V519" s="27"/>
      <c r="W519" s="27"/>
      <c r="X519" s="27"/>
      <c r="Y519" s="27"/>
      <c r="Z519" s="27"/>
    </row>
    <row r="520">
      <c r="A520" s="29" t="str">
        <f>IFERROR(__xludf.DUMMYFUNCTION("""COMPUTED_VALUE"""),"M-139")</f>
        <v>M-139</v>
      </c>
      <c r="B520" s="27" t="str">
        <f>IFERROR(__xludf.DUMMYFUNCTION("""COMPUTED_VALUE"""),"Stone Tablet Mamodo")</f>
        <v>Stone Tablet Mamodo</v>
      </c>
      <c r="C520" s="27" t="str">
        <f>IFERROR(__xludf.DUMMYFUNCTION("""COMPUTED_VALUE"""),"Denshin")</f>
        <v>Denshin</v>
      </c>
      <c r="D520" s="27" t="str">
        <f>IFERROR(__xludf.DUMMYFUNCTION("""COMPUTED_VALUE"""),"Denshin")</f>
        <v>Denshin</v>
      </c>
      <c r="E520" s="27" t="str">
        <f>IFERROR(__xludf.DUMMYFUNCTION("""COMPUTED_VALUE"""),"-")</f>
        <v>-</v>
      </c>
      <c r="F520" s="27" t="str">
        <f>IFERROR(__xludf.DUMMYFUNCTION("""COMPUTED_VALUE"""),"-")</f>
        <v>-</v>
      </c>
      <c r="G520" s="27" t="str">
        <f>IFERROR(__xludf.DUMMYFUNCTION("""COMPUTED_VALUE"""),"None")</f>
        <v>None</v>
      </c>
      <c r="H520" s="27" t="str">
        <f>IFERROR(__xludf.DUMMYFUNCTION("""COMPUTED_VALUE"""),"Guruooo!")</f>
        <v>Guruooo!</v>
      </c>
      <c r="I520" s="28" t="str">
        <f>IFERROR(__xludf.DUMMYFUNCTION("""COMPUTED_VALUE"""),"[IN PLAY] When you have 3 Stone Tablet MAMODO cards in play, your opponent cannot apply the effects of MAMODO cards with [Send this card to the Discard Pile].")</f>
        <v>[IN PLAY] When you have 3 Stone Tablet MAMODO cards in play, your opponent cannot apply the effects of MAMODO cards with [Send this card to the Discard Pile].</v>
      </c>
      <c r="J520" s="27">
        <f>IFERROR(__xludf.DUMMYFUNCTION("""COMPUTED_VALUE"""),5000.0)</f>
        <v>5000</v>
      </c>
      <c r="K520" s="27" t="str">
        <f>IFERROR(__xludf.DUMMYFUNCTION("""COMPUTED_VALUE"""),"-")</f>
        <v>-</v>
      </c>
      <c r="L520" s="27" t="str">
        <f>IFERROR(__xludf.DUMMYFUNCTION("""COMPUTED_VALUE"""),"-")</f>
        <v>-</v>
      </c>
      <c r="M520" s="27" t="str">
        <f>IFERROR(__xludf.DUMMYFUNCTION("""COMPUTED_VALUE"""),"[U]")</f>
        <v>[U]</v>
      </c>
      <c r="N520" s="27" t="str">
        <f>IFERROR(__xludf.DUMMYFUNCTION("""COMPUTED_VALUE"""),"One of the four warriors who defeated Baransha. He attacks by firing powerful beams from his head.")</f>
        <v>One of the four warriors who defeated Baransha. He attacks by firing powerful beams from his head.</v>
      </c>
      <c r="O520" s="27"/>
      <c r="P520" s="27"/>
      <c r="Q520" s="27"/>
      <c r="R520" s="27"/>
      <c r="S520" s="27"/>
      <c r="T520" s="27"/>
      <c r="U520" s="27"/>
      <c r="V520" s="27"/>
      <c r="W520" s="27"/>
      <c r="X520" s="27"/>
      <c r="Y520" s="27"/>
      <c r="Z520" s="27"/>
    </row>
    <row r="521">
      <c r="A521" s="29" t="str">
        <f>IFERROR(__xludf.DUMMYFUNCTION("""COMPUTED_VALUE"""),"M-140")</f>
        <v>M-140</v>
      </c>
      <c r="B521" s="27" t="str">
        <f>IFERROR(__xludf.DUMMYFUNCTION("""COMPUTED_VALUE"""),"Stone Tablet Mamodo")</f>
        <v>Stone Tablet Mamodo</v>
      </c>
      <c r="C521" s="27" t="str">
        <f>IFERROR(__xludf.DUMMYFUNCTION("""COMPUTED_VALUE"""),"Kalura")</f>
        <v>Kalura</v>
      </c>
      <c r="D521" s="27" t="str">
        <f>IFERROR(__xludf.DUMMYFUNCTION("""COMPUTED_VALUE"""),"Kalura")</f>
        <v>Kalura</v>
      </c>
      <c r="E521" s="27" t="str">
        <f>IFERROR(__xludf.DUMMYFUNCTION("""COMPUTED_VALUE"""),"-")</f>
        <v>-</v>
      </c>
      <c r="F521" s="27" t="str">
        <f>IFERROR(__xludf.DUMMYFUNCTION("""COMPUTED_VALUE"""),"-")</f>
        <v>-</v>
      </c>
      <c r="G521" s="27" t="str">
        <f>IFERROR(__xludf.DUMMYFUNCTION("""COMPUTED_VALUE"""),"None")</f>
        <v>None</v>
      </c>
      <c r="H521" s="27" t="str">
        <f>IFERROR(__xludf.DUMMYFUNCTION("""COMPUTED_VALUE"""),"Rose Warrior")</f>
        <v>Rose Warrior</v>
      </c>
      <c r="I521" s="28" t="str">
        <f>IFERROR(__xludf.DUMMYFUNCTION("""COMPUTED_VALUE"""),"[IN PLAY] When you have 3 Stone Tablet MAMODO cards in play, your opponent cannot apply the effects of MAMODO cards with [In Play].")</f>
        <v>[IN PLAY] When you have 3 Stone Tablet MAMODO cards in play, your opponent cannot apply the effects of MAMODO cards with [In Play].</v>
      </c>
      <c r="J521" s="27">
        <f>IFERROR(__xludf.DUMMYFUNCTION("""COMPUTED_VALUE"""),5000.0)</f>
        <v>5000</v>
      </c>
      <c r="K521" s="27" t="str">
        <f>IFERROR(__xludf.DUMMYFUNCTION("""COMPUTED_VALUE"""),"-")</f>
        <v>-</v>
      </c>
      <c r="L521" s="27" t="str">
        <f>IFERROR(__xludf.DUMMYFUNCTION("""COMPUTED_VALUE"""),"-")</f>
        <v>-</v>
      </c>
      <c r="M521" s="27" t="str">
        <f>IFERROR(__xludf.DUMMYFUNCTION("""COMPUTED_VALUE"""),"[C]")</f>
        <v>[C]</v>
      </c>
      <c r="N521" s="27" t="str">
        <f>IFERROR(__xludf.DUMMYFUNCTION("""COMPUTED_VALUE"""),"One of the four warriors who defeated Baransha. She has the elegant ability to manipulate roses.")</f>
        <v>One of the four warriors who defeated Baransha. She has the elegant ability to manipulate roses.</v>
      </c>
      <c r="O521" s="27"/>
      <c r="P521" s="27"/>
      <c r="Q521" s="27"/>
      <c r="R521" s="27"/>
      <c r="S521" s="27"/>
      <c r="T521" s="27"/>
      <c r="U521" s="27"/>
      <c r="V521" s="27"/>
      <c r="W521" s="27"/>
      <c r="X521" s="27"/>
      <c r="Y521" s="27"/>
      <c r="Z521" s="27"/>
    </row>
    <row r="522">
      <c r="A522" s="29" t="str">
        <f>IFERROR(__xludf.DUMMYFUNCTION("""COMPUTED_VALUE"""),"M-141")</f>
        <v>M-141</v>
      </c>
      <c r="B522" s="27" t="str">
        <f>IFERROR(__xludf.DUMMYFUNCTION("""COMPUTED_VALUE"""),"Stone Tablet Mamodo")</f>
        <v>Stone Tablet Mamodo</v>
      </c>
      <c r="C522" s="27" t="str">
        <f>IFERROR(__xludf.DUMMYFUNCTION("""COMPUTED_VALUE"""),"Babiru")</f>
        <v>Babiru</v>
      </c>
      <c r="D522" s="27" t="str">
        <f>IFERROR(__xludf.DUMMYFUNCTION("""COMPUTED_VALUE"""),"Babiru")</f>
        <v>Babiru</v>
      </c>
      <c r="E522" s="27" t="str">
        <f>IFERROR(__xludf.DUMMYFUNCTION("""COMPUTED_VALUE"""),"-")</f>
        <v>-</v>
      </c>
      <c r="F522" s="27" t="str">
        <f>IFERROR(__xludf.DUMMYFUNCTION("""COMPUTED_VALUE"""),"-")</f>
        <v>-</v>
      </c>
      <c r="G522" s="27" t="str">
        <f>IFERROR(__xludf.DUMMYFUNCTION("""COMPUTED_VALUE"""),"None")</f>
        <v>None</v>
      </c>
      <c r="H522" s="27" t="str">
        <f>IFERROR(__xludf.DUMMYFUNCTION("""COMPUTED_VALUE"""),"Super-powered Boy")</f>
        <v>Super-powered Boy</v>
      </c>
      <c r="I522" s="28" t="str">
        <f>IFERROR(__xludf.DUMMYFUNCTION("""COMPUTED_VALUE"""),"[IN PLAY] When you have 3 Stone Tablet MAMODO cards in play, your opponent cannot apply the effects of MAMODO cards with [Declare to use].")</f>
        <v>[IN PLAY] When you have 3 Stone Tablet MAMODO cards in play, your opponent cannot apply the effects of MAMODO cards with [Declare to use].</v>
      </c>
      <c r="J522" s="27">
        <f>IFERROR(__xludf.DUMMYFUNCTION("""COMPUTED_VALUE"""),4000.0)</f>
        <v>4000</v>
      </c>
      <c r="K522" s="27" t="str">
        <f>IFERROR(__xludf.DUMMYFUNCTION("""COMPUTED_VALUE"""),"-")</f>
        <v>-</v>
      </c>
      <c r="L522" s="27" t="str">
        <f>IFERROR(__xludf.DUMMYFUNCTION("""COMPUTED_VALUE"""),"-")</f>
        <v>-</v>
      </c>
      <c r="M522" s="27" t="str">
        <f>IFERROR(__xludf.DUMMYFUNCTION("""COMPUTED_VALUE"""),"[C]")</f>
        <v>[C]</v>
      </c>
      <c r="N522" s="27" t="str">
        <f>IFERROR(__xludf.DUMMYFUNCTION("""COMPUTED_VALUE"""),"One of the four warriors who defeated Baransha. He was tasked with guarding the ruins afterward.")</f>
        <v>One of the four warriors who defeated Baransha. He was tasked with guarding the ruins afterward.</v>
      </c>
      <c r="O522" s="27"/>
      <c r="P522" s="27"/>
      <c r="Q522" s="27"/>
      <c r="R522" s="27"/>
      <c r="S522" s="27"/>
      <c r="T522" s="27"/>
      <c r="U522" s="27"/>
      <c r="V522" s="27"/>
      <c r="W522" s="27"/>
      <c r="X522" s="27"/>
      <c r="Y522" s="27"/>
      <c r="Z522" s="27"/>
    </row>
    <row r="523">
      <c r="A523" s="29" t="str">
        <f>IFERROR(__xludf.DUMMYFUNCTION("""COMPUTED_VALUE"""),"M-142")</f>
        <v>M-142</v>
      </c>
      <c r="B523" s="27" t="str">
        <f>IFERROR(__xludf.DUMMYFUNCTION("""COMPUTED_VALUE"""),"Stone Tablet Mamodo")</f>
        <v>Stone Tablet Mamodo</v>
      </c>
      <c r="C523" s="27" t="str">
        <f>IFERROR(__xludf.DUMMYFUNCTION("""COMPUTED_VALUE"""),"Tsao-lon")</f>
        <v>Tsao-lon</v>
      </c>
      <c r="D523" s="27" t="str">
        <f>IFERROR(__xludf.DUMMYFUNCTION("""COMPUTED_VALUE"""),"Tsao-lon")</f>
        <v>Tsao-lon</v>
      </c>
      <c r="E523" s="27" t="str">
        <f>IFERROR(__xludf.DUMMYFUNCTION("""COMPUTED_VALUE"""),"-")</f>
        <v>-</v>
      </c>
      <c r="F523" s="27" t="str">
        <f>IFERROR(__xludf.DUMMYFUNCTION("""COMPUTED_VALUE"""),"-")</f>
        <v>-</v>
      </c>
      <c r="G523" s="27" t="str">
        <f>IFERROR(__xludf.DUMMYFUNCTION("""COMPUTED_VALUE"""),"None")</f>
        <v>None</v>
      </c>
      <c r="H523" s="27" t="str">
        <f>IFERROR(__xludf.DUMMYFUNCTION("""COMPUTED_VALUE"""),"Bo Staff")</f>
        <v>Bo Staff</v>
      </c>
      <c r="I523" s="28" t="str">
        <f>IFERROR(__xludf.DUMMYFUNCTION("""COMPUTED_VALUE"""),"Only 1 SPELL card can be played for this MAMODO card per turn (per player). (Attack)(Defend) [1 MP] This card may Attack without using a SPELL card (Total Power=7000, Damage=2) OR, Defend without using a SPELL card (Total Power=7000).")</f>
        <v>Only 1 SPELL card can be played for this MAMODO card per turn (per player). (Attack)(Defend) [1 MP] This card may Attack without using a SPELL card (Total Power=7000, Damage=2) OR, Defend without using a SPELL card (Total Power=7000).</v>
      </c>
      <c r="J523" s="27">
        <f>IFERROR(__xludf.DUMMYFUNCTION("""COMPUTED_VALUE"""),5000.0)</f>
        <v>5000</v>
      </c>
      <c r="K523" s="27" t="str">
        <f>IFERROR(__xludf.DUMMYFUNCTION("""COMPUTED_VALUE"""),"-")</f>
        <v>-</v>
      </c>
      <c r="L523" s="27" t="str">
        <f>IFERROR(__xludf.DUMMYFUNCTION("""COMPUTED_VALUE"""),"-")</f>
        <v>-</v>
      </c>
      <c r="M523" s="27" t="str">
        <f>IFERROR(__xludf.DUMMYFUNCTION("""COMPUTED_VALUE"""),"[SR]")</f>
        <v>[SR]</v>
      </c>
      <c r="N523" s="27" t="str">
        <f>IFERROR(__xludf.DUMMYFUNCTION("""COMPUTED_VALUE"""),"""Well, I guess we're the ones attacking first. This staring contest is getting annoying!""")</f>
        <v>"Well, I guess we're the ones attacking first. This staring contest is getting annoying!"</v>
      </c>
      <c r="O523" s="27"/>
      <c r="P523" s="27"/>
      <c r="Q523" s="27"/>
      <c r="R523" s="27"/>
      <c r="S523" s="27"/>
      <c r="T523" s="27"/>
      <c r="U523" s="27"/>
      <c r="V523" s="27"/>
      <c r="W523" s="27"/>
      <c r="X523" s="27"/>
      <c r="Y523" s="27"/>
      <c r="Z523" s="27"/>
    </row>
    <row r="524">
      <c r="A524" s="29" t="str">
        <f>IFERROR(__xludf.DUMMYFUNCTION("""COMPUTED_VALUE"""),"M-143")</f>
        <v>M-143</v>
      </c>
      <c r="B524" s="27" t="str">
        <f>IFERROR(__xludf.DUMMYFUNCTION("""COMPUTED_VALUE"""),"Stone Tablet Mamodo")</f>
        <v>Stone Tablet Mamodo</v>
      </c>
      <c r="C524" s="27" t="str">
        <f>IFERROR(__xludf.DUMMYFUNCTION("""COMPUTED_VALUE"""),"Belgim E.O.")</f>
        <v>Belgim E.O.</v>
      </c>
      <c r="D524" s="27" t="str">
        <f>IFERROR(__xludf.DUMMYFUNCTION("""COMPUTED_VALUE"""),"Belgim E.O.")</f>
        <v>Belgim E.O.</v>
      </c>
      <c r="E524" s="27" t="str">
        <f>IFERROR(__xludf.DUMMYFUNCTION("""COMPUTED_VALUE"""),"-")</f>
        <v>-</v>
      </c>
      <c r="F524" s="27" t="str">
        <f>IFERROR(__xludf.DUMMYFUNCTION("""COMPUTED_VALUE"""),"-")</f>
        <v>-</v>
      </c>
      <c r="G524" s="27" t="str">
        <f>IFERROR(__xludf.DUMMYFUNCTION("""COMPUTED_VALUE"""),"None")</f>
        <v>None</v>
      </c>
      <c r="H524" s="27" t="str">
        <f>IFERROR(__xludf.DUMMYFUNCTION("""COMPUTED_VALUE"""),"Entolerant Overlord")</f>
        <v>Entolerant Overlord</v>
      </c>
      <c r="I524" s="28" t="str">
        <f>IFERROR(__xludf.DUMMYFUNCTION("""COMPUTED_VALUE"""),"[DECLARE TO USE] If this MAMODO card received Damage or Injury during this turn, turn 2 pages of your opponent's Spell Book.")</f>
        <v>[DECLARE TO USE] If this MAMODO card received Damage or Injury during this turn, turn 2 pages of your opponent's Spell Book.</v>
      </c>
      <c r="J524" s="27">
        <f>IFERROR(__xludf.DUMMYFUNCTION("""COMPUTED_VALUE"""),6000.0)</f>
        <v>6000</v>
      </c>
      <c r="K524" s="27" t="str">
        <f>IFERROR(__xludf.DUMMYFUNCTION("""COMPUTED_VALUE"""),"-")</f>
        <v>-</v>
      </c>
      <c r="L524" s="27" t="str">
        <f>IFERROR(__xludf.DUMMYFUNCTION("""COMPUTED_VALUE"""),"-")</f>
        <v>-</v>
      </c>
      <c r="M524" s="27" t="str">
        <f>IFERROR(__xludf.DUMMYFUNCTION("""COMPUTED_VALUE"""),"[SR]")</f>
        <v>[SR]</v>
      </c>
      <c r="N524" s="27" t="str">
        <f>IFERROR(__xludf.DUMMYFUNCTION("""COMPUTED_VALUE"""),"""You will be destroyed, because the E.O. in Belgim E.O. stands for 'Entolerant Overlord'!""")</f>
        <v>"You will be destroyed, because the E.O. in Belgim E.O. stands for 'Entolerant Overlord'!"</v>
      </c>
      <c r="O524" s="27"/>
      <c r="P524" s="27"/>
      <c r="Q524" s="27"/>
      <c r="R524" s="27"/>
      <c r="S524" s="27"/>
      <c r="T524" s="27"/>
      <c r="U524" s="27"/>
      <c r="V524" s="27"/>
      <c r="W524" s="27"/>
      <c r="X524" s="27"/>
      <c r="Y524" s="27"/>
      <c r="Z524" s="27"/>
    </row>
    <row r="525">
      <c r="A525" s="29" t="str">
        <f>IFERROR(__xludf.DUMMYFUNCTION("""COMPUTED_VALUE"""),"M-144")</f>
        <v>M-144</v>
      </c>
      <c r="B525" s="27" t="str">
        <f>IFERROR(__xludf.DUMMYFUNCTION("""COMPUTED_VALUE"""),"Stone Tablet Mamodo")</f>
        <v>Stone Tablet Mamodo</v>
      </c>
      <c r="C525" s="27" t="str">
        <f>IFERROR(__xludf.DUMMYFUNCTION("""COMPUTED_VALUE"""),"Pamoon")</f>
        <v>Pamoon</v>
      </c>
      <c r="D525" s="27" t="str">
        <f>IFERROR(__xludf.DUMMYFUNCTION("""COMPUTED_VALUE"""),"Pamoon")</f>
        <v>Pamoon</v>
      </c>
      <c r="E525" s="27" t="str">
        <f>IFERROR(__xludf.DUMMYFUNCTION("""COMPUTED_VALUE"""),"-")</f>
        <v>-</v>
      </c>
      <c r="F525" s="27" t="str">
        <f>IFERROR(__xludf.DUMMYFUNCTION("""COMPUTED_VALUE"""),"-")</f>
        <v>-</v>
      </c>
      <c r="G525" s="27" t="str">
        <f>IFERROR(__xludf.DUMMYFUNCTION("""COMPUTED_VALUE"""),"None")</f>
        <v>None</v>
      </c>
      <c r="H525" s="27" t="str">
        <f>IFERROR(__xludf.DUMMYFUNCTION("""COMPUTED_VALUE"""),"The One Controlling The Stars")</f>
        <v>The One Controlling The Stars</v>
      </c>
      <c r="I525" s="28" t="str">
        <f>IFERROR(__xludf.DUMMYFUNCTION("""COMPUTED_VALUE"""),"[2 MP] Place 1 MP counter on this MAMODO card during your BATTLE PHASE (any MP counters on this card can be spent as your own MP).")</f>
        <v>[2 MP] Place 1 MP counter on this MAMODO card during your BATTLE PHASE (any MP counters on this card can be spent as your own MP).</v>
      </c>
      <c r="J525" s="27">
        <f>IFERROR(__xludf.DUMMYFUNCTION("""COMPUTED_VALUE"""),6000.0)</f>
        <v>6000</v>
      </c>
      <c r="K525" s="27" t="str">
        <f>IFERROR(__xludf.DUMMYFUNCTION("""COMPUTED_VALUE"""),"-")</f>
        <v>-</v>
      </c>
      <c r="L525" s="27" t="str">
        <f>IFERROR(__xludf.DUMMYFUNCTION("""COMPUTED_VALUE"""),"-")</f>
        <v>-</v>
      </c>
      <c r="M525" s="27" t="str">
        <f>IFERROR(__xludf.DUMMYFUNCTION("""COMPUTED_VALUE"""),"[SR]")</f>
        <v>[SR]</v>
      </c>
      <c r="N525" s="27" t="str">
        <f>IFERROR(__xludf.DUMMYFUNCTION("""COMPUTED_VALUE"""),"""Now my strength is born out of fear. Let me show you what that strength is like!""")</f>
        <v>"Now my strength is born out of fear. Let me show you what that strength is like!"</v>
      </c>
      <c r="O525" s="27"/>
      <c r="P525" s="27"/>
      <c r="Q525" s="27"/>
      <c r="R525" s="27"/>
      <c r="S525" s="27"/>
      <c r="T525" s="27"/>
      <c r="U525" s="27"/>
      <c r="V525" s="27"/>
      <c r="W525" s="27"/>
      <c r="X525" s="27"/>
      <c r="Y525" s="27"/>
      <c r="Z525" s="27"/>
    </row>
    <row r="526">
      <c r="A526" s="29" t="str">
        <f>IFERROR(__xludf.DUMMYFUNCTION("""COMPUTED_VALUE"""),"M-145")</f>
        <v>M-145</v>
      </c>
      <c r="B526" s="27" t="str">
        <f>IFERROR(__xludf.DUMMYFUNCTION("""COMPUTED_VALUE"""),"Stone Tablet Mamodo")</f>
        <v>Stone Tablet Mamodo</v>
      </c>
      <c r="C526" s="27" t="str">
        <f>IFERROR(__xludf.DUMMYFUNCTION("""COMPUTED_VALUE"""),"Demolt")</f>
        <v>Demolt</v>
      </c>
      <c r="D526" s="27" t="str">
        <f>IFERROR(__xludf.DUMMYFUNCTION("""COMPUTED_VALUE"""),"Demolt")</f>
        <v>Demolt</v>
      </c>
      <c r="E526" s="27" t="str">
        <f>IFERROR(__xludf.DUMMYFUNCTION("""COMPUTED_VALUE"""),"-")</f>
        <v>-</v>
      </c>
      <c r="F526" s="27" t="str">
        <f>IFERROR(__xludf.DUMMYFUNCTION("""COMPUTED_VALUE"""),"-")</f>
        <v>-</v>
      </c>
      <c r="G526" s="27" t="str">
        <f>IFERROR(__xludf.DUMMYFUNCTION("""COMPUTED_VALUE"""),"Intermediate")</f>
        <v>Intermediate</v>
      </c>
      <c r="H526" s="27" t="str">
        <f>IFERROR(__xludf.DUMMYFUNCTION("""COMPUTED_VALUE"""),"Roar")</f>
        <v>Roar</v>
      </c>
      <c r="I526" s="28" t="str">
        <f>IFERROR(__xludf.DUMMYFUNCTION("""COMPUTED_VALUE"""),"[DECLARE TO USE] During the BATTLE PHASE of the turn you put this MAMODO card in play, send 1 of your opponent's in-play MAMODO cards to the Discard Pile. This effect can be applied only once per game (per player).")</f>
        <v>[DECLARE TO USE] During the BATTLE PHASE of the turn you put this MAMODO card in play, send 1 of your opponent's in-play MAMODO cards to the Discard Pile. This effect can be applied only once per game (per player).</v>
      </c>
      <c r="J526" s="27">
        <f>IFERROR(__xludf.DUMMYFUNCTION("""COMPUTED_VALUE"""),8000.0)</f>
        <v>8000</v>
      </c>
      <c r="K526" s="27" t="str">
        <f>IFERROR(__xludf.DUMMYFUNCTION("""COMPUTED_VALUE"""),"-")</f>
        <v>-</v>
      </c>
      <c r="L526" s="27" t="str">
        <f>IFERROR(__xludf.DUMMYFUNCTION("""COMPUTED_VALUE"""),"-")</f>
        <v>-</v>
      </c>
      <c r="M526" s="27" t="str">
        <f>IFERROR(__xludf.DUMMYFUNCTION("""COMPUTED_VALUE"""),"[SR]")</f>
        <v>[SR]</v>
      </c>
      <c r="N526" s="27" t="str">
        <f>IFERROR(__xludf.DUMMYFUNCTION("""COMPUTED_VALUE"""),"His blood-curdling roar left Zatch and his allies frozen in fear.")</f>
        <v>His blood-curdling roar left Zatch and his allies frozen in fear.</v>
      </c>
      <c r="O526" s="27"/>
      <c r="P526" s="27"/>
      <c r="Q526" s="27"/>
      <c r="R526" s="27"/>
      <c r="S526" s="27"/>
      <c r="T526" s="27"/>
      <c r="U526" s="27"/>
      <c r="V526" s="27"/>
      <c r="W526" s="27"/>
      <c r="X526" s="27"/>
      <c r="Y526" s="27"/>
      <c r="Z526" s="27"/>
    </row>
    <row r="527">
      <c r="A527" s="29" t="str">
        <f>IFERROR(__xludf.DUMMYFUNCTION("""COMPUTED_VALUE"""),"M-146")</f>
        <v>M-146</v>
      </c>
      <c r="B527" s="27" t="str">
        <f>IFERROR(__xludf.DUMMYFUNCTION("""COMPUTED_VALUE"""),"Mamodo")</f>
        <v>Mamodo</v>
      </c>
      <c r="C527" s="27" t="str">
        <f>IFERROR(__xludf.DUMMYFUNCTION("""COMPUTED_VALUE"""),"Biblio")</f>
        <v>Biblio</v>
      </c>
      <c r="D527" s="27" t="str">
        <f>IFERROR(__xludf.DUMMYFUNCTION("""COMPUTED_VALUE"""),"Biblio")</f>
        <v>Biblio</v>
      </c>
      <c r="E527" s="27" t="str">
        <f>IFERROR(__xludf.DUMMYFUNCTION("""COMPUTED_VALUE"""),"-")</f>
        <v>-</v>
      </c>
      <c r="F527" s="27" t="str">
        <f>IFERROR(__xludf.DUMMYFUNCTION("""COMPUTED_VALUE"""),"-")</f>
        <v>-</v>
      </c>
      <c r="G527" s="27" t="str">
        <f>IFERROR(__xludf.DUMMYFUNCTION("""COMPUTED_VALUE"""),"None")</f>
        <v>None</v>
      </c>
      <c r="H527" s="27" t="str">
        <f>IFERROR(__xludf.DUMMYFUNCTION("""COMPUTED_VALUE"""),"Manga Manipulator")</f>
        <v>Manga Manipulator</v>
      </c>
      <c r="I527" s="28" t="str">
        <f>IFERROR(__xludf.DUMMYFUNCTION("""COMPUTED_VALUE"""),"[2 MP] Animuto : Select 1 The Bad Omen Force EVENT card from the currently open pages of your Spell Book and put it in play. [6 MP] Rigaro Animuk : Select 1 of your opponent's in-play MAMODO cards. Then, your opponent moves the selected card to an empty p"&amp;"age (of their choice) of their Spell Book.")</f>
        <v>[2 MP] Animuto : Select 1 The Bad Omen Force EVENT card from the currently open pages of your Spell Book and put it in play. [6 MP] Rigaro Animuk : Select 1 of your opponent's in-play MAMODO cards. Then, your opponent moves the selected card to an empty page (of their choice) of their Spell Book.</v>
      </c>
      <c r="J527" s="27">
        <f>IFERROR(__xludf.DUMMYFUNCTION("""COMPUTED_VALUE"""),2000.0)</f>
        <v>2000</v>
      </c>
      <c r="K527" s="27" t="str">
        <f>IFERROR(__xludf.DUMMYFUNCTION("""COMPUTED_VALUE"""),"-")</f>
        <v>-</v>
      </c>
      <c r="L527" s="27" t="str">
        <f>IFERROR(__xludf.DUMMYFUNCTION("""COMPUTED_VALUE"""),"-")</f>
        <v>-</v>
      </c>
      <c r="M527" s="27" t="str">
        <f>IFERROR(__xludf.DUMMYFUNCTION("""COMPUTED_VALUE"""),"[U]")</f>
        <v>[U]</v>
      </c>
      <c r="N527" s="27" t="str">
        <f>IFERROR(__xludf.DUMMYFUNCTION("""COMPUTED_VALUE"""),"An avid bookworm who has the power to manipulate manga at will.")</f>
        <v>An avid bookworm who has the power to manipulate manga at will.</v>
      </c>
      <c r="O527" s="27"/>
      <c r="P527" s="27"/>
      <c r="Q527" s="27"/>
      <c r="R527" s="27"/>
      <c r="S527" s="27"/>
      <c r="T527" s="27"/>
      <c r="U527" s="27"/>
      <c r="V527" s="27"/>
      <c r="W527" s="27"/>
      <c r="X527" s="27"/>
      <c r="Y527" s="27"/>
      <c r="Z527" s="27"/>
    </row>
    <row r="528">
      <c r="A528" s="29" t="str">
        <f>IFERROR(__xludf.DUMMYFUNCTION("""COMPUTED_VALUE"""),"M-147")</f>
        <v>M-147</v>
      </c>
      <c r="B528" s="27" t="str">
        <f>IFERROR(__xludf.DUMMYFUNCTION("""COMPUTED_VALUE"""),"Mamodo")</f>
        <v>Mamodo</v>
      </c>
      <c r="C528" s="27" t="str">
        <f>IFERROR(__xludf.DUMMYFUNCTION("""COMPUTED_VALUE"""),"Soma")</f>
        <v>Soma</v>
      </c>
      <c r="D528" s="27" t="str">
        <f>IFERROR(__xludf.DUMMYFUNCTION("""COMPUTED_VALUE"""),"Soma")</f>
        <v>Soma</v>
      </c>
      <c r="E528" s="27" t="str">
        <f>IFERROR(__xludf.DUMMYFUNCTION("""COMPUTED_VALUE"""),"-")</f>
        <v>-</v>
      </c>
      <c r="F528" s="27" t="str">
        <f>IFERROR(__xludf.DUMMYFUNCTION("""COMPUTED_VALUE"""),"-")</f>
        <v>-</v>
      </c>
      <c r="G528" s="27" t="str">
        <f>IFERROR(__xludf.DUMMYFUNCTION("""COMPUTED_VALUE"""),"None")</f>
        <v>None</v>
      </c>
      <c r="H528" s="27" t="str">
        <f>IFERROR(__xludf.DUMMYFUNCTION("""COMPUTED_VALUE"""),"The Ultimate Bookmark")</f>
        <v>The Ultimate Bookmark</v>
      </c>
      <c r="I528" s="28" t="str">
        <f>IFERROR(__xludf.DUMMYFUNCTION("""COMPUTED_VALUE"""),"[DECLARE TO USE] [STANDBY] Select 1 card from the previous page of your Spell Book. The selected card can be played during this turn (the card is put in play if applicable). This effect can be applied only once per game (per player).")</f>
        <v>[DECLARE TO USE] [STANDBY] Select 1 card from the previous page of your Spell Book. The selected card can be played during this turn (the card is put in play if applicable). This effect can be applied only once per game (per player).</v>
      </c>
      <c r="J528" s="27">
        <f>IFERROR(__xludf.DUMMYFUNCTION("""COMPUTED_VALUE"""),4000.0)</f>
        <v>4000</v>
      </c>
      <c r="K528" s="27" t="str">
        <f>IFERROR(__xludf.DUMMYFUNCTION("""COMPUTED_VALUE"""),"-")</f>
        <v>-</v>
      </c>
      <c r="L528" s="27" t="str">
        <f>IFERROR(__xludf.DUMMYFUNCTION("""COMPUTED_VALUE"""),"-")</f>
        <v>-</v>
      </c>
      <c r="M528" s="27" t="str">
        <f>IFERROR(__xludf.DUMMYFUNCTION("""COMPUTED_VALUE"""),"[U]")</f>
        <v>[U]</v>
      </c>
      <c r="N528" s="27" t="str">
        <f>IFERROR(__xludf.DUMMYFUNCTION("""COMPUTED_VALUE"""),"A mamodo whom Biblio transformed into a graphic novel. What could be his objective...?")</f>
        <v>A mamodo whom Biblio transformed into a graphic novel. What could be his objective...?</v>
      </c>
      <c r="O528" s="27"/>
      <c r="P528" s="27"/>
      <c r="Q528" s="27"/>
      <c r="R528" s="27"/>
      <c r="S528" s="27"/>
      <c r="T528" s="27"/>
      <c r="U528" s="27"/>
      <c r="V528" s="27"/>
      <c r="W528" s="27"/>
      <c r="X528" s="27"/>
      <c r="Y528" s="27"/>
      <c r="Z528" s="27"/>
    </row>
    <row r="529">
      <c r="A529" s="29" t="str">
        <f>IFERROR(__xludf.DUMMYFUNCTION("""COMPUTED_VALUE"""),"M-148")</f>
        <v>M-148</v>
      </c>
      <c r="B529" s="27" t="str">
        <f>IFERROR(__xludf.DUMMYFUNCTION("""COMPUTED_VALUE"""),"Mamodo")</f>
        <v>Mamodo</v>
      </c>
      <c r="C529" s="27" t="str">
        <f>IFERROR(__xludf.DUMMYFUNCTION("""COMPUTED_VALUE"""),"Wonrei &amp; Tia")</f>
        <v>Wonrei &amp; Tia</v>
      </c>
      <c r="D529" s="27" t="str">
        <f>IFERROR(__xludf.DUMMYFUNCTION("""COMPUTED_VALUE"""),"Wonrei | Tia")</f>
        <v>Wonrei | Tia</v>
      </c>
      <c r="E529" s="27" t="str">
        <f>IFERROR(__xludf.DUMMYFUNCTION("""COMPUTED_VALUE"""),"-")</f>
        <v>-</v>
      </c>
      <c r="F529" s="27" t="str">
        <f>IFERROR(__xludf.DUMMYFUNCTION("""COMPUTED_VALUE"""),"-")</f>
        <v>-</v>
      </c>
      <c r="G529" s="27" t="str">
        <f>IFERROR(__xludf.DUMMYFUNCTION("""COMPUTED_VALUE"""),"None")</f>
        <v>None</v>
      </c>
      <c r="H529" s="27" t="str">
        <f>IFERROR(__xludf.DUMMYFUNCTION("""COMPUTED_VALUE"""),"The Protecting King's Shield")</f>
        <v>The Protecting King's Shield</v>
      </c>
      <c r="I529" s="28" t="str">
        <f>IFERROR(__xludf.DUMMYFUNCTION("""COMPUTED_VALUE"""),"Send your in-play Wonrei or Tia MAMODO card to the Discard Pile to put this MAMODO card in play. [SEND THIS CARD TO THE DISCARD PILE] [STANDBY] After applying this effect, only once during this game, when your Spell Book or any of your in-play MAMODO card"&amp;"s receive Damage or Injury by your opponent's card effects, negate that Damage or Injury.")</f>
        <v>Send your in-play Wonrei or Tia MAMODO card to the Discard Pile to put this MAMODO card in play. [SEND THIS CARD TO THE DISCARD PILE] [STANDBY] After applying this effect, only once during this game, when your Spell Book or any of your in-play MAMODO cards receive Damage or Injury by your opponent's card effects, negate that Damage or Injury.</v>
      </c>
      <c r="J529" s="27">
        <f>IFERROR(__xludf.DUMMYFUNCTION("""COMPUTED_VALUE"""),4000.0)</f>
        <v>4000</v>
      </c>
      <c r="K529" s="27" t="str">
        <f>IFERROR(__xludf.DUMMYFUNCTION("""COMPUTED_VALUE"""),"-")</f>
        <v>-</v>
      </c>
      <c r="L529" s="27" t="str">
        <f>IFERROR(__xludf.DUMMYFUNCTION("""COMPUTED_VALUE"""),"-")</f>
        <v>-</v>
      </c>
      <c r="M529" s="27" t="str">
        <f>IFERROR(__xludf.DUMMYFUNCTION("""COMPUTED_VALUE"""),"[SR]")</f>
        <v>[SR]</v>
      </c>
      <c r="N529" s="27" t="str">
        <f>IFERROR(__xludf.DUMMYFUNCTION("""COMPUTED_VALUE"""),"""Wonrei, make me your apprentice! I'll learn kung fu and everything!""")</f>
        <v>"Wonrei, make me your apprentice! I'll learn kung fu and everything!"</v>
      </c>
      <c r="O529" s="27"/>
      <c r="P529" s="27"/>
      <c r="Q529" s="27"/>
      <c r="R529" s="27"/>
      <c r="S529" s="27"/>
      <c r="T529" s="27"/>
      <c r="U529" s="27"/>
      <c r="V529" s="27"/>
      <c r="W529" s="27"/>
      <c r="X529" s="27"/>
      <c r="Y529" s="27"/>
      <c r="Z529" s="27"/>
    </row>
    <row r="530">
      <c r="A530" s="29" t="str">
        <f>IFERROR(__xludf.DUMMYFUNCTION("""COMPUTED_VALUE"""),"M-149")</f>
        <v>M-149</v>
      </c>
      <c r="B530" s="27" t="str">
        <f>IFERROR(__xludf.DUMMYFUNCTION("""COMPUTED_VALUE"""),"Mamodo")</f>
        <v>Mamodo</v>
      </c>
      <c r="C530" s="27" t="str">
        <f>IFERROR(__xludf.DUMMYFUNCTION("""COMPUTED_VALUE"""),"Kanchomé &amp; Kido")</f>
        <v>Kanchomé &amp; Kido</v>
      </c>
      <c r="D530" s="27" t="str">
        <f>IFERROR(__xludf.DUMMYFUNCTION("""COMPUTED_VALUE"""),"Kanchomé | Kido")</f>
        <v>Kanchomé | Kido</v>
      </c>
      <c r="E530" s="27" t="str">
        <f>IFERROR(__xludf.DUMMYFUNCTION("""COMPUTED_VALUE"""),"-")</f>
        <v>-</v>
      </c>
      <c r="F530" s="27" t="str">
        <f>IFERROR(__xludf.DUMMYFUNCTION("""COMPUTED_VALUE"""),"-")</f>
        <v>-</v>
      </c>
      <c r="G530" s="27" t="str">
        <f>IFERROR(__xludf.DUMMYFUNCTION("""COMPUTED_VALUE"""),"None")</f>
        <v>None</v>
      </c>
      <c r="H530" s="27" t="str">
        <f>IFERROR(__xludf.DUMMYFUNCTION("""COMPUTED_VALUE"""),"Waaaah!")</f>
        <v>Waaaah!</v>
      </c>
      <c r="I530" s="28" t="str">
        <f>IFERROR(__xludf.DUMMYFUNCTION("""COMPUTED_VALUE"""),"Send your in-play Kanchomé or Kido MAMODO card to the Discard Pile to put this MAMODO card in play. [1 MP] [STAY] During this turn, both players can play EVENT cards even when they are prohibited to do so, and neither player can negate EVENT cards with th"&amp;"eir cut-in effects.")</f>
        <v>Send your in-play Kanchomé or Kido MAMODO card to the Discard Pile to put this MAMODO card in play. [1 MP] [STAY] During this turn, both players can play EVENT cards even when they are prohibited to do so, and neither player can negate EVENT cards with their cut-in effects.</v>
      </c>
      <c r="J530" s="27">
        <f>IFERROR(__xludf.DUMMYFUNCTION("""COMPUTED_VALUE"""),3000.0)</f>
        <v>3000</v>
      </c>
      <c r="K530" s="27" t="str">
        <f>IFERROR(__xludf.DUMMYFUNCTION("""COMPUTED_VALUE"""),"-")</f>
        <v>-</v>
      </c>
      <c r="L530" s="27" t="str">
        <f>IFERROR(__xludf.DUMMYFUNCTION("""COMPUTED_VALUE"""),"-")</f>
        <v>-</v>
      </c>
      <c r="M530" s="27" t="str">
        <f>IFERROR(__xludf.DUMMYFUNCTION("""COMPUTED_VALUE"""),"[SR]")</f>
        <v>[SR]</v>
      </c>
      <c r="N530" s="27" t="str">
        <f>IFERROR(__xludf.DUMMYFUNCTION("""COMPUTED_VALUE"""),"The team of Kanchomé &amp; Kido have their hands full in the battle with Belgim E.O....")</f>
        <v>The team of Kanchomé &amp; Kido have their hands full in the battle with Belgim E.O....</v>
      </c>
      <c r="O530" s="27"/>
      <c r="P530" s="27"/>
      <c r="Q530" s="27"/>
      <c r="R530" s="27"/>
      <c r="S530" s="27"/>
      <c r="T530" s="27"/>
      <c r="U530" s="27"/>
      <c r="V530" s="27"/>
      <c r="W530" s="27"/>
      <c r="X530" s="27"/>
      <c r="Y530" s="27"/>
      <c r="Z530" s="27"/>
    </row>
    <row r="531">
      <c r="A531" s="29" t="str">
        <f>IFERROR(__xludf.DUMMYFUNCTION("""COMPUTED_VALUE"""),"M-150")</f>
        <v>M-150</v>
      </c>
      <c r="B531" s="27" t="str">
        <f>IFERROR(__xludf.DUMMYFUNCTION("""COMPUTED_VALUE"""),"Mamodo")</f>
        <v>Mamodo</v>
      </c>
      <c r="C531" s="27" t="str">
        <f>IFERROR(__xludf.DUMMYFUNCTION("""COMPUTED_VALUE"""),"Zatch Bell")</f>
        <v>Zatch Bell</v>
      </c>
      <c r="D531" s="27" t="str">
        <f>IFERROR(__xludf.DUMMYFUNCTION("""COMPUTED_VALUE"""),"Zatch Bell")</f>
        <v>Zatch Bell</v>
      </c>
      <c r="E531" s="27" t="str">
        <f>IFERROR(__xludf.DUMMYFUNCTION("""COMPUTED_VALUE"""),"-")</f>
        <v>-</v>
      </c>
      <c r="F531" s="27" t="str">
        <f>IFERROR(__xludf.DUMMYFUNCTION("""COMPUTED_VALUE"""),"-")</f>
        <v>-</v>
      </c>
      <c r="G531" s="27" t="str">
        <f>IFERROR(__xludf.DUMMYFUNCTION("""COMPUTED_VALUE"""),"None")</f>
        <v>None</v>
      </c>
      <c r="H531" s="27" t="str">
        <f>IFERROR(__xludf.DUMMYFUNCTION("""COMPUTED_VALUE"""),"As Much As It Takes")</f>
        <v>As Much As It Takes</v>
      </c>
      <c r="I531" s="28" t="str">
        <f>IFERROR(__xludf.DUMMYFUNCTION("""COMPUTED_VALUE"""),"(Defend) [1 MP] This card may Defend without using a SPELL card (Total Power=7000). This effect can be applied up to as many times as you desire per turn.")</f>
        <v>(Defend) [1 MP] This card may Defend without using a SPELL card (Total Power=7000). This effect can be applied up to as many times as you desire per turn.</v>
      </c>
      <c r="J531" s="27">
        <f>IFERROR(__xludf.DUMMYFUNCTION("""COMPUTED_VALUE"""),4000.0)</f>
        <v>4000</v>
      </c>
      <c r="K531" s="27" t="str">
        <f>IFERROR(__xludf.DUMMYFUNCTION("""COMPUTED_VALUE"""),"-")</f>
        <v>-</v>
      </c>
      <c r="L531" s="27" t="str">
        <f>IFERROR(__xludf.DUMMYFUNCTION("""COMPUTED_VALUE"""),"-")</f>
        <v>-</v>
      </c>
      <c r="M531" s="27" t="str">
        <f>IFERROR(__xludf.DUMMYFUNCTION("""COMPUTED_VALUE"""),"[C]")</f>
        <v>[C]</v>
      </c>
      <c r="N531" s="27" t="str">
        <f>IFERROR(__xludf.DUMMYFUNCTION("""COMPUTED_VALUE"""),"""Let's go, Kiyo!""")</f>
        <v>"Let's go, Kiyo!"</v>
      </c>
      <c r="O531" s="27"/>
      <c r="P531" s="27"/>
      <c r="Q531" s="27"/>
      <c r="R531" s="27"/>
      <c r="S531" s="27"/>
      <c r="T531" s="27"/>
      <c r="U531" s="27"/>
      <c r="V531" s="27"/>
      <c r="W531" s="27"/>
      <c r="X531" s="27"/>
      <c r="Y531" s="27"/>
      <c r="Z531" s="27"/>
    </row>
    <row r="532">
      <c r="A532" s="29" t="str">
        <f>IFERROR(__xludf.DUMMYFUNCTION("""COMPUTED_VALUE"""),"M-151")</f>
        <v>M-151</v>
      </c>
      <c r="B532" s="27" t="str">
        <f>IFERROR(__xludf.DUMMYFUNCTION("""COMPUTED_VALUE"""),"Mamodo")</f>
        <v>Mamodo</v>
      </c>
      <c r="C532" s="27" t="str">
        <f>IFERROR(__xludf.DUMMYFUNCTION("""COMPUTED_VALUE"""),"Wiseman")</f>
        <v>Wiseman</v>
      </c>
      <c r="D532" s="27" t="str">
        <f>IFERROR(__xludf.DUMMYFUNCTION("""COMPUTED_VALUE"""),"Wiseman")</f>
        <v>Wiseman</v>
      </c>
      <c r="E532" s="27" t="str">
        <f>IFERROR(__xludf.DUMMYFUNCTION("""COMPUTED_VALUE"""),"-")</f>
        <v>-</v>
      </c>
      <c r="F532" s="27" t="str">
        <f>IFERROR(__xludf.DUMMYFUNCTION("""COMPUTED_VALUE"""),"-")</f>
        <v>-</v>
      </c>
      <c r="G532" s="27" t="str">
        <f>IFERROR(__xludf.DUMMYFUNCTION("""COMPUTED_VALUE"""),"None")</f>
        <v>None</v>
      </c>
      <c r="H532" s="27" t="str">
        <f>IFERROR(__xludf.DUMMYFUNCTION("""COMPUTED_VALUE"""),"Qualified To Be King")</f>
        <v>Qualified To Be King</v>
      </c>
      <c r="I532" s="28" t="str">
        <f>IFERROR(__xludf.DUMMYFUNCTION("""COMPUTED_VALUE"""),"[3 MP] Send 1 of your opponent's in-play cards (except MAMODO cards) to the Discard Pile during your BATTLE PHASE.")</f>
        <v>[3 MP] Send 1 of your opponent's in-play cards (except MAMODO cards) to the Discard Pile during your BATTLE PHASE.</v>
      </c>
      <c r="J532" s="27">
        <f>IFERROR(__xludf.DUMMYFUNCTION("""COMPUTED_VALUE"""),4000.0)</f>
        <v>4000</v>
      </c>
      <c r="K532" s="27" t="str">
        <f>IFERROR(__xludf.DUMMYFUNCTION("""COMPUTED_VALUE"""),"-")</f>
        <v>-</v>
      </c>
      <c r="L532" s="27" t="str">
        <f>IFERROR(__xludf.DUMMYFUNCTION("""COMPUTED_VALUE"""),"-")</f>
        <v>-</v>
      </c>
      <c r="M532" s="27" t="str">
        <f>IFERROR(__xludf.DUMMYFUNCTION("""COMPUTED_VALUE"""),"[U]")</f>
        <v>[U]</v>
      </c>
      <c r="N532" s="27" t="str">
        <f>IFERROR(__xludf.DUMMYFUNCTION("""COMPUTED_VALUE"""),"""The battle to become king just seems right for me.""")</f>
        <v>"The battle to become king just seems right for me."</v>
      </c>
      <c r="O532" s="27"/>
      <c r="P532" s="27"/>
      <c r="Q532" s="27"/>
      <c r="R532" s="27"/>
      <c r="S532" s="27"/>
      <c r="T532" s="27"/>
      <c r="U532" s="27"/>
      <c r="V532" s="27"/>
      <c r="W532" s="27"/>
      <c r="X532" s="27"/>
      <c r="Y532" s="27"/>
      <c r="Z532" s="27"/>
    </row>
    <row r="533">
      <c r="A533" s="29" t="str">
        <f>IFERROR(__xludf.DUMMYFUNCTION("""COMPUTED_VALUE"""),"M-152")</f>
        <v>M-152</v>
      </c>
      <c r="B533" s="27" t="str">
        <f>IFERROR(__xludf.DUMMYFUNCTION("""COMPUTED_VALUE"""),"Mamodo")</f>
        <v>Mamodo</v>
      </c>
      <c r="C533" s="27" t="str">
        <f>IFERROR(__xludf.DUMMYFUNCTION("""COMPUTED_VALUE"""),"Wiseman (Complete)")</f>
        <v>Wiseman (Complete)</v>
      </c>
      <c r="D533" s="27" t="str">
        <f>IFERROR(__xludf.DUMMYFUNCTION("""COMPUTED_VALUE"""),"-")</f>
        <v>-</v>
      </c>
      <c r="E533" s="27" t="str">
        <f>IFERROR(__xludf.DUMMYFUNCTION("""COMPUTED_VALUE"""),"-")</f>
        <v>-</v>
      </c>
      <c r="F533" s="27" t="str">
        <f>IFERROR(__xludf.DUMMYFUNCTION("""COMPUTED_VALUE"""),"-")</f>
        <v>-</v>
      </c>
      <c r="G533" s="27" t="str">
        <f>IFERROR(__xludf.DUMMYFUNCTION("""COMPUTED_VALUE"""),"None")</f>
        <v>None</v>
      </c>
      <c r="H533" s="27" t="str">
        <f>IFERROR(__xludf.DUMMYFUNCTION("""COMPUTED_VALUE"""),"The 101st Spell Book")</f>
        <v>The 101st Spell Book</v>
      </c>
      <c r="I533" s="28" t="str">
        <f>IFERROR(__xludf.DUMMYFUNCTION("""COMPUTED_VALUE"""),"Send your in-play Wiseman MAMODO card and Kotoha PARTNER card to the Discard Pile to put this MAMODO card in play. [3 MP] Select 1 SPELL card from the previous page of your opponent's Spell Book. [STANDBY] After applying this effect, only once during this"&amp;" turn (per player), the selected SPELL card can be played for this MAMODO card; its MP cost considered to be 0.")</f>
        <v>Send your in-play Wiseman MAMODO card and Kotoha PARTNER card to the Discard Pile to put this MAMODO card in play. [3 MP] Select 1 SPELL card from the previous page of your opponent's Spell Book. [STANDBY] After applying this effect, only once during this turn (per player), the selected SPELL card can be played for this MAMODO card; its MP cost considered to be 0.</v>
      </c>
      <c r="J533" s="27">
        <f>IFERROR(__xludf.DUMMYFUNCTION("""COMPUTED_VALUE"""),5500.0)</f>
        <v>5500</v>
      </c>
      <c r="K533" s="27" t="str">
        <f>IFERROR(__xludf.DUMMYFUNCTION("""COMPUTED_VALUE"""),"-")</f>
        <v>-</v>
      </c>
      <c r="L533" s="27" t="str">
        <f>IFERROR(__xludf.DUMMYFUNCTION("""COMPUTED_VALUE"""),"-")</f>
        <v>-</v>
      </c>
      <c r="M533" s="27" t="str">
        <f>IFERROR(__xludf.DUMMYFUNCTION("""COMPUTED_VALUE"""),"[R]")</f>
        <v>[R]</v>
      </c>
      <c r="N533" s="27" t="str">
        <f>IFERROR(__xludf.DUMMYFUNCTION("""COMPUTED_VALUE"""),"The white spell book under Wiseman's control has the power to absorb any spell that is used against him.")</f>
        <v>The white spell book under Wiseman's control has the power to absorb any spell that is used against him.</v>
      </c>
      <c r="O533" s="27"/>
      <c r="P533" s="27"/>
      <c r="Q533" s="27"/>
      <c r="R533" s="27"/>
      <c r="S533" s="27"/>
      <c r="T533" s="27"/>
      <c r="U533" s="27"/>
      <c r="V533" s="27"/>
      <c r="W533" s="27"/>
      <c r="X533" s="27"/>
      <c r="Y533" s="27"/>
      <c r="Z533" s="27"/>
    </row>
    <row r="534">
      <c r="A534" s="38" t="str">
        <f>IFERROR(__xludf.DUMMYFUNCTION("""COMPUTED_VALUE"""),"M-153")</f>
        <v>M-153</v>
      </c>
      <c r="B534" s="39" t="str">
        <f>IFERROR(__xludf.DUMMYFUNCTION("""COMPUTED_VALUE"""),"Mamodo")</f>
        <v>Mamodo</v>
      </c>
      <c r="C534" s="39" t="str">
        <f>IFERROR(__xludf.DUMMYFUNCTION("""COMPUTED_VALUE"""),"Black Knight")</f>
        <v>Black Knight</v>
      </c>
      <c r="D534" s="39" t="str">
        <f>IFERROR(__xludf.DUMMYFUNCTION("""COMPUTED_VALUE"""),"-")</f>
        <v>-</v>
      </c>
      <c r="E534" s="39" t="str">
        <f>IFERROR(__xludf.DUMMYFUNCTION("""COMPUTED_VALUE"""),"-")</f>
        <v>-</v>
      </c>
      <c r="F534" s="39" t="str">
        <f>IFERROR(__xludf.DUMMYFUNCTION("""COMPUTED_VALUE"""),"-")</f>
        <v>-</v>
      </c>
      <c r="G534" s="39" t="str">
        <f>IFERROR(__xludf.DUMMYFUNCTION("""COMPUTED_VALUE"""),"None")</f>
        <v>None</v>
      </c>
      <c r="H534" s="39" t="str">
        <f>IFERROR(__xludf.DUMMYFUNCTION("""COMPUTED_VALUE"""),"Battlekeeper")</f>
        <v>Battlekeeper</v>
      </c>
      <c r="I534" s="40" t="str">
        <f>IFERROR(__xludf.DUMMYFUNCTION("""COMPUTED_VALUE"""),"[DECLARE TO USE] Send all of your opponent's in-play cards (except MAMODO and PARTNER cards) to the Discard Pile.")</f>
        <v>[DECLARE TO USE] Send all of your opponent's in-play cards (except MAMODO and PARTNER cards) to the Discard Pile.</v>
      </c>
      <c r="J534" s="39">
        <f>IFERROR(__xludf.DUMMYFUNCTION("""COMPUTED_VALUE"""),7000.0)</f>
        <v>7000</v>
      </c>
      <c r="K534" s="39" t="str">
        <f>IFERROR(__xludf.DUMMYFUNCTION("""COMPUTED_VALUE"""),"-")</f>
        <v>-</v>
      </c>
      <c r="L534" s="39" t="str">
        <f>IFERROR(__xludf.DUMMYFUNCTION("""COMPUTED_VALUE"""),"-")</f>
        <v>-</v>
      </c>
      <c r="M534" s="39" t="str">
        <f>IFERROR(__xludf.DUMMYFUNCTION("""COMPUTED_VALUE"""),"[R]")</f>
        <v>[R]</v>
      </c>
      <c r="N534" s="39" t="str">
        <f>IFERROR(__xludf.DUMMYFUNCTION("""COMPUTED_VALUE"""),"He is a hero of the mamodo world who protects the peace, enforces the rules, and detests the wicked.")</f>
        <v>He is a hero of the mamodo world who protects the peace, enforces the rules, and detests the wicked.</v>
      </c>
      <c r="O534" s="39"/>
      <c r="P534" s="39"/>
      <c r="Q534" s="39"/>
      <c r="R534" s="39"/>
      <c r="S534" s="39"/>
      <c r="T534" s="39"/>
      <c r="U534" s="39"/>
      <c r="V534" s="39"/>
      <c r="W534" s="39"/>
      <c r="X534" s="39"/>
      <c r="Y534" s="39"/>
      <c r="Z534" s="39"/>
    </row>
    <row r="535">
      <c r="A535" s="38" t="str">
        <f>IFERROR(__xludf.DUMMYFUNCTION("""COMPUTED_VALUE"""),"M-154")</f>
        <v>M-154</v>
      </c>
      <c r="B535" s="39" t="str">
        <f>IFERROR(__xludf.DUMMYFUNCTION("""COMPUTED_VALUE"""),"Mamodo")</f>
        <v>Mamodo</v>
      </c>
      <c r="C535" s="39" t="str">
        <f>IFERROR(__xludf.DUMMYFUNCTION("""COMPUTED_VALUE"""),"Principal Dozer")</f>
        <v>Principal Dozer</v>
      </c>
      <c r="D535" s="39" t="str">
        <f>IFERROR(__xludf.DUMMYFUNCTION("""COMPUTED_VALUE"""),"-")</f>
        <v>-</v>
      </c>
      <c r="E535" s="39" t="str">
        <f>IFERROR(__xludf.DUMMYFUNCTION("""COMPUTED_VALUE"""),"-")</f>
        <v>-</v>
      </c>
      <c r="F535" s="39" t="str">
        <f>IFERROR(__xludf.DUMMYFUNCTION("""COMPUTED_VALUE"""),"-")</f>
        <v>-</v>
      </c>
      <c r="G535" s="39" t="str">
        <f>IFERROR(__xludf.DUMMYFUNCTION("""COMPUTED_VALUE"""),"None")</f>
        <v>None</v>
      </c>
      <c r="H535" s="39" t="str">
        <f>IFERROR(__xludf.DUMMYFUNCTION("""COMPUTED_VALUE"""),"Stamp of Approval")</f>
        <v>Stamp of Approval</v>
      </c>
      <c r="I535" s="40" t="str">
        <f>IFERROR(__xludf.DUMMYFUNCTION("""COMPUTED_VALUE"""),"[SEND THIS CARD TO THE DISCARD PILE] Apply 1 of the following effects only once per game (per player): ● Send 1 of your opponent's MAMODO cards that was put into play during this turn to the Discard Pile. ● Move 1 MAMODO card from your Discard Pile into p"&amp;"lay that was sent to the Discard Pile by a card effect during this turn (except from Damage).")</f>
        <v>[SEND THIS CARD TO THE DISCARD PILE] Apply 1 of the following effects only once per game (per player): ● Send 1 of your opponent's MAMODO cards that was put into play during this turn to the Discard Pile. ● Move 1 MAMODO card from your Discard Pile into play that was sent to the Discard Pile by a card effect during this turn (except from Damage).</v>
      </c>
      <c r="J535" s="39">
        <f>IFERROR(__xludf.DUMMYFUNCTION("""COMPUTED_VALUE"""),7000.0)</f>
        <v>7000</v>
      </c>
      <c r="K535" s="39" t="str">
        <f>IFERROR(__xludf.DUMMYFUNCTION("""COMPUTED_VALUE"""),"-")</f>
        <v>-</v>
      </c>
      <c r="L535" s="39" t="str">
        <f>IFERROR(__xludf.DUMMYFUNCTION("""COMPUTED_VALUE"""),"-")</f>
        <v>-</v>
      </c>
      <c r="M535" s="39" t="str">
        <f>IFERROR(__xludf.DUMMYFUNCTION("""COMPUTED_VALUE"""),"[R]")</f>
        <v>[R]</v>
      </c>
      <c r="N535" s="39" t="str">
        <f>IFERROR(__xludf.DUMMYFUNCTION("""COMPUTED_VALUE"""),"""It happened when I was stamping the applications of the 100 children who were chosen for the battle...""")</f>
        <v>"It happened when I was stamping the applications of the 100 children who were chosen for the battle..."</v>
      </c>
      <c r="O535" s="39"/>
      <c r="P535" s="39"/>
      <c r="Q535" s="39"/>
      <c r="R535" s="39"/>
      <c r="S535" s="39"/>
      <c r="T535" s="39"/>
      <c r="U535" s="39"/>
      <c r="V535" s="39"/>
      <c r="W535" s="39"/>
      <c r="X535" s="39"/>
      <c r="Y535" s="39"/>
      <c r="Z535" s="39"/>
    </row>
    <row r="536">
      <c r="A536" s="38" t="str">
        <f>IFERROR(__xludf.DUMMYFUNCTION("""COMPUTED_VALUE"""),"M-155")</f>
        <v>M-155</v>
      </c>
      <c r="B536" s="39" t="str">
        <f>IFERROR(__xludf.DUMMYFUNCTION("""COMPUTED_VALUE"""),"Stone Tablet Mamodo")</f>
        <v>Stone Tablet Mamodo</v>
      </c>
      <c r="C536" s="39" t="str">
        <f>IFERROR(__xludf.DUMMYFUNCTION("""COMPUTED_VALUE"""),"Victoream")</f>
        <v>Victoream</v>
      </c>
      <c r="D536" s="39" t="str">
        <f>IFERROR(__xludf.DUMMYFUNCTION("""COMPUTED_VALUE"""),"Victoream")</f>
        <v>Victoream</v>
      </c>
      <c r="E536" s="39" t="str">
        <f>IFERROR(__xludf.DUMMYFUNCTION("""COMPUTED_VALUE"""),"-")</f>
        <v>-</v>
      </c>
      <c r="F536" s="39" t="str">
        <f>IFERROR(__xludf.DUMMYFUNCTION("""COMPUTED_VALUE"""),"-")</f>
        <v>-</v>
      </c>
      <c r="G536" s="39" t="str">
        <f>IFERROR(__xludf.DUMMYFUNCTION("""COMPUTED_VALUE"""),"None")</f>
        <v>None</v>
      </c>
      <c r="H536" s="39" t="str">
        <f>IFERROR(__xludf.DUMMYFUNCTION("""COMPUTED_VALUE"""),"Power of Anger to My Right Arm")</f>
        <v>Power of Anger to My Right Arm</v>
      </c>
      <c r="I536" s="40" t="str">
        <f>IFERROR(__xludf.DUMMYFUNCTION("""COMPUTED_VALUE"""),"[DECLARE TO USE] This effect can be applied only when there are no MP counters on this MAMODO card. Place 1 MP counter on this MAMODO card.")</f>
        <v>[DECLARE TO USE] This effect can be applied only when there are no MP counters on this MAMODO card. Place 1 MP counter on this MAMODO card.</v>
      </c>
      <c r="J536" s="39">
        <f>IFERROR(__xludf.DUMMYFUNCTION("""COMPUTED_VALUE"""),5000.0)</f>
        <v>5000</v>
      </c>
      <c r="K536" s="39" t="str">
        <f>IFERROR(__xludf.DUMMYFUNCTION("""COMPUTED_VALUE"""),"-")</f>
        <v>-</v>
      </c>
      <c r="L536" s="39" t="str">
        <f>IFERROR(__xludf.DUMMYFUNCTION("""COMPUTED_VALUE"""),"-")</f>
        <v>-</v>
      </c>
      <c r="M536" s="39" t="str">
        <f>IFERROR(__xludf.DUMMYFUNCTION("""COMPUTED_VALUE"""),"[SR]")</f>
        <v>[SR]</v>
      </c>
      <c r="N536" s="39" t="str">
        <f>IFERROR(__xludf.DUMMYFUNCTION("""COMPUTED_VALUE"""),"""Remember it will, because it's the name that will send you all to your ultimate demise!""")</f>
        <v>"Remember it will, because it's the name that will send you all to your ultimate demise!"</v>
      </c>
      <c r="O536" s="39"/>
      <c r="P536" s="39"/>
      <c r="Q536" s="39"/>
      <c r="R536" s="39"/>
      <c r="S536" s="39"/>
      <c r="T536" s="39"/>
      <c r="U536" s="39"/>
      <c r="V536" s="39"/>
      <c r="W536" s="39"/>
      <c r="X536" s="39"/>
      <c r="Y536" s="39"/>
      <c r="Z536" s="39"/>
    </row>
    <row r="537">
      <c r="A537" s="38" t="str">
        <f>IFERROR(__xludf.DUMMYFUNCTION("""COMPUTED_VALUE"""),"M-156")</f>
        <v>M-156</v>
      </c>
      <c r="B537" s="39" t="str">
        <f>IFERROR(__xludf.DUMMYFUNCTION("""COMPUTED_VALUE"""),"Stone Tablet Mamodo")</f>
        <v>Stone Tablet Mamodo</v>
      </c>
      <c r="C537" s="39" t="str">
        <f>IFERROR(__xludf.DUMMYFUNCTION("""COMPUTED_VALUE"""),"Laila")</f>
        <v>Laila</v>
      </c>
      <c r="D537" s="39" t="str">
        <f>IFERROR(__xludf.DUMMYFUNCTION("""COMPUTED_VALUE"""),"-")</f>
        <v>-</v>
      </c>
      <c r="E537" s="39" t="str">
        <f>IFERROR(__xludf.DUMMYFUNCTION("""COMPUTED_VALUE"""),"-")</f>
        <v>-</v>
      </c>
      <c r="F537" s="39" t="str">
        <f>IFERROR(__xludf.DUMMYFUNCTION("""COMPUTED_VALUE"""),"-")</f>
        <v>-</v>
      </c>
      <c r="G537" s="39" t="str">
        <f>IFERROR(__xludf.DUMMYFUNCTION("""COMPUTED_VALUE"""),"None")</f>
        <v>None</v>
      </c>
      <c r="H537" s="39" t="str">
        <f>IFERROR(__xludf.DUMMYFUNCTION("""COMPUTED_VALUE"""),"Cool")</f>
        <v>Cool</v>
      </c>
      <c r="I537" s="40" t="str">
        <f>IFERROR(__xludf.DUMMYFUNCTION("""COMPUTED_VALUE"""),"[DECLARE TO USE] [STAY] Increase the MP cost of your opponent's MAMODO card effects with [X MP] by 2 during this turn (X=any number).")</f>
        <v>[DECLARE TO USE] [STAY] Increase the MP cost of your opponent's MAMODO card effects with [X MP] by 2 during this turn (X=any number).</v>
      </c>
      <c r="J537" s="39">
        <f>IFERROR(__xludf.DUMMYFUNCTION("""COMPUTED_VALUE"""),4000.0)</f>
        <v>4000</v>
      </c>
      <c r="K537" s="39" t="str">
        <f>IFERROR(__xludf.DUMMYFUNCTION("""COMPUTED_VALUE"""),"-")</f>
        <v>-</v>
      </c>
      <c r="L537" s="39" t="str">
        <f>IFERROR(__xludf.DUMMYFUNCTION("""COMPUTED_VALUE"""),"-")</f>
        <v>-</v>
      </c>
      <c r="M537" s="39" t="str">
        <f>IFERROR(__xludf.DUMMYFUNCTION("""COMPUTED_VALUE"""),"[C]")</f>
        <v>[C]</v>
      </c>
      <c r="N537" s="39" t="str">
        <f>IFERROR(__xludf.DUMMYFUNCTION("""COMPUTED_VALUE"""),"PArtner:Albert")</f>
        <v>PArtner:Albert</v>
      </c>
      <c r="O537" s="39"/>
      <c r="P537" s="39"/>
      <c r="Q537" s="39"/>
      <c r="R537" s="39"/>
      <c r="S537" s="39"/>
      <c r="T537" s="39"/>
      <c r="U537" s="39"/>
      <c r="V537" s="39"/>
      <c r="W537" s="39"/>
      <c r="X537" s="39"/>
      <c r="Y537" s="39"/>
      <c r="Z537" s="39"/>
    </row>
    <row r="538">
      <c r="A538" s="38" t="str">
        <f>IFERROR(__xludf.DUMMYFUNCTION("""COMPUTED_VALUE"""),"M-157")</f>
        <v>M-157</v>
      </c>
      <c r="B538" s="39" t="str">
        <f>IFERROR(__xludf.DUMMYFUNCTION("""COMPUTED_VALUE"""),"Stone Tablet Mamodo")</f>
        <v>Stone Tablet Mamodo</v>
      </c>
      <c r="C538" s="39" t="str">
        <f>IFERROR(__xludf.DUMMYFUNCTION("""COMPUTED_VALUE"""),"Dalmos")</f>
        <v>Dalmos</v>
      </c>
      <c r="D538" s="39" t="str">
        <f>IFERROR(__xludf.DUMMYFUNCTION("""COMPUTED_VALUE"""),"Dalmos")</f>
        <v>Dalmos</v>
      </c>
      <c r="E538" s="39" t="str">
        <f>IFERROR(__xludf.DUMMYFUNCTION("""COMPUTED_VALUE"""),"-")</f>
        <v>-</v>
      </c>
      <c r="F538" s="39" t="str">
        <f>IFERROR(__xludf.DUMMYFUNCTION("""COMPUTED_VALUE"""),"-")</f>
        <v>-</v>
      </c>
      <c r="G538" s="39" t="str">
        <f>IFERROR(__xludf.DUMMYFUNCTION("""COMPUTED_VALUE"""),"None")</f>
        <v>None</v>
      </c>
      <c r="H538" s="39" t="str">
        <f>IFERROR(__xludf.DUMMYFUNCTION("""COMPUTED_VALUE"""),"Sentry")</f>
        <v>Sentry</v>
      </c>
      <c r="I538" s="40" t="str">
        <f>IFERROR(__xludf.DUMMYFUNCTION("""COMPUTED_VALUE"""),"[1 MP] Apply both of the following effects in order: ● [STAY] Reduce the Power of 1 of your opponent's in-play MAMODO cards by 2000 during this turn. ● Injure all of your opponent's MAMODO with 0 Power.")</f>
        <v>[1 MP] Apply both of the following effects in order: ● [STAY] Reduce the Power of 1 of your opponent's in-play MAMODO cards by 2000 during this turn. ● Injure all of your opponent's MAMODO with 0 Power.</v>
      </c>
      <c r="J538" s="39">
        <f>IFERROR(__xludf.DUMMYFUNCTION("""COMPUTED_VALUE"""),4000.0)</f>
        <v>4000</v>
      </c>
      <c r="K538" s="39" t="str">
        <f>IFERROR(__xludf.DUMMYFUNCTION("""COMPUTED_VALUE"""),"-")</f>
        <v>-</v>
      </c>
      <c r="L538" s="39" t="str">
        <f>IFERROR(__xludf.DUMMYFUNCTION("""COMPUTED_VALUE"""),"-")</f>
        <v>-</v>
      </c>
      <c r="M538" s="39" t="str">
        <f>IFERROR(__xludf.DUMMYFUNCTION("""COMPUTED_VALUE"""),"[C]")</f>
        <v>[C]</v>
      </c>
      <c r="N538" s="39" t="str">
        <f>IFERROR(__xludf.DUMMYFUNCTION("""COMPUTED_VALUE"""),"""I'm gonna crush you... and drag you all in front of Milordo-Z!""")</f>
        <v>"I'm gonna crush you... and drag you all in front of Milordo-Z!"</v>
      </c>
      <c r="O538" s="39"/>
      <c r="P538" s="39"/>
      <c r="Q538" s="39"/>
      <c r="R538" s="39"/>
      <c r="S538" s="39"/>
      <c r="T538" s="39"/>
      <c r="U538" s="39"/>
      <c r="V538" s="39"/>
      <c r="W538" s="39"/>
      <c r="X538" s="39"/>
      <c r="Y538" s="39"/>
      <c r="Z538" s="39"/>
    </row>
    <row r="539">
      <c r="A539" s="38" t="str">
        <f>IFERROR(__xludf.DUMMYFUNCTION("""COMPUTED_VALUE"""),"M-158")</f>
        <v>M-158</v>
      </c>
      <c r="B539" s="39" t="str">
        <f>IFERROR(__xludf.DUMMYFUNCTION("""COMPUTED_VALUE"""),"Stone Tablet Mamodo")</f>
        <v>Stone Tablet Mamodo</v>
      </c>
      <c r="C539" s="39" t="str">
        <f>IFERROR(__xludf.DUMMYFUNCTION("""COMPUTED_VALUE"""),"Dalmos (Battle Mode)")</f>
        <v>Dalmos (Battle Mode)</v>
      </c>
      <c r="D539" s="39" t="str">
        <f>IFERROR(__xludf.DUMMYFUNCTION("""COMPUTED_VALUE"""),"Dalmos")</f>
        <v>Dalmos</v>
      </c>
      <c r="E539" s="39" t="str">
        <f>IFERROR(__xludf.DUMMYFUNCTION("""COMPUTED_VALUE"""),"-")</f>
        <v>-</v>
      </c>
      <c r="F539" s="39" t="str">
        <f>IFERROR(__xludf.DUMMYFUNCTION("""COMPUTED_VALUE"""),"-")</f>
        <v>-</v>
      </c>
      <c r="G539" s="39" t="str">
        <f>IFERROR(__xludf.DUMMYFUNCTION("""COMPUTED_VALUE"""),"None")</f>
        <v>None</v>
      </c>
      <c r="H539" s="39" t="str">
        <f>IFERROR(__xludf.DUMMYFUNCTION("""COMPUTED_VALUE"""),"Combat Form")</f>
        <v>Combat Form</v>
      </c>
      <c r="I539" s="40" t="str">
        <f>IFERROR(__xludf.DUMMYFUNCTION("""COMPUTED_VALUE"""),"This card is placed on a regular Dalmos MAMODO card when a Begiruk SPELL card is played for the Dalmos MAMODO card. (Attack) (Defend) [1 MP] This card may Attack without using a SPELL card (Total Power=7000, Damage=1) OR, Defend without using a SPELL card"&amp;" (Total Power=7000).")</f>
        <v>This card is placed on a regular Dalmos MAMODO card when a Begiruk SPELL card is played for the Dalmos MAMODO card. (Attack) (Defend) [1 MP] This card may Attack without using a SPELL card (Total Power=7000, Damage=1) OR, Defend without using a SPELL card (Total Power=7000).</v>
      </c>
      <c r="J539" s="39">
        <f>IFERROR(__xludf.DUMMYFUNCTION("""COMPUTED_VALUE"""),5000.0)</f>
        <v>5000</v>
      </c>
      <c r="K539" s="39" t="str">
        <f>IFERROR(__xludf.DUMMYFUNCTION("""COMPUTED_VALUE"""),"-")</f>
        <v>-</v>
      </c>
      <c r="L539" s="39" t="str">
        <f>IFERROR(__xludf.DUMMYFUNCTION("""COMPUTED_VALUE"""),"-")</f>
        <v>-</v>
      </c>
      <c r="M539" s="39" t="str">
        <f>IFERROR(__xludf.DUMMYFUNCTION("""COMPUTED_VALUE"""),"[R]")</f>
        <v>[R]</v>
      </c>
      <c r="N539" s="39" t="str">
        <f>IFERROR(__xludf.DUMMYFUNCTION("""COMPUTED_VALUE"""),"""You fools! Did you forget that I've transformed into battle mode?""")</f>
        <v>"You fools! Did you forget that I've transformed into battle mode?"</v>
      </c>
      <c r="O539" s="39"/>
      <c r="P539" s="39"/>
      <c r="Q539" s="39"/>
      <c r="R539" s="39"/>
      <c r="S539" s="39"/>
      <c r="T539" s="39"/>
      <c r="U539" s="39"/>
      <c r="V539" s="39"/>
      <c r="W539" s="39"/>
      <c r="X539" s="39"/>
      <c r="Y539" s="39"/>
      <c r="Z539" s="39"/>
    </row>
    <row r="540">
      <c r="A540" s="38" t="str">
        <f>IFERROR(__xludf.DUMMYFUNCTION("""COMPUTED_VALUE"""),"M-159e")</f>
        <v>M-159e</v>
      </c>
      <c r="B540" s="39" t="str">
        <f>IFERROR(__xludf.DUMMYFUNCTION("""COMPUTED_VALUE"""),"Mamodo")</f>
        <v>Mamodo</v>
      </c>
      <c r="C540" s="39" t="str">
        <f>IFERROR(__xludf.DUMMYFUNCTION("""COMPUTED_VALUE"""),"Zatch Bell")</f>
        <v>Zatch Bell</v>
      </c>
      <c r="D540" s="39" t="str">
        <f>IFERROR(__xludf.DUMMYFUNCTION("""COMPUTED_VALUE"""),"Zatch Bell")</f>
        <v>Zatch Bell</v>
      </c>
      <c r="E540" s="39" t="str">
        <f>IFERROR(__xludf.DUMMYFUNCTION("""COMPUTED_VALUE"""),"-")</f>
        <v>-</v>
      </c>
      <c r="F540" s="39" t="str">
        <f>IFERROR(__xludf.DUMMYFUNCTION("""COMPUTED_VALUE"""),"-")</f>
        <v>-</v>
      </c>
      <c r="G540" s="39" t="str">
        <f>IFERROR(__xludf.DUMMYFUNCTION("""COMPUTED_VALUE"""),"None")</f>
        <v>None</v>
      </c>
      <c r="H540" s="39" t="str">
        <f>IFERROR(__xludf.DUMMYFUNCTION("""COMPUTED_VALUE"""),"Let's Go to the Mamodo World")</f>
        <v>Let's Go to the Mamodo World</v>
      </c>
      <c r="I540" s="40" t="str">
        <f>IFERROR(__xludf.DUMMYFUNCTION("""COMPUTED_VALUE"""),"[SEND THIS CARD TO THE DISCARD PILE] Select 1 Zatch Bell MAMODO card in your Discard Pile during your BATTLE PHASE and put it in play. This effect can be applied only once per game (per player).")</f>
        <v>[SEND THIS CARD TO THE DISCARD PILE] Select 1 Zatch Bell MAMODO card in your Discard Pile during your BATTLE PHASE and put it in play. This effect can be applied only once per game (per player).</v>
      </c>
      <c r="J540" s="39">
        <f>IFERROR(__xludf.DUMMYFUNCTION("""COMPUTED_VALUE"""),4000.0)</f>
        <v>4000</v>
      </c>
      <c r="K540" s="39" t="str">
        <f>IFERROR(__xludf.DUMMYFUNCTION("""COMPUTED_VALUE"""),"-")</f>
        <v>-</v>
      </c>
      <c r="L540" s="39" t="str">
        <f>IFERROR(__xludf.DUMMYFUNCTION("""COMPUTED_VALUE"""),"Dawn of the Ancients, Series 4, Limited Edition III")</f>
        <v>Dawn of the Ancients, Series 4, Limited Edition III</v>
      </c>
      <c r="M540" s="39" t="str">
        <f>IFERROR(__xludf.DUMMYFUNCTION("""COMPUTED_VALUE"""),"[C]")</f>
        <v>[C]</v>
      </c>
      <c r="N540" s="39" t="str">
        <f>IFERROR(__xludf.DUMMYFUNCTION("""COMPUTED_VALUE"""),"""Let's set out on a journey together to find the precious object.""")</f>
        <v>"Let's set out on a journey together to find the precious object."</v>
      </c>
      <c r="O540" s="39"/>
      <c r="P540" s="39"/>
      <c r="Q540" s="39"/>
      <c r="R540" s="39"/>
      <c r="S540" s="39"/>
      <c r="T540" s="39"/>
      <c r="U540" s="39"/>
      <c r="V540" s="39"/>
      <c r="W540" s="39"/>
      <c r="X540" s="39"/>
      <c r="Y540" s="39"/>
      <c r="Z540" s="39"/>
    </row>
    <row r="541">
      <c r="A541" s="38" t="str">
        <f>IFERROR(__xludf.DUMMYFUNCTION("""COMPUTED_VALUE"""),"M-159j")</f>
        <v>M-159j</v>
      </c>
      <c r="B541" s="39" t="str">
        <f>IFERROR(__xludf.DUMMYFUNCTION("""COMPUTED_VALUE"""),"Mamodo")</f>
        <v>Mamodo</v>
      </c>
      <c r="C541" s="39" t="str">
        <f>IFERROR(__xludf.DUMMYFUNCTION("""COMPUTED_VALUE"""),"Zatch Bell")</f>
        <v>Zatch Bell</v>
      </c>
      <c r="D541" s="39" t="str">
        <f>IFERROR(__xludf.DUMMYFUNCTION("""COMPUTED_VALUE"""),"Zatch Bell")</f>
        <v>Zatch Bell</v>
      </c>
      <c r="E541" s="39" t="str">
        <f>IFERROR(__xludf.DUMMYFUNCTION("""COMPUTED_VALUE"""),"-")</f>
        <v>-</v>
      </c>
      <c r="F541" s="39" t="str">
        <f>IFERROR(__xludf.DUMMYFUNCTION("""COMPUTED_VALUE"""),"-")</f>
        <v>-</v>
      </c>
      <c r="G541" s="39" t="str">
        <f>IFERROR(__xludf.DUMMYFUNCTION("""COMPUTED_VALUE"""),"None")</f>
        <v>None</v>
      </c>
      <c r="H541" s="39" t="str">
        <f>IFERROR(__xludf.DUMMYFUNCTION("""COMPUTED_VALUE"""),"Let's Go to the Mamodo World")</f>
        <v>Let's Go to the Mamodo World</v>
      </c>
      <c r="I541" s="40" t="str">
        <f>IFERROR(__xludf.DUMMYFUNCTION("""COMPUTED_VALUE"""),"[SEND THIS CARD TO THE DISCARD PILE] [STANDBY] After applying this effect, only once during this game (per player), select 1 Zatch Bell MAMODO card in your Discard Pile during your BATTLE PHASE and put it in play.")</f>
        <v>[SEND THIS CARD TO THE DISCARD PILE] [STANDBY] After applying this effect, only once during this game (per player), select 1 Zatch Bell MAMODO card in your Discard Pile during your BATTLE PHASE and put it in play.</v>
      </c>
      <c r="J541" s="39">
        <f>IFERROR(__xludf.DUMMYFUNCTION("""COMPUTED_VALUE"""),4000.0)</f>
        <v>4000</v>
      </c>
      <c r="K541" s="39" t="str">
        <f>IFERROR(__xludf.DUMMYFUNCTION("""COMPUTED_VALUE"""),"-")</f>
        <v>-</v>
      </c>
      <c r="L541" s="39" t="str">
        <f>IFERROR(__xludf.DUMMYFUNCTION("""COMPUTED_VALUE"""),"Dawn of the Ancients, Series 4, Limited Edition III")</f>
        <v>Dawn of the Ancients, Series 4, Limited Edition III</v>
      </c>
      <c r="M541" s="39" t="str">
        <f>IFERROR(__xludf.DUMMYFUNCTION("""COMPUTED_VALUE"""),"[C]")</f>
        <v>[C]</v>
      </c>
      <c r="N541" s="39" t="str">
        <f>IFERROR(__xludf.DUMMYFUNCTION("""COMPUTED_VALUE"""),"""Let's set out on a journey together to find the precious object.""")</f>
        <v>"Let's set out on a journey together to find the precious object."</v>
      </c>
      <c r="O541" s="39"/>
      <c r="P541" s="39"/>
      <c r="Q541" s="39"/>
      <c r="R541" s="39"/>
      <c r="S541" s="39"/>
      <c r="T541" s="39"/>
      <c r="U541" s="39"/>
      <c r="V541" s="39"/>
      <c r="W541" s="39"/>
      <c r="X541" s="39"/>
      <c r="Y541" s="39"/>
      <c r="Z541" s="39"/>
    </row>
    <row r="542">
      <c r="A542" s="38" t="str">
        <f>IFERROR(__xludf.DUMMYFUNCTION("""COMPUTED_VALUE"""),"M-160")</f>
        <v>M-160</v>
      </c>
      <c r="B542" s="39" t="str">
        <f>IFERROR(__xludf.DUMMYFUNCTION("""COMPUTED_VALUE"""),"Stone Tablet Mamodo")</f>
        <v>Stone Tablet Mamodo</v>
      </c>
      <c r="C542" s="39" t="str">
        <f>IFERROR(__xludf.DUMMYFUNCTION("""COMPUTED_VALUE"""),"Laila")</f>
        <v>Laila</v>
      </c>
      <c r="D542" s="39" t="str">
        <f>IFERROR(__xludf.DUMMYFUNCTION("""COMPUTED_VALUE"""),"Laila")</f>
        <v>Laila</v>
      </c>
      <c r="E542" s="39" t="str">
        <f>IFERROR(__xludf.DUMMYFUNCTION("""COMPUTED_VALUE"""),"-")</f>
        <v>-</v>
      </c>
      <c r="F542" s="39" t="str">
        <f>IFERROR(__xludf.DUMMYFUNCTION("""COMPUTED_VALUE"""),"-")</f>
        <v>-</v>
      </c>
      <c r="G542" s="39" t="str">
        <f>IFERROR(__xludf.DUMMYFUNCTION("""COMPUTED_VALUE"""),"None")</f>
        <v>None</v>
      </c>
      <c r="H542" s="39" t="str">
        <f>IFERROR(__xludf.DUMMYFUNCTION("""COMPUTED_VALUE"""),"You Have Stooped Low")</f>
        <v>You Have Stooped Low</v>
      </c>
      <c r="I542" s="40" t="str">
        <f>IFERROR(__xludf.DUMMYFUNCTION("""COMPUTED_VALUE"""),"[IN PLAY] Your opponent cannot apply the effects of their Injured MAMODO cards.")</f>
        <v>[IN PLAY] Your opponent cannot apply the effects of their Injured MAMODO cards.</v>
      </c>
      <c r="J542" s="39">
        <f>IFERROR(__xludf.DUMMYFUNCTION("""COMPUTED_VALUE"""),5000.0)</f>
        <v>5000</v>
      </c>
      <c r="K542" s="39" t="str">
        <f>IFERROR(__xludf.DUMMYFUNCTION("""COMPUTED_VALUE"""),"-")</f>
        <v>-</v>
      </c>
      <c r="L542" s="39" t="str">
        <f>IFERROR(__xludf.DUMMYFUNCTION("""COMPUTED_VALUE"""),"Dawn of the Ancients, Series 4, Limited Edition III")</f>
        <v>Dawn of the Ancients, Series 4, Limited Edition III</v>
      </c>
      <c r="M542" s="39" t="str">
        <f>IFERROR(__xludf.DUMMYFUNCTION("""COMPUTED_VALUE"""),"[R]")</f>
        <v>[R]</v>
      </c>
      <c r="N542" s="39" t="str">
        <f>IFERROR(__xludf.DUMMYFUNCTION("""COMPUTED_VALUE"""),"""Are you going to turn your back to the girl who knocked you down?""")</f>
        <v>"Are you going to turn your back to the girl who knocked you down?"</v>
      </c>
      <c r="O542" s="39"/>
      <c r="P542" s="39"/>
      <c r="Q542" s="39"/>
      <c r="R542" s="39"/>
      <c r="S542" s="39"/>
      <c r="T542" s="39"/>
      <c r="U542" s="39"/>
      <c r="V542" s="39"/>
      <c r="W542" s="39"/>
      <c r="X542" s="39"/>
      <c r="Y542" s="39"/>
      <c r="Z542" s="39"/>
    </row>
    <row r="543">
      <c r="A543" s="38" t="str">
        <f>IFERROR(__xludf.DUMMYFUNCTION("""COMPUTED_VALUE"""),"M-161")</f>
        <v>M-161</v>
      </c>
      <c r="B543" s="39" t="str">
        <f>IFERROR(__xludf.DUMMYFUNCTION("""COMPUTED_VALUE"""),"Mamodo")</f>
        <v>Mamodo</v>
      </c>
      <c r="C543" s="39" t="str">
        <f>IFERROR(__xludf.DUMMYFUNCTION("""COMPUTED_VALUE"""),"Victoream")</f>
        <v>Victoream</v>
      </c>
      <c r="D543" s="39" t="str">
        <f>IFERROR(__xludf.DUMMYFUNCTION("""COMPUTED_VALUE"""),"Victoream")</f>
        <v>Victoream</v>
      </c>
      <c r="E543" s="39" t="str">
        <f>IFERROR(__xludf.DUMMYFUNCTION("""COMPUTED_VALUE"""),"-")</f>
        <v>-</v>
      </c>
      <c r="F543" s="39" t="str">
        <f>IFERROR(__xludf.DUMMYFUNCTION("""COMPUTED_VALUE"""),"-")</f>
        <v>-</v>
      </c>
      <c r="G543" s="39" t="str">
        <f>IFERROR(__xludf.DUMMYFUNCTION("""COMPUTED_VALUE"""),"None")</f>
        <v>None</v>
      </c>
      <c r="H543" s="39" t="str">
        <f>IFERROR(__xludf.DUMMYFUNCTION("""COMPUTED_VALUE"""),"Bring Me More!")</f>
        <v>Bring Me More!</v>
      </c>
      <c r="I543" s="40" t="str">
        <f>IFERROR(__xludf.DUMMYFUNCTION("""COMPUTED_VALUE"""),"[DECLARE TO USE] [STANDBY] During this turn, you can play 1 SPELL or EVENT card, OR apply the effects of a MAMODO card, that you already played during this turn one more time. If the number of times is specified, it cannot be played more than that number,"&amp;" and all conditions must be met (such as playing a card from the open pages). This effect can be applied only once per game (per player).")</f>
        <v>[DECLARE TO USE] [STANDBY] During this turn, you can play 1 SPELL or EVENT card, OR apply the effects of a MAMODO card, that you already played during this turn one more time. If the number of times is specified, it cannot be played more than that number, and all conditions must be met (such as playing a card from the open pages). This effect can be applied only once per game (per player).</v>
      </c>
      <c r="J543" s="39">
        <f>IFERROR(__xludf.DUMMYFUNCTION("""COMPUTED_VALUE"""),5000.0)</f>
        <v>5000</v>
      </c>
      <c r="K543" s="39" t="str">
        <f>IFERROR(__xludf.DUMMYFUNCTION("""COMPUTED_VALUE"""),"-")</f>
        <v>-</v>
      </c>
      <c r="L543" s="39" t="str">
        <f>IFERROR(__xludf.DUMMYFUNCTION("""COMPUTED_VALUE"""),"-")</f>
        <v>-</v>
      </c>
      <c r="M543" s="39" t="str">
        <f>IFERROR(__xludf.DUMMYFUNCTION("""COMPUTED_VALUE"""),"[R]")</f>
        <v>[R]</v>
      </c>
      <c r="N543" s="39" t="str">
        <f>IFERROR(__xludf.DUMMYFUNCTION("""COMPUTED_VALUE"""),"""Catch My Heart! Very Melon!""")</f>
        <v>"Catch My Heart! Very Melon!"</v>
      </c>
      <c r="O543" s="39"/>
      <c r="P543" s="39"/>
      <c r="Q543" s="39"/>
      <c r="R543" s="39"/>
      <c r="S543" s="39"/>
      <c r="T543" s="39"/>
      <c r="U543" s="39"/>
      <c r="V543" s="39"/>
      <c r="W543" s="39"/>
      <c r="X543" s="39"/>
      <c r="Y543" s="39"/>
      <c r="Z543" s="39"/>
    </row>
    <row r="544">
      <c r="A544" s="38" t="str">
        <f>IFERROR(__xludf.DUMMYFUNCTION("""COMPUTED_VALUE"""),"M-162")</f>
        <v>M-162</v>
      </c>
      <c r="B544" s="39" t="str">
        <f>IFERROR(__xludf.DUMMYFUNCTION("""COMPUTED_VALUE"""),"Mamodo")</f>
        <v>Mamodo</v>
      </c>
      <c r="C544" s="39" t="str">
        <f>IFERROR(__xludf.DUMMYFUNCTION("""COMPUTED_VALUE"""),"Brago")</f>
        <v>Brago</v>
      </c>
      <c r="D544" s="39" t="str">
        <f>IFERROR(__xludf.DUMMYFUNCTION("""COMPUTED_VALUE"""),"Brago")</f>
        <v>Brago</v>
      </c>
      <c r="E544" s="39" t="str">
        <f>IFERROR(__xludf.DUMMYFUNCTION("""COMPUTED_VALUE"""),"-")</f>
        <v>-</v>
      </c>
      <c r="F544" s="39" t="str">
        <f>IFERROR(__xludf.DUMMYFUNCTION("""COMPUTED_VALUE"""),"-")</f>
        <v>-</v>
      </c>
      <c r="G544" s="39" t="str">
        <f>IFERROR(__xludf.DUMMYFUNCTION("""COMPUTED_VALUE"""),"None")</f>
        <v>None</v>
      </c>
      <c r="H544" s="39" t="str">
        <f>IFERROR(__xludf.DUMMYFUNCTION("""COMPUTED_VALUE"""),"Dignity of a King")</f>
        <v>Dignity of a King</v>
      </c>
      <c r="I544" s="40" t="str">
        <f>IFERROR(__xludf.DUMMYFUNCTION("""COMPUTED_VALUE"""),"[IN PLAY] Your opponent cannot apply the effects of their MAMODO cards with ""This effect can be applied only once per game (per player)"".")</f>
        <v>[IN PLAY] Your opponent cannot apply the effects of their MAMODO cards with "This effect can be applied only once per game (per player)".</v>
      </c>
      <c r="J544" s="39">
        <f>IFERROR(__xludf.DUMMYFUNCTION("""COMPUTED_VALUE"""),5000.0)</f>
        <v>5000</v>
      </c>
      <c r="K544" s="39" t="str">
        <f>IFERROR(__xludf.DUMMYFUNCTION("""COMPUTED_VALUE"""),"-")</f>
        <v>-</v>
      </c>
      <c r="L544" s="39" t="str">
        <f>IFERROR(__xludf.DUMMYFUNCTION("""COMPUTED_VALUE"""),"Dawn of the Ancients, Series 4, Limited Edition III")</f>
        <v>Dawn of the Ancients, Series 4, Limited Edition III</v>
      </c>
      <c r="M544" s="39" t="str">
        <f>IFERROR(__xludf.DUMMYFUNCTION("""COMPUTED_VALUE"""),"[C]")</f>
        <v>[C]</v>
      </c>
      <c r="N544" s="39" t="str">
        <f>IFERROR(__xludf.DUMMYFUNCTION("""COMPUTED_VALUE"""),"""I remember you ran away because you were afraid of me.""")</f>
        <v>"I remember you ran away because you were afraid of me."</v>
      </c>
      <c r="O544" s="39"/>
      <c r="P544" s="39"/>
      <c r="Q544" s="39"/>
      <c r="R544" s="39"/>
      <c r="S544" s="39"/>
      <c r="T544" s="39"/>
      <c r="U544" s="39"/>
      <c r="V544" s="39"/>
      <c r="W544" s="39"/>
      <c r="X544" s="39"/>
      <c r="Y544" s="39"/>
      <c r="Z544" s="39"/>
    </row>
    <row r="545">
      <c r="A545" s="38" t="str">
        <f>IFERROR(__xludf.DUMMYFUNCTION("""COMPUTED_VALUE"""),"M-163")</f>
        <v>M-163</v>
      </c>
      <c r="B545" s="39" t="str">
        <f>IFERROR(__xludf.DUMMYFUNCTION("""COMPUTED_VALUE"""),"Mamodo")</f>
        <v>Mamodo</v>
      </c>
      <c r="C545" s="39" t="str">
        <f>IFERROR(__xludf.DUMMYFUNCTION("""COMPUTED_VALUE"""),"Zofis")</f>
        <v>Zofis</v>
      </c>
      <c r="D545" s="39" t="str">
        <f>IFERROR(__xludf.DUMMYFUNCTION("""COMPUTED_VALUE"""),"Zofis")</f>
        <v>Zofis</v>
      </c>
      <c r="E545" s="39" t="str">
        <f>IFERROR(__xludf.DUMMYFUNCTION("""COMPUTED_VALUE"""),"-")</f>
        <v>-</v>
      </c>
      <c r="F545" s="39" t="str">
        <f>IFERROR(__xludf.DUMMYFUNCTION("""COMPUTED_VALUE"""),"-")</f>
        <v>-</v>
      </c>
      <c r="G545" s="39" t="str">
        <f>IFERROR(__xludf.DUMMYFUNCTION("""COMPUTED_VALUE"""),"None")</f>
        <v>None</v>
      </c>
      <c r="H545" s="39" t="str">
        <f>IFERROR(__xludf.DUMMYFUNCTION("""COMPUTED_VALUE"""),"The Light of the Moon")</f>
        <v>The Light of the Moon</v>
      </c>
      <c r="I545" s="40" t="str">
        <f>IFERROR(__xludf.DUMMYFUNCTION("""COMPUTED_VALUE"""),"[SEND THIS CARD TO THE DISCARD PILE] [STAY] None of your MAMODO cards can be Petrified during this game.")</f>
        <v>[SEND THIS CARD TO THE DISCARD PILE] [STAY] None of your MAMODO cards can be Petrified during this game.</v>
      </c>
      <c r="J545" s="39">
        <f>IFERROR(__xludf.DUMMYFUNCTION("""COMPUTED_VALUE"""),5000.0)</f>
        <v>5000</v>
      </c>
      <c r="K545" s="39" t="str">
        <f>IFERROR(__xludf.DUMMYFUNCTION("""COMPUTED_VALUE"""),"-")</f>
        <v>-</v>
      </c>
      <c r="L545" s="39" t="str">
        <f>IFERROR(__xludf.DUMMYFUNCTION("""COMPUTED_VALUE"""),"Dawn of the Ancients, Series 4, Limited Edition III")</f>
        <v>Dawn of the Ancients, Series 4, Limited Edition III</v>
      </c>
      <c r="M545" s="39" t="str">
        <f>IFERROR(__xludf.DUMMYFUNCTION("""COMPUTED_VALUE"""),"[C]")</f>
        <v>[C]</v>
      </c>
      <c r="N545" s="39" t="str">
        <f>IFERROR(__xludf.DUMMYFUNCTION("""COMPUTED_VALUE"""),"""I have completed the filter that generates the moon lights.""")</f>
        <v>"I have completed the filter that generates the moon lights."</v>
      </c>
      <c r="O545" s="39"/>
      <c r="P545" s="39"/>
      <c r="Q545" s="39"/>
      <c r="R545" s="39"/>
      <c r="S545" s="39"/>
      <c r="T545" s="39"/>
      <c r="U545" s="39"/>
      <c r="V545" s="39"/>
      <c r="W545" s="39"/>
      <c r="X545" s="39"/>
      <c r="Y545" s="39"/>
      <c r="Z545" s="39"/>
    </row>
    <row r="546">
      <c r="A546" s="38" t="str">
        <f>IFERROR(__xludf.DUMMYFUNCTION("""COMPUTED_VALUE"""),"M-164")</f>
        <v>M-164</v>
      </c>
      <c r="B546" s="39" t="str">
        <f>IFERROR(__xludf.DUMMYFUNCTION("""COMPUTED_VALUE"""),"Mamodo")</f>
        <v>Mamodo</v>
      </c>
      <c r="C546" s="39" t="str">
        <f>IFERROR(__xludf.DUMMYFUNCTION("""COMPUTED_VALUE"""),"Zatch Bell")</f>
        <v>Zatch Bell</v>
      </c>
      <c r="D546" s="39" t="str">
        <f>IFERROR(__xludf.DUMMYFUNCTION("""COMPUTED_VALUE"""),"Zatch Bell")</f>
        <v>Zatch Bell</v>
      </c>
      <c r="E546" s="39" t="str">
        <f>IFERROR(__xludf.DUMMYFUNCTION("""COMPUTED_VALUE"""),"-")</f>
        <v>-</v>
      </c>
      <c r="F546" s="39" t="str">
        <f>IFERROR(__xludf.DUMMYFUNCTION("""COMPUTED_VALUE"""),"-")</f>
        <v>-</v>
      </c>
      <c r="G546" s="39" t="str">
        <f>IFERROR(__xludf.DUMMYFUNCTION("""COMPUTED_VALUE"""),"None")</f>
        <v>None</v>
      </c>
      <c r="H546" s="39" t="str">
        <f>IFERROR(__xludf.DUMMYFUNCTION("""COMPUTED_VALUE"""),"Level Up")</f>
        <v>Level Up</v>
      </c>
      <c r="I546" s="40" t="str">
        <f>IFERROR(__xludf.DUMMYFUNCTION("""COMPUTED_VALUE"""),"[IN PLAY] Increase the Damage of SPELL cards played for this MAMODO card by 1.")</f>
        <v>[IN PLAY] Increase the Damage of SPELL cards played for this MAMODO card by 1.</v>
      </c>
      <c r="J546" s="39">
        <f>IFERROR(__xludf.DUMMYFUNCTION("""COMPUTED_VALUE"""),5000.0)</f>
        <v>5000</v>
      </c>
      <c r="K546" s="39" t="str">
        <f>IFERROR(__xludf.DUMMYFUNCTION("""COMPUTED_VALUE"""),"-")</f>
        <v>-</v>
      </c>
      <c r="L546" s="39" t="str">
        <f>IFERROR(__xludf.DUMMYFUNCTION("""COMPUTED_VALUE"""),"-")</f>
        <v>-</v>
      </c>
      <c r="M546" s="39" t="str">
        <f>IFERROR(__xludf.DUMMYFUNCTION("""COMPUTED_VALUE"""),"[SR]")</f>
        <v>[SR]</v>
      </c>
      <c r="N546" s="39" t="str">
        <f>IFERROR(__xludf.DUMMYFUNCTION("""COMPUTED_VALUE"""),"""I'm strong! I got that way after I met Kiyo!""")</f>
        <v>"I'm strong! I got that way after I met Kiyo!"</v>
      </c>
      <c r="O546" s="39"/>
      <c r="P546" s="39"/>
      <c r="Q546" s="39"/>
      <c r="R546" s="39"/>
      <c r="S546" s="39"/>
      <c r="T546" s="39"/>
      <c r="U546" s="39"/>
      <c r="V546" s="39"/>
      <c r="W546" s="39"/>
      <c r="X546" s="39"/>
      <c r="Y546" s="39"/>
      <c r="Z546" s="39"/>
    </row>
    <row r="547">
      <c r="A547" s="38" t="str">
        <f>IFERROR(__xludf.DUMMYFUNCTION("""COMPUTED_VALUE"""),"M-165")</f>
        <v>M-165</v>
      </c>
      <c r="B547" s="39" t="str">
        <f>IFERROR(__xludf.DUMMYFUNCTION("""COMPUTED_VALUE"""),"Mamodo")</f>
        <v>Mamodo</v>
      </c>
      <c r="C547" s="39" t="str">
        <f>IFERROR(__xludf.DUMMYFUNCTION("""COMPUTED_VALUE"""),"Brago")</f>
        <v>Brago</v>
      </c>
      <c r="D547" s="39" t="str">
        <f>IFERROR(__xludf.DUMMYFUNCTION("""COMPUTED_VALUE"""),"Brago")</f>
        <v>Brago</v>
      </c>
      <c r="E547" s="39" t="str">
        <f>IFERROR(__xludf.DUMMYFUNCTION("""COMPUTED_VALUE"""),"-")</f>
        <v>-</v>
      </c>
      <c r="F547" s="39" t="str">
        <f>IFERROR(__xludf.DUMMYFUNCTION("""COMPUTED_VALUE"""),"-")</f>
        <v>-</v>
      </c>
      <c r="G547" s="39" t="str">
        <f>IFERROR(__xludf.DUMMYFUNCTION("""COMPUTED_VALUE"""),"None")</f>
        <v>None</v>
      </c>
      <c r="H547" s="39" t="str">
        <f>IFERROR(__xludf.DUMMYFUNCTION("""COMPUTED_VALUE"""),"I'll Bring You Down!")</f>
        <v>I'll Bring You Down!</v>
      </c>
      <c r="I547" s="40" t="str">
        <f>IFERROR(__xludf.DUMMYFUNCTION("""COMPUTED_VALUE"""),"[4 MP] Send 1 of your opponent's in-play MAMODO cards with a Power of 3000 or less to the Discard Pile.")</f>
        <v>[4 MP] Send 1 of your opponent's in-play MAMODO cards with a Power of 3000 or less to the Discard Pile.</v>
      </c>
      <c r="J547" s="39">
        <f>IFERROR(__xludf.DUMMYFUNCTION("""COMPUTED_VALUE"""),5000.0)</f>
        <v>5000</v>
      </c>
      <c r="K547" s="39" t="str">
        <f>IFERROR(__xludf.DUMMYFUNCTION("""COMPUTED_VALUE"""),"-")</f>
        <v>-</v>
      </c>
      <c r="L547" s="39" t="str">
        <f>IFERROR(__xludf.DUMMYFUNCTION("""COMPUTED_VALUE"""),"-")</f>
        <v>-</v>
      </c>
      <c r="M547" s="39" t="str">
        <f>IFERROR(__xludf.DUMMYFUNCTION("""COMPUTED_VALUE"""),"[R]")</f>
        <v>[R]</v>
      </c>
      <c r="N547" s="39" t="str">
        <f>IFERROR(__xludf.DUMMYFUNCTION("""COMPUTED_VALUE"""),"""Pathetic creature... Don't you ever bear your fangs at me.""")</f>
        <v>"Pathetic creature... Don't you ever bear your fangs at me."</v>
      </c>
      <c r="O547" s="39"/>
      <c r="P547" s="39"/>
      <c r="Q547" s="39"/>
      <c r="R547" s="39"/>
      <c r="S547" s="39"/>
      <c r="T547" s="39"/>
      <c r="U547" s="39"/>
      <c r="V547" s="39"/>
      <c r="W547" s="39"/>
      <c r="X547" s="39"/>
      <c r="Y547" s="39"/>
      <c r="Z547" s="39"/>
    </row>
    <row r="548">
      <c r="A548" s="38" t="str">
        <f>IFERROR(__xludf.DUMMYFUNCTION("""COMPUTED_VALUE"""),"M-166")</f>
        <v>M-166</v>
      </c>
      <c r="B548" s="39" t="str">
        <f>IFERROR(__xludf.DUMMYFUNCTION("""COMPUTED_VALUE"""),"Mamodo")</f>
        <v>Mamodo</v>
      </c>
      <c r="C548" s="39" t="str">
        <f>IFERROR(__xludf.DUMMYFUNCTION("""COMPUTED_VALUE"""),"Kolulu")</f>
        <v>Kolulu</v>
      </c>
      <c r="D548" s="39" t="str">
        <f>IFERROR(__xludf.DUMMYFUNCTION("""COMPUTED_VALUE"""),"Kolulu")</f>
        <v>Kolulu</v>
      </c>
      <c r="E548" s="39" t="str">
        <f>IFERROR(__xludf.DUMMYFUNCTION("""COMPUTED_VALUE"""),"-")</f>
        <v>-</v>
      </c>
      <c r="F548" s="39" t="str">
        <f>IFERROR(__xludf.DUMMYFUNCTION("""COMPUTED_VALUE"""),"-")</f>
        <v>-</v>
      </c>
      <c r="G548" s="39" t="str">
        <f>IFERROR(__xludf.DUMMYFUNCTION("""COMPUTED_VALUE"""),"None")</f>
        <v>None</v>
      </c>
      <c r="H548" s="39" t="str">
        <f>IFERROR(__xludf.DUMMYFUNCTION("""COMPUTED_VALUE"""),"A Forbidden Spell")</f>
        <v>A Forbidden Spell</v>
      </c>
      <c r="I548" s="40" t="str">
        <f>IFERROR(__xludf.DUMMYFUNCTION("""COMPUTED_VALUE"""),"[IN PLAY] Increase the MP cost of your opponent's SPELL cards by 2.")</f>
        <v>[IN PLAY] Increase the MP cost of your opponent's SPELL cards by 2.</v>
      </c>
      <c r="J548" s="39">
        <f>IFERROR(__xludf.DUMMYFUNCTION("""COMPUTED_VALUE"""),1000.0)</f>
        <v>1000</v>
      </c>
      <c r="K548" s="39" t="str">
        <f>IFERROR(__xludf.DUMMYFUNCTION("""COMPUTED_VALUE"""),"-")</f>
        <v>-</v>
      </c>
      <c r="L548" s="39" t="str">
        <f>IFERROR(__xludf.DUMMYFUNCTION("""COMPUTED_VALUE"""),"Set 7")</f>
        <v>Set 7</v>
      </c>
      <c r="M548" s="39" t="str">
        <f>IFERROR(__xludf.DUMMYFUNCTION("""COMPUTED_VALUE"""),"[R]")</f>
        <v>[R]</v>
      </c>
      <c r="N548" s="39" t="str">
        <f>IFERROR(__xludf.DUMMYFUNCTION("""COMPUTED_VALUE"""),"""No! You weren't supposed to read that!""")</f>
        <v>"No! You weren't supposed to read that!"</v>
      </c>
      <c r="O548" s="39"/>
      <c r="P548" s="39"/>
      <c r="Q548" s="39"/>
      <c r="R548" s="39"/>
      <c r="S548" s="39"/>
      <c r="T548" s="39"/>
      <c r="U548" s="39"/>
      <c r="V548" s="39"/>
      <c r="W548" s="39"/>
      <c r="X548" s="39"/>
      <c r="Y548" s="39"/>
      <c r="Z548" s="39"/>
    </row>
    <row r="549">
      <c r="A549" s="38" t="str">
        <f>IFERROR(__xludf.DUMMYFUNCTION("""COMPUTED_VALUE"""),"M-167")</f>
        <v>M-167</v>
      </c>
      <c r="B549" s="39" t="str">
        <f>IFERROR(__xludf.DUMMYFUNCTION("""COMPUTED_VALUE"""),"Mamodo")</f>
        <v>Mamodo</v>
      </c>
      <c r="C549" s="39" t="str">
        <f>IFERROR(__xludf.DUMMYFUNCTION("""COMPUTED_VALUE"""),"Kanchomé")</f>
        <v>Kanchomé</v>
      </c>
      <c r="D549" s="39" t="str">
        <f>IFERROR(__xludf.DUMMYFUNCTION("""COMPUTED_VALUE"""),"Kanchomé")</f>
        <v>Kanchomé</v>
      </c>
      <c r="E549" s="39" t="str">
        <f>IFERROR(__xludf.DUMMYFUNCTION("""COMPUTED_VALUE"""),"-")</f>
        <v>-</v>
      </c>
      <c r="F549" s="39" t="str">
        <f>IFERROR(__xludf.DUMMYFUNCTION("""COMPUTED_VALUE"""),"-")</f>
        <v>-</v>
      </c>
      <c r="G549" s="39" t="str">
        <f>IFERROR(__xludf.DUMMYFUNCTION("""COMPUTED_VALUE"""),"None")</f>
        <v>None</v>
      </c>
      <c r="H549" s="39" t="str">
        <f>IFERROR(__xludf.DUMMYFUNCTION("""COMPUTED_VALUE"""),"Waaah!")</f>
        <v>Waaah!</v>
      </c>
      <c r="I549" s="40" t="str">
        <f>IFERROR(__xludf.DUMMYFUNCTION("""COMPUTED_VALUE"""),"[1 MP] [STAY] Reduce the Damage of all of your opponent's Attacks by 1 during this turn.")</f>
        <v>[1 MP] [STAY] Reduce the Damage of all of your opponent's Attacks by 1 during this turn.</v>
      </c>
      <c r="J549" s="39">
        <f>IFERROR(__xludf.DUMMYFUNCTION("""COMPUTED_VALUE"""),2000.0)</f>
        <v>2000</v>
      </c>
      <c r="K549" s="39" t="str">
        <f>IFERROR(__xludf.DUMMYFUNCTION("""COMPUTED_VALUE"""),"-")</f>
        <v>-</v>
      </c>
      <c r="L549" s="39" t="str">
        <f>IFERROR(__xludf.DUMMYFUNCTION("""COMPUTED_VALUE"""),"-")</f>
        <v>-</v>
      </c>
      <c r="M549" s="39" t="str">
        <f>IFERROR(__xludf.DUMMYFUNCTION("""COMPUTED_VALUE"""),"[R]")</f>
        <v>[R]</v>
      </c>
      <c r="N549" s="39" t="str">
        <f>IFERROR(__xludf.DUMMYFUNCTION("""COMPUTED_VALUE"""),"""I was worried~~ I'm glad you guys came~~!""")</f>
        <v>"I was worried~~ I'm glad you guys came~~!"</v>
      </c>
      <c r="O549" s="39"/>
      <c r="P549" s="39"/>
      <c r="Q549" s="39"/>
      <c r="R549" s="39"/>
      <c r="S549" s="39"/>
      <c r="T549" s="39"/>
      <c r="U549" s="39"/>
      <c r="V549" s="39"/>
      <c r="W549" s="39"/>
      <c r="X549" s="39"/>
      <c r="Y549" s="39"/>
      <c r="Z549" s="39"/>
    </row>
    <row r="550">
      <c r="A550" s="38" t="str">
        <f>IFERROR(__xludf.DUMMYFUNCTION("""COMPUTED_VALUE"""),"M-168")</f>
        <v>M-168</v>
      </c>
      <c r="B550" s="39" t="str">
        <f>IFERROR(__xludf.DUMMYFUNCTION("""COMPUTED_VALUE"""),"Mamodo")</f>
        <v>Mamodo</v>
      </c>
      <c r="C550" s="39" t="str">
        <f>IFERROR(__xludf.DUMMYFUNCTION("""COMPUTED_VALUE"""),"Tia")</f>
        <v>Tia</v>
      </c>
      <c r="D550" s="39" t="str">
        <f>IFERROR(__xludf.DUMMYFUNCTION("""COMPUTED_VALUE"""),"Tia")</f>
        <v>Tia</v>
      </c>
      <c r="E550" s="39" t="str">
        <f>IFERROR(__xludf.DUMMYFUNCTION("""COMPUTED_VALUE"""),"-")</f>
        <v>-</v>
      </c>
      <c r="F550" s="39" t="str">
        <f>IFERROR(__xludf.DUMMYFUNCTION("""COMPUTED_VALUE"""),"-")</f>
        <v>-</v>
      </c>
      <c r="G550" s="39" t="str">
        <f>IFERROR(__xludf.DUMMYFUNCTION("""COMPUTED_VALUE"""),"None")</f>
        <v>None</v>
      </c>
      <c r="H550" s="39" t="str">
        <f>IFERROR(__xludf.DUMMYFUNCTION("""COMPUTED_VALUE"""),"Poised Tia")</f>
        <v>Poised Tia</v>
      </c>
      <c r="I550" s="40" t="str">
        <f>IFERROR(__xludf.DUMMYFUNCTION("""COMPUTED_VALUE"""),"[2 MP] Apply both of the following effects in order: ● [STAY] Reduce the Power of 1 of your opponent's in-play MAMODO cards by 3000 during this turn. ● Injure all of your opponent's MAMODO cards with 0 Power.")</f>
        <v>[2 MP] Apply both of the following effects in order: ● [STAY] Reduce the Power of 1 of your opponent's in-play MAMODO cards by 3000 during this turn. ● Injure all of your opponent's MAMODO cards with 0 Power.</v>
      </c>
      <c r="J550" s="39">
        <f>IFERROR(__xludf.DUMMYFUNCTION("""COMPUTED_VALUE"""),4000.0)</f>
        <v>4000</v>
      </c>
      <c r="K550" s="39" t="str">
        <f>IFERROR(__xludf.DUMMYFUNCTION("""COMPUTED_VALUE"""),"-")</f>
        <v>-</v>
      </c>
      <c r="L550" s="39" t="str">
        <f>IFERROR(__xludf.DUMMYFUNCTION("""COMPUTED_VALUE"""),"Spell Book, The Best Booster 1")</f>
        <v>Spell Book, The Best Booster 1</v>
      </c>
      <c r="M550" s="39" t="str">
        <f>IFERROR(__xludf.DUMMYFUNCTION("""COMPUTED_VALUE"""),"[R]")</f>
        <v>[R]</v>
      </c>
      <c r="N550" s="39" t="str">
        <f>IFERROR(__xludf.DUMMYFUNCTION("""COMPUTED_VALUE"""),"""She is usually a cute girl, but when she gets mad...""")</f>
        <v>"She is usually a cute girl, but when she gets mad..."</v>
      </c>
      <c r="O550" s="39"/>
      <c r="P550" s="39"/>
      <c r="Q550" s="39"/>
      <c r="R550" s="39"/>
      <c r="S550" s="39"/>
      <c r="T550" s="39"/>
      <c r="U550" s="39"/>
      <c r="V550" s="39"/>
      <c r="W550" s="39"/>
      <c r="X550" s="39"/>
      <c r="Y550" s="39"/>
      <c r="Z550" s="39"/>
    </row>
    <row r="551">
      <c r="A551" s="38" t="str">
        <f>IFERROR(__xludf.DUMMYFUNCTION("""COMPUTED_VALUE"""),"M-169")</f>
        <v>M-169</v>
      </c>
      <c r="B551" s="39" t="str">
        <f>IFERROR(__xludf.DUMMYFUNCTION("""COMPUTED_VALUE"""),"Mamodo")</f>
        <v>Mamodo</v>
      </c>
      <c r="C551" s="39" t="str">
        <f>IFERROR(__xludf.DUMMYFUNCTION("""COMPUTED_VALUE"""),"Zeno")</f>
        <v>Zeno</v>
      </c>
      <c r="D551" s="39" t="str">
        <f>IFERROR(__xludf.DUMMYFUNCTION("""COMPUTED_VALUE"""),"Zeno")</f>
        <v>Zeno</v>
      </c>
      <c r="E551" s="39" t="str">
        <f>IFERROR(__xludf.DUMMYFUNCTION("""COMPUTED_VALUE"""),"-")</f>
        <v>-</v>
      </c>
      <c r="F551" s="39" t="str">
        <f>IFERROR(__xludf.DUMMYFUNCTION("""COMPUTED_VALUE"""),"-")</f>
        <v>-</v>
      </c>
      <c r="G551" s="39" t="str">
        <f>IFERROR(__xludf.DUMMYFUNCTION("""COMPUTED_VALUE"""),"None")</f>
        <v>None</v>
      </c>
      <c r="H551" s="39" t="str">
        <f>IFERROR(__xludf.DUMMYFUNCTION("""COMPUTED_VALUE"""),"Level-Headed")</f>
        <v>Level-Headed</v>
      </c>
      <c r="I551" s="40" t="str">
        <f>IFERROR(__xludf.DUMMYFUNCTION("""COMPUTED_VALUE"""),"(Attack) [3 MP] This card may Attack without using a SPELL card (Total Power=8000, Injure 1 of your opponent's MAMODO cards).")</f>
        <v>(Attack) [3 MP] This card may Attack without using a SPELL card (Total Power=8000, Injure 1 of your opponent's MAMODO cards).</v>
      </c>
      <c r="J551" s="39">
        <f>IFERROR(__xludf.DUMMYFUNCTION("""COMPUTED_VALUE"""),6000.0)</f>
        <v>6000</v>
      </c>
      <c r="K551" s="39" t="str">
        <f>IFERROR(__xludf.DUMMYFUNCTION("""COMPUTED_VALUE"""),"-")</f>
        <v>-</v>
      </c>
      <c r="L551" s="39" t="str">
        <f>IFERROR(__xludf.DUMMYFUNCTION("""COMPUTED_VALUE"""),"-")</f>
        <v>-</v>
      </c>
      <c r="M551" s="39" t="str">
        <f>IFERROR(__xludf.DUMMYFUNCTION("""COMPUTED_VALUE"""),"[R]")</f>
        <v>[R]</v>
      </c>
      <c r="N551" s="39" t="str">
        <f>IFERROR(__xludf.DUMMYFUNCTION("""COMPUTED_VALUE"""),"""Hmph... You're just a punk, don't mess with me.""")</f>
        <v>"Hmph... You're just a punk, don't mess with me."</v>
      </c>
      <c r="O551" s="39"/>
      <c r="P551" s="39"/>
      <c r="Q551" s="39"/>
      <c r="R551" s="39"/>
      <c r="S551" s="39"/>
      <c r="T551" s="39"/>
      <c r="U551" s="39"/>
      <c r="V551" s="39"/>
      <c r="W551" s="39"/>
      <c r="X551" s="39"/>
      <c r="Y551" s="39"/>
      <c r="Z551" s="39"/>
    </row>
    <row r="552">
      <c r="A552" s="38" t="str">
        <f>IFERROR(__xludf.DUMMYFUNCTION("""COMPUTED_VALUE"""),"M-170")</f>
        <v>M-170</v>
      </c>
      <c r="B552" s="39" t="str">
        <f>IFERROR(__xludf.DUMMYFUNCTION("""COMPUTED_VALUE"""),"Mamodo")</f>
        <v>Mamodo</v>
      </c>
      <c r="C552" s="39" t="str">
        <f>IFERROR(__xludf.DUMMYFUNCTION("""COMPUTED_VALUE"""),"Yopopo")</f>
        <v>Yopopo</v>
      </c>
      <c r="D552" s="39" t="str">
        <f>IFERROR(__xludf.DUMMYFUNCTION("""COMPUTED_VALUE"""),"Yopopo")</f>
        <v>Yopopo</v>
      </c>
      <c r="E552" s="39" t="str">
        <f>IFERROR(__xludf.DUMMYFUNCTION("""COMPUTED_VALUE"""),"-")</f>
        <v>-</v>
      </c>
      <c r="F552" s="39" t="str">
        <f>IFERROR(__xludf.DUMMYFUNCTION("""COMPUTED_VALUE"""),"-")</f>
        <v>-</v>
      </c>
      <c r="G552" s="39" t="str">
        <f>IFERROR(__xludf.DUMMYFUNCTION("""COMPUTED_VALUE"""),"None")</f>
        <v>None</v>
      </c>
      <c r="H552" s="39" t="str">
        <f>IFERROR(__xludf.DUMMYFUNCTION("""COMPUTED_VALUE"""),"A Warrior's Resolve")</f>
        <v>A Warrior's Resolve</v>
      </c>
      <c r="I552" s="40" t="str">
        <f>IFERROR(__xludf.DUMMYFUNCTION("""COMPUTED_VALUE"""),"[DECLARE TO USE] Turn 1 page of your Spell Book. Then, turn 2 pages of your opponent's Spell Book. This effect can be applied only once per game (per player). Effects that turn pages of your Spell Book can be applied only once per turn (per player).")</f>
        <v>[DECLARE TO USE] Turn 1 page of your Spell Book. Then, turn 2 pages of your opponent's Spell Book. This effect can be applied only once per game (per player). Effects that turn pages of your Spell Book can be applied only once per turn (per player).</v>
      </c>
      <c r="J552" s="39">
        <f>IFERROR(__xludf.DUMMYFUNCTION("""COMPUTED_VALUE"""),3000.0)</f>
        <v>3000</v>
      </c>
      <c r="K552" s="39" t="str">
        <f>IFERROR(__xludf.DUMMYFUNCTION("""COMPUTED_VALUE"""),"-")</f>
        <v>-</v>
      </c>
      <c r="L552" s="39" t="str">
        <f>IFERROR(__xludf.DUMMYFUNCTION("""COMPUTED_VALUE"""),"-")</f>
        <v>-</v>
      </c>
      <c r="M552" s="39" t="str">
        <f>IFERROR(__xludf.DUMMYFUNCTION("""COMPUTED_VALUE"""),"[C]")</f>
        <v>[C]</v>
      </c>
      <c r="N552" s="39" t="str">
        <f>IFERROR(__xludf.DUMMYFUNCTION("""COMPUTED_VALUE"""),"""You wanted to save Djem... That's why you were prepared to lose from the very beginning!""")</f>
        <v>"You wanted to save Djem... That's why you were prepared to lose from the very beginning!"</v>
      </c>
      <c r="O552" s="39"/>
      <c r="P552" s="39"/>
      <c r="Q552" s="39"/>
      <c r="R552" s="39"/>
      <c r="S552" s="39"/>
      <c r="T552" s="39"/>
      <c r="U552" s="39"/>
      <c r="V552" s="39"/>
      <c r="W552" s="39"/>
      <c r="X552" s="39"/>
      <c r="Y552" s="39"/>
      <c r="Z552" s="39"/>
    </row>
    <row r="553">
      <c r="A553" s="38" t="str">
        <f>IFERROR(__xludf.DUMMYFUNCTION("""COMPUTED_VALUE"""),"M-171")</f>
        <v>M-171</v>
      </c>
      <c r="B553" s="39" t="str">
        <f>IFERROR(__xludf.DUMMYFUNCTION("""COMPUTED_VALUE"""),"Mamodo")</f>
        <v>Mamodo</v>
      </c>
      <c r="C553" s="39" t="str">
        <f>IFERROR(__xludf.DUMMYFUNCTION("""COMPUTED_VALUE"""),"Schneider")</f>
        <v>Schneider</v>
      </c>
      <c r="D553" s="39" t="str">
        <f>IFERROR(__xludf.DUMMYFUNCTION("""COMPUTED_VALUE"""),"Ponygon")</f>
        <v>Ponygon</v>
      </c>
      <c r="E553" s="39" t="str">
        <f>IFERROR(__xludf.DUMMYFUNCTION("""COMPUTED_VALUE"""),"-")</f>
        <v>-</v>
      </c>
      <c r="F553" s="39" t="str">
        <f>IFERROR(__xludf.DUMMYFUNCTION("""COMPUTED_VALUE"""),"-")</f>
        <v>-</v>
      </c>
      <c r="G553" s="39" t="str">
        <f>IFERROR(__xludf.DUMMYFUNCTION("""COMPUTED_VALUE"""),"None")</f>
        <v>None</v>
      </c>
      <c r="H553" s="39" t="str">
        <f>IFERROR(__xludf.DUMMYFUNCTION("""COMPUTED_VALUE"""),"Naming Ponygon")</f>
        <v>Naming Ponygon</v>
      </c>
      <c r="I553" s="40" t="str">
        <f>IFERROR(__xludf.DUMMYFUNCTION("""COMPUTED_VALUE"""),"This card is considered to be the same as the Ponygon MAMODO card. [2 MP] [STAY] Select 1 of your opponent's in-play MAMODO cards. During this turn, the selected MAMODO's card name is considered to be ""Ponygon"" (the opponent cannot play SPELL cards with"&amp;" the original MAMODO name for that MAMODO card, and cannot attach PARTNER cards with the original MAMODO name to that MAMODO card).")</f>
        <v>This card is considered to be the same as the Ponygon MAMODO card. [2 MP] [STAY] Select 1 of your opponent's in-play MAMODO cards. During this turn, the selected MAMODO's card name is considered to be "Ponygon" (the opponent cannot play SPELL cards with the original MAMODO name for that MAMODO card, and cannot attach PARTNER cards with the original MAMODO name to that MAMODO card).</v>
      </c>
      <c r="J553" s="39">
        <f>IFERROR(__xludf.DUMMYFUNCTION("""COMPUTED_VALUE"""),2000.0)</f>
        <v>2000</v>
      </c>
      <c r="K553" s="39" t="str">
        <f>IFERROR(__xludf.DUMMYFUNCTION("""COMPUTED_VALUE"""),"-")</f>
        <v>-</v>
      </c>
      <c r="L553" s="39" t="str">
        <f>IFERROR(__xludf.DUMMYFUNCTION("""COMPUTED_VALUE"""),"-")</f>
        <v>-</v>
      </c>
      <c r="M553" s="39" t="str">
        <f>IFERROR(__xludf.DUMMYFUNCTION("""COMPUTED_VALUE"""),"[R]")</f>
        <v>[R]</v>
      </c>
      <c r="N553" s="39" t="str">
        <f>IFERROR(__xludf.DUMMYFUNCTION("""COMPUTED_VALUE"""),"""My real name is Schneider~~""")</f>
        <v>"My real name is Schneider~~"</v>
      </c>
      <c r="O553" s="39"/>
      <c r="P553" s="39"/>
      <c r="Q553" s="39"/>
      <c r="R553" s="39"/>
      <c r="S553" s="39"/>
      <c r="T553" s="39"/>
      <c r="U553" s="39"/>
      <c r="V553" s="39"/>
      <c r="W553" s="39"/>
      <c r="X553" s="39"/>
      <c r="Y553" s="39"/>
      <c r="Z553" s="39"/>
    </row>
    <row r="554">
      <c r="A554" s="38" t="str">
        <f>IFERROR(__xludf.DUMMYFUNCTION("""COMPUTED_VALUE"""),"M-172")</f>
        <v>M-172</v>
      </c>
      <c r="B554" s="39" t="str">
        <f>IFERROR(__xludf.DUMMYFUNCTION("""COMPUTED_VALUE"""),"Mamodo")</f>
        <v>Mamodo</v>
      </c>
      <c r="C554" s="39" t="str">
        <f>IFERROR(__xludf.DUMMYFUNCTION("""COMPUTED_VALUE"""),"Zofis")</f>
        <v>Zofis</v>
      </c>
      <c r="D554" s="39" t="str">
        <f>IFERROR(__xludf.DUMMYFUNCTION("""COMPUTED_VALUE"""),"Zofis")</f>
        <v>Zofis</v>
      </c>
      <c r="E554" s="39" t="str">
        <f>IFERROR(__xludf.DUMMYFUNCTION("""COMPUTED_VALUE"""),"-")</f>
        <v>-</v>
      </c>
      <c r="F554" s="39" t="str">
        <f>IFERROR(__xludf.DUMMYFUNCTION("""COMPUTED_VALUE"""),"-")</f>
        <v>-</v>
      </c>
      <c r="G554" s="39" t="str">
        <f>IFERROR(__xludf.DUMMYFUNCTION("""COMPUTED_VALUE"""),"None")</f>
        <v>None</v>
      </c>
      <c r="H554" s="39" t="str">
        <f>IFERROR(__xludf.DUMMYFUNCTION("""COMPUTED_VALUE"""),"Commanding the Ancient Mamodo")</f>
        <v>Commanding the Ancient Mamodo</v>
      </c>
      <c r="I554" s="40" t="str">
        <f>IFERROR(__xludf.DUMMYFUNCTION("""COMPUTED_VALUE"""),"[SEND THIS CARD TO THE DISCARD PILE] [STAY] During this game, the effects of your in-play MAMODO cards with ""When you have 3 Stone Table MAMODO cards in play"" can now be applied when you have 2 or more Stone Tablet MAMODO cards in play.")</f>
        <v>[SEND THIS CARD TO THE DISCARD PILE] [STAY] During this game, the effects of your in-play MAMODO cards with "When you have 3 Stone Table MAMODO cards in play" can now be applied when you have 2 or more Stone Tablet MAMODO cards in play.</v>
      </c>
      <c r="J554" s="39">
        <f>IFERROR(__xludf.DUMMYFUNCTION("""COMPUTED_VALUE"""),5000.0)</f>
        <v>5000</v>
      </c>
      <c r="K554" s="39" t="str">
        <f>IFERROR(__xludf.DUMMYFUNCTION("""COMPUTED_VALUE"""),"-")</f>
        <v>-</v>
      </c>
      <c r="L554" s="39" t="str">
        <f>IFERROR(__xludf.DUMMYFUNCTION("""COMPUTED_VALUE"""),"-")</f>
        <v>-</v>
      </c>
      <c r="M554" s="39" t="str">
        <f>IFERROR(__xludf.DUMMYFUNCTION("""COMPUTED_VALUE"""),"[R]")</f>
        <v>[R]</v>
      </c>
      <c r="N554" s="39" t="str">
        <f>IFERROR(__xludf.DUMMYFUNCTION("""COMPUTED_VALUE"""),"""Now, let's crush our remaining rivals.""")</f>
        <v>"Now, let's crush our remaining rivals."</v>
      </c>
      <c r="O554" s="39"/>
      <c r="P554" s="39"/>
      <c r="Q554" s="39"/>
      <c r="R554" s="39"/>
      <c r="S554" s="39"/>
      <c r="T554" s="39"/>
      <c r="U554" s="39"/>
      <c r="V554" s="39"/>
      <c r="W554" s="39"/>
      <c r="X554" s="39"/>
      <c r="Y554" s="39"/>
      <c r="Z554" s="39"/>
    </row>
    <row r="555">
      <c r="A555" s="38" t="str">
        <f>IFERROR(__xludf.DUMMYFUNCTION("""COMPUTED_VALUE"""),"M-173")</f>
        <v>M-173</v>
      </c>
      <c r="B555" s="39" t="str">
        <f>IFERROR(__xludf.DUMMYFUNCTION("""COMPUTED_VALUE"""),"Mamodo")</f>
        <v>Mamodo</v>
      </c>
      <c r="C555" s="39" t="str">
        <f>IFERROR(__xludf.DUMMYFUNCTION("""COMPUTED_VALUE"""),"Rops")</f>
        <v>Rops</v>
      </c>
      <c r="D555" s="39" t="str">
        <f>IFERROR(__xludf.DUMMYFUNCTION("""COMPUTED_VALUE"""),"Rops")</f>
        <v>Rops</v>
      </c>
      <c r="E555" s="39" t="str">
        <f>IFERROR(__xludf.DUMMYFUNCTION("""COMPUTED_VALUE"""),"-")</f>
        <v>-</v>
      </c>
      <c r="F555" s="39" t="str">
        <f>IFERROR(__xludf.DUMMYFUNCTION("""COMPUTED_VALUE"""),"-")</f>
        <v>-</v>
      </c>
      <c r="G555" s="39" t="str">
        <f>IFERROR(__xludf.DUMMYFUNCTION("""COMPUTED_VALUE"""),"None")</f>
        <v>None</v>
      </c>
      <c r="H555" s="39" t="str">
        <f>IFERROR(__xludf.DUMMYFUNCTION("""COMPUTED_VALUE"""),"Cau!")</f>
        <v>Cau!</v>
      </c>
      <c r="I555" s="40" t="str">
        <f>IFERROR(__xludf.DUMMYFUNCTION("""COMPUTED_VALUE"""),"[2 MP] Negate all of your opponent's [Stay] and [Standby] effects.")</f>
        <v>[2 MP] Negate all of your opponent's [Stay] and [Standby] effects.</v>
      </c>
      <c r="J555" s="39">
        <f>IFERROR(__xludf.DUMMYFUNCTION("""COMPUTED_VALUE"""),3000.0)</f>
        <v>3000</v>
      </c>
      <c r="K555" s="39" t="str">
        <f>IFERROR(__xludf.DUMMYFUNCTION("""COMPUTED_VALUE"""),"-")</f>
        <v>-</v>
      </c>
      <c r="L555" s="39" t="str">
        <f>IFERROR(__xludf.DUMMYFUNCTION("""COMPUTED_VALUE"""),"-")</f>
        <v>-</v>
      </c>
      <c r="M555" s="39" t="str">
        <f>IFERROR(__xludf.DUMMYFUNCTION("""COMPUTED_VALUE"""),"[R]")</f>
        <v>[R]</v>
      </c>
      <c r="N555" s="39" t="str">
        <f>IFERROR(__xludf.DUMMYFUNCTION("""COMPUTED_VALUE"""),"""Cau! Cau! Caau!""")</f>
        <v>"Cau! Cau! Caau!"</v>
      </c>
      <c r="O555" s="39"/>
      <c r="P555" s="39"/>
      <c r="Q555" s="39"/>
      <c r="R555" s="39"/>
      <c r="S555" s="39"/>
      <c r="T555" s="39"/>
      <c r="U555" s="39"/>
      <c r="V555" s="39"/>
      <c r="W555" s="39"/>
      <c r="X555" s="39"/>
      <c r="Y555" s="39"/>
      <c r="Z555" s="39"/>
    </row>
    <row r="556">
      <c r="A556" s="38" t="str">
        <f>IFERROR(__xludf.DUMMYFUNCTION("""COMPUTED_VALUE"""),"M-174")</f>
        <v>M-174</v>
      </c>
      <c r="B556" s="39" t="str">
        <f>IFERROR(__xludf.DUMMYFUNCTION("""COMPUTED_VALUE"""),"Mamodo")</f>
        <v>Mamodo</v>
      </c>
      <c r="C556" s="39" t="str">
        <f>IFERROR(__xludf.DUMMYFUNCTION("""COMPUTED_VALUE"""),"Danny")</f>
        <v>Danny</v>
      </c>
      <c r="D556" s="39" t="str">
        <f>IFERROR(__xludf.DUMMYFUNCTION("""COMPUTED_VALUE"""),"Danny")</f>
        <v>Danny</v>
      </c>
      <c r="E556" s="39" t="str">
        <f>IFERROR(__xludf.DUMMYFUNCTION("""COMPUTED_VALUE"""),"-")</f>
        <v>-</v>
      </c>
      <c r="F556" s="39" t="str">
        <f>IFERROR(__xludf.DUMMYFUNCTION("""COMPUTED_VALUE"""),"-")</f>
        <v>-</v>
      </c>
      <c r="G556" s="39" t="str">
        <f>IFERROR(__xludf.DUMMYFUNCTION("""COMPUTED_VALUE"""),"None")</f>
        <v>None</v>
      </c>
      <c r="H556" s="39" t="str">
        <f>IFERROR(__xludf.DUMMYFUNCTION("""COMPUTED_VALUE"""),"Super Recovery Ability")</f>
        <v>Super Recovery Ability</v>
      </c>
      <c r="I556" s="40" t="str">
        <f>IFERROR(__xludf.DUMMYFUNCTION("""COMPUTED_VALUE"""),"(Attack) [1 MP] This card may Attack without using a SPELL card (Total Power=6000, Damage=1). [2 MP] Turn this MAMODO card to Normal Status.")</f>
        <v>(Attack) [1 MP] This card may Attack without using a SPELL card (Total Power=6000, Damage=1). [2 MP] Turn this MAMODO card to Normal Status.</v>
      </c>
      <c r="J556" s="39">
        <f>IFERROR(__xludf.DUMMYFUNCTION("""COMPUTED_VALUE"""),4000.0)</f>
        <v>4000</v>
      </c>
      <c r="K556" s="39" t="str">
        <f>IFERROR(__xludf.DUMMYFUNCTION("""COMPUTED_VALUE"""),"-")</f>
        <v>-</v>
      </c>
      <c r="L556" s="39" t="str">
        <f>IFERROR(__xludf.DUMMYFUNCTION("""COMPUTED_VALUE"""),"-")</f>
        <v>-</v>
      </c>
      <c r="M556" s="39" t="str">
        <f>IFERROR(__xludf.DUMMYFUNCTION("""COMPUTED_VALUE"""),"[R]")</f>
        <v>[R]</v>
      </c>
      <c r="N556" s="39" t="str">
        <f>IFERROR(__xludf.DUMMYFUNCTION("""COMPUTED_VALUE"""),"""As long as I've got the book, he's sure to make a comeback!""")</f>
        <v>"As long as I've got the book, he's sure to make a comeback!"</v>
      </c>
      <c r="O556" s="39"/>
      <c r="P556" s="39"/>
      <c r="Q556" s="39"/>
      <c r="R556" s="39"/>
      <c r="S556" s="39"/>
      <c r="T556" s="39"/>
      <c r="U556" s="39"/>
      <c r="V556" s="39"/>
      <c r="W556" s="39"/>
      <c r="X556" s="39"/>
      <c r="Y556" s="39"/>
      <c r="Z556" s="39"/>
    </row>
    <row r="557">
      <c r="A557" s="38" t="str">
        <f>IFERROR(__xludf.DUMMYFUNCTION("""COMPUTED_VALUE"""),"M-175")</f>
        <v>M-175</v>
      </c>
      <c r="B557" s="39" t="str">
        <f>IFERROR(__xludf.DUMMYFUNCTION("""COMPUTED_VALUE"""),"Mamodo")</f>
        <v>Mamodo</v>
      </c>
      <c r="C557" s="39" t="str">
        <f>IFERROR(__xludf.DUMMYFUNCTION("""COMPUTED_VALUE"""),"Wonrei")</f>
        <v>Wonrei</v>
      </c>
      <c r="D557" s="39" t="str">
        <f>IFERROR(__xludf.DUMMYFUNCTION("""COMPUTED_VALUE"""),"Wonrei")</f>
        <v>Wonrei</v>
      </c>
      <c r="E557" s="39" t="str">
        <f>IFERROR(__xludf.DUMMYFUNCTION("""COMPUTED_VALUE"""),"-")</f>
        <v>-</v>
      </c>
      <c r="F557" s="39" t="str">
        <f>IFERROR(__xludf.DUMMYFUNCTION("""COMPUTED_VALUE"""),"-")</f>
        <v>-</v>
      </c>
      <c r="G557" s="39" t="str">
        <f>IFERROR(__xludf.DUMMYFUNCTION("""COMPUTED_VALUE"""),"None")</f>
        <v>None</v>
      </c>
      <c r="H557" s="39" t="str">
        <f>IFERROR(__xludf.DUMMYFUNCTION("""COMPUTED_VALUE"""),"Kazete Sosho")</f>
        <v>Kazete Sosho</v>
      </c>
      <c r="I557" s="40" t="str">
        <f>IFERROR(__xludf.DUMMYFUNCTION("""COMPUTED_VALUE"""),"(Battle) [1 MP] Negate the Attack your opponent declared in the Battle if an effect states that it cannot be Defended.")</f>
        <v>(Battle) [1 MP] Negate the Attack your opponent declared in the Battle if an effect states that it cannot be Defended.</v>
      </c>
      <c r="J557" s="39">
        <f>IFERROR(__xludf.DUMMYFUNCTION("""COMPUTED_VALUE"""),4000.0)</f>
        <v>4000</v>
      </c>
      <c r="K557" s="39" t="str">
        <f>IFERROR(__xludf.DUMMYFUNCTION("""COMPUTED_VALUE"""),"-")</f>
        <v>-</v>
      </c>
      <c r="L557" s="39" t="str">
        <f>IFERROR(__xludf.DUMMYFUNCTION("""COMPUTED_VALUE"""),"-")</f>
        <v>-</v>
      </c>
      <c r="M557" s="39" t="str">
        <f>IFERROR(__xludf.DUMMYFUNCTION("""COMPUTED_VALUE"""),"[R]")</f>
        <v>[R]</v>
      </c>
      <c r="N557" s="39" t="str">
        <f>IFERROR(__xludf.DUMMYFUNCTION("""COMPUTED_VALUE"""),"""Kazete Sosho"" Double palms that capture the wind!")</f>
        <v>"Kazete Sosho" Double palms that capture the wind!</v>
      </c>
      <c r="O557" s="39"/>
      <c r="P557" s="39"/>
      <c r="Q557" s="39"/>
      <c r="R557" s="39"/>
      <c r="S557" s="39"/>
      <c r="T557" s="39"/>
      <c r="U557" s="39"/>
      <c r="V557" s="39"/>
      <c r="W557" s="39"/>
      <c r="X557" s="39"/>
      <c r="Y557" s="39"/>
      <c r="Z557" s="39"/>
    </row>
    <row r="558">
      <c r="A558" s="38" t="str">
        <f>IFERROR(__xludf.DUMMYFUNCTION("""COMPUTED_VALUE"""),"M-176")</f>
        <v>M-176</v>
      </c>
      <c r="B558" s="39" t="str">
        <f>IFERROR(__xludf.DUMMYFUNCTION("""COMPUTED_VALUE"""),"Mamodo")</f>
        <v>Mamodo</v>
      </c>
      <c r="C558" s="39" t="str">
        <f>IFERROR(__xludf.DUMMYFUNCTION("""COMPUTED_VALUE"""),"Bari")</f>
        <v>Bari</v>
      </c>
      <c r="D558" s="39" t="str">
        <f>IFERROR(__xludf.DUMMYFUNCTION("""COMPUTED_VALUE"""),"Bari")</f>
        <v>Bari</v>
      </c>
      <c r="E558" s="39" t="str">
        <f>IFERROR(__xludf.DUMMYFUNCTION("""COMPUTED_VALUE"""),"-")</f>
        <v>-</v>
      </c>
      <c r="F558" s="39" t="str">
        <f>IFERROR(__xludf.DUMMYFUNCTION("""COMPUTED_VALUE"""),"-")</f>
        <v>-</v>
      </c>
      <c r="G558" s="39" t="str">
        <f>IFERROR(__xludf.DUMMYFUNCTION("""COMPUTED_VALUE"""),"None")</f>
        <v>None</v>
      </c>
      <c r="H558" s="39" t="str">
        <f>IFERROR(__xludf.DUMMYFUNCTION("""COMPUTED_VALUE"""),"Unyielding Strength")</f>
        <v>Unyielding Strength</v>
      </c>
      <c r="I558" s="40" t="str">
        <f>IFERROR(__xludf.DUMMYFUNCTION("""COMPUTED_VALUE"""),"[IN PLAY] Your opponent cannot play EVENT cards with an MP cost of 3 or more.")</f>
        <v>[IN PLAY] Your opponent cannot play EVENT cards with an MP cost of 3 or more.</v>
      </c>
      <c r="J558" s="39">
        <f>IFERROR(__xludf.DUMMYFUNCTION("""COMPUTED_VALUE"""),5000.0)</f>
        <v>5000</v>
      </c>
      <c r="K558" s="39" t="str">
        <f>IFERROR(__xludf.DUMMYFUNCTION("""COMPUTED_VALUE"""),"-")</f>
        <v>-</v>
      </c>
      <c r="L558" s="39" t="str">
        <f>IFERROR(__xludf.DUMMYFUNCTION("""COMPUTED_VALUE"""),"Spell Book, The Best Booster 1")</f>
        <v>Spell Book, The Best Booster 1</v>
      </c>
      <c r="M558" s="39" t="str">
        <f>IFERROR(__xludf.DUMMYFUNCTION("""COMPUTED_VALUE"""),"[SR]")</f>
        <v>[SR]</v>
      </c>
      <c r="N558" s="39" t="str">
        <f>IFERROR(__xludf.DUMMYFUNCTION("""COMPUTED_VALUE"""),"""This battle is getting a little bit more exciting.""")</f>
        <v>"This battle is getting a little bit more exciting."</v>
      </c>
      <c r="O558" s="39"/>
      <c r="P558" s="39"/>
      <c r="Q558" s="39"/>
      <c r="R558" s="39"/>
      <c r="S558" s="39"/>
      <c r="T558" s="39"/>
      <c r="U558" s="39"/>
      <c r="V558" s="39"/>
      <c r="W558" s="39"/>
      <c r="X558" s="39"/>
      <c r="Y558" s="39"/>
      <c r="Z558" s="39"/>
    </row>
    <row r="559">
      <c r="A559" s="38" t="str">
        <f>IFERROR(__xludf.DUMMYFUNCTION("""COMPUTED_VALUE"""),"M-177")</f>
        <v>M-177</v>
      </c>
      <c r="B559" s="39" t="str">
        <f>IFERROR(__xludf.DUMMYFUNCTION("""COMPUTED_VALUE"""),"Mamodo")</f>
        <v>Mamodo</v>
      </c>
      <c r="C559" s="39" t="str">
        <f>IFERROR(__xludf.DUMMYFUNCTION("""COMPUTED_VALUE"""),"Kido")</f>
        <v>Kido</v>
      </c>
      <c r="D559" s="39" t="str">
        <f>IFERROR(__xludf.DUMMYFUNCTION("""COMPUTED_VALUE"""),"Kido")</f>
        <v>Kido</v>
      </c>
      <c r="E559" s="39" t="str">
        <f>IFERROR(__xludf.DUMMYFUNCTION("""COMPUTED_VALUE"""),"-")</f>
        <v>-</v>
      </c>
      <c r="F559" s="39" t="str">
        <f>IFERROR(__xludf.DUMMYFUNCTION("""COMPUTED_VALUE"""),"-")</f>
        <v>-</v>
      </c>
      <c r="G559" s="39" t="str">
        <f>IFERROR(__xludf.DUMMYFUNCTION("""COMPUTED_VALUE"""),"None")</f>
        <v>None</v>
      </c>
      <c r="H559" s="39" t="str">
        <f>IFERROR(__xludf.DUMMYFUNCTION("""COMPUTED_VALUE"""),"Emergency Mission")</f>
        <v>Emergency Mission</v>
      </c>
      <c r="I559" s="40" t="str">
        <f>IFERROR(__xludf.DUMMYFUNCTION("""COMPUTED_VALUE"""),"[2 MP] Select 1 MJ12 card from any page of your Spell Book and put it in play.")</f>
        <v>[2 MP] Select 1 MJ12 card from any page of your Spell Book and put it in play.</v>
      </c>
      <c r="J559" s="39">
        <f>IFERROR(__xludf.DUMMYFUNCTION("""COMPUTED_VALUE"""),4000.0)</f>
        <v>4000</v>
      </c>
      <c r="K559" s="39" t="str">
        <f>IFERROR(__xludf.DUMMYFUNCTION("""COMPUTED_VALUE"""),"-")</f>
        <v>-</v>
      </c>
      <c r="L559" s="39" t="str">
        <f>IFERROR(__xludf.DUMMYFUNCTION("""COMPUTED_VALUE"""),"-")</f>
        <v>-</v>
      </c>
      <c r="M559" s="39" t="str">
        <f>IFERROR(__xludf.DUMMYFUNCTION("""COMPUTED_VALUE"""),"[U]")</f>
        <v>[U]</v>
      </c>
      <c r="N559" s="39" t="str">
        <f>IFERROR(__xludf.DUMMYFUNCTION("""COMPUTED_VALUE"""),"""Hurry! Spray sparkling orange juice out of your nose!""")</f>
        <v>"Hurry! Spray sparkling orange juice out of your nose!"</v>
      </c>
      <c r="O559" s="39"/>
      <c r="P559" s="39"/>
      <c r="Q559" s="39"/>
      <c r="R559" s="39"/>
      <c r="S559" s="39"/>
      <c r="T559" s="39"/>
      <c r="U559" s="39"/>
      <c r="V559" s="39"/>
      <c r="W559" s="39"/>
      <c r="X559" s="39"/>
      <c r="Y559" s="39"/>
      <c r="Z559" s="39"/>
    </row>
    <row r="560">
      <c r="A560" s="38" t="str">
        <f>IFERROR(__xludf.DUMMYFUNCTION("""COMPUTED_VALUE"""),"M-178")</f>
        <v>M-178</v>
      </c>
      <c r="B560" s="39" t="str">
        <f>IFERROR(__xludf.DUMMYFUNCTION("""COMPUTED_VALUE"""),"Mamodo")</f>
        <v>Mamodo</v>
      </c>
      <c r="C560" s="39" t="str">
        <f>IFERROR(__xludf.DUMMYFUNCTION("""COMPUTED_VALUE"""),"Penny")</f>
        <v>Penny</v>
      </c>
      <c r="D560" s="39" t="str">
        <f>IFERROR(__xludf.DUMMYFUNCTION("""COMPUTED_VALUE"""),"Penny")</f>
        <v>Penny</v>
      </c>
      <c r="E560" s="39" t="str">
        <f>IFERROR(__xludf.DUMMYFUNCTION("""COMPUTED_VALUE"""),"-")</f>
        <v>-</v>
      </c>
      <c r="F560" s="39" t="str">
        <f>IFERROR(__xludf.DUMMYFUNCTION("""COMPUTED_VALUE"""),"-")</f>
        <v>-</v>
      </c>
      <c r="G560" s="39" t="str">
        <f>IFERROR(__xludf.DUMMYFUNCTION("""COMPUTED_VALUE"""),"None")</f>
        <v>None</v>
      </c>
      <c r="H560" s="39" t="str">
        <f>IFERROR(__xludf.DUMMYFUNCTION("""COMPUTED_VALUE"""),"Love for Zatch")</f>
        <v>Love for Zatch</v>
      </c>
      <c r="I560" s="40" t="str">
        <f>IFERROR(__xludf.DUMMYFUNCTION("""COMPUTED_VALUE"""),"[IN PLAY] Your in-play Zatch Bell MAMODO card cannot be selected as a target for your opponent's card effects.")</f>
        <v>[IN PLAY] Your in-play Zatch Bell MAMODO card cannot be selected as a target for your opponent's card effects.</v>
      </c>
      <c r="J560" s="39">
        <f>IFERROR(__xludf.DUMMYFUNCTION("""COMPUTED_VALUE"""),3500.0)</f>
        <v>3500</v>
      </c>
      <c r="K560" s="39" t="str">
        <f>IFERROR(__xludf.DUMMYFUNCTION("""COMPUTED_VALUE"""),"-")</f>
        <v>-</v>
      </c>
      <c r="L560" s="39" t="str">
        <f>IFERROR(__xludf.DUMMYFUNCTION("""COMPUTED_VALUE"""),"-")</f>
        <v>-</v>
      </c>
      <c r="M560" s="39" t="str">
        <f>IFERROR(__xludf.DUMMYFUNCTION("""COMPUTED_VALUE"""),"[C]")</f>
        <v>[C]</v>
      </c>
      <c r="N560" s="39" t="str">
        <f>IFERROR(__xludf.DUMMYFUNCTION("""COMPUTED_VALUE"""),"""Zatch! Maybe now you'll understand how much I care for you, my precious love!""")</f>
        <v>"Zatch! Maybe now you'll understand how much I care for you, my precious love!"</v>
      </c>
      <c r="O560" s="39"/>
      <c r="P560" s="39"/>
      <c r="Q560" s="39"/>
      <c r="R560" s="39"/>
      <c r="S560" s="39"/>
      <c r="T560" s="39"/>
      <c r="U560" s="39"/>
      <c r="V560" s="39"/>
      <c r="W560" s="39"/>
      <c r="X560" s="39"/>
      <c r="Y560" s="39"/>
      <c r="Z560" s="39"/>
    </row>
    <row r="561">
      <c r="A561" s="38" t="str">
        <f>IFERROR(__xludf.DUMMYFUNCTION("""COMPUTED_VALUE"""),"M-179")</f>
        <v>M-179</v>
      </c>
      <c r="B561" s="39" t="str">
        <f>IFERROR(__xludf.DUMMYFUNCTION("""COMPUTED_VALUE"""),"Stone Tablet Mamodo")</f>
        <v>Stone Tablet Mamodo</v>
      </c>
      <c r="C561" s="39" t="str">
        <f>IFERROR(__xludf.DUMMYFUNCTION("""COMPUTED_VALUE"""),"Victoream")</f>
        <v>Victoream</v>
      </c>
      <c r="D561" s="39" t="str">
        <f>IFERROR(__xludf.DUMMYFUNCTION("""COMPUTED_VALUE"""),"Victoream")</f>
        <v>Victoream</v>
      </c>
      <c r="E561" s="39" t="str">
        <f>IFERROR(__xludf.DUMMYFUNCTION("""COMPUTED_VALUE"""),"-")</f>
        <v>-</v>
      </c>
      <c r="F561" s="39" t="str">
        <f>IFERROR(__xludf.DUMMYFUNCTION("""COMPUTED_VALUE"""),"-")</f>
        <v>-</v>
      </c>
      <c r="G561" s="39" t="str">
        <f>IFERROR(__xludf.DUMMYFUNCTION("""COMPUTED_VALUE"""),"None")</f>
        <v>None</v>
      </c>
      <c r="H561" s="39" t="str">
        <f>IFERROR(__xludf.DUMMYFUNCTION("""COMPUTED_VALUE"""),"The Glorious Victoream")</f>
        <v>The Glorious Victoream</v>
      </c>
      <c r="I561" s="40" t="str">
        <f>IFERROR(__xludf.DUMMYFUNCTION("""COMPUTED_VALUE"""),"[IN PLAY] Your opponent can neither SACRIFICE nor PROTECT their Spell Book from an infliction of 5 or more Damage from this MAMODO card's Attack.")</f>
        <v>[IN PLAY] Your opponent can neither SACRIFICE nor PROTECT their Spell Book from an infliction of 5 or more Damage from this MAMODO card's Attack.</v>
      </c>
      <c r="J561" s="39">
        <f>IFERROR(__xludf.DUMMYFUNCTION("""COMPUTED_VALUE"""),5000.0)</f>
        <v>5000</v>
      </c>
      <c r="K561" s="39" t="str">
        <f>IFERROR(__xludf.DUMMYFUNCTION("""COMPUTED_VALUE"""),"-")</f>
        <v>-</v>
      </c>
      <c r="L561" s="39" t="str">
        <f>IFERROR(__xludf.DUMMYFUNCTION("""COMPUTED_VALUE"""),"-")</f>
        <v>-</v>
      </c>
      <c r="M561" s="39" t="str">
        <f>IFERROR(__xludf.DUMMYFUNCTION("""COMPUTED_VALUE"""),"[R]")</f>
        <v>[R]</v>
      </c>
      <c r="N561" s="39" t="str">
        <f>IFERROR(__xludf.DUMMYFUNCTION("""COMPUTED_VALUE"""),"""I am the Magnificent Victoream! Now I want you to try saying it.""")</f>
        <v>"I am the Magnificent Victoream! Now I want you to try saying it."</v>
      </c>
      <c r="O561" s="39"/>
      <c r="P561" s="39"/>
      <c r="Q561" s="39"/>
      <c r="R561" s="39"/>
      <c r="S561" s="39"/>
      <c r="T561" s="39"/>
      <c r="U561" s="39"/>
      <c r="V561" s="39"/>
      <c r="W561" s="39"/>
      <c r="X561" s="39"/>
      <c r="Y561" s="39"/>
      <c r="Z561" s="39"/>
    </row>
    <row r="562">
      <c r="A562" s="38" t="str">
        <f>IFERROR(__xludf.DUMMYFUNCTION("""COMPUTED_VALUE"""),"M-180")</f>
        <v>M-180</v>
      </c>
      <c r="B562" s="39" t="str">
        <f>IFERROR(__xludf.DUMMYFUNCTION("""COMPUTED_VALUE"""),"Stone Tablet Mamodo")</f>
        <v>Stone Tablet Mamodo</v>
      </c>
      <c r="C562" s="39" t="str">
        <f>IFERROR(__xludf.DUMMYFUNCTION("""COMPUTED_VALUE"""),"Laila")</f>
        <v>Laila</v>
      </c>
      <c r="D562" s="39" t="str">
        <f>IFERROR(__xludf.DUMMYFUNCTION("""COMPUTED_VALUE"""),"Laila")</f>
        <v>Laila</v>
      </c>
      <c r="E562" s="39" t="str">
        <f>IFERROR(__xludf.DUMMYFUNCTION("""COMPUTED_VALUE"""),"-")</f>
        <v>-</v>
      </c>
      <c r="F562" s="39" t="str">
        <f>IFERROR(__xludf.DUMMYFUNCTION("""COMPUTED_VALUE"""),"-")</f>
        <v>-</v>
      </c>
      <c r="G562" s="39" t="str">
        <f>IFERROR(__xludf.DUMMYFUNCTION("""COMPUTED_VALUE"""),"None")</f>
        <v>None</v>
      </c>
      <c r="H562" s="39" t="str">
        <f>IFERROR(__xludf.DUMMYFUNCTION("""COMPUTED_VALUE"""),"The Stone Curse")</f>
        <v>The Stone Curse</v>
      </c>
      <c r="I562" s="40" t="str">
        <f>IFERROR(__xludf.DUMMYFUNCTION("""COMPUTED_VALUE"""),"[IN PLAY] None of your Stone Tablet MAMODO cards can be Petrified.")</f>
        <v>[IN PLAY] None of your Stone Tablet MAMODO cards can be Petrified.</v>
      </c>
      <c r="J562" s="39">
        <f>IFERROR(__xludf.DUMMYFUNCTION("""COMPUTED_VALUE"""),4000.0)</f>
        <v>4000</v>
      </c>
      <c r="K562" s="39" t="str">
        <f>IFERROR(__xludf.DUMMYFUNCTION("""COMPUTED_VALUE"""),"-")</f>
        <v>-</v>
      </c>
      <c r="L562" s="39" t="str">
        <f>IFERROR(__xludf.DUMMYFUNCTION("""COMPUTED_VALUE"""),"-")</f>
        <v>-</v>
      </c>
      <c r="M562" s="39" t="str">
        <f>IFERROR(__xludf.DUMMYFUNCTION("""COMPUTED_VALUE"""),"[C]")</f>
        <v>[C]</v>
      </c>
      <c r="N562" s="39" t="str">
        <f>IFERROR(__xludf.DUMMYFUNCTION("""COMPUTED_VALUE"""),"""Please... calmly surrender and let me defeat you!""")</f>
        <v>"Please... calmly surrender and let me defeat you!"</v>
      </c>
      <c r="O562" s="39"/>
      <c r="P562" s="39"/>
      <c r="Q562" s="39"/>
      <c r="R562" s="39"/>
      <c r="S562" s="39"/>
      <c r="T562" s="39"/>
      <c r="U562" s="39"/>
      <c r="V562" s="39"/>
      <c r="W562" s="39"/>
      <c r="X562" s="39"/>
      <c r="Y562" s="39"/>
      <c r="Z562" s="39"/>
    </row>
    <row r="563">
      <c r="A563" s="38" t="str">
        <f>IFERROR(__xludf.DUMMYFUNCTION("""COMPUTED_VALUE"""),"M-181")</f>
        <v>M-181</v>
      </c>
      <c r="B563" s="39" t="str">
        <f>IFERROR(__xludf.DUMMYFUNCTION("""COMPUTED_VALUE"""),"Mamodo")</f>
        <v>Mamodo</v>
      </c>
      <c r="C563" s="39" t="str">
        <f>IFERROR(__xludf.DUMMYFUNCTION("""COMPUTED_VALUE"""),"Goren")</f>
        <v>Goren</v>
      </c>
      <c r="D563" s="39" t="str">
        <f>IFERROR(__xludf.DUMMYFUNCTION("""COMPUTED_VALUE"""),"Goren")</f>
        <v>Goren</v>
      </c>
      <c r="E563" s="39" t="str">
        <f>IFERROR(__xludf.DUMMYFUNCTION("""COMPUTED_VALUE"""),"-")</f>
        <v>-</v>
      </c>
      <c r="F563" s="39" t="str">
        <f>IFERROR(__xludf.DUMMYFUNCTION("""COMPUTED_VALUE"""),"-")</f>
        <v>-</v>
      </c>
      <c r="G563" s="39" t="str">
        <f>IFERROR(__xludf.DUMMYFUNCTION("""COMPUTED_VALUE"""),"None")</f>
        <v>None</v>
      </c>
      <c r="H563" s="39" t="str">
        <f>IFERROR(__xludf.DUMMYFUNCTION("""COMPUTED_VALUE"""),"Fear of Being Turned to Stone")</f>
        <v>Fear of Being Turned to Stone</v>
      </c>
      <c r="I563" s="40" t="str">
        <f>IFERROR(__xludf.DUMMYFUNCTION("""COMPUTED_VALUE"""),"[1 MP] Inflict Damage on your opponent equal to the number of Petrified MAMODO cards your opponent has in play times 1 during your BATTLE PHASE (your opponent can PROTECT their Spell Book from this Damage).")</f>
        <v>[1 MP] Inflict Damage on your opponent equal to the number of Petrified MAMODO cards your opponent has in play times 1 during your BATTLE PHASE (your opponent can PROTECT their Spell Book from this Damage).</v>
      </c>
      <c r="J563" s="39">
        <f>IFERROR(__xludf.DUMMYFUNCTION("""COMPUTED_VALUE"""),6000.0)</f>
        <v>6000</v>
      </c>
      <c r="K563" s="39" t="str">
        <f>IFERROR(__xludf.DUMMYFUNCTION("""COMPUTED_VALUE"""),"-")</f>
        <v>-</v>
      </c>
      <c r="L563" s="39" t="str">
        <f>IFERROR(__xludf.DUMMYFUNCTION("""COMPUTED_VALUE"""),"-")</f>
        <v>-</v>
      </c>
      <c r="M563" s="39" t="str">
        <f>IFERROR(__xludf.DUMMYFUNCTION("""COMPUTED_VALUE"""),"[SR]")</f>
        <v>[SR]</v>
      </c>
      <c r="N563" s="39" t="str">
        <f>IFERROR(__xludf.DUMMYFUNCTION("""COMPUTED_VALUE"""),"""Heh, heh, heh. You're so weak...""")</f>
        <v>"Heh, heh, heh. You're so weak..."</v>
      </c>
      <c r="O563" s="39"/>
      <c r="P563" s="39"/>
      <c r="Q563" s="39"/>
      <c r="R563" s="39"/>
      <c r="S563" s="39"/>
      <c r="T563" s="39"/>
      <c r="U563" s="39"/>
      <c r="V563" s="39"/>
      <c r="W563" s="39"/>
      <c r="X563" s="39"/>
      <c r="Y563" s="39"/>
      <c r="Z563" s="39"/>
    </row>
    <row r="564">
      <c r="A564" s="38" t="str">
        <f>IFERROR(__xludf.DUMMYFUNCTION("""COMPUTED_VALUE"""),"M-182")</f>
        <v>M-182</v>
      </c>
      <c r="B564" s="39" t="str">
        <f>IFERROR(__xludf.DUMMYFUNCTION("""COMPUTED_VALUE"""),"Mamodo")</f>
        <v>Mamodo</v>
      </c>
      <c r="C564" s="39" t="str">
        <f>IFERROR(__xludf.DUMMYFUNCTION("""COMPUTED_VALUE"""),"Zatch Bell")</f>
        <v>Zatch Bell</v>
      </c>
      <c r="D564" s="39" t="str">
        <f>IFERROR(__xludf.DUMMYFUNCTION("""COMPUTED_VALUE"""),"Zatch Bell")</f>
        <v>Zatch Bell</v>
      </c>
      <c r="E564" s="39" t="str">
        <f>IFERROR(__xludf.DUMMYFUNCTION("""COMPUTED_VALUE"""),"-")</f>
        <v>-</v>
      </c>
      <c r="F564" s="39" t="str">
        <f>IFERROR(__xludf.DUMMYFUNCTION("""COMPUTED_VALUE"""),"-")</f>
        <v>-</v>
      </c>
      <c r="G564" s="39" t="str">
        <f>IFERROR(__xludf.DUMMYFUNCTION("""COMPUTED_VALUE"""),"None")</f>
        <v>None</v>
      </c>
      <c r="H564" s="39" t="str">
        <f>IFERROR(__xludf.DUMMYFUNCTION("""COMPUTED_VALUE"""),"Something Inside")</f>
        <v>Something Inside</v>
      </c>
      <c r="I564" s="40" t="str">
        <f>IFERROR(__xludf.DUMMYFUNCTION("""COMPUTED_VALUE"""),"[1 MP] This effect can be applied only if you Attacked with any of your other in-play MAMODO cards during this turn. [STANDBY] During the next Battle this turn when this MAMODO card Attacks, your opponent can neither SACRIFICE nor PROTECT their Spell Book"&amp;" from Damage.")</f>
        <v>[1 MP] This effect can be applied only if you Attacked with any of your other in-play MAMODO cards during this turn. [STANDBY] During the next Battle this turn when this MAMODO card Attacks, your opponent can neither SACRIFICE nor PROTECT their Spell Book from Damage.</v>
      </c>
      <c r="J564" s="39">
        <f>IFERROR(__xludf.DUMMYFUNCTION("""COMPUTED_VALUE"""),5000.0)</f>
        <v>5000</v>
      </c>
      <c r="K564" s="39" t="str">
        <f>IFERROR(__xludf.DUMMYFUNCTION("""COMPUTED_VALUE"""),"-")</f>
        <v>-</v>
      </c>
      <c r="L564" s="39" t="str">
        <f>IFERROR(__xludf.DUMMYFUNCTION("""COMPUTED_VALUE"""),"-")</f>
        <v>-</v>
      </c>
      <c r="M564" s="39" t="str">
        <f>IFERROR(__xludf.DUMMYFUNCTION("""COMPUTED_VALUE"""),"[R]")</f>
        <v>[R]</v>
      </c>
      <c r="N564" s="39" t="str">
        <f>IFERROR(__xludf.DUMMYFUNCTION("""COMPUTED_VALUE"""),"""I've never felt anything like this before... I can beat them! I know it! I can feel it!""")</f>
        <v>"I've never felt anything like this before... I can beat them! I know it! I can feel it!"</v>
      </c>
      <c r="O564" s="39"/>
      <c r="P564" s="39"/>
      <c r="Q564" s="39"/>
      <c r="R564" s="39"/>
      <c r="S564" s="39"/>
      <c r="T564" s="39"/>
      <c r="U564" s="39"/>
      <c r="V564" s="39"/>
      <c r="W564" s="39"/>
      <c r="X564" s="39"/>
      <c r="Y564" s="39"/>
      <c r="Z564" s="39"/>
    </row>
    <row r="565">
      <c r="A565" s="38" t="str">
        <f>IFERROR(__xludf.DUMMYFUNCTION("""COMPUTED_VALUE"""),"M-183")</f>
        <v>M-183</v>
      </c>
      <c r="B565" s="39" t="str">
        <f>IFERROR(__xludf.DUMMYFUNCTION("""COMPUTED_VALUE"""),"Mamodo")</f>
        <v>Mamodo</v>
      </c>
      <c r="C565" s="39" t="str">
        <f>IFERROR(__xludf.DUMMYFUNCTION("""COMPUTED_VALUE"""),"Brago")</f>
        <v>Brago</v>
      </c>
      <c r="D565" s="39" t="str">
        <f>IFERROR(__xludf.DUMMYFUNCTION("""COMPUTED_VALUE"""),"Brago")</f>
        <v>Brago</v>
      </c>
      <c r="E565" s="39" t="str">
        <f>IFERROR(__xludf.DUMMYFUNCTION("""COMPUTED_VALUE"""),"-")</f>
        <v>-</v>
      </c>
      <c r="F565" s="39" t="str">
        <f>IFERROR(__xludf.DUMMYFUNCTION("""COMPUTED_VALUE"""),"-")</f>
        <v>-</v>
      </c>
      <c r="G565" s="39" t="str">
        <f>IFERROR(__xludf.DUMMYFUNCTION("""COMPUTED_VALUE"""),"None")</f>
        <v>None</v>
      </c>
      <c r="H565" s="39" t="str">
        <f>IFERROR(__xludf.DUMMYFUNCTION("""COMPUTED_VALUE"""),"For This Very Moment")</f>
        <v>For This Very Moment</v>
      </c>
      <c r="I565" s="40" t="str">
        <f>IFERROR(__xludf.DUMMYFUNCTION("""COMPUTED_VALUE"""),"[IN PLAY] The text ""[In Play]"" on the effects of the Sherry PARTNER card attached to this MAMODO card is considered to be ""[1 MP]"" instead.")</f>
        <v>[IN PLAY] The text "[In Play]" on the effects of the Sherry PARTNER card attached to this MAMODO card is considered to be "[1 MP]" instead.</v>
      </c>
      <c r="J565" s="39">
        <f>IFERROR(__xludf.DUMMYFUNCTION("""COMPUTED_VALUE"""),5000.0)</f>
        <v>5000</v>
      </c>
      <c r="K565" s="39" t="str">
        <f>IFERROR(__xludf.DUMMYFUNCTION("""COMPUTED_VALUE"""),"-")</f>
        <v>-</v>
      </c>
      <c r="L565" s="39" t="str">
        <f>IFERROR(__xludf.DUMMYFUNCTION("""COMPUTED_VALUE"""),"-")</f>
        <v>-</v>
      </c>
      <c r="M565" s="39" t="str">
        <f>IFERROR(__xludf.DUMMYFUNCTION("""COMPUTED_VALUE"""),"[R]")</f>
        <v>[R]</v>
      </c>
      <c r="N565" s="39" t="str">
        <f>IFERROR(__xludf.DUMMYFUNCTION("""COMPUTED_VALUE"""),"""The thought of losing only brings out fear! Proceed as if you don't have anything to lose!""")</f>
        <v>"The thought of losing only brings out fear! Proceed as if you don't have anything to lose!"</v>
      </c>
      <c r="O565" s="39"/>
      <c r="P565" s="39"/>
      <c r="Q565" s="39"/>
      <c r="R565" s="39"/>
      <c r="S565" s="39"/>
      <c r="T565" s="39"/>
      <c r="U565" s="39"/>
      <c r="V565" s="39"/>
      <c r="W565" s="39"/>
      <c r="X565" s="39"/>
      <c r="Y565" s="39"/>
      <c r="Z565" s="39"/>
    </row>
    <row r="566">
      <c r="A566" s="38" t="str">
        <f>IFERROR(__xludf.DUMMYFUNCTION("""COMPUTED_VALUE"""),"M-184")</f>
        <v>M-184</v>
      </c>
      <c r="B566" s="39" t="str">
        <f>IFERROR(__xludf.DUMMYFUNCTION("""COMPUTED_VALUE"""),"Mamodo")</f>
        <v>Mamodo</v>
      </c>
      <c r="C566" s="39" t="str">
        <f>IFERROR(__xludf.DUMMYFUNCTION("""COMPUTED_VALUE"""),"Kanchome")</f>
        <v>Kanchome</v>
      </c>
      <c r="D566" s="39" t="str">
        <f>IFERROR(__xludf.DUMMYFUNCTION("""COMPUTED_VALUE"""),"Kanchome")</f>
        <v>Kanchome</v>
      </c>
      <c r="E566" s="39" t="str">
        <f>IFERROR(__xludf.DUMMYFUNCTION("""COMPUTED_VALUE"""),"-")</f>
        <v>-</v>
      </c>
      <c r="F566" s="39" t="str">
        <f>IFERROR(__xludf.DUMMYFUNCTION("""COMPUTED_VALUE"""),"-")</f>
        <v>-</v>
      </c>
      <c r="G566" s="39" t="str">
        <f>IFERROR(__xludf.DUMMYFUNCTION("""COMPUTED_VALUE"""),"None")</f>
        <v>None</v>
      </c>
      <c r="H566" s="39" t="str">
        <f>IFERROR(__xludf.DUMMYFUNCTION("""COMPUTED_VALUE"""),"Zatch?!")</f>
        <v>Zatch?!</v>
      </c>
      <c r="I566" s="40" t="str">
        <f>IFERROR(__xludf.DUMMYFUNCTION("""COMPUTED_VALUE"""),"[IN PLAY] During the Battle when your Zatch Bell MAMODO card Attacks, your opponent can neither play EVENT cards nor can they apply the effects of their in-play MAMODO cards.")</f>
        <v>[IN PLAY] During the Battle when your Zatch Bell MAMODO card Attacks, your opponent can neither play EVENT cards nor can they apply the effects of their in-play MAMODO cards.</v>
      </c>
      <c r="J566" s="39">
        <f>IFERROR(__xludf.DUMMYFUNCTION("""COMPUTED_VALUE"""),3000.0)</f>
        <v>3000</v>
      </c>
      <c r="K566" s="39" t="str">
        <f>IFERROR(__xludf.DUMMYFUNCTION("""COMPUTED_VALUE"""),"-")</f>
        <v>-</v>
      </c>
      <c r="L566" s="39" t="str">
        <f>IFERROR(__xludf.DUMMYFUNCTION("""COMPUTED_VALUE"""),"-")</f>
        <v>-</v>
      </c>
      <c r="M566" s="39" t="str">
        <f>IFERROR(__xludf.DUMMYFUNCTION("""COMPUTED_VALUE"""),"[C]")</f>
        <v>[C]</v>
      </c>
      <c r="N566" s="39" t="str">
        <f>IFERROR(__xludf.DUMMYFUNCTION("""COMPUTED_VALUE"""),"This is the person that Demolt mistook for Zatch?!")</f>
        <v>This is the person that Demolt mistook for Zatch?!</v>
      </c>
      <c r="O566" s="39"/>
      <c r="P566" s="39"/>
      <c r="Q566" s="39"/>
      <c r="R566" s="39"/>
      <c r="S566" s="39"/>
      <c r="T566" s="39"/>
      <c r="U566" s="39"/>
      <c r="V566" s="39"/>
      <c r="W566" s="39"/>
      <c r="X566" s="39"/>
      <c r="Y566" s="39"/>
      <c r="Z566" s="39"/>
    </row>
    <row r="567">
      <c r="A567" s="38" t="str">
        <f>IFERROR(__xludf.DUMMYFUNCTION("""COMPUTED_VALUE"""),"M-185")</f>
        <v>M-185</v>
      </c>
      <c r="B567" s="39" t="str">
        <f>IFERROR(__xludf.DUMMYFUNCTION("""COMPUTED_VALUE"""),"Mamodo")</f>
        <v>Mamodo</v>
      </c>
      <c r="C567" s="39" t="str">
        <f>IFERROR(__xludf.DUMMYFUNCTION("""COMPUTED_VALUE"""),"Zofis")</f>
        <v>Zofis</v>
      </c>
      <c r="D567" s="39" t="str">
        <f>IFERROR(__xludf.DUMMYFUNCTION("""COMPUTED_VALUE"""),"Zofis")</f>
        <v>Zofis</v>
      </c>
      <c r="E567" s="39" t="str">
        <f>IFERROR(__xludf.DUMMYFUNCTION("""COMPUTED_VALUE"""),"-")</f>
        <v>-</v>
      </c>
      <c r="F567" s="39" t="str">
        <f>IFERROR(__xludf.DUMMYFUNCTION("""COMPUTED_VALUE"""),"-")</f>
        <v>-</v>
      </c>
      <c r="G567" s="39" t="str">
        <f>IFERROR(__xludf.DUMMYFUNCTION("""COMPUTED_VALUE"""),"None")</f>
        <v>None</v>
      </c>
      <c r="H567" s="39" t="str">
        <f>IFERROR(__xludf.DUMMYFUNCTION("""COMPUTED_VALUE"""),"Telling Lies")</f>
        <v>Telling Lies</v>
      </c>
      <c r="I567" s="40" t="str">
        <f>IFERROR(__xludf.DUMMYFUNCTION("""COMPUTED_VALUE"""),"[2 MP] Select 1 of your opponent's in-play PARTNER cards and attach it to this MAMODO card. ● 1 additional PARTNER card can be attached separate from the Koko card. ● The PARTNER card's effect can be applied as if it were your own. ● When it is dicarded, "&amp;"move it to an empty page of its owner's Book.")</f>
        <v>[2 MP] Select 1 of your opponent's in-play PARTNER cards and attach it to this MAMODO card. ● 1 additional PARTNER card can be attached separate from the Koko card. ● The PARTNER card's effect can be applied as if it were your own. ● When it is dicarded, move it to an empty page of its owner's Book.</v>
      </c>
      <c r="J567" s="39">
        <f>IFERROR(__xludf.DUMMYFUNCTION("""COMPUTED_VALUE"""),5500.0)</f>
        <v>5500</v>
      </c>
      <c r="K567" s="39" t="str">
        <f>IFERROR(__xludf.DUMMYFUNCTION("""COMPUTED_VALUE"""),"-")</f>
        <v>-</v>
      </c>
      <c r="L567" s="39" t="str">
        <f>IFERROR(__xludf.DUMMYFUNCTION("""COMPUTED_VALUE"""),"-")</f>
        <v>-</v>
      </c>
      <c r="M567" s="39" t="str">
        <f>IFERROR(__xludf.DUMMYFUNCTION("""COMPUTED_VALUE"""),"[R]")</f>
        <v>[R]</v>
      </c>
      <c r="N567" s="39" t="str">
        <f>IFERROR(__xludf.DUMMYFUNCTION("""COMPUTED_VALUE"""),"""The destruction of a human's heart always makes me smile.""")</f>
        <v>"The destruction of a human's heart always makes me smile."</v>
      </c>
      <c r="O567" s="39"/>
      <c r="P567" s="39"/>
      <c r="Q567" s="39"/>
      <c r="R567" s="39"/>
      <c r="S567" s="39"/>
      <c r="T567" s="39"/>
      <c r="U567" s="39"/>
      <c r="V567" s="39"/>
      <c r="W567" s="39"/>
      <c r="X567" s="39"/>
      <c r="Y567" s="39"/>
      <c r="Z567" s="39"/>
    </row>
    <row r="568">
      <c r="A568" s="38" t="str">
        <f>IFERROR(__xludf.DUMMYFUNCTION("""COMPUTED_VALUE"""),"M-186")</f>
        <v>M-186</v>
      </c>
      <c r="B568" s="39" t="str">
        <f>IFERROR(__xludf.DUMMYFUNCTION("""COMPUTED_VALUE"""),"Mamodo")</f>
        <v>Mamodo</v>
      </c>
      <c r="C568" s="39" t="str">
        <f>IFERROR(__xludf.DUMMYFUNCTION("""COMPUTED_VALUE"""),"Penny")</f>
        <v>Penny</v>
      </c>
      <c r="D568" s="39" t="str">
        <f>IFERROR(__xludf.DUMMYFUNCTION("""COMPUTED_VALUE"""),"Penny")</f>
        <v>Penny</v>
      </c>
      <c r="E568" s="39" t="str">
        <f>IFERROR(__xludf.DUMMYFUNCTION("""COMPUTED_VALUE"""),"-")</f>
        <v>-</v>
      </c>
      <c r="F568" s="39" t="str">
        <f>IFERROR(__xludf.DUMMYFUNCTION("""COMPUTED_VALUE"""),"-")</f>
        <v>-</v>
      </c>
      <c r="G568" s="39" t="str">
        <f>IFERROR(__xludf.DUMMYFUNCTION("""COMPUTED_VALUE"""),"None")</f>
        <v>None</v>
      </c>
      <c r="H568" s="39" t="str">
        <f>IFERROR(__xludf.DUMMYFUNCTION("""COMPUTED_VALUE"""),"One Last Move")</f>
        <v>One Last Move</v>
      </c>
      <c r="I568" s="40" t="str">
        <f>IFERROR(__xludf.DUMMYFUNCTION("""COMPUTED_VALUE"""),"[SEND THIS CARD TO THE DISCARD PILE] Send the card from the last page of your opponent's Spell Book to the Discard Pile (this effect does not allow you to look at the pages of their Spell Book). This effect can be applied only once per game (per player).")</f>
        <v>[SEND THIS CARD TO THE DISCARD PILE] Send the card from the last page of your opponent's Spell Book to the Discard Pile (this effect does not allow you to look at the pages of their Spell Book). This effect can be applied only once per game (per player).</v>
      </c>
      <c r="J568" s="39">
        <f>IFERROR(__xludf.DUMMYFUNCTION("""COMPUTED_VALUE"""),4000.0)</f>
        <v>4000</v>
      </c>
      <c r="K568" s="39" t="str">
        <f>IFERROR(__xludf.DUMMYFUNCTION("""COMPUTED_VALUE"""),"-")</f>
        <v>-</v>
      </c>
      <c r="L568" s="39" t="str">
        <f>IFERROR(__xludf.DUMMYFUNCTION("""COMPUTED_VALUE"""),"-")</f>
        <v>-</v>
      </c>
      <c r="M568" s="39" t="str">
        <f>IFERROR(__xludf.DUMMYFUNCTION("""COMPUTED_VALUE"""),"[R]")</f>
        <v>[R]</v>
      </c>
      <c r="N568" s="39" t="str">
        <f>IFERROR(__xludf.DUMMYFUNCTION("""COMPUTED_VALUE"""),"""I'm gonna make one last move! Please, do exactly as I say!""")</f>
        <v>"I'm gonna make one last move! Please, do exactly as I say!"</v>
      </c>
      <c r="O568" s="39"/>
      <c r="P568" s="39"/>
      <c r="Q568" s="39"/>
      <c r="R568" s="39"/>
      <c r="S568" s="39"/>
      <c r="T568" s="39"/>
      <c r="U568" s="39"/>
      <c r="V568" s="39"/>
      <c r="W568" s="39"/>
      <c r="X568" s="39"/>
      <c r="Y568" s="39"/>
      <c r="Z568" s="39"/>
    </row>
    <row r="569">
      <c r="A569" s="38" t="str">
        <f>IFERROR(__xludf.DUMMYFUNCTION("""COMPUTED_VALUE"""),"M-187")</f>
        <v>M-187</v>
      </c>
      <c r="B569" s="39" t="str">
        <f>IFERROR(__xludf.DUMMYFUNCTION("""COMPUTED_VALUE"""),"Mamodo")</f>
        <v>Mamodo</v>
      </c>
      <c r="C569" s="39" t="str">
        <f>IFERROR(__xludf.DUMMYFUNCTION("""COMPUTED_VALUE"""),"Byonko")</f>
        <v>Byonko</v>
      </c>
      <c r="D569" s="39" t="str">
        <f>IFERROR(__xludf.DUMMYFUNCTION("""COMPUTED_VALUE"""),"Byonko")</f>
        <v>Byonko</v>
      </c>
      <c r="E569" s="39" t="str">
        <f>IFERROR(__xludf.DUMMYFUNCTION("""COMPUTED_VALUE"""),"-")</f>
        <v>-</v>
      </c>
      <c r="F569" s="39" t="str">
        <f>IFERROR(__xludf.DUMMYFUNCTION("""COMPUTED_VALUE"""),"-")</f>
        <v>-</v>
      </c>
      <c r="G569" s="39" t="str">
        <f>IFERROR(__xludf.DUMMYFUNCTION("""COMPUTED_VALUE"""),"None")</f>
        <v>None</v>
      </c>
      <c r="H569" s="39" t="str">
        <f>IFERROR(__xludf.DUMMYFUNCTION("""COMPUTED_VALUE"""),"Cool Byonko")</f>
        <v>Cool Byonko</v>
      </c>
      <c r="I569" s="40" t="str">
        <f>IFERROR(__xludf.DUMMYFUNCTION("""COMPUTED_VALUE"""),"[SEND THIS CARD TO THE DISCARD PILE] [STAY] Select 1 of your opponent's in-play cards. They cannot apply the effects of the selected card during this turn.")</f>
        <v>[SEND THIS CARD TO THE DISCARD PILE] [STAY] Select 1 of your opponent's in-play cards. They cannot apply the effects of the selected card during this turn.</v>
      </c>
      <c r="J569" s="39">
        <f>IFERROR(__xludf.DUMMYFUNCTION("""COMPUTED_VALUE"""),3000.0)</f>
        <v>3000</v>
      </c>
      <c r="K569" s="39" t="str">
        <f>IFERROR(__xludf.DUMMYFUNCTION("""COMPUTED_VALUE"""),"-")</f>
        <v>-</v>
      </c>
      <c r="L569" s="39" t="str">
        <f>IFERROR(__xludf.DUMMYFUNCTION("""COMPUTED_VALUE"""),"-")</f>
        <v>-</v>
      </c>
      <c r="M569" s="39" t="str">
        <f>IFERROR(__xludf.DUMMYFUNCTION("""COMPUTED_VALUE"""),"[R]")</f>
        <v>[R]</v>
      </c>
      <c r="N569" s="39" t="str">
        <f>IFERROR(__xludf.DUMMYFUNCTION("""COMPUTED_VALUE"""),"""I am Byonko! The super cool Byonko!""")</f>
        <v>"I am Byonko! The super cool Byonko!"</v>
      </c>
      <c r="O569" s="39"/>
      <c r="P569" s="39"/>
      <c r="Q569" s="39"/>
      <c r="R569" s="39"/>
      <c r="S569" s="39"/>
      <c r="T569" s="39"/>
      <c r="U569" s="39"/>
      <c r="V569" s="39"/>
      <c r="W569" s="39"/>
      <c r="X569" s="39"/>
      <c r="Y569" s="39"/>
      <c r="Z569" s="39"/>
    </row>
    <row r="570">
      <c r="A570" s="38" t="str">
        <f>IFERROR(__xludf.DUMMYFUNCTION("""COMPUTED_VALUE"""),"M-188")</f>
        <v>M-188</v>
      </c>
      <c r="B570" s="39" t="str">
        <f>IFERROR(__xludf.DUMMYFUNCTION("""COMPUTED_VALUE"""),"Stone Tablet Mamodo")</f>
        <v>Stone Tablet Mamodo</v>
      </c>
      <c r="C570" s="39" t="str">
        <f>IFERROR(__xludf.DUMMYFUNCTION("""COMPUTED_VALUE"""),"Badios")</f>
        <v>Badios</v>
      </c>
      <c r="D570" s="39" t="str">
        <f>IFERROR(__xludf.DUMMYFUNCTION("""COMPUTED_VALUE"""),"Badios")</f>
        <v>Badios</v>
      </c>
      <c r="E570" s="39" t="str">
        <f>IFERROR(__xludf.DUMMYFUNCTION("""COMPUTED_VALUE"""),"-")</f>
        <v>-</v>
      </c>
      <c r="F570" s="39" t="str">
        <f>IFERROR(__xludf.DUMMYFUNCTION("""COMPUTED_VALUE"""),"-")</f>
        <v>-</v>
      </c>
      <c r="G570" s="39" t="str">
        <f>IFERROR(__xludf.DUMMYFUNCTION("""COMPUTED_VALUE"""),"None")</f>
        <v>None</v>
      </c>
      <c r="H570" s="39" t="str">
        <f>IFERROR(__xludf.DUMMYFUNCTION("""COMPUTED_VALUE"""),"Withdraw")</f>
        <v>Withdraw</v>
      </c>
      <c r="I570" s="40" t="str">
        <f>IFERROR(__xludf.DUMMYFUNCTION("""COMPUTED_VALUE"""),"[IN PLAY] Put all of your in-play MAMODO cards in Flight Status. [1 MP] Move 1 of your in-play MAMODO cards (this card may be selected) to an empty page of your Spell Book.")</f>
        <v>[IN PLAY] Put all of your in-play MAMODO cards in Flight Status. [1 MP] Move 1 of your in-play MAMODO cards (this card may be selected) to an empty page of your Spell Book.</v>
      </c>
      <c r="J570" s="39">
        <f>IFERROR(__xludf.DUMMYFUNCTION("""COMPUTED_VALUE"""),3000.0)</f>
        <v>3000</v>
      </c>
      <c r="K570" s="39" t="str">
        <f>IFERROR(__xludf.DUMMYFUNCTION("""COMPUTED_VALUE"""),"-")</f>
        <v>-</v>
      </c>
      <c r="L570" s="39" t="str">
        <f>IFERROR(__xludf.DUMMYFUNCTION("""COMPUTED_VALUE"""),"-")</f>
        <v>-</v>
      </c>
      <c r="M570" s="39" t="str">
        <f>IFERROR(__xludf.DUMMYFUNCTION("""COMPUTED_VALUE"""),"[C]")</f>
        <v>[C]</v>
      </c>
      <c r="N570" s="39" t="str">
        <f>IFERROR(__xludf.DUMMYFUNCTION("""COMPUTED_VALUE"""),"A flying beast that Penny and her assigned group of mamodo ride on for aerial transportation.")</f>
        <v>A flying beast that Penny and her assigned group of mamodo ride on for aerial transportation.</v>
      </c>
      <c r="O570" s="39"/>
      <c r="P570" s="39"/>
      <c r="Q570" s="39"/>
      <c r="R570" s="39"/>
      <c r="S570" s="39"/>
      <c r="T570" s="39"/>
      <c r="U570" s="39"/>
      <c r="V570" s="39"/>
      <c r="W570" s="39"/>
      <c r="X570" s="39"/>
      <c r="Y570" s="39"/>
      <c r="Z570" s="39"/>
    </row>
    <row r="571">
      <c r="A571" s="38" t="str">
        <f>IFERROR(__xludf.DUMMYFUNCTION("""COMPUTED_VALUE"""),"M-189")</f>
        <v>M-189</v>
      </c>
      <c r="B571" s="39" t="str">
        <f>IFERROR(__xludf.DUMMYFUNCTION("""COMPUTED_VALUE"""),"Stone Tablet Mamodo")</f>
        <v>Stone Tablet Mamodo</v>
      </c>
      <c r="C571" s="39" t="str">
        <f>IFERROR(__xludf.DUMMYFUNCTION("""COMPUTED_VALUE"""),"Ferius")</f>
        <v>Ferius</v>
      </c>
      <c r="D571" s="39" t="str">
        <f>IFERROR(__xludf.DUMMYFUNCTION("""COMPUTED_VALUE"""),"Ferius")</f>
        <v>Ferius</v>
      </c>
      <c r="E571" s="39" t="str">
        <f>IFERROR(__xludf.DUMMYFUNCTION("""COMPUTED_VALUE"""),"-")</f>
        <v>-</v>
      </c>
      <c r="F571" s="39" t="str">
        <f>IFERROR(__xludf.DUMMYFUNCTION("""COMPUTED_VALUE"""),"-")</f>
        <v>-</v>
      </c>
      <c r="G571" s="39" t="str">
        <f>IFERROR(__xludf.DUMMYFUNCTION("""COMPUTED_VALUE"""),"None")</f>
        <v>None</v>
      </c>
      <c r="H571" s="39" t="str">
        <f>IFERROR(__xludf.DUMMYFUNCTION("""COMPUTED_VALUE"""),"Capture")</f>
        <v>Capture</v>
      </c>
      <c r="I571" s="40" t="str">
        <f>IFERROR(__xludf.DUMMYFUNCTION("""COMPUTED_VALUE"""),"[IN PLAY] Put all of your in-play MAMODO cards in Flight Status. [2 MP] [STAY] Select 1 of your opponent's in-play MAMODO cards. The selected MAMODO card cannot be selected as a target for your opponent's card effects during this turn.")</f>
        <v>[IN PLAY] Put all of your in-play MAMODO cards in Flight Status. [2 MP] [STAY] Select 1 of your opponent's in-play MAMODO cards. The selected MAMODO card cannot be selected as a target for your opponent's card effects during this turn.</v>
      </c>
      <c r="J571" s="39">
        <f>IFERROR(__xludf.DUMMYFUNCTION("""COMPUTED_VALUE"""),3000.0)</f>
        <v>3000</v>
      </c>
      <c r="K571" s="39" t="str">
        <f>IFERROR(__xludf.DUMMYFUNCTION("""COMPUTED_VALUE"""),"-")</f>
        <v>-</v>
      </c>
      <c r="L571" s="39" t="str">
        <f>IFERROR(__xludf.DUMMYFUNCTION("""COMPUTED_VALUE"""),"-")</f>
        <v>-</v>
      </c>
      <c r="M571" s="39" t="str">
        <f>IFERROR(__xludf.DUMMYFUNCTION("""COMPUTED_VALUE"""),"[C]")</f>
        <v>[C]</v>
      </c>
      <c r="N571" s="39" t="str">
        <f>IFERROR(__xludf.DUMMYFUNCTION("""COMPUTED_VALUE"""),"He tried to apprehend Tia on Byonko's order, but...")</f>
        <v>He tried to apprehend Tia on Byonko's order, but...</v>
      </c>
      <c r="O571" s="39"/>
      <c r="P571" s="39"/>
      <c r="Q571" s="39"/>
      <c r="R571" s="39"/>
      <c r="S571" s="39"/>
      <c r="T571" s="39"/>
      <c r="U571" s="39"/>
      <c r="V571" s="39"/>
      <c r="W571" s="39"/>
      <c r="X571" s="39"/>
      <c r="Y571" s="39"/>
      <c r="Z571" s="39"/>
    </row>
    <row r="572">
      <c r="A572" s="38" t="str">
        <f>IFERROR(__xludf.DUMMYFUNCTION("""COMPUTED_VALUE"""),"M-190")</f>
        <v>M-190</v>
      </c>
      <c r="B572" s="39" t="str">
        <f>IFERROR(__xludf.DUMMYFUNCTION("""COMPUTED_VALUE"""),"Stone Tablet Mamodo")</f>
        <v>Stone Tablet Mamodo</v>
      </c>
      <c r="C572" s="39" t="str">
        <f>IFERROR(__xludf.DUMMYFUNCTION("""COMPUTED_VALUE"""),"Bamu")</f>
        <v>Bamu</v>
      </c>
      <c r="D572" s="39" t="str">
        <f>IFERROR(__xludf.DUMMYFUNCTION("""COMPUTED_VALUE"""),"Bamu")</f>
        <v>Bamu</v>
      </c>
      <c r="E572" s="39" t="str">
        <f>IFERROR(__xludf.DUMMYFUNCTION("""COMPUTED_VALUE"""),"-")</f>
        <v>-</v>
      </c>
      <c r="F572" s="39" t="str">
        <f>IFERROR(__xludf.DUMMYFUNCTION("""COMPUTED_VALUE"""),"-")</f>
        <v>-</v>
      </c>
      <c r="G572" s="39" t="str">
        <f>IFERROR(__xludf.DUMMYFUNCTION("""COMPUTED_VALUE"""),"None")</f>
        <v>None</v>
      </c>
      <c r="H572" s="39" t="str">
        <f>IFERROR(__xludf.DUMMYFUNCTION("""COMPUTED_VALUE"""),"Don't Underestimate Me!")</f>
        <v>Don't Underestimate Me!</v>
      </c>
      <c r="I572" s="40" t="str">
        <f>IFERROR(__xludf.DUMMYFUNCTION("""COMPUTED_VALUE"""),"[IN PLAY] When you have 3 Stone Tablet MAMODO cards in play, your opponent cannot apply effects that send your in-play MAMODO cards to the Discard Pile (except from Damage or Injury).")</f>
        <v>[IN PLAY] When you have 3 Stone Tablet MAMODO cards in play, your opponent cannot apply effects that send your in-play MAMODO cards to the Discard Pile (except from Damage or Injury).</v>
      </c>
      <c r="J572" s="39">
        <f>IFERROR(__xludf.DUMMYFUNCTION("""COMPUTED_VALUE"""),3500.0)</f>
        <v>3500</v>
      </c>
      <c r="K572" s="39" t="str">
        <f>IFERROR(__xludf.DUMMYFUNCTION("""COMPUTED_VALUE"""),"-")</f>
        <v>-</v>
      </c>
      <c r="L572" s="39" t="str">
        <f>IFERROR(__xludf.DUMMYFUNCTION("""COMPUTED_VALUE"""),"-")</f>
        <v>-</v>
      </c>
      <c r="M572" s="39" t="str">
        <f>IFERROR(__xludf.DUMMYFUNCTION("""COMPUTED_VALUE"""),"[C]")</f>
        <v>[C]</v>
      </c>
      <c r="N572" s="39" t="str">
        <f>IFERROR(__xludf.DUMMYFUNCTION("""COMPUTED_VALUE"""),"""He battled against Brago in the mountains of France...""")</f>
        <v>"He battled against Brago in the mountains of France..."</v>
      </c>
      <c r="O572" s="39"/>
      <c r="P572" s="39"/>
      <c r="Q572" s="39"/>
      <c r="R572" s="39"/>
      <c r="S572" s="39"/>
      <c r="T572" s="39"/>
      <c r="U572" s="39"/>
      <c r="V572" s="39"/>
      <c r="W572" s="39"/>
      <c r="X572" s="39"/>
      <c r="Y572" s="39"/>
      <c r="Z572" s="39"/>
    </row>
    <row r="573">
      <c r="A573" s="38" t="str">
        <f>IFERROR(__xludf.DUMMYFUNCTION("""COMPUTED_VALUE"""),"M-191")</f>
        <v>M-191</v>
      </c>
      <c r="B573" s="39" t="str">
        <f>IFERROR(__xludf.DUMMYFUNCTION("""COMPUTED_VALUE"""),"Stone Tablet Mamodo")</f>
        <v>Stone Tablet Mamodo</v>
      </c>
      <c r="C573" s="39" t="str">
        <f>IFERROR(__xludf.DUMMYFUNCTION("""COMPUTED_VALUE"""),"Faust")</f>
        <v>Faust</v>
      </c>
      <c r="D573" s="39" t="str">
        <f>IFERROR(__xludf.DUMMYFUNCTION("""COMPUTED_VALUE"""),"Faust")</f>
        <v>Faust</v>
      </c>
      <c r="E573" s="39" t="str">
        <f>IFERROR(__xludf.DUMMYFUNCTION("""COMPUTED_VALUE"""),"-")</f>
        <v>-</v>
      </c>
      <c r="F573" s="39" t="str">
        <f>IFERROR(__xludf.DUMMYFUNCTION("""COMPUTED_VALUE"""),"-")</f>
        <v>-</v>
      </c>
      <c r="G573" s="39" t="str">
        <f>IFERROR(__xludf.DUMMYFUNCTION("""COMPUTED_VALUE"""),"None")</f>
        <v>None</v>
      </c>
      <c r="H573" s="39" t="str">
        <f>IFERROR(__xludf.DUMMYFUNCTION("""COMPUTED_VALUE"""),"Silent Ruler")</f>
        <v>Silent Ruler</v>
      </c>
      <c r="I573" s="40" t="str">
        <f>IFERROR(__xludf.DUMMYFUNCTION("""COMPUTED_VALUE"""),"[IN PLAY] When you have 3 Stone Tablet MAMODO cards in play, your opponent cannot play SPELL cards with a 1 MP cost.")</f>
        <v>[IN PLAY] When you have 3 Stone Tablet MAMODO cards in play, your opponent cannot play SPELL cards with a 1 MP cost.</v>
      </c>
      <c r="J573" s="39">
        <f>IFERROR(__xludf.DUMMYFUNCTION("""COMPUTED_VALUE"""),4000.0)</f>
        <v>4000</v>
      </c>
      <c r="K573" s="39" t="str">
        <f>IFERROR(__xludf.DUMMYFUNCTION("""COMPUTED_VALUE"""),"-")</f>
        <v>-</v>
      </c>
      <c r="L573" s="39" t="str">
        <f>IFERROR(__xludf.DUMMYFUNCTION("""COMPUTED_VALUE"""),"-")</f>
        <v>-</v>
      </c>
      <c r="M573" s="39" t="str">
        <f>IFERROR(__xludf.DUMMYFUNCTION("""COMPUTED_VALUE"""),"[U]")</f>
        <v>[U]</v>
      </c>
      <c r="N573" s="39" t="str">
        <f>IFERROR(__xludf.DUMMYFUNCTION("""COMPUTED_VALUE"""),"One of the Silent Rulers. He carries a sword with him into battle and excels at close combat.")</f>
        <v>One of the Silent Rulers. He carries a sword with him into battle and excels at close combat.</v>
      </c>
      <c r="O573" s="39"/>
      <c r="P573" s="39"/>
      <c r="Q573" s="39"/>
      <c r="R573" s="39"/>
      <c r="S573" s="39"/>
      <c r="T573" s="39"/>
      <c r="U573" s="39"/>
      <c r="V573" s="39"/>
      <c r="W573" s="39"/>
      <c r="X573" s="39"/>
      <c r="Y573" s="39"/>
      <c r="Z573" s="39"/>
    </row>
    <row r="574">
      <c r="A574" s="38" t="str">
        <f>IFERROR(__xludf.DUMMYFUNCTION("""COMPUTED_VALUE"""),"M-192")</f>
        <v>M-192</v>
      </c>
      <c r="B574" s="39" t="str">
        <f>IFERROR(__xludf.DUMMYFUNCTION("""COMPUTED_VALUE"""),"Stone Tablet Mamodo")</f>
        <v>Stone Tablet Mamodo</v>
      </c>
      <c r="C574" s="39" t="str">
        <f>IFERROR(__xludf.DUMMYFUNCTION("""COMPUTED_VALUE"""),"Zwei")</f>
        <v>Zwei</v>
      </c>
      <c r="D574" s="39" t="str">
        <f>IFERROR(__xludf.DUMMYFUNCTION("""COMPUTED_VALUE"""),"Zwei")</f>
        <v>Zwei</v>
      </c>
      <c r="E574" s="39" t="str">
        <f>IFERROR(__xludf.DUMMYFUNCTION("""COMPUTED_VALUE"""),"-")</f>
        <v>-</v>
      </c>
      <c r="F574" s="39" t="str">
        <f>IFERROR(__xludf.DUMMYFUNCTION("""COMPUTED_VALUE"""),"-")</f>
        <v>-</v>
      </c>
      <c r="G574" s="39" t="str">
        <f>IFERROR(__xludf.DUMMYFUNCTION("""COMPUTED_VALUE"""),"None")</f>
        <v>None</v>
      </c>
      <c r="H574" s="39" t="str">
        <f>IFERROR(__xludf.DUMMYFUNCTION("""COMPUTED_VALUE"""),"Silent Ruler")</f>
        <v>Silent Ruler</v>
      </c>
      <c r="I574" s="40" t="str">
        <f>IFERROR(__xludf.DUMMYFUNCTION("""COMPUTED_VALUE"""),"[IN PLAY] When you have 3 Stone Tablet MAMODO cards in play, your opponent cannot play SPELL cards with a 2 MP cost.")</f>
        <v>[IN PLAY] When you have 3 Stone Tablet MAMODO cards in play, your opponent cannot play SPELL cards with a 2 MP cost.</v>
      </c>
      <c r="J574" s="39">
        <f>IFERROR(__xludf.DUMMYFUNCTION("""COMPUTED_VALUE"""),4000.0)</f>
        <v>4000</v>
      </c>
      <c r="K574" s="39" t="str">
        <f>IFERROR(__xludf.DUMMYFUNCTION("""COMPUTED_VALUE"""),"-")</f>
        <v>-</v>
      </c>
      <c r="L574" s="39" t="str">
        <f>IFERROR(__xludf.DUMMYFUNCTION("""COMPUTED_VALUE"""),"-")</f>
        <v>-</v>
      </c>
      <c r="M574" s="39" t="str">
        <f>IFERROR(__xludf.DUMMYFUNCTION("""COMPUTED_VALUE"""),"[U]")</f>
        <v>[U]</v>
      </c>
      <c r="N574" s="39" t="str">
        <f>IFERROR(__xludf.DUMMYFUNCTION("""COMPUTED_VALUE"""),"One of the Silent Rulers. He specializes in mid-range attacks that make use of the ground.")</f>
        <v>One of the Silent Rulers. He specializes in mid-range attacks that make use of the ground.</v>
      </c>
      <c r="O574" s="39"/>
      <c r="P574" s="39"/>
      <c r="Q574" s="39"/>
      <c r="R574" s="39"/>
      <c r="S574" s="39"/>
      <c r="T574" s="39"/>
      <c r="U574" s="39"/>
      <c r="V574" s="39"/>
      <c r="W574" s="39"/>
      <c r="X574" s="39"/>
      <c r="Y574" s="39"/>
      <c r="Z574" s="39"/>
    </row>
    <row r="575">
      <c r="A575" s="38" t="str">
        <f>IFERROR(__xludf.DUMMYFUNCTION("""COMPUTED_VALUE"""),"M-193")</f>
        <v>M-193</v>
      </c>
      <c r="B575" s="39" t="str">
        <f>IFERROR(__xludf.DUMMYFUNCTION("""COMPUTED_VALUE"""),"Stone Tablet Mamodo")</f>
        <v>Stone Tablet Mamodo</v>
      </c>
      <c r="C575" s="39" t="str">
        <f>IFERROR(__xludf.DUMMYFUNCTION("""COMPUTED_VALUE"""),"Trois")</f>
        <v>Trois</v>
      </c>
      <c r="D575" s="39" t="str">
        <f>IFERROR(__xludf.DUMMYFUNCTION("""COMPUTED_VALUE"""),"Trois")</f>
        <v>Trois</v>
      </c>
      <c r="E575" s="39" t="str">
        <f>IFERROR(__xludf.DUMMYFUNCTION("""COMPUTED_VALUE"""),"-")</f>
        <v>-</v>
      </c>
      <c r="F575" s="39" t="str">
        <f>IFERROR(__xludf.DUMMYFUNCTION("""COMPUTED_VALUE"""),"-")</f>
        <v>-</v>
      </c>
      <c r="G575" s="39" t="str">
        <f>IFERROR(__xludf.DUMMYFUNCTION("""COMPUTED_VALUE"""),"None")</f>
        <v>None</v>
      </c>
      <c r="H575" s="39" t="str">
        <f>IFERROR(__xludf.DUMMYFUNCTION("""COMPUTED_VALUE"""),"Silent Ruler")</f>
        <v>Silent Ruler</v>
      </c>
      <c r="I575" s="40" t="str">
        <f>IFERROR(__xludf.DUMMYFUNCTION("""COMPUTED_VALUE"""),"[IN PLAY] When you have 3 Stone Tablet MAMODO cards in play, your opponent cannot play SPELL cards with a 3 MP cost. [DECLARE TO USE] [STAY] Put this MAMODO card in Flight Status during this turn.")</f>
        <v>[IN PLAY] When you have 3 Stone Tablet MAMODO cards in play, your opponent cannot play SPELL cards with a 3 MP cost. [DECLARE TO USE] [STAY] Put this MAMODO card in Flight Status during this turn.</v>
      </c>
      <c r="J575" s="39">
        <f>IFERROR(__xludf.DUMMYFUNCTION("""COMPUTED_VALUE"""),4000.0)</f>
        <v>4000</v>
      </c>
      <c r="K575" s="39" t="str">
        <f>IFERROR(__xludf.DUMMYFUNCTION("""COMPUTED_VALUE"""),"-")</f>
        <v>-</v>
      </c>
      <c r="L575" s="39" t="str">
        <f>IFERROR(__xludf.DUMMYFUNCTION("""COMPUTED_VALUE"""),"-")</f>
        <v>-</v>
      </c>
      <c r="M575" s="39" t="str">
        <f>IFERROR(__xludf.DUMMYFUNCTION("""COMPUTED_VALUE"""),"[U]")</f>
        <v>[U]</v>
      </c>
      <c r="N575" s="39" t="str">
        <f>IFERROR(__xludf.DUMMYFUNCTION("""COMPUTED_VALUE"""),"One of the Silent Rulers. He is capable of flight and adept at attacking from a long distance away.")</f>
        <v>One of the Silent Rulers. He is capable of flight and adept at attacking from a long distance away.</v>
      </c>
      <c r="O575" s="39"/>
      <c r="P575" s="39"/>
      <c r="Q575" s="39"/>
      <c r="R575" s="39"/>
      <c r="S575" s="39"/>
      <c r="T575" s="39"/>
      <c r="U575" s="39"/>
      <c r="V575" s="39"/>
      <c r="W575" s="39"/>
      <c r="X575" s="39"/>
      <c r="Y575" s="39"/>
      <c r="Z575" s="39"/>
    </row>
    <row r="576">
      <c r="A576" s="38" t="str">
        <f>IFERROR(__xludf.DUMMYFUNCTION("""COMPUTED_VALUE"""),"M-194")</f>
        <v>M-194</v>
      </c>
      <c r="B576" s="39" t="str">
        <f>IFERROR(__xludf.DUMMYFUNCTION("""COMPUTED_VALUE"""),"Stone Tablet Mamodo")</f>
        <v>Stone Tablet Mamodo</v>
      </c>
      <c r="C576" s="39" t="str">
        <f>IFERROR(__xludf.DUMMYFUNCTION("""COMPUTED_VALUE"""),"Victoream")</f>
        <v>Victoream</v>
      </c>
      <c r="D576" s="39" t="str">
        <f>IFERROR(__xludf.DUMMYFUNCTION("""COMPUTED_VALUE"""),"Victoream")</f>
        <v>Victoream</v>
      </c>
      <c r="E576" s="39" t="str">
        <f>IFERROR(__xludf.DUMMYFUNCTION("""COMPUTED_VALUE"""),"-")</f>
        <v>-</v>
      </c>
      <c r="F576" s="39" t="str">
        <f>IFERROR(__xludf.DUMMYFUNCTION("""COMPUTED_VALUE"""),"-")</f>
        <v>-</v>
      </c>
      <c r="G576" s="39" t="str">
        <f>IFERROR(__xludf.DUMMYFUNCTION("""COMPUTED_VALUE"""),"None")</f>
        <v>None</v>
      </c>
      <c r="H576" s="39" t="str">
        <f>IFERROR(__xludf.DUMMYFUNCTION("""COMPUTED_VALUE"""),"I'm Baaack!")</f>
        <v>I'm Baaack!</v>
      </c>
      <c r="I576" s="40" t="str">
        <f>IFERROR(__xludf.DUMMYFUNCTION("""COMPUTED_VALUE"""),"[DECLARE TO USE] [STANDBY] After applying this effect, only once during this game (per player), you can move both this card and up to 1 other MAMODO card from your Discard Pile into play during your START PHASE.")</f>
        <v>[DECLARE TO USE] [STANDBY] After applying this effect, only once during this game (per player), you can move both this card and up to 1 other MAMODO card from your Discard Pile into play during your START PHASE.</v>
      </c>
      <c r="J576" s="39">
        <f>IFERROR(__xludf.DUMMYFUNCTION("""COMPUTED_VALUE"""),4500.0)</f>
        <v>4500</v>
      </c>
      <c r="K576" s="39" t="str">
        <f>IFERROR(__xludf.DUMMYFUNCTION("""COMPUTED_VALUE"""),"-")</f>
        <v>-</v>
      </c>
      <c r="L576" s="39" t="str">
        <f>IFERROR(__xludf.DUMMYFUNCTION("""COMPUTED_VALUE"""),"-")</f>
        <v>-</v>
      </c>
      <c r="M576" s="39" t="str">
        <f>IFERROR(__xludf.DUMMYFUNCTION("""COMPUTED_VALUE"""),"[SR]")</f>
        <v>[SR]</v>
      </c>
      <c r="N576" s="39" t="str">
        <f>IFERROR(__xludf.DUMMYFUNCTION("""COMPUTED_VALUE"""),"""Big wheelie! Come on!""")</f>
        <v>"Big wheelie! Come on!"</v>
      </c>
      <c r="O576" s="39"/>
      <c r="P576" s="39"/>
      <c r="Q576" s="39"/>
      <c r="R576" s="39"/>
      <c r="S576" s="39"/>
      <c r="T576" s="39"/>
      <c r="U576" s="39"/>
      <c r="V576" s="39"/>
      <c r="W576" s="39"/>
      <c r="X576" s="39"/>
      <c r="Y576" s="39"/>
      <c r="Z576" s="39"/>
    </row>
    <row r="577">
      <c r="A577" s="41" t="str">
        <f>IFERROR(__xludf.DUMMYFUNCTION("""COMPUTED_VALUE"""),"M-195")</f>
        <v>M-195</v>
      </c>
      <c r="B577" s="42" t="str">
        <f>IFERROR(__xludf.DUMMYFUNCTION("""COMPUTED_VALUE"""),"Stone Tablet Mamodo")</f>
        <v>Stone Tablet Mamodo</v>
      </c>
      <c r="C577" s="42" t="str">
        <f>IFERROR(__xludf.DUMMYFUNCTION("""COMPUTED_VALUE"""),"Laila")</f>
        <v>Laila</v>
      </c>
      <c r="D577" s="42" t="str">
        <f>IFERROR(__xludf.DUMMYFUNCTION("""COMPUTED_VALUE"""),"Laila")</f>
        <v>Laila</v>
      </c>
      <c r="E577" s="42" t="str">
        <f>IFERROR(__xludf.DUMMYFUNCTION("""COMPUTED_VALUE"""),"-")</f>
        <v>-</v>
      </c>
      <c r="F577" s="42" t="str">
        <f>IFERROR(__xludf.DUMMYFUNCTION("""COMPUTED_VALUE"""),"-")</f>
        <v>-</v>
      </c>
      <c r="G577" s="42" t="str">
        <f>IFERROR(__xludf.DUMMYFUNCTION("""COMPUTED_VALUE"""),"None")</f>
        <v>None</v>
      </c>
      <c r="H577" s="42" t="str">
        <f>IFERROR(__xludf.DUMMYFUNCTION("""COMPUTED_VALUE"""),"120% Power")</f>
        <v>120% Power</v>
      </c>
      <c r="I577" s="43" t="str">
        <f>IFERROR(__xludf.DUMMYFUNCTION("""COMPUTED_VALUE"""),"[? MP] [STAY] Add Power to all of your in-play MAMODO cards equal to the amount of MP paid for this effect times 1000 during this turn (maximum 5 MP).")</f>
        <v>[? MP] [STAY] Add Power to all of your in-play MAMODO cards equal to the amount of MP paid for this effect times 1000 during this turn (maximum 5 MP).</v>
      </c>
      <c r="J577" s="42">
        <f>IFERROR(__xludf.DUMMYFUNCTION("""COMPUTED_VALUE"""),5000.0)</f>
        <v>5000</v>
      </c>
      <c r="K577" s="42" t="str">
        <f>IFERROR(__xludf.DUMMYFUNCTION("""COMPUTED_VALUE"""),"-")</f>
        <v>-</v>
      </c>
      <c r="L577" s="42" t="str">
        <f>IFERROR(__xludf.DUMMYFUNCTION("""COMPUTED_VALUE"""),"-")</f>
        <v>-</v>
      </c>
      <c r="M577" s="42" t="str">
        <f>IFERROR(__xludf.DUMMYFUNCTION("""COMPUTED_VALUE"""),"[R]")</f>
        <v>[R]</v>
      </c>
      <c r="N577" s="42" t="str">
        <f>IFERROR(__xludf.DUMMYFUNCTION("""COMPUTED_VALUE"""),"""We'll all have to use 120% of our power if we're to have any chance at all against him!""")</f>
        <v>"We'll all have to use 120% of our power if we're to have any chance at all against him!"</v>
      </c>
      <c r="O577" s="42"/>
      <c r="P577" s="42"/>
      <c r="Q577" s="42"/>
      <c r="R577" s="42"/>
      <c r="S577" s="42"/>
      <c r="T577" s="42"/>
      <c r="U577" s="42"/>
      <c r="V577" s="42"/>
      <c r="W577" s="42"/>
      <c r="X577" s="42"/>
      <c r="Y577" s="42"/>
      <c r="Z577" s="42"/>
    </row>
    <row r="578">
      <c r="A578" s="38" t="str">
        <f>IFERROR(__xludf.DUMMYFUNCTION("""COMPUTED_VALUE"""),"M-196")</f>
        <v>M-196</v>
      </c>
      <c r="B578" s="39" t="str">
        <f>IFERROR(__xludf.DUMMYFUNCTION("""COMPUTED_VALUE"""),"Stone Tablet Mamodo")</f>
        <v>Stone Tablet Mamodo</v>
      </c>
      <c r="C578" s="39" t="str">
        <f>IFERROR(__xludf.DUMMYFUNCTION("""COMPUTED_VALUE"""),"Pamoon")</f>
        <v>Pamoon</v>
      </c>
      <c r="D578" s="39" t="str">
        <f>IFERROR(__xludf.DUMMYFUNCTION("""COMPUTED_VALUE"""),"Pamoon")</f>
        <v>Pamoon</v>
      </c>
      <c r="E578" s="39" t="str">
        <f>IFERROR(__xludf.DUMMYFUNCTION("""COMPUTED_VALUE"""),"-")</f>
        <v>-</v>
      </c>
      <c r="F578" s="39" t="str">
        <f>IFERROR(__xludf.DUMMYFUNCTION("""COMPUTED_VALUE"""),"-")</f>
        <v>-</v>
      </c>
      <c r="G578" s="39" t="str">
        <f>IFERROR(__xludf.DUMMYFUNCTION("""COMPUTED_VALUE"""),"None")</f>
        <v>None</v>
      </c>
      <c r="H578" s="39" t="str">
        <f>IFERROR(__xludf.DUMMYFUNCTION("""COMPUTED_VALUE"""),"A Humiliating Memory")</f>
        <v>A Humiliating Memory</v>
      </c>
      <c r="I578" s="40" t="str">
        <f>IFERROR(__xludf.DUMMYFUNCTION("""COMPUTED_VALUE"""),"Place 2 MP counters on this MAMODO card when it is put in play (any MP counters on this card can be spent as your own MP). [DECLARE TO USE] Turn 2 pages of your opponent's Spell Book. This effect can be applied any time when your opponent sends any of you"&amp;"r in-play MAMODO cards to the Discard Pile with their card effects during this game (except from Damage or Injury).")</f>
        <v>Place 2 MP counters on this MAMODO card when it is put in play (any MP counters on this card can be spent as your own MP). [DECLARE TO USE] Turn 2 pages of your opponent's Spell Book. This effect can be applied any time when your opponent sends any of your in-play MAMODO cards to the Discard Pile with their card effects during this game (except from Damage or Injury).</v>
      </c>
      <c r="J578" s="39">
        <f>IFERROR(__xludf.DUMMYFUNCTION("""COMPUTED_VALUE"""),6000.0)</f>
        <v>6000</v>
      </c>
      <c r="K578" s="39" t="str">
        <f>IFERROR(__xludf.DUMMYFUNCTION("""COMPUTED_VALUE"""),"-")</f>
        <v>-</v>
      </c>
      <c r="L578" s="39" t="str">
        <f>IFERROR(__xludf.DUMMYFUNCTION("""COMPUTED_VALUE"""),"-")</f>
        <v>-</v>
      </c>
      <c r="M578" s="39" t="str">
        <f>IFERROR(__xludf.DUMMYFUNCTION("""COMPUTED_VALUE"""),"[R]")</f>
        <v>[R]</v>
      </c>
      <c r="N578" s="39" t="str">
        <f>IFERROR(__xludf.DUMMYFUNCTION("""COMPUTED_VALUE"""),"""So you're the one who did those strange things to me while I was sealed in the stone! It was plain humiliation!""")</f>
        <v>"So you're the one who did those strange things to me while I was sealed in the stone! It was plain humiliation!"</v>
      </c>
      <c r="O578" s="39"/>
      <c r="P578" s="39"/>
      <c r="Q578" s="39"/>
      <c r="R578" s="39"/>
      <c r="S578" s="39"/>
      <c r="T578" s="39"/>
      <c r="U578" s="39"/>
      <c r="V578" s="39"/>
      <c r="W578" s="39"/>
      <c r="X578" s="39"/>
      <c r="Y578" s="39"/>
      <c r="Z578" s="39"/>
    </row>
    <row r="579">
      <c r="A579" s="38" t="str">
        <f>IFERROR(__xludf.DUMMYFUNCTION("""COMPUTED_VALUE"""),"M-197")</f>
        <v>M-197</v>
      </c>
      <c r="B579" s="39" t="str">
        <f>IFERROR(__xludf.DUMMYFUNCTION("""COMPUTED_VALUE"""),"Stone Tablet Mamodo")</f>
        <v>Stone Tablet Mamodo</v>
      </c>
      <c r="C579" s="39" t="str">
        <f>IFERROR(__xludf.DUMMYFUNCTION("""COMPUTED_VALUE"""),"Demolt")</f>
        <v>Demolt</v>
      </c>
      <c r="D579" s="39" t="str">
        <f>IFERROR(__xludf.DUMMYFUNCTION("""COMPUTED_VALUE"""),"Demolt")</f>
        <v>Demolt</v>
      </c>
      <c r="E579" s="39" t="str">
        <f>IFERROR(__xludf.DUMMYFUNCTION("""COMPUTED_VALUE"""),"-")</f>
        <v>-</v>
      </c>
      <c r="F579" s="39" t="str">
        <f>IFERROR(__xludf.DUMMYFUNCTION("""COMPUTED_VALUE"""),"-")</f>
        <v>-</v>
      </c>
      <c r="G579" s="39" t="str">
        <f>IFERROR(__xludf.DUMMYFUNCTION("""COMPUTED_VALUE"""),"Intermediate")</f>
        <v>Intermediate</v>
      </c>
      <c r="H579" s="39" t="str">
        <f>IFERROR(__xludf.DUMMYFUNCTION("""COMPUTED_VALUE"""),"Grappling")</f>
        <v>Grappling</v>
      </c>
      <c r="I579" s="40" t="str">
        <f>IFERROR(__xludf.DUMMYFUNCTION("""COMPUTED_VALUE"""),"(Attack) (Defend) [1 MP] This card may Attack without using a SPELL card (Total Power=10000, Damage=2) OR, Defend without using a SPELL card (Total Power=10000).")</f>
        <v>(Attack) (Defend) [1 MP] This card may Attack without using a SPELL card (Total Power=10000, Damage=2) OR, Defend without using a SPELL card (Total Power=10000).</v>
      </c>
      <c r="J579" s="39">
        <f>IFERROR(__xludf.DUMMYFUNCTION("""COMPUTED_VALUE"""),8000.0)</f>
        <v>8000</v>
      </c>
      <c r="K579" s="39" t="str">
        <f>IFERROR(__xludf.DUMMYFUNCTION("""COMPUTED_VALUE"""),"-")</f>
        <v>-</v>
      </c>
      <c r="L579" s="39" t="str">
        <f>IFERROR(__xludf.DUMMYFUNCTION("""COMPUTED_VALUE"""),"-")</f>
        <v>-</v>
      </c>
      <c r="M579" s="39" t="str">
        <f>IFERROR(__xludf.DUMMYFUNCTION("""COMPUTED_VALUE"""),"[SR]")</f>
        <v>[SR]</v>
      </c>
      <c r="N579" s="39" t="str">
        <f>IFERROR(__xludf.DUMMYFUNCTION("""COMPUTED_VALUE"""),"""Is that... an attack without a spell? This is no joke...""")</f>
        <v>"Is that... an attack without a spell? This is no joke..."</v>
      </c>
      <c r="O579" s="39"/>
      <c r="P579" s="39"/>
      <c r="Q579" s="39"/>
      <c r="R579" s="39"/>
      <c r="S579" s="39"/>
      <c r="T579" s="39"/>
      <c r="U579" s="39"/>
      <c r="V579" s="39"/>
      <c r="W579" s="39"/>
      <c r="X579" s="39"/>
      <c r="Y579" s="39"/>
      <c r="Z579" s="39"/>
    </row>
    <row r="580">
      <c r="A580" s="38" t="str">
        <f>IFERROR(__xludf.DUMMYFUNCTION("""COMPUTED_VALUE"""),"M-198")</f>
        <v>M-198</v>
      </c>
      <c r="B580" s="39" t="str">
        <f>IFERROR(__xludf.DUMMYFUNCTION("""COMPUTED_VALUE"""),"Stone Tablet Mamodo")</f>
        <v>Stone Tablet Mamodo</v>
      </c>
      <c r="C580" s="39" t="str">
        <f>IFERROR(__xludf.DUMMYFUNCTION("""COMPUTED_VALUE"""),"Demolt (Berserker)")</f>
        <v>Demolt (Berserker)</v>
      </c>
      <c r="D580" s="39" t="str">
        <f>IFERROR(__xludf.DUMMYFUNCTION("""COMPUTED_VALUE"""),"Demolt")</f>
        <v>Demolt</v>
      </c>
      <c r="E580" s="39" t="str">
        <f>IFERROR(__xludf.DUMMYFUNCTION("""COMPUTED_VALUE"""),"-")</f>
        <v>-</v>
      </c>
      <c r="F580" s="39" t="str">
        <f>IFERROR(__xludf.DUMMYFUNCTION("""COMPUTED_VALUE"""),"-")</f>
        <v>-</v>
      </c>
      <c r="G580" s="39" t="str">
        <f>IFERROR(__xludf.DUMMYFUNCTION("""COMPUTED_VALUE"""),"Superior")</f>
        <v>Superior</v>
      </c>
      <c r="H580" s="39" t="str">
        <f>IFERROR(__xludf.DUMMYFUNCTION("""COMPUTED_VALUE"""),"Crazed Warrior")</f>
        <v>Crazed Warrior</v>
      </c>
      <c r="I580" s="40" t="str">
        <f>IFERROR(__xludf.DUMMYFUNCTION("""COMPUTED_VALUE"""),"This card is placed on a regular Demolt MAMODO card when a Girgadom Barsuruk SPELL card is played for the Demolt MAMODO. (Attack) [3 MP] This card may Attack without using a SPELL card (Total Power=11000, Damage=3).")</f>
        <v>This card is placed on a regular Demolt MAMODO card when a Girgadom Barsuruk SPELL card is played for the Demolt MAMODO. (Attack) [3 MP] This card may Attack without using a SPELL card (Total Power=11000, Damage=3).</v>
      </c>
      <c r="J580" s="39">
        <f>IFERROR(__xludf.DUMMYFUNCTION("""COMPUTED_VALUE"""),9000.0)</f>
        <v>9000</v>
      </c>
      <c r="K580" s="39" t="str">
        <f>IFERROR(__xludf.DUMMYFUNCTION("""COMPUTED_VALUE"""),"-")</f>
        <v>-</v>
      </c>
      <c r="L580" s="39" t="str">
        <f>IFERROR(__xludf.DUMMYFUNCTION("""COMPUTED_VALUE"""),"-")</f>
        <v>-</v>
      </c>
      <c r="M580" s="39" t="str">
        <f>IFERROR(__xludf.DUMMYFUNCTION("""COMPUTED_VALUE"""),"[SR]")</f>
        <v>[SR]</v>
      </c>
      <c r="N580" s="39" t="str">
        <f>IFERROR(__xludf.DUMMYFUNCTION("""COMPUTED_VALUE"""),"Demolt gains fearsome new strength through the power of his forbidden spell.")</f>
        <v>Demolt gains fearsome new strength through the power of his forbidden spell.</v>
      </c>
      <c r="O580" s="39"/>
      <c r="P580" s="39"/>
      <c r="Q580" s="39"/>
      <c r="R580" s="39"/>
      <c r="S580" s="39"/>
      <c r="T580" s="39"/>
      <c r="U580" s="39"/>
      <c r="V580" s="39"/>
      <c r="W580" s="39"/>
      <c r="X580" s="39"/>
      <c r="Y580" s="39"/>
      <c r="Z580" s="39"/>
    </row>
    <row r="581">
      <c r="A581" s="41" t="str">
        <f>IFERROR(__xludf.DUMMYFUNCTION("""COMPUTED_VALUE"""),"M-199")</f>
        <v>M-199</v>
      </c>
      <c r="B581" s="42" t="str">
        <f>IFERROR(__xludf.DUMMYFUNCTION("""COMPUTED_VALUE"""),"Dual Mamodo")</f>
        <v>Dual Mamodo</v>
      </c>
      <c r="C581" s="42" t="str">
        <f>IFERROR(__xludf.DUMMYFUNCTION("""COMPUTED_VALUE"""),"Zatch Bell &amp; Pamoon")</f>
        <v>Zatch Bell &amp; Pamoon</v>
      </c>
      <c r="D581" s="42" t="str">
        <f>IFERROR(__xludf.DUMMYFUNCTION("""COMPUTED_VALUE"""),"Zatch Bell | Pamoon")</f>
        <v>Zatch Bell | Pamoon</v>
      </c>
      <c r="E581" s="42" t="str">
        <f>IFERROR(__xludf.DUMMYFUNCTION("""COMPUTED_VALUE"""),"-")</f>
        <v>-</v>
      </c>
      <c r="F581" s="42" t="str">
        <f>IFERROR(__xludf.DUMMYFUNCTION("""COMPUTED_VALUE"""),"-")</f>
        <v>-</v>
      </c>
      <c r="G581" s="42" t="str">
        <f>IFERROR(__xludf.DUMMYFUNCTION("""COMPUTED_VALUE"""),"None")</f>
        <v>None</v>
      </c>
      <c r="H581" s="42" t="str">
        <f>IFERROR(__xludf.DUMMYFUNCTION("""COMPUTED_VALUE"""),"A New Friend")</f>
        <v>A New Friend</v>
      </c>
      <c r="I581" s="43" t="str">
        <f>IFERROR(__xludf.DUMMYFUNCTION("""COMPUTED_VALUE"""),"Send your in-play Zatch Bell or Pamoon MAMODO card to the Discard Pile to put this MAMODO card in play (any MP counters on that Pamoon MAMODO card are moved onto this MAMODO card and can be spent as your own MP). [IN PLAY] Up to 2 PARTNER cards can be att"&amp;"ached to any of your in-play Dual MAMODO cards at the same time.")</f>
        <v>Send your in-play Zatch Bell or Pamoon MAMODO card to the Discard Pile to put this MAMODO card in play (any MP counters on that Pamoon MAMODO card are moved onto this MAMODO card and can be spent as your own MP). [IN PLAY] Up to 2 PARTNER cards can be attached to any of your in-play Dual MAMODO cards at the same time.</v>
      </c>
      <c r="J581" s="42">
        <f>IFERROR(__xludf.DUMMYFUNCTION("""COMPUTED_VALUE"""),5000.0)</f>
        <v>5000</v>
      </c>
      <c r="K581" s="42" t="str">
        <f>IFERROR(__xludf.DUMMYFUNCTION("""COMPUTED_VALUE"""),"-")</f>
        <v>-</v>
      </c>
      <c r="L581" s="42" t="str">
        <f>IFERROR(__xludf.DUMMYFUNCTION("""COMPUTED_VALUE"""),"-")</f>
        <v>-</v>
      </c>
      <c r="M581" s="42" t="str">
        <f>IFERROR(__xludf.DUMMYFUNCTION("""COMPUTED_VALUE"""),"[SR]")</f>
        <v>[SR]</v>
      </c>
      <c r="N581" s="42" t="str">
        <f>IFERROR(__xludf.DUMMYFUNCTION("""COMPUTED_VALUE"""),"""Were you serious before when you told me you'd become my friend?""")</f>
        <v>"Were you serious before when you told me you'd become my friend?"</v>
      </c>
      <c r="O581" s="42"/>
      <c r="P581" s="42"/>
      <c r="Q581" s="42"/>
      <c r="R581" s="42"/>
      <c r="S581" s="42"/>
      <c r="T581" s="42"/>
      <c r="U581" s="42"/>
      <c r="V581" s="42"/>
      <c r="W581" s="42"/>
      <c r="X581" s="42"/>
      <c r="Y581" s="42"/>
      <c r="Z581" s="42"/>
    </row>
    <row r="582">
      <c r="A582" s="41" t="str">
        <f>IFERROR(__xludf.DUMMYFUNCTION("""COMPUTED_VALUE"""),"M-200")</f>
        <v>M-200</v>
      </c>
      <c r="B582" s="42" t="str">
        <f>IFERROR(__xludf.DUMMYFUNCTION("""COMPUTED_VALUE"""),"Dual Mamodo")</f>
        <v>Dual Mamodo</v>
      </c>
      <c r="C582" s="42" t="str">
        <f>IFERROR(__xludf.DUMMYFUNCTION("""COMPUTED_VALUE"""),"Penny &amp; Byonko")</f>
        <v>Penny &amp; Byonko</v>
      </c>
      <c r="D582" s="42" t="str">
        <f>IFERROR(__xludf.DUMMYFUNCTION("""COMPUTED_VALUE"""),"Penny | Byonko")</f>
        <v>Penny | Byonko</v>
      </c>
      <c r="E582" s="42" t="str">
        <f>IFERROR(__xludf.DUMMYFUNCTION("""COMPUTED_VALUE"""),"-")</f>
        <v>-</v>
      </c>
      <c r="F582" s="42" t="str">
        <f>IFERROR(__xludf.DUMMYFUNCTION("""COMPUTED_VALUE"""),"-")</f>
        <v>-</v>
      </c>
      <c r="G582" s="42" t="str">
        <f>IFERROR(__xludf.DUMMYFUNCTION("""COMPUTED_VALUE"""),"None")</f>
        <v>None</v>
      </c>
      <c r="H582" s="42" t="str">
        <f>IFERROR(__xludf.DUMMYFUNCTION("""COMPUTED_VALUE"""),"The Last of Her Selfishness")</f>
        <v>The Last of Her Selfishness</v>
      </c>
      <c r="I582" s="43" t="str">
        <f>IFERROR(__xludf.DUMMYFUNCTION("""COMPUTED_VALUE"""),"Send your in-play Penny or Byonko MAMODO card to the Discard Pile to put this MAMODO card in play. [IN PLAY] Your opponent cannot apply the effects of their in-play PARTNER cards who share a card name with any PARTNER cards in their Discard Pile.")</f>
        <v>Send your in-play Penny or Byonko MAMODO card to the Discard Pile to put this MAMODO card in play. [IN PLAY] Your opponent cannot apply the effects of their in-play PARTNER cards who share a card name with any PARTNER cards in their Discard Pile.</v>
      </c>
      <c r="J582" s="42">
        <f>IFERROR(__xludf.DUMMYFUNCTION("""COMPUTED_VALUE"""),4500.0)</f>
        <v>4500</v>
      </c>
      <c r="K582" s="42" t="str">
        <f>IFERROR(__xludf.DUMMYFUNCTION("""COMPUTED_VALUE"""),"-")</f>
        <v>-</v>
      </c>
      <c r="L582" s="42" t="str">
        <f>IFERROR(__xludf.DUMMYFUNCTION("""COMPUTED_VALUE"""),"-")</f>
        <v>-</v>
      </c>
      <c r="M582" s="42" t="str">
        <f>IFERROR(__xludf.DUMMYFUNCTION("""COMPUTED_VALUE"""),"[SR]")</f>
        <v>[SR]</v>
      </c>
      <c r="N582" s="42" t="str">
        <f>IFERROR(__xludf.DUMMYFUNCTION("""COMPUTED_VALUE"""),"""I'm about to be careless, but I'm asking you all to back me...""")</f>
        <v>"I'm about to be careless, but I'm asking you all to back me..."</v>
      </c>
      <c r="O582" s="42"/>
      <c r="P582" s="42"/>
      <c r="Q582" s="42"/>
      <c r="R582" s="42"/>
      <c r="S582" s="42"/>
      <c r="T582" s="42"/>
      <c r="U582" s="42"/>
      <c r="V582" s="42"/>
      <c r="W582" s="42"/>
      <c r="X582" s="42"/>
      <c r="Y582" s="42"/>
      <c r="Z582" s="42"/>
    </row>
    <row r="583">
      <c r="A583" s="41" t="str">
        <f>IFERROR(__xludf.DUMMYFUNCTION("""COMPUTED_VALUE"""),"M-201")</f>
        <v>M-201</v>
      </c>
      <c r="B583" s="42" t="str">
        <f>IFERROR(__xludf.DUMMYFUNCTION("""COMPUTED_VALUE"""),"VS Mamodo")</f>
        <v>VS Mamodo</v>
      </c>
      <c r="C583" s="42" t="str">
        <f>IFERROR(__xludf.DUMMYFUNCTION("""COMPUTED_VALUE"""),"Brago VS Zofis")</f>
        <v>Brago VS Zofis</v>
      </c>
      <c r="D583" s="42" t="str">
        <f>IFERROR(__xludf.DUMMYFUNCTION("""COMPUTED_VALUE"""),"Brago | Zofis")</f>
        <v>Brago | Zofis</v>
      </c>
      <c r="E583" s="42" t="str">
        <f>IFERROR(__xludf.DUMMYFUNCTION("""COMPUTED_VALUE"""),"-")</f>
        <v>-</v>
      </c>
      <c r="F583" s="42" t="str">
        <f>IFERROR(__xludf.DUMMYFUNCTION("""COMPUTED_VALUE"""),"-")</f>
        <v>-</v>
      </c>
      <c r="G583" s="42" t="str">
        <f>IFERROR(__xludf.DUMMYFUNCTION("""COMPUTED_VALUE"""),"None")</f>
        <v>None</v>
      </c>
      <c r="H583" s="42" t="str">
        <f>IFERROR(__xludf.DUMMYFUNCTION("""COMPUTED_VALUE"""),"Might VS Blight")</f>
        <v>Might VS Blight</v>
      </c>
      <c r="I583" s="43" t="str">
        <f>IFERROR(__xludf.DUMMYFUNCTION("""COMPUTED_VALUE"""),"Send either player's in-play Brago or Zofis MAMODO card to the Discard Pile to put this MAMODO card in play. [2 MP] [STAY] Neither player can apply the effects of MAMODO cards except Brago and Zofis MAMODO cards during this turn.")</f>
        <v>Send either player's in-play Brago or Zofis MAMODO card to the Discard Pile to put this MAMODO card in play. [2 MP] [STAY] Neither player can apply the effects of MAMODO cards except Brago and Zofis MAMODO cards during this turn.</v>
      </c>
      <c r="J583" s="42">
        <f>IFERROR(__xludf.DUMMYFUNCTION("""COMPUTED_VALUE"""),6000.0)</f>
        <v>6000</v>
      </c>
      <c r="K583" s="42" t="str">
        <f>IFERROR(__xludf.DUMMYFUNCTION("""COMPUTED_VALUE"""),"-")</f>
        <v>-</v>
      </c>
      <c r="L583" s="42" t="str">
        <f>IFERROR(__xludf.DUMMYFUNCTION("""COMPUTED_VALUE"""),"-")</f>
        <v>-</v>
      </c>
      <c r="M583" s="42" t="str">
        <f>IFERROR(__xludf.DUMMYFUNCTION("""COMPUTED_VALUE"""),"[SR]")</f>
        <v>[SR]</v>
      </c>
      <c r="N583" s="42" t="str">
        <f>IFERROR(__xludf.DUMMYFUNCTION("""COMPUTED_VALUE"""),"Brago finally has Zofis cornered, as the curtain rises on an unbelievably fierce battle.")</f>
        <v>Brago finally has Zofis cornered, as the curtain rises on an unbelievably fierce battle.</v>
      </c>
      <c r="O583" s="42"/>
      <c r="P583" s="42"/>
      <c r="Q583" s="42"/>
      <c r="R583" s="42"/>
      <c r="S583" s="42"/>
      <c r="T583" s="42"/>
      <c r="U583" s="42"/>
      <c r="V583" s="42"/>
      <c r="W583" s="42"/>
      <c r="X583" s="42"/>
      <c r="Y583" s="42"/>
      <c r="Z583" s="42"/>
    </row>
    <row r="584">
      <c r="A584" s="41" t="str">
        <f>IFERROR(__xludf.DUMMYFUNCTION("""COMPUTED_VALUE"""),"M-202")</f>
        <v>M-202</v>
      </c>
      <c r="B584" s="42" t="str">
        <f>IFERROR(__xludf.DUMMYFUNCTION("""COMPUTED_VALUE"""),"Mamodo")</f>
        <v>Mamodo</v>
      </c>
      <c r="C584" s="42" t="str">
        <f>IFERROR(__xludf.DUMMYFUNCTION("""COMPUTED_VALUE"""),"Brago")</f>
        <v>Brago</v>
      </c>
      <c r="D584" s="42" t="str">
        <f>IFERROR(__xludf.DUMMYFUNCTION("""COMPUTED_VALUE"""),"Brago")</f>
        <v>Brago</v>
      </c>
      <c r="E584" s="42" t="str">
        <f>IFERROR(__xludf.DUMMYFUNCTION("""COMPUTED_VALUE"""),"-")</f>
        <v>-</v>
      </c>
      <c r="F584" s="42" t="str">
        <f>IFERROR(__xludf.DUMMYFUNCTION("""COMPUTED_VALUE"""),"-")</f>
        <v>-</v>
      </c>
      <c r="G584" s="42" t="str">
        <f>IFERROR(__xludf.DUMMYFUNCTION("""COMPUTED_VALUE"""),"None")</f>
        <v>None</v>
      </c>
      <c r="H584" s="42" t="str">
        <f>IFERROR(__xludf.DUMMYFUNCTION("""COMPUTED_VALUE"""),"Hand In Front!")</f>
        <v>Hand In Front!</v>
      </c>
      <c r="I584" s="43" t="str">
        <f>IFERROR(__xludf.DUMMYFUNCTION("""COMPUTED_VALUE"""),"(Battle) [2 MP] [STAY] During the Battle, when you win the Battle as a Defender with a SPELL card with Brago as its MAMODO name (and the SPELL card has both ""Attack"" AND ""Defend"" Icons), proceed as if you won the Battle as an Attacker instead. This ef"&amp;"fect can be applied only when a Sherry PARTNER card is attached to this MAMODO card.")</f>
        <v>(Battle) [2 MP] [STAY] During the Battle, when you win the Battle as a Defender with a SPELL card with Brago as its MAMODO name (and the SPELL card has both "Attack" AND "Defend" Icons), proceed as if you won the Battle as an Attacker instead. This effect can be applied only when a Sherry PARTNER card is attached to this MAMODO card.</v>
      </c>
      <c r="J584" s="42">
        <f>IFERROR(__xludf.DUMMYFUNCTION("""COMPUTED_VALUE"""),5500.0)</f>
        <v>5500</v>
      </c>
      <c r="K584" s="42" t="str">
        <f>IFERROR(__xludf.DUMMYFUNCTION("""COMPUTED_VALUE"""),"-")</f>
        <v>-</v>
      </c>
      <c r="L584" s="42" t="str">
        <f>IFERROR(__xludf.DUMMYFUNCTION("""COMPUTED_VALUE"""),"-")</f>
        <v>-</v>
      </c>
      <c r="M584" s="42" t="str">
        <f>IFERROR(__xludf.DUMMYFUNCTION("""COMPUTED_VALUE"""),"[R]")</f>
        <v>[R]</v>
      </c>
      <c r="N584" s="42" t="str">
        <f>IFERROR(__xludf.DUMMYFUNCTION("""COMPUTED_VALUE"""),"""Are you really going to throw away all that you believed in? Are your dreams that easily crushed?!""")</f>
        <v>"Are you really going to throw away all that you believed in? Are your dreams that easily crushed?!"</v>
      </c>
      <c r="O584" s="42"/>
      <c r="P584" s="42"/>
      <c r="Q584" s="42"/>
      <c r="R584" s="42"/>
      <c r="S584" s="42"/>
      <c r="T584" s="42"/>
      <c r="U584" s="42"/>
      <c r="V584" s="42"/>
      <c r="W584" s="42"/>
      <c r="X584" s="42"/>
      <c r="Y584" s="42"/>
      <c r="Z584" s="42"/>
    </row>
    <row r="585">
      <c r="A585" s="41" t="str">
        <f>IFERROR(__xludf.DUMMYFUNCTION("""COMPUTED_VALUE"""),"M-203")</f>
        <v>M-203</v>
      </c>
      <c r="B585" s="42" t="str">
        <f>IFERROR(__xludf.DUMMYFUNCTION("""COMPUTED_VALUE"""),"Mamodo")</f>
        <v>Mamodo</v>
      </c>
      <c r="C585" s="42" t="str">
        <f>IFERROR(__xludf.DUMMYFUNCTION("""COMPUTED_VALUE"""),"Zofis")</f>
        <v>Zofis</v>
      </c>
      <c r="D585" s="42" t="str">
        <f>IFERROR(__xludf.DUMMYFUNCTION("""COMPUTED_VALUE"""),"Zofis")</f>
        <v>Zofis</v>
      </c>
      <c r="E585" s="42" t="str">
        <f>IFERROR(__xludf.DUMMYFUNCTION("""COMPUTED_VALUE"""),"-")</f>
        <v>-</v>
      </c>
      <c r="F585" s="42" t="str">
        <f>IFERROR(__xludf.DUMMYFUNCTION("""COMPUTED_VALUE"""),"-")</f>
        <v>-</v>
      </c>
      <c r="G585" s="42" t="str">
        <f>IFERROR(__xludf.DUMMYFUNCTION("""COMPUTED_VALUE"""),"None")</f>
        <v>None</v>
      </c>
      <c r="H585" s="42" t="str">
        <f>IFERROR(__xludf.DUMMYFUNCTION("""COMPUTED_VALUE"""),"You'll Regret This")</f>
        <v>You'll Regret This</v>
      </c>
      <c r="I585" s="43" t="str">
        <f>IFERROR(__xludf.DUMMYFUNCTION("""COMPUTED_VALUE"""),"[IN PLAY] This MAMODO card cannot be selected as a target for either player's card effects when it is the only MAMODO card you have in play.")</f>
        <v>[IN PLAY] This MAMODO card cannot be selected as a target for either player's card effects when it is the only MAMODO card you have in play.</v>
      </c>
      <c r="J585" s="42">
        <f>IFERROR(__xludf.DUMMYFUNCTION("""COMPUTED_VALUE"""),6000.0)</f>
        <v>6000</v>
      </c>
      <c r="K585" s="42" t="str">
        <f>IFERROR(__xludf.DUMMYFUNCTION("""COMPUTED_VALUE"""),"-")</f>
        <v>-</v>
      </c>
      <c r="L585" s="42" t="str">
        <f>IFERROR(__xludf.DUMMYFUNCTION("""COMPUTED_VALUE"""),"-")</f>
        <v>-</v>
      </c>
      <c r="M585" s="42" t="str">
        <f>IFERROR(__xludf.DUMMYFUNCTION("""COMPUTED_VALUE"""),"[R]")</f>
        <v>[R]</v>
      </c>
      <c r="N585" s="42" t="str">
        <f>IFERROR(__xludf.DUMMYFUNCTION("""COMPUTED_VALUE"""),"""How dare you... I'll show you not to mess with me!""")</f>
        <v>"How dare you... I'll show you not to mess with me!"</v>
      </c>
      <c r="O585" s="42"/>
      <c r="P585" s="42"/>
      <c r="Q585" s="42"/>
      <c r="R585" s="42"/>
      <c r="S585" s="42"/>
      <c r="T585" s="42"/>
      <c r="U585" s="42"/>
      <c r="V585" s="42"/>
      <c r="W585" s="42"/>
      <c r="X585" s="42"/>
      <c r="Y585" s="42"/>
      <c r="Z585" s="42"/>
    </row>
    <row r="586">
      <c r="A586" s="41" t="str">
        <f>IFERROR(__xludf.DUMMYFUNCTION("""COMPUTED_VALUE"""),"M-204")</f>
        <v>M-204</v>
      </c>
      <c r="B586" s="42" t="str">
        <f>IFERROR(__xludf.DUMMYFUNCTION("""COMPUTED_VALUE"""),"Mamodo")</f>
        <v>Mamodo</v>
      </c>
      <c r="C586" s="42" t="str">
        <f>IFERROR(__xludf.DUMMYFUNCTION("""COMPUTED_VALUE"""),"Zatch Bell")</f>
        <v>Zatch Bell</v>
      </c>
      <c r="D586" s="42" t="str">
        <f>IFERROR(__xludf.DUMMYFUNCTION("""COMPUTED_VALUE"""),"Zatch Bell")</f>
        <v>Zatch Bell</v>
      </c>
      <c r="E586" s="42" t="str">
        <f>IFERROR(__xludf.DUMMYFUNCTION("""COMPUTED_VALUE"""),"-")</f>
        <v>-</v>
      </c>
      <c r="F586" s="42" t="str">
        <f>IFERROR(__xludf.DUMMYFUNCTION("""COMPUTED_VALUE"""),"-")</f>
        <v>-</v>
      </c>
      <c r="G586" s="42" t="str">
        <f>IFERROR(__xludf.DUMMYFUNCTION("""COMPUTED_VALUE"""),"None")</f>
        <v>None</v>
      </c>
      <c r="H586" s="42" t="str">
        <f>IFERROR(__xludf.DUMMYFUNCTION("""COMPUTED_VALUE"""),"Hot Heartbeat")</f>
        <v>Hot Heartbeat</v>
      </c>
      <c r="I586" s="43" t="str">
        <f>IFERROR(__xludf.DUMMYFUNCTION("""COMPUTED_VALUE"""),"[3 MP] Move 1 MAMODO card with [Send this card to the Discard Pile] from your Discard Pile into play. Power : 4500")</f>
        <v>[3 MP] Move 1 MAMODO card with [Send this card to the Discard Pile] from your Discard Pile into play. Power : 4500</v>
      </c>
      <c r="J586" s="42" t="str">
        <f>IFERROR(__xludf.DUMMYFUNCTION("""COMPUTED_VALUE"""),"-")</f>
        <v>-</v>
      </c>
      <c r="K586" s="42" t="str">
        <f>IFERROR(__xludf.DUMMYFUNCTION("""COMPUTED_VALUE"""),"-")</f>
        <v>-</v>
      </c>
      <c r="L586" s="42" t="str">
        <f>IFERROR(__xludf.DUMMYFUNCTION("""COMPUTED_VALUE"""),"-")</f>
        <v>-</v>
      </c>
      <c r="M586" s="42" t="str">
        <f>IFERROR(__xludf.DUMMYFUNCTION("""COMPUTED_VALUE"""),"[U]")</f>
        <v>[U]</v>
      </c>
      <c r="N586" s="42" t="str">
        <f>IFERROR(__xludf.DUMMYFUNCTION("""COMPUTED_VALUE"""),"""All their hard work... it can't be for nothing!""")</f>
        <v>"All their hard work... it can't be for nothing!"</v>
      </c>
      <c r="O586" s="42"/>
      <c r="P586" s="42"/>
      <c r="Q586" s="42"/>
      <c r="R586" s="42"/>
      <c r="S586" s="42"/>
      <c r="T586" s="42"/>
      <c r="U586" s="42"/>
      <c r="V586" s="42"/>
      <c r="W586" s="42"/>
      <c r="X586" s="42"/>
      <c r="Y586" s="42"/>
      <c r="Z586" s="42"/>
    </row>
    <row r="587">
      <c r="A587" s="41" t="str">
        <f>IFERROR(__xludf.DUMMYFUNCTION("""COMPUTED_VALUE"""),"M-205")</f>
        <v>M-205</v>
      </c>
      <c r="B587" s="42" t="str">
        <f>IFERROR(__xludf.DUMMYFUNCTION("""COMPUTED_VALUE"""),"Mamodo")</f>
        <v>Mamodo</v>
      </c>
      <c r="C587" s="42" t="str">
        <f>IFERROR(__xludf.DUMMYFUNCTION("""COMPUTED_VALUE"""),"Kanchomé")</f>
        <v>Kanchomé</v>
      </c>
      <c r="D587" s="42" t="str">
        <f>IFERROR(__xludf.DUMMYFUNCTION("""COMPUTED_VALUE"""),"Kanchomé")</f>
        <v>Kanchomé</v>
      </c>
      <c r="E587" s="42" t="str">
        <f>IFERROR(__xludf.DUMMYFUNCTION("""COMPUTED_VALUE"""),"-")</f>
        <v>-</v>
      </c>
      <c r="F587" s="42" t="str">
        <f>IFERROR(__xludf.DUMMYFUNCTION("""COMPUTED_VALUE"""),"-")</f>
        <v>-</v>
      </c>
      <c r="G587" s="42" t="str">
        <f>IFERROR(__xludf.DUMMYFUNCTION("""COMPUTED_VALUE"""),"None")</f>
        <v>None</v>
      </c>
      <c r="H587" s="42" t="str">
        <f>IFERROR(__xludf.DUMMYFUNCTION("""COMPUTED_VALUE"""),"Intimidate")</f>
        <v>Intimidate</v>
      </c>
      <c r="I587" s="43" t="str">
        <f>IFERROR(__xludf.DUMMYFUNCTION("""COMPUTED_VALUE"""),"[SEND THIS CARD TO THE DISCARD PILE] Send 1 of your opponent's in-play PARTNER cards to the Discard Pile. Power : 3500")</f>
        <v>[SEND THIS CARD TO THE DISCARD PILE] Send 1 of your opponent's in-play PARTNER cards to the Discard Pile. Power : 3500</v>
      </c>
      <c r="J587" s="42" t="str">
        <f>IFERROR(__xludf.DUMMYFUNCTION("""COMPUTED_VALUE"""),"-")</f>
        <v>-</v>
      </c>
      <c r="K587" s="42" t="str">
        <f>IFERROR(__xludf.DUMMYFUNCTION("""COMPUTED_VALUE"""),"-")</f>
        <v>-</v>
      </c>
      <c r="L587" s="42" t="str">
        <f>IFERROR(__xludf.DUMMYFUNCTION("""COMPUTED_VALUE"""),"-")</f>
        <v>-</v>
      </c>
      <c r="M587" s="42" t="str">
        <f>IFERROR(__xludf.DUMMYFUNCTION("""COMPUTED_VALUE"""),"[C]")</f>
        <v>[C]</v>
      </c>
      <c r="N587" s="42" t="str">
        <f>IFERROR(__xludf.DUMMYFUNCTION("""COMPUTED_VALUE"""),"""You're making a big mistake if you think I'm weak!""")</f>
        <v>"You're making a big mistake if you think I'm weak!"</v>
      </c>
      <c r="O587" s="42"/>
      <c r="P587" s="42"/>
      <c r="Q587" s="42"/>
      <c r="R587" s="42"/>
      <c r="S587" s="42"/>
      <c r="T587" s="42"/>
      <c r="U587" s="42"/>
      <c r="V587" s="42"/>
      <c r="W587" s="42"/>
      <c r="X587" s="42"/>
      <c r="Y587" s="42"/>
      <c r="Z587" s="42"/>
    </row>
    <row r="588">
      <c r="A588" s="41" t="str">
        <f>IFERROR(__xludf.DUMMYFUNCTION("""COMPUTED_VALUE"""),"M-206")</f>
        <v>M-206</v>
      </c>
      <c r="B588" s="42" t="str">
        <f>IFERROR(__xludf.DUMMYFUNCTION("""COMPUTED_VALUE"""),"Mamodo")</f>
        <v>Mamodo</v>
      </c>
      <c r="C588" s="42" t="str">
        <f>IFERROR(__xludf.DUMMYFUNCTION("""COMPUTED_VALUE"""),"Tia")</f>
        <v>Tia</v>
      </c>
      <c r="D588" s="42" t="str">
        <f>IFERROR(__xludf.DUMMYFUNCTION("""COMPUTED_VALUE"""),"Tia")</f>
        <v>Tia</v>
      </c>
      <c r="E588" s="42" t="str">
        <f>IFERROR(__xludf.DUMMYFUNCTION("""COMPUTED_VALUE"""),"-")</f>
        <v>-</v>
      </c>
      <c r="F588" s="42" t="str">
        <f>IFERROR(__xludf.DUMMYFUNCTION("""COMPUTED_VALUE"""),"-")</f>
        <v>-</v>
      </c>
      <c r="G588" s="42" t="str">
        <f>IFERROR(__xludf.DUMMYFUNCTION("""COMPUTED_VALUE"""),"None")</f>
        <v>None</v>
      </c>
      <c r="H588" s="42" t="str">
        <f>IFERROR(__xludf.DUMMYFUNCTION("""COMPUTED_VALUE"""),"We Won't Lose")</f>
        <v>We Won't Lose</v>
      </c>
      <c r="I588" s="43" t="str">
        <f>IFERROR(__xludf.DUMMYFUNCTION("""COMPUTED_VALUE"""),"(Battle) [SEND THIS CARD TO THE DISCARD PILE] Negate 1 of your opponent's Attacks in the Battle. Power : 4000")</f>
        <v>(Battle) [SEND THIS CARD TO THE DISCARD PILE] Negate 1 of your opponent's Attacks in the Battle. Power : 4000</v>
      </c>
      <c r="J588" s="42" t="str">
        <f>IFERROR(__xludf.DUMMYFUNCTION("""COMPUTED_VALUE"""),"-")</f>
        <v>-</v>
      </c>
      <c r="K588" s="42" t="str">
        <f>IFERROR(__xludf.DUMMYFUNCTION("""COMPUTED_VALUE"""),"-")</f>
        <v>-</v>
      </c>
      <c r="L588" s="42" t="str">
        <f>IFERROR(__xludf.DUMMYFUNCTION("""COMPUTED_VALUE"""),"-")</f>
        <v>-</v>
      </c>
      <c r="M588" s="42" t="str">
        <f>IFERROR(__xludf.DUMMYFUNCTION("""COMPUTED_VALUE"""),"[C]")</f>
        <v>[C]</v>
      </c>
      <c r="N588" s="42" t="str">
        <f>IFERROR(__xludf.DUMMYFUNCTION("""COMPUTED_VALUE"""),"""If my shield breaks, I'll make another! I don't care how many times!""")</f>
        <v>"If my shield breaks, I'll make another! I don't care how many times!"</v>
      </c>
      <c r="O588" s="42"/>
      <c r="P588" s="42"/>
      <c r="Q588" s="42"/>
      <c r="R588" s="42"/>
      <c r="S588" s="42"/>
      <c r="T588" s="42"/>
      <c r="U588" s="42"/>
      <c r="V588" s="42"/>
      <c r="W588" s="42"/>
      <c r="X588" s="42"/>
      <c r="Y588" s="42"/>
      <c r="Z588" s="42"/>
    </row>
    <row r="589">
      <c r="A589" s="41" t="str">
        <f>IFERROR(__xludf.DUMMYFUNCTION("""COMPUTED_VALUE"""),"M-207")</f>
        <v>M-207</v>
      </c>
      <c r="B589" s="42" t="str">
        <f>IFERROR(__xludf.DUMMYFUNCTION("""COMPUTED_VALUE"""),"Mamodo")</f>
        <v>Mamodo</v>
      </c>
      <c r="C589" s="42" t="str">
        <f>IFERROR(__xludf.DUMMYFUNCTION("""COMPUTED_VALUE"""),"Ponygon (Go Shudoruk Form)")</f>
        <v>Ponygon (Go Shudoruk Form)</v>
      </c>
      <c r="D589" s="42" t="str">
        <f>IFERROR(__xludf.DUMMYFUNCTION("""COMPUTED_VALUE"""),"Ponygon (Go Shudoruk Form)")</f>
        <v>Ponygon (Go Shudoruk Form)</v>
      </c>
      <c r="E589" s="42" t="str">
        <f>IFERROR(__xludf.DUMMYFUNCTION("""COMPUTED_VALUE"""),"-")</f>
        <v>-</v>
      </c>
      <c r="F589" s="42" t="str">
        <f>IFERROR(__xludf.DUMMYFUNCTION("""COMPUTED_VALUE"""),"-")</f>
        <v>-</v>
      </c>
      <c r="G589" s="42" t="str">
        <f>IFERROR(__xludf.DUMMYFUNCTION("""COMPUTED_VALUE"""),"None")</f>
        <v>None</v>
      </c>
      <c r="H589" s="42" t="str">
        <f>IFERROR(__xludf.DUMMYFUNCTION("""COMPUTED_VALUE"""),"Disruption")</f>
        <v>Disruption</v>
      </c>
      <c r="I589" s="43" t="str">
        <f>IFERROR(__xludf.DUMMYFUNCTION("""COMPUTED_VALUE"""),"A Go Shudoruk SPELL card does not need to be played to put this MAMODO card in play. [SEND THIS CARD TO THE DISCARD PILE] [STAY] Your opponent cannot apply the effects of their MAMODO cards during this turn. Power : 5000")</f>
        <v>A Go Shudoruk SPELL card does not need to be played to put this MAMODO card in play. [SEND THIS CARD TO THE DISCARD PILE] [STAY] Your opponent cannot apply the effects of their MAMODO cards during this turn. Power : 5000</v>
      </c>
      <c r="J589" s="42" t="str">
        <f>IFERROR(__xludf.DUMMYFUNCTION("""COMPUTED_VALUE"""),"-")</f>
        <v>-</v>
      </c>
      <c r="K589" s="42" t="str">
        <f>IFERROR(__xludf.DUMMYFUNCTION("""COMPUTED_VALUE"""),"-")</f>
        <v>-</v>
      </c>
      <c r="L589" s="42" t="str">
        <f>IFERROR(__xludf.DUMMYFUNCTION("""COMPUTED_VALUE"""),"-")</f>
        <v>-</v>
      </c>
      <c r="M589" s="42" t="str">
        <f>IFERROR(__xludf.DUMMYFUNCTION("""COMPUTED_VALUE"""),"[C]")</f>
        <v>[C]</v>
      </c>
      <c r="N589" s="42" t="str">
        <f>IFERROR(__xludf.DUMMYFUNCTION("""COMPUTED_VALUE"""),"""Go, Ponygon! Go Shudoruk!""")</f>
        <v>"Go, Ponygon! Go Shudoruk!"</v>
      </c>
      <c r="O589" s="42"/>
      <c r="P589" s="42"/>
      <c r="Q589" s="42"/>
      <c r="R589" s="42"/>
      <c r="S589" s="42"/>
      <c r="T589" s="42"/>
      <c r="U589" s="42"/>
      <c r="V589" s="42"/>
      <c r="W589" s="42"/>
      <c r="X589" s="42"/>
      <c r="Y589" s="42"/>
      <c r="Z589" s="42"/>
    </row>
    <row r="590">
      <c r="A590" s="41" t="str">
        <f>IFERROR(__xludf.DUMMYFUNCTION("""COMPUTED_VALUE"""),"M-208")</f>
        <v>M-208</v>
      </c>
      <c r="B590" s="42" t="str">
        <f>IFERROR(__xludf.DUMMYFUNCTION("""COMPUTED_VALUE"""),"Mamodo")</f>
        <v>Mamodo</v>
      </c>
      <c r="C590" s="42" t="str">
        <f>IFERROR(__xludf.DUMMYFUNCTION("""COMPUTED_VALUE"""),"Wonrei")</f>
        <v>Wonrei</v>
      </c>
      <c r="D590" s="42" t="str">
        <f>IFERROR(__xludf.DUMMYFUNCTION("""COMPUTED_VALUE"""),"Wonrei")</f>
        <v>Wonrei</v>
      </c>
      <c r="E590" s="42" t="str">
        <f>IFERROR(__xludf.DUMMYFUNCTION("""COMPUTED_VALUE"""),"-")</f>
        <v>-</v>
      </c>
      <c r="F590" s="42" t="str">
        <f>IFERROR(__xludf.DUMMYFUNCTION("""COMPUTED_VALUE"""),"-")</f>
        <v>-</v>
      </c>
      <c r="G590" s="42" t="str">
        <f>IFERROR(__xludf.DUMMYFUNCTION("""COMPUTED_VALUE"""),"None")</f>
        <v>None</v>
      </c>
      <c r="H590" s="42" t="str">
        <f>IFERROR(__xludf.DUMMYFUNCTION("""COMPUTED_VALUE"""),"Kung Fu Kick")</f>
        <v>Kung Fu Kick</v>
      </c>
      <c r="I590" s="43" t="str">
        <f>IFERROR(__xludf.DUMMYFUNCTION("""COMPUTED_VALUE"""),"[DECLARE TO USE] Select 1 of your opponent's in-play MAMODO cards with an ""Attack"" Icon and send it to the Discard Pile.")</f>
        <v>[DECLARE TO USE] Select 1 of your opponent's in-play MAMODO cards with an "Attack" Icon and send it to the Discard Pile.</v>
      </c>
      <c r="J590" s="42">
        <f>IFERROR(__xludf.DUMMYFUNCTION("""COMPUTED_VALUE"""),4000.0)</f>
        <v>4000</v>
      </c>
      <c r="K590" s="42" t="str">
        <f>IFERROR(__xludf.DUMMYFUNCTION("""COMPUTED_VALUE"""),"-")</f>
        <v>-</v>
      </c>
      <c r="L590" s="42" t="str">
        <f>IFERROR(__xludf.DUMMYFUNCTION("""COMPUTED_VALUE"""),"-")</f>
        <v>-</v>
      </c>
      <c r="M590" s="42" t="str">
        <f>IFERROR(__xludf.DUMMYFUNCTION("""COMPUTED_VALUE"""),"[U]")</f>
        <v>[U]</v>
      </c>
      <c r="N590" s="42" t="str">
        <f>IFERROR(__xludf.DUMMYFUNCTION("""COMPUTED_VALUE"""),"""I'll have Li-en watch me fighting to protect everyone.""")</f>
        <v>"I'll have Li-en watch me fighting to protect everyone."</v>
      </c>
      <c r="O590" s="42"/>
      <c r="P590" s="42"/>
      <c r="Q590" s="42"/>
      <c r="R590" s="42"/>
      <c r="S590" s="42"/>
      <c r="T590" s="42"/>
      <c r="U590" s="42"/>
      <c r="V590" s="42"/>
      <c r="W590" s="42"/>
      <c r="X590" s="42"/>
      <c r="Y590" s="42"/>
      <c r="Z590" s="42"/>
    </row>
    <row r="591">
      <c r="A591" s="41" t="str">
        <f>IFERROR(__xludf.DUMMYFUNCTION("""COMPUTED_VALUE"""),"M-209")</f>
        <v>M-209</v>
      </c>
      <c r="B591" s="42" t="str">
        <f>IFERROR(__xludf.DUMMYFUNCTION("""COMPUTED_VALUE"""),"Mamodo")</f>
        <v>Mamodo</v>
      </c>
      <c r="C591" s="42" t="str">
        <f>IFERROR(__xludf.DUMMYFUNCTION("""COMPUTED_VALUE"""),"Kido")</f>
        <v>Kido</v>
      </c>
      <c r="D591" s="42" t="str">
        <f>IFERROR(__xludf.DUMMYFUNCTION("""COMPUTED_VALUE"""),"Kido")</f>
        <v>Kido</v>
      </c>
      <c r="E591" s="42" t="str">
        <f>IFERROR(__xludf.DUMMYFUNCTION("""COMPUTED_VALUE"""),"-")</f>
        <v>-</v>
      </c>
      <c r="F591" s="42" t="str">
        <f>IFERROR(__xludf.DUMMYFUNCTION("""COMPUTED_VALUE"""),"-")</f>
        <v>-</v>
      </c>
      <c r="G591" s="42" t="str">
        <f>IFERROR(__xludf.DUMMYFUNCTION("""COMPUTED_VALUE"""),"None")</f>
        <v>None</v>
      </c>
      <c r="H591" s="42" t="str">
        <f>IFERROR(__xludf.DUMMYFUNCTION("""COMPUTED_VALUE"""),"Formulating Strategies")</f>
        <v>Formulating Strategies</v>
      </c>
      <c r="I591" s="43" t="str">
        <f>IFERROR(__xludf.DUMMYFUNCTION("""COMPUTED_VALUE"""),"[SEND THIS CARD TO THE DISCARD PILE] [STAY] During this turn, both players can play EVENT cards even when prohibited to do so, and EVENT cards cannot be negated by cut-in effects.")</f>
        <v>[SEND THIS CARD TO THE DISCARD PILE] [STAY] During this turn, both players can play EVENT cards even when prohibited to do so, and EVENT cards cannot be negated by cut-in effects.</v>
      </c>
      <c r="J591" s="42">
        <f>IFERROR(__xludf.DUMMYFUNCTION("""COMPUTED_VALUE"""),4000.0)</f>
        <v>4000</v>
      </c>
      <c r="K591" s="42" t="str">
        <f>IFERROR(__xludf.DUMMYFUNCTION("""COMPUTED_VALUE"""),"-")</f>
        <v>-</v>
      </c>
      <c r="L591" s="42" t="str">
        <f>IFERROR(__xludf.DUMMYFUNCTION("""COMPUTED_VALUE"""),"-")</f>
        <v>-</v>
      </c>
      <c r="M591" s="42" t="str">
        <f>IFERROR(__xludf.DUMMYFUNCTION("""COMPUTED_VALUE"""),"[C]")</f>
        <v>[C]</v>
      </c>
      <c r="N591" s="42" t="str">
        <f>IFERROR(__xludf.DUMMYFUNCTION("""COMPUTED_VALUE"""),"Suddenly, he's able to come up with all sorts of incredible strategies... just like Dr. Riddles.")</f>
        <v>Suddenly, he's able to come up with all sorts of incredible strategies... just like Dr. Riddles.</v>
      </c>
      <c r="O591" s="42"/>
      <c r="P591" s="42"/>
      <c r="Q591" s="42"/>
      <c r="R591" s="42"/>
      <c r="S591" s="42"/>
      <c r="T591" s="42"/>
      <c r="U591" s="42"/>
      <c r="V591" s="42"/>
      <c r="W591" s="42"/>
      <c r="X591" s="42"/>
      <c r="Y591" s="42"/>
      <c r="Z591" s="42"/>
    </row>
    <row r="592">
      <c r="A592" s="41" t="str">
        <f>IFERROR(__xludf.DUMMYFUNCTION("""COMPUTED_VALUE"""),"M-210")</f>
        <v>M-210</v>
      </c>
      <c r="B592" s="42" t="str">
        <f>IFERROR(__xludf.DUMMYFUNCTION("""COMPUTED_VALUE"""),"Mamodo")</f>
        <v>Mamodo</v>
      </c>
      <c r="C592" s="42" t="str">
        <f>IFERROR(__xludf.DUMMYFUNCTION("""COMPUTED_VALUE"""),"Penny")</f>
        <v>Penny</v>
      </c>
      <c r="D592" s="42" t="str">
        <f>IFERROR(__xludf.DUMMYFUNCTION("""COMPUTED_VALUE"""),"Penny")</f>
        <v>Penny</v>
      </c>
      <c r="E592" s="42" t="str">
        <f>IFERROR(__xludf.DUMMYFUNCTION("""COMPUTED_VALUE"""),"-")</f>
        <v>-</v>
      </c>
      <c r="F592" s="42" t="str">
        <f>IFERROR(__xludf.DUMMYFUNCTION("""COMPUTED_VALUE"""),"-")</f>
        <v>-</v>
      </c>
      <c r="G592" s="42" t="str">
        <f>IFERROR(__xludf.DUMMYFUNCTION("""COMPUTED_VALUE"""),"None")</f>
        <v>None</v>
      </c>
      <c r="H592" s="42" t="str">
        <f>IFERROR(__xludf.DUMMYFUNCTION("""COMPUTED_VALUE"""),"Tears of Regret")</f>
        <v>Tears of Regret</v>
      </c>
      <c r="I592" s="43" t="str">
        <f>IFERROR(__xludf.DUMMYFUNCTION("""COMPUTED_VALUE"""),"[SEND THIS CARD TO THE DISCARD PILE] [STAY] Your opponent can neither SACRIFICE nor PROTECT their Spell Book from Damage during this turn.")</f>
        <v>[SEND THIS CARD TO THE DISCARD PILE] [STAY] Your opponent can neither SACRIFICE nor PROTECT their Spell Book from Damage during this turn.</v>
      </c>
      <c r="J592" s="42">
        <f>IFERROR(__xludf.DUMMYFUNCTION("""COMPUTED_VALUE"""),4000.0)</f>
        <v>4000</v>
      </c>
      <c r="K592" s="42" t="str">
        <f>IFERROR(__xludf.DUMMYFUNCTION("""COMPUTED_VALUE"""),"-")</f>
        <v>-</v>
      </c>
      <c r="L592" s="42" t="str">
        <f>IFERROR(__xludf.DUMMYFUNCTION("""COMPUTED_VALUE"""),"-")</f>
        <v>-</v>
      </c>
      <c r="M592" s="42" t="str">
        <f>IFERROR(__xludf.DUMMYFUNCTION("""COMPUTED_VALUE"""),"[C]")</f>
        <v>[C]</v>
      </c>
      <c r="N592" s="42" t="str">
        <f>IFERROR(__xludf.DUMMYFUNCTION("""COMPUTED_VALUE"""),"""Now, Uri, go! Attack!""")</f>
        <v>"Now, Uri, go! Attack!"</v>
      </c>
      <c r="O592" s="42"/>
      <c r="P592" s="42"/>
      <c r="Q592" s="42"/>
      <c r="R592" s="42"/>
      <c r="S592" s="42"/>
      <c r="T592" s="42"/>
      <c r="U592" s="42"/>
      <c r="V592" s="42"/>
      <c r="W592" s="42"/>
      <c r="X592" s="42"/>
      <c r="Y592" s="42"/>
      <c r="Z592" s="42"/>
    </row>
    <row r="593">
      <c r="A593" s="41" t="str">
        <f>IFERROR(__xludf.DUMMYFUNCTION("""COMPUTED_VALUE"""),"M-211")</f>
        <v>M-211</v>
      </c>
      <c r="B593" s="42" t="str">
        <f>IFERROR(__xludf.DUMMYFUNCTION("""COMPUTED_VALUE"""),"Mamodo")</f>
        <v>Mamodo</v>
      </c>
      <c r="C593" s="42" t="str">
        <f>IFERROR(__xludf.DUMMYFUNCTION("""COMPUTED_VALUE"""),"Byonko")</f>
        <v>Byonko</v>
      </c>
      <c r="D593" s="42" t="str">
        <f>IFERROR(__xludf.DUMMYFUNCTION("""COMPUTED_VALUE"""),"Byonko")</f>
        <v>Byonko</v>
      </c>
      <c r="E593" s="42" t="str">
        <f>IFERROR(__xludf.DUMMYFUNCTION("""COMPUTED_VALUE"""),"-")</f>
        <v>-</v>
      </c>
      <c r="F593" s="42" t="str">
        <f>IFERROR(__xludf.DUMMYFUNCTION("""COMPUTED_VALUE"""),"-")</f>
        <v>-</v>
      </c>
      <c r="G593" s="42" t="str">
        <f>IFERROR(__xludf.DUMMYFUNCTION("""COMPUTED_VALUE"""),"None")</f>
        <v>None</v>
      </c>
      <c r="H593" s="42" t="str">
        <f>IFERROR(__xludf.DUMMYFUNCTION("""COMPUTED_VALUE"""),"Ribbit!")</f>
        <v>Ribbit!</v>
      </c>
      <c r="I593" s="43" t="str">
        <f>IFERROR(__xludf.DUMMYFUNCTION("""COMPUTED_VALUE"""),"(Cut-In) [SEND THIS CARD TO THE DISCARD PILE] Negate the EVENT card your opponent just played during your BATTLE PHASE.")</f>
        <v>(Cut-In) [SEND THIS CARD TO THE DISCARD PILE] Negate the EVENT card your opponent just played during your BATTLE PHASE.</v>
      </c>
      <c r="J593" s="42">
        <f>IFERROR(__xludf.DUMMYFUNCTION("""COMPUTED_VALUE"""),3000.0)</f>
        <v>3000</v>
      </c>
      <c r="K593" s="42" t="str">
        <f>IFERROR(__xludf.DUMMYFUNCTION("""COMPUTED_VALUE"""),"-")</f>
        <v>-</v>
      </c>
      <c r="L593" s="42" t="str">
        <f>IFERROR(__xludf.DUMMYFUNCTION("""COMPUTED_VALUE"""),"-")</f>
        <v>-</v>
      </c>
      <c r="M593" s="42" t="str">
        <f>IFERROR(__xludf.DUMMYFUNCTION("""COMPUTED_VALUE"""),"[C]")</f>
        <v>[C]</v>
      </c>
      <c r="N593" s="42" t="str">
        <f>IFERROR(__xludf.DUMMYFUNCTION("""COMPUTED_VALUE"""),"""Quickly, Alvin, we'll attack them too!""")</f>
        <v>"Quickly, Alvin, we'll attack them too!"</v>
      </c>
      <c r="O593" s="42"/>
      <c r="P593" s="42"/>
      <c r="Q593" s="42"/>
      <c r="R593" s="42"/>
      <c r="S593" s="42"/>
      <c r="T593" s="42"/>
      <c r="U593" s="42"/>
      <c r="V593" s="42"/>
      <c r="W593" s="42"/>
      <c r="X593" s="42"/>
      <c r="Y593" s="42"/>
      <c r="Z593" s="42"/>
    </row>
    <row r="594">
      <c r="A594" s="41" t="str">
        <f>IFERROR(__xludf.DUMMYFUNCTION("""COMPUTED_VALUE"""),"M-212")</f>
        <v>M-212</v>
      </c>
      <c r="B594" s="42" t="str">
        <f>IFERROR(__xludf.DUMMYFUNCTION("""COMPUTED_VALUE"""),"Mamodo")</f>
        <v>Mamodo</v>
      </c>
      <c r="C594" s="42" t="str">
        <f>IFERROR(__xludf.DUMMYFUNCTION("""COMPUTED_VALUE"""),"Zofis")</f>
        <v>Zofis</v>
      </c>
      <c r="D594" s="42" t="str">
        <f>IFERROR(__xludf.DUMMYFUNCTION("""COMPUTED_VALUE"""),"Zofis")</f>
        <v>Zofis</v>
      </c>
      <c r="E594" s="42" t="str">
        <f>IFERROR(__xludf.DUMMYFUNCTION("""COMPUTED_VALUE"""),"-")</f>
        <v>-</v>
      </c>
      <c r="F594" s="42" t="str">
        <f>IFERROR(__xludf.DUMMYFUNCTION("""COMPUTED_VALUE"""),"-")</f>
        <v>-</v>
      </c>
      <c r="G594" s="42" t="str">
        <f>IFERROR(__xludf.DUMMYFUNCTION("""COMPUTED_VALUE"""),"None")</f>
        <v>None</v>
      </c>
      <c r="H594" s="42" t="str">
        <f>IFERROR(__xludf.DUMMYFUNCTION("""COMPUTED_VALUE"""),"Pawns in his Game")</f>
        <v>Pawns in his Game</v>
      </c>
      <c r="I594" s="43" t="str">
        <f>IFERROR(__xludf.DUMMYFUNCTION("""COMPUTED_VALUE"""),"[2 MP] Send 1 of your in-play MAMODO cards to the Discard Pile. Then select 1 MAMODO card from any page of your Spell Book or your Discard Pile and put it in play.")</f>
        <v>[2 MP] Send 1 of your in-play MAMODO cards to the Discard Pile. Then select 1 MAMODO card from any page of your Spell Book or your Discard Pile and put it in play.</v>
      </c>
      <c r="J594" s="42">
        <f>IFERROR(__xludf.DUMMYFUNCTION("""COMPUTED_VALUE"""),6000.0)</f>
        <v>6000</v>
      </c>
      <c r="K594" s="42" t="str">
        <f>IFERROR(__xludf.DUMMYFUNCTION("""COMPUTED_VALUE"""),"-")</f>
        <v>-</v>
      </c>
      <c r="L594" s="42" t="str">
        <f>IFERROR(__xludf.DUMMYFUNCTION("""COMPUTED_VALUE"""),"-")</f>
        <v>-</v>
      </c>
      <c r="M594" s="42" t="str">
        <f>IFERROR(__xludf.DUMMYFUNCTION("""COMPUTED_VALUE"""),"[R]")</f>
        <v>[R]</v>
      </c>
      <c r="N594" s="42" t="str">
        <f>IFERROR(__xludf.DUMMYFUNCTION("""COMPUTED_VALUE"""),"""I've won this battle!""")</f>
        <v>"I've won this battle!"</v>
      </c>
      <c r="O594" s="42"/>
      <c r="P594" s="42"/>
      <c r="Q594" s="42"/>
      <c r="R594" s="42"/>
      <c r="S594" s="42"/>
      <c r="T594" s="42"/>
      <c r="U594" s="42"/>
      <c r="V594" s="42"/>
      <c r="W594" s="42"/>
      <c r="X594" s="42"/>
      <c r="Y594" s="42"/>
      <c r="Z594" s="42"/>
    </row>
    <row r="595">
      <c r="A595" s="41" t="str">
        <f>IFERROR(__xludf.DUMMYFUNCTION("""COMPUTED_VALUE"""),"M-213")</f>
        <v>M-213</v>
      </c>
      <c r="B595" s="42" t="str">
        <f>IFERROR(__xludf.DUMMYFUNCTION("""COMPUTED_VALUE"""),"Stone Tablet Mamodo")</f>
        <v>Stone Tablet Mamodo</v>
      </c>
      <c r="C595" s="42" t="str">
        <f>IFERROR(__xludf.DUMMYFUNCTION("""COMPUTED_VALUE"""),"Victoream")</f>
        <v>Victoream</v>
      </c>
      <c r="D595" s="42" t="str">
        <f>IFERROR(__xludf.DUMMYFUNCTION("""COMPUTED_VALUE"""),"Victoream")</f>
        <v>Victoream</v>
      </c>
      <c r="E595" s="42" t="str">
        <f>IFERROR(__xludf.DUMMYFUNCTION("""COMPUTED_VALUE"""),"-")</f>
        <v>-</v>
      </c>
      <c r="F595" s="42" t="str">
        <f>IFERROR(__xludf.DUMMYFUNCTION("""COMPUTED_VALUE"""),"-")</f>
        <v>-</v>
      </c>
      <c r="G595" s="42" t="str">
        <f>IFERROR(__xludf.DUMMYFUNCTION("""COMPUTED_VALUE"""),"None")</f>
        <v>None</v>
      </c>
      <c r="H595" s="42" t="str">
        <f>IFERROR(__xludf.DUMMYFUNCTION("""COMPUTED_VALUE"""),"Haaah!")</f>
        <v>Haaah!</v>
      </c>
      <c r="I595" s="43" t="str">
        <f>IFERROR(__xludf.DUMMYFUNCTION("""COMPUTED_VALUE"""),"[SEND THIS CARD TO THE DISCARD PILE] Reduce your opponent's MP by 2 to get 2 MP.")</f>
        <v>[SEND THIS CARD TO THE DISCARD PILE] Reduce your opponent's MP by 2 to get 2 MP.</v>
      </c>
      <c r="J595" s="42">
        <f>IFERROR(__xludf.DUMMYFUNCTION("""COMPUTED_VALUE"""),5000.0)</f>
        <v>5000</v>
      </c>
      <c r="K595" s="42" t="str">
        <f>IFERROR(__xludf.DUMMYFUNCTION("""COMPUTED_VALUE"""),"-")</f>
        <v>-</v>
      </c>
      <c r="L595" s="42" t="str">
        <f>IFERROR(__xludf.DUMMYFUNCTION("""COMPUTED_VALUE"""),"-")</f>
        <v>-</v>
      </c>
      <c r="M595" s="42" t="str">
        <f>IFERROR(__xludf.DUMMYFUNCTION("""COMPUTED_VALUE"""),"[C]")</f>
        <v>[C]</v>
      </c>
      <c r="N595" s="42" t="str">
        <f>IFERROR(__xludf.DUMMYFUNCTION("""COMPUTED_VALUE"""),"""Bite into it in the 'V' formation! Launch melon!""")</f>
        <v>"Bite into it in the 'V' formation! Launch melon!"</v>
      </c>
      <c r="O595" s="42"/>
      <c r="P595" s="42"/>
      <c r="Q595" s="42"/>
      <c r="R595" s="42"/>
      <c r="S595" s="42"/>
      <c r="T595" s="42"/>
      <c r="U595" s="42"/>
      <c r="V595" s="42"/>
      <c r="W595" s="42"/>
      <c r="X595" s="42"/>
      <c r="Y595" s="42"/>
      <c r="Z595" s="42"/>
    </row>
    <row r="596">
      <c r="A596" s="41" t="str">
        <f>IFERROR(__xludf.DUMMYFUNCTION("""COMPUTED_VALUE"""),"M-214")</f>
        <v>M-214</v>
      </c>
      <c r="B596" s="42" t="str">
        <f>IFERROR(__xludf.DUMMYFUNCTION("""COMPUTED_VALUE"""),"Stone Tablet Mamodo")</f>
        <v>Stone Tablet Mamodo</v>
      </c>
      <c r="C596" s="42" t="str">
        <f>IFERROR(__xludf.DUMMYFUNCTION("""COMPUTED_VALUE"""),"Laila")</f>
        <v>Laila</v>
      </c>
      <c r="D596" s="42" t="str">
        <f>IFERROR(__xludf.DUMMYFUNCTION("""COMPUTED_VALUE"""),"Laila")</f>
        <v>Laila</v>
      </c>
      <c r="E596" s="42" t="str">
        <f>IFERROR(__xludf.DUMMYFUNCTION("""COMPUTED_VALUE"""),"-")</f>
        <v>-</v>
      </c>
      <c r="F596" s="42" t="str">
        <f>IFERROR(__xludf.DUMMYFUNCTION("""COMPUTED_VALUE"""),"-")</f>
        <v>-</v>
      </c>
      <c r="G596" s="42" t="str">
        <f>IFERROR(__xludf.DUMMYFUNCTION("""COMPUTED_VALUE"""),"None")</f>
        <v>None</v>
      </c>
      <c r="H596" s="42" t="str">
        <f>IFERROR(__xludf.DUMMYFUNCTION("""COMPUTED_VALUE"""),"True Power")</f>
        <v>True Power</v>
      </c>
      <c r="I596" s="43" t="str">
        <f>IFERROR(__xludf.DUMMYFUNCTION("""COMPUTED_VALUE"""),"[IN PLAY] You can apply the effects of your MAMODO cards with a PARTNER card attached even when you are prohibited to do so. In addition, the effects of your MAMODO cards with a PARTNER card attached cannot be negated by cut-in effects.")</f>
        <v>[IN PLAY] You can apply the effects of your MAMODO cards with a PARTNER card attached even when you are prohibited to do so. In addition, the effects of your MAMODO cards with a PARTNER card attached cannot be negated by cut-in effects.</v>
      </c>
      <c r="J596" s="42">
        <f>IFERROR(__xludf.DUMMYFUNCTION("""COMPUTED_VALUE"""),4500.0)</f>
        <v>4500</v>
      </c>
      <c r="K596" s="42" t="str">
        <f>IFERROR(__xludf.DUMMYFUNCTION("""COMPUTED_VALUE"""),"-")</f>
        <v>-</v>
      </c>
      <c r="L596" s="42" t="str">
        <f>IFERROR(__xludf.DUMMYFUNCTION("""COMPUTED_VALUE"""),"-")</f>
        <v>-</v>
      </c>
      <c r="M596" s="42" t="str">
        <f>IFERROR(__xludf.DUMMYFUNCTION("""COMPUTED_VALUE"""),"[U]")</f>
        <v>[U]</v>
      </c>
      <c r="N596" s="42" t="str">
        <f>IFERROR(__xludf.DUMMYFUNCTION("""COMPUTED_VALUE"""),"""I'll show you how strong a mamodo can be with a true partner!""")</f>
        <v>"I'll show you how strong a mamodo can be with a true partner!"</v>
      </c>
      <c r="O596" s="42"/>
      <c r="P596" s="42"/>
      <c r="Q596" s="42"/>
      <c r="R596" s="42"/>
      <c r="S596" s="42"/>
      <c r="T596" s="42"/>
      <c r="U596" s="42"/>
      <c r="V596" s="42"/>
      <c r="W596" s="42"/>
      <c r="X596" s="42"/>
      <c r="Y596" s="42"/>
      <c r="Z596" s="42"/>
    </row>
    <row r="597">
      <c r="A597" s="41" t="str">
        <f>IFERROR(__xludf.DUMMYFUNCTION("""COMPUTED_VALUE"""),"M-215")</f>
        <v>M-215</v>
      </c>
      <c r="B597" s="42" t="str">
        <f>IFERROR(__xludf.DUMMYFUNCTION("""COMPUTED_VALUE"""),"Stone Tablet Mamodo")</f>
        <v>Stone Tablet Mamodo</v>
      </c>
      <c r="C597" s="42" t="str">
        <f>IFERROR(__xludf.DUMMYFUNCTION("""COMPUTED_VALUE"""),"Tsao-lon")</f>
        <v>Tsao-lon</v>
      </c>
      <c r="D597" s="42" t="str">
        <f>IFERROR(__xludf.DUMMYFUNCTION("""COMPUTED_VALUE"""),"Tsao-lon")</f>
        <v>Tsao-lon</v>
      </c>
      <c r="E597" s="42" t="str">
        <f>IFERROR(__xludf.DUMMYFUNCTION("""COMPUTED_VALUE"""),"-")</f>
        <v>-</v>
      </c>
      <c r="F597" s="42" t="str">
        <f>IFERROR(__xludf.DUMMYFUNCTION("""COMPUTED_VALUE"""),"-")</f>
        <v>-</v>
      </c>
      <c r="G597" s="42" t="str">
        <f>IFERROR(__xludf.DUMMYFUNCTION("""COMPUTED_VALUE"""),"None")</f>
        <v>None</v>
      </c>
      <c r="H597" s="42" t="str">
        <f>IFERROR(__xludf.DUMMYFUNCTION("""COMPUTED_VALUE"""),"Whirlwind Staff")</f>
        <v>Whirlwind Staff</v>
      </c>
      <c r="I597" s="43" t="str">
        <f>IFERROR(__xludf.DUMMYFUNCTION("""COMPUTED_VALUE"""),"(Attack) (Defense) [1 MP] This card may Attack without using a SPELL card (Total Power=6000, Damage=1) OR, Defend without using a SPELL card (Total Power=6000).")</f>
        <v>(Attack) (Defense) [1 MP] This card may Attack without using a SPELL card (Total Power=6000, Damage=1) OR, Defend without using a SPELL card (Total Power=6000).</v>
      </c>
      <c r="J597" s="42">
        <f>IFERROR(__xludf.DUMMYFUNCTION("""COMPUTED_VALUE"""),5000.0)</f>
        <v>5000</v>
      </c>
      <c r="K597" s="42" t="str">
        <f>IFERROR(__xludf.DUMMYFUNCTION("""COMPUTED_VALUE"""),"-")</f>
        <v>-</v>
      </c>
      <c r="L597" s="42" t="str">
        <f>IFERROR(__xludf.DUMMYFUNCTION("""COMPUTED_VALUE"""),"-")</f>
        <v>-</v>
      </c>
      <c r="M597" s="42" t="str">
        <f>IFERROR(__xludf.DUMMYFUNCTION("""COMPUTED_VALUE"""),"[U]")</f>
        <v>[U]</v>
      </c>
      <c r="N597" s="42" t="str">
        <f>IFERROR(__xludf.DUMMYFUNCTION("""COMPUTED_VALUE"""),"""Heh. So, you're not stupid enough to jump in without thinking.""")</f>
        <v>"Heh. So, you're not stupid enough to jump in without thinking."</v>
      </c>
      <c r="O597" s="42"/>
      <c r="P597" s="42"/>
      <c r="Q597" s="42"/>
      <c r="R597" s="42"/>
      <c r="S597" s="42"/>
      <c r="T597" s="42"/>
      <c r="U597" s="42"/>
      <c r="V597" s="42"/>
      <c r="W597" s="42"/>
      <c r="X597" s="42"/>
      <c r="Y597" s="42"/>
      <c r="Z597" s="42"/>
    </row>
    <row r="598">
      <c r="A598" s="41" t="str">
        <f>IFERROR(__xludf.DUMMYFUNCTION("""COMPUTED_VALUE"""),"M-216")</f>
        <v>M-216</v>
      </c>
      <c r="B598" s="42" t="str">
        <f>IFERROR(__xludf.DUMMYFUNCTION("""COMPUTED_VALUE"""),"Stone Tablet Mamodo")</f>
        <v>Stone Tablet Mamodo</v>
      </c>
      <c r="C598" s="42" t="str">
        <f>IFERROR(__xludf.DUMMYFUNCTION("""COMPUTED_VALUE"""),"Belgim E.O.")</f>
        <v>Belgim E.O.</v>
      </c>
      <c r="D598" s="42" t="str">
        <f>IFERROR(__xludf.DUMMYFUNCTION("""COMPUTED_VALUE"""),"Belgim E.O.")</f>
        <v>Belgim E.O.</v>
      </c>
      <c r="E598" s="42" t="str">
        <f>IFERROR(__xludf.DUMMYFUNCTION("""COMPUTED_VALUE"""),"-")</f>
        <v>-</v>
      </c>
      <c r="F598" s="42" t="str">
        <f>IFERROR(__xludf.DUMMYFUNCTION("""COMPUTED_VALUE"""),"-")</f>
        <v>-</v>
      </c>
      <c r="G598" s="42" t="str">
        <f>IFERROR(__xludf.DUMMYFUNCTION("""COMPUTED_VALUE"""),"None")</f>
        <v>None</v>
      </c>
      <c r="H598" s="42" t="str">
        <f>IFERROR(__xludf.DUMMYFUNCTION("""COMPUTED_VALUE"""),"Deep-Seated Punishment")</f>
        <v>Deep-Seated Punishment</v>
      </c>
      <c r="I598" s="43" t="str">
        <f>IFERROR(__xludf.DUMMYFUNCTION("""COMPUTED_VALUE"""),"[SEND THIS CARD TO THE DISCARD PILE] If your Spell Book received Damage or had its pages turned by your opponent's card effects during this turn, turn 2 pages of your opponent's Spell Book.")</f>
        <v>[SEND THIS CARD TO THE DISCARD PILE] If your Spell Book received Damage or had its pages turned by your opponent's card effects during this turn, turn 2 pages of your opponent's Spell Book.</v>
      </c>
      <c r="J598" s="42">
        <f>IFERROR(__xludf.DUMMYFUNCTION("""COMPUTED_VALUE"""),6000.0)</f>
        <v>6000</v>
      </c>
      <c r="K598" s="42" t="str">
        <f>IFERROR(__xludf.DUMMYFUNCTION("""COMPUTED_VALUE"""),"-")</f>
        <v>-</v>
      </c>
      <c r="L598" s="42" t="str">
        <f>IFERROR(__xludf.DUMMYFUNCTION("""COMPUTED_VALUE"""),"-")</f>
        <v>-</v>
      </c>
      <c r="M598" s="42" t="str">
        <f>IFERROR(__xludf.DUMMYFUNCTION("""COMPUTED_VALUE"""),"[U]")</f>
        <v>[U]</v>
      </c>
      <c r="N598" s="42" t="str">
        <f>IFERROR(__xludf.DUMMYFUNCTION("""COMPUTED_VALUE"""),"""What are you doing with my book?!""")</f>
        <v>"What are you doing with my book?!"</v>
      </c>
      <c r="O598" s="42"/>
      <c r="P598" s="42"/>
      <c r="Q598" s="42"/>
      <c r="R598" s="42"/>
      <c r="S598" s="42"/>
      <c r="T598" s="42"/>
      <c r="U598" s="42"/>
      <c r="V598" s="42"/>
      <c r="W598" s="42"/>
      <c r="X598" s="42"/>
      <c r="Y598" s="42"/>
      <c r="Z598" s="42"/>
    </row>
    <row r="599">
      <c r="A599" s="41" t="str">
        <f>IFERROR(__xludf.DUMMYFUNCTION("""COMPUTED_VALUE"""),"M-217")</f>
        <v>M-217</v>
      </c>
      <c r="B599" s="42" t="str">
        <f>IFERROR(__xludf.DUMMYFUNCTION("""COMPUTED_VALUE"""),"Stone Tablet Mamodo")</f>
        <v>Stone Tablet Mamodo</v>
      </c>
      <c r="C599" s="42" t="str">
        <f>IFERROR(__xludf.DUMMYFUNCTION("""COMPUTED_VALUE"""),"Pamoon")</f>
        <v>Pamoon</v>
      </c>
      <c r="D599" s="42" t="str">
        <f>IFERROR(__xludf.DUMMYFUNCTION("""COMPUTED_VALUE"""),"Pamoon")</f>
        <v>Pamoon</v>
      </c>
      <c r="E599" s="42" t="str">
        <f>IFERROR(__xludf.DUMMYFUNCTION("""COMPUTED_VALUE"""),"-")</f>
        <v>-</v>
      </c>
      <c r="F599" s="42" t="str">
        <f>IFERROR(__xludf.DUMMYFUNCTION("""COMPUTED_VALUE"""),"-")</f>
        <v>-</v>
      </c>
      <c r="G599" s="42" t="str">
        <f>IFERROR(__xludf.DUMMYFUNCTION("""COMPUTED_VALUE"""),"None")</f>
        <v>None</v>
      </c>
      <c r="H599" s="42" t="str">
        <f>IFERROR(__xludf.DUMMYFUNCTION("""COMPUTED_VALUE"""),"Eyes of Fear")</f>
        <v>Eyes of Fear</v>
      </c>
      <c r="I599" s="43" t="str">
        <f>IFERROR(__xludf.DUMMYFUNCTION("""COMPUTED_VALUE"""),"[SEND THIS CARD TO THE DISCARD PILE] [STANDBY] When you put a Pamoon MAMODO card in play during the next turn onward, place 2 MP counters on that Pamoon MAMODO card (MP counters on this card can be spent as your own MP).")</f>
        <v>[SEND THIS CARD TO THE DISCARD PILE] [STANDBY] When you put a Pamoon MAMODO card in play during the next turn onward, place 2 MP counters on that Pamoon MAMODO card (MP counters on this card can be spent as your own MP).</v>
      </c>
      <c r="J599" s="42">
        <f>IFERROR(__xludf.DUMMYFUNCTION("""COMPUTED_VALUE"""),6000.0)</f>
        <v>6000</v>
      </c>
      <c r="K599" s="42" t="str">
        <f>IFERROR(__xludf.DUMMYFUNCTION("""COMPUTED_VALUE"""),"-")</f>
        <v>-</v>
      </c>
      <c r="L599" s="42" t="str">
        <f>IFERROR(__xludf.DUMMYFUNCTION("""COMPUTED_VALUE"""),"-")</f>
        <v>-</v>
      </c>
      <c r="M599" s="42" t="str">
        <f>IFERROR(__xludf.DUMMYFUNCTION("""COMPUTED_VALUE"""),"[U]")</f>
        <v>[U]</v>
      </c>
      <c r="N599" s="42" t="str">
        <f>IFERROR(__xludf.DUMMYFUNCTION("""COMPUTED_VALUE"""),"""You're about to learn... that there is a special kind of power that is born from fear.""")</f>
        <v>"You're about to learn... that there is a special kind of power that is born from fear."</v>
      </c>
      <c r="O599" s="42"/>
      <c r="P599" s="42"/>
      <c r="Q599" s="42"/>
      <c r="R599" s="42"/>
      <c r="S599" s="42"/>
      <c r="T599" s="42"/>
      <c r="U599" s="42"/>
      <c r="V599" s="42"/>
      <c r="W599" s="42"/>
      <c r="X599" s="42"/>
      <c r="Y599" s="42"/>
      <c r="Z599" s="42"/>
    </row>
    <row r="600">
      <c r="A600" s="41" t="str">
        <f>IFERROR(__xludf.DUMMYFUNCTION("""COMPUTED_VALUE"""),"M-218")</f>
        <v>M-218</v>
      </c>
      <c r="B600" s="42" t="str">
        <f>IFERROR(__xludf.DUMMYFUNCTION("""COMPUTED_VALUE"""),"Stone Tablet Mamodo")</f>
        <v>Stone Tablet Mamodo</v>
      </c>
      <c r="C600" s="42" t="str">
        <f>IFERROR(__xludf.DUMMYFUNCTION("""COMPUTED_VALUE"""),"Demolt")</f>
        <v>Demolt</v>
      </c>
      <c r="D600" s="42" t="str">
        <f>IFERROR(__xludf.DUMMYFUNCTION("""COMPUTED_VALUE"""),"Demolt")</f>
        <v>Demolt</v>
      </c>
      <c r="E600" s="42" t="str">
        <f>IFERROR(__xludf.DUMMYFUNCTION("""COMPUTED_VALUE"""),"-")</f>
        <v>-</v>
      </c>
      <c r="F600" s="42" t="str">
        <f>IFERROR(__xludf.DUMMYFUNCTION("""COMPUTED_VALUE"""),"-")</f>
        <v>-</v>
      </c>
      <c r="G600" s="42" t="str">
        <f>IFERROR(__xludf.DUMMYFUNCTION("""COMPUTED_VALUE"""),"Intermediate")</f>
        <v>Intermediate</v>
      </c>
      <c r="H600" s="42" t="str">
        <f>IFERROR(__xludf.DUMMYFUNCTION("""COMPUTED_VALUE"""),"Escape")</f>
        <v>Escape</v>
      </c>
      <c r="I600" s="43" t="str">
        <f>IFERROR(__xludf.DUMMYFUNCTION("""COMPUTED_VALUE"""),"[DECLARE TO USE] Select 1 card from any page of your Spell Book (except the open pages) and send it to the Discard Pile. Then, move this MAMODO card to the empty page. [DECLARE TO USE] [STAY] Put this MAMODO card in Flight Status during this turn.")</f>
        <v>[DECLARE TO USE] Select 1 card from any page of your Spell Book (except the open pages) and send it to the Discard Pile. Then, move this MAMODO card to the empty page. [DECLARE TO USE] [STAY] Put this MAMODO card in Flight Status during this turn.</v>
      </c>
      <c r="J600" s="42">
        <f>IFERROR(__xludf.DUMMYFUNCTION("""COMPUTED_VALUE"""),7000.0)</f>
        <v>7000</v>
      </c>
      <c r="K600" s="42" t="str">
        <f>IFERROR(__xludf.DUMMYFUNCTION("""COMPUTED_VALUE"""),"-")</f>
        <v>-</v>
      </c>
      <c r="L600" s="42" t="str">
        <f>IFERROR(__xludf.DUMMYFUNCTION("""COMPUTED_VALUE"""),"-")</f>
        <v>-</v>
      </c>
      <c r="M600" s="42" t="str">
        <f>IFERROR(__xludf.DUMMYFUNCTION("""COMPUTED_VALUE"""),"[R]")</f>
        <v>[R]</v>
      </c>
      <c r="N600" s="42" t="str">
        <f>IFERROR(__xludf.DUMMYFUNCTION("""COMPUTED_VALUE"""),"""RUOOOOOOOOOOOOOH!""")</f>
        <v>"RUOOOOOOOOOOOOOH!"</v>
      </c>
      <c r="O600" s="42"/>
      <c r="P600" s="42"/>
      <c r="Q600" s="42"/>
      <c r="R600" s="42"/>
      <c r="S600" s="42"/>
      <c r="T600" s="42"/>
      <c r="U600" s="42"/>
      <c r="V600" s="42"/>
      <c r="W600" s="42"/>
      <c r="X600" s="42"/>
      <c r="Y600" s="42"/>
      <c r="Z600" s="42"/>
    </row>
    <row r="601">
      <c r="A601" s="41" t="str">
        <f>IFERROR(__xludf.DUMMYFUNCTION("""COMPUTED_VALUE"""),"M-219")</f>
        <v>M-219</v>
      </c>
      <c r="B601" s="42" t="str">
        <f>IFERROR(__xludf.DUMMYFUNCTION("""COMPUTED_VALUE"""),"VS Mamodo")</f>
        <v>VS Mamodo</v>
      </c>
      <c r="C601" s="42" t="str">
        <f>IFERROR(__xludf.DUMMYFUNCTION("""COMPUTED_VALUE"""),"Zatch Bell VS Zofis")</f>
        <v>Zatch Bell VS Zofis</v>
      </c>
      <c r="D601" s="42" t="str">
        <f>IFERROR(__xludf.DUMMYFUNCTION("""COMPUTED_VALUE"""),"Zatch Bell | Zofis")</f>
        <v>Zatch Bell | Zofis</v>
      </c>
      <c r="E601" s="42" t="str">
        <f>IFERROR(__xludf.DUMMYFUNCTION("""COMPUTED_VALUE"""),"-")</f>
        <v>-</v>
      </c>
      <c r="F601" s="42" t="str">
        <f>IFERROR(__xludf.DUMMYFUNCTION("""COMPUTED_VALUE"""),"-")</f>
        <v>-</v>
      </c>
      <c r="G601" s="42" t="str">
        <f>IFERROR(__xludf.DUMMYFUNCTION("""COMPUTED_VALUE"""),"Intermediate")</f>
        <v>Intermediate</v>
      </c>
      <c r="H601" s="42" t="str">
        <f>IFERROR(__xludf.DUMMYFUNCTION("""COMPUTED_VALUE"""),"Unforgivable")</f>
        <v>Unforgivable</v>
      </c>
      <c r="I601" s="43" t="str">
        <f>IFERROR(__xludf.DUMMYFUNCTION("""COMPUTED_VALUE"""),"Send either player's in-play Zatch Bell or Zofis MAMODO card to the Discard Pile to put this MAMODO card in play. [2 MP] [STAY] Neither player can apply the effects of MAMODO cards except Zatch Bell and Zofis MAMODO cards during this turn.")</f>
        <v>Send either player's in-play Zatch Bell or Zofis MAMODO card to the Discard Pile to put this MAMODO card in play. [2 MP] [STAY] Neither player can apply the effects of MAMODO cards except Zatch Bell and Zofis MAMODO cards during this turn.</v>
      </c>
      <c r="J601" s="42">
        <f>IFERROR(__xludf.DUMMYFUNCTION("""COMPUTED_VALUE"""),5000.0)</f>
        <v>5000</v>
      </c>
      <c r="K601" s="42" t="str">
        <f>IFERROR(__xludf.DUMMYFUNCTION("""COMPUTED_VALUE"""),"-")</f>
        <v>-</v>
      </c>
      <c r="L601" s="42" t="str">
        <f>IFERROR(__xludf.DUMMYFUNCTION("""COMPUTED_VALUE"""),"-")</f>
        <v>-</v>
      </c>
      <c r="M601" s="42" t="str">
        <f>IFERROR(__xludf.DUMMYFUNCTION("""COMPUTED_VALUE"""),"[R]")</f>
        <v>[R]</v>
      </c>
      <c r="N601" s="42" t="str">
        <f>IFERROR(__xludf.DUMMYFUNCTION("""COMPUTED_VALUE"""),"""Zofis, I'll never forgive you for what you've done!""")</f>
        <v>"Zofis, I'll never forgive you for what you've done!"</v>
      </c>
      <c r="O601" s="42"/>
      <c r="P601" s="42"/>
      <c r="Q601" s="42"/>
      <c r="R601" s="42"/>
      <c r="S601" s="42"/>
      <c r="T601" s="42"/>
      <c r="U601" s="42"/>
      <c r="V601" s="42"/>
      <c r="W601" s="42"/>
      <c r="X601" s="42"/>
      <c r="Y601" s="42"/>
      <c r="Z601" s="42"/>
    </row>
    <row r="602">
      <c r="A602" s="41" t="str">
        <f>IFERROR(__xludf.DUMMYFUNCTION("""COMPUTED_VALUE"""),"M-220")</f>
        <v>M-220</v>
      </c>
      <c r="B602" s="42" t="str">
        <f>IFERROR(__xludf.DUMMYFUNCTION("""COMPUTED_VALUE"""),"Mamodo")</f>
        <v>Mamodo</v>
      </c>
      <c r="C602" s="42" t="str">
        <f>IFERROR(__xludf.DUMMYFUNCTION("""COMPUTED_VALUE"""),"Zeno")</f>
        <v>Zeno</v>
      </c>
      <c r="D602" s="42" t="str">
        <f>IFERROR(__xludf.DUMMYFUNCTION("""COMPUTED_VALUE"""),"Zeno")</f>
        <v>Zeno</v>
      </c>
      <c r="E602" s="42" t="str">
        <f>IFERROR(__xludf.DUMMYFUNCTION("""COMPUTED_VALUE"""),"-")</f>
        <v>-</v>
      </c>
      <c r="F602" s="42" t="str">
        <f>IFERROR(__xludf.DUMMYFUNCTION("""COMPUTED_VALUE"""),"-")</f>
        <v>-</v>
      </c>
      <c r="G602" s="42" t="str">
        <f>IFERROR(__xludf.DUMMYFUNCTION("""COMPUTED_VALUE"""),"None")</f>
        <v>None</v>
      </c>
      <c r="H602" s="42" t="str">
        <f>IFERROR(__xludf.DUMMYFUNCTION("""COMPUTED_VALUE"""),"Astonished")</f>
        <v>Astonished</v>
      </c>
      <c r="I602" s="43" t="str">
        <f>IFERROR(__xludf.DUMMYFUNCTION("""COMPUTED_VALUE"""),"[DECLARE TO USE] Look at your opponent's Spell Book. Select 2 EVENT cards with the same card name and send them to the Discard Pile. This effect can be applied only once per game (per player).")</f>
        <v>[DECLARE TO USE] Look at your opponent's Spell Book. Select 2 EVENT cards with the same card name and send them to the Discard Pile. This effect can be applied only once per game (per player).</v>
      </c>
      <c r="J602" s="42">
        <f>IFERROR(__xludf.DUMMYFUNCTION("""COMPUTED_VALUE"""),7000.0)</f>
        <v>7000</v>
      </c>
      <c r="K602" s="42" t="str">
        <f>IFERROR(__xludf.DUMMYFUNCTION("""COMPUTED_VALUE"""),"-")</f>
        <v>-</v>
      </c>
      <c r="L602" s="42" t="str">
        <f>IFERROR(__xludf.DUMMYFUNCTION("""COMPUTED_VALUE"""),"-")</f>
        <v>-</v>
      </c>
      <c r="M602" s="42" t="str">
        <f>IFERROR(__xludf.DUMMYFUNCTION("""COMPUTED_VALUE"""),"[SR]")</f>
        <v>[SR]</v>
      </c>
      <c r="N602" s="42" t="str">
        <f>IFERROR(__xludf.DUMMYFUNCTION("""COMPUTED_VALUE"""),"""What... What is happening?""")</f>
        <v>"What... What is happening?"</v>
      </c>
      <c r="O602" s="42"/>
      <c r="P602" s="42"/>
      <c r="Q602" s="42"/>
      <c r="R602" s="42"/>
      <c r="S602" s="42"/>
      <c r="T602" s="42"/>
      <c r="U602" s="42"/>
      <c r="V602" s="42"/>
      <c r="W602" s="42"/>
      <c r="X602" s="42"/>
      <c r="Y602" s="42"/>
      <c r="Z602" s="42"/>
    </row>
    <row r="603">
      <c r="A603" s="41" t="str">
        <f>IFERROR(__xludf.DUMMYFUNCTION("""COMPUTED_VALUE"""),"M-221")</f>
        <v>M-221</v>
      </c>
      <c r="B603" s="42" t="str">
        <f>IFERROR(__xludf.DUMMYFUNCTION("""COMPUTED_VALUE"""),"Mamodo")</f>
        <v>Mamodo</v>
      </c>
      <c r="C603" s="42" t="str">
        <f>IFERROR(__xludf.DUMMYFUNCTION("""COMPUTED_VALUE"""),"Zatch Bell")</f>
        <v>Zatch Bell</v>
      </c>
      <c r="D603" s="42" t="str">
        <f>IFERROR(__xludf.DUMMYFUNCTION("""COMPUTED_VALUE"""),"Zatch Bell")</f>
        <v>Zatch Bell</v>
      </c>
      <c r="E603" s="42" t="str">
        <f>IFERROR(__xludf.DUMMYFUNCTION("""COMPUTED_VALUE"""),"-")</f>
        <v>-</v>
      </c>
      <c r="F603" s="42" t="str">
        <f>IFERROR(__xludf.DUMMYFUNCTION("""COMPUTED_VALUE"""),"-")</f>
        <v>-</v>
      </c>
      <c r="G603" s="42" t="str">
        <f>IFERROR(__xludf.DUMMYFUNCTION("""COMPUTED_VALUE"""),"None")</f>
        <v>None</v>
      </c>
      <c r="H603" s="42" t="str">
        <f>IFERROR(__xludf.DUMMYFUNCTION("""COMPUTED_VALUE"""),"Power Welling Up")</f>
        <v>Power Welling Up</v>
      </c>
      <c r="I603" s="43" t="str">
        <f>IFERROR(__xludf.DUMMYFUNCTION("""COMPUTED_VALUE"""),"[DECLARE TO USE] [STAY] Reduce the MP cost of all SPELL cards you play during this turn with Zatch Bell as their MAMODO name until they reach a cost of 5 MP. This effect can be applied only once per game (per player).")</f>
        <v>[DECLARE TO USE] [STAY] Reduce the MP cost of all SPELL cards you play during this turn with Zatch Bell as their MAMODO name until they reach a cost of 5 MP. This effect can be applied only once per game (per player).</v>
      </c>
      <c r="J603" s="42">
        <f>IFERROR(__xludf.DUMMYFUNCTION("""COMPUTED_VALUE"""),4500.0)</f>
        <v>4500</v>
      </c>
      <c r="K603" s="42" t="str">
        <f>IFERROR(__xludf.DUMMYFUNCTION("""COMPUTED_VALUE"""),"-")</f>
        <v>-</v>
      </c>
      <c r="L603" s="42" t="str">
        <f>IFERROR(__xludf.DUMMYFUNCTION("""COMPUTED_VALUE"""),"-")</f>
        <v>-</v>
      </c>
      <c r="M603" s="42" t="str">
        <f>IFERROR(__xludf.DUMMYFUNCTION("""COMPUTED_VALUE"""),"[U]")</f>
        <v>[U]</v>
      </c>
      <c r="N603" s="42" t="str">
        <f>IFERROR(__xludf.DUMMYFUNCTION("""COMPUTED_VALUE"""),"With sincere feelings for his friends, and a strong will to win... Zatch’s power knows no bounds.")</f>
        <v>With sincere feelings for his friends, and a strong will to win... Zatch’s power knows no bounds.</v>
      </c>
      <c r="O603" s="42"/>
      <c r="P603" s="42"/>
      <c r="Q603" s="42"/>
      <c r="R603" s="42"/>
      <c r="S603" s="42"/>
      <c r="T603" s="42"/>
      <c r="U603" s="42"/>
      <c r="V603" s="42"/>
      <c r="W603" s="42"/>
      <c r="X603" s="42"/>
      <c r="Y603" s="42"/>
      <c r="Z603" s="42"/>
    </row>
    <row r="604">
      <c r="A604" s="41" t="str">
        <f>IFERROR(__xludf.DUMMYFUNCTION("""COMPUTED_VALUE"""),"M-222")</f>
        <v>M-222</v>
      </c>
      <c r="B604" s="42" t="str">
        <f>IFERROR(__xludf.DUMMYFUNCTION("""COMPUTED_VALUE"""),"Mamodo")</f>
        <v>Mamodo</v>
      </c>
      <c r="C604" s="42" t="str">
        <f>IFERROR(__xludf.DUMMYFUNCTION("""COMPUTED_VALUE"""),"Brago")</f>
        <v>Brago</v>
      </c>
      <c r="D604" s="42" t="str">
        <f>IFERROR(__xludf.DUMMYFUNCTION("""COMPUTED_VALUE"""),"Brago")</f>
        <v>Brago</v>
      </c>
      <c r="E604" s="42" t="str">
        <f>IFERROR(__xludf.DUMMYFUNCTION("""COMPUTED_VALUE"""),"-")</f>
        <v>-</v>
      </c>
      <c r="F604" s="42" t="str">
        <f>IFERROR(__xludf.DUMMYFUNCTION("""COMPUTED_VALUE"""),"-")</f>
        <v>-</v>
      </c>
      <c r="G604" s="42" t="str">
        <f>IFERROR(__xludf.DUMMYFUNCTION("""COMPUTED_VALUE"""),"None")</f>
        <v>None</v>
      </c>
      <c r="H604" s="42" t="str">
        <f>IFERROR(__xludf.DUMMYFUNCTION("""COMPUTED_VALUE"""),"Intimidation")</f>
        <v>Intimidation</v>
      </c>
      <c r="I604" s="43" t="str">
        <f>IFERROR(__xludf.DUMMYFUNCTION("""COMPUTED_VALUE"""),"[IN PLAY] Your opponent can neither move MAMODO cards from their Discard Pile into play or into empty pages of their Spell Book, nor can they apply the effects of MAMODO cards in their Discard Pile.")</f>
        <v>[IN PLAY] Your opponent can neither move MAMODO cards from their Discard Pile into play or into empty pages of their Spell Book, nor can they apply the effects of MAMODO cards in their Discard Pile.</v>
      </c>
      <c r="J604" s="42">
        <f>IFERROR(__xludf.DUMMYFUNCTION("""COMPUTED_VALUE"""),5000.0)</f>
        <v>5000</v>
      </c>
      <c r="K604" s="42" t="str">
        <f>IFERROR(__xludf.DUMMYFUNCTION("""COMPUTED_VALUE"""),"-")</f>
        <v>-</v>
      </c>
      <c r="L604" s="42" t="str">
        <f>IFERROR(__xludf.DUMMYFUNCTION("""COMPUTED_VALUE"""),"-")</f>
        <v>-</v>
      </c>
      <c r="M604" s="42" t="str">
        <f>IFERROR(__xludf.DUMMYFUNCTION("""COMPUTED_VALUE"""),"[R]")</f>
        <v>[R]</v>
      </c>
      <c r="N604" s="42" t="str">
        <f>IFERROR(__xludf.DUMMYFUNCTION("""COMPUTED_VALUE"""),"“Do you want to spend a lifetime in fear? Running away from me, even after returning to the mamodo world?”")</f>
        <v>“Do you want to spend a lifetime in fear? Running away from me, even after returning to the mamodo world?”</v>
      </c>
      <c r="O604" s="42"/>
      <c r="P604" s="42"/>
      <c r="Q604" s="42"/>
      <c r="R604" s="42"/>
      <c r="S604" s="42"/>
      <c r="T604" s="42"/>
      <c r="U604" s="42"/>
      <c r="V604" s="42"/>
      <c r="W604" s="42"/>
      <c r="X604" s="42"/>
      <c r="Y604" s="42"/>
      <c r="Z604" s="42"/>
    </row>
    <row r="605">
      <c r="A605" s="41" t="str">
        <f>IFERROR(__xludf.DUMMYFUNCTION("""COMPUTED_VALUE"""),"M-223")</f>
        <v>M-223</v>
      </c>
      <c r="B605" s="42" t="str">
        <f>IFERROR(__xludf.DUMMYFUNCTION("""COMPUTED_VALUE"""),"Mamodo")</f>
        <v>Mamodo</v>
      </c>
      <c r="C605" s="42" t="str">
        <f>IFERROR(__xludf.DUMMYFUNCTION("""COMPUTED_VALUE"""),"Ponygon")</f>
        <v>Ponygon</v>
      </c>
      <c r="D605" s="42" t="str">
        <f>IFERROR(__xludf.DUMMYFUNCTION("""COMPUTED_VALUE"""),"Ponygon")</f>
        <v>Ponygon</v>
      </c>
      <c r="E605" s="42" t="str">
        <f>IFERROR(__xludf.DUMMYFUNCTION("""COMPUTED_VALUE"""),"-")</f>
        <v>-</v>
      </c>
      <c r="F605" s="42" t="str">
        <f>IFERROR(__xludf.DUMMYFUNCTION("""COMPUTED_VALUE"""),"-")</f>
        <v>-</v>
      </c>
      <c r="G605" s="42" t="str">
        <f>IFERROR(__xludf.DUMMYFUNCTION("""COMPUTED_VALUE"""),"None")</f>
        <v>None</v>
      </c>
      <c r="H605" s="42" t="str">
        <f>IFERROR(__xludf.DUMMYFUNCTION("""COMPUTED_VALUE"""),"A Tearful Reunion")</f>
        <v>A Tearful Reunion</v>
      </c>
      <c r="I605" s="43" t="str">
        <f>IFERROR(__xludf.DUMMYFUNCTION("""COMPUTED_VALUE"""),"[DECLARE TO USE] Switch 1 card in the currently open pages of your Spell Book with 1 Kafk Sunbeam PARTNER card from any page of your Spell Book. This effect can be applied only once per game (per player).")</f>
        <v>[DECLARE TO USE] Switch 1 card in the currently open pages of your Spell Book with 1 Kafk Sunbeam PARTNER card from any page of your Spell Book. This effect can be applied only once per game (per player).</v>
      </c>
      <c r="J605" s="42">
        <f>IFERROR(__xludf.DUMMYFUNCTION("""COMPUTED_VALUE"""),3000.0)</f>
        <v>3000</v>
      </c>
      <c r="K605" s="42" t="str">
        <f>IFERROR(__xludf.DUMMYFUNCTION("""COMPUTED_VALUE"""),"-")</f>
        <v>-</v>
      </c>
      <c r="L605" s="42" t="str">
        <f>IFERROR(__xludf.DUMMYFUNCTION("""COMPUTED_VALUE"""),"-")</f>
        <v>-</v>
      </c>
      <c r="M605" s="42" t="str">
        <f>IFERROR(__xludf.DUMMYFUNCTION("""COMPUTED_VALUE"""),"[R]")</f>
        <v>[R]</v>
      </c>
      <c r="N605" s="42" t="str">
        <f>IFERROR(__xludf.DUMMYFUNCTION("""COMPUTED_VALUE"""),"Ponygon's journey begins following Sunbeam, who went to work in Hokkaido.")</f>
        <v>Ponygon's journey begins following Sunbeam, who went to work in Hokkaido.</v>
      </c>
      <c r="O605" s="42"/>
      <c r="P605" s="42"/>
      <c r="Q605" s="42"/>
      <c r="R605" s="42"/>
      <c r="S605" s="42"/>
      <c r="T605" s="42"/>
      <c r="U605" s="42"/>
      <c r="V605" s="42"/>
      <c r="W605" s="42"/>
      <c r="X605" s="42"/>
      <c r="Y605" s="42"/>
      <c r="Z605" s="42"/>
    </row>
    <row r="606">
      <c r="A606" s="41" t="str">
        <f>IFERROR(__xludf.DUMMYFUNCTION("""COMPUTED_VALUE"""),"M-224")</f>
        <v>M-224</v>
      </c>
      <c r="B606" s="42" t="str">
        <f>IFERROR(__xludf.DUMMYFUNCTION("""COMPUTED_VALUE"""),"Mamodo")</f>
        <v>Mamodo</v>
      </c>
      <c r="C606" s="42" t="str">
        <f>IFERROR(__xludf.DUMMYFUNCTION("""COMPUTED_VALUE"""),"Ponygon (Dioemur Shudoruk Form)")</f>
        <v>Ponygon (Dioemur Shudoruk Form)</v>
      </c>
      <c r="D606" s="42" t="str">
        <f>IFERROR(__xludf.DUMMYFUNCTION("""COMPUTED_VALUE"""),"Ponygon (Dioemur Shudoruk Form)")</f>
        <v>Ponygon (Dioemur Shudoruk Form)</v>
      </c>
      <c r="E606" s="42" t="str">
        <f>IFERROR(__xludf.DUMMYFUNCTION("""COMPUTED_VALUE"""),"-")</f>
        <v>-</v>
      </c>
      <c r="F606" s="42" t="str">
        <f>IFERROR(__xludf.DUMMYFUNCTION("""COMPUTED_VALUE"""),"-")</f>
        <v>-</v>
      </c>
      <c r="G606" s="42" t="str">
        <f>IFERROR(__xludf.DUMMYFUNCTION("""COMPUTED_VALUE"""),"None")</f>
        <v>None</v>
      </c>
      <c r="H606" s="42" t="str">
        <f>IFERROR(__xludf.DUMMYFUNCTION("""COMPUTED_VALUE"""),"Burning Soul")</f>
        <v>Burning Soul</v>
      </c>
      <c r="I606" s="43" t="str">
        <f>IFERROR(__xludf.DUMMYFUNCTION("""COMPUTED_VALUE"""),"This card is placed on a Ponygon MAMODO card. Send this card to the Discard Pile at the END PHASE of your next turn (the other Ponygon MAMODO card remains in play). (Attack) [DECLARE TO USE] This card may Attack without using a SPELL card (Total Power=100"&amp;"00, Damage=2).")</f>
        <v>This card is placed on a Ponygon MAMODO card. Send this card to the Discard Pile at the END PHASE of your next turn (the other Ponygon MAMODO card remains in play). (Attack) [DECLARE TO USE] This card may Attack without using a SPELL card (Total Power=10000, Damage=2).</v>
      </c>
      <c r="J606" s="42">
        <f>IFERROR(__xludf.DUMMYFUNCTION("""COMPUTED_VALUE"""),6000.0)</f>
        <v>6000</v>
      </c>
      <c r="K606" s="42" t="str">
        <f>IFERROR(__xludf.DUMMYFUNCTION("""COMPUTED_VALUE"""),"-")</f>
        <v>-</v>
      </c>
      <c r="L606" s="42" t="str">
        <f>IFERROR(__xludf.DUMMYFUNCTION("""COMPUTED_VALUE"""),"-")</f>
        <v>-</v>
      </c>
      <c r="M606" s="42" t="str">
        <f>IFERROR(__xludf.DUMMYFUNCTION("""COMPUTED_VALUE"""),"[SR]")</f>
        <v>[SR]</v>
      </c>
      <c r="N606" s="42" t="str">
        <f>IFERROR(__xludf.DUMMYFUNCTION("""COMPUTED_VALUE"""),"Flames emerge from Ponygon's body in the midst of a desperate situation!")</f>
        <v>Flames emerge from Ponygon's body in the midst of a desperate situation!</v>
      </c>
      <c r="O606" s="42"/>
      <c r="P606" s="42"/>
      <c r="Q606" s="42"/>
      <c r="R606" s="42"/>
      <c r="S606" s="42"/>
      <c r="T606" s="42"/>
      <c r="U606" s="42"/>
      <c r="V606" s="42"/>
      <c r="W606" s="42"/>
      <c r="X606" s="42"/>
      <c r="Y606" s="42"/>
      <c r="Z606" s="42"/>
    </row>
    <row r="607">
      <c r="A607" s="41" t="str">
        <f>IFERROR(__xludf.DUMMYFUNCTION("""COMPUTED_VALUE"""),"M-225")</f>
        <v>M-225</v>
      </c>
      <c r="B607" s="42" t="str">
        <f>IFERROR(__xludf.DUMMYFUNCTION("""COMPUTED_VALUE"""),"Mamodo")</f>
        <v>Mamodo</v>
      </c>
      <c r="C607" s="42" t="str">
        <f>IFERROR(__xludf.DUMMYFUNCTION("""COMPUTED_VALUE"""),"Zofis")</f>
        <v>Zofis</v>
      </c>
      <c r="D607" s="42" t="str">
        <f>IFERROR(__xludf.DUMMYFUNCTION("""COMPUTED_VALUE"""),"Zofis")</f>
        <v>Zofis</v>
      </c>
      <c r="E607" s="42" t="str">
        <f>IFERROR(__xludf.DUMMYFUNCTION("""COMPUTED_VALUE"""),"-")</f>
        <v>-</v>
      </c>
      <c r="F607" s="42" t="str">
        <f>IFERROR(__xludf.DUMMYFUNCTION("""COMPUTED_VALUE"""),"-")</f>
        <v>-</v>
      </c>
      <c r="G607" s="42" t="str">
        <f>IFERROR(__xludf.DUMMYFUNCTION("""COMPUTED_VALUE"""),"None")</f>
        <v>None</v>
      </c>
      <c r="H607" s="42" t="str">
        <f>IFERROR(__xludf.DUMMYFUNCTION("""COMPUTED_VALUE"""),"But... I Won't!")</f>
        <v>But... I Won't!</v>
      </c>
      <c r="I607" s="43" t="str">
        <f>IFERROR(__xludf.DUMMYFUNCTION("""COMPUTED_VALUE"""),"[SEND THIS CARD TO THE DISCARD PILE] (Cut-In) Negate the cut-in effect your opponent just applied.")</f>
        <v>[SEND THIS CARD TO THE DISCARD PILE] (Cut-In) Negate the cut-in effect your opponent just applied.</v>
      </c>
      <c r="J607" s="42">
        <f>IFERROR(__xludf.DUMMYFUNCTION("""COMPUTED_VALUE"""),5000.0)</f>
        <v>5000</v>
      </c>
      <c r="K607" s="42" t="str">
        <f>IFERROR(__xludf.DUMMYFUNCTION("""COMPUTED_VALUE"""),"-")</f>
        <v>-</v>
      </c>
      <c r="L607" s="42" t="str">
        <f>IFERROR(__xludf.DUMMYFUNCTION("""COMPUTED_VALUE"""),"-")</f>
        <v>-</v>
      </c>
      <c r="M607" s="42" t="str">
        <f>IFERROR(__xludf.DUMMYFUNCTION("""COMPUTED_VALUE"""),"[R]")</f>
        <v>[R]</v>
      </c>
      <c r="N607" s="42" t="str">
        <f>IFERROR(__xludf.DUMMYFUNCTION("""COMPUTED_VALUE"""),"“Why should I do you any favors? This is my final revenge over you. Give it up.”")</f>
        <v>“Why should I do you any favors? This is my final revenge over you. Give it up.”</v>
      </c>
      <c r="O607" s="42"/>
      <c r="P607" s="42"/>
      <c r="Q607" s="42"/>
      <c r="R607" s="42"/>
      <c r="S607" s="42"/>
      <c r="T607" s="42"/>
      <c r="U607" s="42"/>
      <c r="V607" s="42"/>
      <c r="W607" s="42"/>
      <c r="X607" s="42"/>
      <c r="Y607" s="42"/>
      <c r="Z607" s="42"/>
    </row>
    <row r="608">
      <c r="A608" s="41" t="str">
        <f>IFERROR(__xludf.DUMMYFUNCTION("""COMPUTED_VALUE"""),"M-226")</f>
        <v>M-226</v>
      </c>
      <c r="B608" s="42" t="str">
        <f>IFERROR(__xludf.DUMMYFUNCTION("""COMPUTED_VALUE"""),"Mamodo")</f>
        <v>Mamodo</v>
      </c>
      <c r="C608" s="42" t="str">
        <f>IFERROR(__xludf.DUMMYFUNCTION("""COMPUTED_VALUE"""),"Kido")</f>
        <v>Kido</v>
      </c>
      <c r="D608" s="42" t="str">
        <f>IFERROR(__xludf.DUMMYFUNCTION("""COMPUTED_VALUE"""),"Kido")</f>
        <v>Kido</v>
      </c>
      <c r="E608" s="42" t="str">
        <f>IFERROR(__xludf.DUMMYFUNCTION("""COMPUTED_VALUE"""),"-")</f>
        <v>-</v>
      </c>
      <c r="F608" s="42" t="str">
        <f>IFERROR(__xludf.DUMMYFUNCTION("""COMPUTED_VALUE"""),"-")</f>
        <v>-</v>
      </c>
      <c r="G608" s="42" t="str">
        <f>IFERROR(__xludf.DUMMYFUNCTION("""COMPUTED_VALUE"""),"None")</f>
        <v>None</v>
      </c>
      <c r="H608" s="42" t="str">
        <f>IFERROR(__xludf.DUMMYFUNCTION("""COMPUTED_VALUE"""),"The Journey of Light")</f>
        <v>The Journey of Light</v>
      </c>
      <c r="I608" s="43" t="str">
        <f>IFERROR(__xludf.DUMMYFUNCTION("""COMPUTED_VALUE"""),"[1 MP] Select 1 MAMODO card from any page of your Spell Book and put it in play during your BATTLE PHASE.")</f>
        <v>[1 MP] Select 1 MAMODO card from any page of your Spell Book and put it in play during your BATTLE PHASE.</v>
      </c>
      <c r="J608" s="42">
        <f>IFERROR(__xludf.DUMMYFUNCTION("""COMPUTED_VALUE"""),4000.0)</f>
        <v>4000</v>
      </c>
      <c r="K608" s="42" t="str">
        <f>IFERROR(__xludf.DUMMYFUNCTION("""COMPUTED_VALUE"""),"-")</f>
        <v>-</v>
      </c>
      <c r="L608" s="42" t="str">
        <f>IFERROR(__xludf.DUMMYFUNCTION("""COMPUTED_VALUE"""),"-")</f>
        <v>-</v>
      </c>
      <c r="M608" s="42" t="str">
        <f>IFERROR(__xludf.DUMMYFUNCTION("""COMPUTED_VALUE"""),"[U]")</f>
        <v>[U]</v>
      </c>
      <c r="N608" s="42" t="str">
        <f>IFERROR(__xludf.DUMMYFUNCTION("""COMPUTED_VALUE"""),"""So, this is what you call hope! My fear has completely disappeared!""")</f>
        <v>"So, this is what you call hope! My fear has completely disappeared!"</v>
      </c>
      <c r="O608" s="42"/>
      <c r="P608" s="42"/>
      <c r="Q608" s="42"/>
      <c r="R608" s="42"/>
      <c r="S608" s="42"/>
      <c r="T608" s="42"/>
      <c r="U608" s="42"/>
      <c r="V608" s="42"/>
      <c r="W608" s="42"/>
      <c r="X608" s="42"/>
      <c r="Y608" s="42"/>
      <c r="Z608" s="42"/>
    </row>
    <row r="609">
      <c r="A609" s="41" t="str">
        <f>IFERROR(__xludf.DUMMYFUNCTION("""COMPUTED_VALUE"""),"M-227")</f>
        <v>M-227</v>
      </c>
      <c r="B609" s="42" t="str">
        <f>IFERROR(__xludf.DUMMYFUNCTION("""COMPUTED_VALUE"""),"Stone Tablet Mamodo")</f>
        <v>Stone Tablet Mamodo</v>
      </c>
      <c r="C609" s="42" t="str">
        <f>IFERROR(__xludf.DUMMYFUNCTION("""COMPUTED_VALUE"""),"Paramakiron")</f>
        <v>Paramakiron</v>
      </c>
      <c r="D609" s="42" t="str">
        <f>IFERROR(__xludf.DUMMYFUNCTION("""COMPUTED_VALUE"""),"Paramakiron")</f>
        <v>Paramakiron</v>
      </c>
      <c r="E609" s="42" t="str">
        <f>IFERROR(__xludf.DUMMYFUNCTION("""COMPUTED_VALUE"""),"-")</f>
        <v>-</v>
      </c>
      <c r="F609" s="42" t="str">
        <f>IFERROR(__xludf.DUMMYFUNCTION("""COMPUTED_VALUE"""),"-")</f>
        <v>-</v>
      </c>
      <c r="G609" s="42" t="str">
        <f>IFERROR(__xludf.DUMMYFUNCTION("""COMPUTED_VALUE"""),"None")</f>
        <v>None</v>
      </c>
      <c r="H609" s="42" t="str">
        <f>IFERROR(__xludf.DUMMYFUNCTION("""COMPUTED_VALUE"""),"Detection Antenna")</f>
        <v>Detection Antenna</v>
      </c>
      <c r="I609" s="43" t="str">
        <f>IFERROR(__xludf.DUMMYFUNCTION("""COMPUTED_VALUE"""),"[IN PLAY] When you have 3 Stone Tablet MAMODO cards in play, your opponent cannot put MAMODO cards in play with their card effects.")</f>
        <v>[IN PLAY] When you have 3 Stone Tablet MAMODO cards in play, your opponent cannot put MAMODO cards in play with their card effects.</v>
      </c>
      <c r="J609" s="42">
        <f>IFERROR(__xludf.DUMMYFUNCTION("""COMPUTED_VALUE"""),3000.0)</f>
        <v>3000</v>
      </c>
      <c r="K609" s="42" t="str">
        <f>IFERROR(__xludf.DUMMYFUNCTION("""COMPUTED_VALUE"""),"-")</f>
        <v>-</v>
      </c>
      <c r="L609" s="42" t="str">
        <f>IFERROR(__xludf.DUMMYFUNCTION("""COMPUTED_VALUE"""),"-")</f>
        <v>-</v>
      </c>
      <c r="M609" s="42" t="str">
        <f>IFERROR(__xludf.DUMMYFUNCTION("""COMPUTED_VALUE"""),"[C]")</f>
        <v>[C]</v>
      </c>
      <c r="N609" s="42" t="str">
        <f>IFERROR(__xludf.DUMMYFUNCTION("""COMPUTED_VALUE"""),"The antenna attached to his head allows him to sense the presence of other mamodo. Beep-beeeep~")</f>
        <v>The antenna attached to his head allows him to sense the presence of other mamodo. Beep-beeeep~</v>
      </c>
      <c r="O609" s="42"/>
      <c r="P609" s="42"/>
      <c r="Q609" s="42"/>
      <c r="R609" s="42"/>
      <c r="S609" s="42"/>
      <c r="T609" s="42"/>
      <c r="U609" s="42"/>
      <c r="V609" s="42"/>
      <c r="W609" s="42"/>
      <c r="X609" s="42"/>
      <c r="Y609" s="42"/>
      <c r="Z609" s="42"/>
    </row>
    <row r="610">
      <c r="A610" s="41" t="str">
        <f>IFERROR(__xludf.DUMMYFUNCTION("""COMPUTED_VALUE"""),"M-228")</f>
        <v>M-228</v>
      </c>
      <c r="B610" s="42" t="str">
        <f>IFERROR(__xludf.DUMMYFUNCTION("""COMPUTED_VALUE"""),"Stone Tablet Mamodo")</f>
        <v>Stone Tablet Mamodo</v>
      </c>
      <c r="C610" s="42" t="str">
        <f>IFERROR(__xludf.DUMMYFUNCTION("""COMPUTED_VALUE"""),"Zami")</f>
        <v>Zami</v>
      </c>
      <c r="D610" s="42" t="str">
        <f>IFERROR(__xludf.DUMMYFUNCTION("""COMPUTED_VALUE"""),"Zami")</f>
        <v>Zami</v>
      </c>
      <c r="E610" s="42" t="str">
        <f>IFERROR(__xludf.DUMMYFUNCTION("""COMPUTED_VALUE"""),"-")</f>
        <v>-</v>
      </c>
      <c r="F610" s="42" t="str">
        <f>IFERROR(__xludf.DUMMYFUNCTION("""COMPUTED_VALUE"""),"-")</f>
        <v>-</v>
      </c>
      <c r="G610" s="42" t="str">
        <f>IFERROR(__xludf.DUMMYFUNCTION("""COMPUTED_VALUE"""),"None")</f>
        <v>None</v>
      </c>
      <c r="H610" s="42" t="str">
        <f>IFERROR(__xludf.DUMMYFUNCTION("""COMPUTED_VALUE"""),"Protracting Claws")</f>
        <v>Protracting Claws</v>
      </c>
      <c r="I610" s="43" t="str">
        <f>IFERROR(__xludf.DUMMYFUNCTION("""COMPUTED_VALUE"""),"[IN PLAY] When you have 3 Stone Tablet MAMODO cards in play, your opponent cannot apply the effects of their in-play cards (except MAMODO and PARTNER cards).")</f>
        <v>[IN PLAY] When you have 3 Stone Tablet MAMODO cards in play, your opponent cannot apply the effects of their in-play cards (except MAMODO and PARTNER cards).</v>
      </c>
      <c r="J610" s="42">
        <f>IFERROR(__xludf.DUMMYFUNCTION("""COMPUTED_VALUE"""),4000.0)</f>
        <v>4000</v>
      </c>
      <c r="K610" s="42" t="str">
        <f>IFERROR(__xludf.DUMMYFUNCTION("""COMPUTED_VALUE"""),"-")</f>
        <v>-</v>
      </c>
      <c r="L610" s="42" t="str">
        <f>IFERROR(__xludf.DUMMYFUNCTION("""COMPUTED_VALUE"""),"-")</f>
        <v>-</v>
      </c>
      <c r="M610" s="42" t="str">
        <f>IFERROR(__xludf.DUMMYFUNCTION("""COMPUTED_VALUE"""),"[C]")</f>
        <v>[C]</v>
      </c>
      <c r="N610" s="42" t="str">
        <f>IFERROR(__xludf.DUMMYFUNCTION("""COMPUTED_VALUE"""),"He patrolled the ruins, but was quickly dispatched by Wonrei's Go Redoruk spell.")</f>
        <v>He patrolled the ruins, but was quickly dispatched by Wonrei's Go Redoruk spell.</v>
      </c>
      <c r="O610" s="42"/>
      <c r="P610" s="42"/>
      <c r="Q610" s="42"/>
      <c r="R610" s="42"/>
      <c r="S610" s="42"/>
      <c r="T610" s="42"/>
      <c r="U610" s="42"/>
      <c r="V610" s="42"/>
      <c r="W610" s="42"/>
      <c r="X610" s="42"/>
      <c r="Y610" s="42"/>
      <c r="Z610" s="42"/>
    </row>
    <row r="611">
      <c r="A611" s="41" t="str">
        <f>IFERROR(__xludf.DUMMYFUNCTION("""COMPUTED_VALUE"""),"M-229")</f>
        <v>M-229</v>
      </c>
      <c r="B611" s="42" t="str">
        <f>IFERROR(__xludf.DUMMYFUNCTION("""COMPUTED_VALUE"""),"Stone Tablet Mamodo")</f>
        <v>Stone Tablet Mamodo</v>
      </c>
      <c r="C611" s="42" t="str">
        <f>IFERROR(__xludf.DUMMYFUNCTION("""COMPUTED_VALUE"""),"Baraho")</f>
        <v>Baraho</v>
      </c>
      <c r="D611" s="42" t="str">
        <f>IFERROR(__xludf.DUMMYFUNCTION("""COMPUTED_VALUE"""),"Baraho")</f>
        <v>Baraho</v>
      </c>
      <c r="E611" s="42" t="str">
        <f>IFERROR(__xludf.DUMMYFUNCTION("""COMPUTED_VALUE"""),"-")</f>
        <v>-</v>
      </c>
      <c r="F611" s="42" t="str">
        <f>IFERROR(__xludf.DUMMYFUNCTION("""COMPUTED_VALUE"""),"-")</f>
        <v>-</v>
      </c>
      <c r="G611" s="42" t="str">
        <f>IFERROR(__xludf.DUMMYFUNCTION("""COMPUTED_VALUE"""),"None")</f>
        <v>None</v>
      </c>
      <c r="H611" s="42" t="str">
        <f>IFERROR(__xludf.DUMMYFUNCTION("""COMPUTED_VALUE"""),"Arm Shield")</f>
        <v>Arm Shield</v>
      </c>
      <c r="I611" s="43" t="str">
        <f>IFERROR(__xludf.DUMMYFUNCTION("""COMPUTED_VALUE"""),"[IN PLAY] When you have 3 Stone Tablet MAMODO cards in play, your opponent cannot apply effects that send your MAMODO cards to the Discard Pile with their card effects (except from Damage or Injury).")</f>
        <v>[IN PLAY] When you have 3 Stone Tablet MAMODO cards in play, your opponent cannot apply effects that send your MAMODO cards to the Discard Pile with their card effects (except from Damage or Injury).</v>
      </c>
      <c r="J611" s="42">
        <f>IFERROR(__xludf.DUMMYFUNCTION("""COMPUTED_VALUE"""),4000.0)</f>
        <v>4000</v>
      </c>
      <c r="K611" s="42" t="str">
        <f>IFERROR(__xludf.DUMMYFUNCTION("""COMPUTED_VALUE"""),"-")</f>
        <v>-</v>
      </c>
      <c r="L611" s="42" t="str">
        <f>IFERROR(__xludf.DUMMYFUNCTION("""COMPUTED_VALUE"""),"-")</f>
        <v>-</v>
      </c>
      <c r="M611" s="42" t="str">
        <f>IFERROR(__xludf.DUMMYFUNCTION("""COMPUTED_VALUE"""),"[C]")</f>
        <v>[C]</v>
      </c>
      <c r="N611" s="42" t="str">
        <f>IFERROR(__xludf.DUMMYFUNCTION("""COMPUTED_VALUE"""),"He utilizes spells that transform his entire body into the shape of a shield.")</f>
        <v>He utilizes spells that transform his entire body into the shape of a shield.</v>
      </c>
      <c r="O611" s="42"/>
      <c r="P611" s="42"/>
      <c r="Q611" s="42"/>
      <c r="R611" s="42"/>
      <c r="S611" s="42"/>
      <c r="T611" s="42"/>
      <c r="U611" s="42"/>
      <c r="V611" s="42"/>
      <c r="W611" s="42"/>
      <c r="X611" s="42"/>
      <c r="Y611" s="42"/>
      <c r="Z611" s="42"/>
    </row>
    <row r="612">
      <c r="A612" s="41" t="str">
        <f>IFERROR(__xludf.DUMMYFUNCTION("""COMPUTED_VALUE"""),"M-230")</f>
        <v>M-230</v>
      </c>
      <c r="B612" s="42" t="str">
        <f>IFERROR(__xludf.DUMMYFUNCTION("""COMPUTED_VALUE"""),"Stone Tablet Mamodo")</f>
        <v>Stone Tablet Mamodo</v>
      </c>
      <c r="C612" s="42" t="str">
        <f>IFERROR(__xludf.DUMMYFUNCTION("""COMPUTED_VALUE"""),"Ninnin")</f>
        <v>Ninnin</v>
      </c>
      <c r="D612" s="42" t="str">
        <f>IFERROR(__xludf.DUMMYFUNCTION("""COMPUTED_VALUE"""),"Ninnin")</f>
        <v>Ninnin</v>
      </c>
      <c r="E612" s="42" t="str">
        <f>IFERROR(__xludf.DUMMYFUNCTION("""COMPUTED_VALUE"""),"-")</f>
        <v>-</v>
      </c>
      <c r="F612" s="42" t="str">
        <f>IFERROR(__xludf.DUMMYFUNCTION("""COMPUTED_VALUE"""),"-")</f>
        <v>-</v>
      </c>
      <c r="G612" s="42" t="str">
        <f>IFERROR(__xludf.DUMMYFUNCTION("""COMPUTED_VALUE"""),"None")</f>
        <v>None</v>
      </c>
      <c r="H612" s="42" t="str">
        <f>IFERROR(__xludf.DUMMYFUNCTION("""COMPUTED_VALUE"""),"To Be A Ninja")</f>
        <v>To Be A Ninja</v>
      </c>
      <c r="I612" s="43" t="str">
        <f>IFERROR(__xludf.DUMMYFUNCTION("""COMPUTED_VALUE"""),"[1 MP] When you have 3 Stone Tablet MAMODO cards in play, send 1 of your opponent's in-play PARTNER cards to the Discard Pile.")</f>
        <v>[1 MP] When you have 3 Stone Tablet MAMODO cards in play, send 1 of your opponent's in-play PARTNER cards to the Discard Pile.</v>
      </c>
      <c r="J612" s="42">
        <f>IFERROR(__xludf.DUMMYFUNCTION("""COMPUTED_VALUE"""),4000.0)</f>
        <v>4000</v>
      </c>
      <c r="K612" s="42" t="str">
        <f>IFERROR(__xludf.DUMMYFUNCTION("""COMPUTED_VALUE"""),"-")</f>
        <v>-</v>
      </c>
      <c r="L612" s="42" t="str">
        <f>IFERROR(__xludf.DUMMYFUNCTION("""COMPUTED_VALUE"""),"-")</f>
        <v>-</v>
      </c>
      <c r="M612" s="42" t="str">
        <f>IFERROR(__xludf.DUMMYFUNCTION("""COMPUTED_VALUE"""),"[C]")</f>
        <v>[C]</v>
      </c>
      <c r="N612" s="42" t="str">
        <f>IFERROR(__xludf.DUMMYFUNCTION("""COMPUTED_VALUE"""),"He waged an attack on Sherry, only to receive a kick to the face.")</f>
        <v>He waged an attack on Sherry, only to receive a kick to the face.</v>
      </c>
      <c r="O612" s="42"/>
      <c r="P612" s="42"/>
      <c r="Q612" s="42"/>
      <c r="R612" s="42"/>
      <c r="S612" s="42"/>
      <c r="T612" s="42"/>
      <c r="U612" s="42"/>
      <c r="V612" s="42"/>
      <c r="W612" s="42"/>
      <c r="X612" s="42"/>
      <c r="Y612" s="42"/>
      <c r="Z612" s="42"/>
    </row>
    <row r="613">
      <c r="A613" s="41" t="str">
        <f>IFERROR(__xludf.DUMMYFUNCTION("""COMPUTED_VALUE"""),"M-231")</f>
        <v>M-231</v>
      </c>
      <c r="B613" s="42" t="str">
        <f>IFERROR(__xludf.DUMMYFUNCTION("""COMPUTED_VALUE"""),"Stone Tablet Mamodo")</f>
        <v>Stone Tablet Mamodo</v>
      </c>
      <c r="C613" s="42" t="str">
        <f>IFERROR(__xludf.DUMMYFUNCTION("""COMPUTED_VALUE"""),"Kamack")</f>
        <v>Kamack</v>
      </c>
      <c r="D613" s="42" t="str">
        <f>IFERROR(__xludf.DUMMYFUNCTION("""COMPUTED_VALUE"""),"Kamack")</f>
        <v>Kamack</v>
      </c>
      <c r="E613" s="42" t="str">
        <f>IFERROR(__xludf.DUMMYFUNCTION("""COMPUTED_VALUE"""),"-")</f>
        <v>-</v>
      </c>
      <c r="F613" s="42" t="str">
        <f>IFERROR(__xludf.DUMMYFUNCTION("""COMPUTED_VALUE"""),"-")</f>
        <v>-</v>
      </c>
      <c r="G613" s="42" t="str">
        <f>IFERROR(__xludf.DUMMYFUNCTION("""COMPUTED_VALUE"""),"None")</f>
        <v>None</v>
      </c>
      <c r="H613" s="42" t="str">
        <f>IFERROR(__xludf.DUMMYFUNCTION("""COMPUTED_VALUE"""),"On Recon")</f>
        <v>On Recon</v>
      </c>
      <c r="I613" s="43" t="str">
        <f>IFERROR(__xludf.DUMMYFUNCTION("""COMPUTED_VALUE"""),"[SEND THIS CARD TO THE DISCARD PILE] When you have 3 Stone Tablet MAMODO cards in play, select 1 card from any page of your opponent's Spell Book (except the open pages) and send it to the Discard Pile. This effect can be applied only once per game (per p"&amp;"layer).")</f>
        <v>[SEND THIS CARD TO THE DISCARD PILE] When you have 3 Stone Tablet MAMODO cards in play, select 1 card from any page of your opponent's Spell Book (except the open pages) and send it to the Discard Pile. This effect can be applied only once per game (per player).</v>
      </c>
      <c r="J613" s="42">
        <f>IFERROR(__xludf.DUMMYFUNCTION("""COMPUTED_VALUE"""),4000.0)</f>
        <v>4000</v>
      </c>
      <c r="K613" s="42" t="str">
        <f>IFERROR(__xludf.DUMMYFUNCTION("""COMPUTED_VALUE"""),"-")</f>
        <v>-</v>
      </c>
      <c r="L613" s="42" t="str">
        <f>IFERROR(__xludf.DUMMYFUNCTION("""COMPUTED_VALUE"""),"-")</f>
        <v>-</v>
      </c>
      <c r="M613" s="42" t="str">
        <f>IFERROR(__xludf.DUMMYFUNCTION("""COMPUTED_VALUE"""),"[C]")</f>
        <v>[C]</v>
      </c>
      <c r="N613" s="42" t="str">
        <f>IFERROR(__xludf.DUMMYFUNCTION("""COMPUTED_VALUE"""),"He took it upon himself to scout around the Devolo Ruins single-handedly.")</f>
        <v>He took it upon himself to scout around the Devolo Ruins single-handedly.</v>
      </c>
      <c r="O613" s="42"/>
      <c r="P613" s="42"/>
      <c r="Q613" s="42"/>
      <c r="R613" s="42"/>
      <c r="S613" s="42"/>
      <c r="T613" s="42"/>
      <c r="U613" s="42"/>
      <c r="V613" s="42"/>
      <c r="W613" s="42"/>
      <c r="X613" s="42"/>
      <c r="Y613" s="42"/>
      <c r="Z613" s="42"/>
    </row>
    <row r="614">
      <c r="A614" s="41" t="str">
        <f>IFERROR(__xludf.DUMMYFUNCTION("""COMPUTED_VALUE"""),"M-232")</f>
        <v>M-232</v>
      </c>
      <c r="B614" s="42" t="str">
        <f>IFERROR(__xludf.DUMMYFUNCTION("""COMPUTED_VALUE"""),"Mamodo")</f>
        <v>Mamodo</v>
      </c>
      <c r="C614" s="42" t="str">
        <f>IFERROR(__xludf.DUMMYFUNCTION("""COMPUTED_VALUE"""),"Koral Q")</f>
        <v>Koral Q</v>
      </c>
      <c r="D614" s="42" t="str">
        <f>IFERROR(__xludf.DUMMYFUNCTION("""COMPUTED_VALUE"""),"Koral Q")</f>
        <v>Koral Q</v>
      </c>
      <c r="E614" s="42" t="str">
        <f>IFERROR(__xludf.DUMMYFUNCTION("""COMPUTED_VALUE"""),"-")</f>
        <v>-</v>
      </c>
      <c r="F614" s="42" t="str">
        <f>IFERROR(__xludf.DUMMYFUNCTION("""COMPUTED_VALUE"""),"-")</f>
        <v>-</v>
      </c>
      <c r="G614" s="42" t="str">
        <f>IFERROR(__xludf.DUMMYFUNCTION("""COMPUTED_VALUE"""),"None")</f>
        <v>None</v>
      </c>
      <c r="H614" s="42" t="str">
        <f>IFERROR(__xludf.DUMMYFUNCTION("""COMPUTED_VALUE"""),"Data Collection")</f>
        <v>Data Collection</v>
      </c>
      <c r="I614" s="43" t="str">
        <f>IFERROR(__xludf.DUMMYFUNCTION("""COMPUTED_VALUE"""),"[DECLARE TO USE] During your BATTLE PHASE, select 1 SPELL card from any page of your opponent's Spell Book (except the last page) and send it to the Discard Pile. This effect can be applied only once per game (per player).")</f>
        <v>[DECLARE TO USE] During your BATTLE PHASE, select 1 SPELL card from any page of your opponent's Spell Book (except the last page) and send it to the Discard Pile. This effect can be applied only once per game (per player).</v>
      </c>
      <c r="J614" s="42">
        <f>IFERROR(__xludf.DUMMYFUNCTION("""COMPUTED_VALUE"""),2000.0)</f>
        <v>2000</v>
      </c>
      <c r="K614" s="42" t="str">
        <f>IFERROR(__xludf.DUMMYFUNCTION("""COMPUTED_VALUE"""),"-")</f>
        <v>-</v>
      </c>
      <c r="L614" s="42" t="str">
        <f>IFERROR(__xludf.DUMMYFUNCTION("""COMPUTED_VALUE"""),"-")</f>
        <v>-</v>
      </c>
      <c r="M614" s="42" t="str">
        <f>IFERROR(__xludf.DUMMYFUNCTION("""COMPUTED_VALUE"""),"[C]")</f>
        <v>[C]</v>
      </c>
      <c r="N614" s="42" t="str">
        <f>IFERROR(__xludf.DUMMYFUNCTION("""COMPUTED_VALUE"""),"“I’ve got a special radar in my body. I can tell exactly where the other mamodo are, Piyo.”")</f>
        <v>“I’ve got a special radar in my body. I can tell exactly where the other mamodo are, Piyo.”</v>
      </c>
      <c r="O614" s="42"/>
      <c r="P614" s="42"/>
      <c r="Q614" s="42"/>
      <c r="R614" s="42"/>
      <c r="S614" s="42"/>
      <c r="T614" s="42"/>
      <c r="U614" s="42"/>
      <c r="V614" s="42"/>
      <c r="W614" s="42"/>
      <c r="X614" s="42"/>
      <c r="Y614" s="42"/>
      <c r="Z614" s="42"/>
    </row>
    <row r="615">
      <c r="A615" s="41" t="str">
        <f>IFERROR(__xludf.DUMMYFUNCTION("""COMPUTED_VALUE"""),"M-233")</f>
        <v>M-233</v>
      </c>
      <c r="B615" s="42" t="str">
        <f>IFERROR(__xludf.DUMMYFUNCTION("""COMPUTED_VALUE"""),"Mamodo")</f>
        <v>Mamodo</v>
      </c>
      <c r="C615" s="42" t="str">
        <f>IFERROR(__xludf.DUMMYFUNCTION("""COMPUTED_VALUE"""),"Koral Q (Battle Form)")</f>
        <v>Koral Q (Battle Form)</v>
      </c>
      <c r="D615" s="42" t="str">
        <f>IFERROR(__xludf.DUMMYFUNCTION("""COMPUTED_VALUE"""),"Koral Q (Battle Form)")</f>
        <v>Koral Q (Battle Form)</v>
      </c>
      <c r="E615" s="42" t="str">
        <f>IFERROR(__xludf.DUMMYFUNCTION("""COMPUTED_VALUE"""),"-")</f>
        <v>-</v>
      </c>
      <c r="F615" s="42" t="str">
        <f>IFERROR(__xludf.DUMMYFUNCTION("""COMPUTED_VALUE"""),"-")</f>
        <v>-</v>
      </c>
      <c r="G615" s="42" t="str">
        <f>IFERROR(__xludf.DUMMYFUNCTION("""COMPUTED_VALUE"""),"None")</f>
        <v>None</v>
      </c>
      <c r="H615" s="42" t="str">
        <f>IFERROR(__xludf.DUMMYFUNCTION("""COMPUTED_VALUE"""),"Rickety Gymnastics")</f>
        <v>Rickety Gymnastics</v>
      </c>
      <c r="I615" s="43" t="str">
        <f>IFERROR(__xludf.DUMMYFUNCTION("""COMPUTED_VALUE"""),"This card is placed on a regular Koral Q MAMODO card when a Roboruk SPELL card is played for the Koral Q MAMODO card. [DECLARE TO USE] [STAY] The next time your opponent inflicts Damage from an Attack, Injure this MAMODO card once instead of inflicting Da"&amp;"mage from the Attack’s original effect (this is not considered to be SACRIFICING or PROTECTING your Spell Book from Damage).")</f>
        <v>This card is placed on a regular Koral Q MAMODO card when a Roboruk SPELL card is played for the Koral Q MAMODO card. [DECLARE TO USE] [STAY] The next time your opponent inflicts Damage from an Attack, Injure this MAMODO card once instead of inflicting Damage from the Attack’s original effect (this is not considered to be SACRIFICING or PROTECTING your Spell Book from Damage).</v>
      </c>
      <c r="J615" s="42">
        <f>IFERROR(__xludf.DUMMYFUNCTION("""COMPUTED_VALUE"""),4000.0)</f>
        <v>4000</v>
      </c>
      <c r="K615" s="42" t="str">
        <f>IFERROR(__xludf.DUMMYFUNCTION("""COMPUTED_VALUE"""),"-")</f>
        <v>-</v>
      </c>
      <c r="L615" s="42" t="str">
        <f>IFERROR(__xludf.DUMMYFUNCTION("""COMPUTED_VALUE"""),"-")</f>
        <v>-</v>
      </c>
      <c r="M615" s="42" t="str">
        <f>IFERROR(__xludf.DUMMYFUNCTION("""COMPUTED_VALUE"""),"[R]")</f>
        <v>[R]</v>
      </c>
      <c r="N615" s="42" t="str">
        <f>IFERROR(__xludf.DUMMYFUNCTION("""COMPUTED_VALUE"""),"""Chicken! Hey, chicken! Ready to give up yet?""")</f>
        <v>"Chicken! Hey, chicken! Ready to give up yet?"</v>
      </c>
      <c r="O615" s="42"/>
      <c r="P615" s="42"/>
      <c r="Q615" s="42"/>
      <c r="R615" s="42"/>
      <c r="S615" s="42"/>
      <c r="T615" s="42"/>
      <c r="U615" s="42"/>
      <c r="V615" s="42"/>
      <c r="W615" s="42"/>
      <c r="X615" s="42"/>
      <c r="Y615" s="42"/>
      <c r="Z615" s="42"/>
    </row>
    <row r="616">
      <c r="A616" s="41" t="str">
        <f>IFERROR(__xludf.DUMMYFUNCTION("""COMPUTED_VALUE"""),"M-234")</f>
        <v>M-234</v>
      </c>
      <c r="B616" s="42" t="str">
        <f>IFERROR(__xludf.DUMMYFUNCTION("""COMPUTED_VALUE"""),"Mamodo")</f>
        <v>Mamodo</v>
      </c>
      <c r="C616" s="42" t="str">
        <f>IFERROR(__xludf.DUMMYFUNCTION("""COMPUTED_VALUE"""),"Koral Q (La Robogargu Form)")</f>
        <v>Koral Q (La Robogargu Form)</v>
      </c>
      <c r="D616" s="42" t="str">
        <f>IFERROR(__xludf.DUMMYFUNCTION("""COMPUTED_VALUE"""),"Koral Q (La Robogargu Form)")</f>
        <v>Koral Q (La Robogargu Form)</v>
      </c>
      <c r="E616" s="42" t="str">
        <f>IFERROR(__xludf.DUMMYFUNCTION("""COMPUTED_VALUE"""),"-")</f>
        <v>-</v>
      </c>
      <c r="F616" s="42" t="str">
        <f>IFERROR(__xludf.DUMMYFUNCTION("""COMPUTED_VALUE"""),"-")</f>
        <v>-</v>
      </c>
      <c r="G616" s="42" t="str">
        <f>IFERROR(__xludf.DUMMYFUNCTION("""COMPUTED_VALUE"""),"None")</f>
        <v>None</v>
      </c>
      <c r="H616" s="42" t="str">
        <f>IFERROR(__xludf.DUMMYFUNCTION("""COMPUTED_VALUE"""),"Koral Q (La Robogargu Form) {")</f>
        <v>Koral Q (La Robogargu Form) {</v>
      </c>
      <c r="I616" s="43" t="str">
        <f>IFERROR(__xludf.DUMMYFUNCTION("""COMPUTED_VALUE"""),"This card is placed on a regular Koral Q MAMODO card when a La Robogargu SPELL card is played for the Koral Q MAMODO card. (Defend) [1 MP] This card may Defend without using a SPELL card (Total Power=8000, Damage=1) ([COUNTER]).")</f>
        <v>This card is placed on a regular Koral Q MAMODO card when a La Robogargu SPELL card is played for the Koral Q MAMODO card. (Defend) [1 MP] This card may Defend without using a SPELL card (Total Power=8000, Damage=1) ([COUNTER]).</v>
      </c>
      <c r="J616" s="42">
        <f>IFERROR(__xludf.DUMMYFUNCTION("""COMPUTED_VALUE"""),4000.0)</f>
        <v>4000</v>
      </c>
      <c r="K616" s="42" t="str">
        <f>IFERROR(__xludf.DUMMYFUNCTION("""COMPUTED_VALUE"""),"-")</f>
        <v>-</v>
      </c>
      <c r="L616" s="42" t="str">
        <f>IFERROR(__xludf.DUMMYFUNCTION("""COMPUTED_VALUE"""),"-")</f>
        <v>-</v>
      </c>
      <c r="M616" s="42" t="str">
        <f>IFERROR(__xludf.DUMMYFUNCTION("""COMPUTED_VALUE"""),"[R]")</f>
        <v>[R]</v>
      </c>
      <c r="N616" s="42" t="str">
        <f>IFERROR(__xludf.DUMMYFUNCTION("""COMPUTED_VALUE"""),"Koral Q’s huge plate of armor is like a mirror that is even capable of repelling Zatch’s Zakeruga blasts.")</f>
        <v>Koral Q’s huge plate of armor is like a mirror that is even capable of repelling Zatch’s Zakeruga blasts.</v>
      </c>
      <c r="O616" s="42"/>
      <c r="P616" s="42"/>
      <c r="Q616" s="42"/>
      <c r="R616" s="42"/>
      <c r="S616" s="42"/>
      <c r="T616" s="42"/>
      <c r="U616" s="42"/>
      <c r="V616" s="42"/>
      <c r="W616" s="42"/>
      <c r="X616" s="42"/>
      <c r="Y616" s="42"/>
      <c r="Z616" s="42"/>
    </row>
    <row r="617">
      <c r="A617" s="41" t="str">
        <f>IFERROR(__xludf.DUMMYFUNCTION("""COMPUTED_VALUE"""),"M-235")</f>
        <v>M-235</v>
      </c>
      <c r="B617" s="42" t="str">
        <f>IFERROR(__xludf.DUMMYFUNCTION("""COMPUTED_VALUE"""),"Mamodo")</f>
        <v>Mamodo</v>
      </c>
      <c r="C617" s="42" t="str">
        <f>IFERROR(__xludf.DUMMYFUNCTION("""COMPUTED_VALUE"""),"Ted")</f>
        <v>Ted</v>
      </c>
      <c r="D617" s="42" t="str">
        <f>IFERROR(__xludf.DUMMYFUNCTION("""COMPUTED_VALUE"""),"Ted")</f>
        <v>Ted</v>
      </c>
      <c r="E617" s="42" t="str">
        <f>IFERROR(__xludf.DUMMYFUNCTION("""COMPUTED_VALUE"""),"-")</f>
        <v>-</v>
      </c>
      <c r="F617" s="42" t="str">
        <f>IFERROR(__xludf.DUMMYFUNCTION("""COMPUTED_VALUE"""),"-")</f>
        <v>-</v>
      </c>
      <c r="G617" s="42" t="str">
        <f>IFERROR(__xludf.DUMMYFUNCTION("""COMPUTED_VALUE"""),"None")</f>
        <v>None</v>
      </c>
      <c r="H617" s="42" t="str">
        <f>IFERROR(__xludf.DUMMYFUNCTION("""COMPUTED_VALUE"""),"Knockout Blow")</f>
        <v>Knockout Blow</v>
      </c>
      <c r="I617" s="43" t="str">
        <f>IFERROR(__xludf.DUMMYFUNCTION("""COMPUTED_VALUE"""),"Only 1 SPELL card can be played for this MAMODO card per turn (per player). (Attack) [1 MP] This card may Attack without using a SPELL card (Total Power=# of MP counters on this card times 1000+5000, Damage=# of MP counters on this card times 1).")</f>
        <v>Only 1 SPELL card can be played for this MAMODO card per turn (per player). (Attack) [1 MP] This card may Attack without using a SPELL card (Total Power=# of MP counters on this card times 1000+5000, Damage=# of MP counters on this card times 1).</v>
      </c>
      <c r="J617" s="42">
        <f>IFERROR(__xludf.DUMMYFUNCTION("""COMPUTED_VALUE"""),4000.0)</f>
        <v>4000</v>
      </c>
      <c r="K617" s="42" t="str">
        <f>IFERROR(__xludf.DUMMYFUNCTION("""COMPUTED_VALUE"""),"-")</f>
        <v>-</v>
      </c>
      <c r="L617" s="42" t="str">
        <f>IFERROR(__xludf.DUMMYFUNCTION("""COMPUTED_VALUE"""),"-")</f>
        <v>-</v>
      </c>
      <c r="M617" s="42" t="str">
        <f>IFERROR(__xludf.DUMMYFUNCTION("""COMPUTED_VALUE"""),"[SR]")</f>
        <v>[SR]</v>
      </c>
      <c r="N617" s="42" t="str">
        <f>IFERROR(__xludf.DUMMYFUNCTION("""COMPUTED_VALUE"""),"“You wanna tell me why you’re picking on my friend?”")</f>
        <v>“You wanna tell me why you’re picking on my friend?”</v>
      </c>
      <c r="O617" s="42"/>
      <c r="P617" s="42"/>
      <c r="Q617" s="42"/>
      <c r="R617" s="42"/>
      <c r="S617" s="42"/>
      <c r="T617" s="42"/>
      <c r="U617" s="42"/>
      <c r="V617" s="42"/>
      <c r="W617" s="42"/>
      <c r="X617" s="42"/>
      <c r="Y617" s="42"/>
      <c r="Z617" s="42"/>
    </row>
    <row r="618">
      <c r="A618" s="41" t="str">
        <f>IFERROR(__xludf.DUMMYFUNCTION("""COMPUTED_VALUE"""),"M-236")</f>
        <v>M-236</v>
      </c>
      <c r="B618" s="42" t="str">
        <f>IFERROR(__xludf.DUMMYFUNCTION("""COMPUTED_VALUE"""),"Mamodo")</f>
        <v>Mamodo</v>
      </c>
      <c r="C618" s="42" t="str">
        <f>IFERROR(__xludf.DUMMYFUNCTION("""COMPUTED_VALUE"""),"Arth")</f>
        <v>Arth</v>
      </c>
      <c r="D618" s="42" t="str">
        <f>IFERROR(__xludf.DUMMYFUNCTION("""COMPUTED_VALUE"""),"Arth")</f>
        <v>Arth</v>
      </c>
      <c r="E618" s="42" t="str">
        <f>IFERROR(__xludf.DUMMYFUNCTION("""COMPUTED_VALUE"""),"-")</f>
        <v>-</v>
      </c>
      <c r="F618" s="42" t="str">
        <f>IFERROR(__xludf.DUMMYFUNCTION("""COMPUTED_VALUE"""),"-")</f>
        <v>-</v>
      </c>
      <c r="G618" s="42" t="str">
        <f>IFERROR(__xludf.DUMMYFUNCTION("""COMPUTED_VALUE"""),"None")</f>
        <v>None</v>
      </c>
      <c r="H618" s="42" t="str">
        <f>IFERROR(__xludf.DUMMYFUNCTION("""COMPUTED_VALUE"""),"A Sword That Absorbs Energy")</f>
        <v>A Sword That Absorbs Energy</v>
      </c>
      <c r="I618" s="43" t="str">
        <f>IFERROR(__xludf.DUMMYFUNCTION("""COMPUTED_VALUE"""),"(Attack) [1 MP] This card may Attack without using a SPELL card (Total Power=7000, Damage=1). When you inflict Damage or Injury, apply 1 of the following effects: ● Reduce your opponent’s MP by 1. ● Remove 2 MP counters from 1 of your opponent’s in-play M"&amp;"AMODO cards.")</f>
        <v>(Attack) [1 MP] This card may Attack without using a SPELL card (Total Power=7000, Damage=1). When you inflict Damage or Injury, apply 1 of the following effects: ● Reduce your opponent’s MP by 1. ● Remove 2 MP counters from 1 of your opponent’s in-play MAMODO cards.</v>
      </c>
      <c r="J618" s="42">
        <f>IFERROR(__xludf.DUMMYFUNCTION("""COMPUTED_VALUE"""),5000.0)</f>
        <v>5000</v>
      </c>
      <c r="K618" s="42" t="str">
        <f>IFERROR(__xludf.DUMMYFUNCTION("""COMPUTED_VALUE"""),"-")</f>
        <v>-</v>
      </c>
      <c r="L618" s="42" t="str">
        <f>IFERROR(__xludf.DUMMYFUNCTION("""COMPUTED_VALUE"""),"-")</f>
        <v>-</v>
      </c>
      <c r="M618" s="42" t="str">
        <f>IFERROR(__xludf.DUMMYFUNCTION("""COMPUTED_VALUE"""),"[SR]")</f>
        <v>[SR]</v>
      </c>
      <c r="N618" s="42" t="str">
        <f>IFERROR(__xludf.DUMMYFUNCTION("""COMPUTED_VALUE"""),"""Do you have any idea of the crisis that is taking place right now?""")</f>
        <v>"Do you have any idea of the crisis that is taking place right now?"</v>
      </c>
      <c r="O618" s="42"/>
      <c r="P618" s="42"/>
      <c r="Q618" s="42"/>
      <c r="R618" s="42"/>
      <c r="S618" s="42"/>
      <c r="T618" s="42"/>
      <c r="U618" s="42"/>
      <c r="V618" s="42"/>
      <c r="W618" s="42"/>
      <c r="X618" s="42"/>
      <c r="Y618" s="42"/>
      <c r="Z618" s="42"/>
    </row>
    <row r="619">
      <c r="A619" s="41" t="str">
        <f>IFERROR(__xludf.DUMMYFUNCTION("""COMPUTED_VALUE"""),"M-237")</f>
        <v>M-237</v>
      </c>
      <c r="B619" s="42" t="str">
        <f>IFERROR(__xludf.DUMMYFUNCTION("""COMPUTED_VALUE"""),"Mamodo")</f>
        <v>Mamodo</v>
      </c>
      <c r="C619" s="42" t="str">
        <f>IFERROR(__xludf.DUMMYFUNCTION("""COMPUTED_VALUE"""),"Zeno")</f>
        <v>Zeno</v>
      </c>
      <c r="D619" s="42" t="str">
        <f>IFERROR(__xludf.DUMMYFUNCTION("""COMPUTED_VALUE"""),"Zeno")</f>
        <v>Zeno</v>
      </c>
      <c r="E619" s="42" t="str">
        <f>IFERROR(__xludf.DUMMYFUNCTION("""COMPUTED_VALUE"""),"-")</f>
        <v>-</v>
      </c>
      <c r="F619" s="42" t="str">
        <f>IFERROR(__xludf.DUMMYFUNCTION("""COMPUTED_VALUE"""),"-")</f>
        <v>-</v>
      </c>
      <c r="G619" s="42" t="str">
        <f>IFERROR(__xludf.DUMMYFUNCTION("""COMPUTED_VALUE"""),"None")</f>
        <v>None</v>
      </c>
      <c r="H619" s="42" t="str">
        <f>IFERROR(__xludf.DUMMYFUNCTION("""COMPUTED_VALUE"""),"Encountering the Menace")</f>
        <v>Encountering the Menace</v>
      </c>
      <c r="I619" s="43" t="str">
        <f>IFERROR(__xludf.DUMMYFUNCTION("""COMPUTED_VALUE"""),"[SEND THIS CARD TO THE DISCARD PILE] Send 1 of your opponent's in-play MAMODO cards with a higher Power than this MAMODO card to the Discard Pile.")</f>
        <v>[SEND THIS CARD TO THE DISCARD PILE] Send 1 of your opponent's in-play MAMODO cards with a higher Power than this MAMODO card to the Discard Pile.</v>
      </c>
      <c r="J619" s="42">
        <f>IFERROR(__xludf.DUMMYFUNCTION("""COMPUTED_VALUE"""),5500.0)</f>
        <v>5500</v>
      </c>
      <c r="K619" s="42" t="str">
        <f>IFERROR(__xludf.DUMMYFUNCTION("""COMPUTED_VALUE"""),"-")</f>
        <v>-</v>
      </c>
      <c r="L619" s="42" t="str">
        <f>IFERROR(__xludf.DUMMYFUNCTION("""COMPUTED_VALUE"""),"-")</f>
        <v>-</v>
      </c>
      <c r="M619" s="42" t="str">
        <f>IFERROR(__xludf.DUMMYFUNCTION("""COMPUTED_VALUE"""),"[SR]")</f>
        <v>[SR]</v>
      </c>
      <c r="N619" s="42" t="str">
        <f>IFERROR(__xludf.DUMMYFUNCTION("""COMPUTED_VALUE"""),"""Impossible... What is happening?""")</f>
        <v>"Impossible... What is happening?"</v>
      </c>
      <c r="O619" s="42"/>
      <c r="P619" s="42"/>
      <c r="Q619" s="42"/>
      <c r="R619" s="42"/>
      <c r="S619" s="42"/>
      <c r="T619" s="42"/>
      <c r="U619" s="42"/>
      <c r="V619" s="42"/>
      <c r="W619" s="42"/>
      <c r="X619" s="42"/>
      <c r="Y619" s="42"/>
      <c r="Z619" s="42"/>
    </row>
    <row r="620">
      <c r="A620" s="41" t="str">
        <f>IFERROR(__xludf.DUMMYFUNCTION("""COMPUTED_VALUE"""),"M-238")</f>
        <v>M-238</v>
      </c>
      <c r="B620" s="42" t="str">
        <f>IFERROR(__xludf.DUMMYFUNCTION("""COMPUTED_VALUE"""),"Mamodo")</f>
        <v>Mamodo</v>
      </c>
      <c r="C620" s="42" t="str">
        <f>IFERROR(__xludf.DUMMYFUNCTION("""COMPUTED_VALUE"""),"Zatch Bell &amp; Ponygon")</f>
        <v>Zatch Bell &amp; Ponygon</v>
      </c>
      <c r="D620" s="42" t="str">
        <f>IFERROR(__xludf.DUMMYFUNCTION("""COMPUTED_VALUE"""),"Zatch Bell | Ponygon")</f>
        <v>Zatch Bell | Ponygon</v>
      </c>
      <c r="E620" s="42" t="str">
        <f>IFERROR(__xludf.DUMMYFUNCTION("""COMPUTED_VALUE"""),"-")</f>
        <v>-</v>
      </c>
      <c r="F620" s="42" t="str">
        <f>IFERROR(__xludf.DUMMYFUNCTION("""COMPUTED_VALUE"""),"-")</f>
        <v>-</v>
      </c>
      <c r="G620" s="42" t="str">
        <f>IFERROR(__xludf.DUMMYFUNCTION("""COMPUTED_VALUE"""),"None")</f>
        <v>None</v>
      </c>
      <c r="H620" s="42" t="str">
        <f>IFERROR(__xludf.DUMMYFUNCTION("""COMPUTED_VALUE"""),"Take To The Skies!")</f>
        <v>Take To The Skies!</v>
      </c>
      <c r="I620" s="43" t="str">
        <f>IFERROR(__xludf.DUMMYFUNCTION("""COMPUTED_VALUE"""),"Send your in-play Zatch Bell or Ponygon MAMODO card to the Discard Pile to put this MAMODO card in play. [1 MP] Apply both of the following effects: ● [STAY] Put this MAMODO card in Flight Status during this turn. ● [STAY] Your opponent can neither SACRIF"&amp;"ICE nor PROTECT their Book from this card’s Attack Damage with MAMODO that are not in Flight Status.")</f>
        <v>Send your in-play Zatch Bell or Ponygon MAMODO card to the Discard Pile to put this MAMODO card in play. [1 MP] Apply both of the following effects: ● [STAY] Put this MAMODO card in Flight Status during this turn. ● [STAY] Your opponent can neither SACRIFICE nor PROTECT their Book from this card’s Attack Damage with MAMODO that are not in Flight Status.</v>
      </c>
      <c r="J620" s="42">
        <f>IFERROR(__xludf.DUMMYFUNCTION("""COMPUTED_VALUE"""),4000.0)</f>
        <v>4000</v>
      </c>
      <c r="K620" s="42" t="str">
        <f>IFERROR(__xludf.DUMMYFUNCTION("""COMPUTED_VALUE"""),"-")</f>
        <v>-</v>
      </c>
      <c r="L620" s="42" t="str">
        <f>IFERROR(__xludf.DUMMYFUNCTION("""COMPUTED_VALUE"""),"-")</f>
        <v>-</v>
      </c>
      <c r="M620" s="42" t="str">
        <f>IFERROR(__xludf.DUMMYFUNCTION("""COMPUTED_VALUE"""),"[SR]")</f>
        <v>[SR]</v>
      </c>
      <c r="N620" s="42" t="str">
        <f>IFERROR(__xludf.DUMMYFUNCTION("""COMPUTED_VALUE"""),"Shouldering all of their friends’ hopes, Zatch and Ponygon soar high into the sky!")</f>
        <v>Shouldering all of their friends’ hopes, Zatch and Ponygon soar high into the sky!</v>
      </c>
      <c r="O620" s="42"/>
      <c r="P620" s="42"/>
      <c r="Q620" s="42"/>
      <c r="R620" s="42"/>
      <c r="S620" s="42"/>
      <c r="T620" s="42"/>
      <c r="U620" s="42"/>
      <c r="V620" s="42"/>
      <c r="W620" s="42"/>
      <c r="X620" s="42"/>
      <c r="Y620" s="42"/>
      <c r="Z620" s="42"/>
    </row>
    <row r="621">
      <c r="A621" s="41" t="str">
        <f>IFERROR(__xludf.DUMMYFUNCTION("""COMPUTED_VALUE"""),"M-239")</f>
        <v>M-239</v>
      </c>
      <c r="B621" s="42" t="str">
        <f>IFERROR(__xludf.DUMMYFUNCTION("""COMPUTED_VALUE"""),"Dual Mamodo")</f>
        <v>Dual Mamodo</v>
      </c>
      <c r="C621" s="42" t="str">
        <f>IFERROR(__xludf.DUMMYFUNCTION("""COMPUTED_VALUE"""),"Zatch Bell &amp; Penny")</f>
        <v>Zatch Bell &amp; Penny</v>
      </c>
      <c r="D621" s="42" t="str">
        <f>IFERROR(__xludf.DUMMYFUNCTION("""COMPUTED_VALUE"""),"Zatch Bell | Penny")</f>
        <v>Zatch Bell | Penny</v>
      </c>
      <c r="E621" s="42" t="str">
        <f>IFERROR(__xludf.DUMMYFUNCTION("""COMPUTED_VALUE"""),"-")</f>
        <v>-</v>
      </c>
      <c r="F621" s="42" t="str">
        <f>IFERROR(__xludf.DUMMYFUNCTION("""COMPUTED_VALUE"""),"-")</f>
        <v>-</v>
      </c>
      <c r="G621" s="42" t="str">
        <f>IFERROR(__xludf.DUMMYFUNCTION("""COMPUTED_VALUE"""),"None")</f>
        <v>None</v>
      </c>
      <c r="H621" s="42" t="str">
        <f>IFERROR(__xludf.DUMMYFUNCTION("""COMPUTED_VALUE"""),"How I Adore You!")</f>
        <v>How I Adore You!</v>
      </c>
      <c r="I621" s="43" t="str">
        <f>IFERROR(__xludf.DUMMYFUNCTION("""COMPUTED_VALUE"""),"Send your in-play Zatch Bell or Penny MAMODO card to the Discard Pile to put this MAMODO card in play. [IN PLAY] Apply both of the following effects: ● Your MP cannot be reduced by your opponent's card effects. ● Get 1 MP at the END PHASE of each of your "&amp;"turns during this game.")</f>
        <v>Send your in-play Zatch Bell or Penny MAMODO card to the Discard Pile to put this MAMODO card in play. [IN PLAY] Apply both of the following effects: ● Your MP cannot be reduced by your opponent's card effects. ● Get 1 MP at the END PHASE of each of your turns during this game.</v>
      </c>
      <c r="J621" s="42">
        <f>IFERROR(__xludf.DUMMYFUNCTION("""COMPUTED_VALUE"""),4500.0)</f>
        <v>4500</v>
      </c>
      <c r="K621" s="42" t="str">
        <f>IFERROR(__xludf.DUMMYFUNCTION("""COMPUTED_VALUE"""),"-")</f>
        <v>-</v>
      </c>
      <c r="L621" s="42" t="str">
        <f>IFERROR(__xludf.DUMMYFUNCTION("""COMPUTED_VALUE"""),"-")</f>
        <v>-</v>
      </c>
      <c r="M621" s="42" t="str">
        <f>IFERROR(__xludf.DUMMYFUNCTION("""COMPUTED_VALUE"""),"[SR]")</f>
        <v>[SR]</v>
      </c>
      <c r="N621" s="42" t="str">
        <f>IFERROR(__xludf.DUMMYFUNCTION("""COMPUTED_VALUE"""),"This card is an adorable love charm ~ ♡")</f>
        <v>This card is an adorable love charm ~ ♡</v>
      </c>
      <c r="O621" s="42"/>
      <c r="P621" s="42"/>
      <c r="Q621" s="42"/>
      <c r="R621" s="42"/>
      <c r="S621" s="42"/>
      <c r="T621" s="42"/>
      <c r="U621" s="42"/>
      <c r="V621" s="42"/>
      <c r="W621" s="42"/>
      <c r="X621" s="42"/>
      <c r="Y621" s="42"/>
      <c r="Z621" s="42"/>
    </row>
    <row r="622">
      <c r="A622" s="41" t="str">
        <f>IFERROR(__xludf.DUMMYFUNCTION("""COMPUTED_VALUE"""),"M-240")</f>
        <v>M-240</v>
      </c>
      <c r="B622" s="42" t="str">
        <f>IFERROR(__xludf.DUMMYFUNCTION("""COMPUTED_VALUE"""),"Dual Mamodo")</f>
        <v>Dual Mamodo</v>
      </c>
      <c r="C622" s="42" t="str">
        <f>IFERROR(__xludf.DUMMYFUNCTION("""COMPUTED_VALUE"""),"Zatch Bell &amp; Ted")</f>
        <v>Zatch Bell &amp; Ted</v>
      </c>
      <c r="D622" s="42" t="str">
        <f>IFERROR(__xludf.DUMMYFUNCTION("""COMPUTED_VALUE"""),"Zatch Bell | Ted")</f>
        <v>Zatch Bell | Ted</v>
      </c>
      <c r="E622" s="42" t="str">
        <f>IFERROR(__xludf.DUMMYFUNCTION("""COMPUTED_VALUE"""),"-")</f>
        <v>-</v>
      </c>
      <c r="F622" s="42" t="str">
        <f>IFERROR(__xludf.DUMMYFUNCTION("""COMPUTED_VALUE"""),"-")</f>
        <v>-</v>
      </c>
      <c r="G622" s="42" t="str">
        <f>IFERROR(__xludf.DUMMYFUNCTION("""COMPUTED_VALUE"""),"None")</f>
        <v>None</v>
      </c>
      <c r="H622" s="42" t="str">
        <f>IFERROR(__xludf.DUMMYFUNCTION("""COMPUTED_VALUE"""),"Someone Important")</f>
        <v>Someone Important</v>
      </c>
      <c r="I622" s="43" t="str">
        <f>IFERROR(__xludf.DUMMYFUNCTION("""COMPUTED_VALUE"""),"Send your in-play Zatch Bell or Ted MAMODO card to the Discard Pile to put this MAMODO card in play. [SEND THIS CARD TO THE DISCARD PILE] [STANDBY] After applying this effect, only once during this game (per player), when your Zatch Bell or Ted MAMODO car"&amp;"d is sent to the Discard Pile as a result of Damage, Injury, or your opponent's card effects, it remains in play instead. Poer:4500")</f>
        <v>Send your in-play Zatch Bell or Ted MAMODO card to the Discard Pile to put this MAMODO card in play. [SEND THIS CARD TO THE DISCARD PILE] [STANDBY] After applying this effect, only once during this game (per player), when your Zatch Bell or Ted MAMODO card is sent to the Discard Pile as a result of Damage, Injury, or your opponent's card effects, it remains in play instead. Poer:4500</v>
      </c>
      <c r="J622" s="42" t="str">
        <f>IFERROR(__xludf.DUMMYFUNCTION("""COMPUTED_VALUE"""),"-")</f>
        <v>-</v>
      </c>
      <c r="K622" s="42" t="str">
        <f>IFERROR(__xludf.DUMMYFUNCTION("""COMPUTED_VALUE"""),"-")</f>
        <v>-</v>
      </c>
      <c r="L622" s="42" t="str">
        <f>IFERROR(__xludf.DUMMYFUNCTION("""COMPUTED_VALUE"""),"-")</f>
        <v>-</v>
      </c>
      <c r="M622" s="42" t="str">
        <f>IFERROR(__xludf.DUMMYFUNCTION("""COMPUTED_VALUE"""),"[SR]")</f>
        <v>[SR]</v>
      </c>
      <c r="N622" s="42" t="str">
        <f>IFERROR(__xludf.DUMMYFUNCTION("""COMPUTED_VALUE"""),"What are truly the important things in life? These two people understand that quite well.")</f>
        <v>What are truly the important things in life? These two people understand that quite well.</v>
      </c>
      <c r="O622" s="42"/>
      <c r="P622" s="42"/>
      <c r="Q622" s="42"/>
      <c r="R622" s="42"/>
      <c r="S622" s="42"/>
      <c r="T622" s="42"/>
      <c r="U622" s="42"/>
      <c r="V622" s="42"/>
      <c r="W622" s="42"/>
      <c r="X622" s="42"/>
      <c r="Y622" s="42"/>
      <c r="Z622" s="42"/>
    </row>
    <row r="623">
      <c r="A623" s="41" t="str">
        <f>IFERROR(__xludf.DUMMYFUNCTION("""COMPUTED_VALUE"""),"M-241")</f>
        <v>M-241</v>
      </c>
      <c r="B623" s="42" t="str">
        <f>IFERROR(__xludf.DUMMYFUNCTION("""COMPUTED_VALUE"""),"VS Mamodo")</f>
        <v>VS Mamodo</v>
      </c>
      <c r="C623" s="42" t="str">
        <f>IFERROR(__xludf.DUMMYFUNCTION("""COMPUTED_VALUE"""),"Pamoon VS Goren")</f>
        <v>Pamoon VS Goren</v>
      </c>
      <c r="D623" s="42" t="str">
        <f>IFERROR(__xludf.DUMMYFUNCTION("""COMPUTED_VALUE"""),"Pamoon | Goren")</f>
        <v>Pamoon | Goren</v>
      </c>
      <c r="E623" s="42" t="str">
        <f>IFERROR(__xludf.DUMMYFUNCTION("""COMPUTED_VALUE"""),"-")</f>
        <v>-</v>
      </c>
      <c r="F623" s="42" t="str">
        <f>IFERROR(__xludf.DUMMYFUNCTION("""COMPUTED_VALUE"""),"-")</f>
        <v>-</v>
      </c>
      <c r="G623" s="42" t="str">
        <f>IFERROR(__xludf.DUMMYFUNCTION("""COMPUTED_VALUE"""),"None")</f>
        <v>None</v>
      </c>
      <c r="H623" s="42" t="str">
        <f>IFERROR(__xludf.DUMMYFUNCTION("""COMPUTED_VALUE"""),"A Thousand Years of Disgrace")</f>
        <v>A Thousand Years of Disgrace</v>
      </c>
      <c r="I623" s="43" t="str">
        <f>IFERROR(__xludf.DUMMYFUNCTION("""COMPUTED_VALUE"""),"Send either player's in-play Pamoon or Goren MAMODO card to the Discard Pile to put this MAMODO card in play (any MP counters on that MAMODO card are moved onto this MAMODO card and can be spent as your own MP). [SEND THIS CARD TO THE DISCARD PILE] Apply "&amp;"1 of the following effects: ● Petrify 1 of either player's MAMODO cards. ● Turn 1 of either player's Petrified MAMODO cards to Normal Status.")</f>
        <v>Send either player's in-play Pamoon or Goren MAMODO card to the Discard Pile to put this MAMODO card in play (any MP counters on that MAMODO card are moved onto this MAMODO card and can be spent as your own MP). [SEND THIS CARD TO THE DISCARD PILE] Apply 1 of the following effects: ● Petrify 1 of either player's MAMODO cards. ● Turn 1 of either player's Petrified MAMODO cards to Normal Status.</v>
      </c>
      <c r="J623" s="42">
        <f>IFERROR(__xludf.DUMMYFUNCTION("""COMPUTED_VALUE"""),6000.0)</f>
        <v>6000</v>
      </c>
      <c r="K623" s="42" t="str">
        <f>IFERROR(__xludf.DUMMYFUNCTION("""COMPUTED_VALUE"""),"-")</f>
        <v>-</v>
      </c>
      <c r="L623" s="42" t="str">
        <f>IFERROR(__xludf.DUMMYFUNCTION("""COMPUTED_VALUE"""),"-")</f>
        <v>-</v>
      </c>
      <c r="M623" s="42" t="str">
        <f>IFERROR(__xludf.DUMMYFUNCTION("""COMPUTED_VALUE"""),"[SR]")</f>
        <v>[SR]</v>
      </c>
      <c r="N623" s="42" t="str">
        <f>IFERROR(__xludf.DUMMYFUNCTION("""COMPUTED_VALUE"""),"""A thousand years ago, I lost because I was sweet.""")</f>
        <v>"A thousand years ago, I lost because I was sweet."</v>
      </c>
      <c r="O623" s="42"/>
      <c r="P623" s="42"/>
      <c r="Q623" s="42"/>
      <c r="R623" s="42"/>
      <c r="S623" s="42"/>
      <c r="T623" s="42"/>
      <c r="U623" s="42"/>
      <c r="V623" s="42"/>
      <c r="W623" s="42"/>
      <c r="X623" s="42"/>
      <c r="Y623" s="42"/>
      <c r="Z623" s="42"/>
    </row>
    <row r="624">
      <c r="A624" s="41" t="str">
        <f>IFERROR(__xludf.DUMMYFUNCTION("""COMPUTED_VALUE"""),"M-242")</f>
        <v>M-242</v>
      </c>
      <c r="B624" s="42" t="str">
        <f>IFERROR(__xludf.DUMMYFUNCTION("""COMPUTED_VALUE"""),"VS Mamodo")</f>
        <v>VS Mamodo</v>
      </c>
      <c r="C624" s="42" t="str">
        <f>IFERROR(__xludf.DUMMYFUNCTION("""COMPUTED_VALUE"""),"Victoream VS Beast of Yubari")</f>
        <v>Victoream VS Beast of Yubari</v>
      </c>
      <c r="D624" s="42" t="str">
        <f>IFERROR(__xludf.DUMMYFUNCTION("""COMPUTED_VALUE"""),"Victoream | Beast of Yubari")</f>
        <v>Victoream | Beast of Yubari</v>
      </c>
      <c r="E624" s="42" t="str">
        <f>IFERROR(__xludf.DUMMYFUNCTION("""COMPUTED_VALUE"""),"-")</f>
        <v>-</v>
      </c>
      <c r="F624" s="42" t="str">
        <f>IFERROR(__xludf.DUMMYFUNCTION("""COMPUTED_VALUE"""),"-")</f>
        <v>-</v>
      </c>
      <c r="G624" s="42" t="str">
        <f>IFERROR(__xludf.DUMMYFUNCTION("""COMPUTED_VALUE"""),"None")</f>
        <v>None</v>
      </c>
      <c r="H624" s="42" t="str">
        <f>IFERROR(__xludf.DUMMYFUNCTION("""COMPUTED_VALUE"""),"V's Adventure")</f>
        <v>V's Adventure</v>
      </c>
      <c r="I624" s="43" t="str">
        <f>IFERROR(__xludf.DUMMYFUNCTION("""COMPUTED_VALUE"""),"Send either player's in-play Victoream MAMODO card or Beast of Yūbari card to the Discard Pile to put this MAMODO card in play. [IN PLAY] Apply both of the following effects: ● Your opponent cannot get MP with their card effects. ● Your opponent must pay "&amp;"the original MP costs of their card effects, SPELL cards, and EVENT cards (the Last Page Bonus no longer applies to them).")</f>
        <v>Send either player's in-play Victoream MAMODO card or Beast of Yūbari card to the Discard Pile to put this MAMODO card in play. [IN PLAY] Apply both of the following effects: ● Your opponent cannot get MP with their card effects. ● Your opponent must pay the original MP costs of their card effects, SPELL cards, and EVENT cards (the Last Page Bonus no longer applies to them).</v>
      </c>
      <c r="J624" s="42">
        <f>IFERROR(__xludf.DUMMYFUNCTION("""COMPUTED_VALUE"""),5500.0)</f>
        <v>5500</v>
      </c>
      <c r="K624" s="42" t="str">
        <f>IFERROR(__xludf.DUMMYFUNCTION("""COMPUTED_VALUE"""),"-")</f>
        <v>-</v>
      </c>
      <c r="L624" s="42" t="str">
        <f>IFERROR(__xludf.DUMMYFUNCTION("""COMPUTED_VALUE"""),"-")</f>
        <v>-</v>
      </c>
      <c r="M624" s="42" t="str">
        <f>IFERROR(__xludf.DUMMYFUNCTION("""COMPUTED_VALUE"""),"[SR]")</f>
        <v>[SR]</v>
      </c>
      <c r="N624" s="42" t="str">
        <f>IFERROR(__xludf.DUMMYFUNCTION("""COMPUTED_VALUE"""),"""Some kind of watch dog! Don't you get in my way!""")</f>
        <v>"Some kind of watch dog! Don't you get in my way!"</v>
      </c>
      <c r="O624" s="42"/>
      <c r="P624" s="42"/>
      <c r="Q624" s="42"/>
      <c r="R624" s="42"/>
      <c r="S624" s="42"/>
      <c r="T624" s="42"/>
      <c r="U624" s="42"/>
      <c r="V624" s="42"/>
      <c r="W624" s="42"/>
      <c r="X624" s="42"/>
      <c r="Y624" s="42"/>
      <c r="Z624" s="42"/>
    </row>
    <row r="625">
      <c r="A625" s="41" t="str">
        <f>IFERROR(__xludf.DUMMYFUNCTION("""COMPUTED_VALUE"""),"M-243")</f>
        <v>M-243</v>
      </c>
      <c r="B625" s="42" t="str">
        <f>IFERROR(__xludf.DUMMYFUNCTION("""COMPUTED_VALUE"""),"Mamodo")</f>
        <v>Mamodo</v>
      </c>
      <c r="C625" s="42" t="str">
        <f>IFERROR(__xludf.DUMMYFUNCTION("""COMPUTED_VALUE"""),"Zatch Bell")</f>
        <v>Zatch Bell</v>
      </c>
      <c r="D625" s="42" t="str">
        <f>IFERROR(__xludf.DUMMYFUNCTION("""COMPUTED_VALUE"""),"Zatch Bell")</f>
        <v>Zatch Bell</v>
      </c>
      <c r="E625" s="42" t="str">
        <f>IFERROR(__xludf.DUMMYFUNCTION("""COMPUTED_VALUE"""),"-")</f>
        <v>-</v>
      </c>
      <c r="F625" s="42" t="str">
        <f>IFERROR(__xludf.DUMMYFUNCTION("""COMPUTED_VALUE"""),"-")</f>
        <v>-</v>
      </c>
      <c r="G625" s="42" t="str">
        <f>IFERROR(__xludf.DUMMYFUNCTION("""COMPUTED_VALUE"""),"None")</f>
        <v>None</v>
      </c>
      <c r="H625" s="42" t="str">
        <f>IFERROR(__xludf.DUMMYFUNCTION("""COMPUTED_VALUE"""),"Brimming With Courage")</f>
        <v>Brimming With Courage</v>
      </c>
      <c r="I625" s="43" t="str">
        <f>IFERROR(__xludf.DUMMYFUNCTION("""COMPUTED_VALUE"""),"[IN PLAY] When your opponent inflicts 3 Damage or more, it is adjusted to a total of 2 Damage.")</f>
        <v>[IN PLAY] When your opponent inflicts 3 Damage or more, it is adjusted to a total of 2 Damage.</v>
      </c>
      <c r="J625" s="42">
        <f>IFERROR(__xludf.DUMMYFUNCTION("""COMPUTED_VALUE"""),4500.0)</f>
        <v>4500</v>
      </c>
      <c r="K625" s="42" t="str">
        <f>IFERROR(__xludf.DUMMYFUNCTION("""COMPUTED_VALUE"""),"-")</f>
        <v>-</v>
      </c>
      <c r="L625" s="42" t="str">
        <f>IFERROR(__xludf.DUMMYFUNCTION("""COMPUTED_VALUE"""),"-")</f>
        <v>-</v>
      </c>
      <c r="M625" s="42" t="str">
        <f>IFERROR(__xludf.DUMMYFUNCTION("""COMPUTED_VALUE"""),"[U]")</f>
        <v>[U]</v>
      </c>
      <c r="N625" s="42" t="str">
        <f>IFERROR(__xludf.DUMMYFUNCTION("""COMPUTED_VALUE"""),"Occasionally, the fire in his eyes burns brightly with a dignified aura. What could this mean...?")</f>
        <v>Occasionally, the fire in his eyes burns brightly with a dignified aura. What could this mean...?</v>
      </c>
      <c r="O625" s="42"/>
      <c r="P625" s="42"/>
      <c r="Q625" s="42"/>
      <c r="R625" s="42"/>
      <c r="S625" s="42"/>
      <c r="T625" s="42"/>
      <c r="U625" s="42"/>
      <c r="V625" s="42"/>
      <c r="W625" s="42"/>
      <c r="X625" s="42"/>
      <c r="Y625" s="42"/>
      <c r="Z625" s="42"/>
    </row>
    <row r="626">
      <c r="A626" s="41" t="str">
        <f>IFERROR(__xludf.DUMMYFUNCTION("""COMPUTED_VALUE"""),"M-244")</f>
        <v>M-244</v>
      </c>
      <c r="B626" s="42" t="str">
        <f>IFERROR(__xludf.DUMMYFUNCTION("""COMPUTED_VALUE"""),"Mamodo")</f>
        <v>Mamodo</v>
      </c>
      <c r="C626" s="42" t="str">
        <f>IFERROR(__xludf.DUMMYFUNCTION("""COMPUTED_VALUE"""),"Tia")</f>
        <v>Tia</v>
      </c>
      <c r="D626" s="42" t="str">
        <f>IFERROR(__xludf.DUMMYFUNCTION("""COMPUTED_VALUE"""),"Tia")</f>
        <v>Tia</v>
      </c>
      <c r="E626" s="42" t="str">
        <f>IFERROR(__xludf.DUMMYFUNCTION("""COMPUTED_VALUE"""),"-")</f>
        <v>-</v>
      </c>
      <c r="F626" s="42" t="str">
        <f>IFERROR(__xludf.DUMMYFUNCTION("""COMPUTED_VALUE"""),"-")</f>
        <v>-</v>
      </c>
      <c r="G626" s="42" t="str">
        <f>IFERROR(__xludf.DUMMYFUNCTION("""COMPUTED_VALUE"""),"None")</f>
        <v>None</v>
      </c>
      <c r="H626" s="42" t="str">
        <f>IFERROR(__xludf.DUMMYFUNCTION("""COMPUTED_VALUE"""),"A Better Choice")</f>
        <v>A Better Choice</v>
      </c>
      <c r="I626" s="43" t="str">
        <f>IFERROR(__xludf.DUMMYFUNCTION("""COMPUTED_VALUE"""),"(Cut-In) [1 MP] When your opponent selects 1 of their in-play MAMODO cards as a target of a card effect, the selection is disregarded. Then, select 1 of their in-play MAMODO cards to apply the effect to instead.")</f>
        <v>(Cut-In) [1 MP] When your opponent selects 1 of their in-play MAMODO cards as a target of a card effect, the selection is disregarded. Then, select 1 of their in-play MAMODO cards to apply the effect to instead.</v>
      </c>
      <c r="J626" s="42">
        <f>IFERROR(__xludf.DUMMYFUNCTION("""COMPUTED_VALUE"""),3000.0)</f>
        <v>3000</v>
      </c>
      <c r="K626" s="42" t="str">
        <f>IFERROR(__xludf.DUMMYFUNCTION("""COMPUTED_VALUE"""),"-")</f>
        <v>-</v>
      </c>
      <c r="L626" s="42" t="str">
        <f>IFERROR(__xludf.DUMMYFUNCTION("""COMPUTED_VALUE"""),"-")</f>
        <v>-</v>
      </c>
      <c r="M626" s="42" t="str">
        <f>IFERROR(__xludf.DUMMYFUNCTION("""COMPUTED_VALUE"""),"[C]")</f>
        <v>[C]</v>
      </c>
      <c r="N626" s="42" t="str">
        <f>IFERROR(__xludf.DUMMYFUNCTION("""COMPUTED_VALUE"""),"""Everyone knows girls have better taste!""")</f>
        <v>"Everyone knows girls have better taste!"</v>
      </c>
      <c r="O626" s="42"/>
      <c r="P626" s="42"/>
      <c r="Q626" s="42"/>
      <c r="R626" s="42"/>
      <c r="S626" s="42"/>
      <c r="T626" s="42"/>
      <c r="U626" s="42"/>
      <c r="V626" s="42"/>
      <c r="W626" s="42"/>
      <c r="X626" s="42"/>
      <c r="Y626" s="42"/>
      <c r="Z626" s="42"/>
    </row>
    <row r="627">
      <c r="A627" s="41" t="str">
        <f>IFERROR(__xludf.DUMMYFUNCTION("""COMPUTED_VALUE"""),"M-245")</f>
        <v>M-245</v>
      </c>
      <c r="B627" s="42" t="str">
        <f>IFERROR(__xludf.DUMMYFUNCTION("""COMPUTED_VALUE"""),"Mamodo")</f>
        <v>Mamodo</v>
      </c>
      <c r="C627" s="42" t="str">
        <f>IFERROR(__xludf.DUMMYFUNCTION("""COMPUTED_VALUE"""),"Ted")</f>
        <v>Ted</v>
      </c>
      <c r="D627" s="42" t="str">
        <f>IFERROR(__xludf.DUMMYFUNCTION("""COMPUTED_VALUE"""),"Ted")</f>
        <v>Ted</v>
      </c>
      <c r="E627" s="42" t="str">
        <f>IFERROR(__xludf.DUMMYFUNCTION("""COMPUTED_VALUE"""),"-")</f>
        <v>-</v>
      </c>
      <c r="F627" s="42" t="str">
        <f>IFERROR(__xludf.DUMMYFUNCTION("""COMPUTED_VALUE"""),"-")</f>
        <v>-</v>
      </c>
      <c r="G627" s="42" t="str">
        <f>IFERROR(__xludf.DUMMYFUNCTION("""COMPUTED_VALUE"""),"None")</f>
        <v>None</v>
      </c>
      <c r="H627" s="42" t="str">
        <f>IFERROR(__xludf.DUMMYFUNCTION("""COMPUTED_VALUE"""),"Iron Arm")</f>
        <v>Iron Arm</v>
      </c>
      <c r="I627" s="43" t="str">
        <f>IFERROR(__xludf.DUMMYFUNCTION("""COMPUTED_VALUE"""),"Only 1 SPELL card can be played for this MAMODO per turn (per player). When this MAMODO is put in play, a Dragner Nagur SPELL card is considered to have been played during this game. Then, place 1 MP counter on this card. (Attack) [1 MP] This card may Att"&amp;"ack without using a SPELL card (Total Power=7500, Damage=number of MP counters on this card times 1).")</f>
        <v>Only 1 SPELL card can be played for this MAMODO per turn (per player). When this MAMODO is put in play, a Dragner Nagur SPELL card is considered to have been played during this game. Then, place 1 MP counter on this card. (Attack) [1 MP] This card may Attack without using a SPELL card (Total Power=7500, Damage=number of MP counters on this card times 1).</v>
      </c>
      <c r="J627" s="42">
        <f>IFERROR(__xludf.DUMMYFUNCTION("""COMPUTED_VALUE"""),4500.0)</f>
        <v>4500</v>
      </c>
      <c r="K627" s="42" t="str">
        <f>IFERROR(__xludf.DUMMYFUNCTION("""COMPUTED_VALUE"""),"-")</f>
        <v>-</v>
      </c>
      <c r="L627" s="42" t="str">
        <f>IFERROR(__xludf.DUMMYFUNCTION("""COMPUTED_VALUE"""),"-")</f>
        <v>-</v>
      </c>
      <c r="M627" s="42" t="str">
        <f>IFERROR(__xludf.DUMMYFUNCTION("""COMPUTED_VALUE"""),"[R]")</f>
        <v>[R]</v>
      </c>
      <c r="N627" s="42" t="str">
        <f>IFERROR(__xludf.DUMMYFUNCTION("""COMPUTED_VALUE"""),"""I'm already warmed up from the spell!""")</f>
        <v>"I'm already warmed up from the spell!"</v>
      </c>
      <c r="O627" s="42"/>
      <c r="P627" s="42"/>
      <c r="Q627" s="42"/>
      <c r="R627" s="42"/>
      <c r="S627" s="42"/>
      <c r="T627" s="42"/>
      <c r="U627" s="42"/>
      <c r="V627" s="42"/>
      <c r="W627" s="42"/>
      <c r="X627" s="42"/>
      <c r="Y627" s="42"/>
      <c r="Z627" s="42"/>
    </row>
    <row r="628">
      <c r="A628" s="41" t="str">
        <f>IFERROR(__xludf.DUMMYFUNCTION("""COMPUTED_VALUE"""),"M-246")</f>
        <v>M-246</v>
      </c>
      <c r="B628" s="42" t="str">
        <f>IFERROR(__xludf.DUMMYFUNCTION("""COMPUTED_VALUE"""),"Mamodo")</f>
        <v>Mamodo</v>
      </c>
      <c r="C628" s="42" t="str">
        <f>IFERROR(__xludf.DUMMYFUNCTION("""COMPUTED_VALUE"""),"Zatch Bell")</f>
        <v>Zatch Bell</v>
      </c>
      <c r="D628" s="42" t="str">
        <f>IFERROR(__xludf.DUMMYFUNCTION("""COMPUTED_VALUE"""),"Zatch Bell")</f>
        <v>Zatch Bell</v>
      </c>
      <c r="E628" s="42" t="str">
        <f>IFERROR(__xludf.DUMMYFUNCTION("""COMPUTED_VALUE"""),"-")</f>
        <v>-</v>
      </c>
      <c r="F628" s="42" t="str">
        <f>IFERROR(__xludf.DUMMYFUNCTION("""COMPUTED_VALUE"""),"-")</f>
        <v>-</v>
      </c>
      <c r="G628" s="42" t="str">
        <f>IFERROR(__xludf.DUMMYFUNCTION("""COMPUTED_VALUE"""),"None")</f>
        <v>None</v>
      </c>
      <c r="H628" s="42" t="str">
        <f>IFERROR(__xludf.DUMMYFUNCTION("""COMPUTED_VALUE"""),"Gently...")</f>
        <v>Gently...</v>
      </c>
      <c r="I628" s="43" t="str">
        <f>IFERROR(__xludf.DUMMYFUNCTION("""COMPUTED_VALUE"""),"[IN PLAY] If your opponent did not Attack during the BATTLE PHASE of their turn, get 2 MP at the END PHASE of that turn.")</f>
        <v>[IN PLAY] If your opponent did not Attack during the BATTLE PHASE of their turn, get 2 MP at the END PHASE of that turn.</v>
      </c>
      <c r="J628" s="42">
        <f>IFERROR(__xludf.DUMMYFUNCTION("""COMPUTED_VALUE"""),4000.0)</f>
        <v>4000</v>
      </c>
      <c r="K628" s="42" t="str">
        <f>IFERROR(__xludf.DUMMYFUNCTION("""COMPUTED_VALUE"""),"-")</f>
        <v>-</v>
      </c>
      <c r="L628" s="42" t="str">
        <f>IFERROR(__xludf.DUMMYFUNCTION("""COMPUTED_VALUE"""),"-")</f>
        <v>-</v>
      </c>
      <c r="M628" s="42" t="str">
        <f>IFERROR(__xludf.DUMMYFUNCTION("""COMPUTED_VALUE"""),"[U]")</f>
        <v>[U]</v>
      </c>
      <c r="N628" s="42" t="str">
        <f>IFERROR(__xludf.DUMMYFUNCTION("""COMPUTED_VALUE"""),"""Don't wake up, Kiyo... and don't you get up either, Mr. Dragonfly.""")</f>
        <v>"Don't wake up, Kiyo... and don't you get up either, Mr. Dragonfly."</v>
      </c>
      <c r="O628" s="42"/>
      <c r="P628" s="42"/>
      <c r="Q628" s="42"/>
      <c r="R628" s="42"/>
      <c r="S628" s="42"/>
      <c r="T628" s="42"/>
      <c r="U628" s="42"/>
      <c r="V628" s="42"/>
      <c r="W628" s="42"/>
      <c r="X628" s="42"/>
      <c r="Y628" s="42"/>
      <c r="Z628" s="42"/>
    </row>
    <row r="629">
      <c r="A629" s="41" t="str">
        <f>IFERROR(__xludf.DUMMYFUNCTION("""COMPUTED_VALUE"""),"M-247")</f>
        <v>M-247</v>
      </c>
      <c r="B629" s="42" t="str">
        <f>IFERROR(__xludf.DUMMYFUNCTION("""COMPUTED_VALUE"""),"Mamodo")</f>
        <v>Mamodo</v>
      </c>
      <c r="C629" s="42" t="str">
        <f>IFERROR(__xludf.DUMMYFUNCTION("""COMPUTED_VALUE"""),"Ponygon")</f>
        <v>Ponygon</v>
      </c>
      <c r="D629" s="42" t="str">
        <f>IFERROR(__xludf.DUMMYFUNCTION("""COMPUTED_VALUE"""),"Ponygon")</f>
        <v>Ponygon</v>
      </c>
      <c r="E629" s="42" t="str">
        <f>IFERROR(__xludf.DUMMYFUNCTION("""COMPUTED_VALUE"""),"-")</f>
        <v>-</v>
      </c>
      <c r="F629" s="42" t="str">
        <f>IFERROR(__xludf.DUMMYFUNCTION("""COMPUTED_VALUE"""),"-")</f>
        <v>-</v>
      </c>
      <c r="G629" s="42" t="str">
        <f>IFERROR(__xludf.DUMMYFUNCTION("""COMPUTED_VALUE"""),"None")</f>
        <v>None</v>
      </c>
      <c r="H629" s="42" t="str">
        <f>IFERROR(__xludf.DUMMYFUNCTION("""COMPUTED_VALUE"""),"Peppy Ponygon")</f>
        <v>Peppy Ponygon</v>
      </c>
      <c r="I629" s="43" t="str">
        <f>IFERROR(__xludf.DUMMYFUNCTION("""COMPUTED_VALUE"""),"[SEND THIS CARD TO THE DISCARD PILE] Look at your opponent's Spell Book. Select up to 2 Ponygon MAMODO or EVENT cards from any of the pages and send them to the Discard Pile.")</f>
        <v>[SEND THIS CARD TO THE DISCARD PILE] Look at your opponent's Spell Book. Select up to 2 Ponygon MAMODO or EVENT cards from any of the pages and send them to the Discard Pile.</v>
      </c>
      <c r="J629" s="42">
        <f>IFERROR(__xludf.DUMMYFUNCTION("""COMPUTED_VALUE"""),3000.0)</f>
        <v>3000</v>
      </c>
      <c r="K629" s="42" t="str">
        <f>IFERROR(__xludf.DUMMYFUNCTION("""COMPUTED_VALUE"""),"-")</f>
        <v>-</v>
      </c>
      <c r="L629" s="42" t="str">
        <f>IFERROR(__xludf.DUMMYFUNCTION("""COMPUTED_VALUE"""),"-")</f>
        <v>-</v>
      </c>
      <c r="M629" s="42" t="str">
        <f>IFERROR(__xludf.DUMMYFUNCTION("""COMPUTED_VALUE"""),"[C]")</f>
        <v>[C]</v>
      </c>
      <c r="N629" s="42" t="str">
        <f>IFERROR(__xludf.DUMMYFUNCTION("""COMPUTED_VALUE"""),"Ponygon is happy and healthy. It's all a natural part of being a horse.")</f>
        <v>Ponygon is happy and healthy. It's all a natural part of being a horse.</v>
      </c>
      <c r="O629" s="42"/>
      <c r="P629" s="42"/>
      <c r="Q629" s="42"/>
      <c r="R629" s="42"/>
      <c r="S629" s="42"/>
      <c r="T629" s="42"/>
      <c r="U629" s="42"/>
      <c r="V629" s="42"/>
      <c r="W629" s="42"/>
      <c r="X629" s="42"/>
      <c r="Y629" s="42"/>
      <c r="Z629" s="42"/>
    </row>
    <row r="630">
      <c r="A630" s="41" t="str">
        <f>IFERROR(__xludf.DUMMYFUNCTION("""COMPUTED_VALUE"""),"M-248")</f>
        <v>M-248</v>
      </c>
      <c r="B630" s="42" t="str">
        <f>IFERROR(__xludf.DUMMYFUNCTION("""COMPUTED_VALUE"""),"Mamodo")</f>
        <v>Mamodo</v>
      </c>
      <c r="C630" s="42" t="str">
        <f>IFERROR(__xludf.DUMMYFUNCTION("""COMPUTED_VALUE"""),"Arth")</f>
        <v>Arth</v>
      </c>
      <c r="D630" s="42" t="str">
        <f>IFERROR(__xludf.DUMMYFUNCTION("""COMPUTED_VALUE"""),"Arth")</f>
        <v>Arth</v>
      </c>
      <c r="E630" s="42" t="str">
        <f>IFERROR(__xludf.DUMMYFUNCTION("""COMPUTED_VALUE"""),"-")</f>
        <v>-</v>
      </c>
      <c r="F630" s="42" t="str">
        <f>IFERROR(__xludf.DUMMYFUNCTION("""COMPUTED_VALUE"""),"-")</f>
        <v>-</v>
      </c>
      <c r="G630" s="42" t="str">
        <f>IFERROR(__xludf.DUMMYFUNCTION("""COMPUTED_VALUE"""),"None")</f>
        <v>None</v>
      </c>
      <c r="H630" s="42" t="str">
        <f>IFERROR(__xludf.DUMMYFUNCTION("""COMPUTED_VALUE"""),"Requiem")</f>
        <v>Requiem</v>
      </c>
      <c r="I630" s="43" t="str">
        <f>IFERROR(__xludf.DUMMYFUNCTION("""COMPUTED_VALUE"""),"[IN PLAY] When your opponent has only 1 MAMODO card in play, your opponent can neither SACRIFICE nor PROTECT their Spell Book from Damage.")</f>
        <v>[IN PLAY] When your opponent has only 1 MAMODO card in play, your opponent can neither SACRIFICE nor PROTECT their Spell Book from Damage.</v>
      </c>
      <c r="J630" s="42">
        <f>IFERROR(__xludf.DUMMYFUNCTION("""COMPUTED_VALUE"""),5000.0)</f>
        <v>5000</v>
      </c>
      <c r="K630" s="42" t="str">
        <f>IFERROR(__xludf.DUMMYFUNCTION("""COMPUTED_VALUE"""),"-")</f>
        <v>-</v>
      </c>
      <c r="L630" s="42" t="str">
        <f>IFERROR(__xludf.DUMMYFUNCTION("""COMPUTED_VALUE"""),"-")</f>
        <v>-</v>
      </c>
      <c r="M630" s="42" t="str">
        <f>IFERROR(__xludf.DUMMYFUNCTION("""COMPUTED_VALUE"""),"[R]")</f>
        <v>[R]</v>
      </c>
      <c r="N630" s="42" t="str">
        <f>IFERROR(__xludf.DUMMYFUNCTION("""COMPUTED_VALUE"""),"""Right now, you're an opponent that I can handle. I will put an end to this battle now!""")</f>
        <v>"Right now, you're an opponent that I can handle. I will put an end to this battle now!"</v>
      </c>
      <c r="O630" s="42"/>
      <c r="P630" s="42"/>
      <c r="Q630" s="42"/>
      <c r="R630" s="42"/>
      <c r="S630" s="42"/>
      <c r="T630" s="42"/>
      <c r="U630" s="42"/>
      <c r="V630" s="42"/>
      <c r="W630" s="42"/>
      <c r="X630" s="42"/>
      <c r="Y630" s="42"/>
      <c r="Z630" s="42"/>
    </row>
    <row r="631">
      <c r="A631" s="41" t="str">
        <f>IFERROR(__xludf.DUMMYFUNCTION("""COMPUTED_VALUE"""),"M-249")</f>
        <v>M-249</v>
      </c>
      <c r="B631" s="42" t="str">
        <f>IFERROR(__xludf.DUMMYFUNCTION("""COMPUTED_VALUE"""),"Stone Tablet Mamodo")</f>
        <v>Stone Tablet Mamodo</v>
      </c>
      <c r="C631" s="42" t="str">
        <f>IFERROR(__xludf.DUMMYFUNCTION("""COMPUTED_VALUE"""),"Victoream")</f>
        <v>Victoream</v>
      </c>
      <c r="D631" s="42" t="str">
        <f>IFERROR(__xludf.DUMMYFUNCTION("""COMPUTED_VALUE"""),"Victoream")</f>
        <v>Victoream</v>
      </c>
      <c r="E631" s="42" t="str">
        <f>IFERROR(__xludf.DUMMYFUNCTION("""COMPUTED_VALUE"""),"-")</f>
        <v>-</v>
      </c>
      <c r="F631" s="42" t="str">
        <f>IFERROR(__xludf.DUMMYFUNCTION("""COMPUTED_VALUE"""),"-")</f>
        <v>-</v>
      </c>
      <c r="G631" s="42" t="str">
        <f>IFERROR(__xludf.DUMMYFUNCTION("""COMPUTED_VALUE"""),"None")</f>
        <v>None</v>
      </c>
      <c r="H631" s="42" t="str">
        <f>IFERROR(__xludf.DUMMYFUNCTION("""COMPUTED_VALUE"""),"Melon Run")</f>
        <v>Melon Run</v>
      </c>
      <c r="I631" s="43" t="str">
        <f>IFERROR(__xludf.DUMMYFUNCTION("""COMPUTED_VALUE"""),"[SEND THIS CARD TO THE DISCARD PILE] Negate 1 [Stay] or [Standby] effect.")</f>
        <v>[SEND THIS CARD TO THE DISCARD PILE] Negate 1 [Stay] or [Standby] effect.</v>
      </c>
      <c r="J631" s="42">
        <f>IFERROR(__xludf.DUMMYFUNCTION("""COMPUTED_VALUE"""),4000.0)</f>
        <v>4000</v>
      </c>
      <c r="K631" s="42" t="str">
        <f>IFERROR(__xludf.DUMMYFUNCTION("""COMPUTED_VALUE"""),"-")</f>
        <v>-</v>
      </c>
      <c r="L631" s="42" t="str">
        <f>IFERROR(__xludf.DUMMYFUNCTION("""COMPUTED_VALUE"""),"-")</f>
        <v>-</v>
      </c>
      <c r="M631" s="42" t="str">
        <f>IFERROR(__xludf.DUMMYFUNCTION("""COMPUTED_VALUE"""),"[R]")</f>
        <v>[R]</v>
      </c>
      <c r="N631" s="42" t="str">
        <f>IFERROR(__xludf.DUMMYFUNCTION("""COMPUTED_VALUE"""),"""Don't just stand there, hurry up and get me a melon!""")</f>
        <v>"Don't just stand there, hurry up and get me a melon!"</v>
      </c>
      <c r="O631" s="42"/>
      <c r="P631" s="42"/>
      <c r="Q631" s="42"/>
      <c r="R631" s="42"/>
      <c r="S631" s="42"/>
      <c r="T631" s="42"/>
      <c r="U631" s="42"/>
      <c r="V631" s="42"/>
      <c r="W631" s="42"/>
      <c r="X631" s="42"/>
      <c r="Y631" s="42"/>
      <c r="Z631" s="42"/>
    </row>
    <row r="632">
      <c r="A632" s="41" t="str">
        <f>IFERROR(__xludf.DUMMYFUNCTION("""COMPUTED_VALUE"""),"M-250")</f>
        <v>M-250</v>
      </c>
      <c r="B632" s="42" t="str">
        <f>IFERROR(__xludf.DUMMYFUNCTION("""COMPUTED_VALUE"""),"Mamodo")</f>
        <v>Mamodo</v>
      </c>
      <c r="C632" s="42" t="str">
        <f>IFERROR(__xludf.DUMMYFUNCTION("""COMPUTED_VALUE"""),"Zatch Bell")</f>
        <v>Zatch Bell</v>
      </c>
      <c r="D632" s="42" t="str">
        <f>IFERROR(__xludf.DUMMYFUNCTION("""COMPUTED_VALUE"""),"Zatch Bell")</f>
        <v>Zatch Bell</v>
      </c>
      <c r="E632" s="42" t="str">
        <f>IFERROR(__xludf.DUMMYFUNCTION("""COMPUTED_VALUE"""),"-")</f>
        <v>-</v>
      </c>
      <c r="F632" s="42" t="str">
        <f>IFERROR(__xludf.DUMMYFUNCTION("""COMPUTED_VALUE"""),"-")</f>
        <v>-</v>
      </c>
      <c r="G632" s="42" t="str">
        <f>IFERROR(__xludf.DUMMYFUNCTION("""COMPUTED_VALUE"""),"None")</f>
        <v>None</v>
      </c>
      <c r="H632" s="42" t="str">
        <f>IFERROR(__xludf.DUMMYFUNCTION("""COMPUTED_VALUE"""),"Innocence")</f>
        <v>Innocence</v>
      </c>
      <c r="I632" s="43" t="str">
        <f>IFERROR(__xludf.DUMMYFUNCTION("""COMPUTED_VALUE"""),"[IN PLAY] When your opponent reduces your MP with their card effects, get 2 MP at the END PHASE of that turn.")</f>
        <v>[IN PLAY] When your opponent reduces your MP with their card effects, get 2 MP at the END PHASE of that turn.</v>
      </c>
      <c r="J632" s="42">
        <f>IFERROR(__xludf.DUMMYFUNCTION("""COMPUTED_VALUE"""),4000.0)</f>
        <v>4000</v>
      </c>
      <c r="K632" s="42" t="str">
        <f>IFERROR(__xludf.DUMMYFUNCTION("""COMPUTED_VALUE"""),"-")</f>
        <v>-</v>
      </c>
      <c r="L632" s="42" t="str">
        <f>IFERROR(__xludf.DUMMYFUNCTION("""COMPUTED_VALUE"""),"-")</f>
        <v>-</v>
      </c>
      <c r="M632" s="42" t="str">
        <f>IFERROR(__xludf.DUMMYFUNCTION("""COMPUTED_VALUE"""),"[SR]")</f>
        <v>[SR]</v>
      </c>
      <c r="N632" s="42" t="str">
        <f>IFERROR(__xludf.DUMMYFUNCTION("""COMPUTED_VALUE"""),"""I'm gonna do my best to become a kind king!""")</f>
        <v>"I'm gonna do my best to become a kind king!"</v>
      </c>
      <c r="O632" s="42"/>
      <c r="P632" s="42"/>
      <c r="Q632" s="42"/>
      <c r="R632" s="42"/>
      <c r="S632" s="42"/>
      <c r="T632" s="42"/>
      <c r="U632" s="42"/>
      <c r="V632" s="42"/>
      <c r="W632" s="42"/>
      <c r="X632" s="42"/>
      <c r="Y632" s="42"/>
      <c r="Z632" s="42"/>
    </row>
    <row r="633">
      <c r="A633" s="41" t="str">
        <f>IFERROR(__xludf.DUMMYFUNCTION("""COMPUTED_VALUE"""),"M-251")</f>
        <v>M-251</v>
      </c>
      <c r="B633" s="42" t="str">
        <f>IFERROR(__xludf.DUMMYFUNCTION("""COMPUTED_VALUE"""),"Mamodo")</f>
        <v>Mamodo</v>
      </c>
      <c r="C633" s="42" t="str">
        <f>IFERROR(__xludf.DUMMYFUNCTION("""COMPUTED_VALUE"""),"Penny")</f>
        <v>Penny</v>
      </c>
      <c r="D633" s="42" t="str">
        <f>IFERROR(__xludf.DUMMYFUNCTION("""COMPUTED_VALUE"""),"Penny")</f>
        <v>Penny</v>
      </c>
      <c r="E633" s="42" t="str">
        <f>IFERROR(__xludf.DUMMYFUNCTION("""COMPUTED_VALUE"""),"-")</f>
        <v>-</v>
      </c>
      <c r="F633" s="42" t="str">
        <f>IFERROR(__xludf.DUMMYFUNCTION("""COMPUTED_VALUE"""),"-")</f>
        <v>-</v>
      </c>
      <c r="G633" s="42" t="str">
        <f>IFERROR(__xludf.DUMMYFUNCTION("""COMPUTED_VALUE"""),"None")</f>
        <v>None</v>
      </c>
      <c r="H633" s="42" t="str">
        <f>IFERROR(__xludf.DUMMYFUNCTION("""COMPUTED_VALUE"""),"Thank You")</f>
        <v>Thank You</v>
      </c>
      <c r="I633" s="43" t="str">
        <f>IFERROR(__xludf.DUMMYFUNCTION("""COMPUTED_VALUE"""),"[IN PLAY] When this MAMODO card is sent to the Discard Pile, both players move any number of MAMODO cards from their Discard Piles to empty pages of their own Spell Books.")</f>
        <v>[IN PLAY] When this MAMODO card is sent to the Discard Pile, both players move any number of MAMODO cards from their Discard Piles to empty pages of their own Spell Books.</v>
      </c>
      <c r="J633" s="42">
        <f>IFERROR(__xludf.DUMMYFUNCTION("""COMPUTED_VALUE"""),4000.0)</f>
        <v>4000</v>
      </c>
      <c r="K633" s="42" t="str">
        <f>IFERROR(__xludf.DUMMYFUNCTION("""COMPUTED_VALUE"""),"-")</f>
        <v>-</v>
      </c>
      <c r="L633" s="42" t="str">
        <f>IFERROR(__xludf.DUMMYFUNCTION("""COMPUTED_VALUE"""),"-")</f>
        <v>-</v>
      </c>
      <c r="M633" s="42" t="str">
        <f>IFERROR(__xludf.DUMMYFUNCTION("""COMPUTED_VALUE"""),"[R]")</f>
        <v>[R]</v>
      </c>
      <c r="N633" s="42" t="str">
        <f>IFERROR(__xludf.DUMMYFUNCTION("""COMPUTED_VALUE"""),"""Thank you... my beloved Zatch.""")</f>
        <v>"Thank you... my beloved Zatch."</v>
      </c>
      <c r="O633" s="42"/>
      <c r="P633" s="42"/>
      <c r="Q633" s="42"/>
      <c r="R633" s="42"/>
      <c r="S633" s="42"/>
      <c r="T633" s="42"/>
      <c r="U633" s="42"/>
      <c r="V633" s="42"/>
      <c r="W633" s="42"/>
      <c r="X633" s="42"/>
      <c r="Y633" s="42"/>
      <c r="Z633" s="42"/>
    </row>
    <row r="634">
      <c r="A634" s="41" t="str">
        <f>IFERROR(__xludf.DUMMYFUNCTION("""COMPUTED_VALUE"""),"M-252")</f>
        <v>M-252</v>
      </c>
      <c r="B634" s="42" t="str">
        <f>IFERROR(__xludf.DUMMYFUNCTION("""COMPUTED_VALUE"""),"Mamodo")</f>
        <v>Mamodo</v>
      </c>
      <c r="C634" s="42" t="str">
        <f>IFERROR(__xludf.DUMMYFUNCTION("""COMPUTED_VALUE"""),"Byonko")</f>
        <v>Byonko</v>
      </c>
      <c r="D634" s="42" t="str">
        <f>IFERROR(__xludf.DUMMYFUNCTION("""COMPUTED_VALUE"""),"Byonko")</f>
        <v>Byonko</v>
      </c>
      <c r="E634" s="42" t="str">
        <f>IFERROR(__xludf.DUMMYFUNCTION("""COMPUTED_VALUE"""),"-")</f>
        <v>-</v>
      </c>
      <c r="F634" s="42" t="str">
        <f>IFERROR(__xludf.DUMMYFUNCTION("""COMPUTED_VALUE"""),"-")</f>
        <v>-</v>
      </c>
      <c r="G634" s="42" t="str">
        <f>IFERROR(__xludf.DUMMYFUNCTION("""COMPUTED_VALUE"""),"None")</f>
        <v>None</v>
      </c>
      <c r="H634" s="42" t="str">
        <f>IFERROR(__xludf.DUMMYFUNCTION("""COMPUTED_VALUE"""),"Snack At 3 O'Clock")</f>
        <v>Snack At 3 O'Clock</v>
      </c>
      <c r="I634" s="43" t="str">
        <f>IFERROR(__xludf.DUMMYFUNCTION("""COMPUTED_VALUE"""),"[IN PLAY] When you have 0 MP at your END PHASE, get 3 MP.")</f>
        <v>[IN PLAY] When you have 0 MP at your END PHASE, get 3 MP.</v>
      </c>
      <c r="J634" s="42">
        <f>IFERROR(__xludf.DUMMYFUNCTION("""COMPUTED_VALUE"""),3000.0)</f>
        <v>3000</v>
      </c>
      <c r="K634" s="42" t="str">
        <f>IFERROR(__xludf.DUMMYFUNCTION("""COMPUTED_VALUE"""),"-")</f>
        <v>-</v>
      </c>
      <c r="L634" s="42" t="str">
        <f>IFERROR(__xludf.DUMMYFUNCTION("""COMPUTED_VALUE"""),"-")</f>
        <v>-</v>
      </c>
      <c r="M634" s="42" t="str">
        <f>IFERROR(__xludf.DUMMYFUNCTION("""COMPUTED_VALUE"""),"[C]")</f>
        <v>[C]</v>
      </c>
      <c r="N634" s="42" t="str">
        <f>IFERROR(__xludf.DUMMYFUNCTION("""COMPUTED_VALUE"""),"""It's 3 o'clock, ribbit! Give me a cookie, ribbit!""")</f>
        <v>"It's 3 o'clock, ribbit! Give me a cookie, ribbit!"</v>
      </c>
      <c r="O634" s="42"/>
      <c r="P634" s="42"/>
      <c r="Q634" s="42"/>
      <c r="R634" s="42"/>
      <c r="S634" s="42"/>
      <c r="T634" s="42"/>
      <c r="U634" s="42"/>
      <c r="V634" s="42"/>
      <c r="W634" s="42"/>
      <c r="X634" s="42"/>
      <c r="Y634" s="42"/>
      <c r="Z634" s="42"/>
    </row>
    <row r="635">
      <c r="A635" s="41" t="str">
        <f>IFERROR(__xludf.DUMMYFUNCTION("""COMPUTED_VALUE"""),"M-253")</f>
        <v>M-253</v>
      </c>
      <c r="B635" s="42" t="str">
        <f>IFERROR(__xludf.DUMMYFUNCTION("""COMPUTED_VALUE"""),"Stone Tablet Mamodo")</f>
        <v>Stone Tablet Mamodo</v>
      </c>
      <c r="C635" s="42" t="str">
        <f>IFERROR(__xludf.DUMMYFUNCTION("""COMPUTED_VALUE"""),"Alm")</f>
        <v>Alm</v>
      </c>
      <c r="D635" s="42" t="str">
        <f>IFERROR(__xludf.DUMMYFUNCTION("""COMPUTED_VALUE"""),"Alm")</f>
        <v>Alm</v>
      </c>
      <c r="E635" s="42" t="str">
        <f>IFERROR(__xludf.DUMMYFUNCTION("""COMPUTED_VALUE"""),"-")</f>
        <v>-</v>
      </c>
      <c r="F635" s="42" t="str">
        <f>IFERROR(__xludf.DUMMYFUNCTION("""COMPUTED_VALUE"""),"-")</f>
        <v>-</v>
      </c>
      <c r="G635" s="42" t="str">
        <f>IFERROR(__xludf.DUMMYFUNCTION("""COMPUTED_VALUE"""),"None")</f>
        <v>None</v>
      </c>
      <c r="H635" s="42" t="str">
        <f>IFERROR(__xludf.DUMMYFUNCTION("""COMPUTED_VALUE"""),"Be Strong")</f>
        <v>Be Strong</v>
      </c>
      <c r="I635" s="43" t="str">
        <f>IFERROR(__xludf.DUMMYFUNCTION("""COMPUTED_VALUE"""),"[IN PLAY] When this MAMODO card is sent to the Discard Pile, select 1 of your in-play MAMODO cards. [STAY] Increase the Damage inflicted by the selected MAMODO card by 1 until the END PHASE of your next turn.")</f>
        <v>[IN PLAY] When this MAMODO card is sent to the Discard Pile, select 1 of your in-play MAMODO cards. [STAY] Increase the Damage inflicted by the selected MAMODO card by 1 until the END PHASE of your next turn.</v>
      </c>
      <c r="J635" s="42">
        <f>IFERROR(__xludf.DUMMYFUNCTION("""COMPUTED_VALUE"""),5000.0)</f>
        <v>5000</v>
      </c>
      <c r="K635" s="42" t="str">
        <f>IFERROR(__xludf.DUMMYFUNCTION("""COMPUTED_VALUE"""),"-")</f>
        <v>-</v>
      </c>
      <c r="L635" s="42" t="str">
        <f>IFERROR(__xludf.DUMMYFUNCTION("""COMPUTED_VALUE"""),"-")</f>
        <v>-</v>
      </c>
      <c r="M635" s="42" t="str">
        <f>IFERROR(__xludf.DUMMYFUNCTION("""COMPUTED_VALUE"""),"[U]")</f>
        <v>[U]</v>
      </c>
      <c r="N635" s="42" t="str">
        <f>IFERROR(__xludf.DUMMYFUNCTION("""COMPUTED_VALUE"""),"""Good... That's very good.""")</f>
        <v>"Good... That's very good."</v>
      </c>
      <c r="O635" s="42"/>
      <c r="P635" s="42"/>
      <c r="Q635" s="42"/>
      <c r="R635" s="42"/>
      <c r="S635" s="42"/>
      <c r="T635" s="42"/>
      <c r="U635" s="42"/>
      <c r="V635" s="42"/>
      <c r="W635" s="42"/>
      <c r="X635" s="42"/>
      <c r="Y635" s="42"/>
      <c r="Z635" s="42"/>
    </row>
    <row r="636">
      <c r="A636" s="41" t="str">
        <f>IFERROR(__xludf.DUMMYFUNCTION("""COMPUTED_VALUE"""),"M-254")</f>
        <v>M-254</v>
      </c>
      <c r="B636" s="42" t="str">
        <f>IFERROR(__xludf.DUMMYFUNCTION("""COMPUTED_VALUE"""),"Stone Tablet Mamodo")</f>
        <v>Stone Tablet Mamodo</v>
      </c>
      <c r="C636" s="42" t="str">
        <f>IFERROR(__xludf.DUMMYFUNCTION("""COMPUTED_VALUE"""),"Victoream")</f>
        <v>Victoream</v>
      </c>
      <c r="D636" s="42" t="str">
        <f>IFERROR(__xludf.DUMMYFUNCTION("""COMPUTED_VALUE"""),"Victoream")</f>
        <v>Victoream</v>
      </c>
      <c r="E636" s="42" t="str">
        <f>IFERROR(__xludf.DUMMYFUNCTION("""COMPUTED_VALUE"""),"-")</f>
        <v>-</v>
      </c>
      <c r="F636" s="42" t="str">
        <f>IFERROR(__xludf.DUMMYFUNCTION("""COMPUTED_VALUE"""),"-")</f>
        <v>-</v>
      </c>
      <c r="G636" s="42" t="str">
        <f>IFERROR(__xludf.DUMMYFUNCTION("""COMPUTED_VALUE"""),"None")</f>
        <v>None</v>
      </c>
      <c r="H636" s="42" t="str">
        <f>IFERROR(__xludf.DUMMYFUNCTION("""COMPUTED_VALUE"""),"Baby &amp; V")</f>
        <v>Baby &amp; V</v>
      </c>
      <c r="I636" s="43" t="str">
        <f>IFERROR(__xludf.DUMMYFUNCTION("""COMPUTED_VALUE"""),"[IN PLAY] When this MAMODO card is put in play, negate 1 [Stay] or [Standby] effect.")</f>
        <v>[IN PLAY] When this MAMODO card is put in play, negate 1 [Stay] or [Standby] effect.</v>
      </c>
      <c r="J636" s="42">
        <f>IFERROR(__xludf.DUMMYFUNCTION("""COMPUTED_VALUE"""),3000.0)</f>
        <v>3000</v>
      </c>
      <c r="K636" s="42" t="str">
        <f>IFERROR(__xludf.DUMMYFUNCTION("""COMPUTED_VALUE"""),"-")</f>
        <v>-</v>
      </c>
      <c r="L636" s="42" t="str">
        <f>IFERROR(__xludf.DUMMYFUNCTION("""COMPUTED_VALUE"""),"-")</f>
        <v>-</v>
      </c>
      <c r="M636" s="42" t="str">
        <f>IFERROR(__xludf.DUMMYFUNCTION("""COMPUTED_VALUE"""),"[R]")</f>
        <v>[R]</v>
      </c>
      <c r="N636" s="42" t="str">
        <f>IFERROR(__xludf.DUMMYFUNCTION("""COMPUTED_VALUE"""),"""The glorious V is born!""")</f>
        <v>"The glorious V is born!"</v>
      </c>
      <c r="O636" s="42"/>
      <c r="P636" s="42"/>
      <c r="Q636" s="42"/>
      <c r="R636" s="42"/>
      <c r="S636" s="42"/>
      <c r="T636" s="42"/>
      <c r="U636" s="42"/>
      <c r="V636" s="42"/>
      <c r="W636" s="42"/>
      <c r="X636" s="42"/>
      <c r="Y636" s="42"/>
      <c r="Z636" s="42"/>
    </row>
    <row r="637">
      <c r="A637" s="41" t="str">
        <f>IFERROR(__xludf.DUMMYFUNCTION("""COMPUTED_VALUE"""),"M-255")</f>
        <v>M-255</v>
      </c>
      <c r="B637" s="42" t="str">
        <f>IFERROR(__xludf.DUMMYFUNCTION("""COMPUTED_VALUE"""),"Stone Tablet Mamodo")</f>
        <v>Stone Tablet Mamodo</v>
      </c>
      <c r="C637" s="42" t="str">
        <f>IFERROR(__xludf.DUMMYFUNCTION("""COMPUTED_VALUE"""),"Laila")</f>
        <v>Laila</v>
      </c>
      <c r="D637" s="42" t="str">
        <f>IFERROR(__xludf.DUMMYFUNCTION("""COMPUTED_VALUE"""),"Laila")</f>
        <v>Laila</v>
      </c>
      <c r="E637" s="42" t="str">
        <f>IFERROR(__xludf.DUMMYFUNCTION("""COMPUTED_VALUE"""),"-")</f>
        <v>-</v>
      </c>
      <c r="F637" s="42" t="str">
        <f>IFERROR(__xludf.DUMMYFUNCTION("""COMPUTED_VALUE"""),"-")</f>
        <v>-</v>
      </c>
      <c r="G637" s="42" t="str">
        <f>IFERROR(__xludf.DUMMYFUNCTION("""COMPUTED_VALUE"""),"None")</f>
        <v>None</v>
      </c>
      <c r="H637" s="42" t="str">
        <f>IFERROR(__xludf.DUMMYFUNCTION("""COMPUTED_VALUE"""),"Playing")</f>
        <v>Playing</v>
      </c>
      <c r="I637" s="43" t="str">
        <f>IFERROR(__xludf.DUMMYFUNCTION("""COMPUTED_VALUE"""),"[IN PLAY] Your opponent cannot play Promo EVENT cards (EVENT cards that have a card number beginning with ""PR"").")</f>
        <v>[IN PLAY] Your opponent cannot play Promo EVENT cards (EVENT cards that have a card number beginning with "PR").</v>
      </c>
      <c r="J637" s="42">
        <f>IFERROR(__xludf.DUMMYFUNCTION("""COMPUTED_VALUE"""),3000.0)</f>
        <v>3000</v>
      </c>
      <c r="K637" s="42" t="str">
        <f>IFERROR(__xludf.DUMMYFUNCTION("""COMPUTED_VALUE"""),"-")</f>
        <v>-</v>
      </c>
      <c r="L637" s="42" t="str">
        <f>IFERROR(__xludf.DUMMYFUNCTION("""COMPUTED_VALUE"""),"-")</f>
        <v>-</v>
      </c>
      <c r="M637" s="42" t="str">
        <f>IFERROR(__xludf.DUMMYFUNCTION("""COMPUTED_VALUE"""),"[R]")</f>
        <v>[R]</v>
      </c>
      <c r="N637" s="42" t="str">
        <f>IFERROR(__xludf.DUMMYFUNCTION("""COMPUTED_VALUE"""),"""I think I'd rather just stay here and play.""")</f>
        <v>"I think I'd rather just stay here and play."</v>
      </c>
      <c r="O637" s="42"/>
      <c r="P637" s="42"/>
      <c r="Q637" s="42"/>
      <c r="R637" s="42"/>
      <c r="S637" s="42"/>
      <c r="T637" s="42"/>
      <c r="U637" s="42"/>
      <c r="V637" s="42"/>
      <c r="W637" s="42"/>
      <c r="X637" s="42"/>
      <c r="Y637" s="42"/>
      <c r="Z637" s="42"/>
    </row>
    <row r="638">
      <c r="A638" s="41" t="str">
        <f>IFERROR(__xludf.DUMMYFUNCTION("""COMPUTED_VALUE"""),"M-256")</f>
        <v>M-256</v>
      </c>
      <c r="B638" s="42" t="str">
        <f>IFERROR(__xludf.DUMMYFUNCTION("""COMPUTED_VALUE"""),"Stone Tablet Mamodo")</f>
        <v>Stone Tablet Mamodo</v>
      </c>
      <c r="C638" s="42" t="str">
        <f>IFERROR(__xludf.DUMMYFUNCTION("""COMPUTED_VALUE"""),"Dalmos")</f>
        <v>Dalmos</v>
      </c>
      <c r="D638" s="42" t="str">
        <f>IFERROR(__xludf.DUMMYFUNCTION("""COMPUTED_VALUE"""),"Dalmos")</f>
        <v>Dalmos</v>
      </c>
      <c r="E638" s="42" t="str">
        <f>IFERROR(__xludf.DUMMYFUNCTION("""COMPUTED_VALUE"""),"-")</f>
        <v>-</v>
      </c>
      <c r="F638" s="42" t="str">
        <f>IFERROR(__xludf.DUMMYFUNCTION("""COMPUTED_VALUE"""),"-")</f>
        <v>-</v>
      </c>
      <c r="G638" s="42" t="str">
        <f>IFERROR(__xludf.DUMMYFUNCTION("""COMPUTED_VALUE"""),"None")</f>
        <v>None</v>
      </c>
      <c r="H638" s="42" t="str">
        <f>IFERROR(__xludf.DUMMYFUNCTION("""COMPUTED_VALUE"""),"Reporting a Traitor")</f>
        <v>Reporting a Traitor</v>
      </c>
      <c r="I638" s="43" t="str">
        <f>IFERROR(__xludf.DUMMYFUNCTION("""COMPUTED_VALUE"""),"[1 MP] Look at your opponent's Spell Book and select 1 MAMODO card from any of the pages. Then, your opponent puts the selected MAMODO card in play.")</f>
        <v>[1 MP] Look at your opponent's Spell Book and select 1 MAMODO card from any of the pages. Then, your opponent puts the selected MAMODO card in play.</v>
      </c>
      <c r="J638" s="42">
        <f>IFERROR(__xludf.DUMMYFUNCTION("""COMPUTED_VALUE"""),4000.0)</f>
        <v>4000</v>
      </c>
      <c r="K638" s="42" t="str">
        <f>IFERROR(__xludf.DUMMYFUNCTION("""COMPUTED_VALUE"""),"-")</f>
        <v>-</v>
      </c>
      <c r="L638" s="42" t="str">
        <f>IFERROR(__xludf.DUMMYFUNCTION("""COMPUTED_VALUE"""),"-")</f>
        <v>-</v>
      </c>
      <c r="M638" s="42" t="str">
        <f>IFERROR(__xludf.DUMMYFUNCTION("""COMPUTED_VALUE"""),"[C]")</f>
        <v>[C]</v>
      </c>
      <c r="N638" s="42" t="str">
        <f>IFERROR(__xludf.DUMMYFUNCTION("""COMPUTED_VALUE"""),"""If you don't come out, I'll go report Laila's betrayal to Milordo-Z right now!""")</f>
        <v>"If you don't come out, I'll go report Laila's betrayal to Milordo-Z right now!"</v>
      </c>
      <c r="O638" s="42"/>
      <c r="P638" s="42"/>
      <c r="Q638" s="42"/>
      <c r="R638" s="42"/>
      <c r="S638" s="42"/>
      <c r="T638" s="42"/>
      <c r="U638" s="42"/>
      <c r="V638" s="42"/>
      <c r="W638" s="42"/>
      <c r="X638" s="42"/>
      <c r="Y638" s="42"/>
      <c r="Z638" s="42"/>
    </row>
    <row r="639">
      <c r="A639" s="41" t="str">
        <f>IFERROR(__xludf.DUMMYFUNCTION("""COMPUTED_VALUE"""),"M-257")</f>
        <v>M-257</v>
      </c>
      <c r="B639" s="42" t="str">
        <f>IFERROR(__xludf.DUMMYFUNCTION("""COMPUTED_VALUE"""),"Stone Tablet Mamodo")</f>
        <v>Stone Tablet Mamodo</v>
      </c>
      <c r="C639" s="42" t="str">
        <f>IFERROR(__xludf.DUMMYFUNCTION("""COMPUTED_VALUE"""),"Tsao-lon")</f>
        <v>Tsao-lon</v>
      </c>
      <c r="D639" s="42" t="str">
        <f>IFERROR(__xludf.DUMMYFUNCTION("""COMPUTED_VALUE"""),"Tsao-lon")</f>
        <v>Tsao-lon</v>
      </c>
      <c r="E639" s="42" t="str">
        <f>IFERROR(__xludf.DUMMYFUNCTION("""COMPUTED_VALUE"""),"-")</f>
        <v>-</v>
      </c>
      <c r="F639" s="42" t="str">
        <f>IFERROR(__xludf.DUMMYFUNCTION("""COMPUTED_VALUE"""),"-")</f>
        <v>-</v>
      </c>
      <c r="G639" s="42" t="str">
        <f>IFERROR(__xludf.DUMMYFUNCTION("""COMPUTED_VALUE"""),"None")</f>
        <v>None</v>
      </c>
      <c r="H639" s="42" t="str">
        <f>IFERROR(__xludf.DUMMYFUNCTION("""COMPUTED_VALUE"""),"Spinning Staff")</f>
        <v>Spinning Staff</v>
      </c>
      <c r="I639" s="43" t="str">
        <f>IFERROR(__xludf.DUMMYFUNCTION("""COMPUTED_VALUE"""),"Only 1 SPELL card can be played for this MAMODO card per turn (per player). (Attack) [1 MP] This card may Attack without using a SPELL card (Total Power=7000, Damage=1). This effect can be applied up to twice per turn (per player).")</f>
        <v>Only 1 SPELL card can be played for this MAMODO card per turn (per player). (Attack) [1 MP] This card may Attack without using a SPELL card (Total Power=7000, Damage=1). This effect can be applied up to twice per turn (per player).</v>
      </c>
      <c r="J639" s="42">
        <f>IFERROR(__xludf.DUMMYFUNCTION("""COMPUTED_VALUE"""),6000.0)</f>
        <v>6000</v>
      </c>
      <c r="K639" s="42" t="str">
        <f>IFERROR(__xludf.DUMMYFUNCTION("""COMPUTED_VALUE"""),"-")</f>
        <v>-</v>
      </c>
      <c r="L639" s="42" t="str">
        <f>IFERROR(__xludf.DUMMYFUNCTION("""COMPUTED_VALUE"""),"-")</f>
        <v>-</v>
      </c>
      <c r="M639" s="42" t="str">
        <f>IFERROR(__xludf.DUMMYFUNCTION("""COMPUTED_VALUE"""),"[R]")</f>
        <v>[R]</v>
      </c>
      <c r="N639" s="42" t="str">
        <f>IFERROR(__xludf.DUMMYFUNCTION("""COMPUTED_VALUE"""),"""That trick doesn't work... on us!""")</f>
        <v>"That trick doesn't work... on us!"</v>
      </c>
      <c r="O639" s="42"/>
      <c r="P639" s="42"/>
      <c r="Q639" s="42"/>
      <c r="R639" s="42"/>
      <c r="S639" s="42"/>
      <c r="T639" s="42"/>
      <c r="U639" s="42"/>
      <c r="V639" s="42"/>
      <c r="W639" s="42"/>
      <c r="X639" s="42"/>
      <c r="Y639" s="42"/>
      <c r="Z639" s="42"/>
    </row>
    <row r="640">
      <c r="A640" s="41" t="str">
        <f>IFERROR(__xludf.DUMMYFUNCTION("""COMPUTED_VALUE"""),"M-258")</f>
        <v>M-258</v>
      </c>
      <c r="B640" s="42" t="str">
        <f>IFERROR(__xludf.DUMMYFUNCTION("""COMPUTED_VALUE"""),"Stone Tablet Mamodo")</f>
        <v>Stone Tablet Mamodo</v>
      </c>
      <c r="C640" s="42" t="str">
        <f>IFERROR(__xludf.DUMMYFUNCTION("""COMPUTED_VALUE"""),"Belgim E.O.")</f>
        <v>Belgim E.O.</v>
      </c>
      <c r="D640" s="42" t="str">
        <f>IFERROR(__xludf.DUMMYFUNCTION("""COMPUTED_VALUE"""),"Belgim E.O.")</f>
        <v>Belgim E.O.</v>
      </c>
      <c r="E640" s="42" t="str">
        <f>IFERROR(__xludf.DUMMYFUNCTION("""COMPUTED_VALUE"""),"-")</f>
        <v>-</v>
      </c>
      <c r="F640" s="42" t="str">
        <f>IFERROR(__xludf.DUMMYFUNCTION("""COMPUTED_VALUE"""),"-")</f>
        <v>-</v>
      </c>
      <c r="G640" s="42" t="str">
        <f>IFERROR(__xludf.DUMMYFUNCTION("""COMPUTED_VALUE"""),"None")</f>
        <v>None</v>
      </c>
      <c r="H640" s="42" t="str">
        <f>IFERROR(__xludf.DUMMYFUNCTION("""COMPUTED_VALUE"""),"Furious Blastoff")</f>
        <v>Furious Blastoff</v>
      </c>
      <c r="I640" s="43" t="str">
        <f>IFERROR(__xludf.DUMMYFUNCTION("""COMPUTED_VALUE"""),"[2 MP] A coin that either player just flipped is considered to be ""tails"".")</f>
        <v>[2 MP] A coin that either player just flipped is considered to be "tails".</v>
      </c>
      <c r="J640" s="42">
        <f>IFERROR(__xludf.DUMMYFUNCTION("""COMPUTED_VALUE"""),6000.0)</f>
        <v>6000</v>
      </c>
      <c r="K640" s="42" t="str">
        <f>IFERROR(__xludf.DUMMYFUNCTION("""COMPUTED_VALUE"""),"-")</f>
        <v>-</v>
      </c>
      <c r="L640" s="42" t="str">
        <f>IFERROR(__xludf.DUMMYFUNCTION("""COMPUTED_VALUE"""),"-")</f>
        <v>-</v>
      </c>
      <c r="M640" s="42" t="str">
        <f>IFERROR(__xludf.DUMMYFUNCTION("""COMPUTED_VALUE"""),"[R]")</f>
        <v>[R]</v>
      </c>
      <c r="N640" s="42" t="str">
        <f>IFERROR(__xludf.DUMMYFUNCTION("""COMPUTED_VALUE"""),"""Ouch! That hurts! That smarts! The light beam is burning my tongue!""")</f>
        <v>"Ouch! That hurts! That smarts! The light beam is burning my tongue!"</v>
      </c>
      <c r="O640" s="42"/>
      <c r="P640" s="42"/>
      <c r="Q640" s="42"/>
      <c r="R640" s="42"/>
      <c r="S640" s="42"/>
      <c r="T640" s="42"/>
      <c r="U640" s="42"/>
      <c r="V640" s="42"/>
      <c r="W640" s="42"/>
      <c r="X640" s="42"/>
      <c r="Y640" s="42"/>
      <c r="Z640" s="42"/>
    </row>
    <row r="641">
      <c r="A641" s="41" t="str">
        <f>IFERROR(__xludf.DUMMYFUNCTION("""COMPUTED_VALUE"""),"M-259")</f>
        <v>M-259</v>
      </c>
      <c r="B641" s="42" t="str">
        <f>IFERROR(__xludf.DUMMYFUNCTION("""COMPUTED_VALUE"""),"Stone Tablet Mamodo")</f>
        <v>Stone Tablet Mamodo</v>
      </c>
      <c r="C641" s="42" t="str">
        <f>IFERROR(__xludf.DUMMYFUNCTION("""COMPUTED_VALUE"""),"Pamoon")</f>
        <v>Pamoon</v>
      </c>
      <c r="D641" s="42" t="str">
        <f>IFERROR(__xludf.DUMMYFUNCTION("""COMPUTED_VALUE"""),"Pamoon")</f>
        <v>Pamoon</v>
      </c>
      <c r="E641" s="42" t="str">
        <f>IFERROR(__xludf.DUMMYFUNCTION("""COMPUTED_VALUE"""),"-")</f>
        <v>-</v>
      </c>
      <c r="F641" s="42" t="str">
        <f>IFERROR(__xludf.DUMMYFUNCTION("""COMPUTED_VALUE"""),"-")</f>
        <v>-</v>
      </c>
      <c r="G641" s="42" t="str">
        <f>IFERROR(__xludf.DUMMYFUNCTION("""COMPUTED_VALUE"""),"None")</f>
        <v>None</v>
      </c>
      <c r="H641" s="42" t="str">
        <f>IFERROR(__xludf.DUMMYFUNCTION("""COMPUTED_VALUE"""),"A Naive Mistake")</f>
        <v>A Naive Mistake</v>
      </c>
      <c r="I641" s="43" t="str">
        <f>IFERROR(__xludf.DUMMYFUNCTION("""COMPUTED_VALUE"""),"[DECLARE TO USE] Adjust the MP counters placed on this MAMODO until there are MP counters equal to the number of MAMODO cards in your Discard Pile times 1. This effect can be applied only once per game (per player).")</f>
        <v>[DECLARE TO USE] Adjust the MP counters placed on this MAMODO until there are MP counters equal to the number of MAMODO cards in your Discard Pile times 1. This effect can be applied only once per game (per player).</v>
      </c>
      <c r="J641" s="42">
        <f>IFERROR(__xludf.DUMMYFUNCTION("""COMPUTED_VALUE"""),6000.0)</f>
        <v>6000</v>
      </c>
      <c r="K641" s="42" t="str">
        <f>IFERROR(__xludf.DUMMYFUNCTION("""COMPUTED_VALUE"""),"-")</f>
        <v>-</v>
      </c>
      <c r="L641" s="42" t="str">
        <f>IFERROR(__xludf.DUMMYFUNCTION("""COMPUTED_VALUE"""),"-")</f>
        <v>-</v>
      </c>
      <c r="M641" s="42" t="str">
        <f>IFERROR(__xludf.DUMMYFUNCTION("""COMPUTED_VALUE"""),"[R]")</f>
        <v>[R]</v>
      </c>
      <c r="N641" s="42" t="str">
        <f>IFERROR(__xludf.DUMMYFUNCTION("""COMPUTED_VALUE"""),"""I told you that you cannot win with that straightforward approach!""")</f>
        <v>"I told you that you cannot win with that straightforward approach!"</v>
      </c>
      <c r="O641" s="42"/>
      <c r="P641" s="42"/>
      <c r="Q641" s="42"/>
      <c r="R641" s="42"/>
      <c r="S641" s="42"/>
      <c r="T641" s="42"/>
      <c r="U641" s="42"/>
      <c r="V641" s="42"/>
      <c r="W641" s="42"/>
      <c r="X641" s="42"/>
      <c r="Y641" s="42"/>
      <c r="Z641" s="42"/>
    </row>
    <row r="642">
      <c r="A642" s="41" t="str">
        <f>IFERROR(__xludf.DUMMYFUNCTION("""COMPUTED_VALUE"""),"M-260")</f>
        <v>M-260</v>
      </c>
      <c r="B642" s="42" t="str">
        <f>IFERROR(__xludf.DUMMYFUNCTION("""COMPUTED_VALUE"""),"Stone Tablet Mamodo")</f>
        <v>Stone Tablet Mamodo</v>
      </c>
      <c r="C642" s="42" t="str">
        <f>IFERROR(__xludf.DUMMYFUNCTION("""COMPUTED_VALUE"""),"Demolt")</f>
        <v>Demolt</v>
      </c>
      <c r="D642" s="42" t="str">
        <f>IFERROR(__xludf.DUMMYFUNCTION("""COMPUTED_VALUE"""),"Demolt")</f>
        <v>Demolt</v>
      </c>
      <c r="E642" s="42" t="str">
        <f>IFERROR(__xludf.DUMMYFUNCTION("""COMPUTED_VALUE"""),"-")</f>
        <v>-</v>
      </c>
      <c r="F642" s="42" t="str">
        <f>IFERROR(__xludf.DUMMYFUNCTION("""COMPUTED_VALUE"""),"-")</f>
        <v>-</v>
      </c>
      <c r="G642" s="42" t="str">
        <f>IFERROR(__xludf.DUMMYFUNCTION("""COMPUTED_VALUE"""),"Intermediate")</f>
        <v>Intermediate</v>
      </c>
      <c r="H642" s="42" t="str">
        <f>IFERROR(__xludf.DUMMYFUNCTION("""COMPUTED_VALUE"""),"Angry Demolt")</f>
        <v>Angry Demolt</v>
      </c>
      <c r="I642" s="43" t="str">
        <f>IFERROR(__xludf.DUMMYFUNCTION("""COMPUTED_VALUE"""),"(Battle) [DECLARE TO USE] Negate 1 Attack your opponent declared in the Battle that would inflict 2 Damage or less.")</f>
        <v>(Battle) [DECLARE TO USE] Negate 1 Attack your opponent declared in the Battle that would inflict 2 Damage or less.</v>
      </c>
      <c r="J642" s="42">
        <f>IFERROR(__xludf.DUMMYFUNCTION("""COMPUTED_VALUE"""),8000.0)</f>
        <v>8000</v>
      </c>
      <c r="K642" s="42" t="str">
        <f>IFERROR(__xludf.DUMMYFUNCTION("""COMPUTED_VALUE"""),"-")</f>
        <v>-</v>
      </c>
      <c r="L642" s="42" t="str">
        <f>IFERROR(__xludf.DUMMYFUNCTION("""COMPUTED_VALUE"""),"-")</f>
        <v>-</v>
      </c>
      <c r="M642" s="42" t="str">
        <f>IFERROR(__xludf.DUMMYFUNCTION("""COMPUTED_VALUE"""),"[R]")</f>
        <v>[R]</v>
      </c>
      <c r="N642" s="42" t="str">
        <f>IFERROR(__xludf.DUMMYFUNCTION("""COMPUTED_VALUE"""),"“It looks like we really got Demolt angry. We have to attack full-strength without cheap tricks!”")</f>
        <v>“It looks like we really got Demolt angry. We have to attack full-strength without cheap tricks!”</v>
      </c>
      <c r="O642" s="42"/>
      <c r="P642" s="42"/>
      <c r="Q642" s="42"/>
      <c r="R642" s="42"/>
      <c r="S642" s="42"/>
      <c r="T642" s="42"/>
      <c r="U642" s="42"/>
      <c r="V642" s="42"/>
      <c r="W642" s="42"/>
      <c r="X642" s="42"/>
      <c r="Y642" s="42"/>
      <c r="Z642" s="42"/>
    </row>
    <row r="643">
      <c r="A643" s="41" t="str">
        <f>IFERROR(__xludf.DUMMYFUNCTION("""COMPUTED_VALUE"""),"M-261")</f>
        <v>M-261</v>
      </c>
      <c r="B643" s="42" t="str">
        <f>IFERROR(__xludf.DUMMYFUNCTION("""COMPUTED_VALUE"""),"Dual Mamodo")</f>
        <v>Dual Mamodo</v>
      </c>
      <c r="C643" s="42" t="str">
        <f>IFERROR(__xludf.DUMMYFUNCTION("""COMPUTED_VALUE"""),"Zatch Bell &amp; Yopopo")</f>
        <v>Zatch Bell &amp; Yopopo</v>
      </c>
      <c r="D643" s="42" t="str">
        <f>IFERROR(__xludf.DUMMYFUNCTION("""COMPUTED_VALUE"""),"Zatch Bell | Yopopo")</f>
        <v>Zatch Bell | Yopopo</v>
      </c>
      <c r="E643" s="42" t="str">
        <f>IFERROR(__xludf.DUMMYFUNCTION("""COMPUTED_VALUE"""),"-")</f>
        <v>-</v>
      </c>
      <c r="F643" s="42" t="str">
        <f>IFERROR(__xludf.DUMMYFUNCTION("""COMPUTED_VALUE"""),"-")</f>
        <v>-</v>
      </c>
      <c r="G643" s="42" t="str">
        <f>IFERROR(__xludf.DUMMYFUNCTION("""COMPUTED_VALUE"""),"None")</f>
        <v>None</v>
      </c>
      <c r="H643" s="42" t="str">
        <f>IFERROR(__xludf.DUMMYFUNCTION("""COMPUTED_VALUE"""),"Yopopoi")</f>
        <v>Yopopoi</v>
      </c>
      <c r="I643" s="43" t="str">
        <f>IFERROR(__xludf.DUMMYFUNCTION("""COMPUTED_VALUE"""),"Send your in-play Zatch Bell or Yopopo MAMODO card to the Discard Pile to put this MAMODO card in play. [DECLARE TO USE] [STAY] The effects of 1 Kiyo Takamine or Djem PARTNER card can be applied up to twice per turn each (per player) during this turn, eve"&amp;"n if their effect can be applied only once per turn. This effect can be applied only once per game (per player).")</f>
        <v>Send your in-play Zatch Bell or Yopopo MAMODO card to the Discard Pile to put this MAMODO card in play. [DECLARE TO USE] [STAY] The effects of 1 Kiyo Takamine or Djem PARTNER card can be applied up to twice per turn each (per player) during this turn, even if their effect can be applied only once per turn. This effect can be applied only once per game (per player).</v>
      </c>
      <c r="J643" s="42">
        <f>IFERROR(__xludf.DUMMYFUNCTION("""COMPUTED_VALUE"""),4000.0)</f>
        <v>4000</v>
      </c>
      <c r="K643" s="42" t="str">
        <f>IFERROR(__xludf.DUMMYFUNCTION("""COMPUTED_VALUE"""),"-")</f>
        <v>-</v>
      </c>
      <c r="L643" s="42" t="str">
        <f>IFERROR(__xludf.DUMMYFUNCTION("""COMPUTED_VALUE"""),"-")</f>
        <v>-</v>
      </c>
      <c r="M643" s="42" t="str">
        <f>IFERROR(__xludf.DUMMYFUNCTION("""COMPUTED_VALUE"""),"[R]")</f>
        <v>[R]</v>
      </c>
      <c r="N643" s="42" t="str">
        <f>IFERROR(__xludf.DUMMYFUNCTION("""COMPUTED_VALUE"""),"""Looks like you know a really fun dance!""")</f>
        <v>"Looks like you know a really fun dance!"</v>
      </c>
      <c r="O643" s="42"/>
      <c r="P643" s="42"/>
      <c r="Q643" s="42"/>
      <c r="R643" s="42"/>
      <c r="S643" s="42"/>
      <c r="T643" s="42"/>
      <c r="U643" s="42"/>
      <c r="V643" s="42"/>
      <c r="W643" s="42"/>
      <c r="X643" s="42"/>
      <c r="Y643" s="42"/>
      <c r="Z643" s="42"/>
    </row>
    <row r="644">
      <c r="A644" s="41" t="str">
        <f>IFERROR(__xludf.DUMMYFUNCTION("""COMPUTED_VALUE"""),"M-262")</f>
        <v>M-262</v>
      </c>
      <c r="B644" s="42" t="str">
        <f>IFERROR(__xludf.DUMMYFUNCTION("""COMPUTED_VALUE"""),"Dual Mamodo")</f>
        <v>Dual Mamodo</v>
      </c>
      <c r="C644" s="42" t="str">
        <f>IFERROR(__xludf.DUMMYFUNCTION("""COMPUTED_VALUE"""),"Zoboron &amp; Purio")</f>
        <v>Zoboron &amp; Purio</v>
      </c>
      <c r="D644" s="42" t="str">
        <f>IFERROR(__xludf.DUMMYFUNCTION("""COMPUTED_VALUE"""),"Zoboron | Purio")</f>
        <v>Zoboron | Purio</v>
      </c>
      <c r="E644" s="42" t="str">
        <f>IFERROR(__xludf.DUMMYFUNCTION("""COMPUTED_VALUE"""),"-")</f>
        <v>-</v>
      </c>
      <c r="F644" s="42" t="str">
        <f>IFERROR(__xludf.DUMMYFUNCTION("""COMPUTED_VALUE"""),"-")</f>
        <v>-</v>
      </c>
      <c r="G644" s="42" t="str">
        <f>IFERROR(__xludf.DUMMYFUNCTION("""COMPUTED_VALUE"""),"None")</f>
        <v>None</v>
      </c>
      <c r="H644" s="42" t="str">
        <f>IFERROR(__xludf.DUMMYFUNCTION("""COMPUTED_VALUE"""),"The Best Combination")</f>
        <v>The Best Combination</v>
      </c>
      <c r="I644" s="43" t="str">
        <f>IFERROR(__xludf.DUMMYFUNCTION("""COMPUTED_VALUE"""),"Send your in-play Zoboron or Purio MAMODO card to the Discard Pile to put this MAMODO card in play. [DECLARE TO USE] Send all in-play DUAL MAMODO cards (except this card) to the Discard Pile.")</f>
        <v>Send your in-play Zoboron or Purio MAMODO card to the Discard Pile to put this MAMODO card in play. [DECLARE TO USE] Send all in-play DUAL MAMODO cards (except this card) to the Discard Pile.</v>
      </c>
      <c r="J644" s="42">
        <f>IFERROR(__xludf.DUMMYFUNCTION("""COMPUTED_VALUE"""),2000.0)</f>
        <v>2000</v>
      </c>
      <c r="K644" s="42" t="str">
        <f>IFERROR(__xludf.DUMMYFUNCTION("""COMPUTED_VALUE"""),"-")</f>
        <v>-</v>
      </c>
      <c r="L644" s="42" t="str">
        <f>IFERROR(__xludf.DUMMYFUNCTION("""COMPUTED_VALUE"""),"-")</f>
        <v>-</v>
      </c>
      <c r="M644" s="42" t="str">
        <f>IFERROR(__xludf.DUMMYFUNCTION("""COMPUTED_VALUE"""),"[C]")</f>
        <v>[C]</v>
      </c>
      <c r="N644" s="42" t="str">
        <f>IFERROR(__xludf.DUMMYFUNCTION("""COMPUTED_VALUE"""),"""Bet you didn't expect two pairs of us to join forces!""")</f>
        <v>"Bet you didn't expect two pairs of us to join forces!"</v>
      </c>
      <c r="O644" s="42"/>
      <c r="P644" s="42"/>
      <c r="Q644" s="42"/>
      <c r="R644" s="42"/>
      <c r="S644" s="42"/>
      <c r="T644" s="42"/>
      <c r="U644" s="42"/>
      <c r="V644" s="42"/>
      <c r="W644" s="42"/>
      <c r="X644" s="42"/>
      <c r="Y644" s="42"/>
      <c r="Z644" s="42"/>
    </row>
    <row r="645">
      <c r="A645" s="41" t="str">
        <f>IFERROR(__xludf.DUMMYFUNCTION("""COMPUTED_VALUE"""),"M-263")</f>
        <v>M-263</v>
      </c>
      <c r="B645" s="42" t="str">
        <f>IFERROR(__xludf.DUMMYFUNCTION("""COMPUTED_VALUE"""),"Dual Stone Tablet Mamodo")</f>
        <v>Dual Stone Tablet Mamodo</v>
      </c>
      <c r="C645" s="42" t="str">
        <f>IFERROR(__xludf.DUMMYFUNCTION("""COMPUTED_VALUE"""),"Laila &amp; Victoream")</f>
        <v>Laila &amp; Victoream</v>
      </c>
      <c r="D645" s="42" t="str">
        <f>IFERROR(__xludf.DUMMYFUNCTION("""COMPUTED_VALUE"""),"Laila | Victoream")</f>
        <v>Laila | Victoream</v>
      </c>
      <c r="E645" s="42" t="str">
        <f>IFERROR(__xludf.DUMMYFUNCTION("""COMPUTED_VALUE"""),"-")</f>
        <v>-</v>
      </c>
      <c r="F645" s="42" t="str">
        <f>IFERROR(__xludf.DUMMYFUNCTION("""COMPUTED_VALUE"""),"-")</f>
        <v>-</v>
      </c>
      <c r="G645" s="42" t="str">
        <f>IFERROR(__xludf.DUMMYFUNCTION("""COMPUTED_VALUE"""),"None")</f>
        <v>None</v>
      </c>
      <c r="H645" s="42" t="str">
        <f>IFERROR(__xludf.DUMMYFUNCTION("""COMPUTED_VALUE"""),"An Unlikely Duo")</f>
        <v>An Unlikely Duo</v>
      </c>
      <c r="I645" s="43" t="str">
        <f>IFERROR(__xludf.DUMMYFUNCTION("""COMPUTED_VALUE"""),"Send your in-play Laila or Victoream MAMODO card to the Discard Pile to put this MAMODO card in play. [IN PLAY] Each time you play a SPELL card with Laila as its MAMODO name, place 1 MP counter on this MAMODO card (maximum 5 MP counters).")</f>
        <v>Send your in-play Laila or Victoream MAMODO card to the Discard Pile to put this MAMODO card in play. [IN PLAY] Each time you play a SPELL card with Laila as its MAMODO name, place 1 MP counter on this MAMODO card (maximum 5 MP counters).</v>
      </c>
      <c r="J645" s="42">
        <f>IFERROR(__xludf.DUMMYFUNCTION("""COMPUTED_VALUE"""),6000.0)</f>
        <v>6000</v>
      </c>
      <c r="K645" s="42" t="str">
        <f>IFERROR(__xludf.DUMMYFUNCTION("""COMPUTED_VALUE"""),"-")</f>
        <v>-</v>
      </c>
      <c r="L645" s="42" t="str">
        <f>IFERROR(__xludf.DUMMYFUNCTION("""COMPUTED_VALUE"""),"-")</f>
        <v>-</v>
      </c>
      <c r="M645" s="42" t="str">
        <f>IFERROR(__xludf.DUMMYFUNCTION("""COMPUTED_VALUE"""),"[SR]")</f>
        <v>[SR]</v>
      </c>
      <c r="N645" s="42" t="str">
        <f>IFERROR(__xludf.DUMMYFUNCTION("""COMPUTED_VALUE"""),"""One, two, three-hee!""")</f>
        <v>"One, two, three-hee!"</v>
      </c>
      <c r="O645" s="42"/>
      <c r="P645" s="42"/>
      <c r="Q645" s="42"/>
      <c r="R645" s="42"/>
      <c r="S645" s="42"/>
      <c r="T645" s="42"/>
      <c r="U645" s="42"/>
      <c r="V645" s="42"/>
      <c r="W645" s="42"/>
      <c r="X645" s="42"/>
      <c r="Y645" s="42"/>
      <c r="Z645" s="42"/>
    </row>
    <row r="646">
      <c r="A646" s="41" t="str">
        <f>IFERROR(__xludf.DUMMYFUNCTION("""COMPUTED_VALUE"""),"M-264")</f>
        <v>M-264</v>
      </c>
      <c r="B646" s="42" t="str">
        <f>IFERROR(__xludf.DUMMYFUNCTION("""COMPUTED_VALUE"""),"VS Mamodo")</f>
        <v>VS Mamodo</v>
      </c>
      <c r="C646" s="42" t="str">
        <f>IFERROR(__xludf.DUMMYFUNCTION("""COMPUTED_VALUE"""),"Zatch Bell VS Tia")</f>
        <v>Zatch Bell VS Tia</v>
      </c>
      <c r="D646" s="42" t="str">
        <f>IFERROR(__xludf.DUMMYFUNCTION("""COMPUTED_VALUE"""),"Zatch Bell | Tia")</f>
        <v>Zatch Bell | Tia</v>
      </c>
      <c r="E646" s="42" t="str">
        <f>IFERROR(__xludf.DUMMYFUNCTION("""COMPUTED_VALUE"""),"-")</f>
        <v>-</v>
      </c>
      <c r="F646" s="42" t="str">
        <f>IFERROR(__xludf.DUMMYFUNCTION("""COMPUTED_VALUE"""),"-")</f>
        <v>-</v>
      </c>
      <c r="G646" s="42" t="str">
        <f>IFERROR(__xludf.DUMMYFUNCTION("""COMPUTED_VALUE"""),"None")</f>
        <v>None</v>
      </c>
      <c r="H646" s="42" t="str">
        <f>IFERROR(__xludf.DUMMYFUNCTION("""COMPUTED_VALUE"""),"Beauty Is The Beast")</f>
        <v>Beauty Is The Beast</v>
      </c>
      <c r="I646" s="43" t="str">
        <f>IFERROR(__xludf.DUMMYFUNCTION("""COMPUTED_VALUE"""),"Send either player's in-play Zatch Bell or Tia MAMODO card to the Discard Pile to put this MAMODO card in play. [DECLARE TO USE] If your opponent has 6 MP or more, reduce your opponent's MP to 0.")</f>
        <v>Send either player's in-play Zatch Bell or Tia MAMODO card to the Discard Pile to put this MAMODO card in play. [DECLARE TO USE] If your opponent has 6 MP or more, reduce your opponent's MP to 0.</v>
      </c>
      <c r="J646" s="42">
        <f>IFERROR(__xludf.DUMMYFUNCTION("""COMPUTED_VALUE"""),4000.0)</f>
        <v>4000</v>
      </c>
      <c r="K646" s="42" t="str">
        <f>IFERROR(__xludf.DUMMYFUNCTION("""COMPUTED_VALUE"""),"-")</f>
        <v>-</v>
      </c>
      <c r="L646" s="42" t="str">
        <f>IFERROR(__xludf.DUMMYFUNCTION("""COMPUTED_VALUE"""),"-")</f>
        <v>-</v>
      </c>
      <c r="M646" s="42" t="str">
        <f>IFERROR(__xludf.DUMMYFUNCTION("""COMPUTED_VALUE"""),"[SR]")</f>
        <v>[SR]</v>
      </c>
      <c r="N646" s="42" t="str">
        <f>IFERROR(__xludf.DUMMYFUNCTION("""COMPUTED_VALUE"""),"""You'd better watch what you say, or you’re gonna regret it!""")</f>
        <v>"You'd better watch what you say, or you’re gonna regret it!"</v>
      </c>
      <c r="O646" s="42"/>
      <c r="P646" s="42"/>
      <c r="Q646" s="42"/>
      <c r="R646" s="42"/>
      <c r="S646" s="42"/>
      <c r="T646" s="42"/>
      <c r="U646" s="42"/>
      <c r="V646" s="42"/>
      <c r="W646" s="42"/>
      <c r="X646" s="42"/>
      <c r="Y646" s="42"/>
      <c r="Z646" s="42"/>
    </row>
    <row r="647">
      <c r="A647" s="41" t="str">
        <f>IFERROR(__xludf.DUMMYFUNCTION("""COMPUTED_VALUE"""),"M-265")</f>
        <v>M-265</v>
      </c>
      <c r="B647" s="42" t="str">
        <f>IFERROR(__xludf.DUMMYFUNCTION("""COMPUTED_VALUE"""),"Mamodo")</f>
        <v>Mamodo</v>
      </c>
      <c r="C647" s="42" t="str">
        <f>IFERROR(__xludf.DUMMYFUNCTION("""COMPUTED_VALUE"""),"Zatch Bell")</f>
        <v>Zatch Bell</v>
      </c>
      <c r="D647" s="42" t="str">
        <f>IFERROR(__xludf.DUMMYFUNCTION("""COMPUTED_VALUE"""),"Zatch Bell")</f>
        <v>Zatch Bell</v>
      </c>
      <c r="E647" s="42" t="str">
        <f>IFERROR(__xludf.DUMMYFUNCTION("""COMPUTED_VALUE"""),"-")</f>
        <v>-</v>
      </c>
      <c r="F647" s="42" t="str">
        <f>IFERROR(__xludf.DUMMYFUNCTION("""COMPUTED_VALUE"""),"-")</f>
        <v>-</v>
      </c>
      <c r="G647" s="42" t="str">
        <f>IFERROR(__xludf.DUMMYFUNCTION("""COMPUTED_VALUE"""),"None")</f>
        <v>None</v>
      </c>
      <c r="H647" s="42" t="str">
        <f>IFERROR(__xludf.DUMMYFUNCTION("""COMPUTED_VALUE"""),"I Won't Lose")</f>
        <v>I Won't Lose</v>
      </c>
      <c r="I647" s="43" t="str">
        <f>IFERROR(__xludf.DUMMYFUNCTION("""COMPUTED_VALUE"""),"[IN PLAY] When this MAMODO card is in Injured Status, SPELL cards can be played for this MAMODO card (and this effect can be applied) even when prohibited to do so.")</f>
        <v>[IN PLAY] When this MAMODO card is in Injured Status, SPELL cards can be played for this MAMODO card (and this effect can be applied) even when prohibited to do so.</v>
      </c>
      <c r="J647" s="42">
        <f>IFERROR(__xludf.DUMMYFUNCTION("""COMPUTED_VALUE"""),4000.0)</f>
        <v>4000</v>
      </c>
      <c r="K647" s="42" t="str">
        <f>IFERROR(__xludf.DUMMYFUNCTION("""COMPUTED_VALUE"""),"-")</f>
        <v>-</v>
      </c>
      <c r="L647" s="42" t="str">
        <f>IFERROR(__xludf.DUMMYFUNCTION("""COMPUTED_VALUE"""),"-")</f>
        <v>-</v>
      </c>
      <c r="M647" s="42" t="str">
        <f>IFERROR(__xludf.DUMMYFUNCTION("""COMPUTED_VALUE"""),"[R]")</f>
        <v>[R]</v>
      </c>
      <c r="N647" s="42" t="str">
        <f>IFERROR(__xludf.DUMMYFUNCTION("""COMPUTED_VALUE"""),"No matter how bruised and battered he becomes, Zatch continues to fight on... and never gives up!")</f>
        <v>No matter how bruised and battered he becomes, Zatch continues to fight on... and never gives up!</v>
      </c>
      <c r="O647" s="42"/>
      <c r="P647" s="42"/>
      <c r="Q647" s="42"/>
      <c r="R647" s="42"/>
      <c r="S647" s="42"/>
      <c r="T647" s="42"/>
      <c r="U647" s="42"/>
      <c r="V647" s="42"/>
      <c r="W647" s="42"/>
      <c r="X647" s="42"/>
      <c r="Y647" s="42"/>
      <c r="Z647" s="42"/>
    </row>
    <row r="648">
      <c r="A648" s="41" t="str">
        <f>IFERROR(__xludf.DUMMYFUNCTION("""COMPUTED_VALUE"""),"M-266")</f>
        <v>M-266</v>
      </c>
      <c r="B648" s="42" t="str">
        <f>IFERROR(__xludf.DUMMYFUNCTION("""COMPUTED_VALUE"""),"Mamodo")</f>
        <v>Mamodo</v>
      </c>
      <c r="C648" s="42" t="str">
        <f>IFERROR(__xludf.DUMMYFUNCTION("""COMPUTED_VALUE"""),"Zatch Bell (Rauzaruk State)")</f>
        <v>Zatch Bell (Rauzaruk State)</v>
      </c>
      <c r="D648" s="42" t="str">
        <f>IFERROR(__xludf.DUMMYFUNCTION("""COMPUTED_VALUE"""),"Zatch Bell (Rauzaruk State)")</f>
        <v>Zatch Bell (Rauzaruk State)</v>
      </c>
      <c r="E648" s="42" t="str">
        <f>IFERROR(__xludf.DUMMYFUNCTION("""COMPUTED_VALUE"""),"-")</f>
        <v>-</v>
      </c>
      <c r="F648" s="42" t="str">
        <f>IFERROR(__xludf.DUMMYFUNCTION("""COMPUTED_VALUE"""),"-")</f>
        <v>-</v>
      </c>
      <c r="G648" s="42" t="str">
        <f>IFERROR(__xludf.DUMMYFUNCTION("""COMPUTED_VALUE"""),"None")</f>
        <v>None</v>
      </c>
      <c r="H648" s="42" t="str">
        <f>IFERROR(__xludf.DUMMYFUNCTION("""COMPUTED_VALUE"""),"A Proud Power")</f>
        <v>A Proud Power</v>
      </c>
      <c r="I648" s="43" t="str">
        <f>IFERROR(__xludf.DUMMYFUNCTION("""COMPUTED_VALUE"""),"This card is placed on a Zatch Bell MAMODO card when a Rauzaruk SPELL card is played for the Zatch Bell MAMODO card. No SPELL cards can be played for this MAMODO card. (Cut-in) [DECLARE TO USE] Negate the card or effect your opponent just played or applie"&amp;"d. Then, send this card to the Discard Pile (the other Zatch Bell MAMODO remains in play).")</f>
        <v>This card is placed on a Zatch Bell MAMODO card when a Rauzaruk SPELL card is played for the Zatch Bell MAMODO card. No SPELL cards can be played for this MAMODO card. (Cut-in) [DECLARE TO USE] Negate the card or effect your opponent just played or applied. Then, send this card to the Discard Pile (the other Zatch Bell MAMODO remains in play).</v>
      </c>
      <c r="J648" s="42">
        <f>IFERROR(__xludf.DUMMYFUNCTION("""COMPUTED_VALUE"""),8000.0)</f>
        <v>8000</v>
      </c>
      <c r="K648" s="42" t="str">
        <f>IFERROR(__xludf.DUMMYFUNCTION("""COMPUTED_VALUE"""),"-")</f>
        <v>-</v>
      </c>
      <c r="L648" s="42" t="str">
        <f>IFERROR(__xludf.DUMMYFUNCTION("""COMPUTED_VALUE"""),"-")</f>
        <v>-</v>
      </c>
      <c r="M648" s="42" t="str">
        <f>IFERROR(__xludf.DUMMYFUNCTION("""COMPUTED_VALUE"""),"[SR]")</f>
        <v>[SR]</v>
      </c>
      <c r="N648" s="42" t="str">
        <f>IFERROR(__xludf.DUMMYFUNCTION("""COMPUTED_VALUE"""),"The Rauzaruk spell temporarily enhances Zatch's strenth, speed, and defensive abilities!")</f>
        <v>The Rauzaruk spell temporarily enhances Zatch's strenth, speed, and defensive abilities!</v>
      </c>
      <c r="O648" s="42"/>
      <c r="P648" s="42"/>
      <c r="Q648" s="42"/>
      <c r="R648" s="42"/>
      <c r="S648" s="42"/>
      <c r="T648" s="42"/>
      <c r="U648" s="42"/>
      <c r="V648" s="42"/>
      <c r="W648" s="42"/>
      <c r="X648" s="42"/>
      <c r="Y648" s="42"/>
      <c r="Z648" s="42"/>
    </row>
    <row r="649">
      <c r="A649" s="41" t="str">
        <f>IFERROR(__xludf.DUMMYFUNCTION("""COMPUTED_VALUE"""),"M-267")</f>
        <v>M-267</v>
      </c>
      <c r="B649" s="42" t="str">
        <f>IFERROR(__xludf.DUMMYFUNCTION("""COMPUTED_VALUE"""),"Mamodo")</f>
        <v>Mamodo</v>
      </c>
      <c r="C649" s="42" t="str">
        <f>IFERROR(__xludf.DUMMYFUNCTION("""COMPUTED_VALUE"""),"Brago")</f>
        <v>Brago</v>
      </c>
      <c r="D649" s="42" t="str">
        <f>IFERROR(__xludf.DUMMYFUNCTION("""COMPUTED_VALUE"""),"Brago")</f>
        <v>Brago</v>
      </c>
      <c r="E649" s="42" t="str">
        <f>IFERROR(__xludf.DUMMYFUNCTION("""COMPUTED_VALUE"""),"-")</f>
        <v>-</v>
      </c>
      <c r="F649" s="42" t="str">
        <f>IFERROR(__xludf.DUMMYFUNCTION("""COMPUTED_VALUE"""),"-")</f>
        <v>-</v>
      </c>
      <c r="G649" s="42" t="str">
        <f>IFERROR(__xludf.DUMMYFUNCTION("""COMPUTED_VALUE"""),"None")</f>
        <v>None</v>
      </c>
      <c r="H649" s="42" t="str">
        <f>IFERROR(__xludf.DUMMYFUNCTION("""COMPUTED_VALUE"""),"No Mercy!")</f>
        <v>No Mercy!</v>
      </c>
      <c r="I649" s="43" t="str">
        <f>IFERROR(__xludf.DUMMYFUNCTION("""COMPUTED_VALUE"""),"[IN PLAY] When this MAMODO card inflicts Damage or Injury with a SPELL card that has a 5 MP cost or higher, your opponent can neither SACRIFICE nor PROTECT their Spell Book from Damage.")</f>
        <v>[IN PLAY] When this MAMODO card inflicts Damage or Injury with a SPELL card that has a 5 MP cost or higher, your opponent can neither SACRIFICE nor PROTECT their Spell Book from Damage.</v>
      </c>
      <c r="J649" s="42">
        <f>IFERROR(__xludf.DUMMYFUNCTION("""COMPUTED_VALUE"""),5000.0)</f>
        <v>5000</v>
      </c>
      <c r="K649" s="42" t="str">
        <f>IFERROR(__xludf.DUMMYFUNCTION("""COMPUTED_VALUE"""),"-")</f>
        <v>-</v>
      </c>
      <c r="L649" s="42" t="str">
        <f>IFERROR(__xludf.DUMMYFUNCTION("""COMPUTED_VALUE"""),"-")</f>
        <v>-</v>
      </c>
      <c r="M649" s="42" t="str">
        <f>IFERROR(__xludf.DUMMYFUNCTION("""COMPUTED_VALUE"""),"[SR]")</f>
        <v>[SR]</v>
      </c>
      <c r="N649" s="42" t="str">
        <f>IFERROR(__xludf.DUMMYFUNCTION("""COMPUTED_VALUE"""),"""Tell me... have you completely forgotten? Forgotten what this battle is all about?!""")</f>
        <v>"Tell me... have you completely forgotten? Forgotten what this battle is all about?!"</v>
      </c>
      <c r="O649" s="42"/>
      <c r="P649" s="42"/>
      <c r="Q649" s="42"/>
      <c r="R649" s="42"/>
      <c r="S649" s="42"/>
      <c r="T649" s="42"/>
      <c r="U649" s="42"/>
      <c r="V649" s="42"/>
      <c r="W649" s="42"/>
      <c r="X649" s="42"/>
      <c r="Y649" s="42"/>
      <c r="Z649" s="42"/>
    </row>
    <row r="650">
      <c r="A650" s="41" t="str">
        <f>IFERROR(__xludf.DUMMYFUNCTION("""COMPUTED_VALUE"""),"M-268")</f>
        <v>M-268</v>
      </c>
      <c r="B650" s="42" t="str">
        <f>IFERROR(__xludf.DUMMYFUNCTION("""COMPUTED_VALUE"""),"Mamodo")</f>
        <v>Mamodo</v>
      </c>
      <c r="C650" s="42" t="str">
        <f>IFERROR(__xludf.DUMMYFUNCTION("""COMPUTED_VALUE"""),"Ponygon")</f>
        <v>Ponygon</v>
      </c>
      <c r="D650" s="42" t="str">
        <f>IFERROR(__xludf.DUMMYFUNCTION("""COMPUTED_VALUE"""),"Ponygon")</f>
        <v>Ponygon</v>
      </c>
      <c r="E650" s="42" t="str">
        <f>IFERROR(__xludf.DUMMYFUNCTION("""COMPUTED_VALUE"""),"-")</f>
        <v>-</v>
      </c>
      <c r="F650" s="42" t="str">
        <f>IFERROR(__xludf.DUMMYFUNCTION("""COMPUTED_VALUE"""),"-")</f>
        <v>-</v>
      </c>
      <c r="G650" s="42" t="str">
        <f>IFERROR(__xludf.DUMMYFUNCTION("""COMPUTED_VALUE"""),"None")</f>
        <v>None</v>
      </c>
      <c r="H650" s="42" t="str">
        <f>IFERROR(__xludf.DUMMYFUNCTION("""COMPUTED_VALUE"""),"Unafraid")</f>
        <v>Unafraid</v>
      </c>
      <c r="I650" s="43" t="str">
        <f>IFERROR(__xludf.DUMMYFUNCTION("""COMPUTED_VALUE"""),"[IN PLAY] When this MAMODO card is the only MAMODO card you have in play, your opponent cannot turn pages of your Spell Book with their card effects (except from Damage).")</f>
        <v>[IN PLAY] When this MAMODO card is the only MAMODO card you have in play, your opponent cannot turn pages of your Spell Book with their card effects (except from Damage).</v>
      </c>
      <c r="J650" s="42">
        <f>IFERROR(__xludf.DUMMYFUNCTION("""COMPUTED_VALUE"""),2000.0)</f>
        <v>2000</v>
      </c>
      <c r="K650" s="42" t="str">
        <f>IFERROR(__xludf.DUMMYFUNCTION("""COMPUTED_VALUE"""),"-")</f>
        <v>-</v>
      </c>
      <c r="L650" s="42" t="str">
        <f>IFERROR(__xludf.DUMMYFUNCTION("""COMPUTED_VALUE"""),"-")</f>
        <v>-</v>
      </c>
      <c r="M650" s="42" t="str">
        <f>IFERROR(__xludf.DUMMYFUNCTION("""COMPUTED_VALUE"""),"[C]")</f>
        <v>[C]</v>
      </c>
      <c r="N650" s="42" t="str">
        <f>IFERROR(__xludf.DUMMYFUNCTION("""COMPUTED_VALUE"""),"Ponygon has always fought with friends by his side... but this time, he has no choice but to battle alone.")</f>
        <v>Ponygon has always fought with friends by his side... but this time, he has no choice but to battle alone.</v>
      </c>
      <c r="O650" s="42"/>
      <c r="P650" s="42"/>
      <c r="Q650" s="42"/>
      <c r="R650" s="42"/>
      <c r="S650" s="42"/>
      <c r="T650" s="42"/>
      <c r="U650" s="42"/>
      <c r="V650" s="42"/>
      <c r="W650" s="42"/>
      <c r="X650" s="42"/>
      <c r="Y650" s="42"/>
      <c r="Z650" s="42"/>
    </row>
    <row r="651">
      <c r="A651" s="41" t="str">
        <f>IFERROR(__xludf.DUMMYFUNCTION("""COMPUTED_VALUE"""),"M-269")</f>
        <v>M-269</v>
      </c>
      <c r="B651" s="42" t="str">
        <f>IFERROR(__xludf.DUMMYFUNCTION("""COMPUTED_VALUE"""),"Mamodo")</f>
        <v>Mamodo</v>
      </c>
      <c r="C651" s="42" t="str">
        <f>IFERROR(__xludf.DUMMYFUNCTION("""COMPUTED_VALUE"""),"Ponygon (Shudoruk Form)")</f>
        <v>Ponygon (Shudoruk Form)</v>
      </c>
      <c r="D651" s="42" t="str">
        <f>IFERROR(__xludf.DUMMYFUNCTION("""COMPUTED_VALUE"""),"Ponygon (Shudoruk Form)")</f>
        <v>Ponygon (Shudoruk Form)</v>
      </c>
      <c r="E651" s="42" t="str">
        <f>IFERROR(__xludf.DUMMYFUNCTION("""COMPUTED_VALUE"""),"-")</f>
        <v>-</v>
      </c>
      <c r="F651" s="42" t="str">
        <f>IFERROR(__xludf.DUMMYFUNCTION("""COMPUTED_VALUE"""),"-")</f>
        <v>-</v>
      </c>
      <c r="G651" s="42" t="str">
        <f>IFERROR(__xludf.DUMMYFUNCTION("""COMPUTED_VALUE"""),"None")</f>
        <v>None</v>
      </c>
      <c r="H651" s="42" t="str">
        <f>IFERROR(__xludf.DUMMYFUNCTION("""COMPUTED_VALUE"""),"Pinpoint Attack")</f>
        <v>Pinpoint Attack</v>
      </c>
      <c r="I651" s="43" t="str">
        <f>IFERROR(__xludf.DUMMYFUNCTION("""COMPUTED_VALUE"""),"This card is placed on a Ponygon MAMODO card when a Shudoruk SPELL card is played for the Ponygon MAMODO card. (Attack) [1 MP] This card may Attack without using a SPELL card (Total Power=7000, Damage=1). Your opponent can neither SACRIFICE nor PROTECT th"&amp;"eir Spell Book from Damage.")</f>
        <v>This card is placed on a Ponygon MAMODO card when a Shudoruk SPELL card is played for the Ponygon MAMODO card. (Attack) [1 MP] This card may Attack without using a SPELL card (Total Power=7000, Damage=1). Your opponent can neither SACRIFICE nor PROTECT their Spell Book from Damage.</v>
      </c>
      <c r="J651" s="42">
        <f>IFERROR(__xludf.DUMMYFUNCTION("""COMPUTED_VALUE"""),5000.0)</f>
        <v>5000</v>
      </c>
      <c r="K651" s="42" t="str">
        <f>IFERROR(__xludf.DUMMYFUNCTION("""COMPUTED_VALUE"""),"-")</f>
        <v>-</v>
      </c>
      <c r="L651" s="42" t="str">
        <f>IFERROR(__xludf.DUMMYFUNCTION("""COMPUTED_VALUE"""),"-")</f>
        <v>-</v>
      </c>
      <c r="M651" s="42" t="str">
        <f>IFERROR(__xludf.DUMMYFUNCTION("""COMPUTED_VALUE"""),"[C]")</f>
        <v>[C]</v>
      </c>
      <c r="N651" s="42" t="str">
        <f>IFERROR(__xludf.DUMMYFUNCTION("""COMPUTED_VALUE"""),"Ponygon uses his sturdy body to charge toward his opponents with great force!")</f>
        <v>Ponygon uses his sturdy body to charge toward his opponents with great force!</v>
      </c>
      <c r="O651" s="42"/>
      <c r="P651" s="42"/>
      <c r="Q651" s="42"/>
      <c r="R651" s="42"/>
      <c r="S651" s="42"/>
      <c r="T651" s="42"/>
      <c r="U651" s="42"/>
      <c r="V651" s="42"/>
      <c r="W651" s="42"/>
      <c r="X651" s="42"/>
      <c r="Y651" s="42"/>
      <c r="Z651" s="42"/>
    </row>
    <row r="652">
      <c r="A652" s="41" t="str">
        <f>IFERROR(__xludf.DUMMYFUNCTION("""COMPUTED_VALUE"""),"M-270")</f>
        <v>M-270</v>
      </c>
      <c r="B652" s="42" t="str">
        <f>IFERROR(__xludf.DUMMYFUNCTION("""COMPUTED_VALUE"""),"Mamodo")</f>
        <v>Mamodo</v>
      </c>
      <c r="C652" s="42" t="str">
        <f>IFERROR(__xludf.DUMMYFUNCTION("""COMPUTED_VALUE"""),"Ponygon (Go Shudoruk Form)")</f>
        <v>Ponygon (Go Shudoruk Form)</v>
      </c>
      <c r="D652" s="42" t="str">
        <f>IFERROR(__xludf.DUMMYFUNCTION("""COMPUTED_VALUE"""),"Ponygon (Go Shudoruk Form)")</f>
        <v>Ponygon (Go Shudoruk Form)</v>
      </c>
      <c r="E652" s="42" t="str">
        <f>IFERROR(__xludf.DUMMYFUNCTION("""COMPUTED_VALUE"""),"-")</f>
        <v>-</v>
      </c>
      <c r="F652" s="42" t="str">
        <f>IFERROR(__xludf.DUMMYFUNCTION("""COMPUTED_VALUE"""),"-")</f>
        <v>-</v>
      </c>
      <c r="G652" s="42" t="str">
        <f>IFERROR(__xludf.DUMMYFUNCTION("""COMPUTED_VALUE"""),"None")</f>
        <v>None</v>
      </c>
      <c r="H652" s="42" t="str">
        <f>IFERROR(__xludf.DUMMYFUNCTION("""COMPUTED_VALUE"""),"Disruptive Attack")</f>
        <v>Disruptive Attack</v>
      </c>
      <c r="I652" s="43" t="str">
        <f>IFERROR(__xludf.DUMMYFUNCTION("""COMPUTED_VALUE"""),"This card is placed on a Ponygon MAMODO card when a Go Shudoruk SPELL card is played for the Ponygon MAMODO card. (Attack) [1 MP] This card may Attack without using a SPELL card (Total Power=7500, Damage=1). Your opponent cannot play cards in their Spell "&amp;"Book during the Battle ([STAY]).")</f>
        <v>This card is placed on a Ponygon MAMODO card when a Go Shudoruk SPELL card is played for the Ponygon MAMODO card. (Attack) [1 MP] This card may Attack without using a SPELL card (Total Power=7500, Damage=1). Your opponent cannot play cards in their Spell Book during the Battle ([STAY]).</v>
      </c>
      <c r="J652" s="42">
        <f>IFERROR(__xludf.DUMMYFUNCTION("""COMPUTED_VALUE"""),5500.0)</f>
        <v>5500</v>
      </c>
      <c r="K652" s="42" t="str">
        <f>IFERROR(__xludf.DUMMYFUNCTION("""COMPUTED_VALUE"""),"-")</f>
        <v>-</v>
      </c>
      <c r="L652" s="42" t="str">
        <f>IFERROR(__xludf.DUMMYFUNCTION("""COMPUTED_VALUE"""),"-")</f>
        <v>-</v>
      </c>
      <c r="M652" s="42" t="str">
        <f>IFERROR(__xludf.DUMMYFUNCTION("""COMPUTED_VALUE"""),"[U]")</f>
        <v>[U]</v>
      </c>
      <c r="N652" s="42" t="str">
        <f>IFERROR(__xludf.DUMMYFUNCTION("""COMPUTED_VALUE"""),"He speeds up to confound his opponents.")</f>
        <v>He speeds up to confound his opponents.</v>
      </c>
      <c r="O652" s="42"/>
      <c r="P652" s="42"/>
      <c r="Q652" s="42"/>
      <c r="R652" s="42"/>
      <c r="S652" s="42"/>
      <c r="T652" s="42"/>
      <c r="U652" s="42"/>
      <c r="V652" s="42"/>
      <c r="W652" s="42"/>
      <c r="X652" s="42"/>
      <c r="Y652" s="42"/>
      <c r="Z652" s="42"/>
    </row>
    <row r="653">
      <c r="A653" s="41" t="str">
        <f>IFERROR(__xludf.DUMMYFUNCTION("""COMPUTED_VALUE"""),"M-271")</f>
        <v>M-271</v>
      </c>
      <c r="B653" s="42" t="str">
        <f>IFERROR(__xludf.DUMMYFUNCTION("""COMPUTED_VALUE"""),"Mamodo")</f>
        <v>Mamodo</v>
      </c>
      <c r="C653" s="42" t="str">
        <f>IFERROR(__xludf.DUMMYFUNCTION("""COMPUTED_VALUE"""),"Ponygon (Dioemur Shudoruk Form)")</f>
        <v>Ponygon (Dioemur Shudoruk Form)</v>
      </c>
      <c r="D653" s="42" t="str">
        <f>IFERROR(__xludf.DUMMYFUNCTION("""COMPUTED_VALUE"""),"Ponygon (Dioemur Shudoruk Form)")</f>
        <v>Ponygon (Dioemur Shudoruk Form)</v>
      </c>
      <c r="E653" s="42" t="str">
        <f>IFERROR(__xludf.DUMMYFUNCTION("""COMPUTED_VALUE"""),"-")</f>
        <v>-</v>
      </c>
      <c r="F653" s="42" t="str">
        <f>IFERROR(__xludf.DUMMYFUNCTION("""COMPUTED_VALUE"""),"-")</f>
        <v>-</v>
      </c>
      <c r="G653" s="42" t="str">
        <f>IFERROR(__xludf.DUMMYFUNCTION("""COMPUTED_VALUE"""),"None")</f>
        <v>None</v>
      </c>
      <c r="H653" s="42" t="str">
        <f>IFERROR(__xludf.DUMMYFUNCTION("""COMPUTED_VALUE"""),"Flame Attack")</f>
        <v>Flame Attack</v>
      </c>
      <c r="I653" s="43" t="str">
        <f>IFERROR(__xludf.DUMMYFUNCTION("""COMPUTED_VALUE"""),"This card is placed on a Ponygon MAMODO card when a Dioemur Shudoruk SPELL card is played for the Ponygon MAMODO. (Attack) [1 MP] This card may Attack without using a SPELL card (Total Power=8000, Attribute=""Fire"", Damage=2). Your opponent cannot apply "&amp;"the effects of their in-play cards during the Battle ([STAY]).")</f>
        <v>This card is placed on a Ponygon MAMODO card when a Dioemur Shudoruk SPELL card is played for the Ponygon MAMODO. (Attack) [1 MP] This card may Attack without using a SPELL card (Total Power=8000, Attribute="Fire", Damage=2). Your opponent cannot apply the effects of their in-play cards during the Battle ([STAY]).</v>
      </c>
      <c r="J653" s="42">
        <f>IFERROR(__xludf.DUMMYFUNCTION("""COMPUTED_VALUE"""),6000.0)</f>
        <v>6000</v>
      </c>
      <c r="K653" s="42" t="str">
        <f>IFERROR(__xludf.DUMMYFUNCTION("""COMPUTED_VALUE"""),"-")</f>
        <v>-</v>
      </c>
      <c r="L653" s="42" t="str">
        <f>IFERROR(__xludf.DUMMYFUNCTION("""COMPUTED_VALUE"""),"-")</f>
        <v>-</v>
      </c>
      <c r="M653" s="42" t="str">
        <f>IFERROR(__xludf.DUMMYFUNCTION("""COMPUTED_VALUE"""),"[SR]")</f>
        <v>[SR]</v>
      </c>
      <c r="N653" s="42" t="str">
        <f>IFERROR(__xludf.DUMMYFUNCTION("""COMPUTED_VALUE"""),"Ponygon enwreathes his body in scorching flames!")</f>
        <v>Ponygon enwreathes his body in scorching flames!</v>
      </c>
      <c r="O653" s="42"/>
      <c r="P653" s="42"/>
      <c r="Q653" s="42"/>
      <c r="R653" s="42"/>
      <c r="S653" s="42"/>
      <c r="T653" s="42"/>
      <c r="U653" s="42"/>
      <c r="V653" s="42"/>
      <c r="W653" s="42"/>
      <c r="X653" s="42"/>
      <c r="Y653" s="42"/>
      <c r="Z653" s="42"/>
    </row>
    <row r="654">
      <c r="A654" s="41" t="str">
        <f>IFERROR(__xludf.DUMMYFUNCTION("""COMPUTED_VALUE"""),"M-272")</f>
        <v>M-272</v>
      </c>
      <c r="B654" s="42" t="str">
        <f>IFERROR(__xludf.DUMMYFUNCTION("""COMPUTED_VALUE"""),"Mamodo")</f>
        <v>Mamodo</v>
      </c>
      <c r="C654" s="42" t="str">
        <f>IFERROR(__xludf.DUMMYFUNCTION("""COMPUTED_VALUE"""),"Zofis (Shielded)")</f>
        <v>Zofis (Shielded)</v>
      </c>
      <c r="D654" s="42" t="str">
        <f>IFERROR(__xludf.DUMMYFUNCTION("""COMPUTED_VALUE"""),"Zofis (Shielded)")</f>
        <v>Zofis (Shielded)</v>
      </c>
      <c r="E654" s="42" t="str">
        <f>IFERROR(__xludf.DUMMYFUNCTION("""COMPUTED_VALUE"""),"-")</f>
        <v>-</v>
      </c>
      <c r="F654" s="42" t="str">
        <f>IFERROR(__xludf.DUMMYFUNCTION("""COMPUTED_VALUE"""),"-")</f>
        <v>-</v>
      </c>
      <c r="G654" s="42" t="str">
        <f>IFERROR(__xludf.DUMMYFUNCTION("""COMPUTED_VALUE"""),"Intermediate")</f>
        <v>Intermediate</v>
      </c>
      <c r="H654" s="42" t="str">
        <f>IFERROR(__xludf.DUMMYFUNCTION("""COMPUTED_VALUE"""),"Stone Of Moonlight System")</f>
        <v>Stone Of Moonlight System</v>
      </c>
      <c r="I654" s="43" t="str">
        <f>IFERROR(__xludf.DUMMYFUNCTION("""COMPUTED_VALUE"""),"[DECLARE TO USE] [STAY] This MAMODO card does not receive Damage or Injury during this game. ● As long as this effect is active, reduce your MP by 2 at the END PHASE of each player's turn. If you are unable to do so, this effect is negated, and this effec"&amp;"t cannot be applied during this game (per player).")</f>
        <v>[DECLARE TO USE] [STAY] This MAMODO card does not receive Damage or Injury during this game. ● As long as this effect is active, reduce your MP by 2 at the END PHASE of each player's turn. If you are unable to do so, this effect is negated, and this effect cannot be applied during this game (per player).</v>
      </c>
      <c r="J654" s="42">
        <f>IFERROR(__xludf.DUMMYFUNCTION("""COMPUTED_VALUE"""),5500.0)</f>
        <v>5500</v>
      </c>
      <c r="K654" s="42" t="str">
        <f>IFERROR(__xludf.DUMMYFUNCTION("""COMPUTED_VALUE"""),"-")</f>
        <v>-</v>
      </c>
      <c r="L654" s="42" t="str">
        <f>IFERROR(__xludf.DUMMYFUNCTION("""COMPUTED_VALUE"""),"-")</f>
        <v>-</v>
      </c>
      <c r="M654" s="42" t="str">
        <f>IFERROR(__xludf.DUMMYFUNCTION("""COMPUTED_VALUE"""),"[SR]")</f>
        <v>[SR]</v>
      </c>
      <c r="N654" s="42" t="str">
        <f>IFERROR(__xludf.DUMMYFUNCTION("""COMPUTED_VALUE"""),"""As long as I wear this helmet, no harm can come to me from any of your attacks.""")</f>
        <v>"As long as I wear this helmet, no harm can come to me from any of your attacks."</v>
      </c>
      <c r="O654" s="42"/>
      <c r="P654" s="42"/>
      <c r="Q654" s="42"/>
      <c r="R654" s="42"/>
      <c r="S654" s="42"/>
      <c r="T654" s="42"/>
      <c r="U654" s="42"/>
      <c r="V654" s="42"/>
      <c r="W654" s="42"/>
      <c r="X654" s="42"/>
      <c r="Y654" s="42"/>
      <c r="Z654" s="42"/>
    </row>
    <row r="655">
      <c r="A655" s="41" t="str">
        <f>IFERROR(__xludf.DUMMYFUNCTION("""COMPUTED_VALUE"""),"M-273")</f>
        <v>M-273</v>
      </c>
      <c r="B655" s="42" t="str">
        <f>IFERROR(__xludf.DUMMYFUNCTION("""COMPUTED_VALUE"""),"Mamodo")</f>
        <v>Mamodo</v>
      </c>
      <c r="C655" s="42" t="str">
        <f>IFERROR(__xludf.DUMMYFUNCTION("""COMPUTED_VALUE"""),"Koral Q")</f>
        <v>Koral Q</v>
      </c>
      <c r="D655" s="42" t="str">
        <f>IFERROR(__xludf.DUMMYFUNCTION("""COMPUTED_VALUE"""),"Koral Q")</f>
        <v>Koral Q</v>
      </c>
      <c r="E655" s="42" t="str">
        <f>IFERROR(__xludf.DUMMYFUNCTION("""COMPUTED_VALUE"""),"-")</f>
        <v>-</v>
      </c>
      <c r="F655" s="42" t="str">
        <f>IFERROR(__xludf.DUMMYFUNCTION("""COMPUTED_VALUE"""),"-")</f>
        <v>-</v>
      </c>
      <c r="G655" s="42" t="str">
        <f>IFERROR(__xludf.DUMMYFUNCTION("""COMPUTED_VALUE"""),"None")</f>
        <v>None</v>
      </c>
      <c r="H655" s="42" t="str">
        <f>IFERROR(__xludf.DUMMYFUNCTION("""COMPUTED_VALUE"""),"Fusion Transforming Robot")</f>
        <v>Fusion Transforming Robot</v>
      </c>
      <c r="I655" s="43" t="str">
        <f>IFERROR(__xludf.DUMMYFUNCTION("""COMPUTED_VALUE"""),"[1 MP] Select 2 Koral Q MAMODO cards from any page of your Spell Book (except regular Koral Q) and place them on this MAMODO card. The effects of those MAMODO cards can be applied. This effect can be applied only once per game (per player).")</f>
        <v>[1 MP] Select 2 Koral Q MAMODO cards from any page of your Spell Book (except regular Koral Q) and place them on this MAMODO card. The effects of those MAMODO cards can be applied. This effect can be applied only once per game (per player).</v>
      </c>
      <c r="J655" s="42">
        <f>IFERROR(__xludf.DUMMYFUNCTION("""COMPUTED_VALUE"""),2000.0)</f>
        <v>2000</v>
      </c>
      <c r="K655" s="42" t="str">
        <f>IFERROR(__xludf.DUMMYFUNCTION("""COMPUTED_VALUE"""),"-")</f>
        <v>-</v>
      </c>
      <c r="L655" s="42" t="str">
        <f>IFERROR(__xludf.DUMMYFUNCTION("""COMPUTED_VALUE"""),"-")</f>
        <v>-</v>
      </c>
      <c r="M655" s="42" t="str">
        <f>IFERROR(__xludf.DUMMYFUNCTION("""COMPUTED_VALUE"""),"[R]")</f>
        <v>[R]</v>
      </c>
      <c r="N655" s="42" t="str">
        <f>IFERROR(__xludf.DUMMYFUNCTION("""COMPUTED_VALUE"""),"""I wish I were a fusion transforming robot...""")</f>
        <v>"I wish I were a fusion transforming robot..."</v>
      </c>
      <c r="O655" s="42"/>
      <c r="P655" s="42"/>
      <c r="Q655" s="42"/>
      <c r="R655" s="42"/>
      <c r="S655" s="42"/>
      <c r="T655" s="42"/>
      <c r="U655" s="42"/>
      <c r="V655" s="42"/>
      <c r="W655" s="42"/>
      <c r="X655" s="42"/>
      <c r="Y655" s="42"/>
      <c r="Z655" s="42"/>
    </row>
    <row r="656">
      <c r="A656" s="41" t="str">
        <f>IFERROR(__xludf.DUMMYFUNCTION("""COMPUTED_VALUE"""),"M-274")</f>
        <v>M-274</v>
      </c>
      <c r="B656" s="42" t="str">
        <f>IFERROR(__xludf.DUMMYFUNCTION("""COMPUTED_VALUE"""),"Mamodo")</f>
        <v>Mamodo</v>
      </c>
      <c r="C656" s="42" t="str">
        <f>IFERROR(__xludf.DUMMYFUNCTION("""COMPUTED_VALUE"""),"Koral Q (Murom Roboruk Form)")</f>
        <v>Koral Q (Murom Roboruk Form)</v>
      </c>
      <c r="D656" s="42" t="str">
        <f>IFERROR(__xludf.DUMMYFUNCTION("""COMPUTED_VALUE"""),"Koral Q (Murom Roboruk Form)")</f>
        <v>Koral Q (Murom Roboruk Form)</v>
      </c>
      <c r="E656" s="42" t="str">
        <f>IFERROR(__xludf.DUMMYFUNCTION("""COMPUTED_VALUE"""),"-")</f>
        <v>-</v>
      </c>
      <c r="F656" s="42" t="str">
        <f>IFERROR(__xludf.DUMMYFUNCTION("""COMPUTED_VALUE"""),"-")</f>
        <v>-</v>
      </c>
      <c r="G656" s="42" t="str">
        <f>IFERROR(__xludf.DUMMYFUNCTION("""COMPUTED_VALUE"""),"None")</f>
        <v>None</v>
      </c>
      <c r="H656" s="42" t="str">
        <f>IFERROR(__xludf.DUMMYFUNCTION("""COMPUTED_VALUE"""),"Nonconductive")</f>
        <v>Nonconductive</v>
      </c>
      <c r="I656" s="43" t="str">
        <f>IFERROR(__xludf.DUMMYFUNCTION("""COMPUTED_VALUE"""),"This card is placed on a regular Koral Q MAMODO card when a Murom Roboruk SPELL is played for the Koral Q MAMODO card. [IN PLAY] Reduce the Damage of your opponent's ""Thunder"" Attribute SPELL cards by 2.")</f>
        <v>This card is placed on a regular Koral Q MAMODO card when a Murom Roboruk SPELL is played for the Koral Q MAMODO card. [IN PLAY] Reduce the Damage of your opponent's "Thunder" Attribute SPELL cards by 2.</v>
      </c>
      <c r="J656" s="42">
        <f>IFERROR(__xludf.DUMMYFUNCTION("""COMPUTED_VALUE"""),4000.0)</f>
        <v>4000</v>
      </c>
      <c r="K656" s="42" t="str">
        <f>IFERROR(__xludf.DUMMYFUNCTION("""COMPUTED_VALUE"""),"-")</f>
        <v>-</v>
      </c>
      <c r="L656" s="42" t="str">
        <f>IFERROR(__xludf.DUMMYFUNCTION("""COMPUTED_VALUE"""),"-")</f>
        <v>-</v>
      </c>
      <c r="M656" s="42" t="str">
        <f>IFERROR(__xludf.DUMMYFUNCTION("""COMPUTED_VALUE"""),"[C]")</f>
        <v>[C]</v>
      </c>
      <c r="N656" s="42" t="str">
        <f>IFERROR(__xludf.DUMMYFUNCTION("""COMPUTED_VALUE"""),"""Beep boop bop! I'm made of rubber!""")</f>
        <v>"Beep boop bop! I'm made of rubber!"</v>
      </c>
      <c r="O656" s="42"/>
      <c r="P656" s="42"/>
      <c r="Q656" s="42"/>
      <c r="R656" s="42"/>
      <c r="S656" s="42"/>
      <c r="T656" s="42"/>
      <c r="U656" s="42"/>
      <c r="V656" s="42"/>
      <c r="W656" s="42"/>
      <c r="X656" s="42"/>
      <c r="Y656" s="42"/>
      <c r="Z656" s="42"/>
    </row>
    <row r="657">
      <c r="A657" s="41" t="str">
        <f>IFERROR(__xludf.DUMMYFUNCTION("""COMPUTED_VALUE"""),"M-275")</f>
        <v>M-275</v>
      </c>
      <c r="B657" s="42" t="str">
        <f>IFERROR(__xludf.DUMMYFUNCTION("""COMPUTED_VALUE"""),"Mamodo")</f>
        <v>Mamodo</v>
      </c>
      <c r="C657" s="42" t="str">
        <f>IFERROR(__xludf.DUMMYFUNCTION("""COMPUTED_VALUE"""),"Koral Q (Digo Roboruk Form)")</f>
        <v>Koral Q (Digo Roboruk Form)</v>
      </c>
      <c r="D657" s="42" t="str">
        <f>IFERROR(__xludf.DUMMYFUNCTION("""COMPUTED_VALUE"""),"Koral Q (Digo Roboruk Form)")</f>
        <v>Koral Q (Digo Roboruk Form)</v>
      </c>
      <c r="E657" s="42" t="str">
        <f>IFERROR(__xludf.DUMMYFUNCTION("""COMPUTED_VALUE"""),"-")</f>
        <v>-</v>
      </c>
      <c r="F657" s="42" t="str">
        <f>IFERROR(__xludf.DUMMYFUNCTION("""COMPUTED_VALUE"""),"-")</f>
        <v>-</v>
      </c>
      <c r="G657" s="42" t="str">
        <f>IFERROR(__xludf.DUMMYFUNCTION("""COMPUTED_VALUE"""),"None")</f>
        <v>None</v>
      </c>
      <c r="H657" s="42" t="str">
        <f>IFERROR(__xludf.DUMMYFUNCTION("""COMPUTED_VALUE"""),"Full Throttle")</f>
        <v>Full Throttle</v>
      </c>
      <c r="I657" s="43" t="str">
        <f>IFERROR(__xludf.DUMMYFUNCTION("""COMPUTED_VALUE"""),"This card is placed on a regular Koral Q MAMODO card when a Digo Roboruk SPELL is played for the Koral Q MAMODO card. [IN PLAY] Your opponent cannot Attack with MAMODO card effects that allow them to Attack without using a SPELL card.")</f>
        <v>This card is placed on a regular Koral Q MAMODO card when a Digo Roboruk SPELL is played for the Koral Q MAMODO card. [IN PLAY] Your opponent cannot Attack with MAMODO card effects that allow them to Attack without using a SPELL card.</v>
      </c>
      <c r="J657" s="42">
        <f>IFERROR(__xludf.DUMMYFUNCTION("""COMPUTED_VALUE"""),4000.0)</f>
        <v>4000</v>
      </c>
      <c r="K657" s="42" t="str">
        <f>IFERROR(__xludf.DUMMYFUNCTION("""COMPUTED_VALUE"""),"-")</f>
        <v>-</v>
      </c>
      <c r="L657" s="42" t="str">
        <f>IFERROR(__xludf.DUMMYFUNCTION("""COMPUTED_VALUE"""),"-")</f>
        <v>-</v>
      </c>
      <c r="M657" s="42" t="str">
        <f>IFERROR(__xludf.DUMMYFUNCTION("""COMPUTED_VALUE"""),"[C]")</f>
        <v>[C]</v>
      </c>
      <c r="N657" s="42" t="str">
        <f>IFERROR(__xludf.DUMMYFUNCTION("""COMPUTED_VALUE"""),"The design may be absurd, but his speed is incredible!")</f>
        <v>The design may be absurd, but his speed is incredible!</v>
      </c>
      <c r="O657" s="42"/>
      <c r="P657" s="42"/>
      <c r="Q657" s="42"/>
      <c r="R657" s="42"/>
      <c r="S657" s="42"/>
      <c r="T657" s="42"/>
      <c r="U657" s="42"/>
      <c r="V657" s="42"/>
      <c r="W657" s="42"/>
      <c r="X657" s="42"/>
      <c r="Y657" s="42"/>
      <c r="Z657" s="42"/>
    </row>
    <row r="658">
      <c r="A658" s="41" t="str">
        <f>IFERROR(__xludf.DUMMYFUNCTION("""COMPUTED_VALUE"""),"M-276")</f>
        <v>M-276</v>
      </c>
      <c r="B658" s="42" t="str">
        <f>IFERROR(__xludf.DUMMYFUNCTION("""COMPUTED_VALUE"""),"Mamodo")</f>
        <v>Mamodo</v>
      </c>
      <c r="C658" s="42" t="str">
        <f>IFERROR(__xludf.DUMMYFUNCTION("""COMPUTED_VALUE"""),"Koral Q (Ganjido Roboron Form)")</f>
        <v>Koral Q (Ganjido Roboron Form)</v>
      </c>
      <c r="D658" s="42" t="str">
        <f>IFERROR(__xludf.DUMMYFUNCTION("""COMPUTED_VALUE"""),"Koral Q (Ganjido Roboron Form)")</f>
        <v>Koral Q (Ganjido Roboron Form)</v>
      </c>
      <c r="E658" s="42" t="str">
        <f>IFERROR(__xludf.DUMMYFUNCTION("""COMPUTED_VALUE"""),"-")</f>
        <v>-</v>
      </c>
      <c r="F658" s="42" t="str">
        <f>IFERROR(__xludf.DUMMYFUNCTION("""COMPUTED_VALUE"""),"-")</f>
        <v>-</v>
      </c>
      <c r="G658" s="42" t="str">
        <f>IFERROR(__xludf.DUMMYFUNCTION("""COMPUTED_VALUE"""),"None")</f>
        <v>None</v>
      </c>
      <c r="H658" s="42" t="str">
        <f>IFERROR(__xludf.DUMMYFUNCTION("""COMPUTED_VALUE"""),"Multiple Shields")</f>
        <v>Multiple Shields</v>
      </c>
      <c r="I658" s="43" t="str">
        <f>IFERROR(__xludf.DUMMYFUNCTION("""COMPUTED_VALUE"""),"This card is placed on a regular Koral Q MAMODO card when a Ganjido Roboron SPELL is played for the Koral Q MAMODO. [IN PLAY] Only once during this game (per player), your Spell Book does not receive up to 4 Damage (any Damage over 4 is still inflicted).")</f>
        <v>This card is placed on a regular Koral Q MAMODO card when a Ganjido Roboron SPELL is played for the Koral Q MAMODO. [IN PLAY] Only once during this game (per player), your Spell Book does not receive up to 4 Damage (any Damage over 4 is still inflicted).</v>
      </c>
      <c r="J658" s="42">
        <f>IFERROR(__xludf.DUMMYFUNCTION("""COMPUTED_VALUE"""),4000.0)</f>
        <v>4000</v>
      </c>
      <c r="K658" s="42" t="str">
        <f>IFERROR(__xludf.DUMMYFUNCTION("""COMPUTED_VALUE"""),"-")</f>
        <v>-</v>
      </c>
      <c r="L658" s="42" t="str">
        <f>IFERROR(__xludf.DUMMYFUNCTION("""COMPUTED_VALUE"""),"-")</f>
        <v>-</v>
      </c>
      <c r="M658" s="42" t="str">
        <f>IFERROR(__xludf.DUMMYFUNCTION("""COMPUTED_VALUE"""),"[R]")</f>
        <v>[R]</v>
      </c>
      <c r="N658" s="42" t="str">
        <f>IFERROR(__xludf.DUMMYFUNCTION("""COMPUTED_VALUE"""),"""We'll be able to block Bao Zakeruga with the power of these combined shields...""")</f>
        <v>"We'll be able to block Bao Zakeruga with the power of these combined shields..."</v>
      </c>
      <c r="O658" s="42"/>
      <c r="P658" s="42"/>
      <c r="Q658" s="42"/>
      <c r="R658" s="42"/>
      <c r="S658" s="42"/>
      <c r="T658" s="42"/>
      <c r="U658" s="42"/>
      <c r="V658" s="42"/>
      <c r="W658" s="42"/>
      <c r="X658" s="42"/>
      <c r="Y658" s="42"/>
      <c r="Z658" s="42"/>
    </row>
    <row r="659">
      <c r="A659" s="38" t="str">
        <f>IFERROR(__xludf.DUMMYFUNCTION("""COMPUTED_VALUE"""),"M-277")</f>
        <v>M-277</v>
      </c>
      <c r="B659" s="39" t="str">
        <f>IFERROR(__xludf.DUMMYFUNCTION("""COMPUTED_VALUE"""),"Mamodo")</f>
        <v>Mamodo</v>
      </c>
      <c r="C659" s="39" t="str">
        <f>IFERROR(__xludf.DUMMYFUNCTION("""COMPUTED_VALUE"""),"Ted")</f>
        <v>Ted</v>
      </c>
      <c r="D659" s="39" t="str">
        <f>IFERROR(__xludf.DUMMYFUNCTION("""COMPUTED_VALUE"""),"Ted")</f>
        <v>Ted</v>
      </c>
      <c r="E659" s="39" t="str">
        <f>IFERROR(__xludf.DUMMYFUNCTION("""COMPUTED_VALUE"""),"-")</f>
        <v>-</v>
      </c>
      <c r="F659" s="39" t="str">
        <f>IFERROR(__xludf.DUMMYFUNCTION("""COMPUTED_VALUE"""),"-")</f>
        <v>-</v>
      </c>
      <c r="G659" s="39" t="str">
        <f>IFERROR(__xludf.DUMMYFUNCTION("""COMPUTED_VALUE"""),"None")</f>
        <v>None</v>
      </c>
      <c r="H659" s="39" t="str">
        <f>IFERROR(__xludf.DUMMYFUNCTION("""COMPUTED_VALUE"""),"Soul Of The Fist")</f>
        <v>Soul Of The Fist</v>
      </c>
      <c r="I659" s="40" t="str">
        <f>IFERROR(__xludf.DUMMYFUNCTION("""COMPUTED_VALUE"""),"Only 1 SPELL card can be played for this MAMODO card per turn (per player). (Attack) [1 MP] This card may Attack without using a SPELL card (Total Power=7000, Damage=1). This effect can be applied as many times per turn (per player) equal to the number of"&amp;" MP counters placed on this MAMODO card times 1.")</f>
        <v>Only 1 SPELL card can be played for this MAMODO card per turn (per player). (Attack) [1 MP] This card may Attack without using a SPELL card (Total Power=7000, Damage=1). This effect can be applied as many times per turn (per player) equal to the number of MP counters placed on this MAMODO card times 1.</v>
      </c>
      <c r="J659" s="39">
        <f>IFERROR(__xludf.DUMMYFUNCTION("""COMPUTED_VALUE"""),4000.0)</f>
        <v>4000</v>
      </c>
      <c r="K659" s="39" t="str">
        <f>IFERROR(__xludf.DUMMYFUNCTION("""COMPUTED_VALUE"""),"-")</f>
        <v>-</v>
      </c>
      <c r="L659" s="39" t="str">
        <f>IFERROR(__xludf.DUMMYFUNCTION("""COMPUTED_VALUE"""),"-")</f>
        <v>-</v>
      </c>
      <c r="M659" s="39" t="str">
        <f>IFERROR(__xludf.DUMMYFUNCTION("""COMPUTED_VALUE"""),"[R]")</f>
        <v>[R]</v>
      </c>
      <c r="N659" s="39" t="str">
        <f>IFERROR(__xludf.DUMMYFUNCTION("""COMPUTED_VALUE"""),"""No one can stop his fists of fury.""")</f>
        <v>"No one can stop his fists of fury."</v>
      </c>
      <c r="O659" s="39"/>
      <c r="P659" s="39"/>
      <c r="Q659" s="39"/>
      <c r="R659" s="39"/>
      <c r="S659" s="39"/>
      <c r="T659" s="39"/>
      <c r="U659" s="39"/>
      <c r="V659" s="39"/>
      <c r="W659" s="39"/>
      <c r="X659" s="39"/>
      <c r="Y659" s="39"/>
      <c r="Z659" s="39"/>
    </row>
    <row r="660">
      <c r="A660" s="38" t="str">
        <f>IFERROR(__xludf.DUMMYFUNCTION("""COMPUTED_VALUE"""),"M-278")</f>
        <v>M-278</v>
      </c>
      <c r="B660" s="39" t="str">
        <f>IFERROR(__xludf.DUMMYFUNCTION("""COMPUTED_VALUE"""),"Mamodo")</f>
        <v>Mamodo</v>
      </c>
      <c r="C660" s="39" t="str">
        <f>IFERROR(__xludf.DUMMYFUNCTION("""COMPUTED_VALUE"""),"Karudio")</f>
        <v>Karudio</v>
      </c>
      <c r="D660" s="39" t="str">
        <f>IFERROR(__xludf.DUMMYFUNCTION("""COMPUTED_VALUE"""),"Karudio")</f>
        <v>Karudio</v>
      </c>
      <c r="E660" s="39" t="str">
        <f>IFERROR(__xludf.DUMMYFUNCTION("""COMPUTED_VALUE"""),"-")</f>
        <v>-</v>
      </c>
      <c r="F660" s="39" t="str">
        <f>IFERROR(__xludf.DUMMYFUNCTION("""COMPUTED_VALUE"""),"-")</f>
        <v>-</v>
      </c>
      <c r="G660" s="39" t="str">
        <f>IFERROR(__xludf.DUMMYFUNCTION("""COMPUTED_VALUE"""),"None")</f>
        <v>None</v>
      </c>
      <c r="H660" s="39" t="str">
        <f>IFERROR(__xludf.DUMMYFUNCTION("""COMPUTED_VALUE"""),"Paru Paru Monn")</f>
        <v>Paru Paru Monn</v>
      </c>
      <c r="I660" s="40" t="str">
        <f>IFERROR(__xludf.DUMMYFUNCTION("""COMPUTED_VALUE"""),"[DECLARE TO USE] Select 1 Sauza PARTNER card from any page of your Spell Book and put it in play.")</f>
        <v>[DECLARE TO USE] Select 1 Sauza PARTNER card from any page of your Spell Book and put it in play.</v>
      </c>
      <c r="J660" s="39">
        <f>IFERROR(__xludf.DUMMYFUNCTION("""COMPUTED_VALUE"""),4000.0)</f>
        <v>4000</v>
      </c>
      <c r="K660" s="39" t="str">
        <f>IFERROR(__xludf.DUMMYFUNCTION("""COMPUTED_VALUE"""),"-")</f>
        <v>-</v>
      </c>
      <c r="L660" s="39" t="str">
        <f>IFERROR(__xludf.DUMMYFUNCTION("""COMPUTED_VALUE"""),"-")</f>
        <v>-</v>
      </c>
      <c r="M660" s="39" t="str">
        <f>IFERROR(__xludf.DUMMYFUNCTION("""COMPUTED_VALUE"""),"[R]")</f>
        <v>[R]</v>
      </c>
      <c r="N660" s="39" t="str">
        <f>IFERROR(__xludf.DUMMYFUNCTION("""COMPUTED_VALUE"""),"A mamodo that Ponygon encountered in Hokkaido. It seems to be an equine mamodo, just like him...")</f>
        <v>A mamodo that Ponygon encountered in Hokkaido. It seems to be an equine mamodo, just like him...</v>
      </c>
      <c r="O660" s="39"/>
      <c r="P660" s="39"/>
      <c r="Q660" s="39"/>
      <c r="R660" s="39"/>
      <c r="S660" s="39"/>
      <c r="T660" s="39"/>
      <c r="U660" s="39"/>
      <c r="V660" s="39"/>
      <c r="W660" s="39"/>
      <c r="X660" s="39"/>
      <c r="Y660" s="39"/>
      <c r="Z660" s="39"/>
    </row>
    <row r="661">
      <c r="A661" s="38" t="str">
        <f>IFERROR(__xludf.DUMMYFUNCTION("""COMPUTED_VALUE"""),"M-279")</f>
        <v>M-279</v>
      </c>
      <c r="B661" s="39" t="str">
        <f>IFERROR(__xludf.DUMMYFUNCTION("""COMPUTED_VALUE"""),"Mamodo")</f>
        <v>Mamodo</v>
      </c>
      <c r="C661" s="39" t="str">
        <f>IFERROR(__xludf.DUMMYFUNCTION("""COMPUTED_VALUE"""),"Karudio (Gidoruk Form)")</f>
        <v>Karudio (Gidoruk Form)</v>
      </c>
      <c r="D661" s="39" t="str">
        <f>IFERROR(__xludf.DUMMYFUNCTION("""COMPUTED_VALUE"""),"Karudio (Gidoruk Form)")</f>
        <v>Karudio (Gidoruk Form)</v>
      </c>
      <c r="E661" s="39" t="str">
        <f>IFERROR(__xludf.DUMMYFUNCTION("""COMPUTED_VALUE"""),"-")</f>
        <v>-</v>
      </c>
      <c r="F661" s="39" t="str">
        <f>IFERROR(__xludf.DUMMYFUNCTION("""COMPUTED_VALUE"""),"-")</f>
        <v>-</v>
      </c>
      <c r="G661" s="39" t="str">
        <f>IFERROR(__xludf.DUMMYFUNCTION("""COMPUTED_VALUE"""),"None")</f>
        <v>None</v>
      </c>
      <c r="H661" s="39" t="str">
        <f>IFERROR(__xludf.DUMMYFUNCTION("""COMPUTED_VALUE"""),"Black Beast")</f>
        <v>Black Beast</v>
      </c>
      <c r="I661" s="40" t="str">
        <f>IFERROR(__xludf.DUMMYFUNCTION("""COMPUTED_VALUE"""),"This card is placed on a Karudio MAMODO card when a Gidoruk SPELL card is played for the Karudio MAMODO card. [1 MP] Look at your opponent's Spell Book. Select 1 Ponygon EVENT or MAMODO card from any of the pages and send it to the Discard Pile. Then, tur"&amp;"n 1 page of your opponent's Spell Book.")</f>
        <v>This card is placed on a Karudio MAMODO card when a Gidoruk SPELL card is played for the Karudio MAMODO card. [1 MP] Look at your opponent's Spell Book. Select 1 Ponygon EVENT or MAMODO card from any of the pages and send it to the Discard Pile. Then, turn 1 page of your opponent's Spell Book.</v>
      </c>
      <c r="J661" s="39">
        <f>IFERROR(__xludf.DUMMYFUNCTION("""COMPUTED_VALUE"""),5000.0)</f>
        <v>5000</v>
      </c>
      <c r="K661" s="39" t="str">
        <f>IFERROR(__xludf.DUMMYFUNCTION("""COMPUTED_VALUE"""),"-")</f>
        <v>-</v>
      </c>
      <c r="L661" s="39" t="str">
        <f>IFERROR(__xludf.DUMMYFUNCTION("""COMPUTED_VALUE"""),"-")</f>
        <v>-</v>
      </c>
      <c r="M661" s="39" t="str">
        <f>IFERROR(__xludf.DUMMYFUNCTION("""COMPUTED_VALUE"""),"[C]")</f>
        <v>[C]</v>
      </c>
      <c r="N661" s="39" t="str">
        <f>IFERROR(__xludf.DUMMYFUNCTION("""COMPUTED_VALUE"""),"Karudio's battle form. He attacks by charging forward with great precision!")</f>
        <v>Karudio's battle form. He attacks by charging forward with great precision!</v>
      </c>
      <c r="O661" s="39"/>
      <c r="P661" s="39"/>
      <c r="Q661" s="39"/>
      <c r="R661" s="39"/>
      <c r="S661" s="39"/>
      <c r="T661" s="39"/>
      <c r="U661" s="39"/>
      <c r="V661" s="39"/>
      <c r="W661" s="39"/>
      <c r="X661" s="39"/>
      <c r="Y661" s="39"/>
      <c r="Z661" s="39"/>
    </row>
    <row r="662">
      <c r="A662" s="38" t="str">
        <f>IFERROR(__xludf.DUMMYFUNCTION("""COMPUTED_VALUE"""),"M-280")</f>
        <v>M-280</v>
      </c>
      <c r="B662" s="39" t="str">
        <f>IFERROR(__xludf.DUMMYFUNCTION("""COMPUTED_VALUE"""),"Mamodo")</f>
        <v>Mamodo</v>
      </c>
      <c r="C662" s="39" t="str">
        <f>IFERROR(__xludf.DUMMYFUNCTION("""COMPUTED_VALUE"""),"Karudio (Go Gidoruk Form)")</f>
        <v>Karudio (Go Gidoruk Form)</v>
      </c>
      <c r="D662" s="39" t="str">
        <f>IFERROR(__xludf.DUMMYFUNCTION("""COMPUTED_VALUE"""),"Karudio (Go Gidoruk Form)")</f>
        <v>Karudio (Go Gidoruk Form)</v>
      </c>
      <c r="E662" s="39" t="str">
        <f>IFERROR(__xludf.DUMMYFUNCTION("""COMPUTED_VALUE"""),"-")</f>
        <v>-</v>
      </c>
      <c r="F662" s="39" t="str">
        <f>IFERROR(__xludf.DUMMYFUNCTION("""COMPUTED_VALUE"""),"-")</f>
        <v>-</v>
      </c>
      <c r="G662" s="39" t="str">
        <f>IFERROR(__xludf.DUMMYFUNCTION("""COMPUTED_VALUE"""),"None")</f>
        <v>None</v>
      </c>
      <c r="H662" s="39" t="str">
        <f>IFERROR(__xludf.DUMMYFUNCTION("""COMPUTED_VALUE"""),"Dual Horns")</f>
        <v>Dual Horns</v>
      </c>
      <c r="I662" s="40" t="str">
        <f>IFERROR(__xludf.DUMMYFUNCTION("""COMPUTED_VALUE"""),"This card is placed on a Karudio MAMODO card when a Go Gidoruk SPELL card is played for the Karudio MAMODO card. (Attack) [1 MP] This card may Attack without using a SPELL card (Total Power=7000, Damage=1). Damage your opponent's Spell Book twice when you"&amp;" win the Battle as an Attacker.")</f>
        <v>This card is placed on a Karudio MAMODO card when a Go Gidoruk SPELL card is played for the Karudio MAMODO card. (Attack) [1 MP] This card may Attack without using a SPELL card (Total Power=7000, Damage=1). Damage your opponent's Spell Book twice when you win the Battle as an Attacker.</v>
      </c>
      <c r="J662" s="39">
        <f>IFERROR(__xludf.DUMMYFUNCTION("""COMPUTED_VALUE"""),5500.0)</f>
        <v>5500</v>
      </c>
      <c r="K662" s="39" t="str">
        <f>IFERROR(__xludf.DUMMYFUNCTION("""COMPUTED_VALUE"""),"-")</f>
        <v>-</v>
      </c>
      <c r="L662" s="39" t="str">
        <f>IFERROR(__xludf.DUMMYFUNCTION("""COMPUTED_VALUE"""),"-")</f>
        <v>-</v>
      </c>
      <c r="M662" s="39" t="str">
        <f>IFERROR(__xludf.DUMMYFUNCTION("""COMPUTED_VALUE"""),"[U]")</f>
        <v>[U]</v>
      </c>
      <c r="N662" s="39" t="str">
        <f>IFERROR(__xludf.DUMMYFUNCTION("""COMPUTED_VALUE"""),"Karudio's twin horns extend forward as he lunges toward the enemy.")</f>
        <v>Karudio's twin horns extend forward as he lunges toward the enemy.</v>
      </c>
      <c r="O662" s="39"/>
      <c r="P662" s="39"/>
      <c r="Q662" s="39"/>
      <c r="R662" s="39"/>
      <c r="S662" s="39"/>
      <c r="T662" s="39"/>
      <c r="U662" s="39"/>
      <c r="V662" s="39"/>
      <c r="W662" s="39"/>
      <c r="X662" s="39"/>
      <c r="Y662" s="39"/>
      <c r="Z662" s="39"/>
    </row>
    <row r="663">
      <c r="A663" s="38" t="str">
        <f>IFERROR(__xludf.DUMMYFUNCTION("""COMPUTED_VALUE"""),"M-281")</f>
        <v>M-281</v>
      </c>
      <c r="B663" s="39" t="str">
        <f>IFERROR(__xludf.DUMMYFUNCTION("""COMPUTED_VALUE"""),"Mamodo")</f>
        <v>Mamodo</v>
      </c>
      <c r="C663" s="39" t="str">
        <f>IFERROR(__xludf.DUMMYFUNCTION("""COMPUTED_VALUE"""),"Karudio (Diogikor Gidoruk Form)")</f>
        <v>Karudio (Diogikor Gidoruk Form)</v>
      </c>
      <c r="D663" s="39" t="str">
        <f>IFERROR(__xludf.DUMMYFUNCTION("""COMPUTED_VALUE"""),"Karudio (Diogikor Gidoruk Form)")</f>
        <v>Karudio (Diogikor Gidoruk Form)</v>
      </c>
      <c r="E663" s="39" t="str">
        <f>IFERROR(__xludf.DUMMYFUNCTION("""COMPUTED_VALUE"""),"-")</f>
        <v>-</v>
      </c>
      <c r="F663" s="39" t="str">
        <f>IFERROR(__xludf.DUMMYFUNCTION("""COMPUTED_VALUE"""),"-")</f>
        <v>-</v>
      </c>
      <c r="G663" s="39" t="str">
        <f>IFERROR(__xludf.DUMMYFUNCTION("""COMPUTED_VALUE"""),"None")</f>
        <v>None</v>
      </c>
      <c r="H663" s="39" t="str">
        <f>IFERROR(__xludf.DUMMYFUNCTION("""COMPUTED_VALUE"""),"Fierce Blizzard")</f>
        <v>Fierce Blizzard</v>
      </c>
      <c r="I663" s="40" t="str">
        <f>IFERROR(__xludf.DUMMYFUNCTION("""COMPUTED_VALUE"""),"This card is placed on a Karudio MAMODO card when a Diogikor Gidoruk SPELL card is played for the Karudio MAMODO card. (Attack) [2 MP] This card may Attack without using a SPELL card (Total Power=8000, Attribute=""Ice"", Damage=1). Damage your opponent's "&amp;"Spell Book 3 times when you win the Battle as an Attacker.")</f>
        <v>This card is placed on a Karudio MAMODO card when a Diogikor Gidoruk SPELL card is played for the Karudio MAMODO card. (Attack) [2 MP] This card may Attack without using a SPELL card (Total Power=8000, Attribute="Ice", Damage=1). Damage your opponent's Spell Book 3 times when you win the Battle as an Attacker.</v>
      </c>
      <c r="J663" s="39">
        <f>IFERROR(__xludf.DUMMYFUNCTION("""COMPUTED_VALUE"""),6000.0)</f>
        <v>6000</v>
      </c>
      <c r="K663" s="39" t="str">
        <f>IFERROR(__xludf.DUMMYFUNCTION("""COMPUTED_VALUE"""),"-")</f>
        <v>-</v>
      </c>
      <c r="L663" s="39" t="str">
        <f>IFERROR(__xludf.DUMMYFUNCTION("""COMPUTED_VALUE"""),"-")</f>
        <v>-</v>
      </c>
      <c r="M663" s="39" t="str">
        <f>IFERROR(__xludf.DUMMYFUNCTION("""COMPUTED_VALUE"""),"[SR]")</f>
        <v>[SR]</v>
      </c>
      <c r="N663" s="39" t="str">
        <f>IFERROR(__xludf.DUMMYFUNCTION("""COMPUTED_VALUE"""),"Karudio's entire body is enveloped in a chilling tempest of freezing wind.")</f>
        <v>Karudio's entire body is enveloped in a chilling tempest of freezing wind.</v>
      </c>
      <c r="O663" s="39"/>
      <c r="P663" s="39"/>
      <c r="Q663" s="39"/>
      <c r="R663" s="39"/>
      <c r="S663" s="39"/>
      <c r="T663" s="39"/>
      <c r="U663" s="39"/>
      <c r="V663" s="39"/>
      <c r="W663" s="39"/>
      <c r="X663" s="39"/>
      <c r="Y663" s="39"/>
      <c r="Z663" s="39"/>
    </row>
    <row r="664">
      <c r="A664" s="38" t="str">
        <f>IFERROR(__xludf.DUMMYFUNCTION("""COMPUTED_VALUE"""),"M-282")</f>
        <v>M-282</v>
      </c>
      <c r="B664" s="39" t="str">
        <f>IFERROR(__xludf.DUMMYFUNCTION("""COMPUTED_VALUE"""),"Mamodo")</f>
        <v>Mamodo</v>
      </c>
      <c r="C664" s="39" t="str">
        <f>IFERROR(__xludf.DUMMYFUNCTION("""COMPUTED_VALUE"""),"Rein")</f>
        <v>Rein</v>
      </c>
      <c r="D664" s="39" t="str">
        <f>IFERROR(__xludf.DUMMYFUNCTION("""COMPUTED_VALUE"""),"Rein")</f>
        <v>Rein</v>
      </c>
      <c r="E664" s="39" t="str">
        <f>IFERROR(__xludf.DUMMYFUNCTION("""COMPUTED_VALUE"""),"-")</f>
        <v>-</v>
      </c>
      <c r="F664" s="39" t="str">
        <f>IFERROR(__xludf.DUMMYFUNCTION("""COMPUTED_VALUE"""),"-")</f>
        <v>-</v>
      </c>
      <c r="G664" s="39" t="str">
        <f>IFERROR(__xludf.DUMMYFUNCTION("""COMPUTED_VALUE"""),"None")</f>
        <v>None</v>
      </c>
      <c r="H664" s="39" t="str">
        <f>IFERROR(__xludf.DUMMYFUNCTION("""COMPUTED_VALUE"""),"An Untapped Power")</f>
        <v>An Untapped Power</v>
      </c>
      <c r="I664" s="40" t="str">
        <f>IFERROR(__xludf.DUMMYFUNCTION("""COMPUTED_VALUE"""),"[IN PLAY] This MAMODO card can PROTECT your Spell Book from Damage (and this effect can be applied) even when prohibited to do so.")</f>
        <v>[IN PLAY] This MAMODO card can PROTECT your Spell Book from Damage (and this effect can be applied) even when prohibited to do so.</v>
      </c>
      <c r="J664" s="39">
        <f>IFERROR(__xludf.DUMMYFUNCTION("""COMPUTED_VALUE"""),5000.0)</f>
        <v>5000</v>
      </c>
      <c r="K664" s="39" t="str">
        <f>IFERROR(__xludf.DUMMYFUNCTION("""COMPUTED_VALUE"""),"-")</f>
        <v>-</v>
      </c>
      <c r="L664" s="39" t="str">
        <f>IFERROR(__xludf.DUMMYFUNCTION("""COMPUTED_VALUE"""),"-")</f>
        <v>-</v>
      </c>
      <c r="M664" s="39" t="str">
        <f>IFERROR(__xludf.DUMMYFUNCTION("""COMPUTED_VALUE"""),"[SR]")</f>
        <v>[SR]</v>
      </c>
      <c r="N664" s="39" t="str">
        <f>IFERROR(__xludf.DUMMYFUNCTION("""COMPUTED_VALUE"""),"""I don't really care about becoming king. I'm more worried about Kyle.""")</f>
        <v>"I don't really care about becoming king. I'm more worried about Kyle."</v>
      </c>
      <c r="O664" s="39"/>
      <c r="P664" s="39"/>
      <c r="Q664" s="39"/>
      <c r="R664" s="39"/>
      <c r="S664" s="39"/>
      <c r="T664" s="39"/>
      <c r="U664" s="39"/>
      <c r="V664" s="39"/>
      <c r="W664" s="39"/>
      <c r="X664" s="39"/>
      <c r="Y664" s="39"/>
      <c r="Z664" s="39"/>
    </row>
    <row r="665">
      <c r="A665" s="38" t="str">
        <f>IFERROR(__xludf.DUMMYFUNCTION("""COMPUTED_VALUE"""),"M-283")</f>
        <v>M-283</v>
      </c>
      <c r="B665" s="39" t="str">
        <f>IFERROR(__xludf.DUMMYFUNCTION("""COMPUTED_VALUE"""),"Mamodo")</f>
        <v>Mamodo</v>
      </c>
      <c r="C665" s="39" t="str">
        <f>IFERROR(__xludf.DUMMYFUNCTION("""COMPUTED_VALUE"""),"Rein (Human Form)")</f>
        <v>Rein (Human Form)</v>
      </c>
      <c r="D665" s="39" t="str">
        <f>IFERROR(__xludf.DUMMYFUNCTION("""COMPUTED_VALUE"""),"Rein (Human Form)")</f>
        <v>Rein (Human Form)</v>
      </c>
      <c r="E665" s="39" t="str">
        <f>IFERROR(__xludf.DUMMYFUNCTION("""COMPUTED_VALUE"""),"-")</f>
        <v>-</v>
      </c>
      <c r="F665" s="39" t="str">
        <f>IFERROR(__xludf.DUMMYFUNCTION("""COMPUTED_VALUE"""),"-")</f>
        <v>-</v>
      </c>
      <c r="G665" s="39" t="str">
        <f>IFERROR(__xludf.DUMMYFUNCTION("""COMPUTED_VALUE"""),"None")</f>
        <v>None</v>
      </c>
      <c r="H665" s="39" t="str">
        <f>IFERROR(__xludf.DUMMYFUNCTION("""COMPUTED_VALUE"""),"Managing Inheritance")</f>
        <v>Managing Inheritance</v>
      </c>
      <c r="I665" s="40" t="str">
        <f>IFERROR(__xludf.DUMMYFUNCTION("""COMPUTED_VALUE"""),"This card is placed on a Rein MAMODO card. No SPELL cards can be played for this MAMODO card. With 1 Action, you can send this card to the Discard Pile at any time (the other Rein MAMODO card remains in play). [IN PLAY] Your MP cannot be reduced by your o"&amp;"pponent's card effects.")</f>
        <v>This card is placed on a Rein MAMODO card. No SPELL cards can be played for this MAMODO card. With 1 Action, you can send this card to the Discard Pile at any time (the other Rein MAMODO card remains in play). [IN PLAY] Your MP cannot be reduced by your opponent's card effects.</v>
      </c>
      <c r="J665" s="39">
        <f>IFERROR(__xludf.DUMMYFUNCTION("""COMPUTED_VALUE"""),1000.0)</f>
        <v>1000</v>
      </c>
      <c r="K665" s="39" t="str">
        <f>IFERROR(__xludf.DUMMYFUNCTION("""COMPUTED_VALUE"""),"-")</f>
        <v>-</v>
      </c>
      <c r="L665" s="39" t="str">
        <f>IFERROR(__xludf.DUMMYFUNCTION("""COMPUTED_VALUE"""),"-")</f>
        <v>-</v>
      </c>
      <c r="M665" s="39" t="str">
        <f>IFERROR(__xludf.DUMMYFUNCTION("""COMPUTED_VALUE"""),"[C]")</f>
        <v>[C]</v>
      </c>
      <c r="N665" s="39" t="str">
        <f>IFERROR(__xludf.DUMMYFUNCTION("""COMPUTED_VALUE"""),"""That money you have belongs to Kyle, doesn't it?!""")</f>
        <v>"That money you have belongs to Kyle, doesn't it?!"</v>
      </c>
      <c r="O665" s="39"/>
      <c r="P665" s="39"/>
      <c r="Q665" s="39"/>
      <c r="R665" s="39"/>
      <c r="S665" s="39"/>
      <c r="T665" s="39"/>
      <c r="U665" s="39"/>
      <c r="V665" s="39"/>
      <c r="W665" s="39"/>
      <c r="X665" s="39"/>
      <c r="Y665" s="39"/>
      <c r="Z665" s="39"/>
    </row>
    <row r="666">
      <c r="A666" s="41" t="str">
        <f>IFERROR(__xludf.DUMMYFUNCTION("""COMPUTED_VALUE"""),"M-284")</f>
        <v>M-284</v>
      </c>
      <c r="B666" s="42" t="str">
        <f>IFERROR(__xludf.DUMMYFUNCTION("""COMPUTED_VALUE"""),"Mamodo")</f>
        <v>Mamodo</v>
      </c>
      <c r="C666" s="42" t="str">
        <f>IFERROR(__xludf.DUMMYFUNCTION("""COMPUTED_VALUE"""),"Purio")</f>
        <v>Purio</v>
      </c>
      <c r="D666" s="42" t="str">
        <f>IFERROR(__xludf.DUMMYFUNCTION("""COMPUTED_VALUE"""),"Purio")</f>
        <v>Purio</v>
      </c>
      <c r="E666" s="42" t="str">
        <f>IFERROR(__xludf.DUMMYFUNCTION("""COMPUTED_VALUE"""),"-")</f>
        <v>-</v>
      </c>
      <c r="F666" s="42" t="str">
        <f>IFERROR(__xludf.DUMMYFUNCTION("""COMPUTED_VALUE"""),"-")</f>
        <v>-</v>
      </c>
      <c r="G666" s="42" t="str">
        <f>IFERROR(__xludf.DUMMYFUNCTION("""COMPUTED_VALUE"""),"None")</f>
        <v>None</v>
      </c>
      <c r="H666" s="42" t="str">
        <f>IFERROR(__xludf.DUMMYFUNCTION("""COMPUTED_VALUE"""),"Gangs of New York")</f>
        <v>Gangs of New York</v>
      </c>
      <c r="I666" s="43" t="str">
        <f>IFERROR(__xludf.DUMMYFUNCTION("""COMPUTED_VALUE"""),"(Battle) [2 MP] [STANDBY] Select 1 of your opponent's in-play MAMODO cards. The selected MAMODO card can be used to PROTECT your Spell Book from Damage during the Battle as if it were your own.")</f>
        <v>(Battle) [2 MP] [STANDBY] Select 1 of your opponent's in-play MAMODO cards. The selected MAMODO card can be used to PROTECT your Spell Book from Damage during the Battle as if it were your own.</v>
      </c>
      <c r="J666" s="42">
        <f>IFERROR(__xludf.DUMMYFUNCTION("""COMPUTED_VALUE"""),1500.0)</f>
        <v>1500</v>
      </c>
      <c r="K666" s="42" t="str">
        <f>IFERROR(__xludf.DUMMYFUNCTION("""COMPUTED_VALUE"""),"-")</f>
        <v>-</v>
      </c>
      <c r="L666" s="42" t="str">
        <f>IFERROR(__xludf.DUMMYFUNCTION("""COMPUTED_VALUE"""),"-")</f>
        <v>-</v>
      </c>
      <c r="M666" s="42" t="str">
        <f>IFERROR(__xludf.DUMMYFUNCTION("""COMPUTED_VALUE"""),"[C]")</f>
        <v>[C]</v>
      </c>
      <c r="N666" s="42" t="str">
        <f>IFERROR(__xludf.DUMMYFUNCTION("""COMPUTED_VALUE"""),"""It's part of being evil... I'm singing about evil!""")</f>
        <v>"It's part of being evil... I'm singing about evil!"</v>
      </c>
      <c r="O666" s="42"/>
      <c r="P666" s="42"/>
      <c r="Q666" s="42"/>
      <c r="R666" s="42"/>
      <c r="S666" s="42"/>
      <c r="T666" s="42"/>
      <c r="U666" s="42"/>
      <c r="V666" s="42"/>
      <c r="W666" s="42"/>
      <c r="X666" s="42"/>
      <c r="Y666" s="42"/>
      <c r="Z666" s="42"/>
    </row>
    <row r="667">
      <c r="A667" s="41" t="str">
        <f>IFERROR(__xludf.DUMMYFUNCTION("""COMPUTED_VALUE"""),"M-285")</f>
        <v>M-285</v>
      </c>
      <c r="B667" s="42" t="str">
        <f>IFERROR(__xludf.DUMMYFUNCTION("""COMPUTED_VALUE"""),"Mamodo")</f>
        <v>Mamodo</v>
      </c>
      <c r="C667" s="42" t="str">
        <f>IFERROR(__xludf.DUMMYFUNCTION("""COMPUTED_VALUE"""),"Majiro")</f>
        <v>Majiro</v>
      </c>
      <c r="D667" s="42" t="str">
        <f>IFERROR(__xludf.DUMMYFUNCTION("""COMPUTED_VALUE"""),"Majiro")</f>
        <v>Majiro</v>
      </c>
      <c r="E667" s="42" t="str">
        <f>IFERROR(__xludf.DUMMYFUNCTION("""COMPUTED_VALUE"""),"-")</f>
        <v>-</v>
      </c>
      <c r="F667" s="42" t="str">
        <f>IFERROR(__xludf.DUMMYFUNCTION("""COMPUTED_VALUE"""),"-")</f>
        <v>-</v>
      </c>
      <c r="G667" s="42" t="str">
        <f>IFERROR(__xludf.DUMMYFUNCTION("""COMPUTED_VALUE"""),"None")</f>
        <v>None</v>
      </c>
      <c r="H667" s="42" t="str">
        <f>IFERROR(__xludf.DUMMYFUNCTION("""COMPUTED_VALUE"""),"Maji-majiro")</f>
        <v>Maji-majiro</v>
      </c>
      <c r="I667" s="43" t="str">
        <f>IFERROR(__xludf.DUMMYFUNCTION("""COMPUTED_VALUE"""),"[IN PLAY] Your opponent cannot apply the effects of their MAMODO cards or EVENT cards that send their own MAMODO cards to the Discard Pile.")</f>
        <v>[IN PLAY] Your opponent cannot apply the effects of their MAMODO cards or EVENT cards that send their own MAMODO cards to the Discard Pile.</v>
      </c>
      <c r="J667" s="42">
        <f>IFERROR(__xludf.DUMMYFUNCTION("""COMPUTED_VALUE"""),2000.0)</f>
        <v>2000</v>
      </c>
      <c r="K667" s="42" t="str">
        <f>IFERROR(__xludf.DUMMYFUNCTION("""COMPUTED_VALUE"""),"-")</f>
        <v>-</v>
      </c>
      <c r="L667" s="42" t="str">
        <f>IFERROR(__xludf.DUMMYFUNCTION("""COMPUTED_VALUE"""),"-")</f>
        <v>-</v>
      </c>
      <c r="M667" s="42" t="str">
        <f>IFERROR(__xludf.DUMMYFUNCTION("""COMPUTED_VALUE"""),"[C]")</f>
        <v>[C]</v>
      </c>
      <c r="N667" s="42" t="str">
        <f>IFERROR(__xludf.DUMMYFUNCTION("""COMPUTED_VALUE"""),"A mamodo that Zatch met and befriended in Asuka. Sadly however, they parted ways before they knew it.")</f>
        <v>A mamodo that Zatch met and befriended in Asuka. Sadly however, they parted ways before they knew it.</v>
      </c>
      <c r="O667" s="42"/>
      <c r="P667" s="42"/>
      <c r="Q667" s="42"/>
      <c r="R667" s="42"/>
      <c r="S667" s="42"/>
      <c r="T667" s="42"/>
      <c r="U667" s="42"/>
      <c r="V667" s="42"/>
      <c r="W667" s="42"/>
      <c r="X667" s="42"/>
      <c r="Y667" s="42"/>
      <c r="Z667" s="42"/>
    </row>
    <row r="668">
      <c r="A668" s="41" t="str">
        <f>IFERROR(__xludf.DUMMYFUNCTION("""COMPUTED_VALUE"""),"M-286")</f>
        <v>M-286</v>
      </c>
      <c r="B668" s="42" t="str">
        <f>IFERROR(__xludf.DUMMYFUNCTION("""COMPUTED_VALUE"""),"Mamodo")</f>
        <v>Mamodo</v>
      </c>
      <c r="C668" s="42" t="str">
        <f>IFERROR(__xludf.DUMMYFUNCTION("""COMPUTED_VALUE"""),"Majiro (Sakdoruk Form)")</f>
        <v>Majiro (Sakdoruk Form)</v>
      </c>
      <c r="D668" s="42" t="str">
        <f>IFERROR(__xludf.DUMMYFUNCTION("""COMPUTED_VALUE"""),"Majiro (Sakdoruk Form)")</f>
        <v>Majiro (Sakdoruk Form)</v>
      </c>
      <c r="E668" s="42" t="str">
        <f>IFERROR(__xludf.DUMMYFUNCTION("""COMPUTED_VALUE"""),"-")</f>
        <v>-</v>
      </c>
      <c r="F668" s="42" t="str">
        <f>IFERROR(__xludf.DUMMYFUNCTION("""COMPUTED_VALUE"""),"-")</f>
        <v>-</v>
      </c>
      <c r="G668" s="42" t="str">
        <f>IFERROR(__xludf.DUMMYFUNCTION("""COMPUTED_VALUE"""),"None")</f>
        <v>None</v>
      </c>
      <c r="H668" s="42" t="str">
        <f>IFERROR(__xludf.DUMMYFUNCTION("""COMPUTED_VALUE"""),"Curl Up")</f>
        <v>Curl Up</v>
      </c>
      <c r="I668" s="43" t="str">
        <f>IFERROR(__xludf.DUMMYFUNCTION("""COMPUTED_VALUE"""),"This card is placed on a Majiro MAMODO card when a Sakudoruk SPELL card is played for the Majiro MAMODO card. (Battle) [DECLARE TO USE] [STAY] Your Spell Book does not receive Damage from an infliction of 1 Damage. Flip a coin; if it's heads, your Spell B"&amp;"ook also does not receive Damage from an infliction of 2 Damage.")</f>
        <v>This card is placed on a Majiro MAMODO card when a Sakudoruk SPELL card is played for the Majiro MAMODO card. (Battle) [DECLARE TO USE] [STAY] Your Spell Book does not receive Damage from an infliction of 1 Damage. Flip a coin; if it's heads, your Spell Book also does not receive Damage from an infliction of 2 Damage.</v>
      </c>
      <c r="J668" s="42">
        <f>IFERROR(__xludf.DUMMYFUNCTION("""COMPUTED_VALUE"""),4000.0)</f>
        <v>4000</v>
      </c>
      <c r="K668" s="42" t="str">
        <f>IFERROR(__xludf.DUMMYFUNCTION("""COMPUTED_VALUE"""),"-")</f>
        <v>-</v>
      </c>
      <c r="L668" s="42" t="str">
        <f>IFERROR(__xludf.DUMMYFUNCTION("""COMPUTED_VALUE"""),"-")</f>
        <v>-</v>
      </c>
      <c r="M668" s="42" t="str">
        <f>IFERROR(__xludf.DUMMYFUNCTION("""COMPUTED_VALUE"""),"[C]")</f>
        <v>[C]</v>
      </c>
      <c r="N668" s="42" t="str">
        <f>IFERROR(__xludf.DUMMYFUNCTION("""COMPUTED_VALUE"""),"Majiro's battle form. His skin hardens and grows sharp thorns.")</f>
        <v>Majiro's battle form. His skin hardens and grows sharp thorns.</v>
      </c>
      <c r="O668" s="42"/>
      <c r="P668" s="42"/>
      <c r="Q668" s="42"/>
      <c r="R668" s="42"/>
      <c r="S668" s="42"/>
      <c r="T668" s="42"/>
      <c r="U668" s="42"/>
      <c r="V668" s="42"/>
      <c r="W668" s="42"/>
      <c r="X668" s="42"/>
      <c r="Y668" s="42"/>
      <c r="Z668" s="42"/>
    </row>
    <row r="669">
      <c r="A669" s="41" t="str">
        <f>IFERROR(__xludf.DUMMYFUNCTION("""COMPUTED_VALUE"""),"M-287")</f>
        <v>M-287</v>
      </c>
      <c r="B669" s="42" t="str">
        <f>IFERROR(__xludf.DUMMYFUNCTION("""COMPUTED_VALUE"""),"Mamodo")</f>
        <v>Mamodo</v>
      </c>
      <c r="C669" s="42" t="str">
        <f>IFERROR(__xludf.DUMMYFUNCTION("""COMPUTED_VALUE"""),"Maestro")</f>
        <v>Maestro</v>
      </c>
      <c r="D669" s="42" t="str">
        <f>IFERROR(__xludf.DUMMYFUNCTION("""COMPUTED_VALUE"""),"-")</f>
        <v>-</v>
      </c>
      <c r="E669" s="42" t="str">
        <f>IFERROR(__xludf.DUMMYFUNCTION("""COMPUTED_VALUE"""),"-")</f>
        <v>-</v>
      </c>
      <c r="F669" s="42" t="str">
        <f>IFERROR(__xludf.DUMMYFUNCTION("""COMPUTED_VALUE"""),"-")</f>
        <v>-</v>
      </c>
      <c r="G669" s="42" t="str">
        <f>IFERROR(__xludf.DUMMYFUNCTION("""COMPUTED_VALUE"""),"None")</f>
        <v>None</v>
      </c>
      <c r="H669" s="42" t="str">
        <f>IFERROR(__xludf.DUMMYFUNCTION("""COMPUTED_VALUE"""),"Into The In-Between World")</f>
        <v>Into The In-Between World</v>
      </c>
      <c r="I669" s="43" t="str">
        <f>IFERROR(__xludf.DUMMYFUNCTION("""COMPUTED_VALUE"""),"[4 MP] [STAY] Select 1 of your opponent's in-play MAMODO cards. Your opponent cannot attach any new PARTNER cards to the selected MAMODO card during this game.")</f>
        <v>[4 MP] [STAY] Select 1 of your opponent's in-play MAMODO cards. Your opponent cannot attach any new PARTNER cards to the selected MAMODO card during this game.</v>
      </c>
      <c r="J669" s="42">
        <f>IFERROR(__xludf.DUMMYFUNCTION("""COMPUTED_VALUE"""),6000.0)</f>
        <v>6000</v>
      </c>
      <c r="K669" s="42" t="str">
        <f>IFERROR(__xludf.DUMMYFUNCTION("""COMPUTED_VALUE"""),"-")</f>
        <v>-</v>
      </c>
      <c r="L669" s="42" t="str">
        <f>IFERROR(__xludf.DUMMYFUNCTION("""COMPUTED_VALUE"""),"-")</f>
        <v>-</v>
      </c>
      <c r="M669" s="42" t="str">
        <f>IFERROR(__xludf.DUMMYFUNCTION("""COMPUTED_VALUE"""),"[R]")</f>
        <v>[R]</v>
      </c>
      <c r="N669" s="42" t="str">
        <f>IFERROR(__xludf.DUMMYFUNCTION("""COMPUTED_VALUE"""),"""When this door opens completely, the mamodo world will be mine for the taking!""")</f>
        <v>"When this door opens completely, the mamodo world will be mine for the taking!"</v>
      </c>
      <c r="O669" s="42"/>
      <c r="P669" s="42"/>
      <c r="Q669" s="42"/>
      <c r="R669" s="42"/>
      <c r="S669" s="42"/>
      <c r="T669" s="42"/>
      <c r="U669" s="42"/>
      <c r="V669" s="42"/>
      <c r="W669" s="42"/>
      <c r="X669" s="42"/>
      <c r="Y669" s="42"/>
      <c r="Z669" s="42"/>
    </row>
    <row r="670">
      <c r="A670" s="41" t="str">
        <f>IFERROR(__xludf.DUMMYFUNCTION("""COMPUTED_VALUE"""),"M-288")</f>
        <v>M-288</v>
      </c>
      <c r="B670" s="42" t="str">
        <f>IFERROR(__xludf.DUMMYFUNCTION("""COMPUTED_VALUE"""),"VS Mamodo")</f>
        <v>VS Mamodo</v>
      </c>
      <c r="C670" s="42" t="str">
        <f>IFERROR(__xludf.DUMMYFUNCTION("""COMPUTED_VALUE"""),"Zatch Bell VS Brago")</f>
        <v>Zatch Bell VS Brago</v>
      </c>
      <c r="D670" s="42" t="str">
        <f>IFERROR(__xludf.DUMMYFUNCTION("""COMPUTED_VALUE"""),"Zatch Bell | Brago")</f>
        <v>Zatch Bell | Brago</v>
      </c>
      <c r="E670" s="42" t="str">
        <f>IFERROR(__xludf.DUMMYFUNCTION("""COMPUTED_VALUE"""),"-")</f>
        <v>-</v>
      </c>
      <c r="F670" s="42" t="str">
        <f>IFERROR(__xludf.DUMMYFUNCTION("""COMPUTED_VALUE"""),"-")</f>
        <v>-</v>
      </c>
      <c r="G670" s="42" t="str">
        <f>IFERROR(__xludf.DUMMYFUNCTION("""COMPUTED_VALUE"""),"None")</f>
        <v>None</v>
      </c>
      <c r="H670" s="42" t="str">
        <f>IFERROR(__xludf.DUMMYFUNCTION("""COMPUTED_VALUE"""),"Red VS Black")</f>
        <v>Red VS Black</v>
      </c>
      <c r="I670" s="43" t="str">
        <f>IFERROR(__xludf.DUMMYFUNCTION("""COMPUTED_VALUE"""),"Send either player's in-play Zatch Bell or Brago MAMODO card to the Discard Pile to put this MAMODO card in play. [2 MP] [STAY] Neither player can apply the effects of their MAMODO cards except Zatch Bell and Brago MAMODO cards during this turn.")</f>
        <v>Send either player's in-play Zatch Bell or Brago MAMODO card to the Discard Pile to put this MAMODO card in play. [2 MP] [STAY] Neither player can apply the effects of their MAMODO cards except Zatch Bell and Brago MAMODO cards during this turn.</v>
      </c>
      <c r="J670" s="42">
        <f>IFERROR(__xludf.DUMMYFUNCTION("""COMPUTED_VALUE"""),5000.0)</f>
        <v>5000</v>
      </c>
      <c r="K670" s="42" t="str">
        <f>IFERROR(__xludf.DUMMYFUNCTION("""COMPUTED_VALUE"""),"-")</f>
        <v>-</v>
      </c>
      <c r="L670" s="42" t="str">
        <f>IFERROR(__xludf.DUMMYFUNCTION("""COMPUTED_VALUE"""),"-")</f>
        <v>-</v>
      </c>
      <c r="M670" s="42" t="str">
        <f>IFERROR(__xludf.DUMMYFUNCTION("""COMPUTED_VALUE"""),"[SR]")</f>
        <v>[SR]</v>
      </c>
      <c r="N670" s="42" t="str">
        <f>IFERROR(__xludf.DUMMYFUNCTION("""COMPUTED_VALUE"""),"""Why did you destroy my friend's spell book?!"" ""Your 'friend'? You're as weak as ever.""")</f>
        <v>"Why did you destroy my friend's spell book?!" "Your 'friend'? You're as weak as ever."</v>
      </c>
      <c r="O670" s="42"/>
      <c r="P670" s="42"/>
      <c r="Q670" s="42"/>
      <c r="R670" s="42"/>
      <c r="S670" s="42"/>
      <c r="T670" s="42"/>
      <c r="U670" s="42"/>
      <c r="V670" s="42"/>
      <c r="W670" s="42"/>
      <c r="X670" s="42"/>
      <c r="Y670" s="42"/>
      <c r="Z670" s="42"/>
    </row>
    <row r="671">
      <c r="A671" s="41" t="str">
        <f>IFERROR(__xludf.DUMMYFUNCTION("""COMPUTED_VALUE"""),"M-289")</f>
        <v>M-289</v>
      </c>
      <c r="B671" s="42" t="str">
        <f>IFERROR(__xludf.DUMMYFUNCTION("""COMPUTED_VALUE"""),"VS Mamodo")</f>
        <v>VS Mamodo</v>
      </c>
      <c r="C671" s="42" t="str">
        <f>IFERROR(__xludf.DUMMYFUNCTION("""COMPUTED_VALUE"""),"Ponygon VS Karudio")</f>
        <v>Ponygon VS Karudio</v>
      </c>
      <c r="D671" s="42" t="str">
        <f>IFERROR(__xludf.DUMMYFUNCTION("""COMPUTED_VALUE"""),"Ponygon | Karudio")</f>
        <v>Ponygon | Karudio</v>
      </c>
      <c r="E671" s="42" t="str">
        <f>IFERROR(__xludf.DUMMYFUNCTION("""COMPUTED_VALUE"""),"-")</f>
        <v>-</v>
      </c>
      <c r="F671" s="42" t="str">
        <f>IFERROR(__xludf.DUMMYFUNCTION("""COMPUTED_VALUE"""),"-")</f>
        <v>-</v>
      </c>
      <c r="G671" s="42" t="str">
        <f>IFERROR(__xludf.DUMMYFUNCTION("""COMPUTED_VALUE"""),"None")</f>
        <v>None</v>
      </c>
      <c r="H671" s="42" t="str">
        <f>IFERROR(__xludf.DUMMYFUNCTION("""COMPUTED_VALUE"""),"Wild Battle")</f>
        <v>Wild Battle</v>
      </c>
      <c r="I671" s="43" t="str">
        <f>IFERROR(__xludf.DUMMYFUNCTION("""COMPUTED_VALUE"""),"Send either player's in-play Ponygon or Karudio MAMODO card to the Discard Pile to put this MAMODO card in play. [DECLARE TO USE] [STAY] When you turn 1 page of your opponent's Spell Book as the result of a Ponygon MAMODO or EVENT card's effect, turn 2 pa"&amp;"ges of your opponent's Spell Book instead.")</f>
        <v>Send either player's in-play Ponygon or Karudio MAMODO card to the Discard Pile to put this MAMODO card in play. [DECLARE TO USE] [STAY] When you turn 1 page of your opponent's Spell Book as the result of a Ponygon MAMODO or EVENT card's effect, turn 2 pages of your opponent's Spell Book instead.</v>
      </c>
      <c r="J671" s="42">
        <f>IFERROR(__xludf.DUMMYFUNCTION("""COMPUTED_VALUE"""),5000.0)</f>
        <v>5000</v>
      </c>
      <c r="K671" s="42" t="str">
        <f>IFERROR(__xludf.DUMMYFUNCTION("""COMPUTED_VALUE"""),"-")</f>
        <v>-</v>
      </c>
      <c r="L671" s="42" t="str">
        <f>IFERROR(__xludf.DUMMYFUNCTION("""COMPUTED_VALUE"""),"-")</f>
        <v>-</v>
      </c>
      <c r="M671" s="42" t="str">
        <f>IFERROR(__xludf.DUMMYFUNCTION("""COMPUTED_VALUE"""),"[SR]")</f>
        <v>[SR]</v>
      </c>
      <c r="N671" s="42" t="str">
        <f>IFERROR(__xludf.DUMMYFUNCTION("""COMPUTED_VALUE"""),"""Meru meru me~~"" ""Paru paru mo~~nn""")</f>
        <v>"Meru meru me~~" "Paru paru mo~~nn"</v>
      </c>
      <c r="O671" s="42"/>
      <c r="P671" s="42"/>
      <c r="Q671" s="42"/>
      <c r="R671" s="42"/>
      <c r="S671" s="42"/>
      <c r="T671" s="42"/>
      <c r="U671" s="42"/>
      <c r="V671" s="42"/>
      <c r="W671" s="42"/>
      <c r="X671" s="42"/>
      <c r="Y671" s="42"/>
      <c r="Z671" s="42"/>
    </row>
    <row r="672">
      <c r="A672" s="41" t="str">
        <f>IFERROR(__xludf.DUMMYFUNCTION("""COMPUTED_VALUE"""),"M-290")</f>
        <v>M-290</v>
      </c>
      <c r="B672" s="42" t="str">
        <f>IFERROR(__xludf.DUMMYFUNCTION("""COMPUTED_VALUE"""),"Mamodo")</f>
        <v>Mamodo</v>
      </c>
      <c r="C672" s="42" t="str">
        <f>IFERROR(__xludf.DUMMYFUNCTION("""COMPUTED_VALUE"""),"Zatch Bell")</f>
        <v>Zatch Bell</v>
      </c>
      <c r="D672" s="42" t="str">
        <f>IFERROR(__xludf.DUMMYFUNCTION("""COMPUTED_VALUE"""),"Zatch Bell")</f>
        <v>Zatch Bell</v>
      </c>
      <c r="E672" s="42" t="str">
        <f>IFERROR(__xludf.DUMMYFUNCTION("""COMPUTED_VALUE"""),"-")</f>
        <v>-</v>
      </c>
      <c r="F672" s="42" t="str">
        <f>IFERROR(__xludf.DUMMYFUNCTION("""COMPUTED_VALUE"""),"-")</f>
        <v>-</v>
      </c>
      <c r="G672" s="42" t="str">
        <f>IFERROR(__xludf.DUMMYFUNCTION("""COMPUTED_VALUE"""),"None")</f>
        <v>None</v>
      </c>
      <c r="H672" s="42" t="str">
        <f>IFERROR(__xludf.DUMMYFUNCTION("""COMPUTED_VALUE"""),"Gold &amp; Silver")</f>
        <v>Gold &amp; Silver</v>
      </c>
      <c r="I672" s="43" t="str">
        <f>IFERROR(__xludf.DUMMYFUNCTION("""COMPUTED_VALUE"""),"You can flip over this MAMODO card at either player's START PHASE. This MAMODO card cannot be Petrified. [IN PLAY] Get 1 MP at each player's END PHASE.")</f>
        <v>You can flip over this MAMODO card at either player's START PHASE. This MAMODO card cannot be Petrified. [IN PLAY] Get 1 MP at each player's END PHASE.</v>
      </c>
      <c r="J672" s="42">
        <f>IFERROR(__xludf.DUMMYFUNCTION("""COMPUTED_VALUE"""),5000.0)</f>
        <v>5000</v>
      </c>
      <c r="K672" s="42" t="str">
        <f>IFERROR(__xludf.DUMMYFUNCTION("""COMPUTED_VALUE"""),"-")</f>
        <v>-</v>
      </c>
      <c r="L672" s="42" t="str">
        <f>IFERROR(__xludf.DUMMYFUNCTION("""COMPUTED_VALUE"""),"-")</f>
        <v>-</v>
      </c>
      <c r="M672" s="42" t="str">
        <f>IFERROR(__xludf.DUMMYFUNCTION("""COMPUTED_VALUE"""),"[SR]")</f>
        <v>[SR]</v>
      </c>
      <c r="N672" s="42" t="str">
        <f>IFERROR(__xludf.DUMMYFUNCTION("""COMPUTED_VALUE"""),"Zatch's memories of the mamodo world were cruelly erased by Zeno.")</f>
        <v>Zatch's memories of the mamodo world were cruelly erased by Zeno.</v>
      </c>
      <c r="O672" s="42"/>
      <c r="P672" s="42"/>
      <c r="Q672" s="42"/>
      <c r="R672" s="42"/>
      <c r="S672" s="42"/>
      <c r="T672" s="42"/>
      <c r="U672" s="42"/>
      <c r="V672" s="42"/>
      <c r="W672" s="42"/>
      <c r="X672" s="42"/>
      <c r="Y672" s="42"/>
      <c r="Z672" s="42"/>
    </row>
    <row r="673">
      <c r="A673" s="38" t="str">
        <f>IFERROR(__xludf.DUMMYFUNCTION("""COMPUTED_VALUE"""),"M-290")</f>
        <v>M-290</v>
      </c>
      <c r="B673" s="39" t="str">
        <f>IFERROR(__xludf.DUMMYFUNCTION("""COMPUTED_VALUE"""),"Mamodo")</f>
        <v>Mamodo</v>
      </c>
      <c r="C673" s="39" t="str">
        <f>IFERROR(__xludf.DUMMYFUNCTION("""COMPUTED_VALUE"""),"Zeno")</f>
        <v>Zeno</v>
      </c>
      <c r="D673" s="39" t="str">
        <f>IFERROR(__xludf.DUMMYFUNCTION("""COMPUTED_VALUE"""),"Zeno")</f>
        <v>Zeno</v>
      </c>
      <c r="E673" s="39" t="str">
        <f>IFERROR(__xludf.DUMMYFUNCTION("""COMPUTED_VALUE"""),"-")</f>
        <v>-</v>
      </c>
      <c r="F673" s="39" t="str">
        <f>IFERROR(__xludf.DUMMYFUNCTION("""COMPUTED_VALUE"""),"-")</f>
        <v>-</v>
      </c>
      <c r="G673" s="39" t="str">
        <f>IFERROR(__xludf.DUMMYFUNCTION("""COMPUTED_VALUE"""),"None")</f>
        <v>None</v>
      </c>
      <c r="H673" s="39" t="str">
        <f>IFERROR(__xludf.DUMMYFUNCTION("""COMPUTED_VALUE"""),"Two Sides Of The Same Coin")</f>
        <v>Two Sides Of The Same Coin</v>
      </c>
      <c r="I673" s="40" t="str">
        <f>IFERROR(__xludf.DUMMYFUNCTION("""COMPUTED_VALUE"""),"You can flip over this MAMODO card at either player's START PHASE. This MAMODO card cannot be Petrified. [IN PLAY] Reduce your opponent's MP by 1 at each player's END PHASE.")</f>
        <v>You can flip over this MAMODO card at either player's START PHASE. This MAMODO card cannot be Petrified. [IN PLAY] Reduce your opponent's MP by 1 at each player's END PHASE.</v>
      </c>
      <c r="J673" s="39">
        <f>IFERROR(__xludf.DUMMYFUNCTION("""COMPUTED_VALUE"""),6000.0)</f>
        <v>6000</v>
      </c>
      <c r="K673" s="39" t="str">
        <f>IFERROR(__xludf.DUMMYFUNCTION("""COMPUTED_VALUE"""),"-")</f>
        <v>-</v>
      </c>
      <c r="L673" s="39" t="str">
        <f>IFERROR(__xludf.DUMMYFUNCTION("""COMPUTED_VALUE"""),"-")</f>
        <v>-</v>
      </c>
      <c r="M673" s="39" t="str">
        <f>IFERROR(__xludf.DUMMYFUNCTION("""COMPUTED_VALUE"""),"[SR]")</f>
        <v>[SR]</v>
      </c>
      <c r="N673" s="39" t="str">
        <f>IFERROR(__xludf.DUMMYFUNCTION("""COMPUTED_VALUE"""),"Zatch and Zeno. What is the story behind the two?")</f>
        <v>Zatch and Zeno. What is the story behind the two?</v>
      </c>
      <c r="O673" s="39"/>
      <c r="P673" s="39"/>
      <c r="Q673" s="39"/>
      <c r="R673" s="39"/>
      <c r="S673" s="39"/>
      <c r="T673" s="39"/>
      <c r="U673" s="39"/>
      <c r="V673" s="39"/>
      <c r="W673" s="39"/>
      <c r="X673" s="39"/>
      <c r="Y673" s="39"/>
      <c r="Z673" s="39"/>
    </row>
    <row r="674">
      <c r="A674" s="41" t="str">
        <f>IFERROR(__xludf.DUMMYFUNCTION("""COMPUTED_VALUE"""),"M-291")</f>
        <v>M-291</v>
      </c>
      <c r="B674" s="42" t="str">
        <f>IFERROR(__xludf.DUMMYFUNCTION("""COMPUTED_VALUE"""),"Mamodo")</f>
        <v>Mamodo</v>
      </c>
      <c r="C674" s="42" t="str">
        <f>IFERROR(__xludf.DUMMYFUNCTION("""COMPUTED_VALUE"""),"Zatch Bell")</f>
        <v>Zatch Bell</v>
      </c>
      <c r="D674" s="42" t="str">
        <f>IFERROR(__xludf.DUMMYFUNCTION("""COMPUTED_VALUE"""),"Zatch Bell")</f>
        <v>Zatch Bell</v>
      </c>
      <c r="E674" s="42" t="str">
        <f>IFERROR(__xludf.DUMMYFUNCTION("""COMPUTED_VALUE"""),"-")</f>
        <v>-</v>
      </c>
      <c r="F674" s="42" t="str">
        <f>IFERROR(__xludf.DUMMYFUNCTION("""COMPUTED_VALUE"""),"-")</f>
        <v>-</v>
      </c>
      <c r="G674" s="42" t="str">
        <f>IFERROR(__xludf.DUMMYFUNCTION("""COMPUTED_VALUE"""),"None")</f>
        <v>None</v>
      </c>
      <c r="H674" s="42" t="str">
        <f>IFERROR(__xludf.DUMMYFUNCTION("""COMPUTED_VALUE"""),"A New Encounter")</f>
        <v>A New Encounter</v>
      </c>
      <c r="I674" s="43" t="str">
        <f>IFERROR(__xludf.DUMMYFUNCTION("""COMPUTED_VALUE"""),"[2 MP] [STAY] You can have a total of 4 MAMODO cards in play until the END PHASE of the next turn. If you have 4 MAMODO cards in play at the time this effect expires or is negated, send 1 of those MAMODO cards to the Discard Pile.")</f>
        <v>[2 MP] [STAY] You can have a total of 4 MAMODO cards in play until the END PHASE of the next turn. If you have 4 MAMODO cards in play at the time this effect expires or is negated, send 1 of those MAMODO cards to the Discard Pile.</v>
      </c>
      <c r="J674" s="42">
        <f>IFERROR(__xludf.DUMMYFUNCTION("""COMPUTED_VALUE"""),4500.0)</f>
        <v>4500</v>
      </c>
      <c r="K674" s="42" t="str">
        <f>IFERROR(__xludf.DUMMYFUNCTION("""COMPUTED_VALUE"""),"-")</f>
        <v>-</v>
      </c>
      <c r="L674" s="42" t="str">
        <f>IFERROR(__xludf.DUMMYFUNCTION("""COMPUTED_VALUE"""),"-")</f>
        <v>-</v>
      </c>
      <c r="M674" s="42" t="str">
        <f>IFERROR(__xludf.DUMMYFUNCTION("""COMPUTED_VALUE"""),"[U]")</f>
        <v>[U]</v>
      </c>
      <c r="N674" s="42" t="str">
        <f>IFERROR(__xludf.DUMMYFUNCTION("""COMPUTED_VALUE"""),"Zatch continues to encounter new friends and foes alike.")</f>
        <v>Zatch continues to encounter new friends and foes alike.</v>
      </c>
      <c r="O674" s="42"/>
      <c r="P674" s="42"/>
      <c r="Q674" s="42"/>
      <c r="R674" s="42"/>
      <c r="S674" s="42"/>
      <c r="T674" s="42"/>
      <c r="U674" s="42"/>
      <c r="V674" s="42"/>
      <c r="W674" s="42"/>
      <c r="X674" s="42"/>
      <c r="Y674" s="42"/>
      <c r="Z674" s="42"/>
    </row>
    <row r="675">
      <c r="A675" s="41" t="str">
        <f>IFERROR(__xludf.DUMMYFUNCTION("""COMPUTED_VALUE"""),"M-292")</f>
        <v>M-292</v>
      </c>
      <c r="B675" s="42" t="str">
        <f>IFERROR(__xludf.DUMMYFUNCTION("""COMPUTED_VALUE"""),"Mamodo")</f>
        <v>Mamodo</v>
      </c>
      <c r="C675" s="42" t="str">
        <f>IFERROR(__xludf.DUMMYFUNCTION("""COMPUTED_VALUE"""),"Ponygon (Dioemur Shudoruk Form)")</f>
        <v>Ponygon (Dioemur Shudoruk Form)</v>
      </c>
      <c r="D675" s="42" t="str">
        <f>IFERROR(__xludf.DUMMYFUNCTION("""COMPUTED_VALUE"""),"Ponygon (Dioemur Shudoruk Form)")</f>
        <v>Ponygon (Dioemur Shudoruk Form)</v>
      </c>
      <c r="E675" s="42" t="str">
        <f>IFERROR(__xludf.DUMMYFUNCTION("""COMPUTED_VALUE"""),"-")</f>
        <v>-</v>
      </c>
      <c r="F675" s="42" t="str">
        <f>IFERROR(__xludf.DUMMYFUNCTION("""COMPUTED_VALUE"""),"-")</f>
        <v>-</v>
      </c>
      <c r="G675" s="42" t="str">
        <f>IFERROR(__xludf.DUMMYFUNCTION("""COMPUTED_VALUE"""),"None")</f>
        <v>None</v>
      </c>
      <c r="H675" s="42" t="str">
        <f>IFERROR(__xludf.DUMMYFUNCTION("""COMPUTED_VALUE"""),"Crimson Flames")</f>
        <v>Crimson Flames</v>
      </c>
      <c r="I675" s="43" t="str">
        <f>IFERROR(__xludf.DUMMYFUNCTION("""COMPUTED_VALUE"""),"This card is placed on a Ponygon MAMODO card when a Dioemur Shudoruk SPELL card is played for the Ponygon MAMODO card. (Attack) [1 MP] This card may Attack without using a SPELL card (Total Power=8000, Attribute=""Fire"", Damage=2). When you inflict Injur"&amp;"y, your opponent cannot apply the effects of the PARTNER card attached to the MAMODO card Injured by this Attack during this game ([STAY]).")</f>
        <v>This card is placed on a Ponygon MAMODO card when a Dioemur Shudoruk SPELL card is played for the Ponygon MAMODO card. (Attack) [1 MP] This card may Attack without using a SPELL card (Total Power=8000, Attribute="Fire", Damage=2). When you inflict Injury, your opponent cannot apply the effects of the PARTNER card attached to the MAMODO card Injured by this Attack during this game ([STAY]).</v>
      </c>
      <c r="J675" s="42">
        <f>IFERROR(__xludf.DUMMYFUNCTION("""COMPUTED_VALUE"""),6000.0)</f>
        <v>6000</v>
      </c>
      <c r="K675" s="42" t="str">
        <f>IFERROR(__xludf.DUMMYFUNCTION("""COMPUTED_VALUE"""),"-")</f>
        <v>-</v>
      </c>
      <c r="L675" s="42" t="str">
        <f>IFERROR(__xludf.DUMMYFUNCTION("""COMPUTED_VALUE"""),"-")</f>
        <v>-</v>
      </c>
      <c r="M675" s="42" t="str">
        <f>IFERROR(__xludf.DUMMYFUNCTION("""COMPUTED_VALUE"""),"[U]")</f>
        <v>[U]</v>
      </c>
      <c r="N675" s="42" t="str">
        <f>IFERROR(__xludf.DUMMYFUNCTION("""COMPUTED_VALUE"""),"The red-hot flames blaze everything in their path... even his own human partner!")</f>
        <v>The red-hot flames blaze everything in their path... even his own human partner!</v>
      </c>
      <c r="O675" s="42"/>
      <c r="P675" s="42"/>
      <c r="Q675" s="42"/>
      <c r="R675" s="42"/>
      <c r="S675" s="42"/>
      <c r="T675" s="42"/>
      <c r="U675" s="42"/>
      <c r="V675" s="42"/>
      <c r="W675" s="42"/>
      <c r="X675" s="42"/>
      <c r="Y675" s="42"/>
      <c r="Z675" s="42"/>
    </row>
    <row r="676">
      <c r="A676" s="41" t="str">
        <f>IFERROR(__xludf.DUMMYFUNCTION("""COMPUTED_VALUE"""),"M-293")</f>
        <v>M-293</v>
      </c>
      <c r="B676" s="42" t="str">
        <f>IFERROR(__xludf.DUMMYFUNCTION("""COMPUTED_VALUE"""),"Mamodo")</f>
        <v>Mamodo</v>
      </c>
      <c r="C676" s="42" t="str">
        <f>IFERROR(__xludf.DUMMYFUNCTION("""COMPUTED_VALUE"""),"Koral Q")</f>
        <v>Koral Q</v>
      </c>
      <c r="D676" s="42" t="str">
        <f>IFERROR(__xludf.DUMMYFUNCTION("""COMPUTED_VALUE"""),"Koral Q")</f>
        <v>Koral Q</v>
      </c>
      <c r="E676" s="42" t="str">
        <f>IFERROR(__xludf.DUMMYFUNCTION("""COMPUTED_VALUE"""),"-")</f>
        <v>-</v>
      </c>
      <c r="F676" s="42" t="str">
        <f>IFERROR(__xludf.DUMMYFUNCTION("""COMPUTED_VALUE"""),"-")</f>
        <v>-</v>
      </c>
      <c r="G676" s="42" t="str">
        <f>IFERROR(__xludf.DUMMYFUNCTION("""COMPUTED_VALUE"""),"None")</f>
        <v>None</v>
      </c>
      <c r="H676" s="42" t="str">
        <f>IFERROR(__xludf.DUMMYFUNCTION("""COMPUTED_VALUE"""),"Preliminary Research")</f>
        <v>Preliminary Research</v>
      </c>
      <c r="I676" s="43" t="str">
        <f>IFERROR(__xludf.DUMMYFUNCTION("""COMPUTED_VALUE"""),"[IN PLAY] When you put this MAMODO card in play during the PREPARATION PHASE of the game, apply the following effect: [STAY] Your Spell Book can neither receive Damage, nor can your Spell Book's pages be turned by your opponent's card effects, during the "&amp;"BATTLE PHASE of the first Attacker's first turn.")</f>
        <v>[IN PLAY] When you put this MAMODO card in play during the PREPARATION PHASE of the game, apply the following effect: [STAY] Your Spell Book can neither receive Damage, nor can your Spell Book's pages be turned by your opponent's card effects, during the BATTLE PHASE of the first Attacker's first turn.</v>
      </c>
      <c r="J676" s="42">
        <f>IFERROR(__xludf.DUMMYFUNCTION("""COMPUTED_VALUE"""),2000.0)</f>
        <v>2000</v>
      </c>
      <c r="K676" s="42" t="str">
        <f>IFERROR(__xludf.DUMMYFUNCTION("""COMPUTED_VALUE"""),"-")</f>
        <v>-</v>
      </c>
      <c r="L676" s="42" t="str">
        <f>IFERROR(__xludf.DUMMYFUNCTION("""COMPUTED_VALUE"""),"-")</f>
        <v>-</v>
      </c>
      <c r="M676" s="42" t="str">
        <f>IFERROR(__xludf.DUMMYFUNCTION("""COMPUTED_VALUE"""),"[C]")</f>
        <v>[C]</v>
      </c>
      <c r="N676" s="42" t="str">
        <f>IFERROR(__xludf.DUMMYFUNCTION("""COMPUTED_VALUE"""),"""We'd better observe them a little longer – pigo~~""")</f>
        <v>"We'd better observe them a little longer – pigo~~"</v>
      </c>
      <c r="O676" s="42"/>
      <c r="P676" s="42"/>
      <c r="Q676" s="42"/>
      <c r="R676" s="42"/>
      <c r="S676" s="42"/>
      <c r="T676" s="42"/>
      <c r="U676" s="42"/>
      <c r="V676" s="42"/>
      <c r="W676" s="42"/>
      <c r="X676" s="42"/>
      <c r="Y676" s="42"/>
      <c r="Z676" s="42"/>
    </row>
    <row r="677">
      <c r="A677" s="41" t="str">
        <f>IFERROR(__xludf.DUMMYFUNCTION("""COMPUTED_VALUE"""),"M-294")</f>
        <v>M-294</v>
      </c>
      <c r="B677" s="42" t="str">
        <f>IFERROR(__xludf.DUMMYFUNCTION("""COMPUTED_VALUE"""),"Mamodo")</f>
        <v>Mamodo</v>
      </c>
      <c r="C677" s="42" t="str">
        <f>IFERROR(__xludf.DUMMYFUNCTION("""COMPUTED_VALUE"""),"Ted")</f>
        <v>Ted</v>
      </c>
      <c r="D677" s="42" t="str">
        <f>IFERROR(__xludf.DUMMYFUNCTION("""COMPUTED_VALUE"""),"Ted")</f>
        <v>Ted</v>
      </c>
      <c r="E677" s="42" t="str">
        <f>IFERROR(__xludf.DUMMYFUNCTION("""COMPUTED_VALUE"""),"-")</f>
        <v>-</v>
      </c>
      <c r="F677" s="42" t="str">
        <f>IFERROR(__xludf.DUMMYFUNCTION("""COMPUTED_VALUE"""),"-")</f>
        <v>-</v>
      </c>
      <c r="G677" s="42" t="str">
        <f>IFERROR(__xludf.DUMMYFUNCTION("""COMPUTED_VALUE"""),"None")</f>
        <v>None</v>
      </c>
      <c r="H677" s="42" t="str">
        <f>IFERROR(__xludf.DUMMYFUNCTION("""COMPUTED_VALUE"""),"Rock n' Roll")</f>
        <v>Rock n' Roll</v>
      </c>
      <c r="I677" s="43" t="str">
        <f>IFERROR(__xludf.DUMMYFUNCTION("""COMPUTED_VALUE"""),"(Attack) [2 MP] This card may Attack without using a SPELL card (Total Power=6000, Damage=1). You may remove 1 MP counter from this MAMODO card to adjust this Attack to (Total Power=8000, Damage=3) instead.")</f>
        <v>(Attack) [2 MP] This card may Attack without using a SPELL card (Total Power=6000, Damage=1). You may remove 1 MP counter from this MAMODO card to adjust this Attack to (Total Power=8000, Damage=3) instead.</v>
      </c>
      <c r="J677" s="42">
        <f>IFERROR(__xludf.DUMMYFUNCTION("""COMPUTED_VALUE"""),4000.0)</f>
        <v>4000</v>
      </c>
      <c r="K677" s="42" t="str">
        <f>IFERROR(__xludf.DUMMYFUNCTION("""COMPUTED_VALUE"""),"-")</f>
        <v>-</v>
      </c>
      <c r="L677" s="42" t="str">
        <f>IFERROR(__xludf.DUMMYFUNCTION("""COMPUTED_VALUE"""),"-")</f>
        <v>-</v>
      </c>
      <c r="M677" s="42" t="str">
        <f>IFERROR(__xludf.DUMMYFUNCTION("""COMPUTED_VALUE"""),"[C]")</f>
        <v>[C]</v>
      </c>
      <c r="N677" s="42" t="str">
        <f>IFERROR(__xludf.DUMMYFUNCTION("""COMPUTED_VALUE"""),"""My entire fortune: two gumballs...""")</f>
        <v>"My entire fortune: two gumballs..."</v>
      </c>
      <c r="O677" s="42"/>
      <c r="P677" s="42"/>
      <c r="Q677" s="42"/>
      <c r="R677" s="42"/>
      <c r="S677" s="42"/>
      <c r="T677" s="42"/>
      <c r="U677" s="42"/>
      <c r="V677" s="42"/>
      <c r="W677" s="42"/>
      <c r="X677" s="42"/>
      <c r="Y677" s="42"/>
      <c r="Z677" s="42"/>
    </row>
    <row r="678">
      <c r="A678" s="41" t="str">
        <f>IFERROR(__xludf.DUMMYFUNCTION("""COMPUTED_VALUE"""),"M-295")</f>
        <v>M-295</v>
      </c>
      <c r="B678" s="42" t="str">
        <f>IFERROR(__xludf.DUMMYFUNCTION("""COMPUTED_VALUE"""),"Mamodo")</f>
        <v>Mamodo</v>
      </c>
      <c r="C678" s="42" t="str">
        <f>IFERROR(__xludf.DUMMYFUNCTION("""COMPUTED_VALUE"""),"Arth")</f>
        <v>Arth</v>
      </c>
      <c r="D678" s="42" t="str">
        <f>IFERROR(__xludf.DUMMYFUNCTION("""COMPUTED_VALUE"""),"Arth")</f>
        <v>Arth</v>
      </c>
      <c r="E678" s="42" t="str">
        <f>IFERROR(__xludf.DUMMYFUNCTION("""COMPUTED_VALUE"""),"-")</f>
        <v>-</v>
      </c>
      <c r="F678" s="42" t="str">
        <f>IFERROR(__xludf.DUMMYFUNCTION("""COMPUTED_VALUE"""),"-")</f>
        <v>-</v>
      </c>
      <c r="G678" s="42" t="str">
        <f>IFERROR(__xludf.DUMMYFUNCTION("""COMPUTED_VALUE"""),"None")</f>
        <v>None</v>
      </c>
      <c r="H678" s="42" t="str">
        <f>IFERROR(__xludf.DUMMYFUNCTION("""COMPUTED_VALUE"""),"The Power To Rectify")</f>
        <v>The Power To Rectify</v>
      </c>
      <c r="I678" s="43" t="str">
        <f>IFERROR(__xludf.DUMMYFUNCTION("""COMPUTED_VALUE"""),"[SEND THIS CARD TO THE DISCARD PILE] Negate all [STAY] and [STANDBY] effects that prohibit players from playing SPELL cards and/or applying the effects of MAMODO and PARTNER cards. This effect can be applied even when prohibited, and cannot be negated by "&amp;"a cut-in effect.")</f>
        <v>[SEND THIS CARD TO THE DISCARD PILE] Negate all [STAY] and [STANDBY] effects that prohibit players from playing SPELL cards and/or applying the effects of MAMODO and PARTNER cards. This effect can be applied even when prohibited, and cannot be negated by a cut-in effect.</v>
      </c>
      <c r="J678" s="42">
        <f>IFERROR(__xludf.DUMMYFUNCTION("""COMPUTED_VALUE"""),5000.0)</f>
        <v>5000</v>
      </c>
      <c r="K678" s="42" t="str">
        <f>IFERROR(__xludf.DUMMYFUNCTION("""COMPUTED_VALUE"""),"-")</f>
        <v>-</v>
      </c>
      <c r="L678" s="42" t="str">
        <f>IFERROR(__xludf.DUMMYFUNCTION("""COMPUTED_VALUE"""),"-")</f>
        <v>-</v>
      </c>
      <c r="M678" s="42" t="str">
        <f>IFERROR(__xludf.DUMMYFUNCTION("""COMPUTED_VALUE"""),"[C]")</f>
        <v>[C]</v>
      </c>
      <c r="N678" s="42" t="str">
        <f>IFERROR(__xludf.DUMMYFUNCTION("""COMPUTED_VALUE"""),"""If that menace is allowed to roam free, the human world could be destroyed!""")</f>
        <v>"If that menace is allowed to roam free, the human world could be destroyed!"</v>
      </c>
      <c r="O678" s="42"/>
      <c r="P678" s="42"/>
      <c r="Q678" s="42"/>
      <c r="R678" s="42"/>
      <c r="S678" s="42"/>
      <c r="T678" s="42"/>
      <c r="U678" s="42"/>
      <c r="V678" s="42"/>
      <c r="W678" s="42"/>
      <c r="X678" s="42"/>
      <c r="Y678" s="42"/>
      <c r="Z678" s="42"/>
    </row>
    <row r="679">
      <c r="A679" s="41" t="str">
        <f>IFERROR(__xludf.DUMMYFUNCTION("""COMPUTED_VALUE"""),"M-296")</f>
        <v>M-296</v>
      </c>
      <c r="B679" s="42" t="str">
        <f>IFERROR(__xludf.DUMMYFUNCTION("""COMPUTED_VALUE"""),"Mamodo")</f>
        <v>Mamodo</v>
      </c>
      <c r="C679" s="42" t="str">
        <f>IFERROR(__xludf.DUMMYFUNCTION("""COMPUTED_VALUE"""),"Karudio (Diogikor Gidoruk Form)")</f>
        <v>Karudio (Diogikor Gidoruk Form)</v>
      </c>
      <c r="D679" s="42" t="str">
        <f>IFERROR(__xludf.DUMMYFUNCTION("""COMPUTED_VALUE"""),"Karudio (Diogikor Gidoruk Form)")</f>
        <v>Karudio (Diogikor Gidoruk Form)</v>
      </c>
      <c r="E679" s="42" t="str">
        <f>IFERROR(__xludf.DUMMYFUNCTION("""COMPUTED_VALUE"""),"-")</f>
        <v>-</v>
      </c>
      <c r="F679" s="42" t="str">
        <f>IFERROR(__xludf.DUMMYFUNCTION("""COMPUTED_VALUE"""),"-")</f>
        <v>-</v>
      </c>
      <c r="G679" s="42" t="str">
        <f>IFERROR(__xludf.DUMMYFUNCTION("""COMPUTED_VALUE"""),"None")</f>
        <v>None</v>
      </c>
      <c r="H679" s="42" t="str">
        <f>IFERROR(__xludf.DUMMYFUNCTION("""COMPUTED_VALUE"""),"Snowstorm")</f>
        <v>Snowstorm</v>
      </c>
      <c r="I679" s="43" t="str">
        <f>IFERROR(__xludf.DUMMYFUNCTION("""COMPUTED_VALUE"""),"This card is placed on a Karudio MAMODO card when a Diogikor Gidoruk SPELL card is played for the Karudio MAMODO card. (Attack) [1 MP] This card may Attack without using a SPELL card (Total Power=8000, Attribute=""Ice"", Damage=2). When you inflict Injury"&amp;", your opponent cannot apply the effects of the Injured MAMODO card during this game ([STAY]).")</f>
        <v>This card is placed on a Karudio MAMODO card when a Diogikor Gidoruk SPELL card is played for the Karudio MAMODO card. (Attack) [1 MP] This card may Attack without using a SPELL card (Total Power=8000, Attribute="Ice", Damage=2). When you inflict Injury, your opponent cannot apply the effects of the Injured MAMODO card during this game ([STAY]).</v>
      </c>
      <c r="J679" s="42">
        <f>IFERROR(__xludf.DUMMYFUNCTION("""COMPUTED_VALUE"""),6000.0)</f>
        <v>6000</v>
      </c>
      <c r="K679" s="42" t="str">
        <f>IFERROR(__xludf.DUMMYFUNCTION("""COMPUTED_VALUE"""),"-")</f>
        <v>-</v>
      </c>
      <c r="L679" s="42" t="str">
        <f>IFERROR(__xludf.DUMMYFUNCTION("""COMPUTED_VALUE"""),"-")</f>
        <v>-</v>
      </c>
      <c r="M679" s="42" t="str">
        <f>IFERROR(__xludf.DUMMYFUNCTION("""COMPUTED_VALUE"""),"[U]")</f>
        <v>[U]</v>
      </c>
      <c r="N679" s="42" t="str">
        <f>IFERROR(__xludf.DUMMYFUNCTION("""COMPUTED_VALUE"""),"Karudio's ability to control freezing temperatures is a testament to the deep bond he shares with Sauza.")</f>
        <v>Karudio's ability to control freezing temperatures is a testament to the deep bond he shares with Sauza.</v>
      </c>
      <c r="O679" s="42"/>
      <c r="P679" s="42"/>
      <c r="Q679" s="42"/>
      <c r="R679" s="42"/>
      <c r="S679" s="42"/>
      <c r="T679" s="42"/>
      <c r="U679" s="42"/>
      <c r="V679" s="42"/>
      <c r="W679" s="42"/>
      <c r="X679" s="42"/>
      <c r="Y679" s="42"/>
      <c r="Z679" s="42"/>
    </row>
    <row r="680">
      <c r="A680" s="41" t="str">
        <f>IFERROR(__xludf.DUMMYFUNCTION("""COMPUTED_VALUE"""),"M-297")</f>
        <v>M-297</v>
      </c>
      <c r="B680" s="42" t="str">
        <f>IFERROR(__xludf.DUMMYFUNCTION("""COMPUTED_VALUE"""),"Mamodo")</f>
        <v>Mamodo</v>
      </c>
      <c r="C680" s="42" t="str">
        <f>IFERROR(__xludf.DUMMYFUNCTION("""COMPUTED_VALUE"""),"Rein")</f>
        <v>Rein</v>
      </c>
      <c r="D680" s="42" t="str">
        <f>IFERROR(__xludf.DUMMYFUNCTION("""COMPUTED_VALUE"""),"Rein")</f>
        <v>Rein</v>
      </c>
      <c r="E680" s="42" t="str">
        <f>IFERROR(__xludf.DUMMYFUNCTION("""COMPUTED_VALUE"""),"-")</f>
        <v>-</v>
      </c>
      <c r="F680" s="42" t="str">
        <f>IFERROR(__xludf.DUMMYFUNCTION("""COMPUTED_VALUE"""),"-")</f>
        <v>-</v>
      </c>
      <c r="G680" s="42" t="str">
        <f>IFERROR(__xludf.DUMMYFUNCTION("""COMPUTED_VALUE"""),"None")</f>
        <v>None</v>
      </c>
      <c r="H680" s="42" t="str">
        <f>IFERROR(__xludf.DUMMYFUNCTION("""COMPUTED_VALUE"""),"Crazed Power")</f>
        <v>Crazed Power</v>
      </c>
      <c r="I680" s="43" t="str">
        <f>IFERROR(__xludf.DUMMYFUNCTION("""COMPUTED_VALUE"""),"(Attack) [1 MP] This card may Attack without using a SPELL card (Total Power=9000, Damage=2). (Defend) [1 MP] This card may Defend without using a SPELL card (Total Power=9000). This effect can be applied as many times as you desire per turn (per player)."&amp;" If you apply this effect, the above effect cannot be applied during this game (per player) ([STAY]).")</f>
        <v>(Attack) [1 MP] This card may Attack without using a SPELL card (Total Power=9000, Damage=2). (Defend) [1 MP] This card may Defend without using a SPELL card (Total Power=9000). This effect can be applied as many times as you desire per turn (per player). If you apply this effect, the above effect cannot be applied during this game (per player) ([STAY]).</v>
      </c>
      <c r="J680" s="42">
        <f>IFERROR(__xludf.DUMMYFUNCTION("""COMPUTED_VALUE"""),5000.0)</f>
        <v>5000</v>
      </c>
      <c r="K680" s="42" t="str">
        <f>IFERROR(__xludf.DUMMYFUNCTION("""COMPUTED_VALUE"""),"-")</f>
        <v>-</v>
      </c>
      <c r="L680" s="42" t="str">
        <f>IFERROR(__xludf.DUMMYFUNCTION("""COMPUTED_VALUE"""),"-")</f>
        <v>-</v>
      </c>
      <c r="M680" s="42" t="str">
        <f>IFERROR(__xludf.DUMMYFUNCTION("""COMPUTED_VALUE"""),"[R]")</f>
        <v>[R]</v>
      </c>
      <c r="N680" s="42" t="str">
        <f>IFERROR(__xludf.DUMMYFUNCTION("""COMPUTED_VALUE"""),"""I'll tear you limb from limb!!!""")</f>
        <v>"I'll tear you limb from limb!!!"</v>
      </c>
      <c r="O680" s="42"/>
      <c r="P680" s="42"/>
      <c r="Q680" s="42"/>
      <c r="R680" s="42"/>
      <c r="S680" s="42"/>
      <c r="T680" s="42"/>
      <c r="U680" s="42"/>
      <c r="V680" s="42"/>
      <c r="W680" s="42"/>
      <c r="X680" s="42"/>
      <c r="Y680" s="42"/>
      <c r="Z680" s="42"/>
    </row>
    <row r="681">
      <c r="A681" s="41" t="str">
        <f>IFERROR(__xludf.DUMMYFUNCTION("""COMPUTED_VALUE"""),"M-298")</f>
        <v>M-298</v>
      </c>
      <c r="B681" s="42" t="str">
        <f>IFERROR(__xludf.DUMMYFUNCTION("""COMPUTED_VALUE"""),"VS Mamodo")</f>
        <v>VS Mamodo</v>
      </c>
      <c r="C681" s="42" t="str">
        <f>IFERROR(__xludf.DUMMYFUNCTION("""COMPUTED_VALUE"""),"Ponygon VS Karudio")</f>
        <v>Ponygon VS Karudio</v>
      </c>
      <c r="D681" s="42" t="str">
        <f>IFERROR(__xludf.DUMMYFUNCTION("""COMPUTED_VALUE"""),"Ponygon | Karudio")</f>
        <v>Ponygon | Karudio</v>
      </c>
      <c r="E681" s="42" t="str">
        <f>IFERROR(__xludf.DUMMYFUNCTION("""COMPUTED_VALUE"""),"-")</f>
        <v>-</v>
      </c>
      <c r="F681" s="42" t="str">
        <f>IFERROR(__xludf.DUMMYFUNCTION("""COMPUTED_VALUE"""),"-")</f>
        <v>-</v>
      </c>
      <c r="G681" s="42" t="str">
        <f>IFERROR(__xludf.DUMMYFUNCTION("""COMPUTED_VALUE"""),"None")</f>
        <v>None</v>
      </c>
      <c r="H681" s="42" t="str">
        <f>IFERROR(__xludf.DUMMYFUNCTION("""COMPUTED_VALUE"""),"Battle in the North")</f>
        <v>Battle in the North</v>
      </c>
      <c r="I681" s="43" t="str">
        <f>IFERROR(__xludf.DUMMYFUNCTION("""COMPUTED_VALUE"""),"Send either player's in-play Ponygon or Karudio MAMODO card to the Discard Pile to put this MAMODO card in play. [IN PLAY] Get 2 MP each time you inflict Damage or Injury to your opponent's MAMODO cards.")</f>
        <v>Send either player's in-play Ponygon or Karudio MAMODO card to the Discard Pile to put this MAMODO card in play. [IN PLAY] Get 2 MP each time you inflict Damage or Injury to your opponent's MAMODO cards.</v>
      </c>
      <c r="J681" s="42">
        <f>IFERROR(__xludf.DUMMYFUNCTION("""COMPUTED_VALUE"""),4000.0)</f>
        <v>4000</v>
      </c>
      <c r="K681" s="42" t="str">
        <f>IFERROR(__xludf.DUMMYFUNCTION("""COMPUTED_VALUE"""),"-")</f>
        <v>-</v>
      </c>
      <c r="L681" s="42" t="str">
        <f>IFERROR(__xludf.DUMMYFUNCTION("""COMPUTED_VALUE"""),"-")</f>
        <v>-</v>
      </c>
      <c r="M681" s="42" t="str">
        <f>IFERROR(__xludf.DUMMYFUNCTION("""COMPUTED_VALUE"""),"[SR]")</f>
        <v>[SR]</v>
      </c>
      <c r="N681" s="42" t="str">
        <f>IFERROR(__xludf.DUMMYFUNCTION("""COMPUTED_VALUE"""),"Ponygon and Karudio... two beasts locked in combat in the northern territory.")</f>
        <v>Ponygon and Karudio... two beasts locked in combat in the northern territory.</v>
      </c>
      <c r="O681" s="42"/>
      <c r="P681" s="42"/>
      <c r="Q681" s="42"/>
      <c r="R681" s="42"/>
      <c r="S681" s="42"/>
      <c r="T681" s="42"/>
      <c r="U681" s="42"/>
      <c r="V681" s="42"/>
      <c r="W681" s="42"/>
      <c r="X681" s="42"/>
      <c r="Y681" s="42"/>
      <c r="Z681" s="42"/>
    </row>
    <row r="682">
      <c r="A682" s="41" t="str">
        <f>IFERROR(__xludf.DUMMYFUNCTION("""COMPUTED_VALUE"""),"M-299")</f>
        <v>M-299</v>
      </c>
      <c r="B682" s="42" t="str">
        <f>IFERROR(__xludf.DUMMYFUNCTION("""COMPUTED_VALUE"""),"Mamodo")</f>
        <v>Mamodo</v>
      </c>
      <c r="C682" s="42" t="str">
        <f>IFERROR(__xludf.DUMMYFUNCTION("""COMPUTED_VALUE"""),"Zatch Bell")</f>
        <v>Zatch Bell</v>
      </c>
      <c r="D682" s="42" t="str">
        <f>IFERROR(__xludf.DUMMYFUNCTION("""COMPUTED_VALUE"""),"Zatch Bell")</f>
        <v>Zatch Bell</v>
      </c>
      <c r="E682" s="42" t="str">
        <f>IFERROR(__xludf.DUMMYFUNCTION("""COMPUTED_VALUE"""),"-")</f>
        <v>-</v>
      </c>
      <c r="F682" s="42" t="str">
        <f>IFERROR(__xludf.DUMMYFUNCTION("""COMPUTED_VALUE"""),"-")</f>
        <v>-</v>
      </c>
      <c r="G682" s="42" t="str">
        <f>IFERROR(__xludf.DUMMYFUNCTION("""COMPUTED_VALUE"""),"None")</f>
        <v>None</v>
      </c>
      <c r="H682" s="42" t="str">
        <f>IFERROR(__xludf.DUMMYFUNCTION("""COMPUTED_VALUE"""),"Onward To Faudo!")</f>
        <v>Onward To Faudo!</v>
      </c>
      <c r="I682" s="43" t="str">
        <f>IFERROR(__xludf.DUMMYFUNCTION("""COMPUTED_VALUE"""),"[IN PLAY] When you put this MAMODO card in play during the PREPARATION PHASE of this game, apply the following effect: [STAY] Neither player can apply cut-in effects when a MAMODO card is being put in play without the use of a card effect during this game"&amp;".")</f>
        <v>[IN PLAY] When you put this MAMODO card in play during the PREPARATION PHASE of this game, apply the following effect: [STAY] Neither player can apply cut-in effects when a MAMODO card is being put in play without the use of a card effect during this game.</v>
      </c>
      <c r="J682" s="42">
        <f>IFERROR(__xludf.DUMMYFUNCTION("""COMPUTED_VALUE"""),4500.0)</f>
        <v>4500</v>
      </c>
      <c r="K682" s="42" t="str">
        <f>IFERROR(__xludf.DUMMYFUNCTION("""COMPUTED_VALUE"""),"-")</f>
        <v>-</v>
      </c>
      <c r="L682" s="42" t="str">
        <f>IFERROR(__xludf.DUMMYFUNCTION("""COMPUTED_VALUE"""),"-")</f>
        <v>-</v>
      </c>
      <c r="M682" s="42" t="str">
        <f>IFERROR(__xludf.DUMMYFUNCTION("""COMPUTED_VALUE"""),"[U]")</f>
        <v>[U]</v>
      </c>
      <c r="N682" s="42" t="str">
        <f>IFERROR(__xludf.DUMMYFUNCTION("""COMPUTED_VALUE"""),"""Yeah, I'm ready to go!""")</f>
        <v>"Yeah, I'm ready to go!"</v>
      </c>
      <c r="O682" s="42"/>
      <c r="P682" s="42"/>
      <c r="Q682" s="42"/>
      <c r="R682" s="42"/>
      <c r="S682" s="42"/>
      <c r="T682" s="42"/>
      <c r="U682" s="42"/>
      <c r="V682" s="42"/>
      <c r="W682" s="42"/>
      <c r="X682" s="42"/>
      <c r="Y682" s="42"/>
      <c r="Z682" s="42"/>
    </row>
    <row r="683">
      <c r="A683" s="41" t="str">
        <f>IFERROR(__xludf.DUMMYFUNCTION("""COMPUTED_VALUE"""),"M-300")</f>
        <v>M-300</v>
      </c>
      <c r="B683" s="42" t="str">
        <f>IFERROR(__xludf.DUMMYFUNCTION("""COMPUTED_VALUE"""),"Mamodo")</f>
        <v>Mamodo</v>
      </c>
      <c r="C683" s="42" t="str">
        <f>IFERROR(__xludf.DUMMYFUNCTION("""COMPUTED_VALUE"""),"Ponygon (Dioemur Shudoruk Form)")</f>
        <v>Ponygon (Dioemur Shudoruk Form)</v>
      </c>
      <c r="D683" s="42" t="str">
        <f>IFERROR(__xludf.DUMMYFUNCTION("""COMPUTED_VALUE"""),"Ponygon (Dioemur Shudoruk Form)")</f>
        <v>Ponygon (Dioemur Shudoruk Form)</v>
      </c>
      <c r="E683" s="42" t="str">
        <f>IFERROR(__xludf.DUMMYFUNCTION("""COMPUTED_VALUE"""),"-")</f>
        <v>-</v>
      </c>
      <c r="F683" s="42" t="str">
        <f>IFERROR(__xludf.DUMMYFUNCTION("""COMPUTED_VALUE"""),"-")</f>
        <v>-</v>
      </c>
      <c r="G683" s="42" t="str">
        <f>IFERROR(__xludf.DUMMYFUNCTION("""COMPUTED_VALUE"""),"None")</f>
        <v>None</v>
      </c>
      <c r="H683" s="42" t="str">
        <f>IFERROR(__xludf.DUMMYFUNCTION("""COMPUTED_VALUE"""),"Flame Runner")</f>
        <v>Flame Runner</v>
      </c>
      <c r="I683" s="43" t="str">
        <f>IFERROR(__xludf.DUMMYFUNCTION("""COMPUTED_VALUE"""),"This card is placed on a Ponygon MAMODO card when a Dioemur Shudoruk SPELL card is played for the Ponygon MAMODO card. (Attack) [1 MP] This card may Attack without using a SPELL (Total Power=8000, Attribute=""Fire"", Damage=1). When you inflict Damage or "&amp;"Injury, your opponent cannot play, nor put into play, cards from pages of their Book that are not their currently open pages until their next END PHASE ([STAY]).")</f>
        <v>This card is placed on a Ponygon MAMODO card when a Dioemur Shudoruk SPELL card is played for the Ponygon MAMODO card. (Attack) [1 MP] This card may Attack without using a SPELL (Total Power=8000, Attribute="Fire", Damage=1). When you inflict Damage or Injury, your opponent cannot play, nor put into play, cards from pages of their Book that are not their currently open pages until their next END PHASE ([STAY]).</v>
      </c>
      <c r="J683" s="42">
        <f>IFERROR(__xludf.DUMMYFUNCTION("""COMPUTED_VALUE"""),6000.0)</f>
        <v>6000</v>
      </c>
      <c r="K683" s="42" t="str">
        <f>IFERROR(__xludf.DUMMYFUNCTION("""COMPUTED_VALUE"""),"-")</f>
        <v>-</v>
      </c>
      <c r="L683" s="42" t="str">
        <f>IFERROR(__xludf.DUMMYFUNCTION("""COMPUTED_VALUE"""),"-")</f>
        <v>-</v>
      </c>
      <c r="M683" s="42" t="str">
        <f>IFERROR(__xludf.DUMMYFUNCTION("""COMPUTED_VALUE"""),"[U]")</f>
        <v>[U]</v>
      </c>
      <c r="N683" s="42" t="str">
        <f>IFERROR(__xludf.DUMMYFUNCTION("""COMPUTED_VALUE"""),"""Just look into their eyes. Focus on defeating them!""")</f>
        <v>"Just look into their eyes. Focus on defeating them!"</v>
      </c>
      <c r="O683" s="42"/>
      <c r="P683" s="42"/>
      <c r="Q683" s="42"/>
      <c r="R683" s="42"/>
      <c r="S683" s="42"/>
      <c r="T683" s="42"/>
      <c r="U683" s="42"/>
      <c r="V683" s="42"/>
      <c r="W683" s="42"/>
      <c r="X683" s="42"/>
      <c r="Y683" s="42"/>
      <c r="Z683" s="42"/>
    </row>
    <row r="684">
      <c r="A684" s="41" t="str">
        <f>IFERROR(__xludf.DUMMYFUNCTION("""COMPUTED_VALUE"""),"M-301")</f>
        <v>M-301</v>
      </c>
      <c r="B684" s="42" t="str">
        <f>IFERROR(__xludf.DUMMYFUNCTION("""COMPUTED_VALUE"""),"Mamodo")</f>
        <v>Mamodo</v>
      </c>
      <c r="C684" s="42" t="str">
        <f>IFERROR(__xludf.DUMMYFUNCTION("""COMPUTED_VALUE"""),"Karudio (Diogikor Gidoruk Form)")</f>
        <v>Karudio (Diogikor Gidoruk Form)</v>
      </c>
      <c r="D684" s="42" t="str">
        <f>IFERROR(__xludf.DUMMYFUNCTION("""COMPUTED_VALUE"""),"Karudio (Diogikor Gidoruk Form)")</f>
        <v>Karudio (Diogikor Gidoruk Form)</v>
      </c>
      <c r="E684" s="42" t="str">
        <f>IFERROR(__xludf.DUMMYFUNCTION("""COMPUTED_VALUE"""),"-")</f>
        <v>-</v>
      </c>
      <c r="F684" s="42" t="str">
        <f>IFERROR(__xludf.DUMMYFUNCTION("""COMPUTED_VALUE"""),"-")</f>
        <v>-</v>
      </c>
      <c r="G684" s="42" t="str">
        <f>IFERROR(__xludf.DUMMYFUNCTION("""COMPUTED_VALUE"""),"None")</f>
        <v>None</v>
      </c>
      <c r="H684" s="42" t="str">
        <f>IFERROR(__xludf.DUMMYFUNCTION("""COMPUTED_VALUE"""),"Icy Smile")</f>
        <v>Icy Smile</v>
      </c>
      <c r="I684" s="43" t="str">
        <f>IFERROR(__xludf.DUMMYFUNCTION("""COMPUTED_VALUE"""),"This card is placed on a Karudio MAMODO card when a Diogikor Gidoruk SPELL card is played for the Karudio MAMODO card. (Attack) [1 MP] This card may Attack without using a SPELL (Total Power=8000, Attribute=""Ice"", Damage=1). When you inflict Damage or I"&amp;"njury, your opponent can neither turn, nor turn back, pages of their Spell Book during the BATTLE PHASE until their next END PHASE ([STAY]).")</f>
        <v>This card is placed on a Karudio MAMODO card when a Diogikor Gidoruk SPELL card is played for the Karudio MAMODO card. (Attack) [1 MP] This card may Attack without using a SPELL (Total Power=8000, Attribute="Ice", Damage=1). When you inflict Damage or Injury, your opponent can neither turn, nor turn back, pages of their Spell Book during the BATTLE PHASE until their next END PHASE ([STAY]).</v>
      </c>
      <c r="J684" s="42">
        <f>IFERROR(__xludf.DUMMYFUNCTION("""COMPUTED_VALUE"""),6000.0)</f>
        <v>6000</v>
      </c>
      <c r="K684" s="42" t="str">
        <f>IFERROR(__xludf.DUMMYFUNCTION("""COMPUTED_VALUE"""),"-")</f>
        <v>-</v>
      </c>
      <c r="L684" s="42" t="str">
        <f>IFERROR(__xludf.DUMMYFUNCTION("""COMPUTED_VALUE"""),"-")</f>
        <v>-</v>
      </c>
      <c r="M684" s="42" t="str">
        <f>IFERROR(__xludf.DUMMYFUNCTION("""COMPUTED_VALUE"""),"[U]")</f>
        <v>[U]</v>
      </c>
      <c r="N684" s="42" t="str">
        <f>IFERROR(__xludf.DUMMYFUNCTION("""COMPUTED_VALUE"""),"""Hmph! Why don't you keel over from frost bite?!""")</f>
        <v>"Hmph! Why don't you keel over from frost bite?!"</v>
      </c>
      <c r="O684" s="42"/>
      <c r="P684" s="42"/>
      <c r="Q684" s="42"/>
      <c r="R684" s="42"/>
      <c r="S684" s="42"/>
      <c r="T684" s="42"/>
      <c r="U684" s="42"/>
      <c r="V684" s="42"/>
      <c r="W684" s="42"/>
      <c r="X684" s="42"/>
      <c r="Y684" s="42"/>
      <c r="Z684" s="42"/>
    </row>
    <row r="685">
      <c r="A685" s="41" t="str">
        <f>IFERROR(__xludf.DUMMYFUNCTION("""COMPUTED_VALUE"""),"M-302")</f>
        <v>M-302</v>
      </c>
      <c r="B685" s="42" t="str">
        <f>IFERROR(__xludf.DUMMYFUNCTION("""COMPUTED_VALUE"""),"Mamodo")</f>
        <v>Mamodo</v>
      </c>
      <c r="C685" s="42" t="str">
        <f>IFERROR(__xludf.DUMMYFUNCTION("""COMPUTED_VALUE"""),"Rein")</f>
        <v>Rein</v>
      </c>
      <c r="D685" s="42" t="str">
        <f>IFERROR(__xludf.DUMMYFUNCTION("""COMPUTED_VALUE"""),"Rein")</f>
        <v>Rein</v>
      </c>
      <c r="E685" s="42" t="str">
        <f>IFERROR(__xludf.DUMMYFUNCTION("""COMPUTED_VALUE"""),"-")</f>
        <v>-</v>
      </c>
      <c r="F685" s="42" t="str">
        <f>IFERROR(__xludf.DUMMYFUNCTION("""COMPUTED_VALUE"""),"-")</f>
        <v>-</v>
      </c>
      <c r="G685" s="42" t="str">
        <f>IFERROR(__xludf.DUMMYFUNCTION("""COMPUTED_VALUE"""),"None")</f>
        <v>None</v>
      </c>
      <c r="H685" s="42" t="str">
        <f>IFERROR(__xludf.DUMMYFUNCTION("""COMPUTED_VALUE"""),"Facing Forward")</f>
        <v>Facing Forward</v>
      </c>
      <c r="I685" s="43" t="str">
        <f>IFERROR(__xludf.DUMMYFUNCTION("""COMPUTED_VALUE"""),"[IN PLAY] When you are on the last page of your Spell Book, apply both of the following effects: ● This MAMODO card can SACRIFICE or PROTECT your Spell Book from Damage even when it is prohibited to do so. ● This MAMODO card does not receive Damage or Inj"&amp;"ury.")</f>
        <v>[IN PLAY] When you are on the last page of your Spell Book, apply both of the following effects: ● This MAMODO card can SACRIFICE or PROTECT your Spell Book from Damage even when it is prohibited to do so. ● This MAMODO card does not receive Damage or Injury.</v>
      </c>
      <c r="J685" s="42">
        <f>IFERROR(__xludf.DUMMYFUNCTION("""COMPUTED_VALUE"""),5000.0)</f>
        <v>5000</v>
      </c>
      <c r="K685" s="42" t="str">
        <f>IFERROR(__xludf.DUMMYFUNCTION("""COMPUTED_VALUE"""),"-")</f>
        <v>-</v>
      </c>
      <c r="L685" s="42" t="str">
        <f>IFERROR(__xludf.DUMMYFUNCTION("""COMPUTED_VALUE"""),"-")</f>
        <v>-</v>
      </c>
      <c r="M685" s="42" t="str">
        <f>IFERROR(__xludf.DUMMYFUNCTION("""COMPUTED_VALUE"""),"[C]")</f>
        <v>[C]</v>
      </c>
      <c r="N685" s="42" t="str">
        <f>IFERROR(__xludf.DUMMYFUNCTION("""COMPUTED_VALUE"""),"""I have no choice... I must show Kyle the truth...""")</f>
        <v>"I have no choice... I must show Kyle the truth..."</v>
      </c>
      <c r="O685" s="42"/>
      <c r="P685" s="42"/>
      <c r="Q685" s="42"/>
      <c r="R685" s="42"/>
      <c r="S685" s="42"/>
      <c r="T685" s="42"/>
      <c r="U685" s="42"/>
      <c r="V685" s="42"/>
      <c r="W685" s="42"/>
      <c r="X685" s="42"/>
      <c r="Y685" s="42"/>
      <c r="Z685" s="42"/>
    </row>
    <row r="686">
      <c r="A686" s="41" t="str">
        <f>IFERROR(__xludf.DUMMYFUNCTION("""COMPUTED_VALUE"""),"M-303")</f>
        <v>M-303</v>
      </c>
      <c r="B686" s="42" t="str">
        <f>IFERROR(__xludf.DUMMYFUNCTION("""COMPUTED_VALUE"""),"Mamodo")</f>
        <v>Mamodo</v>
      </c>
      <c r="C686" s="42" t="str">
        <f>IFERROR(__xludf.DUMMYFUNCTION("""COMPUTED_VALUE"""),"Rodeaux")</f>
        <v>Rodeaux</v>
      </c>
      <c r="D686" s="42" t="str">
        <f>IFERROR(__xludf.DUMMYFUNCTION("""COMPUTED_VALUE"""),"Rodeaux")</f>
        <v>Rodeaux</v>
      </c>
      <c r="E686" s="42" t="str">
        <f>IFERROR(__xludf.DUMMYFUNCTION("""COMPUTED_VALUE"""),"-")</f>
        <v>-</v>
      </c>
      <c r="F686" s="42" t="str">
        <f>IFERROR(__xludf.DUMMYFUNCTION("""COMPUTED_VALUE"""),"-")</f>
        <v>-</v>
      </c>
      <c r="G686" s="42" t="str">
        <f>IFERROR(__xludf.DUMMYFUNCTION("""COMPUTED_VALUE"""),"None")</f>
        <v>None</v>
      </c>
      <c r="H686" s="42" t="str">
        <f>IFERROR(__xludf.DUMMYFUNCTION("""COMPUTED_VALUE"""),"Wicked Temptation")</f>
        <v>Wicked Temptation</v>
      </c>
      <c r="I686" s="43" t="str">
        <f>IFERROR(__xludf.DUMMYFUNCTION("""COMPUTED_VALUE"""),"[3 MP] Select 1 of your opponent's in-play MAMODO cards that they put in play by using a card effect during this turn, and move it to your side of play. If your opponent refuses, send it to the Discard Pile instead. Card area rules still apply for the sel"&amp;"ected MAMODO card and the selected MAMODO card can be used as if it were your own.")</f>
        <v>[3 MP] Select 1 of your opponent's in-play MAMODO cards that they put in play by using a card effect during this turn, and move it to your side of play. If your opponent refuses, send it to the Discard Pile instead. Card area rules still apply for the selected MAMODO card and the selected MAMODO card can be used as if it were your own.</v>
      </c>
      <c r="J686" s="42">
        <f>IFERROR(__xludf.DUMMYFUNCTION("""COMPUTED_VALUE"""),5000.0)</f>
        <v>5000</v>
      </c>
      <c r="K686" s="42" t="str">
        <f>IFERROR(__xludf.DUMMYFUNCTION("""COMPUTED_VALUE"""),"-")</f>
        <v>-</v>
      </c>
      <c r="L686" s="42" t="str">
        <f>IFERROR(__xludf.DUMMYFUNCTION("""COMPUTED_VALUE"""),"-")</f>
        <v>-</v>
      </c>
      <c r="M686" s="42" t="str">
        <f>IFERROR(__xludf.DUMMYFUNCTION("""COMPUTED_VALUE"""),"[R]")</f>
        <v>[R]</v>
      </c>
      <c r="N686" s="42" t="str">
        <f>IFERROR(__xludf.DUMMYFUNCTION("""COMPUTED_VALUE"""),"""Why is it taking you so long to get this mamodo to join us?""")</f>
        <v>"Why is it taking you so long to get this mamodo to join us?"</v>
      </c>
      <c r="O686" s="42"/>
      <c r="P686" s="42"/>
      <c r="Q686" s="42"/>
      <c r="R686" s="42"/>
      <c r="S686" s="42"/>
      <c r="T686" s="42"/>
      <c r="U686" s="42"/>
      <c r="V686" s="42"/>
      <c r="W686" s="42"/>
      <c r="X686" s="42"/>
      <c r="Y686" s="42"/>
      <c r="Z686" s="42"/>
    </row>
    <row r="687">
      <c r="A687" s="41" t="str">
        <f>IFERROR(__xludf.DUMMYFUNCTION("""COMPUTED_VALUE"""),"M-304")</f>
        <v>M-304</v>
      </c>
      <c r="B687" s="42" t="str">
        <f>IFERROR(__xludf.DUMMYFUNCTION("""COMPUTED_VALUE"""),"Mamodo")</f>
        <v>Mamodo</v>
      </c>
      <c r="C687" s="42" t="str">
        <f>IFERROR(__xludf.DUMMYFUNCTION("""COMPUTED_VALUE"""),"Zatch Bell")</f>
        <v>Zatch Bell</v>
      </c>
      <c r="D687" s="42" t="str">
        <f>IFERROR(__xludf.DUMMYFUNCTION("""COMPUTED_VALUE"""),"Zatch Bell")</f>
        <v>Zatch Bell</v>
      </c>
      <c r="E687" s="42" t="str">
        <f>IFERROR(__xludf.DUMMYFUNCTION("""COMPUTED_VALUE"""),"-")</f>
        <v>-</v>
      </c>
      <c r="F687" s="42" t="str">
        <f>IFERROR(__xludf.DUMMYFUNCTION("""COMPUTED_VALUE"""),"-")</f>
        <v>-</v>
      </c>
      <c r="G687" s="42" t="str">
        <f>IFERROR(__xludf.DUMMYFUNCTION("""COMPUTED_VALUE"""),"None")</f>
        <v>None</v>
      </c>
      <c r="H687" s="42" t="str">
        <f>IFERROR(__xludf.DUMMYFUNCTION("""COMPUTED_VALUE"""),"Quietly Observing")</f>
        <v>Quietly Observing</v>
      </c>
      <c r="I687" s="43" t="str">
        <f>IFERROR(__xludf.DUMMYFUNCTION("""COMPUTED_VALUE"""),"[IN PLAY] Your opponent cannot move in-play cards or cards from their Discard Pile into empty pages of their Spell Book.")</f>
        <v>[IN PLAY] Your opponent cannot move in-play cards or cards from their Discard Pile into empty pages of their Spell Book.</v>
      </c>
      <c r="J687" s="42">
        <f>IFERROR(__xludf.DUMMYFUNCTION("""COMPUTED_VALUE"""),3000.0)</f>
        <v>3000</v>
      </c>
      <c r="K687" s="42" t="str">
        <f>IFERROR(__xludf.DUMMYFUNCTION("""COMPUTED_VALUE"""),"-")</f>
        <v>-</v>
      </c>
      <c r="L687" s="42" t="str">
        <f>IFERROR(__xludf.DUMMYFUNCTION("""COMPUTED_VALUE"""),"-")</f>
        <v>-</v>
      </c>
      <c r="M687" s="42" t="str">
        <f>IFERROR(__xludf.DUMMYFUNCTION("""COMPUTED_VALUE"""),"[C]")</f>
        <v>[C]</v>
      </c>
      <c r="N687" s="42" t="str">
        <f>IFERROR(__xludf.DUMMYFUNCTION("""COMPUTED_VALUE"""),"""Brand new sights make my heart race faster!""")</f>
        <v>"Brand new sights make my heart race faster!"</v>
      </c>
      <c r="O687" s="42"/>
      <c r="P687" s="42"/>
      <c r="Q687" s="42"/>
      <c r="R687" s="42"/>
      <c r="S687" s="42"/>
      <c r="T687" s="42"/>
      <c r="U687" s="42"/>
      <c r="V687" s="42"/>
      <c r="W687" s="42"/>
      <c r="X687" s="42"/>
      <c r="Y687" s="42"/>
      <c r="Z687" s="42"/>
    </row>
    <row r="688">
      <c r="A688" s="41" t="str">
        <f>IFERROR(__xludf.DUMMYFUNCTION("""COMPUTED_VALUE"""),"M-305")</f>
        <v>M-305</v>
      </c>
      <c r="B688" s="42" t="str">
        <f>IFERROR(__xludf.DUMMYFUNCTION("""COMPUTED_VALUE"""),"Mamodo")</f>
        <v>Mamodo</v>
      </c>
      <c r="C688" s="42" t="str">
        <f>IFERROR(__xludf.DUMMYFUNCTION("""COMPUTED_VALUE"""),"Brago")</f>
        <v>Brago</v>
      </c>
      <c r="D688" s="42" t="str">
        <f>IFERROR(__xludf.DUMMYFUNCTION("""COMPUTED_VALUE"""),"Brago")</f>
        <v>Brago</v>
      </c>
      <c r="E688" s="42" t="str">
        <f>IFERROR(__xludf.DUMMYFUNCTION("""COMPUTED_VALUE"""),"-")</f>
        <v>-</v>
      </c>
      <c r="F688" s="42" t="str">
        <f>IFERROR(__xludf.DUMMYFUNCTION("""COMPUTED_VALUE"""),"-")</f>
        <v>-</v>
      </c>
      <c r="G688" s="42" t="str">
        <f>IFERROR(__xludf.DUMMYFUNCTION("""COMPUTED_VALUE"""),"None")</f>
        <v>None</v>
      </c>
      <c r="H688" s="42" t="str">
        <f>IFERROR(__xludf.DUMMYFUNCTION("""COMPUTED_VALUE"""),"The Dark Ruler")</f>
        <v>The Dark Ruler</v>
      </c>
      <c r="I688" s="43" t="str">
        <f>IFERROR(__xludf.DUMMYFUNCTION("""COMPUTED_VALUE"""),"[IN PLAY] When you are on the 30th and 31st pages of your Spell Book, the MP cost of 1 SPELL card with Brago as its MAMODO name in the 30th page of your Spell Book is considered to be 0.")</f>
        <v>[IN PLAY] When you are on the 30th and 31st pages of your Spell Book, the MP cost of 1 SPELL card with Brago as its MAMODO name in the 30th page of your Spell Book is considered to be 0.</v>
      </c>
      <c r="J688" s="42">
        <f>IFERROR(__xludf.DUMMYFUNCTION("""COMPUTED_VALUE"""),5000.0)</f>
        <v>5000</v>
      </c>
      <c r="K688" s="42" t="str">
        <f>IFERROR(__xludf.DUMMYFUNCTION("""COMPUTED_VALUE"""),"-")</f>
        <v>-</v>
      </c>
      <c r="L688" s="42" t="str">
        <f>IFERROR(__xludf.DUMMYFUNCTION("""COMPUTED_VALUE"""),"-")</f>
        <v>-</v>
      </c>
      <c r="M688" s="42" t="str">
        <f>IFERROR(__xludf.DUMMYFUNCTION("""COMPUTED_VALUE"""),"[C]")</f>
        <v>[C]</v>
      </c>
      <c r="N688" s="42" t="str">
        <f>IFERROR(__xludf.DUMMYFUNCTION("""COMPUTED_VALUE"""),"""I only show my true strength if my enemies return the favor...""")</f>
        <v>"I only show my true strength if my enemies return the favor..."</v>
      </c>
      <c r="O688" s="42"/>
      <c r="P688" s="42"/>
      <c r="Q688" s="42"/>
      <c r="R688" s="42"/>
      <c r="S688" s="42"/>
      <c r="T688" s="42"/>
      <c r="U688" s="42"/>
      <c r="V688" s="42"/>
      <c r="W688" s="42"/>
      <c r="X688" s="42"/>
      <c r="Y688" s="42"/>
      <c r="Z688" s="42"/>
    </row>
    <row r="689">
      <c r="A689" s="41" t="str">
        <f>IFERROR(__xludf.DUMMYFUNCTION("""COMPUTED_VALUE"""),"M-306")</f>
        <v>M-306</v>
      </c>
      <c r="B689" s="42" t="str">
        <f>IFERROR(__xludf.DUMMYFUNCTION("""COMPUTED_VALUE"""),"Mamodo")</f>
        <v>Mamodo</v>
      </c>
      <c r="C689" s="42" t="str">
        <f>IFERROR(__xludf.DUMMYFUNCTION("""COMPUTED_VALUE"""),"Tia (Wild)")</f>
        <v>Tia (Wild)</v>
      </c>
      <c r="D689" s="42" t="str">
        <f>IFERROR(__xludf.DUMMYFUNCTION("""COMPUTED_VALUE"""),"Tia (Wild)")</f>
        <v>Tia (Wild)</v>
      </c>
      <c r="E689" s="42" t="str">
        <f>IFERROR(__xludf.DUMMYFUNCTION("""COMPUTED_VALUE"""),"-")</f>
        <v>-</v>
      </c>
      <c r="F689" s="42" t="str">
        <f>IFERROR(__xludf.DUMMYFUNCTION("""COMPUTED_VALUE"""),"-")</f>
        <v>-</v>
      </c>
      <c r="G689" s="42" t="str">
        <f>IFERROR(__xludf.DUMMYFUNCTION("""COMPUTED_VALUE"""),"None")</f>
        <v>None</v>
      </c>
      <c r="H689" s="42" t="str">
        <f>IFERROR(__xludf.DUMMYFUNCTION("""COMPUTED_VALUE"""),"Jrarara!!")</f>
        <v>Jrarara!!</v>
      </c>
      <c r="I689" s="43" t="str">
        <f>IFERROR(__xludf.DUMMYFUNCTION("""COMPUTED_VALUE"""),"Send your in-play Tia MAMODO card to the Discard Pile to put this MAMODO card in play. [SEND THIS CARD TO THE DISCARD PILE] Look at your opponent's Spell Book and count the number of cards in all the pages that have effects that turn pages of a Spell Book"&amp;". Turn a number of pages of your opponent's Spell Book equal to the number of cards counted times 1.")</f>
        <v>Send your in-play Tia MAMODO card to the Discard Pile to put this MAMODO card in play. [SEND THIS CARD TO THE DISCARD PILE] Look at your opponent's Spell Book and count the number of cards in all the pages that have effects that turn pages of a Spell Book. Turn a number of pages of your opponent's Spell Book equal to the number of cards counted times 1.</v>
      </c>
      <c r="J689" s="42">
        <f>IFERROR(__xludf.DUMMYFUNCTION("""COMPUTED_VALUE"""),5000.0)</f>
        <v>5000</v>
      </c>
      <c r="K689" s="42" t="str">
        <f>IFERROR(__xludf.DUMMYFUNCTION("""COMPUTED_VALUE"""),"-")</f>
        <v>-</v>
      </c>
      <c r="L689" s="42" t="str">
        <f>IFERROR(__xludf.DUMMYFUNCTION("""COMPUTED_VALUE"""),"-")</f>
        <v>-</v>
      </c>
      <c r="M689" s="42" t="str">
        <f>IFERROR(__xludf.DUMMYFUNCTION("""COMPUTED_VALUE"""),"[SR]")</f>
        <v>[SR]</v>
      </c>
      <c r="N689" s="42" t="str">
        <f>IFERROR(__xludf.DUMMYFUNCTION("""COMPUTED_VALUE"""),"""Aaahhhh... I hate that monkey! I hate him! HATE! HATE!!""")</f>
        <v>"Aaahhhh... I hate that monkey! I hate him! HATE! HATE!!"</v>
      </c>
      <c r="O689" s="42"/>
      <c r="P689" s="42"/>
      <c r="Q689" s="42"/>
      <c r="R689" s="42"/>
      <c r="S689" s="42"/>
      <c r="T689" s="42"/>
      <c r="U689" s="42"/>
      <c r="V689" s="42"/>
      <c r="W689" s="42"/>
      <c r="X689" s="42"/>
      <c r="Y689" s="42"/>
      <c r="Z689" s="42"/>
    </row>
    <row r="690">
      <c r="A690" s="41" t="str">
        <f>IFERROR(__xludf.DUMMYFUNCTION("""COMPUTED_VALUE"""),"M-307")</f>
        <v>M-307</v>
      </c>
      <c r="B690" s="42" t="str">
        <f>IFERROR(__xludf.DUMMYFUNCTION("""COMPUTED_VALUE"""),"Mamodo")</f>
        <v>Mamodo</v>
      </c>
      <c r="C690" s="42" t="str">
        <f>IFERROR(__xludf.DUMMYFUNCTION("""COMPUTED_VALUE"""),"Ponygon")</f>
        <v>Ponygon</v>
      </c>
      <c r="D690" s="42" t="str">
        <f>IFERROR(__xludf.DUMMYFUNCTION("""COMPUTED_VALUE"""),"Ponygon")</f>
        <v>Ponygon</v>
      </c>
      <c r="E690" s="42" t="str">
        <f>IFERROR(__xludf.DUMMYFUNCTION("""COMPUTED_VALUE"""),"-")</f>
        <v>-</v>
      </c>
      <c r="F690" s="42" t="str">
        <f>IFERROR(__xludf.DUMMYFUNCTION("""COMPUTED_VALUE"""),"-")</f>
        <v>-</v>
      </c>
      <c r="G690" s="42" t="str">
        <f>IFERROR(__xludf.DUMMYFUNCTION("""COMPUTED_VALUE"""),"None")</f>
        <v>None</v>
      </c>
      <c r="H690" s="42" t="str">
        <f>IFERROR(__xludf.DUMMYFUNCTION("""COMPUTED_VALUE"""),"Desperate Feelings")</f>
        <v>Desperate Feelings</v>
      </c>
      <c r="I690" s="43" t="str">
        <f>IFERROR(__xludf.DUMMYFUNCTION("""COMPUTED_VALUE"""),"[SEND THIS CARD TO THE DISCARD PILE] [STANDBY] After applying this effect, for 1 turn during this game (per player), your MAMODO cards can SACRIFICE or PROTECT your Spell Book from Damage even when they are prohibited to do so.")</f>
        <v>[SEND THIS CARD TO THE DISCARD PILE] [STANDBY] After applying this effect, for 1 turn during this game (per player), your MAMODO cards can SACRIFICE or PROTECT your Spell Book from Damage even when they are prohibited to do so.</v>
      </c>
      <c r="J690" s="42">
        <f>IFERROR(__xludf.DUMMYFUNCTION("""COMPUTED_VALUE"""),3000.0)</f>
        <v>3000</v>
      </c>
      <c r="K690" s="42" t="str">
        <f>IFERROR(__xludf.DUMMYFUNCTION("""COMPUTED_VALUE"""),"-")</f>
        <v>-</v>
      </c>
      <c r="L690" s="42" t="str">
        <f>IFERROR(__xludf.DUMMYFUNCTION("""COMPUTED_VALUE"""),"-")</f>
        <v>-</v>
      </c>
      <c r="M690" s="42" t="str">
        <f>IFERROR(__xludf.DUMMYFUNCTION("""COMPUTED_VALUE"""),"[C]")</f>
        <v>[C]</v>
      </c>
      <c r="N690" s="42" t="str">
        <f>IFERROR(__xludf.DUMMYFUNCTION("""COMPUTED_VALUE"""),"When Brago attacks Kiyo with his Reis spell, Ponygon jumped in front to protect him.")</f>
        <v>When Brago attacks Kiyo with his Reis spell, Ponygon jumped in front to protect him.</v>
      </c>
      <c r="O690" s="42"/>
      <c r="P690" s="42"/>
      <c r="Q690" s="42"/>
      <c r="R690" s="42"/>
      <c r="S690" s="42"/>
      <c r="T690" s="42"/>
      <c r="U690" s="42"/>
      <c r="V690" s="42"/>
      <c r="W690" s="42"/>
      <c r="X690" s="42"/>
      <c r="Y690" s="42"/>
      <c r="Z690" s="42"/>
    </row>
    <row r="691">
      <c r="A691" s="41" t="str">
        <f>IFERROR(__xludf.DUMMYFUNCTION("""COMPUTED_VALUE"""),"M-308")</f>
        <v>M-308</v>
      </c>
      <c r="B691" s="42" t="str">
        <f>IFERROR(__xludf.DUMMYFUNCTION("""COMPUTED_VALUE"""),"Mamodo")</f>
        <v>Mamodo</v>
      </c>
      <c r="C691" s="42" t="str">
        <f>IFERROR(__xludf.DUMMYFUNCTION("""COMPUTED_VALUE"""),"Rein")</f>
        <v>Rein</v>
      </c>
      <c r="D691" s="42" t="str">
        <f>IFERROR(__xludf.DUMMYFUNCTION("""COMPUTED_VALUE"""),"Rein")</f>
        <v>Rein</v>
      </c>
      <c r="E691" s="42" t="str">
        <f>IFERROR(__xludf.DUMMYFUNCTION("""COMPUTED_VALUE"""),"-")</f>
        <v>-</v>
      </c>
      <c r="F691" s="42" t="str">
        <f>IFERROR(__xludf.DUMMYFUNCTION("""COMPUTED_VALUE"""),"-")</f>
        <v>-</v>
      </c>
      <c r="G691" s="42" t="str">
        <f>IFERROR(__xludf.DUMMYFUNCTION("""COMPUTED_VALUE"""),"None")</f>
        <v>None</v>
      </c>
      <c r="H691" s="42" t="str">
        <f>IFERROR(__xludf.DUMMYFUNCTION("""COMPUTED_VALUE"""),"Ugaah!")</f>
        <v>Ugaah!</v>
      </c>
      <c r="I691" s="43" t="str">
        <f>IFERROR(__xludf.DUMMYFUNCTION("""COMPUTED_VALUE"""),"[DECLARE TO USE] Injure 1 of your opponent's MAMODO cards with a higher Power than this MAMODO card during your BATTLE PHASE. Then, Injure this MAMODO card.")</f>
        <v>[DECLARE TO USE] Injure 1 of your opponent's MAMODO cards with a higher Power than this MAMODO card during your BATTLE PHASE. Then, Injure this MAMODO card.</v>
      </c>
      <c r="J691" s="42">
        <f>IFERROR(__xludf.DUMMYFUNCTION("""COMPUTED_VALUE"""),5000.0)</f>
        <v>5000</v>
      </c>
      <c r="K691" s="42" t="str">
        <f>IFERROR(__xludf.DUMMYFUNCTION("""COMPUTED_VALUE"""),"-")</f>
        <v>-</v>
      </c>
      <c r="L691" s="42" t="str">
        <f>IFERROR(__xludf.DUMMYFUNCTION("""COMPUTED_VALUE"""),"-")</f>
        <v>-</v>
      </c>
      <c r="M691" s="42" t="str">
        <f>IFERROR(__xludf.DUMMYFUNCTION("""COMPUTED_VALUE"""),"[SR]")</f>
        <v>[SR]</v>
      </c>
      <c r="N691" s="42" t="str">
        <f>IFERROR(__xludf.DUMMYFUNCTION("""COMPUTED_VALUE"""),"""This may be... the last time you ever see me!""")</f>
        <v>"This may be... the last time you ever see me!"</v>
      </c>
      <c r="O691" s="42"/>
      <c r="P691" s="42"/>
      <c r="Q691" s="42"/>
      <c r="R691" s="42"/>
      <c r="S691" s="42"/>
      <c r="T691" s="42"/>
      <c r="U691" s="42"/>
      <c r="V691" s="42"/>
      <c r="W691" s="42"/>
      <c r="X691" s="42"/>
      <c r="Y691" s="42"/>
      <c r="Z691" s="42"/>
    </row>
    <row r="692">
      <c r="A692" s="41" t="str">
        <f>IFERROR(__xludf.DUMMYFUNCTION("""COMPUTED_VALUE"""),"M-309")</f>
        <v>M-309</v>
      </c>
      <c r="B692" s="42" t="str">
        <f>IFERROR(__xludf.DUMMYFUNCTION("""COMPUTED_VALUE"""),"Mamodo")</f>
        <v>Mamodo</v>
      </c>
      <c r="C692" s="42" t="str">
        <f>IFERROR(__xludf.DUMMYFUNCTION("""COMPUTED_VALUE"""),"Rodeaux")</f>
        <v>Rodeaux</v>
      </c>
      <c r="D692" s="42" t="str">
        <f>IFERROR(__xludf.DUMMYFUNCTION("""COMPUTED_VALUE"""),"Rodeaux")</f>
        <v>Rodeaux</v>
      </c>
      <c r="E692" s="42" t="str">
        <f>IFERROR(__xludf.DUMMYFUNCTION("""COMPUTED_VALUE"""),"-")</f>
        <v>-</v>
      </c>
      <c r="F692" s="42" t="str">
        <f>IFERROR(__xludf.DUMMYFUNCTION("""COMPUTED_VALUE"""),"-")</f>
        <v>-</v>
      </c>
      <c r="G692" s="42" t="str">
        <f>IFERROR(__xludf.DUMMYFUNCTION("""COMPUTED_VALUE"""),"None")</f>
        <v>None</v>
      </c>
      <c r="H692" s="42" t="str">
        <f>IFERROR(__xludf.DUMMYFUNCTION("""COMPUTED_VALUE"""),"You Fool")</f>
        <v>You Fool</v>
      </c>
      <c r="I692" s="43" t="str">
        <f>IFERROR(__xludf.DUMMYFUNCTION("""COMPUTED_VALUE"""),"[DECLARE TO USE] If your opponent has 8 MP or more, turn 1 page of your opponent's Spell Book.")</f>
        <v>[DECLARE TO USE] If your opponent has 8 MP or more, turn 1 page of your opponent's Spell Book.</v>
      </c>
      <c r="J692" s="42">
        <f>IFERROR(__xludf.DUMMYFUNCTION("""COMPUTED_VALUE"""),5000.0)</f>
        <v>5000</v>
      </c>
      <c r="K692" s="42" t="str">
        <f>IFERROR(__xludf.DUMMYFUNCTION("""COMPUTED_VALUE"""),"-")</f>
        <v>-</v>
      </c>
      <c r="L692" s="42" t="str">
        <f>IFERROR(__xludf.DUMMYFUNCTION("""COMPUTED_VALUE"""),"-")</f>
        <v>-</v>
      </c>
      <c r="M692" s="42" t="str">
        <f>IFERROR(__xludf.DUMMYFUNCTION("""COMPUTED_VALUE"""),"[SR]")</f>
        <v>[SR]</v>
      </c>
      <c r="N692" s="42" t="str">
        <f>IFERROR(__xludf.DUMMYFUNCTION("""COMPUTED_VALUE"""),"""You have the power to win, but don't want to use it. You're a fool...""")</f>
        <v>"You have the power to win, but don't want to use it. You're a fool..."</v>
      </c>
      <c r="O692" s="42"/>
      <c r="P692" s="42"/>
      <c r="Q692" s="42"/>
      <c r="R692" s="42"/>
      <c r="S692" s="42"/>
      <c r="T692" s="42"/>
      <c r="U692" s="42"/>
      <c r="V692" s="42"/>
      <c r="W692" s="42"/>
      <c r="X692" s="42"/>
      <c r="Y692" s="42"/>
      <c r="Z692" s="42"/>
    </row>
    <row r="693">
      <c r="A693" s="41" t="str">
        <f>IFERROR(__xludf.DUMMYFUNCTION("""COMPUTED_VALUE"""),"M-310")</f>
        <v>M-310</v>
      </c>
      <c r="B693" s="42" t="str">
        <f>IFERROR(__xludf.DUMMYFUNCTION("""COMPUTED_VALUE"""),"Mamodo")</f>
        <v>Mamodo</v>
      </c>
      <c r="C693" s="42" t="str">
        <f>IFERROR(__xludf.DUMMYFUNCTION("""COMPUTED_VALUE"""),"Riou")</f>
        <v>Riou</v>
      </c>
      <c r="D693" s="42" t="str">
        <f>IFERROR(__xludf.DUMMYFUNCTION("""COMPUTED_VALUE"""),"Riou")</f>
        <v>Riou</v>
      </c>
      <c r="E693" s="42" t="str">
        <f>IFERROR(__xludf.DUMMYFUNCTION("""COMPUTED_VALUE"""),"-")</f>
        <v>-</v>
      </c>
      <c r="F693" s="42" t="str">
        <f>IFERROR(__xludf.DUMMYFUNCTION("""COMPUTED_VALUE"""),"-")</f>
        <v>-</v>
      </c>
      <c r="G693" s="42" t="str">
        <f>IFERROR(__xludf.DUMMYFUNCTION("""COMPUTED_VALUE"""),"None")</f>
        <v>None</v>
      </c>
      <c r="H693" s="42" t="str">
        <f>IFERROR(__xludf.DUMMYFUNCTION("""COMPUTED_VALUE"""),"Curse")</f>
        <v>Curse</v>
      </c>
      <c r="I693" s="43" t="str">
        <f>IFERROR(__xludf.DUMMYFUNCTION("""COMPUTED_VALUE"""),"[SEND THIS CARD TO THE DISCARD PILE] Select 1 of your opponent's in-play cards during your BATTLE PHASE. [STANDBY] Send the selected card to the Discard Pile at the END PHASE of the next turn. This effect can be applied only once per turn (per player).")</f>
        <v>[SEND THIS CARD TO THE DISCARD PILE] Select 1 of your opponent's in-play cards during your BATTLE PHASE. [STANDBY] Send the selected card to the Discard Pile at the END PHASE of the next turn. This effect can be applied only once per turn (per player).</v>
      </c>
      <c r="J693" s="42">
        <f>IFERROR(__xludf.DUMMYFUNCTION("""COMPUTED_VALUE"""),6000.0)</f>
        <v>6000</v>
      </c>
      <c r="K693" s="42" t="str">
        <f>IFERROR(__xludf.DUMMYFUNCTION("""COMPUTED_VALUE"""),"-")</f>
        <v>-</v>
      </c>
      <c r="L693" s="42" t="str">
        <f>IFERROR(__xludf.DUMMYFUNCTION("""COMPUTED_VALUE"""),"-")</f>
        <v>-</v>
      </c>
      <c r="M693" s="42" t="str">
        <f>IFERROR(__xludf.DUMMYFUNCTION("""COMPUTED_VALUE"""),"[SR]")</f>
        <v>[SR]</v>
      </c>
      <c r="N693" s="42" t="str">
        <f>IFERROR(__xludf.DUMMYFUNCTION("""COMPUTED_VALUE"""),"""All those who've been cursed will lose their lives within four days.""")</f>
        <v>"All those who've been cursed will lose their lives within four days."</v>
      </c>
      <c r="O693" s="42"/>
      <c r="P693" s="42"/>
      <c r="Q693" s="42"/>
      <c r="R693" s="42"/>
      <c r="S693" s="42"/>
      <c r="T693" s="42"/>
      <c r="U693" s="42"/>
      <c r="V693" s="42"/>
      <c r="W693" s="42"/>
      <c r="X693" s="42"/>
      <c r="Y693" s="42"/>
      <c r="Z693" s="42"/>
    </row>
    <row r="694">
      <c r="A694" s="41" t="str">
        <f>IFERROR(__xludf.DUMMYFUNCTION("""COMPUTED_VALUE"""),"M-311")</f>
        <v>M-311</v>
      </c>
      <c r="B694" s="42" t="str">
        <f>IFERROR(__xludf.DUMMYFUNCTION("""COMPUTED_VALUE"""),"Mamodo")</f>
        <v>Mamodo</v>
      </c>
      <c r="C694" s="42" t="str">
        <f>IFERROR(__xludf.DUMMYFUNCTION("""COMPUTED_VALUE"""),"Momon")</f>
        <v>Momon</v>
      </c>
      <c r="D694" s="42" t="str">
        <f>IFERROR(__xludf.DUMMYFUNCTION("""COMPUTED_VALUE"""),"Momon")</f>
        <v>Momon</v>
      </c>
      <c r="E694" s="42" t="str">
        <f>IFERROR(__xludf.DUMMYFUNCTION("""COMPUTED_VALUE"""),"-")</f>
        <v>-</v>
      </c>
      <c r="F694" s="42" t="str">
        <f>IFERROR(__xludf.DUMMYFUNCTION("""COMPUTED_VALUE"""),"-")</f>
        <v>-</v>
      </c>
      <c r="G694" s="42" t="str">
        <f>IFERROR(__xludf.DUMMYFUNCTION("""COMPUTED_VALUE"""),"None")</f>
        <v>None</v>
      </c>
      <c r="H694" s="42" t="str">
        <f>IFERROR(__xludf.DUMMYFUNCTION("""COMPUTED_VALUE"""),"Escape Tactics")</f>
        <v>Escape Tactics</v>
      </c>
      <c r="I694" s="43" t="str">
        <f>IFERROR(__xludf.DUMMYFUNCTION("""COMPUTED_VALUE"""),"This MAMODO card cannot be sent to the Discard Pile by your opponent's card effects when it is in a page of your Spell Book. [IN PLAY] Your opponent cannot send cards from your Spell Book to the Discard Pile with their card effects.")</f>
        <v>This MAMODO card cannot be sent to the Discard Pile by your opponent's card effects when it is in a page of your Spell Book. [IN PLAY] Your opponent cannot send cards from your Spell Book to the Discard Pile with their card effects.</v>
      </c>
      <c r="J694" s="42">
        <f>IFERROR(__xludf.DUMMYFUNCTION("""COMPUTED_VALUE"""),1000.0)</f>
        <v>1000</v>
      </c>
      <c r="K694" s="42" t="str">
        <f>IFERROR(__xludf.DUMMYFUNCTION("""COMPUTED_VALUE"""),"-")</f>
        <v>-</v>
      </c>
      <c r="L694" s="42" t="str">
        <f>IFERROR(__xludf.DUMMYFUNCTION("""COMPUTED_VALUE"""),"-")</f>
        <v>-</v>
      </c>
      <c r="M694" s="42" t="str">
        <f>IFERROR(__xludf.DUMMYFUNCTION("""COMPUTED_VALUE"""),"[R]")</f>
        <v>[R]</v>
      </c>
      <c r="N694" s="42" t="str">
        <f>IFERROR(__xludf.DUMMYFUNCTION("""COMPUTED_VALUE"""),"""He can sense exactly where the other mamodo are located and... he just keeps running away from them.""")</f>
        <v>"He can sense exactly where the other mamodo are located and... he just keeps running away from them."</v>
      </c>
      <c r="O694" s="42"/>
      <c r="P694" s="42"/>
      <c r="Q694" s="42"/>
      <c r="R694" s="42"/>
      <c r="S694" s="42"/>
      <c r="T694" s="42"/>
      <c r="U694" s="42"/>
      <c r="V694" s="42"/>
      <c r="W694" s="42"/>
      <c r="X694" s="42"/>
      <c r="Y694" s="42"/>
      <c r="Z694" s="42"/>
    </row>
    <row r="695">
      <c r="A695" s="41" t="str">
        <f>IFERROR(__xludf.DUMMYFUNCTION("""COMPUTED_VALUE"""),"M-312")</f>
        <v>M-312</v>
      </c>
      <c r="B695" s="42" t="str">
        <f>IFERROR(__xludf.DUMMYFUNCTION("""COMPUTED_VALUE"""),"Mamodo")</f>
        <v>Mamodo</v>
      </c>
      <c r="C695" s="42" t="str">
        <f>IFERROR(__xludf.DUMMYFUNCTION("""COMPUTED_VALUE"""),"Kurogane")</f>
        <v>Kurogane</v>
      </c>
      <c r="D695" s="42" t="str">
        <f>IFERROR(__xludf.DUMMYFUNCTION("""COMPUTED_VALUE"""),"-")</f>
        <v>-</v>
      </c>
      <c r="E695" s="42" t="str">
        <f>IFERROR(__xludf.DUMMYFUNCTION("""COMPUTED_VALUE"""),"-")</f>
        <v>-</v>
      </c>
      <c r="F695" s="42" t="str">
        <f>IFERROR(__xludf.DUMMYFUNCTION("""COMPUTED_VALUE"""),"-")</f>
        <v>-</v>
      </c>
      <c r="G695" s="42" t="str">
        <f>IFERROR(__xludf.DUMMYFUNCTION("""COMPUTED_VALUE"""),"None")</f>
        <v>None</v>
      </c>
      <c r="H695" s="42" t="str">
        <f>IFERROR(__xludf.DUMMYFUNCTION("""COMPUTED_VALUE"""),"Battle Cry")</f>
        <v>Battle Cry</v>
      </c>
      <c r="I695" s="43" t="str">
        <f>IFERROR(__xludf.DUMMYFUNCTION("""COMPUTED_VALUE"""),"[1 MP] Negate 1 [Stay] or [Standby] effect that prohibits the play of SPELL cards and/or applying MAMODO and PARTNER card effects. This effect can be applied even when prohibited to do so, and cannot be negated by cut-in effects.")</f>
        <v>[1 MP] Negate 1 [Stay] or [Standby] effect that prohibits the play of SPELL cards and/or applying MAMODO and PARTNER card effects. This effect can be applied even when prohibited to do so, and cannot be negated by cut-in effects.</v>
      </c>
      <c r="J695" s="42">
        <f>IFERROR(__xludf.DUMMYFUNCTION("""COMPUTED_VALUE"""),4000.0)</f>
        <v>4000</v>
      </c>
      <c r="K695" s="42" t="str">
        <f>IFERROR(__xludf.DUMMYFUNCTION("""COMPUTED_VALUE"""),"-")</f>
        <v>-</v>
      </c>
      <c r="L695" s="42" t="str">
        <f>IFERROR(__xludf.DUMMYFUNCTION("""COMPUTED_VALUE"""),"-")</f>
        <v>-</v>
      </c>
      <c r="M695" s="42" t="str">
        <f>IFERROR(__xludf.DUMMYFUNCTION("""COMPUTED_VALUE"""),"[C]")</f>
        <v>[C]</v>
      </c>
      <c r="N695" s="42" t="str">
        <f>IFERROR(__xludf.DUMMYFUNCTION("""COMPUTED_VALUE"""),"""How dare you lump me together with these pathetic fools!""")</f>
        <v>"How dare you lump me together with these pathetic fools!"</v>
      </c>
      <c r="O695" s="42"/>
      <c r="P695" s="42"/>
      <c r="Q695" s="42"/>
      <c r="R695" s="42"/>
      <c r="S695" s="42"/>
      <c r="T695" s="42"/>
      <c r="U695" s="42"/>
      <c r="V695" s="42"/>
      <c r="W695" s="42"/>
      <c r="X695" s="42"/>
      <c r="Y695" s="42"/>
      <c r="Z695" s="42"/>
    </row>
    <row r="696">
      <c r="A696" s="41" t="str">
        <f>IFERROR(__xludf.DUMMYFUNCTION("""COMPUTED_VALUE"""),"M-313")</f>
        <v>M-313</v>
      </c>
      <c r="B696" s="42" t="str">
        <f>IFERROR(__xludf.DUMMYFUNCTION("""COMPUTED_VALUE"""),"Mamodo")</f>
        <v>Mamodo</v>
      </c>
      <c r="C696" s="42" t="str">
        <f>IFERROR(__xludf.DUMMYFUNCTION("""COMPUTED_VALUE"""),"Soldier of the In-Between World")</f>
        <v>Soldier of the In-Between World</v>
      </c>
      <c r="D696" s="42" t="str">
        <f>IFERROR(__xludf.DUMMYFUNCTION("""COMPUTED_VALUE"""),"-")</f>
        <v>-</v>
      </c>
      <c r="E696" s="42" t="str">
        <f>IFERROR(__xludf.DUMMYFUNCTION("""COMPUTED_VALUE"""),"-")</f>
        <v>-</v>
      </c>
      <c r="F696" s="42" t="str">
        <f>IFERROR(__xludf.DUMMYFUNCTION("""COMPUTED_VALUE"""),"-")</f>
        <v>-</v>
      </c>
      <c r="G696" s="42" t="str">
        <f>IFERROR(__xludf.DUMMYFUNCTION("""COMPUTED_VALUE"""),"None")</f>
        <v>None</v>
      </c>
      <c r="H696" s="42" t="str">
        <f>IFERROR(__xludf.DUMMYFUNCTION("""COMPUTED_VALUE"""),"Mock Spells")</f>
        <v>Mock Spells</v>
      </c>
      <c r="I696" s="43" t="str">
        <f>IFERROR(__xludf.DUMMYFUNCTION("""COMPUTED_VALUE"""),"When you have a Kurogane MAMODO card in play, you can have as many Soldier of the In-Between World MAMODO cards in play as you desire, regardless of card name rules. (Attack) [1 MP] This card may Attack without using a SPELL card (Total Power=5000, Damage"&amp;"=1).")</f>
        <v>When you have a Kurogane MAMODO card in play, you can have as many Soldier of the In-Between World MAMODO cards in play as you desire, regardless of card name rules. (Attack) [1 MP] This card may Attack without using a SPELL card (Total Power=5000, Damage=1).</v>
      </c>
      <c r="J696" s="42">
        <f>IFERROR(__xludf.DUMMYFUNCTION("""COMPUTED_VALUE"""),2000.0)</f>
        <v>2000</v>
      </c>
      <c r="K696" s="42" t="str">
        <f>IFERROR(__xludf.DUMMYFUNCTION("""COMPUTED_VALUE"""),"-")</f>
        <v>-</v>
      </c>
      <c r="L696" s="42" t="str">
        <f>IFERROR(__xludf.DUMMYFUNCTION("""COMPUTED_VALUE"""),"-")</f>
        <v>-</v>
      </c>
      <c r="M696" s="42" t="str">
        <f>IFERROR(__xludf.DUMMYFUNCTION("""COMPUTED_VALUE"""),"[C]")</f>
        <v>[C]</v>
      </c>
      <c r="N696" s="42" t="str">
        <f>IFERROR(__xludf.DUMMYFUNCTION("""COMPUTED_VALUE"""),"They mimic real magic by attacking with iron weapons and shouting ""Mock"" prior to calling out a spell.")</f>
        <v>They mimic real magic by attacking with iron weapons and shouting "Mock" prior to calling out a spell.</v>
      </c>
      <c r="O696" s="42"/>
      <c r="P696" s="42"/>
      <c r="Q696" s="42"/>
      <c r="R696" s="42"/>
      <c r="S696" s="42"/>
      <c r="T696" s="42"/>
      <c r="U696" s="42"/>
      <c r="V696" s="42"/>
      <c r="W696" s="42"/>
      <c r="X696" s="42"/>
      <c r="Y696" s="42"/>
      <c r="Z696" s="42"/>
    </row>
    <row r="697">
      <c r="A697" s="41" t="str">
        <f>IFERROR(__xludf.DUMMYFUNCTION("""COMPUTED_VALUE"""),"M-314")</f>
        <v>M-314</v>
      </c>
      <c r="B697" s="42" t="str">
        <f>IFERROR(__xludf.DUMMYFUNCTION("""COMPUTED_VALUE"""),"Mamodo")</f>
        <v>Mamodo</v>
      </c>
      <c r="C697" s="42" t="str">
        <f>IFERROR(__xludf.DUMMYFUNCTION("""COMPUTED_VALUE"""),"Maestro")</f>
        <v>Maestro</v>
      </c>
      <c r="D697" s="42" t="str">
        <f>IFERROR(__xludf.DUMMYFUNCTION("""COMPUTED_VALUE"""),"-")</f>
        <v>-</v>
      </c>
      <c r="E697" s="42" t="str">
        <f>IFERROR(__xludf.DUMMYFUNCTION("""COMPUTED_VALUE"""),"-")</f>
        <v>-</v>
      </c>
      <c r="F697" s="42" t="str">
        <f>IFERROR(__xludf.DUMMYFUNCTION("""COMPUTED_VALUE"""),"-")</f>
        <v>-</v>
      </c>
      <c r="G697" s="42" t="str">
        <f>IFERROR(__xludf.DUMMYFUNCTION("""COMPUTED_VALUE"""),"None")</f>
        <v>None</v>
      </c>
      <c r="H697" s="42" t="str">
        <f>IFERROR(__xludf.DUMMYFUNCTION("""COMPUTED_VALUE"""),"Revenge On The Mamodo World")</f>
        <v>Revenge On The Mamodo World</v>
      </c>
      <c r="I697" s="43" t="str">
        <f>IFERROR(__xludf.DUMMYFUNCTION("""COMPUTED_VALUE"""),"[DECLARE TO USE] Select any number of face-down cards in your opponent's Discard Pile and flip any number of them face-up (you may look at the front of the card(s) before doing so). Then, get MP equal to the number of cards you flipped face-up times 1.")</f>
        <v>[DECLARE TO USE] Select any number of face-down cards in your opponent's Discard Pile and flip any number of them face-up (you may look at the front of the card(s) before doing so). Then, get MP equal to the number of cards you flipped face-up times 1.</v>
      </c>
      <c r="J697" s="42">
        <f>IFERROR(__xludf.DUMMYFUNCTION("""COMPUTED_VALUE"""),6000.0)</f>
        <v>6000</v>
      </c>
      <c r="K697" s="42" t="str">
        <f>IFERROR(__xludf.DUMMYFUNCTION("""COMPUTED_VALUE"""),"-")</f>
        <v>-</v>
      </c>
      <c r="L697" s="42" t="str">
        <f>IFERROR(__xludf.DUMMYFUNCTION("""COMPUTED_VALUE"""),"-")</f>
        <v>-</v>
      </c>
      <c r="M697" s="42" t="str">
        <f>IFERROR(__xludf.DUMMYFUNCTION("""COMPUTED_VALUE"""),"[C]")</f>
        <v>[C]</v>
      </c>
      <c r="N697" s="42" t="str">
        <f>IFERROR(__xludf.DUMMYFUNCTION("""COMPUTED_VALUE"""),"""Along with the others who were banished here, I will have my revenge on the mamodo world!""")</f>
        <v>"Along with the others who were banished here, I will have my revenge on the mamodo world!"</v>
      </c>
      <c r="O697" s="42"/>
      <c r="P697" s="42"/>
      <c r="Q697" s="42"/>
      <c r="R697" s="42"/>
      <c r="S697" s="42"/>
      <c r="T697" s="42"/>
      <c r="U697" s="42"/>
      <c r="V697" s="42"/>
      <c r="W697" s="42"/>
      <c r="X697" s="42"/>
      <c r="Y697" s="42"/>
      <c r="Z697" s="42"/>
    </row>
    <row r="698">
      <c r="A698" s="41" t="str">
        <f>IFERROR(__xludf.DUMMYFUNCTION("""COMPUTED_VALUE"""),"M-315")</f>
        <v>M-315</v>
      </c>
      <c r="B698" s="42" t="str">
        <f>IFERROR(__xludf.DUMMYFUNCTION("""COMPUTED_VALUE"""),"Dual Mamodo")</f>
        <v>Dual Mamodo</v>
      </c>
      <c r="C698" s="42" t="str">
        <f>IFERROR(__xludf.DUMMYFUNCTION("""COMPUTED_VALUE"""),"Zatch Bell &amp; Rein")</f>
        <v>Zatch Bell &amp; Rein</v>
      </c>
      <c r="D698" s="42" t="str">
        <f>IFERROR(__xludf.DUMMYFUNCTION("""COMPUTED_VALUE"""),"Zatch Bell | Rein")</f>
        <v>Zatch Bell | Rein</v>
      </c>
      <c r="E698" s="42" t="str">
        <f>IFERROR(__xludf.DUMMYFUNCTION("""COMPUTED_VALUE"""),"-")</f>
        <v>-</v>
      </c>
      <c r="F698" s="42" t="str">
        <f>IFERROR(__xludf.DUMMYFUNCTION("""COMPUTED_VALUE"""),"-")</f>
        <v>-</v>
      </c>
      <c r="G698" s="42" t="str">
        <f>IFERROR(__xludf.DUMMYFUNCTION("""COMPUTED_VALUE"""),"None")</f>
        <v>None</v>
      </c>
      <c r="H698" s="42" t="str">
        <f>IFERROR(__xludf.DUMMYFUNCTION("""COMPUTED_VALUE"""),"An Old Friend")</f>
        <v>An Old Friend</v>
      </c>
      <c r="I698" s="43" t="str">
        <f>IFERROR(__xludf.DUMMYFUNCTION("""COMPUTED_VALUE"""),"Send your in-play Zatch Bell or Rein MAMODO card to the Discard Pile to put this MAMODO card in play. [IN PLAY] You can move up to 1 card from your Discard Pile to an empty page of your Spell Book at the END PHASE of the turn this MAMODO card Attacked dur"&amp;"ing your BATTLE PHASE.")</f>
        <v>Send your in-play Zatch Bell or Rein MAMODO card to the Discard Pile to put this MAMODO card in play. [IN PLAY] You can move up to 1 card from your Discard Pile to an empty page of your Spell Book at the END PHASE of the turn this MAMODO card Attacked during your BATTLE PHASE.</v>
      </c>
      <c r="J698" s="42">
        <f>IFERROR(__xludf.DUMMYFUNCTION("""COMPUTED_VALUE"""),5000.0)</f>
        <v>5000</v>
      </c>
      <c r="K698" s="42" t="str">
        <f>IFERROR(__xludf.DUMMYFUNCTION("""COMPUTED_VALUE"""),"-")</f>
        <v>-</v>
      </c>
      <c r="L698" s="42" t="str">
        <f>IFERROR(__xludf.DUMMYFUNCTION("""COMPUTED_VALUE"""),"-")</f>
        <v>-</v>
      </c>
      <c r="M698" s="42" t="str">
        <f>IFERROR(__xludf.DUMMYFUNCTION("""COMPUTED_VALUE"""),"[R]")</f>
        <v>[R]</v>
      </c>
      <c r="N698" s="42" t="str">
        <f>IFERROR(__xludf.DUMMYFUNCTION("""COMPUTED_VALUE"""),"""Even though you lost your memories, your personality hasn't changed... You're still the same Zatch.""")</f>
        <v>"Even though you lost your memories, your personality hasn't changed... You're still the same Zatch."</v>
      </c>
      <c r="O698" s="42"/>
      <c r="P698" s="42"/>
      <c r="Q698" s="42"/>
      <c r="R698" s="42"/>
      <c r="S698" s="42"/>
      <c r="T698" s="42"/>
      <c r="U698" s="42"/>
      <c r="V698" s="42"/>
      <c r="W698" s="42"/>
      <c r="X698" s="42"/>
      <c r="Y698" s="42"/>
      <c r="Z698" s="42"/>
    </row>
    <row r="699">
      <c r="A699" s="41" t="str">
        <f>IFERROR(__xludf.DUMMYFUNCTION("""COMPUTED_VALUE"""),"M-316")</f>
        <v>M-316</v>
      </c>
      <c r="B699" s="42" t="str">
        <f>IFERROR(__xludf.DUMMYFUNCTION("""COMPUTED_VALUE"""),"Dual Mamodo")</f>
        <v>Dual Mamodo</v>
      </c>
      <c r="C699" s="42" t="str">
        <f>IFERROR(__xludf.DUMMYFUNCTION("""COMPUTED_VALUE"""),"Ted VS Arth")</f>
        <v>Ted VS Arth</v>
      </c>
      <c r="D699" s="42" t="str">
        <f>IFERROR(__xludf.DUMMYFUNCTION("""COMPUTED_VALUE"""),"Ted | Arth")</f>
        <v>Ted | Arth</v>
      </c>
      <c r="E699" s="42" t="str">
        <f>IFERROR(__xludf.DUMMYFUNCTION("""COMPUTED_VALUE"""),"-")</f>
        <v>-</v>
      </c>
      <c r="F699" s="42" t="str">
        <f>IFERROR(__xludf.DUMMYFUNCTION("""COMPUTED_VALUE"""),"-")</f>
        <v>-</v>
      </c>
      <c r="G699" s="42" t="str">
        <f>IFERROR(__xludf.DUMMYFUNCTION("""COMPUTED_VALUE"""),"None")</f>
        <v>None</v>
      </c>
      <c r="H699" s="42" t="str">
        <f>IFERROR(__xludf.DUMMYFUNCTION("""COMPUTED_VALUE"""),"Fist VS Sword")</f>
        <v>Fist VS Sword</v>
      </c>
      <c r="I699" s="43" t="str">
        <f>IFERROR(__xludf.DUMMYFUNCTION("""COMPUTED_VALUE"""),"Send either player's in-play Ted or Arth MAMODO card to the Discard Pile to put this MAMODO card in play. (Attack) [1 MP] This card may Attack without using a SPELL card (Total Power=8000, Damage=2). During the Battle, your opponent cannot apply MAMODO ca"&amp;"rd effects without an ""Attack"" or ""Defend"" icon.")</f>
        <v>Send either player's in-play Ted or Arth MAMODO card to the Discard Pile to put this MAMODO card in play. (Attack) [1 MP] This card may Attack without using a SPELL card (Total Power=8000, Damage=2). During the Battle, your opponent cannot apply MAMODO card effects without an "Attack" or "Defend" icon.</v>
      </c>
      <c r="J699" s="42">
        <f>IFERROR(__xludf.DUMMYFUNCTION("""COMPUTED_VALUE"""),4500.0)</f>
        <v>4500</v>
      </c>
      <c r="K699" s="42" t="str">
        <f>IFERROR(__xludf.DUMMYFUNCTION("""COMPUTED_VALUE"""),"-")</f>
        <v>-</v>
      </c>
      <c r="L699" s="42" t="str">
        <f>IFERROR(__xludf.DUMMYFUNCTION("""COMPUTED_VALUE"""),"-")</f>
        <v>-</v>
      </c>
      <c r="M699" s="42" t="str">
        <f>IFERROR(__xludf.DUMMYFUNCTION("""COMPUTED_VALUE"""),"[SR]")</f>
        <v>[SR]</v>
      </c>
      <c r="N699" s="42" t="str">
        <f>IFERROR(__xludf.DUMMYFUNCTION("""COMPUTED_VALUE"""),"Ted's fist and Arth's sword collide in a turbulent, physical battle.")</f>
        <v>Ted's fist and Arth's sword collide in a turbulent, physical battle.</v>
      </c>
      <c r="O699" s="42"/>
      <c r="P699" s="42"/>
      <c r="Q699" s="42"/>
      <c r="R699" s="42"/>
      <c r="S699" s="42"/>
      <c r="T699" s="42"/>
      <c r="U699" s="42"/>
      <c r="V699" s="42"/>
      <c r="W699" s="42"/>
      <c r="X699" s="42"/>
      <c r="Y699" s="42"/>
      <c r="Z699" s="42"/>
    </row>
    <row r="700">
      <c r="A700" s="41" t="str">
        <f>IFERROR(__xludf.DUMMYFUNCTION("""COMPUTED_VALUE"""),"M-317")</f>
        <v>M-317</v>
      </c>
      <c r="B700" s="42" t="str">
        <f>IFERROR(__xludf.DUMMYFUNCTION("""COMPUTED_VALUE"""),"VS Mamodo")</f>
        <v>VS Mamodo</v>
      </c>
      <c r="C700" s="42" t="str">
        <f>IFERROR(__xludf.DUMMYFUNCTION("""COMPUTED_VALUE"""),"Rodeaux VS Rein")</f>
        <v>Rodeaux VS Rein</v>
      </c>
      <c r="D700" s="42" t="str">
        <f>IFERROR(__xludf.DUMMYFUNCTION("""COMPUTED_VALUE"""),"Rodeaux | Rein")</f>
        <v>Rodeaux | Rein</v>
      </c>
      <c r="E700" s="42" t="str">
        <f>IFERROR(__xludf.DUMMYFUNCTION("""COMPUTED_VALUE"""),"-")</f>
        <v>-</v>
      </c>
      <c r="F700" s="42" t="str">
        <f>IFERROR(__xludf.DUMMYFUNCTION("""COMPUTED_VALUE"""),"-")</f>
        <v>-</v>
      </c>
      <c r="G700" s="42" t="str">
        <f>IFERROR(__xludf.DUMMYFUNCTION("""COMPUTED_VALUE"""),"None")</f>
        <v>None</v>
      </c>
      <c r="H700" s="42" t="str">
        <f>IFERROR(__xludf.DUMMYFUNCTION("""COMPUTED_VALUE"""),"Fighting Seriously")</f>
        <v>Fighting Seriously</v>
      </c>
      <c r="I700" s="43" t="str">
        <f>IFERROR(__xludf.DUMMYFUNCTION("""COMPUTED_VALUE"""),"Send either player's in-play Rodeaux or Rein MAMODO card to the Discard Pile to put this MAMODO card in play. [IN PLAY] Your opponent cannot turn back pages of their Spell Book. This effect can be applied even when you are prohibited to do so.")</f>
        <v>Send either player's in-play Rodeaux or Rein MAMODO card to the Discard Pile to put this MAMODO card in play. [IN PLAY] Your opponent cannot turn back pages of their Spell Book. This effect can be applied even when you are prohibited to do so.</v>
      </c>
      <c r="J700" s="42">
        <f>IFERROR(__xludf.DUMMYFUNCTION("""COMPUTED_VALUE"""),5000.0)</f>
        <v>5000</v>
      </c>
      <c r="K700" s="42" t="str">
        <f>IFERROR(__xludf.DUMMYFUNCTION("""COMPUTED_VALUE"""),"-")</f>
        <v>-</v>
      </c>
      <c r="L700" s="42" t="str">
        <f>IFERROR(__xludf.DUMMYFUNCTION("""COMPUTED_VALUE"""),"-")</f>
        <v>-</v>
      </c>
      <c r="M700" s="42" t="str">
        <f>IFERROR(__xludf.DUMMYFUNCTION("""COMPUTED_VALUE"""),"[SR]")</f>
        <v>[SR]</v>
      </c>
      <c r="N700" s="42" t="str">
        <f>IFERROR(__xludf.DUMMYFUNCTION("""COMPUTED_VALUE"""),"""Don't mess with me, you scum!""")</f>
        <v>"Don't mess with me, you scum!"</v>
      </c>
      <c r="O700" s="42"/>
      <c r="P700" s="42"/>
      <c r="Q700" s="42"/>
      <c r="R700" s="42"/>
      <c r="S700" s="42"/>
      <c r="T700" s="42"/>
      <c r="U700" s="42"/>
      <c r="V700" s="42"/>
      <c r="W700" s="42"/>
      <c r="X700" s="42"/>
      <c r="Y700" s="42"/>
      <c r="Z700" s="42"/>
    </row>
    <row r="701">
      <c r="A701" s="41" t="str">
        <f>IFERROR(__xludf.DUMMYFUNCTION("""COMPUTED_VALUE"""),"M-318")</f>
        <v>M-318</v>
      </c>
      <c r="B701" s="42" t="str">
        <f>IFERROR(__xludf.DUMMYFUNCTION("""COMPUTED_VALUE"""),"VS Mamodo")</f>
        <v>VS Mamodo</v>
      </c>
      <c r="C701" s="42" t="str">
        <f>IFERROR(__xludf.DUMMYFUNCTION("""COMPUTED_VALUE"""),"Momon VS Tia")</f>
        <v>Momon VS Tia</v>
      </c>
      <c r="D701" s="42" t="str">
        <f>IFERROR(__xludf.DUMMYFUNCTION("""COMPUTED_VALUE"""),"Momon | Tia")</f>
        <v>Momon | Tia</v>
      </c>
      <c r="E701" s="42" t="str">
        <f>IFERROR(__xludf.DUMMYFUNCTION("""COMPUTED_VALUE"""),"-")</f>
        <v>-</v>
      </c>
      <c r="F701" s="42" t="str">
        <f>IFERROR(__xludf.DUMMYFUNCTION("""COMPUTED_VALUE"""),"-")</f>
        <v>-</v>
      </c>
      <c r="G701" s="42" t="str">
        <f>IFERROR(__xludf.DUMMYFUNCTION("""COMPUTED_VALUE"""),"None")</f>
        <v>None</v>
      </c>
      <c r="H701" s="42" t="str">
        <f>IFERROR(__xludf.DUMMYFUNCTION("""COMPUTED_VALUE"""),"Underwear Battle")</f>
        <v>Underwear Battle</v>
      </c>
      <c r="I701" s="43" t="str">
        <f>IFERROR(__xludf.DUMMYFUNCTION("""COMPUTED_VALUE"""),"Send either player's in-play Momon or Tia MAMODO card to the Discard Pile to put this MAMODO card in play. [DECLARE TO USE] [STAY] Neither player can apply effects that turn pages of a Spell Book during this game.")</f>
        <v>Send either player's in-play Momon or Tia MAMODO card to the Discard Pile to put this MAMODO card in play. [DECLARE TO USE] [STAY] Neither player can apply effects that turn pages of a Spell Book during this game.</v>
      </c>
      <c r="J701" s="42">
        <f>IFERROR(__xludf.DUMMYFUNCTION("""COMPUTED_VALUE"""),3000.0)</f>
        <v>3000</v>
      </c>
      <c r="K701" s="42" t="str">
        <f>IFERROR(__xludf.DUMMYFUNCTION("""COMPUTED_VALUE"""),"-")</f>
        <v>-</v>
      </c>
      <c r="L701" s="42" t="str">
        <f>IFERROR(__xludf.DUMMYFUNCTION("""COMPUTED_VALUE"""),"-")</f>
        <v>-</v>
      </c>
      <c r="M701" s="42" t="str">
        <f>IFERROR(__xludf.DUMMYFUNCTION("""COMPUTED_VALUE"""),"[R]")</f>
        <v>[R]</v>
      </c>
      <c r="N701" s="42" t="str">
        <f>IFERROR(__xludf.DUMMYFUNCTION("""COMPUTED_VALUE"""),"""Aren't you gonna stop them, Kiyo?""")</f>
        <v>"Aren't you gonna stop them, Kiyo?"</v>
      </c>
      <c r="O701" s="42"/>
      <c r="P701" s="42"/>
      <c r="Q701" s="42"/>
      <c r="R701" s="42"/>
      <c r="S701" s="42"/>
      <c r="T701" s="42"/>
      <c r="U701" s="42"/>
      <c r="V701" s="42"/>
      <c r="W701" s="42"/>
      <c r="X701" s="42"/>
      <c r="Y701" s="42"/>
      <c r="Z701" s="42"/>
    </row>
    <row r="702">
      <c r="A702" s="41" t="str">
        <f>IFERROR(__xludf.DUMMYFUNCTION("""COMPUTED_VALUE"""),"M-319")</f>
        <v>M-319</v>
      </c>
      <c r="B702" s="42" t="str">
        <f>IFERROR(__xludf.DUMMYFUNCTION("""COMPUTED_VALUE"""),"VS Stone Tablet Mamodo")</f>
        <v>VS Stone Tablet Mamodo</v>
      </c>
      <c r="C702" s="42" t="str">
        <f>IFERROR(__xludf.DUMMYFUNCTION("""COMPUTED_VALUE"""),"Belgim E.O. VS Victoream")</f>
        <v>Belgim E.O. VS Victoream</v>
      </c>
      <c r="D702" s="42" t="str">
        <f>IFERROR(__xludf.DUMMYFUNCTION("""COMPUTED_VALUE"""),"Belgim E.O. | Victoream")</f>
        <v>Belgim E.O. | Victoream</v>
      </c>
      <c r="E702" s="42" t="str">
        <f>IFERROR(__xludf.DUMMYFUNCTION("""COMPUTED_VALUE"""),"-")</f>
        <v>-</v>
      </c>
      <c r="F702" s="42" t="str">
        <f>IFERROR(__xludf.DUMMYFUNCTION("""COMPUTED_VALUE"""),"-")</f>
        <v>-</v>
      </c>
      <c r="G702" s="42" t="str">
        <f>IFERROR(__xludf.DUMMYFUNCTION("""COMPUTED_VALUE"""),"None")</f>
        <v>None</v>
      </c>
      <c r="H702" s="42" t="str">
        <f>IFERROR(__xludf.DUMMYFUNCTION("""COMPUTED_VALUE"""),"Punished by the ""V"" Sign!")</f>
        <v>Punished by the "V" Sign!</v>
      </c>
      <c r="I702" s="43" t="str">
        <f>IFERROR(__xludf.DUMMYFUNCTION("""COMPUTED_VALUE"""),"Send either player's in-play Belgim E.O. or Victoream MAMODO card to the Discard Pile to put this MAMODO card in play. [DECLARE TO USE] If your opponent inflicted Damage to your Spell Book with a card effect during this game, inflict 5 Damage on your oppo"&amp;"nent (your opponent can PROTECT against this Damage). This effect can be applied only once per game (per player).")</f>
        <v>Send either player's in-play Belgim E.O. or Victoream MAMODO card to the Discard Pile to put this MAMODO card in play. [DECLARE TO USE] If your opponent inflicted Damage to your Spell Book with a card effect during this game, inflict 5 Damage on your opponent (your opponent can PROTECT against this Damage). This effect can be applied only once per game (per player).</v>
      </c>
      <c r="J702" s="42">
        <f>IFERROR(__xludf.DUMMYFUNCTION("""COMPUTED_VALUE"""),5000.0)</f>
        <v>5000</v>
      </c>
      <c r="K702" s="42" t="str">
        <f>IFERROR(__xludf.DUMMYFUNCTION("""COMPUTED_VALUE"""),"-")</f>
        <v>-</v>
      </c>
      <c r="L702" s="42" t="str">
        <f>IFERROR(__xludf.DUMMYFUNCTION("""COMPUTED_VALUE"""),"-")</f>
        <v>-</v>
      </c>
      <c r="M702" s="42" t="str">
        <f>IFERROR(__xludf.DUMMYFUNCTION("""COMPUTED_VALUE"""),"[R]")</f>
        <v>[R]</v>
      </c>
      <c r="N702" s="42" t="str">
        <f>IFERROR(__xludf.DUMMYFUNCTION("""COMPUTED_VALUE"""),"""What? You... even have your own CD?!""")</f>
        <v>"What? You... even have your own CD?!"</v>
      </c>
      <c r="O702" s="42"/>
      <c r="P702" s="42"/>
      <c r="Q702" s="42"/>
      <c r="R702" s="42"/>
      <c r="S702" s="42"/>
      <c r="T702" s="42"/>
      <c r="U702" s="42"/>
      <c r="V702" s="42"/>
      <c r="W702" s="42"/>
      <c r="X702" s="42"/>
      <c r="Y702" s="42"/>
      <c r="Z702" s="42"/>
    </row>
    <row r="703">
      <c r="A703" s="41" t="str">
        <f>IFERROR(__xludf.DUMMYFUNCTION("""COMPUTED_VALUE"""),"M-320")</f>
        <v>M-320</v>
      </c>
      <c r="B703" s="42" t="str">
        <f>IFERROR(__xludf.DUMMYFUNCTION("""COMPUTED_VALUE"""),"Dual Mamodo")</f>
        <v>Dual Mamodo</v>
      </c>
      <c r="C703" s="42" t="str">
        <f>IFERROR(__xludf.DUMMYFUNCTION("""COMPUTED_VALUE"""),"Zatch Bell &amp; Brago")</f>
        <v>Zatch Bell &amp; Brago</v>
      </c>
      <c r="D703" s="42" t="str">
        <f>IFERROR(__xludf.DUMMYFUNCTION("""COMPUTED_VALUE"""),"Zatch Bell | Brago")</f>
        <v>Zatch Bell | Brago</v>
      </c>
      <c r="E703" s="42" t="str">
        <f>IFERROR(__xludf.DUMMYFUNCTION("""COMPUTED_VALUE"""),"-")</f>
        <v>-</v>
      </c>
      <c r="F703" s="42" t="str">
        <f>IFERROR(__xludf.DUMMYFUNCTION("""COMPUTED_VALUE"""),"-")</f>
        <v>-</v>
      </c>
      <c r="G703" s="42" t="str">
        <f>IFERROR(__xludf.DUMMYFUNCTION("""COMPUTED_VALUE"""),"None")</f>
        <v>None</v>
      </c>
      <c r="H703" s="42" t="str">
        <f>IFERROR(__xludf.DUMMYFUNCTION("""COMPUTED_VALUE"""),"Conflicting Ideals")</f>
        <v>Conflicting Ideals</v>
      </c>
      <c r="I703" s="43" t="str">
        <f>IFERROR(__xludf.DUMMYFUNCTION("""COMPUTED_VALUE"""),"Send your in-play Zatch Bell or Brago MAMODO card to the Discard Pile to put this MAMODO card in play. [IN PLAY] Your opponent cannot play EVENT cards that have both ""Attack"" AND ""Defend"" Icons.")</f>
        <v>Send your in-play Zatch Bell or Brago MAMODO card to the Discard Pile to put this MAMODO card in play. [IN PLAY] Your opponent cannot play EVENT cards that have both "Attack" AND "Defend" Icons.</v>
      </c>
      <c r="J703" s="42">
        <f>IFERROR(__xludf.DUMMYFUNCTION("""COMPUTED_VALUE"""),5000.0)</f>
        <v>5000</v>
      </c>
      <c r="K703" s="42" t="str">
        <f>IFERROR(__xludf.DUMMYFUNCTION("""COMPUTED_VALUE"""),"-")</f>
        <v>-</v>
      </c>
      <c r="L703" s="42" t="str">
        <f>IFERROR(__xludf.DUMMYFUNCTION("""COMPUTED_VALUE"""),"-")</f>
        <v>-</v>
      </c>
      <c r="M703" s="42" t="str">
        <f>IFERROR(__xludf.DUMMYFUNCTION("""COMPUTED_VALUE"""),"[SR]")</f>
        <v>[SR]</v>
      </c>
      <c r="N703" s="42" t="str">
        <f>IFERROR(__xludf.DUMMYFUNCTION("""COMPUTED_VALUE"""),"""I'm not saying we have to become friends! I'm just asking you to join forces with us for a common goal!""")</f>
        <v>"I'm not saying we have to become friends! I'm just asking you to join forces with us for a common goal!"</v>
      </c>
      <c r="O703" s="42"/>
      <c r="P703" s="42"/>
      <c r="Q703" s="42"/>
      <c r="R703" s="42"/>
      <c r="S703" s="42"/>
      <c r="T703" s="42"/>
      <c r="U703" s="42"/>
      <c r="V703" s="42"/>
      <c r="W703" s="42"/>
      <c r="X703" s="42"/>
      <c r="Y703" s="42"/>
      <c r="Z703" s="42"/>
    </row>
    <row r="704">
      <c r="A704" s="41" t="str">
        <f>IFERROR(__xludf.DUMMYFUNCTION("""COMPUTED_VALUE"""),"M-321")</f>
        <v>M-321</v>
      </c>
      <c r="B704" s="42" t="str">
        <f>IFERROR(__xludf.DUMMYFUNCTION("""COMPUTED_VALUE"""),"S Mamodo")</f>
        <v>S Mamodo</v>
      </c>
      <c r="C704" s="42" t="str">
        <f>IFERROR(__xludf.DUMMYFUNCTION("""COMPUTED_VALUE"""),"Zatch Bell")</f>
        <v>Zatch Bell</v>
      </c>
      <c r="D704" s="42" t="str">
        <f>IFERROR(__xludf.DUMMYFUNCTION("""COMPUTED_VALUE"""),"Zatch Bell")</f>
        <v>Zatch Bell</v>
      </c>
      <c r="E704" s="42" t="str">
        <f>IFERROR(__xludf.DUMMYFUNCTION("""COMPUTED_VALUE"""),"-")</f>
        <v>-</v>
      </c>
      <c r="F704" s="42" t="str">
        <f>IFERROR(__xludf.DUMMYFUNCTION("""COMPUTED_VALUE"""),"-")</f>
        <v>-</v>
      </c>
      <c r="G704" s="42" t="str">
        <f>IFERROR(__xludf.DUMMYFUNCTION("""COMPUTED_VALUE"""),"Intermediate")</f>
        <v>Intermediate</v>
      </c>
      <c r="H704" s="42" t="str">
        <f>IFERROR(__xludf.DUMMYFUNCTION("""COMPUTED_VALUE"""),"Prepared Ant")</f>
        <v>Prepared Ant</v>
      </c>
      <c r="I704" s="43" t="str">
        <f>IFERROR(__xludf.DUMMYFUNCTION("""COMPUTED_VALUE"""),"This card is placed on a regular Zatch Bell MAMODO card. [IN PLAY] Your opponent can neither SACRIFICE nor PROTECT their Spell Book from the Damage of SPELL cards played for this MAMODO card that have a 5 MP cost or more.")</f>
        <v>This card is placed on a regular Zatch Bell MAMODO card. [IN PLAY] Your opponent can neither SACRIFICE nor PROTECT their Spell Book from the Damage of SPELL cards played for this MAMODO card that have a 5 MP cost or more.</v>
      </c>
      <c r="J704" s="42">
        <f>IFERROR(__xludf.DUMMYFUNCTION("""COMPUTED_VALUE"""),5000.0)</f>
        <v>5000</v>
      </c>
      <c r="K704" s="42" t="str">
        <f>IFERROR(__xludf.DUMMYFUNCTION("""COMPUTED_VALUE"""),"-")</f>
        <v>-</v>
      </c>
      <c r="L704" s="42" t="str">
        <f>IFERROR(__xludf.DUMMYFUNCTION("""COMPUTED_VALUE"""),"-")</f>
        <v>-</v>
      </c>
      <c r="M704" s="42" t="str">
        <f>IFERROR(__xludf.DUMMYFUNCTION("""COMPUTED_VALUE"""),"[R]")</f>
        <v>[R]</v>
      </c>
      <c r="N704" s="42" t="str">
        <f>IFERROR(__xludf.DUMMYFUNCTION("""COMPUTED_VALUE"""),"As he works today to prevail tomorrow... with each new meeting and farewell he endures, Zatch grows ever stronger.")</f>
        <v>As he works today to prevail tomorrow... with each new meeting and farewell he endures, Zatch grows ever stronger.</v>
      </c>
      <c r="O704" s="42"/>
      <c r="P704" s="42"/>
      <c r="Q704" s="42"/>
      <c r="R704" s="42"/>
      <c r="S704" s="42"/>
      <c r="T704" s="42"/>
      <c r="U704" s="42"/>
      <c r="V704" s="42"/>
      <c r="W704" s="42"/>
      <c r="X704" s="42"/>
      <c r="Y704" s="42"/>
      <c r="Z704" s="42"/>
    </row>
    <row r="705">
      <c r="A705" s="41" t="str">
        <f>IFERROR(__xludf.DUMMYFUNCTION("""COMPUTED_VALUE"""),"M-322")</f>
        <v>M-322</v>
      </c>
      <c r="B705" s="42" t="str">
        <f>IFERROR(__xludf.DUMMYFUNCTION("""COMPUTED_VALUE"""),"S Mamodo")</f>
        <v>S Mamodo</v>
      </c>
      <c r="C705" s="42" t="str">
        <f>IFERROR(__xludf.DUMMYFUNCTION("""COMPUTED_VALUE"""),"Tia")</f>
        <v>Tia</v>
      </c>
      <c r="D705" s="42" t="str">
        <f>IFERROR(__xludf.DUMMYFUNCTION("""COMPUTED_VALUE"""),"Tia")</f>
        <v>Tia</v>
      </c>
      <c r="E705" s="42" t="str">
        <f>IFERROR(__xludf.DUMMYFUNCTION("""COMPUTED_VALUE"""),"-")</f>
        <v>-</v>
      </c>
      <c r="F705" s="42" t="str">
        <f>IFERROR(__xludf.DUMMYFUNCTION("""COMPUTED_VALUE"""),"-")</f>
        <v>-</v>
      </c>
      <c r="G705" s="42" t="str">
        <f>IFERROR(__xludf.DUMMYFUNCTION("""COMPUTED_VALUE"""),"Intermediate")</f>
        <v>Intermediate</v>
      </c>
      <c r="H705" s="42" t="str">
        <f>IFERROR(__xludf.DUMMYFUNCTION("""COMPUTED_VALUE"""),"Cleansed")</f>
        <v>Cleansed</v>
      </c>
      <c r="I705" s="43" t="str">
        <f>IFERROR(__xludf.DUMMYFUNCTION("""COMPUTED_VALUE"""),"This card is placed on a regular Tia MAMODO card. [IN PLAY] Reduce the Damage of your opponent's Attacks by 2 regardless of their Power when this MAMODO card Defends. This effect can be applied even when you are prohibited to do so.")</f>
        <v>This card is placed on a regular Tia MAMODO card. [IN PLAY] Reduce the Damage of your opponent's Attacks by 2 regardless of their Power when this MAMODO card Defends. This effect can be applied even when you are prohibited to do so.</v>
      </c>
      <c r="J705" s="42">
        <f>IFERROR(__xludf.DUMMYFUNCTION("""COMPUTED_VALUE"""),4000.0)</f>
        <v>4000</v>
      </c>
      <c r="K705" s="42" t="str">
        <f>IFERROR(__xludf.DUMMYFUNCTION("""COMPUTED_VALUE"""),"-")</f>
        <v>-</v>
      </c>
      <c r="L705" s="42" t="str">
        <f>IFERROR(__xludf.DUMMYFUNCTION("""COMPUTED_VALUE"""),"-")</f>
        <v>-</v>
      </c>
      <c r="M705" s="42" t="str">
        <f>IFERROR(__xludf.DUMMYFUNCTION("""COMPUTED_VALUE"""),"[R]")</f>
        <v>[R]</v>
      </c>
      <c r="N705" s="42" t="str">
        <f>IFERROR(__xludf.DUMMYFUNCTION("""COMPUTED_VALUE"""),"After launching Chajiru Saifodon, Tia beams like an angel as a refreshing sensation washes over her.")</f>
        <v>After launching Chajiru Saifodon, Tia beams like an angel as a refreshing sensation washes over her.</v>
      </c>
      <c r="O705" s="42"/>
      <c r="P705" s="42"/>
      <c r="Q705" s="42"/>
      <c r="R705" s="42"/>
      <c r="S705" s="42"/>
      <c r="T705" s="42"/>
      <c r="U705" s="42"/>
      <c r="V705" s="42"/>
      <c r="W705" s="42"/>
      <c r="X705" s="42"/>
      <c r="Y705" s="42"/>
      <c r="Z705" s="42"/>
    </row>
    <row r="706">
      <c r="A706" s="41" t="str">
        <f>IFERROR(__xludf.DUMMYFUNCTION("""COMPUTED_VALUE"""),"M-323")</f>
        <v>M-323</v>
      </c>
      <c r="B706" s="42" t="str">
        <f>IFERROR(__xludf.DUMMYFUNCTION("""COMPUTED_VALUE"""),"Mamodo")</f>
        <v>Mamodo</v>
      </c>
      <c r="C706" s="42" t="str">
        <f>IFERROR(__xludf.DUMMYFUNCTION("""COMPUTED_VALUE"""),"Zatch Bell")</f>
        <v>Zatch Bell</v>
      </c>
      <c r="D706" s="42" t="str">
        <f>IFERROR(__xludf.DUMMYFUNCTION("""COMPUTED_VALUE"""),"Zatch Bell")</f>
        <v>Zatch Bell</v>
      </c>
      <c r="E706" s="42" t="str">
        <f>IFERROR(__xludf.DUMMYFUNCTION("""COMPUTED_VALUE"""),"-")</f>
        <v>-</v>
      </c>
      <c r="F706" s="42" t="str">
        <f>IFERROR(__xludf.DUMMYFUNCTION("""COMPUTED_VALUE"""),"-")</f>
        <v>-</v>
      </c>
      <c r="G706" s="42" t="str">
        <f>IFERROR(__xludf.DUMMYFUNCTION("""COMPUTED_VALUE"""),"None")</f>
        <v>None</v>
      </c>
      <c r="H706" s="42" t="str">
        <f>IFERROR(__xludf.DUMMYFUNCTION("""COMPUTED_VALUE"""),"Start the Battle!")</f>
        <v>Start the Battle!</v>
      </c>
      <c r="I706" s="43" t="str">
        <f>IFERROR(__xludf.DUMMYFUNCTION("""COMPUTED_VALUE"""),"[IN PLAY] When you put this MAMODO card in play during the PREPARATION PHASE of the game, apply the following effect: [STAY] Neither player can apply the effects of their in-play cards during the BATTLE PHASE of the first Attacker's first turn.")</f>
        <v>[IN PLAY] When you put this MAMODO card in play during the PREPARATION PHASE of the game, apply the following effect: [STAY] Neither player can apply the effects of their in-play cards during the BATTLE PHASE of the first Attacker's first turn.</v>
      </c>
      <c r="J706" s="42">
        <f>IFERROR(__xludf.DUMMYFUNCTION("""COMPUTED_VALUE"""),3000.0)</f>
        <v>3000</v>
      </c>
      <c r="K706" s="42" t="str">
        <f>IFERROR(__xludf.DUMMYFUNCTION("""COMPUTED_VALUE"""),"-")</f>
        <v>-</v>
      </c>
      <c r="L706" s="42" t="str">
        <f>IFERROR(__xludf.DUMMYFUNCTION("""COMPUTED_VALUE"""),"-")</f>
        <v>-</v>
      </c>
      <c r="M706" s="42" t="str">
        <f>IFERROR(__xludf.DUMMYFUNCTION("""COMPUTED_VALUE"""),"[C]")</f>
        <v>[C]</v>
      </c>
      <c r="N706" s="42" t="str">
        <f>IFERROR(__xludf.DUMMYFUNCTION("""COMPUTED_VALUE"""),"""Ready? Let the battle begin!""")</f>
        <v>"Ready? Let the battle begin!"</v>
      </c>
      <c r="O706" s="42"/>
      <c r="P706" s="42"/>
      <c r="Q706" s="42"/>
      <c r="R706" s="42"/>
      <c r="S706" s="42"/>
      <c r="T706" s="42"/>
      <c r="U706" s="42"/>
      <c r="V706" s="42"/>
      <c r="W706" s="42"/>
      <c r="X706" s="42"/>
      <c r="Y706" s="42"/>
      <c r="Z706" s="42"/>
    </row>
    <row r="707">
      <c r="A707" s="41" t="str">
        <f>IFERROR(__xludf.DUMMYFUNCTION("""COMPUTED_VALUE"""),"M-324")</f>
        <v>M-324</v>
      </c>
      <c r="B707" s="42" t="str">
        <f>IFERROR(__xludf.DUMMYFUNCTION("""COMPUTED_VALUE"""),"Mamodo")</f>
        <v>Mamodo</v>
      </c>
      <c r="C707" s="42" t="str">
        <f>IFERROR(__xludf.DUMMYFUNCTION("""COMPUTED_VALUE"""),"Zatch Bell")</f>
        <v>Zatch Bell</v>
      </c>
      <c r="D707" s="42" t="str">
        <f>IFERROR(__xludf.DUMMYFUNCTION("""COMPUTED_VALUE"""),"Zatch Bell")</f>
        <v>Zatch Bell</v>
      </c>
      <c r="E707" s="42" t="str">
        <f>IFERROR(__xludf.DUMMYFUNCTION("""COMPUTED_VALUE"""),"-")</f>
        <v>-</v>
      </c>
      <c r="F707" s="42" t="str">
        <f>IFERROR(__xludf.DUMMYFUNCTION("""COMPUTED_VALUE"""),"-")</f>
        <v>-</v>
      </c>
      <c r="G707" s="42" t="str">
        <f>IFERROR(__xludf.DUMMYFUNCTION("""COMPUTED_VALUE"""),"None")</f>
        <v>None</v>
      </c>
      <c r="H707" s="42" t="str">
        <f>IFERROR(__xludf.DUMMYFUNCTION("""COMPUTED_VALUE"""),"Follow That Yellowtail!")</f>
        <v>Follow That Yellowtail!</v>
      </c>
      <c r="I707" s="43" t="str">
        <f>IFERROR(__xludf.DUMMYFUNCTION("""COMPUTED_VALUE"""),"[DECARE TO USE] [STANDBY] You can play 1 EVENT card with ""Yellowtail"" in its card name from any page of your Spell Book during this turn.")</f>
        <v>[DECARE TO USE] [STANDBY] You can play 1 EVENT card with "Yellowtail" in its card name from any page of your Spell Book during this turn.</v>
      </c>
      <c r="J707" s="42">
        <f>IFERROR(__xludf.DUMMYFUNCTION("""COMPUTED_VALUE"""),4000.0)</f>
        <v>4000</v>
      </c>
      <c r="K707" s="42" t="str">
        <f>IFERROR(__xludf.DUMMYFUNCTION("""COMPUTED_VALUE"""),"-")</f>
        <v>-</v>
      </c>
      <c r="L707" s="42" t="str">
        <f>IFERROR(__xludf.DUMMYFUNCTION("""COMPUTED_VALUE"""),"-")</f>
        <v>-</v>
      </c>
      <c r="M707" s="42" t="str">
        <f>IFERROR(__xludf.DUMMYFUNCTION("""COMPUTED_VALUE"""),"[C]")</f>
        <v>[C]</v>
      </c>
      <c r="N707" s="42" t="str">
        <f>IFERROR(__xludf.DUMMYFUNCTION("""COMPUTED_VALUE"""),"""My yellowtail flew way up in the sky!""")</f>
        <v>"My yellowtail flew way up in the sky!"</v>
      </c>
      <c r="O707" s="42"/>
      <c r="P707" s="42"/>
      <c r="Q707" s="42"/>
      <c r="R707" s="42"/>
      <c r="S707" s="42"/>
      <c r="T707" s="42"/>
      <c r="U707" s="42"/>
      <c r="V707" s="42"/>
      <c r="W707" s="42"/>
      <c r="X707" s="42"/>
      <c r="Y707" s="42"/>
      <c r="Z707" s="42"/>
    </row>
    <row r="708">
      <c r="A708" s="41" t="str">
        <f>IFERROR(__xludf.DUMMYFUNCTION("""COMPUTED_VALUE"""),"M-325")</f>
        <v>M-325</v>
      </c>
      <c r="B708" s="42" t="str">
        <f>IFERROR(__xludf.DUMMYFUNCTION("""COMPUTED_VALUE"""),"S Mamodo")</f>
        <v>S Mamodo</v>
      </c>
      <c r="C708" s="42" t="str">
        <f>IFERROR(__xludf.DUMMYFUNCTION("""COMPUTED_VALUE"""),"Zatch Bell")</f>
        <v>Zatch Bell</v>
      </c>
      <c r="D708" s="42" t="str">
        <f>IFERROR(__xludf.DUMMYFUNCTION("""COMPUTED_VALUE"""),"Zatch Bell")</f>
        <v>Zatch Bell</v>
      </c>
      <c r="E708" s="42" t="str">
        <f>IFERROR(__xludf.DUMMYFUNCTION("""COMPUTED_VALUE"""),"-")</f>
        <v>-</v>
      </c>
      <c r="F708" s="42" t="str">
        <f>IFERROR(__xludf.DUMMYFUNCTION("""COMPUTED_VALUE"""),"-")</f>
        <v>-</v>
      </c>
      <c r="G708" s="42" t="str">
        <f>IFERROR(__xludf.DUMMYFUNCTION("""COMPUTED_VALUE"""),"Intermediate")</f>
        <v>Intermediate</v>
      </c>
      <c r="H708" s="42" t="str">
        <f>IFERROR(__xludf.DUMMYFUNCTION("""COMPUTED_VALUE"""),"Indomitable")</f>
        <v>Indomitable</v>
      </c>
      <c r="I708" s="43" t="str">
        <f>IFERROR(__xludf.DUMMYFUNCTION("""COMPUTED_VALUE"""),"This card is placed on a regular Zatch Bell MAMODO card. (Attack) (Defend) [1 MP] This card may Attack without using a SPELL card (Total Power=7000, Damage=1) OR, Defend without using a SPELL card (Total Power=9000).")</f>
        <v>This card is placed on a regular Zatch Bell MAMODO card. (Attack) (Defend) [1 MP] This card may Attack without using a SPELL card (Total Power=7000, Damage=1) OR, Defend without using a SPELL card (Total Power=9000).</v>
      </c>
      <c r="J708" s="42">
        <f>IFERROR(__xludf.DUMMYFUNCTION("""COMPUTED_VALUE"""),5000.0)</f>
        <v>5000</v>
      </c>
      <c r="K708" s="42" t="str">
        <f>IFERROR(__xludf.DUMMYFUNCTION("""COMPUTED_VALUE"""),"-")</f>
        <v>-</v>
      </c>
      <c r="L708" s="42" t="str">
        <f>IFERROR(__xludf.DUMMYFUNCTION("""COMPUTED_VALUE"""),"-")</f>
        <v>-</v>
      </c>
      <c r="M708" s="42" t="str">
        <f>IFERROR(__xludf.DUMMYFUNCTION("""COMPUTED_VALUE"""),"[R]")</f>
        <v>[R]</v>
      </c>
      <c r="N708" s="42" t="str">
        <f>IFERROR(__xludf.DUMMYFUNCTION("""COMPUTED_VALUE"""),"No matter what kind of ordeal comes his way, Zatch always stands strong and never gives up.")</f>
        <v>No matter what kind of ordeal comes his way, Zatch always stands strong and never gives up.</v>
      </c>
      <c r="O708" s="42"/>
      <c r="P708" s="42"/>
      <c r="Q708" s="42"/>
      <c r="R708" s="42"/>
      <c r="S708" s="42"/>
      <c r="T708" s="42"/>
      <c r="U708" s="42"/>
      <c r="V708" s="42"/>
      <c r="W708" s="42"/>
      <c r="X708" s="42"/>
      <c r="Y708" s="42"/>
      <c r="Z708" s="42"/>
    </row>
    <row r="709">
      <c r="A709" s="41" t="str">
        <f>IFERROR(__xludf.DUMMYFUNCTION("""COMPUTED_VALUE"""),"M-326")</f>
        <v>M-326</v>
      </c>
      <c r="B709" s="42" t="str">
        <f>IFERROR(__xludf.DUMMYFUNCTION("""COMPUTED_VALUE"""),"Mamodo")</f>
        <v>Mamodo</v>
      </c>
      <c r="C709" s="42" t="str">
        <f>IFERROR(__xludf.DUMMYFUNCTION("""COMPUTED_VALUE"""),"Kanchome")</f>
        <v>Kanchome</v>
      </c>
      <c r="D709" s="42" t="str">
        <f>IFERROR(__xludf.DUMMYFUNCTION("""COMPUTED_VALUE"""),"Kanchome")</f>
        <v>Kanchome</v>
      </c>
      <c r="E709" s="42" t="str">
        <f>IFERROR(__xludf.DUMMYFUNCTION("""COMPUTED_VALUE"""),"-")</f>
        <v>-</v>
      </c>
      <c r="F709" s="42" t="str">
        <f>IFERROR(__xludf.DUMMYFUNCTION("""COMPUTED_VALUE"""),"-")</f>
        <v>-</v>
      </c>
      <c r="G709" s="42" t="str">
        <f>IFERROR(__xludf.DUMMYFUNCTION("""COMPUTED_VALUE"""),"None")</f>
        <v>None</v>
      </c>
      <c r="H709" s="42" t="str">
        <f>IFERROR(__xludf.DUMMYFUNCTION("""COMPUTED_VALUE"""),"With All His Might")</f>
        <v>With All His Might</v>
      </c>
      <c r="I709" s="43" t="str">
        <f>IFERROR(__xludf.DUMMYFUNCTION("""COMPUTED_VALUE"""),"[1 MP] [STAY] Select 1 of your opponent's in-play cards (except MAMODO cards). Your opponent cannot apply the effects of the selected card during this turn.")</f>
        <v>[1 MP] [STAY] Select 1 of your opponent's in-play cards (except MAMODO cards). Your opponent cannot apply the effects of the selected card during this turn.</v>
      </c>
      <c r="J709" s="42">
        <f>IFERROR(__xludf.DUMMYFUNCTION("""COMPUTED_VALUE"""),2000.0)</f>
        <v>2000</v>
      </c>
      <c r="K709" s="42" t="str">
        <f>IFERROR(__xludf.DUMMYFUNCTION("""COMPUTED_VALUE"""),"-")</f>
        <v>-</v>
      </c>
      <c r="L709" s="42" t="str">
        <f>IFERROR(__xludf.DUMMYFUNCTION("""COMPUTED_VALUE"""),"-")</f>
        <v>-</v>
      </c>
      <c r="M709" s="42" t="str">
        <f>IFERROR(__xludf.DUMMYFUNCTION("""COMPUTED_VALUE"""),"[C]")</f>
        <v>[C]</v>
      </c>
      <c r="N709" s="42" t="str">
        <f>IFERROR(__xludf.DUMMYFUNCTION("""COMPUTED_VALUE"""),"Kanchome's hard work and determination are enough to make a miracle occur.")</f>
        <v>Kanchome's hard work and determination are enough to make a miracle occur.</v>
      </c>
      <c r="O709" s="42"/>
      <c r="P709" s="42"/>
      <c r="Q709" s="42"/>
      <c r="R709" s="42"/>
      <c r="S709" s="42"/>
      <c r="T709" s="42"/>
      <c r="U709" s="42"/>
      <c r="V709" s="42"/>
      <c r="W709" s="42"/>
      <c r="X709" s="42"/>
      <c r="Y709" s="42"/>
      <c r="Z709" s="42"/>
    </row>
    <row r="710">
      <c r="A710" s="41" t="str">
        <f>IFERROR(__xludf.DUMMYFUNCTION("""COMPUTED_VALUE"""),"M-327")</f>
        <v>M-327</v>
      </c>
      <c r="B710" s="42" t="str">
        <f>IFERROR(__xludf.DUMMYFUNCTION("""COMPUTED_VALUE"""),"Mamodo")</f>
        <v>Mamodo</v>
      </c>
      <c r="C710" s="42" t="str">
        <f>IFERROR(__xludf.DUMMYFUNCTION("""COMPUTED_VALUE"""),"Tia")</f>
        <v>Tia</v>
      </c>
      <c r="D710" s="42" t="str">
        <f>IFERROR(__xludf.DUMMYFUNCTION("""COMPUTED_VALUE"""),"Tia")</f>
        <v>Tia</v>
      </c>
      <c r="E710" s="42" t="str">
        <f>IFERROR(__xludf.DUMMYFUNCTION("""COMPUTED_VALUE"""),"-")</f>
        <v>-</v>
      </c>
      <c r="F710" s="42" t="str">
        <f>IFERROR(__xludf.DUMMYFUNCTION("""COMPUTED_VALUE"""),"-")</f>
        <v>-</v>
      </c>
      <c r="G710" s="42" t="str">
        <f>IFERROR(__xludf.DUMMYFUNCTION("""COMPUTED_VALUE"""),"None")</f>
        <v>None</v>
      </c>
      <c r="H710" s="42" t="str">
        <f>IFERROR(__xludf.DUMMYFUNCTION("""COMPUTED_VALUE"""),"An Incredible Comeback")</f>
        <v>An Incredible Comeback</v>
      </c>
      <c r="I710" s="43" t="str">
        <f>IFERROR(__xludf.DUMMYFUNCTION("""COMPUTED_VALUE"""),"[IN PLAY] When you are turning pages of your Spell Book as a result of Damage and you are about to pass the last page, stop turning pages and immediately end the BATTLE PHASE.")</f>
        <v>[IN PLAY] When you are turning pages of your Spell Book as a result of Damage and you are about to pass the last page, stop turning pages and immediately end the BATTLE PHASE.</v>
      </c>
      <c r="J710" s="42">
        <f>IFERROR(__xludf.DUMMYFUNCTION("""COMPUTED_VALUE"""),3000.0)</f>
        <v>3000</v>
      </c>
      <c r="K710" s="42" t="str">
        <f>IFERROR(__xludf.DUMMYFUNCTION("""COMPUTED_VALUE"""),"-")</f>
        <v>-</v>
      </c>
      <c r="L710" s="42" t="str">
        <f>IFERROR(__xludf.DUMMYFUNCTION("""COMPUTED_VALUE"""),"-")</f>
        <v>-</v>
      </c>
      <c r="M710" s="42" t="str">
        <f>IFERROR(__xludf.DUMMYFUNCTION("""COMPUTED_VALUE"""),"[C]")</f>
        <v>[C]</v>
      </c>
      <c r="N710" s="42" t="str">
        <f>IFERROR(__xludf.DUMMYFUNCTION("""COMPUTED_VALUE"""),"""If we're going to win this, we'll need everyone to give it their all!""")</f>
        <v>"If we're going to win this, we'll need everyone to give it their all!"</v>
      </c>
      <c r="O710" s="42"/>
      <c r="P710" s="42"/>
      <c r="Q710" s="42"/>
      <c r="R710" s="42"/>
      <c r="S710" s="42"/>
      <c r="T710" s="42"/>
      <c r="U710" s="42"/>
      <c r="V710" s="42"/>
      <c r="W710" s="42"/>
      <c r="X710" s="42"/>
      <c r="Y710" s="42"/>
      <c r="Z710" s="42"/>
    </row>
    <row r="711">
      <c r="A711" s="41" t="str">
        <f>IFERROR(__xludf.DUMMYFUNCTION("""COMPUTED_VALUE"""),"M-328")</f>
        <v>M-328</v>
      </c>
      <c r="B711" s="42" t="str">
        <f>IFERROR(__xludf.DUMMYFUNCTION("""COMPUTED_VALUE"""),"Mamodo")</f>
        <v>Mamodo</v>
      </c>
      <c r="C711" s="42" t="str">
        <f>IFERROR(__xludf.DUMMYFUNCTION("""COMPUTED_VALUE"""),"Ponygon")</f>
        <v>Ponygon</v>
      </c>
      <c r="D711" s="42" t="str">
        <f>IFERROR(__xludf.DUMMYFUNCTION("""COMPUTED_VALUE"""),"Ponygon")</f>
        <v>Ponygon</v>
      </c>
      <c r="E711" s="42" t="str">
        <f>IFERROR(__xludf.DUMMYFUNCTION("""COMPUTED_VALUE"""),"-")</f>
        <v>-</v>
      </c>
      <c r="F711" s="42" t="str">
        <f>IFERROR(__xludf.DUMMYFUNCTION("""COMPUTED_VALUE"""),"-")</f>
        <v>-</v>
      </c>
      <c r="G711" s="42" t="str">
        <f>IFERROR(__xludf.DUMMYFUNCTION("""COMPUTED_VALUE"""),"None")</f>
        <v>None</v>
      </c>
      <c r="H711" s="42" t="str">
        <f>IFERROR(__xludf.DUMMYFUNCTION("""COMPUTED_VALUE"""),"Reading the Book")</f>
        <v>Reading the Book</v>
      </c>
      <c r="I711" s="43" t="str">
        <f>IFERROR(__xludf.DUMMYFUNCTION("""COMPUTED_VALUE"""),"[2 MP] Look at the currently open pages of your opponent's Spell Book during your BATTE PHASE. If there are no SPELL cards, turn 1 page of your opponent's Spell Book.")</f>
        <v>[2 MP] Look at the currently open pages of your opponent's Spell Book during your BATTE PHASE. If there are no SPELL cards, turn 1 page of your opponent's Spell Book.</v>
      </c>
      <c r="J711" s="42">
        <f>IFERROR(__xludf.DUMMYFUNCTION("""COMPUTED_VALUE"""),2000.0)</f>
        <v>2000</v>
      </c>
      <c r="K711" s="42" t="str">
        <f>IFERROR(__xludf.DUMMYFUNCTION("""COMPUTED_VALUE"""),"-")</f>
        <v>-</v>
      </c>
      <c r="L711" s="42" t="str">
        <f>IFERROR(__xludf.DUMMYFUNCTION("""COMPUTED_VALUE"""),"-")</f>
        <v>-</v>
      </c>
      <c r="M711" s="42" t="str">
        <f>IFERROR(__xludf.DUMMYFUNCTION("""COMPUTED_VALUE"""),"[C]")</f>
        <v>[C]</v>
      </c>
      <c r="N711" s="42" t="str">
        <f>IFERROR(__xludf.DUMMYFUNCTION("""COMPUTED_VALUE"""),"Ponygon continues his search for anyone who can read his spell book.")</f>
        <v>Ponygon continues his search for anyone who can read his spell book.</v>
      </c>
      <c r="O711" s="42"/>
      <c r="P711" s="42"/>
      <c r="Q711" s="42"/>
      <c r="R711" s="42"/>
      <c r="S711" s="42"/>
      <c r="T711" s="42"/>
      <c r="U711" s="42"/>
      <c r="V711" s="42"/>
      <c r="W711" s="42"/>
      <c r="X711" s="42"/>
      <c r="Y711" s="42"/>
      <c r="Z711" s="42"/>
    </row>
    <row r="712">
      <c r="A712" s="41" t="str">
        <f>IFERROR(__xludf.DUMMYFUNCTION("""COMPUTED_VALUE"""),"M-329")</f>
        <v>M-329</v>
      </c>
      <c r="B712" s="42" t="str">
        <f>IFERROR(__xludf.DUMMYFUNCTION("""COMPUTED_VALUE"""),"Mamodo")</f>
        <v>Mamodo</v>
      </c>
      <c r="C712" s="42" t="str">
        <f>IFERROR(__xludf.DUMMYFUNCTION("""COMPUTED_VALUE"""),"Zatch Bell")</f>
        <v>Zatch Bell</v>
      </c>
      <c r="D712" s="42" t="str">
        <f>IFERROR(__xludf.DUMMYFUNCTION("""COMPUTED_VALUE"""),"Zatch Bell")</f>
        <v>Zatch Bell</v>
      </c>
      <c r="E712" s="42" t="str">
        <f>IFERROR(__xludf.DUMMYFUNCTION("""COMPUTED_VALUE"""),"-")</f>
        <v>-</v>
      </c>
      <c r="F712" s="42" t="str">
        <f>IFERROR(__xludf.DUMMYFUNCTION("""COMPUTED_VALUE"""),"-")</f>
        <v>-</v>
      </c>
      <c r="G712" s="42" t="str">
        <f>IFERROR(__xludf.DUMMYFUNCTION("""COMPUTED_VALUE"""),"None")</f>
        <v>None</v>
      </c>
      <c r="H712" s="42" t="str">
        <f>IFERROR(__xludf.DUMMYFUNCTION("""COMPUTED_VALUE"""),"Express Train")</f>
        <v>Express Train</v>
      </c>
      <c r="I712" s="43" t="str">
        <f>IFERROR(__xludf.DUMMYFUNCTION("""COMPUTED_VALUE"""),"[IN PLAY] You can turn up to 4 pages of your Spell Book instead of 3 during your START PHASE.")</f>
        <v>[IN PLAY] You can turn up to 4 pages of your Spell Book instead of 3 during your START PHASE.</v>
      </c>
      <c r="J712" s="42">
        <f>IFERROR(__xludf.DUMMYFUNCTION("""COMPUTED_VALUE"""),4000.0)</f>
        <v>4000</v>
      </c>
      <c r="K712" s="42" t="str">
        <f>IFERROR(__xludf.DUMMYFUNCTION("""COMPUTED_VALUE"""),"-")</f>
        <v>-</v>
      </c>
      <c r="L712" s="42" t="str">
        <f>IFERROR(__xludf.DUMMYFUNCTION("""COMPUTED_VALUE"""),"-")</f>
        <v>-</v>
      </c>
      <c r="M712" s="42" t="str">
        <f>IFERROR(__xludf.DUMMYFUNCTION("""COMPUTED_VALUE"""),"[R]")</f>
        <v>[R]</v>
      </c>
      <c r="N712" s="42" t="str">
        <f>IFERROR(__xludf.DUMMYFUNCTION("""COMPUTED_VALUE"""),"""Chugga chugga chugga chugga — look out for the Zatch Express!""")</f>
        <v>"Chugga chugga chugga chugga — look out for the Zatch Express!"</v>
      </c>
      <c r="O712" s="42"/>
      <c r="P712" s="42"/>
      <c r="Q712" s="42"/>
      <c r="R712" s="42"/>
      <c r="S712" s="42"/>
      <c r="T712" s="42"/>
      <c r="U712" s="42"/>
      <c r="V712" s="42"/>
      <c r="W712" s="42"/>
      <c r="X712" s="42"/>
      <c r="Y712" s="42"/>
      <c r="Z712" s="42"/>
    </row>
    <row r="713">
      <c r="A713" s="41" t="str">
        <f>IFERROR(__xludf.DUMMYFUNCTION("""COMPUTED_VALUE"""),"M-330")</f>
        <v>M-330</v>
      </c>
      <c r="B713" s="42" t="str">
        <f>IFERROR(__xludf.DUMMYFUNCTION("""COMPUTED_VALUE"""),"Dual Mamodo")</f>
        <v>Dual Mamodo</v>
      </c>
      <c r="C713" s="42" t="str">
        <f>IFERROR(__xludf.DUMMYFUNCTION("""COMPUTED_VALUE"""),"Zatch Bell &amp; Ponygon")</f>
        <v>Zatch Bell &amp; Ponygon</v>
      </c>
      <c r="D713" s="42" t="str">
        <f>IFERROR(__xludf.DUMMYFUNCTION("""COMPUTED_VALUE"""),"Zatch Bell | Ponygon")</f>
        <v>Zatch Bell | Ponygon</v>
      </c>
      <c r="E713" s="42" t="str">
        <f>IFERROR(__xludf.DUMMYFUNCTION("""COMPUTED_VALUE"""),"-")</f>
        <v>-</v>
      </c>
      <c r="F713" s="42" t="str">
        <f>IFERROR(__xludf.DUMMYFUNCTION("""COMPUTED_VALUE"""),"-")</f>
        <v>-</v>
      </c>
      <c r="G713" s="42" t="str">
        <f>IFERROR(__xludf.DUMMYFUNCTION("""COMPUTED_VALUE"""),"None")</f>
        <v>None</v>
      </c>
      <c r="H713" s="42" t="str">
        <f>IFERROR(__xludf.DUMMYFUNCTION("""COMPUTED_VALUE"""),"Leapfrogging Ponygon")</f>
        <v>Leapfrogging Ponygon</v>
      </c>
      <c r="I713" s="43" t="str">
        <f>IFERROR(__xludf.DUMMYFUNCTION("""COMPUTED_VALUE"""),"Send your in-play Zatch Bell or Ponygon MAMODO card to the Discard Pile to put this MAMODO card in play. [SEND THIS CARD TO THE DISCARD PILE] Turn 1 page of your opponent's Spell Book during their BATTLE PHASE.")</f>
        <v>Send your in-play Zatch Bell or Ponygon MAMODO card to the Discard Pile to put this MAMODO card in play. [SEND THIS CARD TO THE DISCARD PILE] Turn 1 page of your opponent's Spell Book during their BATTLE PHASE.</v>
      </c>
      <c r="J713" s="42">
        <f>IFERROR(__xludf.DUMMYFUNCTION("""COMPUTED_VALUE"""),4000.0)</f>
        <v>4000</v>
      </c>
      <c r="K713" s="42" t="str">
        <f>IFERROR(__xludf.DUMMYFUNCTION("""COMPUTED_VALUE"""),"-")</f>
        <v>-</v>
      </c>
      <c r="L713" s="42" t="str">
        <f>IFERROR(__xludf.DUMMYFUNCTION("""COMPUTED_VALUE"""),"-")</f>
        <v>-</v>
      </c>
      <c r="M713" s="42" t="str">
        <f>IFERROR(__xludf.DUMMYFUNCTION("""COMPUTED_VALUE"""),"[R]")</f>
        <v>[R]</v>
      </c>
      <c r="N713" s="42" t="str">
        <f>IFERROR(__xludf.DUMMYFUNCTION("""COMPUTED_VALUE"""),"""Leapfrogging Ponygon! The only leapfrogging horse you'll ever see!""")</f>
        <v>"Leapfrogging Ponygon! The only leapfrogging horse you'll ever see!"</v>
      </c>
      <c r="O713" s="42"/>
      <c r="P713" s="42"/>
      <c r="Q713" s="42"/>
      <c r="R713" s="42"/>
      <c r="S713" s="42"/>
      <c r="T713" s="42"/>
      <c r="U713" s="42"/>
      <c r="V713" s="42"/>
      <c r="W713" s="42"/>
      <c r="X713" s="42"/>
      <c r="Y713" s="42"/>
      <c r="Z713" s="42"/>
    </row>
    <row r="714">
      <c r="A714" s="41" t="str">
        <f>IFERROR(__xludf.DUMMYFUNCTION("""COMPUTED_VALUE"""),"M-331")</f>
        <v>M-331</v>
      </c>
      <c r="B714" s="42" t="str">
        <f>IFERROR(__xludf.DUMMYFUNCTION("""COMPUTED_VALUE"""),"Mamodo")</f>
        <v>Mamodo</v>
      </c>
      <c r="C714" s="42" t="str">
        <f>IFERROR(__xludf.DUMMYFUNCTION("""COMPUTED_VALUE"""),"Ponygon (Dioemur Shudoruk Form)")</f>
        <v>Ponygon (Dioemur Shudoruk Form)</v>
      </c>
      <c r="D714" s="42" t="str">
        <f>IFERROR(__xludf.DUMMYFUNCTION("""COMPUTED_VALUE"""),"Ponygon (Dioemur Shudoruk Form)")</f>
        <v>Ponygon (Dioemur Shudoruk Form)</v>
      </c>
      <c r="E714" s="42" t="str">
        <f>IFERROR(__xludf.DUMMYFUNCTION("""COMPUTED_VALUE"""),"-")</f>
        <v>-</v>
      </c>
      <c r="F714" s="42" t="str">
        <f>IFERROR(__xludf.DUMMYFUNCTION("""COMPUTED_VALUE"""),"-")</f>
        <v>-</v>
      </c>
      <c r="G714" s="42" t="str">
        <f>IFERROR(__xludf.DUMMYFUNCTION("""COMPUTED_VALUE"""),"None")</f>
        <v>None</v>
      </c>
      <c r="H714" s="42" t="str">
        <f>IFERROR(__xludf.DUMMYFUNCTION("""COMPUTED_VALUE"""),"Clad in Flames")</f>
        <v>Clad in Flames</v>
      </c>
      <c r="I714" s="43" t="str">
        <f>IFERROR(__xludf.DUMMYFUNCTION("""COMPUTED_VALUE"""),"This card is placed on a Ponygon MAMODO card when a Dioemur Shudoruk SPELL card is played for the Ponygon MAMODO card. [IN PLAY] When this MAMODO card is prohibited from SACRIFICING or PROTECTING your Spell Book from Damage as a result of your opponent's "&amp;"card effects, turn 1 of your opponent's MAMODO cards to Injured Status (this is not considered to be inflicting Damage or Injury).")</f>
        <v>This card is placed on a Ponygon MAMODO card when a Dioemur Shudoruk SPELL card is played for the Ponygon MAMODO card. [IN PLAY] When this MAMODO card is prohibited from SACRIFICING or PROTECTING your Spell Book from Damage as a result of your opponent's card effects, turn 1 of your opponent's MAMODO cards to Injured Status (this is not considered to be inflicting Damage or Injury).</v>
      </c>
      <c r="J714" s="42">
        <f>IFERROR(__xludf.DUMMYFUNCTION("""COMPUTED_VALUE"""),4000.0)</f>
        <v>4000</v>
      </c>
      <c r="K714" s="42" t="str">
        <f>IFERROR(__xludf.DUMMYFUNCTION("""COMPUTED_VALUE"""),"-")</f>
        <v>-</v>
      </c>
      <c r="L714" s="42" t="str">
        <f>IFERROR(__xludf.DUMMYFUNCTION("""COMPUTED_VALUE"""),"-")</f>
        <v>-</v>
      </c>
      <c r="M714" s="42" t="str">
        <f>IFERROR(__xludf.DUMMYFUNCTION("""COMPUTED_VALUE"""),"[R]")</f>
        <v>[R]</v>
      </c>
      <c r="N714" s="42" t="str">
        <f>IFERROR(__xludf.DUMMYFUNCTION("""COMPUTED_VALUE"""),"Ponygon struggles to control the rampant flames that surround his body.")</f>
        <v>Ponygon struggles to control the rampant flames that surround his body.</v>
      </c>
      <c r="O714" s="42"/>
      <c r="P714" s="42"/>
      <c r="Q714" s="42"/>
      <c r="R714" s="42"/>
      <c r="S714" s="42"/>
      <c r="T714" s="42"/>
      <c r="U714" s="42"/>
      <c r="V714" s="42"/>
      <c r="W714" s="42"/>
      <c r="X714" s="42"/>
      <c r="Y714" s="42"/>
      <c r="Z714" s="42"/>
    </row>
    <row r="715">
      <c r="A715" s="38" t="str">
        <f>IFERROR(__xludf.DUMMYFUNCTION("""COMPUTED_VALUE"""),"M-332")</f>
        <v>M-332</v>
      </c>
      <c r="B715" s="39" t="str">
        <f>IFERROR(__xludf.DUMMYFUNCTION("""COMPUTED_VALUE"""),"Mamodo")</f>
        <v>Mamodo</v>
      </c>
      <c r="C715" s="39" t="str">
        <f>IFERROR(__xludf.DUMMYFUNCTION("""COMPUTED_VALUE"""),"Zatch Bell")</f>
        <v>Zatch Bell</v>
      </c>
      <c r="D715" s="39" t="str">
        <f>IFERROR(__xludf.DUMMYFUNCTION("""COMPUTED_VALUE"""),"Zatch Bell")</f>
        <v>Zatch Bell</v>
      </c>
      <c r="E715" s="39" t="str">
        <f>IFERROR(__xludf.DUMMYFUNCTION("""COMPUTED_VALUE"""),"-")</f>
        <v>-</v>
      </c>
      <c r="F715" s="39" t="str">
        <f>IFERROR(__xludf.DUMMYFUNCTION("""COMPUTED_VALUE"""),"-")</f>
        <v>-</v>
      </c>
      <c r="G715" s="39" t="str">
        <f>IFERROR(__xludf.DUMMYFUNCTION("""COMPUTED_VALUE"""),"None")</f>
        <v>None</v>
      </c>
      <c r="H715" s="39" t="str">
        <f>IFERROR(__xludf.DUMMYFUNCTION("""COMPUTED_VALUE"""),"Surging with Valor")</f>
        <v>Surging with Valor</v>
      </c>
      <c r="I715" s="40" t="str">
        <f>IFERROR(__xludf.DUMMYFUNCTION("""COMPUTED_VALUE"""),"[IN PLAY] Negate 1 [Stay] or [Standby] effect when this MAMODO card is put in play. Then, get 2 MP.")</f>
        <v>[IN PLAY] Negate 1 [Stay] or [Standby] effect when this MAMODO card is put in play. Then, get 2 MP.</v>
      </c>
      <c r="J715" s="39">
        <f>IFERROR(__xludf.DUMMYFUNCTION("""COMPUTED_VALUE"""),4000.0)</f>
        <v>4000</v>
      </c>
      <c r="K715" s="39" t="str">
        <f>IFERROR(__xludf.DUMMYFUNCTION("""COMPUTED_VALUE"""),"-")</f>
        <v>-</v>
      </c>
      <c r="L715" s="39" t="str">
        <f>IFERROR(__xludf.DUMMYFUNCTION("""COMPUTED_VALUE"""),"-")</f>
        <v>-</v>
      </c>
      <c r="M715" s="39" t="str">
        <f>IFERROR(__xludf.DUMMYFUNCTION("""COMPUTED_VALUE"""),"[C]")</f>
        <v>[C]</v>
      </c>
      <c r="N715" s="39" t="str">
        <f>IFERROR(__xludf.DUMMYFUNCTION("""COMPUTED_VALUE"""),"“I’m gonna save everybody on Earth!” In his moment of decision, Zatch proves to everyone that he just might have what it takes to be King.")</f>
        <v>“I’m gonna save everybody on Earth!” In his moment of decision, Zatch proves to everyone that he just might have what it takes to be King.</v>
      </c>
      <c r="O715" s="39"/>
      <c r="P715" s="39"/>
      <c r="Q715" s="39"/>
      <c r="R715" s="39"/>
      <c r="S715" s="39"/>
      <c r="T715" s="39"/>
      <c r="U715" s="39"/>
      <c r="V715" s="39"/>
      <c r="W715" s="39"/>
      <c r="X715" s="39"/>
      <c r="Y715" s="39"/>
      <c r="Z715" s="39"/>
    </row>
    <row r="716">
      <c r="A716" s="41" t="str">
        <f>IFERROR(__xludf.DUMMYFUNCTION("""COMPUTED_VALUE"""),"M-333")</f>
        <v>M-333</v>
      </c>
      <c r="B716" s="42" t="str">
        <f>IFERROR(__xludf.DUMMYFUNCTION("""COMPUTED_VALUE"""),"Mamodo")</f>
        <v>Mamodo</v>
      </c>
      <c r="C716" s="42" t="str">
        <f>IFERROR(__xludf.DUMMYFUNCTION("""COMPUTED_VALUE"""),"Kanchomé")</f>
        <v>Kanchomé</v>
      </c>
      <c r="D716" s="42" t="str">
        <f>IFERROR(__xludf.DUMMYFUNCTION("""COMPUTED_VALUE"""),"Kanchomé")</f>
        <v>Kanchomé</v>
      </c>
      <c r="E716" s="42" t="str">
        <f>IFERROR(__xludf.DUMMYFUNCTION("""COMPUTED_VALUE"""),"-")</f>
        <v>-</v>
      </c>
      <c r="F716" s="42" t="str">
        <f>IFERROR(__xludf.DUMMYFUNCTION("""COMPUTED_VALUE"""),"-")</f>
        <v>-</v>
      </c>
      <c r="G716" s="42" t="str">
        <f>IFERROR(__xludf.DUMMYFUNCTION("""COMPUTED_VALUE"""),"None")</f>
        <v>None</v>
      </c>
      <c r="H716" s="42" t="str">
        <f>IFERROR(__xludf.DUMMYFUNCTION("""COMPUTED_VALUE"""),"Overflowing with Hope")</f>
        <v>Overflowing with Hope</v>
      </c>
      <c r="I716" s="43" t="str">
        <f>IFERROR(__xludf.DUMMYFUNCTION("""COMPUTED_VALUE"""),"[IN PLAY] Apply both of the following effects in any order when you put this MAMODO card in play: ● Turn 1 page of your Spell Book. Effects that turn pages of your Spell Book can be applied only once per turn (per player). ● Get 2 MP.")</f>
        <v>[IN PLAY] Apply both of the following effects in any order when you put this MAMODO card in play: ● Turn 1 page of your Spell Book. Effects that turn pages of your Spell Book can be applied only once per turn (per player). ● Get 2 MP.</v>
      </c>
      <c r="J716" s="42">
        <f>IFERROR(__xludf.DUMMYFUNCTION("""COMPUTED_VALUE"""),4000.0)</f>
        <v>4000</v>
      </c>
      <c r="K716" s="42" t="str">
        <f>IFERROR(__xludf.DUMMYFUNCTION("""COMPUTED_VALUE"""),"-")</f>
        <v>-</v>
      </c>
      <c r="L716" s="42" t="str">
        <f>IFERROR(__xludf.DUMMYFUNCTION("""COMPUTED_VALUE"""),"-")</f>
        <v>-</v>
      </c>
      <c r="M716" s="42" t="str">
        <f>IFERROR(__xludf.DUMMYFUNCTION("""COMPUTED_VALUE"""),"[SR]")</f>
        <v>[SR]</v>
      </c>
      <c r="N716" s="42" t="str">
        <f>IFERROR(__xludf.DUMMYFUNCTION("""COMPUTED_VALUE"""),"""I told you, didn't I? I said I was gonna save everyone!""")</f>
        <v>"I told you, didn't I? I said I was gonna save everyone!"</v>
      </c>
      <c r="O716" s="42"/>
      <c r="P716" s="42"/>
      <c r="Q716" s="42"/>
      <c r="R716" s="42"/>
      <c r="S716" s="42"/>
      <c r="T716" s="42"/>
      <c r="U716" s="42"/>
      <c r="V716" s="42"/>
      <c r="W716" s="42"/>
      <c r="X716" s="42"/>
      <c r="Y716" s="42"/>
      <c r="Z716" s="42"/>
    </row>
    <row r="717">
      <c r="A717" s="41" t="str">
        <f>IFERROR(__xludf.DUMMYFUNCTION("""COMPUTED_VALUE"""),"M-334")</f>
        <v>M-334</v>
      </c>
      <c r="B717" s="42" t="str">
        <f>IFERROR(__xludf.DUMMYFUNCTION("""COMPUTED_VALUE"""),"Mamodo")</f>
        <v>Mamodo</v>
      </c>
      <c r="C717" s="42" t="str">
        <f>IFERROR(__xludf.DUMMYFUNCTION("""COMPUTED_VALUE"""),"Kanchomé (Double)")</f>
        <v>Kanchomé (Double)</v>
      </c>
      <c r="D717" s="42" t="str">
        <f>IFERROR(__xludf.DUMMYFUNCTION("""COMPUTED_VALUE"""),"Kanchomé")</f>
        <v>Kanchomé</v>
      </c>
      <c r="E717" s="42" t="str">
        <f>IFERROR(__xludf.DUMMYFUNCTION("""COMPUTED_VALUE"""),"-")</f>
        <v>-</v>
      </c>
      <c r="F717" s="42" t="str">
        <f>IFERROR(__xludf.DUMMYFUNCTION("""COMPUTED_VALUE"""),"-")</f>
        <v>-</v>
      </c>
      <c r="G717" s="42" t="str">
        <f>IFERROR(__xludf.DUMMYFUNCTION("""COMPUTED_VALUE"""),"None")</f>
        <v>None</v>
      </c>
      <c r="H717" s="42" t="str">
        <f>IFERROR(__xludf.DUMMYFUNCTION("""COMPUTED_VALUE"""),"Deep Desires")</f>
        <v>Deep Desires</v>
      </c>
      <c r="I717" s="43" t="str">
        <f>IFERROR(__xludf.DUMMYFUNCTION("""COMPUTED_VALUE"""),"This MAMODO card is put in play when you play a Dima Buruk SPELL card. No SPELL cards can be played for this MAMODO card (except ""Command"" SPELL cards with Kanchomé (Double) as their MAMODO name). [SEND THIS CARD TO THE DISCARD PILE] (Battle) Negate a c"&amp;"ard effect that inflicts Damage or Injury during the Battle. [SEND THIS CARD TO THE DISCARD PILE] (Cut-In) Negate the card effect your opponent just applied that sends any cards to the Discard Pile.")</f>
        <v>This MAMODO card is put in play when you play a Dima Buruk SPELL card. No SPELL cards can be played for this MAMODO card (except "Command" SPELL cards with Kanchomé (Double) as their MAMODO name). [SEND THIS CARD TO THE DISCARD PILE] (Battle) Negate a card effect that inflicts Damage or Injury during the Battle. [SEND THIS CARD TO THE DISCARD PILE] (Cut-In) Negate the card effect your opponent just applied that sends any cards to the Discard Pile.</v>
      </c>
      <c r="J717" s="42">
        <f>IFERROR(__xludf.DUMMYFUNCTION("""COMPUTED_VALUE"""),2000.0)</f>
        <v>2000</v>
      </c>
      <c r="K717" s="42" t="str">
        <f>IFERROR(__xludf.DUMMYFUNCTION("""COMPUTED_VALUE"""),"-")</f>
        <v>-</v>
      </c>
      <c r="L717" s="42" t="str">
        <f>IFERROR(__xludf.DUMMYFUNCTION("""COMPUTED_VALUE"""),"-")</f>
        <v>-</v>
      </c>
      <c r="M717" s="42" t="str">
        <f>IFERROR(__xludf.DUMMYFUNCTION("""COMPUTED_VALUE"""),"[R]")</f>
        <v>[R]</v>
      </c>
      <c r="N717" s="42" t="str">
        <f>IFERROR(__xludf.DUMMYFUNCTION("""COMPUTED_VALUE"""),"""I'll stay here and keep an eye on the big guy!""")</f>
        <v>"I'll stay here and keep an eye on the big guy!"</v>
      </c>
      <c r="O717" s="42"/>
      <c r="P717" s="42"/>
      <c r="Q717" s="42"/>
      <c r="R717" s="42"/>
      <c r="S717" s="42"/>
      <c r="T717" s="42"/>
      <c r="U717" s="42"/>
      <c r="V717" s="42"/>
      <c r="W717" s="42"/>
      <c r="X717" s="42"/>
      <c r="Y717" s="42"/>
      <c r="Z717" s="42"/>
    </row>
    <row r="718">
      <c r="A718" s="41" t="str">
        <f>IFERROR(__xludf.DUMMYFUNCTION("""COMPUTED_VALUE"""),"M-335")</f>
        <v>M-335</v>
      </c>
      <c r="B718" s="42" t="str">
        <f>IFERROR(__xludf.DUMMYFUNCTION("""COMPUTED_VALUE"""),"Mamodo")</f>
        <v>Mamodo</v>
      </c>
      <c r="C718" s="42" t="str">
        <f>IFERROR(__xludf.DUMMYFUNCTION("""COMPUTED_VALUE"""),"Kanchomé (Double)")</f>
        <v>Kanchomé (Double)</v>
      </c>
      <c r="D718" s="42" t="str">
        <f>IFERROR(__xludf.DUMMYFUNCTION("""COMPUTED_VALUE"""),"Kanchomé")</f>
        <v>Kanchomé</v>
      </c>
      <c r="E718" s="42" t="str">
        <f>IFERROR(__xludf.DUMMYFUNCTION("""COMPUTED_VALUE"""),"-")</f>
        <v>-</v>
      </c>
      <c r="F718" s="42" t="str">
        <f>IFERROR(__xludf.DUMMYFUNCTION("""COMPUTED_VALUE"""),"-")</f>
        <v>-</v>
      </c>
      <c r="G718" s="42" t="str">
        <f>IFERROR(__xludf.DUMMYFUNCTION("""COMPUTED_VALUE"""),"None")</f>
        <v>None</v>
      </c>
      <c r="H718" s="42" t="str">
        <f>IFERROR(__xludf.DUMMYFUNCTION("""COMPUTED_VALUE"""),"Protective Will")</f>
        <v>Protective Will</v>
      </c>
      <c r="I718" s="43" t="str">
        <f>IFERROR(__xludf.DUMMYFUNCTION("""COMPUTED_VALUE"""),"This MAMODO card is put in play when you play a Dima Buruk SPELL card. No SPELL cards can be played for this MAMODO card (except ""Command"" SPELL cards with Kanchomé (Double) as their MAMODO name). [SEND THIS CARD TO THE DISCARD PILE] (Battle) Negate a c"&amp;"ard effect that inflicts Damage or Injury during the Battle. [SEND THIS CARD TO THE DISCARD PILE] (Cut-In) Negate the card effect your opponent just applied that turns pages of your Spell Book.")</f>
        <v>This MAMODO card is put in play when you play a Dima Buruk SPELL card. No SPELL cards can be played for this MAMODO card (except "Command" SPELL cards with Kanchomé (Double) as their MAMODO name). [SEND THIS CARD TO THE DISCARD PILE] (Battle) Negate a card effect that inflicts Damage or Injury during the Battle. [SEND THIS CARD TO THE DISCARD PILE] (Cut-In) Negate the card effect your opponent just applied that turns pages of your Spell Book.</v>
      </c>
      <c r="J718" s="42">
        <f>IFERROR(__xludf.DUMMYFUNCTION("""COMPUTED_VALUE"""),2000.0)</f>
        <v>2000</v>
      </c>
      <c r="K718" s="42" t="str">
        <f>IFERROR(__xludf.DUMMYFUNCTION("""COMPUTED_VALUE"""),"-")</f>
        <v>-</v>
      </c>
      <c r="L718" s="42" t="str">
        <f>IFERROR(__xludf.DUMMYFUNCTION("""COMPUTED_VALUE"""),"-")</f>
        <v>-</v>
      </c>
      <c r="M718" s="42" t="str">
        <f>IFERROR(__xludf.DUMMYFUNCTION("""COMPUTED_VALUE"""),"[R]")</f>
        <v>[R]</v>
      </c>
      <c r="N718" s="42" t="str">
        <f>IFERROR(__xludf.DUMMYFUNCTION("""COMPUTED_VALUE"""),"""Well, I haven't gone to the bathroom this morning, so I don't think I'll be able to do much.""")</f>
        <v>"Well, I haven't gone to the bathroom this morning, so I don't think I'll be able to do much."</v>
      </c>
      <c r="O718" s="42"/>
      <c r="P718" s="42"/>
      <c r="Q718" s="42"/>
      <c r="R718" s="42"/>
      <c r="S718" s="42"/>
      <c r="T718" s="42"/>
      <c r="U718" s="42"/>
      <c r="V718" s="42"/>
      <c r="W718" s="42"/>
      <c r="X718" s="42"/>
      <c r="Y718" s="42"/>
      <c r="Z718" s="42"/>
    </row>
    <row r="719">
      <c r="A719" s="41" t="str">
        <f>IFERROR(__xludf.DUMMYFUNCTION("""COMPUTED_VALUE"""),"M-336")</f>
        <v>M-336</v>
      </c>
      <c r="B719" s="42" t="str">
        <f>IFERROR(__xludf.DUMMYFUNCTION("""COMPUTED_VALUE"""),"Mamodo")</f>
        <v>Mamodo</v>
      </c>
      <c r="C719" s="42" t="str">
        <f>IFERROR(__xludf.DUMMYFUNCTION("""COMPUTED_VALUE"""),"Tia")</f>
        <v>Tia</v>
      </c>
      <c r="D719" s="42" t="str">
        <f>IFERROR(__xludf.DUMMYFUNCTION("""COMPUTED_VALUE"""),"Tia")</f>
        <v>Tia</v>
      </c>
      <c r="E719" s="42" t="str">
        <f>IFERROR(__xludf.DUMMYFUNCTION("""COMPUTED_VALUE"""),"-")</f>
        <v>-</v>
      </c>
      <c r="F719" s="42" t="str">
        <f>IFERROR(__xludf.DUMMYFUNCTION("""COMPUTED_VALUE"""),"-")</f>
        <v>-</v>
      </c>
      <c r="G719" s="42" t="str">
        <f>IFERROR(__xludf.DUMMYFUNCTION("""COMPUTED_VALUE"""),"None")</f>
        <v>None</v>
      </c>
      <c r="H719" s="42" t="str">
        <f>IFERROR(__xludf.DUMMYFUNCTION("""COMPUTED_VALUE"""),"Shining Bond")</f>
        <v>Shining Bond</v>
      </c>
      <c r="I719" s="43" t="str">
        <f>IFERROR(__xludf.DUMMYFUNCTION("""COMPUTED_VALUE"""),"[IN PLAY] When this MAMODO card is put in play, select 1 MAMODO or PARTNER card from any page of your Spell Book and put it in play.")</f>
        <v>[IN PLAY] When this MAMODO card is put in play, select 1 MAMODO or PARTNER card from any page of your Spell Book and put it in play.</v>
      </c>
      <c r="J719" s="42">
        <f>IFERROR(__xludf.DUMMYFUNCTION("""COMPUTED_VALUE"""),3000.0)</f>
        <v>3000</v>
      </c>
      <c r="K719" s="42" t="str">
        <f>IFERROR(__xludf.DUMMYFUNCTION("""COMPUTED_VALUE"""),"-")</f>
        <v>-</v>
      </c>
      <c r="L719" s="42" t="str">
        <f>IFERROR(__xludf.DUMMYFUNCTION("""COMPUTED_VALUE"""),"-")</f>
        <v>-</v>
      </c>
      <c r="M719" s="42" t="str">
        <f>IFERROR(__xludf.DUMMYFUNCTION("""COMPUTED_VALUE"""),"[C]")</f>
        <v>[C]</v>
      </c>
      <c r="N719" s="42" t="str">
        <f>IFERROR(__xludf.DUMMYFUNCTION("""COMPUTED_VALUE"""),"""I've found a friend who I can trust."" This is the reason for Tia's bright and cheerful smile.")</f>
        <v>"I've found a friend who I can trust." This is the reason for Tia's bright and cheerful smile.</v>
      </c>
      <c r="O719" s="42"/>
      <c r="P719" s="42"/>
      <c r="Q719" s="42"/>
      <c r="R719" s="42"/>
      <c r="S719" s="42"/>
      <c r="T719" s="42"/>
      <c r="U719" s="42"/>
      <c r="V719" s="42"/>
      <c r="W719" s="42"/>
      <c r="X719" s="42"/>
      <c r="Y719" s="42"/>
      <c r="Z719" s="42"/>
    </row>
    <row r="720">
      <c r="A720" s="41" t="str">
        <f>IFERROR(__xludf.DUMMYFUNCTION("""COMPUTED_VALUE"""),"M-337")</f>
        <v>M-337</v>
      </c>
      <c r="B720" s="42" t="str">
        <f>IFERROR(__xludf.DUMMYFUNCTION("""COMPUTED_VALUE"""),"Mamodo")</f>
        <v>Mamodo</v>
      </c>
      <c r="C720" s="42" t="str">
        <f>IFERROR(__xludf.DUMMYFUNCTION("""COMPUTED_VALUE"""),"Ponygon")</f>
        <v>Ponygon</v>
      </c>
      <c r="D720" s="42" t="str">
        <f>IFERROR(__xludf.DUMMYFUNCTION("""COMPUTED_VALUE"""),"Ponygon")</f>
        <v>Ponygon</v>
      </c>
      <c r="E720" s="42" t="str">
        <f>IFERROR(__xludf.DUMMYFUNCTION("""COMPUTED_VALUE"""),"-")</f>
        <v>-</v>
      </c>
      <c r="F720" s="42" t="str">
        <f>IFERROR(__xludf.DUMMYFUNCTION("""COMPUTED_VALUE"""),"-")</f>
        <v>-</v>
      </c>
      <c r="G720" s="42" t="str">
        <f>IFERROR(__xludf.DUMMYFUNCTION("""COMPUTED_VALUE"""),"None")</f>
        <v>None</v>
      </c>
      <c r="H720" s="42" t="str">
        <f>IFERROR(__xludf.DUMMYFUNCTION("""COMPUTED_VALUE"""),"Preemptive Strike")</f>
        <v>Preemptive Strike</v>
      </c>
      <c r="I720" s="43" t="str">
        <f>IFERROR(__xludf.DUMMYFUNCTION("""COMPUTED_VALUE"""),"(Attack) [1 MP] This card may Attack without using a SPELL card (Total Power=6000, Damage=1). When you inflict Damage or Injury, your opponent cannot play SPELL cards until the END PHASE of the next turn ([STAY]).")</f>
        <v>(Attack) [1 MP] This card may Attack without using a SPELL card (Total Power=6000, Damage=1). When you inflict Damage or Injury, your opponent cannot play SPELL cards until the END PHASE of the next turn ([STAY]).</v>
      </c>
      <c r="J720" s="42">
        <f>IFERROR(__xludf.DUMMYFUNCTION("""COMPUTED_VALUE"""),3000.0)</f>
        <v>3000</v>
      </c>
      <c r="K720" s="42" t="str">
        <f>IFERROR(__xludf.DUMMYFUNCTION("""COMPUTED_VALUE"""),"-")</f>
        <v>-</v>
      </c>
      <c r="L720" s="42" t="str">
        <f>IFERROR(__xludf.DUMMYFUNCTION("""COMPUTED_VALUE"""),"-")</f>
        <v>-</v>
      </c>
      <c r="M720" s="42" t="str">
        <f>IFERROR(__xludf.DUMMYFUNCTION("""COMPUTED_VALUE"""),"[C]")</f>
        <v>[C]</v>
      </c>
      <c r="N720" s="42" t="str">
        <f>IFERROR(__xludf.DUMMYFUNCTION("""COMPUTED_VALUE"""),"""Ponygon! We'd better hit them now, before they launch an attack on us!""")</f>
        <v>"Ponygon! We'd better hit them now, before they launch an attack on us!"</v>
      </c>
      <c r="O720" s="42"/>
      <c r="P720" s="42"/>
      <c r="Q720" s="42"/>
      <c r="R720" s="42"/>
      <c r="S720" s="42"/>
      <c r="T720" s="42"/>
      <c r="U720" s="42"/>
      <c r="V720" s="42"/>
      <c r="W720" s="42"/>
      <c r="X720" s="42"/>
      <c r="Y720" s="42"/>
      <c r="Z720" s="42"/>
    </row>
    <row r="721">
      <c r="A721" s="41" t="str">
        <f>IFERROR(__xludf.DUMMYFUNCTION("""COMPUTED_VALUE"""),"M-338")</f>
        <v>M-338</v>
      </c>
      <c r="B721" s="42" t="str">
        <f>IFERROR(__xludf.DUMMYFUNCTION("""COMPUTED_VALUE"""),"Mamodo")</f>
        <v>Mamodo</v>
      </c>
      <c r="C721" s="42" t="str">
        <f>IFERROR(__xludf.DUMMYFUNCTION("""COMPUTED_VALUE"""),"Bari")</f>
        <v>Bari</v>
      </c>
      <c r="D721" s="42" t="str">
        <f>IFERROR(__xludf.DUMMYFUNCTION("""COMPUTED_VALUE"""),"Bari")</f>
        <v>Bari</v>
      </c>
      <c r="E721" s="42" t="str">
        <f>IFERROR(__xludf.DUMMYFUNCTION("""COMPUTED_VALUE"""),"-")</f>
        <v>-</v>
      </c>
      <c r="F721" s="42" t="str">
        <f>IFERROR(__xludf.DUMMYFUNCTION("""COMPUTED_VALUE"""),"-")</f>
        <v>-</v>
      </c>
      <c r="G721" s="42" t="str">
        <f>IFERROR(__xludf.DUMMYFUNCTION("""COMPUTED_VALUE"""),"None")</f>
        <v>None</v>
      </c>
      <c r="H721" s="42" t="str">
        <f>IFERROR(__xludf.DUMMYFUNCTION("""COMPUTED_VALUE"""),"Unrivaled Strength")</f>
        <v>Unrivaled Strength</v>
      </c>
      <c r="I721" s="43" t="str">
        <f>IFERROR(__xludf.DUMMYFUNCTION("""COMPUTED_VALUE"""),"[DECLARE TO USE] If your opponent did not Defend against this MAMODO card's Attack during this turn, turn 1 page of your opponent's Spell Book.")</f>
        <v>[DECLARE TO USE] If your opponent did not Defend against this MAMODO card's Attack during this turn, turn 1 page of your opponent's Spell Book.</v>
      </c>
      <c r="J721" s="42">
        <f>IFERROR(__xludf.DUMMYFUNCTION("""COMPUTED_VALUE"""),5000.0)</f>
        <v>5000</v>
      </c>
      <c r="K721" s="42" t="str">
        <f>IFERROR(__xludf.DUMMYFUNCTION("""COMPUTED_VALUE"""),"-")</f>
        <v>-</v>
      </c>
      <c r="L721" s="42" t="str">
        <f>IFERROR(__xludf.DUMMYFUNCTION("""COMPUTED_VALUE"""),"-")</f>
        <v>-</v>
      </c>
      <c r="M721" s="42" t="str">
        <f>IFERROR(__xludf.DUMMYFUNCTION("""COMPUTED_VALUE"""),"[SR]")</f>
        <v>[SR]</v>
      </c>
      <c r="N721" s="42" t="str">
        <f>IFERROR(__xludf.DUMMYFUNCTION("""COMPUTED_VALUE"""),"""A strong king...strong enough to destroy anyone who challenges me with just one strike from my mighty fist!""")</f>
        <v>"A strong king...strong enough to destroy anyone who challenges me with just one strike from my mighty fist!"</v>
      </c>
      <c r="O721" s="42"/>
      <c r="P721" s="42"/>
      <c r="Q721" s="42"/>
      <c r="R721" s="42"/>
      <c r="S721" s="42"/>
      <c r="T721" s="42"/>
      <c r="U721" s="42"/>
      <c r="V721" s="42"/>
      <c r="W721" s="42"/>
      <c r="X721" s="42"/>
      <c r="Y721" s="42"/>
      <c r="Z721" s="42"/>
    </row>
    <row r="722">
      <c r="A722" s="38" t="str">
        <f>IFERROR(__xludf.DUMMYFUNCTION("""COMPUTED_VALUE"""),"M-339")</f>
        <v>M-339</v>
      </c>
      <c r="B722" s="39" t="str">
        <f>IFERROR(__xludf.DUMMYFUNCTION("""COMPUTED_VALUE"""),"Mamodo")</f>
        <v>Mamodo</v>
      </c>
      <c r="C722" s="39" t="str">
        <f>IFERROR(__xludf.DUMMYFUNCTION("""COMPUTED_VALUE"""),"Arth")</f>
        <v>Arth</v>
      </c>
      <c r="D722" s="39" t="str">
        <f>IFERROR(__xludf.DUMMYFUNCTION("""COMPUTED_VALUE"""),"Arth")</f>
        <v>Arth</v>
      </c>
      <c r="E722" s="39" t="str">
        <f>IFERROR(__xludf.DUMMYFUNCTION("""COMPUTED_VALUE"""),"-")</f>
        <v>-</v>
      </c>
      <c r="F722" s="39" t="str">
        <f>IFERROR(__xludf.DUMMYFUNCTION("""COMPUTED_VALUE"""),"-")</f>
        <v>-</v>
      </c>
      <c r="G722" s="39" t="str">
        <f>IFERROR(__xludf.DUMMYFUNCTION("""COMPUTED_VALUE"""),"None")</f>
        <v>None</v>
      </c>
      <c r="H722" s="39" t="str">
        <f>IFERROR(__xludf.DUMMYFUNCTION("""COMPUTED_VALUE"""),"Illusory Artifice")</f>
        <v>Illusory Artifice</v>
      </c>
      <c r="I722" s="40" t="str">
        <f>IFERROR(__xludf.DUMMYFUNCTION("""COMPUTED_VALUE"""),"[1 MP] [STAY] During the Battle when this MAMODO card Attacks, neither player can apply the effects of cards (except SPELL cards).")</f>
        <v>[1 MP] [STAY] During the Battle when this MAMODO card Attacks, neither player can apply the effects of cards (except SPELL cards).</v>
      </c>
      <c r="J722" s="39">
        <f>IFERROR(__xludf.DUMMYFUNCTION("""COMPUTED_VALUE"""),5000.0)</f>
        <v>5000</v>
      </c>
      <c r="K722" s="39" t="str">
        <f>IFERROR(__xludf.DUMMYFUNCTION("""COMPUTED_VALUE"""),"-")</f>
        <v>-</v>
      </c>
      <c r="L722" s="39" t="str">
        <f>IFERROR(__xludf.DUMMYFUNCTION("""COMPUTED_VALUE"""),"-")</f>
        <v>-</v>
      </c>
      <c r="M722" s="39" t="str">
        <f>IFERROR(__xludf.DUMMYFUNCTION("""COMPUTED_VALUE"""),"[U]")</f>
        <v>[U]</v>
      </c>
      <c r="N722" s="39" t="str">
        <f>IFERROR(__xludf.DUMMYFUNCTION("""COMPUTED_VALUE"""),"""What?! An illusion?!"" Arth's impending assault was nothing more than a mirage. His true target is...!")</f>
        <v>"What?! An illusion?!" Arth's impending assault was nothing more than a mirage. His true target is...!</v>
      </c>
      <c r="O722" s="39"/>
      <c r="P722" s="39"/>
      <c r="Q722" s="39"/>
      <c r="R722" s="39"/>
      <c r="S722" s="39"/>
      <c r="T722" s="39"/>
      <c r="U722" s="39"/>
      <c r="V722" s="39"/>
      <c r="W722" s="39"/>
      <c r="X722" s="39"/>
      <c r="Y722" s="39"/>
      <c r="Z722" s="39"/>
    </row>
    <row r="723">
      <c r="A723" s="41" t="str">
        <f>IFERROR(__xludf.DUMMYFUNCTION("""COMPUTED_VALUE"""),"M-340")</f>
        <v>M-340</v>
      </c>
      <c r="B723" s="42" t="str">
        <f>IFERROR(__xludf.DUMMYFUNCTION("""COMPUTED_VALUE"""),"Mamodo")</f>
        <v>Mamodo</v>
      </c>
      <c r="C723" s="42" t="str">
        <f>IFERROR(__xludf.DUMMYFUNCTION("""COMPUTED_VALUE"""),"Momon")</f>
        <v>Momon</v>
      </c>
      <c r="D723" s="42" t="str">
        <f>IFERROR(__xludf.DUMMYFUNCTION("""COMPUTED_VALUE"""),"Momon")</f>
        <v>Momon</v>
      </c>
      <c r="E723" s="42" t="str">
        <f>IFERROR(__xludf.DUMMYFUNCTION("""COMPUTED_VALUE"""),"-")</f>
        <v>-</v>
      </c>
      <c r="F723" s="42" t="str">
        <f>IFERROR(__xludf.DUMMYFUNCTION("""COMPUTED_VALUE"""),"-")</f>
        <v>-</v>
      </c>
      <c r="G723" s="42" t="str">
        <f>IFERROR(__xludf.DUMMYFUNCTION("""COMPUTED_VALUE"""),"None")</f>
        <v>None</v>
      </c>
      <c r="H723" s="42" t="str">
        <f>IFERROR(__xludf.DUMMYFUNCTION("""COMPUTED_VALUE"""),"Naughty Monkey")</f>
        <v>Naughty Monkey</v>
      </c>
      <c r="I723" s="43" t="str">
        <f>IFERROR(__xludf.DUMMYFUNCTION("""COMPUTED_VALUE"""),"[DECLARE TO USE] [STANDBY] Turn 1 additional page of your opponent’s Spell Book with the next card effect you apply during this turn that turns pages of their Spell Book.")</f>
        <v>[DECLARE TO USE] [STANDBY] Turn 1 additional page of your opponent’s Spell Book with the next card effect you apply during this turn that turns pages of their Spell Book.</v>
      </c>
      <c r="J723" s="42">
        <f>IFERROR(__xludf.DUMMYFUNCTION("""COMPUTED_VALUE"""),1000.0)</f>
        <v>1000</v>
      </c>
      <c r="K723" s="42" t="str">
        <f>IFERROR(__xludf.DUMMYFUNCTION("""COMPUTED_VALUE"""),"-")</f>
        <v>-</v>
      </c>
      <c r="L723" s="42" t="str">
        <f>IFERROR(__xludf.DUMMYFUNCTION("""COMPUTED_VALUE"""),"-")</f>
        <v>-</v>
      </c>
      <c r="M723" s="42" t="str">
        <f>IFERROR(__xludf.DUMMYFUNCTION("""COMPUTED_VALUE"""),"[C]")</f>
        <v>[C]</v>
      </c>
      <c r="N723" s="42" t="str">
        <f>IFERROR(__xludf.DUMMYFUNCTION("""COMPUTED_VALUE"""),"""Wow, that's cool!""")</f>
        <v>"Wow, that's cool!"</v>
      </c>
      <c r="O723" s="42"/>
      <c r="P723" s="42"/>
      <c r="Q723" s="42"/>
      <c r="R723" s="42"/>
      <c r="S723" s="42"/>
      <c r="T723" s="42"/>
      <c r="U723" s="42"/>
      <c r="V723" s="42"/>
      <c r="W723" s="42"/>
      <c r="X723" s="42"/>
      <c r="Y723" s="42"/>
      <c r="Z723" s="42"/>
    </row>
    <row r="724">
      <c r="A724" s="41" t="str">
        <f>IFERROR(__xludf.DUMMYFUNCTION("""COMPUTED_VALUE"""),"M-341")</f>
        <v>M-341</v>
      </c>
      <c r="B724" s="42" t="str">
        <f>IFERROR(__xludf.DUMMYFUNCTION("""COMPUTED_VALUE"""),"Mamodo")</f>
        <v>Mamodo</v>
      </c>
      <c r="C724" s="42" t="str">
        <f>IFERROR(__xludf.DUMMYFUNCTION("""COMPUTED_VALUE"""),"Zeno")</f>
        <v>Zeno</v>
      </c>
      <c r="D724" s="42" t="str">
        <f>IFERROR(__xludf.DUMMYFUNCTION("""COMPUTED_VALUE"""),"Zeno")</f>
        <v>Zeno</v>
      </c>
      <c r="E724" s="42" t="str">
        <f>IFERROR(__xludf.DUMMYFUNCTION("""COMPUTED_VALUE"""),"-")</f>
        <v>-</v>
      </c>
      <c r="F724" s="42" t="str">
        <f>IFERROR(__xludf.DUMMYFUNCTION("""COMPUTED_VALUE"""),"-")</f>
        <v>-</v>
      </c>
      <c r="G724" s="42" t="str">
        <f>IFERROR(__xludf.DUMMYFUNCTION("""COMPUTED_VALUE"""),"None")</f>
        <v>None</v>
      </c>
      <c r="H724" s="42" t="str">
        <f>IFERROR(__xludf.DUMMYFUNCTION("""COMPUTED_VALUE"""),"A New Perspective")</f>
        <v>A New Perspective</v>
      </c>
      <c r="I724" s="43" t="str">
        <f>IFERROR(__xludf.DUMMYFUNCTION("""COMPUTED_VALUE"""),"[DECLARE TO USE] Look at the currently open pages of your opponent's Spell Book and select 1 EVENT card. Play the selected EVENT card with its MP cost considered to be 0, as if it were your own. This effect can be applied only once per game (per player).")</f>
        <v>[DECLARE TO USE] Look at the currently open pages of your opponent's Spell Book and select 1 EVENT card. Play the selected EVENT card with its MP cost considered to be 0, as if it were your own. This effect can be applied only once per game (per player).</v>
      </c>
      <c r="J724" s="42">
        <f>IFERROR(__xludf.DUMMYFUNCTION("""COMPUTED_VALUE"""),6000.0)</f>
        <v>6000</v>
      </c>
      <c r="K724" s="42" t="str">
        <f>IFERROR(__xludf.DUMMYFUNCTION("""COMPUTED_VALUE"""),"-")</f>
        <v>-</v>
      </c>
      <c r="L724" s="42" t="str">
        <f>IFERROR(__xludf.DUMMYFUNCTION("""COMPUTED_VALUE"""),"-")</f>
        <v>-</v>
      </c>
      <c r="M724" s="42" t="str">
        <f>IFERROR(__xludf.DUMMYFUNCTION("""COMPUTED_VALUE"""),"[SR]")</f>
        <v>[SR]</v>
      </c>
      <c r="N724" s="42" t="str">
        <f>IFERROR(__xludf.DUMMYFUNCTION("""COMPUTED_VALUE"""),"""You'll be able to see it soon enough.""")</f>
        <v>"You'll be able to see it soon enough."</v>
      </c>
      <c r="O724" s="42"/>
      <c r="P724" s="42"/>
      <c r="Q724" s="42"/>
      <c r="R724" s="42"/>
      <c r="S724" s="42"/>
      <c r="T724" s="42"/>
      <c r="U724" s="42"/>
      <c r="V724" s="42"/>
      <c r="W724" s="42"/>
      <c r="X724" s="42"/>
      <c r="Y724" s="42"/>
      <c r="Z724" s="42"/>
    </row>
    <row r="725">
      <c r="A725" s="38" t="str">
        <f>IFERROR(__xludf.DUMMYFUNCTION("""COMPUTED_VALUE"""),"M-342")</f>
        <v>M-342</v>
      </c>
      <c r="B725" s="39" t="str">
        <f>IFERROR(__xludf.DUMMYFUNCTION("""COMPUTED_VALUE"""),"Mamodo")</f>
        <v>Mamodo</v>
      </c>
      <c r="C725" s="39" t="str">
        <f>IFERROR(__xludf.DUMMYFUNCTION("""COMPUTED_VALUE"""),"Riou")</f>
        <v>Riou</v>
      </c>
      <c r="D725" s="39" t="str">
        <f>IFERROR(__xludf.DUMMYFUNCTION("""COMPUTED_VALUE"""),"Riou")</f>
        <v>Riou</v>
      </c>
      <c r="E725" s="39" t="str">
        <f>IFERROR(__xludf.DUMMYFUNCTION("""COMPUTED_VALUE"""),"-")</f>
        <v>-</v>
      </c>
      <c r="F725" s="39" t="str">
        <f>IFERROR(__xludf.DUMMYFUNCTION("""COMPUTED_VALUE"""),"-")</f>
        <v>-</v>
      </c>
      <c r="G725" s="39" t="str">
        <f>IFERROR(__xludf.DUMMYFUNCTION("""COMPUTED_VALUE"""),"None")</f>
        <v>None</v>
      </c>
      <c r="H725" s="39" t="str">
        <f>IFERROR(__xludf.DUMMYFUNCTION("""COMPUTED_VALUE"""),"Curse Ritual")</f>
        <v>Curse Ritual</v>
      </c>
      <c r="I725" s="40" t="str">
        <f>IFERROR(__xludf.DUMMYFUNCTION("""COMPUTED_VALUE"""),"[3 MP] Select up to 4 of your opponent's PARTNER cards (they can be in-play and/or from any page of your opponent's Spell Book) and send them to the Discard Pile. This effect can be applied only once per game (per player).")</f>
        <v>[3 MP] Select up to 4 of your opponent's PARTNER cards (they can be in-play and/or from any page of your opponent's Spell Book) and send them to the Discard Pile. This effect can be applied only once per game (per player).</v>
      </c>
      <c r="J725" s="39">
        <f>IFERROR(__xludf.DUMMYFUNCTION("""COMPUTED_VALUE"""),6000.0)</f>
        <v>6000</v>
      </c>
      <c r="K725" s="39" t="str">
        <f>IFERROR(__xludf.DUMMYFUNCTION("""COMPUTED_VALUE"""),"-")</f>
        <v>-</v>
      </c>
      <c r="L725" s="39" t="str">
        <f>IFERROR(__xludf.DUMMYFUNCTION("""COMPUTED_VALUE"""),"-")</f>
        <v>-</v>
      </c>
      <c r="M725" s="39" t="str">
        <f>IFERROR(__xludf.DUMMYFUNCTION("""COMPUTED_VALUE"""),"[SR]")</f>
        <v>[SR]</v>
      </c>
      <c r="N725" s="39" t="str">
        <f>IFERROR(__xludf.DUMMYFUNCTION("""COMPUTED_VALUE"""),"""I guess this is... my limit... if I keep going, my life will be in danger.""")</f>
        <v>"I guess this is... my limit... if I keep going, my life will be in danger."</v>
      </c>
      <c r="O725" s="39"/>
      <c r="P725" s="39"/>
      <c r="Q725" s="39"/>
      <c r="R725" s="39"/>
      <c r="S725" s="39"/>
      <c r="T725" s="39"/>
      <c r="U725" s="39"/>
      <c r="V725" s="39"/>
      <c r="W725" s="39"/>
      <c r="X725" s="39"/>
      <c r="Y725" s="39"/>
      <c r="Z725" s="39"/>
    </row>
    <row r="726">
      <c r="A726" s="38" t="str">
        <f>IFERROR(__xludf.DUMMYFUNCTION("""COMPUTED_VALUE"""),"M-343")</f>
        <v>M-343</v>
      </c>
      <c r="B726" s="39" t="str">
        <f>IFERROR(__xludf.DUMMYFUNCTION("""COMPUTED_VALUE"""),"Mamodo")</f>
        <v>Mamodo</v>
      </c>
      <c r="C726" s="39" t="str">
        <f>IFERROR(__xludf.DUMMYFUNCTION("""COMPUTED_VALUE"""),"Purio")</f>
        <v>Purio</v>
      </c>
      <c r="D726" s="39" t="str">
        <f>IFERROR(__xludf.DUMMYFUNCTION("""COMPUTED_VALUE"""),"Purio")</f>
        <v>Purio</v>
      </c>
      <c r="E726" s="39" t="str">
        <f>IFERROR(__xludf.DUMMYFUNCTION("""COMPUTED_VALUE"""),"-")</f>
        <v>-</v>
      </c>
      <c r="F726" s="39" t="str">
        <f>IFERROR(__xludf.DUMMYFUNCTION("""COMPUTED_VALUE"""),"-")</f>
        <v>-</v>
      </c>
      <c r="G726" s="39" t="str">
        <f>IFERROR(__xludf.DUMMYFUNCTION("""COMPUTED_VALUE"""),"None")</f>
        <v>None</v>
      </c>
      <c r="H726" s="39" t="str">
        <f>IFERROR(__xludf.DUMMYFUNCTION("""COMPUTED_VALUE"""),"Luxurious Mansion")</f>
        <v>Luxurious Mansion</v>
      </c>
      <c r="I726" s="40" t="str">
        <f>IFERROR(__xludf.DUMMYFUNCTION("""COMPUTED_VALUE"""),"[IN PLAY] Apply both of the following effects in order during each player's END PHASE: ● Turn this MAMODO card to Normal Status (even if Petrified). ● Negate 1 [Stay] or [Standby] effect.")</f>
        <v>[IN PLAY] Apply both of the following effects in order during each player's END PHASE: ● Turn this MAMODO card to Normal Status (even if Petrified). ● Negate 1 [Stay] or [Standby] effect.</v>
      </c>
      <c r="J726" s="39">
        <f>IFERROR(__xludf.DUMMYFUNCTION("""COMPUTED_VALUE"""),1000.0)</f>
        <v>1000</v>
      </c>
      <c r="K726" s="39" t="str">
        <f>IFERROR(__xludf.DUMMYFUNCTION("""COMPUTED_VALUE"""),"-")</f>
        <v>-</v>
      </c>
      <c r="L726" s="39" t="str">
        <f>IFERROR(__xludf.DUMMYFUNCTION("""COMPUTED_VALUE"""),"-")</f>
        <v>-</v>
      </c>
      <c r="M726" s="39" t="str">
        <f>IFERROR(__xludf.DUMMYFUNCTION("""COMPUTED_VALUE"""),"[C]")</f>
        <v>[C]</v>
      </c>
      <c r="N726" s="39" t="str">
        <f>IFERROR(__xludf.DUMMYFUNCTION("""COMPUTED_VALUE"""),"""We've gotta take the room with the best view on the top floor!""")</f>
        <v>"We've gotta take the room with the best view on the top floor!"</v>
      </c>
      <c r="O726" s="39"/>
      <c r="P726" s="39"/>
      <c r="Q726" s="39"/>
      <c r="R726" s="39"/>
      <c r="S726" s="39"/>
      <c r="T726" s="39"/>
      <c r="U726" s="39"/>
      <c r="V726" s="39"/>
      <c r="W726" s="39"/>
      <c r="X726" s="39"/>
      <c r="Y726" s="39"/>
      <c r="Z726" s="39"/>
    </row>
    <row r="727">
      <c r="A727" s="38" t="str">
        <f>IFERROR(__xludf.DUMMYFUNCTION("""COMPUTED_VALUE"""),"M-344")</f>
        <v>M-344</v>
      </c>
      <c r="B727" s="39" t="str">
        <f>IFERROR(__xludf.DUMMYFUNCTION("""COMPUTED_VALUE"""),"Mamodo")</f>
        <v>Mamodo</v>
      </c>
      <c r="C727" s="39" t="str">
        <f>IFERROR(__xludf.DUMMYFUNCTION("""COMPUTED_VALUE"""),"Rodeaux")</f>
        <v>Rodeaux</v>
      </c>
      <c r="D727" s="39" t="str">
        <f>IFERROR(__xludf.DUMMYFUNCTION("""COMPUTED_VALUE"""),"Rodeaux")</f>
        <v>Rodeaux</v>
      </c>
      <c r="E727" s="39" t="str">
        <f>IFERROR(__xludf.DUMMYFUNCTION("""COMPUTED_VALUE"""),"-")</f>
        <v>-</v>
      </c>
      <c r="F727" s="39" t="str">
        <f>IFERROR(__xludf.DUMMYFUNCTION("""COMPUTED_VALUE"""),"-")</f>
        <v>-</v>
      </c>
      <c r="G727" s="39" t="str">
        <f>IFERROR(__xludf.DUMMYFUNCTION("""COMPUTED_VALUE"""),"None")</f>
        <v>None</v>
      </c>
      <c r="H727" s="39" t="str">
        <f>IFERROR(__xludf.DUMMYFUNCTION("""COMPUTED_VALUE"""),"No Bite To It!")</f>
        <v>No Bite To It!</v>
      </c>
      <c r="I727" s="40" t="str">
        <f>IFERROR(__xludf.DUMMYFUNCTION("""COMPUTED_VALUE"""),"[2 MP] Turn pages of your opponent's Spell Book equal to the number of your opponent's in-play MAMODO cards with an ""Attack"" Icon times 1.")</f>
        <v>[2 MP] Turn pages of your opponent's Spell Book equal to the number of your opponent's in-play MAMODO cards with an "Attack" Icon times 1.</v>
      </c>
      <c r="J727" s="39">
        <f>IFERROR(__xludf.DUMMYFUNCTION("""COMPUTED_VALUE"""),5000.0)</f>
        <v>5000</v>
      </c>
      <c r="K727" s="39" t="str">
        <f>IFERROR(__xludf.DUMMYFUNCTION("""COMPUTED_VALUE"""),"-")</f>
        <v>-</v>
      </c>
      <c r="L727" s="39" t="str">
        <f>IFERROR(__xludf.DUMMYFUNCTION("""COMPUTED_VALUE"""),"-")</f>
        <v>-</v>
      </c>
      <c r="M727" s="39" t="str">
        <f>IFERROR(__xludf.DUMMYFUNCTION("""COMPUTED_VALUE"""),"[R]")</f>
        <v>[R]</v>
      </c>
      <c r="N727" s="39" t="str">
        <f>IFERROR(__xludf.DUMMYFUNCTION("""COMPUTED_VALUE"""),"""Hmph, a strength enhancement spell... but still... it's got no bite to it!""")</f>
        <v>"Hmph, a strength enhancement spell... but still... it's got no bite to it!"</v>
      </c>
      <c r="O727" s="39"/>
      <c r="P727" s="39"/>
      <c r="Q727" s="39"/>
      <c r="R727" s="39"/>
      <c r="S727" s="39"/>
      <c r="T727" s="39"/>
      <c r="U727" s="39"/>
      <c r="V727" s="39"/>
      <c r="W727" s="39"/>
      <c r="X727" s="39"/>
      <c r="Y727" s="39"/>
      <c r="Z727" s="39"/>
    </row>
    <row r="728">
      <c r="A728" s="41" t="str">
        <f>IFERROR(__xludf.DUMMYFUNCTION("""COMPUTED_VALUE"""),"M-345")</f>
        <v>M-345</v>
      </c>
      <c r="B728" s="42" t="str">
        <f>IFERROR(__xludf.DUMMYFUNCTION("""COMPUTED_VALUE"""),"Mamodo")</f>
        <v>Mamodo</v>
      </c>
      <c r="C728" s="42" t="str">
        <f>IFERROR(__xludf.DUMMYFUNCTION("""COMPUTED_VALUE"""),"Zaruchim")</f>
        <v>Zaruchim</v>
      </c>
      <c r="D728" s="42" t="str">
        <f>IFERROR(__xludf.DUMMYFUNCTION("""COMPUTED_VALUE"""),"Zaruchim")</f>
        <v>Zaruchim</v>
      </c>
      <c r="E728" s="42" t="str">
        <f>IFERROR(__xludf.DUMMYFUNCTION("""COMPUTED_VALUE"""),"-")</f>
        <v>-</v>
      </c>
      <c r="F728" s="42" t="str">
        <f>IFERROR(__xludf.DUMMYFUNCTION("""COMPUTED_VALUE"""),"-")</f>
        <v>-</v>
      </c>
      <c r="G728" s="42" t="str">
        <f>IFERROR(__xludf.DUMMYFUNCTION("""COMPUTED_VALUE"""),"None")</f>
        <v>None</v>
      </c>
      <c r="H728" s="42" t="str">
        <f>IFERROR(__xludf.DUMMYFUNCTION("""COMPUTED_VALUE"""),"Clairvoyance")</f>
        <v>Clairvoyance</v>
      </c>
      <c r="I728" s="43" t="str">
        <f>IFERROR(__xludf.DUMMYFUNCTION("""COMPUTED_VALUE"""),"[IN PLAY] Your opponent cannot apply the effects of any cards in pages other than the currently open pages of their Spell Book (they can still put cards in play).")</f>
        <v>[IN PLAY] Your opponent cannot apply the effects of any cards in pages other than the currently open pages of their Spell Book (they can still put cards in play).</v>
      </c>
      <c r="J728" s="42">
        <f>IFERROR(__xludf.DUMMYFUNCTION("""COMPUTED_VALUE"""),5000.0)</f>
        <v>5000</v>
      </c>
      <c r="K728" s="42" t="str">
        <f>IFERROR(__xludf.DUMMYFUNCTION("""COMPUTED_VALUE"""),"-")</f>
        <v>-</v>
      </c>
      <c r="L728" s="42" t="str">
        <f>IFERROR(__xludf.DUMMYFUNCTION("""COMPUTED_VALUE"""),"-")</f>
        <v>-</v>
      </c>
      <c r="M728" s="42" t="str">
        <f>IFERROR(__xludf.DUMMYFUNCTION("""COMPUTED_VALUE"""),"[R]")</f>
        <v>[R]</v>
      </c>
      <c r="N728" s="42" t="str">
        <f>IFERROR(__xludf.DUMMYFUNCTION("""COMPUTED_VALUE"""),"""I don't know who it is, but there's someone who's been watching our every move.""")</f>
        <v>"I don't know who it is, but there's someone who's been watching our every move."</v>
      </c>
      <c r="O728" s="42"/>
      <c r="P728" s="42"/>
      <c r="Q728" s="42"/>
      <c r="R728" s="42"/>
      <c r="S728" s="42"/>
      <c r="T728" s="42"/>
      <c r="U728" s="42"/>
      <c r="V728" s="42"/>
      <c r="W728" s="42"/>
      <c r="X728" s="42"/>
      <c r="Y728" s="42"/>
      <c r="Z728" s="42"/>
    </row>
    <row r="729">
      <c r="A729" s="41" t="str">
        <f>IFERROR(__xludf.DUMMYFUNCTION("""COMPUTED_VALUE"""),"M-346")</f>
        <v>M-346</v>
      </c>
      <c r="B729" s="42" t="str">
        <f>IFERROR(__xludf.DUMMYFUNCTION("""COMPUTED_VALUE"""),"Mamodo")</f>
        <v>Mamodo</v>
      </c>
      <c r="C729" s="42" t="str">
        <f>IFERROR(__xludf.DUMMYFUNCTION("""COMPUTED_VALUE"""),"Buzarai")</f>
        <v>Buzarai</v>
      </c>
      <c r="D729" s="42" t="str">
        <f>IFERROR(__xludf.DUMMYFUNCTION("""COMPUTED_VALUE"""),"Buzarai")</f>
        <v>Buzarai</v>
      </c>
      <c r="E729" s="42" t="str">
        <f>IFERROR(__xludf.DUMMYFUNCTION("""COMPUTED_VALUE"""),"-")</f>
        <v>-</v>
      </c>
      <c r="F729" s="42" t="str">
        <f>IFERROR(__xludf.DUMMYFUNCTION("""COMPUTED_VALUE"""),"-")</f>
        <v>-</v>
      </c>
      <c r="G729" s="42" t="str">
        <f>IFERROR(__xludf.DUMMYFUNCTION("""COMPUTED_VALUE"""),"None")</f>
        <v>None</v>
      </c>
      <c r="H729" s="42" t="str">
        <f>IFERROR(__xludf.DUMMYFUNCTION("""COMPUTED_VALUE"""),"Blade Wielder")</f>
        <v>Blade Wielder</v>
      </c>
      <c r="I729" s="43" t="str">
        <f>IFERROR(__xludf.DUMMYFUNCTION("""COMPUTED_VALUE"""),"[IN PLAY] If your opponent has no MAMODO cards in play at the END PHASE of their turn, and are unable to put a MAMODO card in play from within the following 4 pages of their Spell Book, you win the game.")</f>
        <v>[IN PLAY] If your opponent has no MAMODO cards in play at the END PHASE of their turn, and are unable to put a MAMODO card in play from within the following 4 pages of their Spell Book, you win the game.</v>
      </c>
      <c r="J729" s="42">
        <f>IFERROR(__xludf.DUMMYFUNCTION("""COMPUTED_VALUE"""),5000.0)</f>
        <v>5000</v>
      </c>
      <c r="K729" s="42" t="str">
        <f>IFERROR(__xludf.DUMMYFUNCTION("""COMPUTED_VALUE"""),"-")</f>
        <v>-</v>
      </c>
      <c r="L729" s="42" t="str">
        <f>IFERROR(__xludf.DUMMYFUNCTION("""COMPUTED_VALUE"""),"-")</f>
        <v>-</v>
      </c>
      <c r="M729" s="42" t="str">
        <f>IFERROR(__xludf.DUMMYFUNCTION("""COMPUTED_VALUE"""),"[R]")</f>
        <v>[R]</v>
      </c>
      <c r="N729" s="42" t="str">
        <f>IFERROR(__xludf.DUMMYFUNCTION("""COMPUTED_VALUE"""),"A silent warrior who manipulates gigantic bladed weaponry. Accompanied by Keith, he is dispatched by Riou to eliminate the intruders.")</f>
        <v>A silent warrior who manipulates gigantic bladed weaponry. Accompanied by Keith, he is dispatched by Riou to eliminate the intruders.</v>
      </c>
      <c r="O729" s="42"/>
      <c r="P729" s="42"/>
      <c r="Q729" s="42"/>
      <c r="R729" s="42"/>
      <c r="S729" s="42"/>
      <c r="T729" s="42"/>
      <c r="U729" s="42"/>
      <c r="V729" s="42"/>
      <c r="W729" s="42"/>
      <c r="X729" s="42"/>
      <c r="Y729" s="42"/>
      <c r="Z729" s="42"/>
    </row>
    <row r="730">
      <c r="A730" s="41" t="str">
        <f>IFERROR(__xludf.DUMMYFUNCTION("""COMPUTED_VALUE"""),"M-347")</f>
        <v>M-347</v>
      </c>
      <c r="B730" s="42" t="str">
        <f>IFERROR(__xludf.DUMMYFUNCTION("""COMPUTED_VALUE"""),"Mamodo")</f>
        <v>Mamodo</v>
      </c>
      <c r="C730" s="42" t="str">
        <f>IFERROR(__xludf.DUMMYFUNCTION("""COMPUTED_VALUE"""),"Keith")</f>
        <v>Keith</v>
      </c>
      <c r="D730" s="42" t="str">
        <f>IFERROR(__xludf.DUMMYFUNCTION("""COMPUTED_VALUE"""),"Keith")</f>
        <v>Keith</v>
      </c>
      <c r="E730" s="42" t="str">
        <f>IFERROR(__xludf.DUMMYFUNCTION("""COMPUTED_VALUE"""),"-")</f>
        <v>-</v>
      </c>
      <c r="F730" s="42" t="str">
        <f>IFERROR(__xludf.DUMMYFUNCTION("""COMPUTED_VALUE"""),"-")</f>
        <v>-</v>
      </c>
      <c r="G730" s="42" t="str">
        <f>IFERROR(__xludf.DUMMYFUNCTION("""COMPUTED_VALUE"""),"None")</f>
        <v>None</v>
      </c>
      <c r="H730" s="42" t="str">
        <f>IFERROR(__xludf.DUMMYFUNCTION("""COMPUTED_VALUE"""),"Senseless But Powerful!")</f>
        <v>Senseless But Powerful!</v>
      </c>
      <c r="I730" s="43" t="str">
        <f>IFERROR(__xludf.DUMMYFUNCTION("""COMPUTED_VALUE"""),"(Battle) [1 MP] [STAY] Your opponent cannot play EVENT cards during the Battle.")</f>
        <v>(Battle) [1 MP] [STAY] Your opponent cannot play EVENT cards during the Battle.</v>
      </c>
      <c r="J730" s="42">
        <f>IFERROR(__xludf.DUMMYFUNCTION("""COMPUTED_VALUE"""),5000.0)</f>
        <v>5000</v>
      </c>
      <c r="K730" s="42" t="str">
        <f>IFERROR(__xludf.DUMMYFUNCTION("""COMPUTED_VALUE"""),"-")</f>
        <v>-</v>
      </c>
      <c r="L730" s="42" t="str">
        <f>IFERROR(__xludf.DUMMYFUNCTION("""COMPUTED_VALUE"""),"-")</f>
        <v>-</v>
      </c>
      <c r="M730" s="42" t="str">
        <f>IFERROR(__xludf.DUMMYFUNCTION("""COMPUTED_VALUE"""),"[SR]")</f>
        <v>[SR]</v>
      </c>
      <c r="N730" s="42" t="str">
        <f>IFERROR(__xludf.DUMMYFUNCTION("""COMPUTED_VALUE"""),"""You'd better take this battle seriously...otherwise, none of you will make it out of here alive.""")</f>
        <v>"You'd better take this battle seriously...otherwise, none of you will make it out of here alive."</v>
      </c>
      <c r="O730" s="42"/>
      <c r="P730" s="42"/>
      <c r="Q730" s="42"/>
      <c r="R730" s="42"/>
      <c r="S730" s="42"/>
      <c r="T730" s="42"/>
      <c r="U730" s="42"/>
      <c r="V730" s="42"/>
      <c r="W730" s="42"/>
      <c r="X730" s="42"/>
      <c r="Y730" s="42"/>
      <c r="Z730" s="42"/>
    </row>
    <row r="731">
      <c r="A731" s="41" t="str">
        <f>IFERROR(__xludf.DUMMYFUNCTION("""COMPUTED_VALUE"""),"M-348")</f>
        <v>M-348</v>
      </c>
      <c r="B731" s="42" t="str">
        <f>IFERROR(__xludf.DUMMYFUNCTION("""COMPUTED_VALUE"""),"Mamodo")</f>
        <v>Mamodo</v>
      </c>
      <c r="C731" s="42" t="str">
        <f>IFERROR(__xludf.DUMMYFUNCTION("""COMPUTED_VALUE"""),"Cherish")</f>
        <v>Cherish</v>
      </c>
      <c r="D731" s="42" t="str">
        <f>IFERROR(__xludf.DUMMYFUNCTION("""COMPUTED_VALUE"""),"Cherish")</f>
        <v>Cherish</v>
      </c>
      <c r="E731" s="42" t="str">
        <f>IFERROR(__xludf.DUMMYFUNCTION("""COMPUTED_VALUE"""),"-")</f>
        <v>-</v>
      </c>
      <c r="F731" s="42" t="str">
        <f>IFERROR(__xludf.DUMMYFUNCTION("""COMPUTED_VALUE"""),"-")</f>
        <v>-</v>
      </c>
      <c r="G731" s="42" t="str">
        <f>IFERROR(__xludf.DUMMYFUNCTION("""COMPUTED_VALUE"""),"None")</f>
        <v>None</v>
      </c>
      <c r="H731" s="42" t="str">
        <f>IFERROR(__xludf.DUMMYFUNCTION("""COMPUTED_VALUE"""),"Someone Important")</f>
        <v>Someone Important</v>
      </c>
      <c r="I731" s="43" t="str">
        <f>IFERROR(__xludf.DUMMYFUNCTION("""COMPUTED_VALUE"""),"[1 MP] Get 2 MP.")</f>
        <v>[1 MP] Get 2 MP.</v>
      </c>
      <c r="J731" s="42">
        <f>IFERROR(__xludf.DUMMYFUNCTION("""COMPUTED_VALUE"""),4000.0)</f>
        <v>4000</v>
      </c>
      <c r="K731" s="42" t="str">
        <f>IFERROR(__xludf.DUMMYFUNCTION("""COMPUTED_VALUE"""),"-")</f>
        <v>-</v>
      </c>
      <c r="L731" s="42" t="str">
        <f>IFERROR(__xludf.DUMMYFUNCTION("""COMPUTED_VALUE"""),"-")</f>
        <v>-</v>
      </c>
      <c r="M731" s="42" t="str">
        <f>IFERROR(__xludf.DUMMYFUNCTION("""COMPUTED_VALUE"""),"[R]")</f>
        <v>[R]</v>
      </c>
      <c r="N731" s="42" t="str">
        <f>IFERROR(__xludf.DUMMYFUNCTION("""COMPUTED_VALUE"""),"""Isn't the spell ready yet, Nicole?""")</f>
        <v>"Isn't the spell ready yet, Nicole?"</v>
      </c>
      <c r="O731" s="42"/>
      <c r="P731" s="42"/>
      <c r="Q731" s="42"/>
      <c r="R731" s="42"/>
      <c r="S731" s="42"/>
      <c r="T731" s="42"/>
      <c r="U731" s="42"/>
      <c r="V731" s="42"/>
      <c r="W731" s="42"/>
      <c r="X731" s="42"/>
      <c r="Y731" s="42"/>
      <c r="Z731" s="42"/>
    </row>
    <row r="732">
      <c r="A732" s="41" t="str">
        <f>IFERROR(__xludf.DUMMYFUNCTION("""COMPUTED_VALUE"""),"M-349")</f>
        <v>M-349</v>
      </c>
      <c r="B732" s="42" t="str">
        <f>IFERROR(__xludf.DUMMYFUNCTION("""COMPUTED_VALUE"""),"Mamodo")</f>
        <v>Mamodo</v>
      </c>
      <c r="C732" s="42" t="str">
        <f>IFERROR(__xludf.DUMMYFUNCTION("""COMPUTED_VALUE"""),"Wonrei")</f>
        <v>Wonrei</v>
      </c>
      <c r="D732" s="42" t="str">
        <f>IFERROR(__xludf.DUMMYFUNCTION("""COMPUTED_VALUE"""),"Wonrei")</f>
        <v>Wonrei</v>
      </c>
      <c r="E732" s="42" t="str">
        <f>IFERROR(__xludf.DUMMYFUNCTION("""COMPUTED_VALUE"""),"-")</f>
        <v>-</v>
      </c>
      <c r="F732" s="42" t="str">
        <f>IFERROR(__xludf.DUMMYFUNCTION("""COMPUTED_VALUE"""),"-")</f>
        <v>-</v>
      </c>
      <c r="G732" s="42" t="str">
        <f>IFERROR(__xludf.DUMMYFUNCTION("""COMPUTED_VALUE"""),"None")</f>
        <v>None</v>
      </c>
      <c r="H732" s="42" t="str">
        <f>IFERROR(__xludf.DUMMYFUNCTION("""COMPUTED_VALUE"""),"For Love")</f>
        <v>For Love</v>
      </c>
      <c r="I732" s="43" t="str">
        <f>IFERROR(__xludf.DUMMYFUNCTION("""COMPUTED_VALUE"""),"[IN PLAY] When a Li-en PARTNER card is attached to this MAMODO card, apply all of the following effects: ● Your MP cannot be reduced by your opponent's card effects. ● Your opponent cannot turn pages of your Spell Book with their card effects (except from"&amp;" Damage). ● Your opponent cannot discard your in-play cards with their card effects.")</f>
        <v>[IN PLAY] When a Li-en PARTNER card is attached to this MAMODO card, apply all of the following effects: ● Your MP cannot be reduced by your opponent's card effects. ● Your opponent cannot turn pages of your Spell Book with their card effects (except from Damage). ● Your opponent cannot discard your in-play cards with their card effects.</v>
      </c>
      <c r="J732" s="42">
        <f>IFERROR(__xludf.DUMMYFUNCTION("""COMPUTED_VALUE"""),5000.0)</f>
        <v>5000</v>
      </c>
      <c r="K732" s="42" t="str">
        <f>IFERROR(__xludf.DUMMYFUNCTION("""COMPUTED_VALUE"""),"-")</f>
        <v>-</v>
      </c>
      <c r="L732" s="42" t="str">
        <f>IFERROR(__xludf.DUMMYFUNCTION("""COMPUTED_VALUE"""),"-")</f>
        <v>-</v>
      </c>
      <c r="M732" s="42" t="str">
        <f>IFERROR(__xludf.DUMMYFUNCTION("""COMPUTED_VALUE"""),"[SR]")</f>
        <v>[SR]</v>
      </c>
      <c r="N732" s="42" t="str">
        <f>IFERROR(__xludf.DUMMYFUNCTION("""COMPUTED_VALUE"""),"""Don't worry, Li-en. I swear I'll protect you no matter what.""")</f>
        <v>"Don't worry, Li-en. I swear I'll protect you no matter what."</v>
      </c>
      <c r="O732" s="42"/>
      <c r="P732" s="42"/>
      <c r="Q732" s="42"/>
      <c r="R732" s="42"/>
      <c r="S732" s="42"/>
      <c r="T732" s="42"/>
      <c r="U732" s="42"/>
      <c r="V732" s="42"/>
      <c r="W732" s="42"/>
      <c r="X732" s="42"/>
      <c r="Y732" s="42"/>
      <c r="Z732" s="42"/>
    </row>
    <row r="733">
      <c r="A733" s="41" t="str">
        <f>IFERROR(__xludf.DUMMYFUNCTION("""COMPUTED_VALUE"""),"M-350")</f>
        <v>M-350</v>
      </c>
      <c r="B733" s="42" t="str">
        <f>IFERROR(__xludf.DUMMYFUNCTION("""COMPUTED_VALUE"""),"Mamodo")</f>
        <v>Mamodo</v>
      </c>
      <c r="C733" s="42" t="str">
        <f>IFERROR(__xludf.DUMMYFUNCTION("""COMPUTED_VALUE"""),"Riya")</f>
        <v>Riya</v>
      </c>
      <c r="D733" s="42" t="str">
        <f>IFERROR(__xludf.DUMMYFUNCTION("""COMPUTED_VALUE"""),"Riya")</f>
        <v>Riya</v>
      </c>
      <c r="E733" s="42" t="str">
        <f>IFERROR(__xludf.DUMMYFUNCTION("""COMPUTED_VALUE"""),"-")</f>
        <v>-</v>
      </c>
      <c r="F733" s="42" t="str">
        <f>IFERROR(__xludf.DUMMYFUNCTION("""COMPUTED_VALUE"""),"-")</f>
        <v>-</v>
      </c>
      <c r="G733" s="42" t="str">
        <f>IFERROR(__xludf.DUMMYFUNCTION("""COMPUTED_VALUE"""),"None")</f>
        <v>None</v>
      </c>
      <c r="H733" s="42" t="str">
        <f>IFERROR(__xludf.DUMMYFUNCTION("""COMPUTED_VALUE"""),"Don't Be A Wimp!")</f>
        <v>Don't Be A Wimp!</v>
      </c>
      <c r="I733" s="43" t="str">
        <f>IFERROR(__xludf.DUMMYFUNCTION("""COMPUTED_VALUE"""),"[3 MP] [STANDBY] Your opponent sends 1 of their in-play cards to the Discard Pile at the END PHASE of this turn. If your opponent has only 1 card in play, they can choose not to send that card to the Discard Pile.")</f>
        <v>[3 MP] [STANDBY] Your opponent sends 1 of their in-play cards to the Discard Pile at the END PHASE of this turn. If your opponent has only 1 card in play, they can choose not to send that card to the Discard Pile.</v>
      </c>
      <c r="J733" s="42">
        <f>IFERROR(__xludf.DUMMYFUNCTION("""COMPUTED_VALUE"""),4500.0)</f>
        <v>4500</v>
      </c>
      <c r="K733" s="42" t="str">
        <f>IFERROR(__xludf.DUMMYFUNCTION("""COMPUTED_VALUE"""),"-")</f>
        <v>-</v>
      </c>
      <c r="L733" s="42" t="str">
        <f>IFERROR(__xludf.DUMMYFUNCTION("""COMPUTED_VALUE"""),"-")</f>
        <v>-</v>
      </c>
      <c r="M733" s="42" t="str">
        <f>IFERROR(__xludf.DUMMYFUNCTION("""COMPUTED_VALUE"""),"[R]")</f>
        <v>[R]</v>
      </c>
      <c r="N733" s="42" t="str">
        <f>IFERROR(__xludf.DUMMYFUNCTION("""COMPUTED_VALUE"""),"""Don't be such a wimp! Make your own decision!""")</f>
        <v>"Don't be such a wimp! Make your own decision!"</v>
      </c>
      <c r="O733" s="42"/>
      <c r="P733" s="42"/>
      <c r="Q733" s="42"/>
      <c r="R733" s="42"/>
      <c r="S733" s="42"/>
      <c r="T733" s="42"/>
      <c r="U733" s="42"/>
      <c r="V733" s="42"/>
      <c r="W733" s="42"/>
      <c r="X733" s="42"/>
      <c r="Y733" s="42"/>
      <c r="Z733" s="42"/>
    </row>
    <row r="734">
      <c r="A734" s="41" t="str">
        <f>IFERROR(__xludf.DUMMYFUNCTION("""COMPUTED_VALUE"""),"M-351")</f>
        <v>M-351</v>
      </c>
      <c r="B734" s="42" t="str">
        <f>IFERROR(__xludf.DUMMYFUNCTION("""COMPUTED_VALUE"""),"Dual Mamodo")</f>
        <v>Dual Mamodo</v>
      </c>
      <c r="C734" s="42" t="str">
        <f>IFERROR(__xludf.DUMMYFUNCTION("""COMPUTED_VALUE"""),"Ponygon &amp; Tia")</f>
        <v>Ponygon &amp; Tia</v>
      </c>
      <c r="D734" s="42" t="str">
        <f>IFERROR(__xludf.DUMMYFUNCTION("""COMPUTED_VALUE"""),"Ponygon | Tia")</f>
        <v>Ponygon | Tia</v>
      </c>
      <c r="E734" s="42" t="str">
        <f>IFERROR(__xludf.DUMMYFUNCTION("""COMPUTED_VALUE"""),"-")</f>
        <v>-</v>
      </c>
      <c r="F734" s="42" t="str">
        <f>IFERROR(__xludf.DUMMYFUNCTION("""COMPUTED_VALUE"""),"-")</f>
        <v>-</v>
      </c>
      <c r="G734" s="42" t="str">
        <f>IFERROR(__xludf.DUMMYFUNCTION("""COMPUTED_VALUE"""),"None")</f>
        <v>None</v>
      </c>
      <c r="H734" s="42" t="str">
        <f>IFERROR(__xludf.DUMMYFUNCTION("""COMPUTED_VALUE"""),"Fast-Moving Targets")</f>
        <v>Fast-Moving Targets</v>
      </c>
      <c r="I734" s="43" t="str">
        <f>IFERROR(__xludf.DUMMYFUNCTION("""COMPUTED_VALUE"""),"Send your in-play Ponygon or Tia MAMODO card to the Discard Pile to put this MAMODO card in play. [IN PLAY] Your opponent can neither play SPELL cards, nor can they apply card effects, that are used more than once per turn.")</f>
        <v>Send your in-play Ponygon or Tia MAMODO card to the Discard Pile to put this MAMODO card in play. [IN PLAY] Your opponent can neither play SPELL cards, nor can they apply card effects, that are used more than once per turn.</v>
      </c>
      <c r="J734" s="42">
        <f>IFERROR(__xludf.DUMMYFUNCTION("""COMPUTED_VALUE"""),4000.0)</f>
        <v>4000</v>
      </c>
      <c r="K734" s="42" t="str">
        <f>IFERROR(__xludf.DUMMYFUNCTION("""COMPUTED_VALUE"""),"-")</f>
        <v>-</v>
      </c>
      <c r="L734" s="42" t="str">
        <f>IFERROR(__xludf.DUMMYFUNCTION("""COMPUTED_VALUE"""),"-")</f>
        <v>-</v>
      </c>
      <c r="M734" s="42" t="str">
        <f>IFERROR(__xludf.DUMMYFUNCTION("""COMPUTED_VALUE"""),"[U]")</f>
        <v>[U]</v>
      </c>
      <c r="N734" s="42" t="str">
        <f>IFERROR(__xludf.DUMMYFUNCTION("""COMPUTED_VALUE"""),"""Looks like our opponents don't have too much battle experience!""")</f>
        <v>"Looks like our opponents don't have too much battle experience!"</v>
      </c>
      <c r="O734" s="42"/>
      <c r="P734" s="42"/>
      <c r="Q734" s="42"/>
      <c r="R734" s="42"/>
      <c r="S734" s="42"/>
      <c r="T734" s="42"/>
      <c r="U734" s="42"/>
      <c r="V734" s="42"/>
      <c r="W734" s="42"/>
      <c r="X734" s="42"/>
      <c r="Y734" s="42"/>
      <c r="Z734" s="42"/>
    </row>
    <row r="735">
      <c r="A735" s="41" t="str">
        <f>IFERROR(__xludf.DUMMYFUNCTION("""COMPUTED_VALUE"""),"M-352")</f>
        <v>M-352</v>
      </c>
      <c r="B735" s="42" t="str">
        <f>IFERROR(__xludf.DUMMYFUNCTION("""COMPUTED_VALUE"""),"Dual Mamodo")</f>
        <v>Dual Mamodo</v>
      </c>
      <c r="C735" s="42" t="str">
        <f>IFERROR(__xludf.DUMMYFUNCTION("""COMPUTED_VALUE"""),"Keith &amp; Buzarai")</f>
        <v>Keith &amp; Buzarai</v>
      </c>
      <c r="D735" s="42" t="str">
        <f>IFERROR(__xludf.DUMMYFUNCTION("""COMPUTED_VALUE"""),"Keith | Buzarai")</f>
        <v>Keith | Buzarai</v>
      </c>
      <c r="E735" s="42" t="str">
        <f>IFERROR(__xludf.DUMMYFUNCTION("""COMPUTED_VALUE"""),"-")</f>
        <v>-</v>
      </c>
      <c r="F735" s="42" t="str">
        <f>IFERROR(__xludf.DUMMYFUNCTION("""COMPUTED_VALUE"""),"-")</f>
        <v>-</v>
      </c>
      <c r="G735" s="42" t="str">
        <f>IFERROR(__xludf.DUMMYFUNCTION("""COMPUTED_VALUE"""),"None")</f>
        <v>None</v>
      </c>
      <c r="H735" s="42" t="str">
        <f>IFERROR(__xludf.DUMMYFUNCTION("""COMPUTED_VALUE"""),"Divide &amp; Conquer")</f>
        <v>Divide &amp; Conquer</v>
      </c>
      <c r="I735" s="43" t="str">
        <f>IFERROR(__xludf.DUMMYFUNCTION("""COMPUTED_VALUE"""),"Send your in-play Keith or Buzarai MAMODO card to the Discard Pile to put this MAMODO card in play. [IN PLAY] Your opponent selects 1 of their in-play MAMODO cards at the START PHASE of each player's turn. [STAY] Your opponent cannot apply the effects of "&amp;"their in-play MAMODO cards other than the selected MAMODO card during that turn.")</f>
        <v>Send your in-play Keith or Buzarai MAMODO card to the Discard Pile to put this MAMODO card in play. [IN PLAY] Your opponent selects 1 of their in-play MAMODO cards at the START PHASE of each player's turn. [STAY] Your opponent cannot apply the effects of their in-play MAMODO cards other than the selected MAMODO card during that turn.</v>
      </c>
      <c r="J735" s="42">
        <f>IFERROR(__xludf.DUMMYFUNCTION("""COMPUTED_VALUE"""),5000.0)</f>
        <v>5000</v>
      </c>
      <c r="K735" s="42" t="str">
        <f>IFERROR(__xludf.DUMMYFUNCTION("""COMPUTED_VALUE"""),"-")</f>
        <v>-</v>
      </c>
      <c r="L735" s="42" t="str">
        <f>IFERROR(__xludf.DUMMYFUNCTION("""COMPUTED_VALUE"""),"-")</f>
        <v>-</v>
      </c>
      <c r="M735" s="42" t="str">
        <f>IFERROR(__xludf.DUMMYFUNCTION("""COMPUTED_VALUE"""),"[SR]")</f>
        <v>[SR]</v>
      </c>
      <c r="N735" s="42" t="str">
        <f>IFERROR(__xludf.DUMMYFUNCTION("""COMPUTED_VALUE"""),"""There's no need to worry... Who do you think we are?""")</f>
        <v>"There's no need to worry... Who do you think we are?"</v>
      </c>
      <c r="O735" s="42"/>
      <c r="P735" s="42"/>
      <c r="Q735" s="42"/>
      <c r="R735" s="42"/>
      <c r="S735" s="42"/>
      <c r="T735" s="42"/>
      <c r="U735" s="42"/>
      <c r="V735" s="42"/>
      <c r="W735" s="42"/>
      <c r="X735" s="42"/>
      <c r="Y735" s="42"/>
      <c r="Z735" s="42"/>
    </row>
    <row r="736">
      <c r="A736" s="41" t="str">
        <f>IFERROR(__xludf.DUMMYFUNCTION("""COMPUTED_VALUE"""),"M-353")</f>
        <v>M-353</v>
      </c>
      <c r="B736" s="42" t="str">
        <f>IFERROR(__xludf.DUMMYFUNCTION("""COMPUTED_VALUE"""),"VS Mamodo")</f>
        <v>VS Mamodo</v>
      </c>
      <c r="C736" s="42" t="str">
        <f>IFERROR(__xludf.DUMMYFUNCTION("""COMPUTED_VALUE"""),"Bari VS Keith")</f>
        <v>Bari VS Keith</v>
      </c>
      <c r="D736" s="42" t="str">
        <f>IFERROR(__xludf.DUMMYFUNCTION("""COMPUTED_VALUE"""),"Bari | Keith")</f>
        <v>Bari | Keith</v>
      </c>
      <c r="E736" s="42" t="str">
        <f>IFERROR(__xludf.DUMMYFUNCTION("""COMPUTED_VALUE"""),"-")</f>
        <v>-</v>
      </c>
      <c r="F736" s="42" t="str">
        <f>IFERROR(__xludf.DUMMYFUNCTION("""COMPUTED_VALUE"""),"-")</f>
        <v>-</v>
      </c>
      <c r="G736" s="42" t="str">
        <f>IFERROR(__xludf.DUMMYFUNCTION("""COMPUTED_VALUE"""),"None")</f>
        <v>None</v>
      </c>
      <c r="H736" s="42" t="str">
        <f>IFERROR(__xludf.DUMMYFUNCTION("""COMPUTED_VALUE"""),"Strength VS Power")</f>
        <v>Strength VS Power</v>
      </c>
      <c r="I736" s="43" t="str">
        <f>IFERROR(__xludf.DUMMYFUNCTION("""COMPUTED_VALUE"""),"Send either player's in-play Bari or Keith MAMODO card to the Discard Pile to put this MAMODO card in play. [2 MP] Look at the currently open pages of your opponent's Spell Book. Then, turn pages of their Spell Book until there is a MAMODO or SPELL card i"&amp;"n the open pages (no pages are turned if this condition is already met).")</f>
        <v>Send either player's in-play Bari or Keith MAMODO card to the Discard Pile to put this MAMODO card in play. [2 MP] Look at the currently open pages of your opponent's Spell Book. Then, turn pages of their Spell Book until there is a MAMODO or SPELL card in the open pages (no pages are turned if this condition is already met).</v>
      </c>
      <c r="J736" s="42">
        <f>IFERROR(__xludf.DUMMYFUNCTION("""COMPUTED_VALUE"""),5500.0)</f>
        <v>5500</v>
      </c>
      <c r="K736" s="42" t="str">
        <f>IFERROR(__xludf.DUMMYFUNCTION("""COMPUTED_VALUE"""),"-")</f>
        <v>-</v>
      </c>
      <c r="L736" s="42" t="str">
        <f>IFERROR(__xludf.DUMMYFUNCTION("""COMPUTED_VALUE"""),"-")</f>
        <v>-</v>
      </c>
      <c r="M736" s="42" t="str">
        <f>IFERROR(__xludf.DUMMYFUNCTION("""COMPUTED_VALUE"""),"[SR]")</f>
        <v>[SR]</v>
      </c>
      <c r="N736" s="42" t="str">
        <f>IFERROR(__xludf.DUMMYFUNCTION("""COMPUTED_VALUE"""),"""We were rivals back in the mamodo world...""")</f>
        <v>"We were rivals back in the mamodo world..."</v>
      </c>
      <c r="O736" s="42"/>
      <c r="P736" s="42"/>
      <c r="Q736" s="42"/>
      <c r="R736" s="42"/>
      <c r="S736" s="42"/>
      <c r="T736" s="42"/>
      <c r="U736" s="42"/>
      <c r="V736" s="42"/>
      <c r="W736" s="42"/>
      <c r="X736" s="42"/>
      <c r="Y736" s="42"/>
      <c r="Z736" s="42"/>
    </row>
    <row r="737">
      <c r="A737" s="41" t="str">
        <f>IFERROR(__xludf.DUMMYFUNCTION("""COMPUTED_VALUE"""),"M-354")</f>
        <v>M-354</v>
      </c>
      <c r="B737" s="42" t="str">
        <f>IFERROR(__xludf.DUMMYFUNCTION("""COMPUTED_VALUE"""),"S Mamodo")</f>
        <v>S Mamodo</v>
      </c>
      <c r="C737" s="42" t="str">
        <f>IFERROR(__xludf.DUMMYFUNCTION("""COMPUTED_VALUE"""),"Zatch Bell")</f>
        <v>Zatch Bell</v>
      </c>
      <c r="D737" s="42" t="str">
        <f>IFERROR(__xludf.DUMMYFUNCTION("""COMPUTED_VALUE"""),"Zatch Bell")</f>
        <v>Zatch Bell</v>
      </c>
      <c r="E737" s="42" t="str">
        <f>IFERROR(__xludf.DUMMYFUNCTION("""COMPUTED_VALUE"""),"-")</f>
        <v>-</v>
      </c>
      <c r="F737" s="42" t="str">
        <f>IFERROR(__xludf.DUMMYFUNCTION("""COMPUTED_VALUE"""),"-")</f>
        <v>-</v>
      </c>
      <c r="G737" s="42" t="str">
        <f>IFERROR(__xludf.DUMMYFUNCTION("""COMPUTED_VALUE"""),"Intermediate")</f>
        <v>Intermediate</v>
      </c>
      <c r="H737" s="42" t="str">
        <f>IFERROR(__xludf.DUMMYFUNCTION("""COMPUTED_VALUE"""),"Everyone's Power")</f>
        <v>Everyone's Power</v>
      </c>
      <c r="I737" s="43" t="str">
        <f>IFERROR(__xludf.DUMMYFUNCTION("""COMPUTED_VALUE"""),"This card is placed on a regular Zatch Bell MAMODO card. [IN PLAY] When you have 3 or more MAMODO cards in play, the effects of your MAMODO and PARTNER cards cannot be negated by your opponent's cut-in effects.")</f>
        <v>This card is placed on a regular Zatch Bell MAMODO card. [IN PLAY] When you have 3 or more MAMODO cards in play, the effects of your MAMODO and PARTNER cards cannot be negated by your opponent's cut-in effects.</v>
      </c>
      <c r="J737" s="42">
        <f>IFERROR(__xludf.DUMMYFUNCTION("""COMPUTED_VALUE"""),5000.0)</f>
        <v>5000</v>
      </c>
      <c r="K737" s="42" t="str">
        <f>IFERROR(__xludf.DUMMYFUNCTION("""COMPUTED_VALUE"""),"-")</f>
        <v>-</v>
      </c>
      <c r="L737" s="42" t="str">
        <f>IFERROR(__xludf.DUMMYFUNCTION("""COMPUTED_VALUE"""),"-")</f>
        <v>-</v>
      </c>
      <c r="M737" s="42" t="str">
        <f>IFERROR(__xludf.DUMMYFUNCTION("""COMPUTED_VALUE"""),"[R]")</f>
        <v>[R]</v>
      </c>
      <c r="N737" s="42" t="str">
        <f>IFERROR(__xludf.DUMMYFUNCTION("""COMPUTED_VALUE"""),"""Please help me! Alishie, Kiyo, all of you! I can't do this on my own.""")</f>
        <v>"Please help me! Alishie, Kiyo, all of you! I can't do this on my own."</v>
      </c>
      <c r="O737" s="42"/>
      <c r="P737" s="42"/>
      <c r="Q737" s="42"/>
      <c r="R737" s="42"/>
      <c r="S737" s="42"/>
      <c r="T737" s="42"/>
      <c r="U737" s="42"/>
      <c r="V737" s="42"/>
      <c r="W737" s="42"/>
      <c r="X737" s="42"/>
      <c r="Y737" s="42"/>
      <c r="Z737" s="42"/>
    </row>
    <row r="738">
      <c r="A738" s="41" t="str">
        <f>IFERROR(__xludf.DUMMYFUNCTION("""COMPUTED_VALUE"""),"M-355")</f>
        <v>M-355</v>
      </c>
      <c r="B738" s="42" t="str">
        <f>IFERROR(__xludf.DUMMYFUNCTION("""COMPUTED_VALUE"""),"S Mamodo")</f>
        <v>S Mamodo</v>
      </c>
      <c r="C738" s="42" t="str">
        <f>IFERROR(__xludf.DUMMYFUNCTION("""COMPUTED_VALUE"""),"Brago")</f>
        <v>Brago</v>
      </c>
      <c r="D738" s="42" t="str">
        <f>IFERROR(__xludf.DUMMYFUNCTION("""COMPUTED_VALUE"""),"Brago")</f>
        <v>Brago</v>
      </c>
      <c r="E738" s="42" t="str">
        <f>IFERROR(__xludf.DUMMYFUNCTION("""COMPUTED_VALUE"""),"-")</f>
        <v>-</v>
      </c>
      <c r="F738" s="42" t="str">
        <f>IFERROR(__xludf.DUMMYFUNCTION("""COMPUTED_VALUE"""),"-")</f>
        <v>-</v>
      </c>
      <c r="G738" s="42" t="str">
        <f>IFERROR(__xludf.DUMMYFUNCTION("""COMPUTED_VALUE"""),"Intermediate")</f>
        <v>Intermediate</v>
      </c>
      <c r="H738" s="42" t="str">
        <f>IFERROR(__xludf.DUMMYFUNCTION("""COMPUTED_VALUE"""),"Break!")</f>
        <v>Break!</v>
      </c>
      <c r="I738" s="43" t="str">
        <f>IFERROR(__xludf.DUMMYFUNCTION("""COMPUTED_VALUE"""),"This card is placed on a regular Brago MAMODO card. [IN PLAY] Increase the Damage of this MAMODO card's Attacks by 1.")</f>
        <v>This card is placed on a regular Brago MAMODO card. [IN PLAY] Increase the Damage of this MAMODO card's Attacks by 1.</v>
      </c>
      <c r="J738" s="42">
        <f>IFERROR(__xludf.DUMMYFUNCTION("""COMPUTED_VALUE"""),6000.0)</f>
        <v>6000</v>
      </c>
      <c r="K738" s="42" t="str">
        <f>IFERROR(__xludf.DUMMYFUNCTION("""COMPUTED_VALUE"""),"-")</f>
        <v>-</v>
      </c>
      <c r="L738" s="42" t="str">
        <f>IFERROR(__xludf.DUMMYFUNCTION("""COMPUTED_VALUE"""),"-")</f>
        <v>-</v>
      </c>
      <c r="M738" s="42" t="str">
        <f>IFERROR(__xludf.DUMMYFUNCTION("""COMPUTED_VALUE"""),"[SR]")</f>
        <v>[SR]</v>
      </c>
      <c r="N738" s="42" t="str">
        <f>IFERROR(__xludf.DUMMYFUNCTION("""COMPUTED_VALUE"""),"Now that Zofis' curse has been lifted, Brago steadily marches forward on the path to kingship.")</f>
        <v>Now that Zofis' curse has been lifted, Brago steadily marches forward on the path to kingship.</v>
      </c>
      <c r="O738" s="42"/>
      <c r="P738" s="42"/>
      <c r="Q738" s="42"/>
      <c r="R738" s="42"/>
      <c r="S738" s="42"/>
      <c r="T738" s="42"/>
      <c r="U738" s="42"/>
      <c r="V738" s="42"/>
      <c r="W738" s="42"/>
      <c r="X738" s="42"/>
      <c r="Y738" s="42"/>
      <c r="Z738" s="42"/>
    </row>
    <row r="739">
      <c r="A739" s="41" t="str">
        <f>IFERROR(__xludf.DUMMYFUNCTION("""COMPUTED_VALUE"""),"M-356")</f>
        <v>M-356</v>
      </c>
      <c r="B739" s="42" t="str">
        <f>IFERROR(__xludf.DUMMYFUNCTION("""COMPUTED_VALUE"""),"S Mamodo")</f>
        <v>S Mamodo</v>
      </c>
      <c r="C739" s="42" t="str">
        <f>IFERROR(__xludf.DUMMYFUNCTION("""COMPUTED_VALUE"""),"Kanchomé")</f>
        <v>Kanchomé</v>
      </c>
      <c r="D739" s="42" t="str">
        <f>IFERROR(__xludf.DUMMYFUNCTION("""COMPUTED_VALUE"""),"Kanchomé")</f>
        <v>Kanchomé</v>
      </c>
      <c r="E739" s="42" t="str">
        <f>IFERROR(__xludf.DUMMYFUNCTION("""COMPUTED_VALUE"""),"-")</f>
        <v>-</v>
      </c>
      <c r="F739" s="42" t="str">
        <f>IFERROR(__xludf.DUMMYFUNCTION("""COMPUTED_VALUE"""),"-")</f>
        <v>-</v>
      </c>
      <c r="G739" s="42" t="str">
        <f>IFERROR(__xludf.DUMMYFUNCTION("""COMPUTED_VALUE"""),"Intermediate")</f>
        <v>Intermediate</v>
      </c>
      <c r="H739" s="42" t="str">
        <f>IFERROR(__xludf.DUMMYFUNCTION("""COMPUTED_VALUE"""),"I'll Protect Everybody!")</f>
        <v>I'll Protect Everybody!</v>
      </c>
      <c r="I739" s="43" t="str">
        <f>IFERROR(__xludf.DUMMYFUNCTION("""COMPUTED_VALUE"""),"This card is placed on a regular Kanchome MAMODO card. [IN PLAY] Your MAMODO cards can neither be Petrified, nor can your MAMODO and PARTNER cards be sent to the Discard Pile by your opponent's card effects (except from Damage).")</f>
        <v>This card is placed on a regular Kanchome MAMODO card. [IN PLAY] Your MAMODO cards can neither be Petrified, nor can your MAMODO and PARTNER cards be sent to the Discard Pile by your opponent's card effects (except from Damage).</v>
      </c>
      <c r="J739" s="42">
        <f>IFERROR(__xludf.DUMMYFUNCTION("""COMPUTED_VALUE"""),4000.0)</f>
        <v>4000</v>
      </c>
      <c r="K739" s="42" t="str">
        <f>IFERROR(__xludf.DUMMYFUNCTION("""COMPUTED_VALUE"""),"-")</f>
        <v>-</v>
      </c>
      <c r="L739" s="42" t="str">
        <f>IFERROR(__xludf.DUMMYFUNCTION("""COMPUTED_VALUE"""),"-")</f>
        <v>-</v>
      </c>
      <c r="M739" s="42" t="str">
        <f>IFERROR(__xludf.DUMMYFUNCTION("""COMPUTED_VALUE"""),"[R]")</f>
        <v>[R]</v>
      </c>
      <c r="N739" s="42" t="str">
        <f>IFERROR(__xludf.DUMMYFUNCTION("""COMPUTED_VALUE"""),"""Nobody's gonna disappear anymore... I'm gonna protect everybody!""")</f>
        <v>"Nobody's gonna disappear anymore... I'm gonna protect everybody!"</v>
      </c>
      <c r="O739" s="42"/>
      <c r="P739" s="42"/>
      <c r="Q739" s="42"/>
      <c r="R739" s="42"/>
      <c r="S739" s="42"/>
      <c r="T739" s="42"/>
      <c r="U739" s="42"/>
      <c r="V739" s="42"/>
      <c r="W739" s="42"/>
      <c r="X739" s="42"/>
      <c r="Y739" s="42"/>
      <c r="Z739" s="42"/>
    </row>
    <row r="740">
      <c r="A740" s="41" t="str">
        <f>IFERROR(__xludf.DUMMYFUNCTION("""COMPUTED_VALUE"""),"M-357")</f>
        <v>M-357</v>
      </c>
      <c r="B740" s="42" t="str">
        <f>IFERROR(__xludf.DUMMYFUNCTION("""COMPUTED_VALUE"""),"S Mamodo")</f>
        <v>S Mamodo</v>
      </c>
      <c r="C740" s="42" t="str">
        <f>IFERROR(__xludf.DUMMYFUNCTION("""COMPUTED_VALUE"""),"Tia")</f>
        <v>Tia</v>
      </c>
      <c r="D740" s="42" t="str">
        <f>IFERROR(__xludf.DUMMYFUNCTION("""COMPUTED_VALUE"""),"Tia")</f>
        <v>Tia</v>
      </c>
      <c r="E740" s="42" t="str">
        <f>IFERROR(__xludf.DUMMYFUNCTION("""COMPUTED_VALUE"""),"-")</f>
        <v>-</v>
      </c>
      <c r="F740" s="42" t="str">
        <f>IFERROR(__xludf.DUMMYFUNCTION("""COMPUTED_VALUE"""),"-")</f>
        <v>-</v>
      </c>
      <c r="G740" s="42" t="str">
        <f>IFERROR(__xludf.DUMMYFUNCTION("""COMPUTED_VALUE"""),"Intermediate")</f>
        <v>Intermediate</v>
      </c>
      <c r="H740" s="42" t="str">
        <f>IFERROR(__xludf.DUMMYFUNCTION("""COMPUTED_VALUE"""),"Losing's Not In Her Nature!")</f>
        <v>Losing's Not In Her Nature!</v>
      </c>
      <c r="I740" s="43" t="str">
        <f>IFERROR(__xludf.DUMMYFUNCTION("""COMPUTED_VALUE"""),"This card is placed on a regular Tia MAMODO card. [IN PLAY] SPELL cards can be played for this MAMODO card even when prohibited to do so, and SPELL cards played for this MAMODO card cannot be negated (except by the effects of your opponent's SPELL cards).")</f>
        <v>This card is placed on a regular Tia MAMODO card. [IN PLAY] SPELL cards can be played for this MAMODO card even when prohibited to do so, and SPELL cards played for this MAMODO card cannot be negated (except by the effects of your opponent's SPELL cards).</v>
      </c>
      <c r="J740" s="42">
        <f>IFERROR(__xludf.DUMMYFUNCTION("""COMPUTED_VALUE"""),4000.0)</f>
        <v>4000</v>
      </c>
      <c r="K740" s="42" t="str">
        <f>IFERROR(__xludf.DUMMYFUNCTION("""COMPUTED_VALUE"""),"-")</f>
        <v>-</v>
      </c>
      <c r="L740" s="42" t="str">
        <f>IFERROR(__xludf.DUMMYFUNCTION("""COMPUTED_VALUE"""),"-")</f>
        <v>-</v>
      </c>
      <c r="M740" s="42" t="str">
        <f>IFERROR(__xludf.DUMMYFUNCTION("""COMPUTED_VALUE"""),"[R]")</f>
        <v>[R]</v>
      </c>
      <c r="N740" s="42" t="str">
        <f>IFERROR(__xludf.DUMMYFUNCTION("""COMPUTED_VALUE"""),"""We've come way too far to lose now!""")</f>
        <v>"We've come way too far to lose now!"</v>
      </c>
      <c r="O740" s="42"/>
      <c r="P740" s="42"/>
      <c r="Q740" s="42"/>
      <c r="R740" s="42"/>
      <c r="S740" s="42"/>
      <c r="T740" s="42"/>
      <c r="U740" s="42"/>
      <c r="V740" s="42"/>
      <c r="W740" s="42"/>
      <c r="X740" s="42"/>
      <c r="Y740" s="42"/>
      <c r="Z740" s="42"/>
    </row>
    <row r="741">
      <c r="A741" s="41" t="str">
        <f>IFERROR(__xludf.DUMMYFUNCTION("""COMPUTED_VALUE"""),"M-358")</f>
        <v>M-358</v>
      </c>
      <c r="B741" s="42" t="str">
        <f>IFERROR(__xludf.DUMMYFUNCTION("""COMPUTED_VALUE"""),"S Mamodo")</f>
        <v>S Mamodo</v>
      </c>
      <c r="C741" s="42" t="str">
        <f>IFERROR(__xludf.DUMMYFUNCTION("""COMPUTED_VALUE"""),"Ponygon")</f>
        <v>Ponygon</v>
      </c>
      <c r="D741" s="42" t="str">
        <f>IFERROR(__xludf.DUMMYFUNCTION("""COMPUTED_VALUE"""),"Ponygon")</f>
        <v>Ponygon</v>
      </c>
      <c r="E741" s="42" t="str">
        <f>IFERROR(__xludf.DUMMYFUNCTION("""COMPUTED_VALUE"""),"-")</f>
        <v>-</v>
      </c>
      <c r="F741" s="42" t="str">
        <f>IFERROR(__xludf.DUMMYFUNCTION("""COMPUTED_VALUE"""),"-")</f>
        <v>-</v>
      </c>
      <c r="G741" s="42" t="str">
        <f>IFERROR(__xludf.DUMMYFUNCTION("""COMPUTED_VALUE"""),"Intermediate")</f>
        <v>Intermediate</v>
      </c>
      <c r="H741" s="42" t="str">
        <f>IFERROR(__xludf.DUMMYFUNCTION("""COMPUTED_VALUE"""),"Burning Fighting Spirit")</f>
        <v>Burning Fighting Spirit</v>
      </c>
      <c r="I741" s="43" t="str">
        <f>IFERROR(__xludf.DUMMYFUNCTION("""COMPUTED_VALUE"""),"This card is placed on a Ponygon MAMODO card. [IN PLAY] Increase the Damage of this MAMODO card's effects that allow it to Attack without using a SPELL card by 1.")</f>
        <v>This card is placed on a Ponygon MAMODO card. [IN PLAY] Increase the Damage of this MAMODO card's effects that allow it to Attack without using a SPELL card by 1.</v>
      </c>
      <c r="J741" s="42">
        <f>IFERROR(__xludf.DUMMYFUNCTION("""COMPUTED_VALUE"""),4000.0)</f>
        <v>4000</v>
      </c>
      <c r="K741" s="42" t="str">
        <f>IFERROR(__xludf.DUMMYFUNCTION("""COMPUTED_VALUE"""),"-")</f>
        <v>-</v>
      </c>
      <c r="L741" s="42" t="str">
        <f>IFERROR(__xludf.DUMMYFUNCTION("""COMPUTED_VALUE"""),"-")</f>
        <v>-</v>
      </c>
      <c r="M741" s="42" t="str">
        <f>IFERROR(__xludf.DUMMYFUNCTION("""COMPUTED_VALUE"""),"[R]")</f>
        <v>[R]</v>
      </c>
      <c r="N741" s="42" t="str">
        <f>IFERROR(__xludf.DUMMYFUNCTION("""COMPUTED_VALUE"""),"""Look deep into their eyes...focus all of your power on taking them down.""")</f>
        <v>"Look deep into their eyes...focus all of your power on taking them down."</v>
      </c>
      <c r="O741" s="42"/>
      <c r="P741" s="42"/>
      <c r="Q741" s="42"/>
      <c r="R741" s="42"/>
      <c r="S741" s="42"/>
      <c r="T741" s="42"/>
      <c r="U741" s="42"/>
      <c r="V741" s="42"/>
      <c r="W741" s="42"/>
      <c r="X741" s="42"/>
      <c r="Y741" s="42"/>
      <c r="Z741" s="42"/>
    </row>
    <row r="742">
      <c r="A742" s="38" t="str">
        <f>IFERROR(__xludf.DUMMYFUNCTION("""COMPUTED_VALUE"""),"M-359")</f>
        <v>M-359</v>
      </c>
      <c r="B742" s="39" t="str">
        <f>IFERROR(__xludf.DUMMYFUNCTION("""COMPUTED_VALUE"""),"S Mamodo")</f>
        <v>S Mamodo</v>
      </c>
      <c r="C742" s="39" t="str">
        <f>IFERROR(__xludf.DUMMYFUNCTION("""COMPUTED_VALUE"""),"Bari")</f>
        <v>Bari</v>
      </c>
      <c r="D742" s="39" t="str">
        <f>IFERROR(__xludf.DUMMYFUNCTION("""COMPUTED_VALUE"""),"Bari")</f>
        <v>Bari</v>
      </c>
      <c r="E742" s="39" t="str">
        <f>IFERROR(__xludf.DUMMYFUNCTION("""COMPUTED_VALUE"""),"-")</f>
        <v>-</v>
      </c>
      <c r="F742" s="39" t="str">
        <f>IFERROR(__xludf.DUMMYFUNCTION("""COMPUTED_VALUE"""),"-")</f>
        <v>-</v>
      </c>
      <c r="G742" s="39" t="str">
        <f>IFERROR(__xludf.DUMMYFUNCTION("""COMPUTED_VALUE"""),"Intermediate")</f>
        <v>Intermediate</v>
      </c>
      <c r="H742" s="39" t="str">
        <f>IFERROR(__xludf.DUMMYFUNCTION("""COMPUTED_VALUE"""),"Seeking Strength")</f>
        <v>Seeking Strength</v>
      </c>
      <c r="I742" s="40" t="str">
        <f>IFERROR(__xludf.DUMMYFUNCTION("""COMPUTED_VALUE"""),"This card is placed on a regular Bari MAMODO card. [IN PLAY] Your opponent cannot play EVENT cards during the Battle when this MAMODO card Attacks.")</f>
        <v>This card is placed on a regular Bari MAMODO card. [IN PLAY] Your opponent cannot play EVENT cards during the Battle when this MAMODO card Attacks.</v>
      </c>
      <c r="J742" s="39">
        <f>IFERROR(__xludf.DUMMYFUNCTION("""COMPUTED_VALUE"""),5500.0)</f>
        <v>5500</v>
      </c>
      <c r="K742" s="39" t="str">
        <f>IFERROR(__xludf.DUMMYFUNCTION("""COMPUTED_VALUE"""),"-")</f>
        <v>-</v>
      </c>
      <c r="L742" s="39" t="str">
        <f>IFERROR(__xludf.DUMMYFUNCTION("""COMPUTED_VALUE"""),"-")</f>
        <v>-</v>
      </c>
      <c r="M742" s="39" t="str">
        <f>IFERROR(__xludf.DUMMYFUNCTION("""COMPUTED_VALUE"""),"[R]")</f>
        <v>[R]</v>
      </c>
      <c r="N742" s="39" t="str">
        <f>IFERROR(__xludf.DUMMYFUNCTION("""COMPUTED_VALUE"""),"""If I'm going to come face-to-face with Zatch...it will only be to put an end to our battle.""")</f>
        <v>"If I'm going to come face-to-face with Zatch...it will only be to put an end to our battle."</v>
      </c>
      <c r="O742" s="39"/>
      <c r="P742" s="39"/>
      <c r="Q742" s="39"/>
      <c r="R742" s="39"/>
      <c r="S742" s="39"/>
      <c r="T742" s="39"/>
      <c r="U742" s="39"/>
      <c r="V742" s="39"/>
      <c r="W742" s="39"/>
      <c r="X742" s="39"/>
      <c r="Y742" s="39"/>
      <c r="Z742" s="39"/>
    </row>
    <row r="743">
      <c r="A743" s="38" t="str">
        <f>IFERROR(__xludf.DUMMYFUNCTION("""COMPUTED_VALUE"""),"M-360")</f>
        <v>M-360</v>
      </c>
      <c r="B743" s="39" t="str">
        <f>IFERROR(__xludf.DUMMYFUNCTION("""COMPUTED_VALUE"""),"S Mamodo")</f>
        <v>S Mamodo</v>
      </c>
      <c r="C743" s="39" t="str">
        <f>IFERROR(__xludf.DUMMYFUNCTION("""COMPUTED_VALUE"""),"Ted")</f>
        <v>Ted</v>
      </c>
      <c r="D743" s="39" t="str">
        <f>IFERROR(__xludf.DUMMYFUNCTION("""COMPUTED_VALUE"""),"Ted")</f>
        <v>Ted</v>
      </c>
      <c r="E743" s="39" t="str">
        <f>IFERROR(__xludf.DUMMYFUNCTION("""COMPUTED_VALUE"""),"-")</f>
        <v>-</v>
      </c>
      <c r="F743" s="39" t="str">
        <f>IFERROR(__xludf.DUMMYFUNCTION("""COMPUTED_VALUE"""),"-")</f>
        <v>-</v>
      </c>
      <c r="G743" s="39" t="str">
        <f>IFERROR(__xludf.DUMMYFUNCTION("""COMPUTED_VALUE"""),"Intermediate")</f>
        <v>Intermediate</v>
      </c>
      <c r="H743" s="39" t="str">
        <f>IFERROR(__xludf.DUMMYFUNCTION("""COMPUTED_VALUE"""),"Pummeling Punches")</f>
        <v>Pummeling Punches</v>
      </c>
      <c r="I743" s="40" t="str">
        <f>IFERROR(__xludf.DUMMYFUNCTION("""COMPUTED_VALUE"""),"This card is placed on a regular Ted MAMODO card. Only 1 SPELL card can be played for this MAMODO card per turn (per player). (Attack) [1 MP] This card may Attack without using a SPELL card (Total Power=7500, Damage=number of MP counters on this MAMODO ca"&amp;"rd times 1).")</f>
        <v>This card is placed on a regular Ted MAMODO card. Only 1 SPELL card can be played for this MAMODO card per turn (per player). (Attack) [1 MP] This card may Attack without using a SPELL card (Total Power=7500, Damage=number of MP counters on this MAMODO card times 1).</v>
      </c>
      <c r="J743" s="39">
        <f>IFERROR(__xludf.DUMMYFUNCTION("""COMPUTED_VALUE"""),5000.0)</f>
        <v>5000</v>
      </c>
      <c r="K743" s="39" t="str">
        <f>IFERROR(__xludf.DUMMYFUNCTION("""COMPUTED_VALUE"""),"-")</f>
        <v>-</v>
      </c>
      <c r="L743" s="39" t="str">
        <f>IFERROR(__xludf.DUMMYFUNCTION("""COMPUTED_VALUE"""),"-")</f>
        <v>-</v>
      </c>
      <c r="M743" s="39" t="str">
        <f>IFERROR(__xludf.DUMMYFUNCTION("""COMPUTED_VALUE"""),"[R]")</f>
        <v>[R]</v>
      </c>
      <c r="N743" s="39" t="str">
        <f>IFERROR(__xludf.DUMMYFUNCTION("""COMPUTED_VALUE"""),"""Seems like 'someone important to you' is in trouble.""")</f>
        <v>"Seems like 'someone important to you' is in trouble."</v>
      </c>
      <c r="O743" s="39"/>
      <c r="P743" s="39"/>
      <c r="Q743" s="39"/>
      <c r="R743" s="39"/>
      <c r="S743" s="39"/>
      <c r="T743" s="39"/>
      <c r="U743" s="39"/>
      <c r="V743" s="39"/>
      <c r="W743" s="39"/>
      <c r="X743" s="39"/>
      <c r="Y743" s="39"/>
      <c r="Z743" s="39"/>
    </row>
    <row r="744">
      <c r="A744" s="38" t="str">
        <f>IFERROR(__xludf.DUMMYFUNCTION("""COMPUTED_VALUE"""),"M-361")</f>
        <v>M-361</v>
      </c>
      <c r="B744" s="39" t="str">
        <f>IFERROR(__xludf.DUMMYFUNCTION("""COMPUTED_VALUE"""),"S Mamodo")</f>
        <v>S Mamodo</v>
      </c>
      <c r="C744" s="39" t="str">
        <f>IFERROR(__xludf.DUMMYFUNCTION("""COMPUTED_VALUE"""),"The Four Supreme Mamodo")</f>
        <v>The Four Supreme Mamodo</v>
      </c>
      <c r="D744" s="39" t="str">
        <f>IFERROR(__xludf.DUMMYFUNCTION("""COMPUTED_VALUE"""),"The Four Supreme Mamodo")</f>
        <v>The Four Supreme Mamodo</v>
      </c>
      <c r="E744" s="39" t="str">
        <f>IFERROR(__xludf.DUMMYFUNCTION("""COMPUTED_VALUE"""),"-")</f>
        <v>-</v>
      </c>
      <c r="F744" s="39" t="str">
        <f>IFERROR(__xludf.DUMMYFUNCTION("""COMPUTED_VALUE"""),"-")</f>
        <v>-</v>
      </c>
      <c r="G744" s="39" t="str">
        <f>IFERROR(__xludf.DUMMYFUNCTION("""COMPUTED_VALUE"""),"Intermediate")</f>
        <v>Intermediate</v>
      </c>
      <c r="H744" s="39" t="str">
        <f>IFERROR(__xludf.DUMMYFUNCTION("""COMPUTED_VALUE"""),"Divine Prestige")</f>
        <v>Divine Prestige</v>
      </c>
      <c r="I744" s="40" t="str">
        <f>IFERROR(__xludf.DUMMYFUNCTION("""COMPUTED_VALUE"""),"This card is placed on a Tsao-lon, Belgim E.O., Pamoon, or Demolt MAMODO card. While this MAMODO card is in play, it has the same card name as the MAMODO card under this card. [IN PLAY] Increase the Damage of this MAMODO card's Attacks by 1.")</f>
        <v>This card is placed on a Tsao-lon, Belgim E.O., Pamoon, or Demolt MAMODO card. While this MAMODO card is in play, it has the same card name as the MAMODO card under this card. [IN PLAY] Increase the Damage of this MAMODO card's Attacks by 1.</v>
      </c>
      <c r="J744" s="39">
        <f>IFERROR(__xludf.DUMMYFUNCTION("""COMPUTED_VALUE"""),6000.0)</f>
        <v>6000</v>
      </c>
      <c r="K744" s="39" t="str">
        <f>IFERROR(__xludf.DUMMYFUNCTION("""COMPUTED_VALUE"""),"-")</f>
        <v>-</v>
      </c>
      <c r="L744" s="39" t="str">
        <f>IFERROR(__xludf.DUMMYFUNCTION("""COMPUTED_VALUE"""),"-")</f>
        <v>-</v>
      </c>
      <c r="M744" s="39" t="str">
        <f>IFERROR(__xludf.DUMMYFUNCTION("""COMPUTED_VALUE"""),"[SR]")</f>
        <v>[SR]</v>
      </c>
      <c r="N744" s="39" t="str">
        <f>IFERROR(__xludf.DUMMYFUNCTION("""COMPUTED_VALUE"""),"""Now, I leave the rest to you. The deadliest of my mamodo servants from 1,000 years ago...""")</f>
        <v>"Now, I leave the rest to you. The deadliest of my mamodo servants from 1,000 years ago..."</v>
      </c>
      <c r="O744" s="39"/>
      <c r="P744" s="39"/>
      <c r="Q744" s="39"/>
      <c r="R744" s="39"/>
      <c r="S744" s="39"/>
      <c r="T744" s="39"/>
      <c r="U744" s="39"/>
      <c r="V744" s="39"/>
      <c r="W744" s="39"/>
      <c r="X744" s="39"/>
      <c r="Y744" s="39"/>
      <c r="Z744" s="39"/>
    </row>
    <row r="745">
      <c r="A745" s="41" t="str">
        <f>IFERROR(__xludf.DUMMYFUNCTION("""COMPUTED_VALUE"""),"M-362")</f>
        <v>M-362</v>
      </c>
      <c r="B745" s="42" t="str">
        <f>IFERROR(__xludf.DUMMYFUNCTION("""COMPUTED_VALUE"""),"Mamodo")</f>
        <v>Mamodo</v>
      </c>
      <c r="C745" s="42" t="str">
        <f>IFERROR(__xludf.DUMMYFUNCTION("""COMPUTED_VALUE"""),"Zatch Bell")</f>
        <v>Zatch Bell</v>
      </c>
      <c r="D745" s="42" t="str">
        <f>IFERROR(__xludf.DUMMYFUNCTION("""COMPUTED_VALUE"""),"Zatch Bell")</f>
        <v>Zatch Bell</v>
      </c>
      <c r="E745" s="42" t="str">
        <f>IFERROR(__xludf.DUMMYFUNCTION("""COMPUTED_VALUE"""),"-")</f>
        <v>-</v>
      </c>
      <c r="F745" s="42" t="str">
        <f>IFERROR(__xludf.DUMMYFUNCTION("""COMPUTED_VALUE"""),"-")</f>
        <v>-</v>
      </c>
      <c r="G745" s="42" t="str">
        <f>IFERROR(__xludf.DUMMYFUNCTION("""COMPUTED_VALUE"""),"None")</f>
        <v>None</v>
      </c>
      <c r="H745" s="42" t="str">
        <f>IFERROR(__xludf.DUMMYFUNCTION("""COMPUTED_VALUE"""),"The Conducting Element")</f>
        <v>The Conducting Element</v>
      </c>
      <c r="I745" s="43" t="str">
        <f>IFERROR(__xludf.DUMMYFUNCTION("""COMPUTED_VALUE"""),"[IN PLAY] At the beginning of the START PHASE, negate all [Standby] effects that are triggered during the START PHASE. In addition, your opponent cannot turn pages of their Spell Book during their START PHASE.")</f>
        <v>[IN PLAY] At the beginning of the START PHASE, negate all [Standby] effects that are triggered during the START PHASE. In addition, your opponent cannot turn pages of their Spell Book during their START PHASE.</v>
      </c>
      <c r="J745" s="42">
        <f>IFERROR(__xludf.DUMMYFUNCTION("""COMPUTED_VALUE"""),4500.0)</f>
        <v>4500</v>
      </c>
      <c r="K745" s="42" t="str">
        <f>IFERROR(__xludf.DUMMYFUNCTION("""COMPUTED_VALUE"""),"-")</f>
        <v>-</v>
      </c>
      <c r="L745" s="42" t="str">
        <f>IFERROR(__xludf.DUMMYFUNCTION("""COMPUTED_VALUE"""),"-")</f>
        <v>-</v>
      </c>
      <c r="M745" s="42" t="str">
        <f>IFERROR(__xludf.DUMMYFUNCTION("""COMPUTED_VALUE"""),"[U]")</f>
        <v>[U]</v>
      </c>
      <c r="N745" s="42" t="str">
        <f>IFERROR(__xludf.DUMMYFUNCTION("""COMPUTED_VALUE"""),"""The conducting element that gives light and energy..."" This is the power that Zatch and Kiyo specialize in.")</f>
        <v>"The conducting element that gives light and energy..." This is the power that Zatch and Kiyo specialize in.</v>
      </c>
      <c r="O745" s="42"/>
      <c r="P745" s="42"/>
      <c r="Q745" s="42"/>
      <c r="R745" s="42"/>
      <c r="S745" s="42"/>
      <c r="T745" s="42"/>
      <c r="U745" s="42"/>
      <c r="V745" s="42"/>
      <c r="W745" s="42"/>
      <c r="X745" s="42"/>
      <c r="Y745" s="42"/>
      <c r="Z745" s="42"/>
    </row>
    <row r="746">
      <c r="A746" s="41" t="str">
        <f>IFERROR(__xludf.DUMMYFUNCTION("""COMPUTED_VALUE"""),"M-363")</f>
        <v>M-363</v>
      </c>
      <c r="B746" s="42" t="str">
        <f>IFERROR(__xludf.DUMMYFUNCTION("""COMPUTED_VALUE"""),"Mamodo")</f>
        <v>Mamodo</v>
      </c>
      <c r="C746" s="42" t="str">
        <f>IFERROR(__xludf.DUMMYFUNCTION("""COMPUTED_VALUE"""),"Kanchomé")</f>
        <v>Kanchomé</v>
      </c>
      <c r="D746" s="42" t="str">
        <f>IFERROR(__xludf.DUMMYFUNCTION("""COMPUTED_VALUE"""),"Kanchomé")</f>
        <v>Kanchomé</v>
      </c>
      <c r="E746" s="42" t="str">
        <f>IFERROR(__xludf.DUMMYFUNCTION("""COMPUTED_VALUE"""),"-")</f>
        <v>-</v>
      </c>
      <c r="F746" s="42" t="str">
        <f>IFERROR(__xludf.DUMMYFUNCTION("""COMPUTED_VALUE"""),"-")</f>
        <v>-</v>
      </c>
      <c r="G746" s="42" t="str">
        <f>IFERROR(__xludf.DUMMYFUNCTION("""COMPUTED_VALUE"""),"None")</f>
        <v>None</v>
      </c>
      <c r="H746" s="42" t="str">
        <f>IFERROR(__xludf.DUMMYFUNCTION("""COMPUTED_VALUE"""),"The Transformation Element")</f>
        <v>The Transformation Element</v>
      </c>
      <c r="I746" s="43" t="str">
        <f>IFERROR(__xludf.DUMMYFUNCTION("""COMPUTED_VALUE"""),"[SEND THIS CARD TO THE DISCARD PILE] [STANDBY] After applying this effect, only once during this game (per player), you may negate 1 card effect your opponent applies that reduces your MP (this cannot be used as a cut-in effect).")</f>
        <v>[SEND THIS CARD TO THE DISCARD PILE] [STANDBY] After applying this effect, only once during this game (per player), you may negate 1 card effect your opponent applies that reduces your MP (this cannot be used as a cut-in effect).</v>
      </c>
      <c r="J746" s="42">
        <f>IFERROR(__xludf.DUMMYFUNCTION("""COMPUTED_VALUE"""),3000.0)</f>
        <v>3000</v>
      </c>
      <c r="K746" s="42" t="str">
        <f>IFERROR(__xludf.DUMMYFUNCTION("""COMPUTED_VALUE"""),"-")</f>
        <v>-</v>
      </c>
      <c r="L746" s="42" t="str">
        <f>IFERROR(__xludf.DUMMYFUNCTION("""COMPUTED_VALUE"""),"-")</f>
        <v>-</v>
      </c>
      <c r="M746" s="42" t="str">
        <f>IFERROR(__xludf.DUMMYFUNCTION("""COMPUTED_VALUE"""),"[C]")</f>
        <v>[C]</v>
      </c>
      <c r="N746" s="42" t="str">
        <f>IFERROR(__xludf.DUMMYFUNCTION("""COMPUTED_VALUE"""),"""Volcan? Come to think of it, it does really look like it...""")</f>
        <v>"Volcan? Come to think of it, it does really look like it..."</v>
      </c>
      <c r="O746" s="42"/>
      <c r="P746" s="42"/>
      <c r="Q746" s="42"/>
      <c r="R746" s="42"/>
      <c r="S746" s="42"/>
      <c r="T746" s="42"/>
      <c r="U746" s="42"/>
      <c r="V746" s="42"/>
      <c r="W746" s="42"/>
      <c r="X746" s="42"/>
      <c r="Y746" s="42"/>
      <c r="Z746" s="42"/>
    </row>
    <row r="747">
      <c r="A747" s="41" t="str">
        <f>IFERROR(__xludf.DUMMYFUNCTION("""COMPUTED_VALUE"""),"M-364")</f>
        <v>M-364</v>
      </c>
      <c r="B747" s="42" t="str">
        <f>IFERROR(__xludf.DUMMYFUNCTION("""COMPUTED_VALUE"""),"Mamodo")</f>
        <v>Mamodo</v>
      </c>
      <c r="C747" s="42" t="str">
        <f>IFERROR(__xludf.DUMMYFUNCTION("""COMPUTED_VALUE"""),"Tia")</f>
        <v>Tia</v>
      </c>
      <c r="D747" s="42" t="str">
        <f>IFERROR(__xludf.DUMMYFUNCTION("""COMPUTED_VALUE"""),"Tia")</f>
        <v>Tia</v>
      </c>
      <c r="E747" s="42" t="str">
        <f>IFERROR(__xludf.DUMMYFUNCTION("""COMPUTED_VALUE"""),"-")</f>
        <v>-</v>
      </c>
      <c r="F747" s="42" t="str">
        <f>IFERROR(__xludf.DUMMYFUNCTION("""COMPUTED_VALUE"""),"-")</f>
        <v>-</v>
      </c>
      <c r="G747" s="42" t="str">
        <f>IFERROR(__xludf.DUMMYFUNCTION("""COMPUTED_VALUE"""),"None")</f>
        <v>None</v>
      </c>
      <c r="H747" s="42" t="str">
        <f>IFERROR(__xludf.DUMMYFUNCTION("""COMPUTED_VALUE"""),"The Shield Element")</f>
        <v>The Shield Element</v>
      </c>
      <c r="I747" s="43" t="str">
        <f>IFERROR(__xludf.DUMMYFUNCTION("""COMPUTED_VALUE"""),"[SEND THIS CARD TO THE DISCARD PILE] [STANDBY] After applying this effect, only once during this game (per player), you may negate 1 card effect your opponent applies that sends your in-play cards to the Discard Pile (this cannot be used as a cut-in effec"&amp;"t).")</f>
        <v>[SEND THIS CARD TO THE DISCARD PILE] [STANDBY] After applying this effect, only once during this game (per player), you may negate 1 card effect your opponent applies that sends your in-play cards to the Discard Pile (this cannot be used as a cut-in effect).</v>
      </c>
      <c r="J747" s="42">
        <f>IFERROR(__xludf.DUMMYFUNCTION("""COMPUTED_VALUE"""),4000.0)</f>
        <v>4000</v>
      </c>
      <c r="K747" s="42" t="str">
        <f>IFERROR(__xludf.DUMMYFUNCTION("""COMPUTED_VALUE"""),"-")</f>
        <v>-</v>
      </c>
      <c r="L747" s="42" t="str">
        <f>IFERROR(__xludf.DUMMYFUNCTION("""COMPUTED_VALUE"""),"-")</f>
        <v>-</v>
      </c>
      <c r="M747" s="42" t="str">
        <f>IFERROR(__xludf.DUMMYFUNCTION("""COMPUTED_VALUE"""),"[C]")</f>
        <v>[C]</v>
      </c>
      <c r="N747" s="42" t="str">
        <f>IFERROR(__xludf.DUMMYFUNCTION("""COMPUTED_VALUE"""),"""Huh? This is... for me? ...Thank you.""")</f>
        <v>"Huh? This is... for me? ...Thank you."</v>
      </c>
      <c r="O747" s="42"/>
      <c r="P747" s="42"/>
      <c r="Q747" s="42"/>
      <c r="R747" s="42"/>
      <c r="S747" s="42"/>
      <c r="T747" s="42"/>
      <c r="U747" s="42"/>
      <c r="V747" s="42"/>
      <c r="W747" s="42"/>
      <c r="X747" s="42"/>
      <c r="Y747" s="42"/>
      <c r="Z747" s="42"/>
    </row>
    <row r="748">
      <c r="A748" s="41" t="str">
        <f>IFERROR(__xludf.DUMMYFUNCTION("""COMPUTED_VALUE"""),"M-365")</f>
        <v>M-365</v>
      </c>
      <c r="B748" s="42" t="str">
        <f>IFERROR(__xludf.DUMMYFUNCTION("""COMPUTED_VALUE"""),"Mamodo")</f>
        <v>Mamodo</v>
      </c>
      <c r="C748" s="42" t="str">
        <f>IFERROR(__xludf.DUMMYFUNCTION("""COMPUTED_VALUE"""),"Ponygon")</f>
        <v>Ponygon</v>
      </c>
      <c r="D748" s="42" t="str">
        <f>IFERROR(__xludf.DUMMYFUNCTION("""COMPUTED_VALUE"""),"Ponygon")</f>
        <v>Ponygon</v>
      </c>
      <c r="E748" s="42" t="str">
        <f>IFERROR(__xludf.DUMMYFUNCTION("""COMPUTED_VALUE"""),"-")</f>
        <v>-</v>
      </c>
      <c r="F748" s="42" t="str">
        <f>IFERROR(__xludf.DUMMYFUNCTION("""COMPUTED_VALUE"""),"-")</f>
        <v>-</v>
      </c>
      <c r="G748" s="42" t="str">
        <f>IFERROR(__xludf.DUMMYFUNCTION("""COMPUTED_VALUE"""),"None")</f>
        <v>None</v>
      </c>
      <c r="H748" s="42" t="str">
        <f>IFERROR(__xludf.DUMMYFUNCTION("""COMPUTED_VALUE"""),"The Fire Element")</f>
        <v>The Fire Element</v>
      </c>
      <c r="I748" s="43" t="str">
        <f>IFERROR(__xludf.DUMMYFUNCTION("""COMPUTED_VALUE"""),"[SEND THIS CARD TO THE DISCARD PILE] [STANDBY] After applying this effect, only once during this game (per player), you may turn 1 additional page of your opponent's Spell Book when they are turning pages of their Spell Book as a result of your card effec"&amp;"ts or by inflicting Damage.")</f>
        <v>[SEND THIS CARD TO THE DISCARD PILE] [STANDBY] After applying this effect, only once during this game (per player), you may turn 1 additional page of your opponent's Spell Book when they are turning pages of their Spell Book as a result of your card effects or by inflicting Damage.</v>
      </c>
      <c r="J748" s="42">
        <f>IFERROR(__xludf.DUMMYFUNCTION("""COMPUTED_VALUE"""),3000.0)</f>
        <v>3000</v>
      </c>
      <c r="K748" s="42" t="str">
        <f>IFERROR(__xludf.DUMMYFUNCTION("""COMPUTED_VALUE"""),"-")</f>
        <v>-</v>
      </c>
      <c r="L748" s="42" t="str">
        <f>IFERROR(__xludf.DUMMYFUNCTION("""COMPUTED_VALUE"""),"-")</f>
        <v>-</v>
      </c>
      <c r="M748" s="42" t="str">
        <f>IFERROR(__xludf.DUMMYFUNCTION("""COMPUTED_VALUE"""),"[C]")</f>
        <v>[C]</v>
      </c>
      <c r="N748" s="42" t="str">
        <f>IFERROR(__xludf.DUMMYFUNCTION("""COMPUTED_VALUE"""),"""Ponygon, where are you taking that lunch to?""")</f>
        <v>"Ponygon, where are you taking that lunch to?"</v>
      </c>
      <c r="O748" s="42"/>
      <c r="P748" s="42"/>
      <c r="Q748" s="42"/>
      <c r="R748" s="42"/>
      <c r="S748" s="42"/>
      <c r="T748" s="42"/>
      <c r="U748" s="42"/>
      <c r="V748" s="42"/>
      <c r="W748" s="42"/>
      <c r="X748" s="42"/>
      <c r="Y748" s="42"/>
      <c r="Z748" s="42"/>
    </row>
    <row r="749">
      <c r="A749" s="41" t="str">
        <f>IFERROR(__xludf.DUMMYFUNCTION("""COMPUTED_VALUE"""),"M-366")</f>
        <v>M-366</v>
      </c>
      <c r="B749" s="42" t="str">
        <f>IFERROR(__xludf.DUMMYFUNCTION("""COMPUTED_VALUE"""),"Mamodo")</f>
        <v>Mamodo</v>
      </c>
      <c r="C749" s="42" t="str">
        <f>IFERROR(__xludf.DUMMYFUNCTION("""COMPUTED_VALUE"""),"Dr. M2")</f>
        <v>Dr. M2</v>
      </c>
      <c r="D749" s="42" t="str">
        <f>IFERROR(__xludf.DUMMYFUNCTION("""COMPUTED_VALUE"""),"Dr. M2")</f>
        <v>Dr. M2</v>
      </c>
      <c r="E749" s="42" t="str">
        <f>IFERROR(__xludf.DUMMYFUNCTION("""COMPUTED_VALUE"""),"-")</f>
        <v>-</v>
      </c>
      <c r="F749" s="42" t="str">
        <f>IFERROR(__xludf.DUMMYFUNCTION("""COMPUTED_VALUE"""),"-")</f>
        <v>-</v>
      </c>
      <c r="G749" s="42" t="str">
        <f>IFERROR(__xludf.DUMMYFUNCTION("""COMPUTED_VALUE"""),"None")</f>
        <v>None</v>
      </c>
      <c r="H749" s="42" t="str">
        <f>IFERROR(__xludf.DUMMYFUNCTION("""COMPUTED_VALUE"""),"Magic Scientist")</f>
        <v>Magic Scientist</v>
      </c>
      <c r="I749" s="43" t="str">
        <f>IFERROR(__xludf.DUMMYFUNCTION("""COMPUTED_VALUE"""),"[1 MP] [STANDBY] 1 SPELL card can be played from the pages immediately before the currently open pages of your Spell Book during the next Battle this turn.")</f>
        <v>[1 MP] [STANDBY] 1 SPELL card can be played from the pages immediately before the currently open pages of your Spell Book during the next Battle this turn.</v>
      </c>
      <c r="J749" s="42">
        <f>IFERROR(__xludf.DUMMYFUNCTION("""COMPUTED_VALUE"""),4500.0)</f>
        <v>4500</v>
      </c>
      <c r="K749" s="42" t="str">
        <f>IFERROR(__xludf.DUMMYFUNCTION("""COMPUTED_VALUE"""),"-")</f>
        <v>-</v>
      </c>
      <c r="L749" s="42" t="str">
        <f>IFERROR(__xludf.DUMMYFUNCTION("""COMPUTED_VALUE"""),"-")</f>
        <v>-</v>
      </c>
      <c r="M749" s="42" t="str">
        <f>IFERROR(__xludf.DUMMYFUNCTION("""COMPUTED_VALUE"""),"[U]")</f>
        <v>[U]</v>
      </c>
      <c r="N749" s="42" t="str">
        <f>IFERROR(__xludf.DUMMYFUNCTION("""COMPUTED_VALUE"""),"""In the mamodo world, I'm the only person who does magical science research. Well, you could call me the one and only genius magical scientist!""")</f>
        <v>"In the mamodo world, I'm the only person who does magical science research. Well, you could call me the one and only genius magical scientist!"</v>
      </c>
      <c r="O749" s="42"/>
      <c r="P749" s="42"/>
      <c r="Q749" s="42"/>
      <c r="R749" s="42"/>
      <c r="S749" s="42"/>
      <c r="T749" s="42"/>
      <c r="U749" s="42"/>
      <c r="V749" s="42"/>
      <c r="W749" s="42"/>
      <c r="X749" s="42"/>
      <c r="Y749" s="42"/>
      <c r="Z749" s="42"/>
    </row>
    <row r="750">
      <c r="A750" s="41" t="str">
        <f>IFERROR(__xludf.DUMMYFUNCTION("""COMPUTED_VALUE"""),"M-367")</f>
        <v>M-367</v>
      </c>
      <c r="B750" s="42" t="str">
        <f>IFERROR(__xludf.DUMMYFUNCTION("""COMPUTED_VALUE"""),"Mamodo")</f>
        <v>Mamodo</v>
      </c>
      <c r="C750" s="42" t="str">
        <f>IFERROR(__xludf.DUMMYFUNCTION("""COMPUTED_VALUE"""),"Zatch Bell")</f>
        <v>Zatch Bell</v>
      </c>
      <c r="D750" s="42" t="str">
        <f>IFERROR(__xludf.DUMMYFUNCTION("""COMPUTED_VALUE"""),"Zatch Bell")</f>
        <v>Zatch Bell</v>
      </c>
      <c r="E750" s="42" t="str">
        <f>IFERROR(__xludf.DUMMYFUNCTION("""COMPUTED_VALUE"""),"-")</f>
        <v>-</v>
      </c>
      <c r="F750" s="42" t="str">
        <f>IFERROR(__xludf.DUMMYFUNCTION("""COMPUTED_VALUE"""),"-")</f>
        <v>-</v>
      </c>
      <c r="G750" s="42" t="str">
        <f>IFERROR(__xludf.DUMMYFUNCTION("""COMPUTED_VALUE"""),"None")</f>
        <v>None</v>
      </c>
      <c r="H750" s="42" t="str">
        <f>IFERROR(__xludf.DUMMYFUNCTION("""COMPUTED_VALUE"""),"Run For It!")</f>
        <v>Run For It!</v>
      </c>
      <c r="I750" s="43" t="str">
        <f>IFERROR(__xludf.DUMMYFUNCTION("""COMPUTED_VALUE"""),"[DECLARE TO USE] Move 1 of your in-play MAMODO cards (except this MAMODO card) and the attached PARTNER card (if any) to empty pages of your Spell Book.")</f>
        <v>[DECLARE TO USE] Move 1 of your in-play MAMODO cards (except this MAMODO card) and the attached PARTNER card (if any) to empty pages of your Spell Book.</v>
      </c>
      <c r="J750" s="42">
        <f>IFERROR(__xludf.DUMMYFUNCTION("""COMPUTED_VALUE"""),4500.0)</f>
        <v>4500</v>
      </c>
      <c r="K750" s="42" t="str">
        <f>IFERROR(__xludf.DUMMYFUNCTION("""COMPUTED_VALUE"""),"-")</f>
        <v>-</v>
      </c>
      <c r="L750" s="42" t="str">
        <f>IFERROR(__xludf.DUMMYFUNCTION("""COMPUTED_VALUE"""),"-")</f>
        <v>-</v>
      </c>
      <c r="M750" s="42" t="str">
        <f>IFERROR(__xludf.DUMMYFUNCTION("""COMPUTED_VALUE"""),"[U]")</f>
        <v>[U]</v>
      </c>
      <c r="N750" s="42" t="str">
        <f>IFERROR(__xludf.DUMMYFUNCTION("""COMPUTED_VALUE"""),"“Kanchomé, Folgore, you guys run away! If you don't, we'll all end up...!”")</f>
        <v>“Kanchomé, Folgore, you guys run away! If you don't, we'll all end up...!”</v>
      </c>
      <c r="O750" s="42"/>
      <c r="P750" s="42"/>
      <c r="Q750" s="42"/>
      <c r="R750" s="42"/>
      <c r="S750" s="42"/>
      <c r="T750" s="42"/>
      <c r="U750" s="42"/>
      <c r="V750" s="42"/>
      <c r="W750" s="42"/>
      <c r="X750" s="42"/>
      <c r="Y750" s="42"/>
      <c r="Z750" s="42"/>
    </row>
    <row r="751">
      <c r="A751" s="41" t="str">
        <f>IFERROR(__xludf.DUMMYFUNCTION("""COMPUTED_VALUE"""),"M-368")</f>
        <v>M-368</v>
      </c>
      <c r="B751" s="42" t="str">
        <f>IFERROR(__xludf.DUMMYFUNCTION("""COMPUTED_VALUE"""),"Mamodo")</f>
        <v>Mamodo</v>
      </c>
      <c r="C751" s="42" t="str">
        <f>IFERROR(__xludf.DUMMYFUNCTION("""COMPUTED_VALUE"""),"Kanchomé")</f>
        <v>Kanchomé</v>
      </c>
      <c r="D751" s="42" t="str">
        <f>IFERROR(__xludf.DUMMYFUNCTION("""COMPUTED_VALUE"""),"Kanchomé")</f>
        <v>Kanchomé</v>
      </c>
      <c r="E751" s="42" t="str">
        <f>IFERROR(__xludf.DUMMYFUNCTION("""COMPUTED_VALUE"""),"-")</f>
        <v>-</v>
      </c>
      <c r="F751" s="42" t="str">
        <f>IFERROR(__xludf.DUMMYFUNCTION("""COMPUTED_VALUE"""),"-")</f>
        <v>-</v>
      </c>
      <c r="G751" s="42" t="str">
        <f>IFERROR(__xludf.DUMMYFUNCTION("""COMPUTED_VALUE"""),"None")</f>
        <v>None</v>
      </c>
      <c r="H751" s="42" t="str">
        <f>IFERROR(__xludf.DUMMYFUNCTION("""COMPUTED_VALUE"""),"Determined Kanchomé")</f>
        <v>Determined Kanchomé</v>
      </c>
      <c r="I751" s="43" t="str">
        <f>IFERROR(__xludf.DUMMYFUNCTION("""COMPUTED_VALUE"""),"[IN PLAY] Each time an opponent's in-play MAMODO card is sent to the Discard Pile, turn 1 page of your opponent's Spell Book.")</f>
        <v>[IN PLAY] Each time an opponent's in-play MAMODO card is sent to the Discard Pile, turn 1 page of your opponent's Spell Book.</v>
      </c>
      <c r="J751" s="42">
        <f>IFERROR(__xludf.DUMMYFUNCTION("""COMPUTED_VALUE"""),3000.0)</f>
        <v>3000</v>
      </c>
      <c r="K751" s="42" t="str">
        <f>IFERROR(__xludf.DUMMYFUNCTION("""COMPUTED_VALUE"""),"-")</f>
        <v>-</v>
      </c>
      <c r="L751" s="42" t="str">
        <f>IFERROR(__xludf.DUMMYFUNCTION("""COMPUTED_VALUE"""),"-")</f>
        <v>-</v>
      </c>
      <c r="M751" s="42" t="str">
        <f>IFERROR(__xludf.DUMMYFUNCTION("""COMPUTED_VALUE"""),"[R]")</f>
        <v>[R]</v>
      </c>
      <c r="N751" s="42" t="str">
        <f>IFERROR(__xludf.DUMMYFUNCTION("""COMPUTED_VALUE"""),"""All right, we're gonna get them all at once!""")</f>
        <v>"All right, we're gonna get them all at once!"</v>
      </c>
      <c r="O751" s="42"/>
      <c r="P751" s="42"/>
      <c r="Q751" s="42"/>
      <c r="R751" s="42"/>
      <c r="S751" s="42"/>
      <c r="T751" s="42"/>
      <c r="U751" s="42"/>
      <c r="V751" s="42"/>
      <c r="W751" s="42"/>
      <c r="X751" s="42"/>
      <c r="Y751" s="42"/>
      <c r="Z751" s="42"/>
    </row>
    <row r="752">
      <c r="A752" s="41" t="str">
        <f>IFERROR(__xludf.DUMMYFUNCTION("""COMPUTED_VALUE"""),"M-369")</f>
        <v>M-369</v>
      </c>
      <c r="B752" s="42" t="str">
        <f>IFERROR(__xludf.DUMMYFUNCTION("""COMPUTED_VALUE"""),"Mamodo")</f>
        <v>Mamodo</v>
      </c>
      <c r="C752" s="42" t="str">
        <f>IFERROR(__xludf.DUMMYFUNCTION("""COMPUTED_VALUE"""),"Kanchome (Double)")</f>
        <v>Kanchome (Double)</v>
      </c>
      <c r="D752" s="42" t="str">
        <f>IFERROR(__xludf.DUMMYFUNCTION("""COMPUTED_VALUE"""),"Kanchomé")</f>
        <v>Kanchomé</v>
      </c>
      <c r="E752" s="42" t="str">
        <f>IFERROR(__xludf.DUMMYFUNCTION("""COMPUTED_VALUE"""),"-")</f>
        <v>-</v>
      </c>
      <c r="F752" s="42" t="str">
        <f>IFERROR(__xludf.DUMMYFUNCTION("""COMPUTED_VALUE"""),"-")</f>
        <v>-</v>
      </c>
      <c r="G752" s="42" t="str">
        <f>IFERROR(__xludf.DUMMYFUNCTION("""COMPUTED_VALUE"""),"None")</f>
        <v>None</v>
      </c>
      <c r="H752" s="42" t="str">
        <f>IFERROR(__xludf.DUMMYFUNCTION("""COMPUTED_VALUE"""),"Fight As A Team!")</f>
        <v>Fight As A Team!</v>
      </c>
      <c r="I752" s="43" t="str">
        <f>IFERROR(__xludf.DUMMYFUNCTION("""COMPUTED_VALUE"""),"This MAMODO card is put in play when you play a Dima Buruk SPELL card. No SPELL cards can be played for this MAMODO card (except ""Command"" SPELL cards with ""Kanchomé (Double)"" as their MAMODO name). [SEND THIS CARD TO THE DISCARD PILE] (Battle) Negate"&amp;" a card effect that inflicts Damage or Injury during the Battle. [SEND THIS CARD TO THE DISCARD PILE] (Attack) This card may Attack without using a SPELL card (Total Power=5000, Damage=1).")</f>
        <v>This MAMODO card is put in play when you play a Dima Buruk SPELL card. No SPELL cards can be played for this MAMODO card (except "Command" SPELL cards with "Kanchomé (Double)" as their MAMODO name). [SEND THIS CARD TO THE DISCARD PILE] (Battle) Negate a card effect that inflicts Damage or Injury during the Battle. [SEND THIS CARD TO THE DISCARD PILE] (Attack) This card may Attack without using a SPELL card (Total Power=5000, Damage=1).</v>
      </c>
      <c r="J752" s="42">
        <f>IFERROR(__xludf.DUMMYFUNCTION("""COMPUTED_VALUE"""),2000.0)</f>
        <v>2000</v>
      </c>
      <c r="K752" s="42" t="str">
        <f>IFERROR(__xludf.DUMMYFUNCTION("""COMPUTED_VALUE"""),"-")</f>
        <v>-</v>
      </c>
      <c r="L752" s="42" t="str">
        <f>IFERROR(__xludf.DUMMYFUNCTION("""COMPUTED_VALUE"""),"-")</f>
        <v>-</v>
      </c>
      <c r="M752" s="42" t="str">
        <f>IFERROR(__xludf.DUMMYFUNCTION("""COMPUTED_VALUE"""),"[C]")</f>
        <v>[C]</v>
      </c>
      <c r="N752" s="42" t="str">
        <f>IFERROR(__xludf.DUMMYFUNCTION("""COMPUTED_VALUE"""),"""I think it's better if I keep an eye on the book owner!""")</f>
        <v>"I think it's better if I keep an eye on the book owner!"</v>
      </c>
      <c r="O752" s="42"/>
      <c r="P752" s="42"/>
      <c r="Q752" s="42"/>
      <c r="R752" s="42"/>
      <c r="S752" s="42"/>
      <c r="T752" s="42"/>
      <c r="U752" s="42"/>
      <c r="V752" s="42"/>
      <c r="W752" s="42"/>
      <c r="X752" s="42"/>
      <c r="Y752" s="42"/>
      <c r="Z752" s="42"/>
    </row>
    <row r="753">
      <c r="A753" s="41" t="str">
        <f>IFERROR(__xludf.DUMMYFUNCTION("""COMPUTED_VALUE"""),"M-370")</f>
        <v>M-370</v>
      </c>
      <c r="B753" s="42" t="str">
        <f>IFERROR(__xludf.DUMMYFUNCTION("""COMPUTED_VALUE"""),"Mamodo")</f>
        <v>Mamodo</v>
      </c>
      <c r="C753" s="42" t="str">
        <f>IFERROR(__xludf.DUMMYFUNCTION("""COMPUTED_VALUE"""),"Buzarai")</f>
        <v>Buzarai</v>
      </c>
      <c r="D753" s="42" t="str">
        <f>IFERROR(__xludf.DUMMYFUNCTION("""COMPUTED_VALUE"""),"Buzarai")</f>
        <v>Buzarai</v>
      </c>
      <c r="E753" s="42" t="str">
        <f>IFERROR(__xludf.DUMMYFUNCTION("""COMPUTED_VALUE"""),"-")</f>
        <v>-</v>
      </c>
      <c r="F753" s="42" t="str">
        <f>IFERROR(__xludf.DUMMYFUNCTION("""COMPUTED_VALUE"""),"-")</f>
        <v>-</v>
      </c>
      <c r="G753" s="42" t="str">
        <f>IFERROR(__xludf.DUMMYFUNCTION("""COMPUTED_VALUE"""),"None")</f>
        <v>None</v>
      </c>
      <c r="H753" s="42" t="str">
        <f>IFERROR(__xludf.DUMMYFUNCTION("""COMPUTED_VALUE"""),"Collaborating With Keith")</f>
        <v>Collaborating With Keith</v>
      </c>
      <c r="I753" s="43" t="str">
        <f>IFERROR(__xludf.DUMMYFUNCTION("""COMPUTED_VALUE"""),"(Battle) [DECLARE TO USE] [STAY] Increase the Damage of this MAMODO card's SPELL cards by 1 during the Battle. This effect can be applied only when you have a Keith MAMODO card in play.")</f>
        <v>(Battle) [DECLARE TO USE] [STAY] Increase the Damage of this MAMODO card's SPELL cards by 1 during the Battle. This effect can be applied only when you have a Keith MAMODO card in play.</v>
      </c>
      <c r="J753" s="42">
        <f>IFERROR(__xludf.DUMMYFUNCTION("""COMPUTED_VALUE"""),5000.0)</f>
        <v>5000</v>
      </c>
      <c r="K753" s="42" t="str">
        <f>IFERROR(__xludf.DUMMYFUNCTION("""COMPUTED_VALUE"""),"-")</f>
        <v>-</v>
      </c>
      <c r="L753" s="42" t="str">
        <f>IFERROR(__xludf.DUMMYFUNCTION("""COMPUTED_VALUE"""),"-")</f>
        <v>-</v>
      </c>
      <c r="M753" s="42" t="str">
        <f>IFERROR(__xludf.DUMMYFUNCTION("""COMPUTED_VALUE"""),"[C]")</f>
        <v>[C]</v>
      </c>
      <c r="N753" s="42" t="str">
        <f>IFERROR(__xludf.DUMMYFUNCTION("""COMPUTED_VALUE"""),"He loyally invokes his spells at Keith's command.")</f>
        <v>He loyally invokes his spells at Keith's command.</v>
      </c>
      <c r="O753" s="42"/>
      <c r="P753" s="42"/>
      <c r="Q753" s="42"/>
      <c r="R753" s="42"/>
      <c r="S753" s="42"/>
      <c r="T753" s="42"/>
      <c r="U753" s="42"/>
      <c r="V753" s="42"/>
      <c r="W753" s="42"/>
      <c r="X753" s="42"/>
      <c r="Y753" s="42"/>
      <c r="Z753" s="42"/>
    </row>
    <row r="754">
      <c r="A754" s="41" t="str">
        <f>IFERROR(__xludf.DUMMYFUNCTION("""COMPUTED_VALUE"""),"M-371")</f>
        <v>M-371</v>
      </c>
      <c r="B754" s="42" t="str">
        <f>IFERROR(__xludf.DUMMYFUNCTION("""COMPUTED_VALUE"""),"Mamodo")</f>
        <v>Mamodo</v>
      </c>
      <c r="C754" s="42" t="str">
        <f>IFERROR(__xludf.DUMMYFUNCTION("""COMPUTED_VALUE"""),"Keith")</f>
        <v>Keith</v>
      </c>
      <c r="D754" s="42" t="str">
        <f>IFERROR(__xludf.DUMMYFUNCTION("""COMPUTED_VALUE"""),"Keith")</f>
        <v>Keith</v>
      </c>
      <c r="E754" s="42" t="str">
        <f>IFERROR(__xludf.DUMMYFUNCTION("""COMPUTED_VALUE"""),"-")</f>
        <v>-</v>
      </c>
      <c r="F754" s="42" t="str">
        <f>IFERROR(__xludf.DUMMYFUNCTION("""COMPUTED_VALUE"""),"-")</f>
        <v>-</v>
      </c>
      <c r="G754" s="42" t="str">
        <f>IFERROR(__xludf.DUMMYFUNCTION("""COMPUTED_VALUE"""),"None")</f>
        <v>None</v>
      </c>
      <c r="H754" s="42" t="str">
        <f>IFERROR(__xludf.DUMMYFUNCTION("""COMPUTED_VALUE"""),"Master Conductor")</f>
        <v>Master Conductor</v>
      </c>
      <c r="I754" s="43" t="str">
        <f>IFERROR(__xludf.DUMMYFUNCTION("""COMPUTED_VALUE"""),"[IN PLAY] Reduce the MP cost of SPELL cards you play for MAMODO cards (except this MAMODO card) by 1. In addition, add 2000 Power to those SPELL cards.")</f>
        <v>[IN PLAY] Reduce the MP cost of SPELL cards you play for MAMODO cards (except this MAMODO card) by 1. In addition, add 2000 Power to those SPELL cards.</v>
      </c>
      <c r="J754" s="42">
        <f>IFERROR(__xludf.DUMMYFUNCTION("""COMPUTED_VALUE"""),5000.0)</f>
        <v>5000</v>
      </c>
      <c r="K754" s="42" t="str">
        <f>IFERROR(__xludf.DUMMYFUNCTION("""COMPUTED_VALUE"""),"-")</f>
        <v>-</v>
      </c>
      <c r="L754" s="42" t="str">
        <f>IFERROR(__xludf.DUMMYFUNCTION("""COMPUTED_VALUE"""),"-")</f>
        <v>-</v>
      </c>
      <c r="M754" s="42" t="str">
        <f>IFERROR(__xludf.DUMMYFUNCTION("""COMPUTED_VALUE"""),"[U]")</f>
        <v>[U]</v>
      </c>
      <c r="N754" s="42" t="str">
        <f>IFERROR(__xludf.DUMMYFUNCTION("""COMPUTED_VALUE"""),"""Faan-choon foon-feen, hyaan-hyoon foon-faan feer-ihoo!!""")</f>
        <v>"Faan-choon foon-feen, hyaan-hyoon foon-faan feer-ihoo!!"</v>
      </c>
      <c r="O754" s="42"/>
      <c r="P754" s="42"/>
      <c r="Q754" s="42"/>
      <c r="R754" s="42"/>
      <c r="S754" s="42"/>
      <c r="T754" s="42"/>
      <c r="U754" s="42"/>
      <c r="V754" s="42"/>
      <c r="W754" s="42"/>
      <c r="X754" s="42"/>
      <c r="Y754" s="42"/>
      <c r="Z754" s="42"/>
    </row>
    <row r="755">
      <c r="A755" s="41" t="str">
        <f>IFERROR(__xludf.DUMMYFUNCTION("""COMPUTED_VALUE"""),"M-372")</f>
        <v>M-372</v>
      </c>
      <c r="B755" s="42" t="str">
        <f>IFERROR(__xludf.DUMMYFUNCTION("""COMPUTED_VALUE"""),"Dual Mamodo")</f>
        <v>Dual Mamodo</v>
      </c>
      <c r="C755" s="42" t="str">
        <f>IFERROR(__xludf.DUMMYFUNCTION("""COMPUTED_VALUE"""),"Zatch Bell &amp; Kanchomé")</f>
        <v>Zatch Bell &amp; Kanchomé</v>
      </c>
      <c r="D755" s="42" t="str">
        <f>IFERROR(__xludf.DUMMYFUNCTION("""COMPUTED_VALUE"""),"Zatch Bell | Kanchomé")</f>
        <v>Zatch Bell | Kanchomé</v>
      </c>
      <c r="E755" s="42" t="str">
        <f>IFERROR(__xludf.DUMMYFUNCTION("""COMPUTED_VALUE"""),"-")</f>
        <v>-</v>
      </c>
      <c r="F755" s="42" t="str">
        <f>IFERROR(__xludf.DUMMYFUNCTION("""COMPUTED_VALUE"""),"-")</f>
        <v>-</v>
      </c>
      <c r="G755" s="42" t="str">
        <f>IFERROR(__xludf.DUMMYFUNCTION("""COMPUTED_VALUE"""),"None")</f>
        <v>None</v>
      </c>
      <c r="H755" s="42" t="str">
        <f>IFERROR(__xludf.DUMMYFUNCTION("""COMPUTED_VALUE"""),"We Can't Lose!")</f>
        <v>We Can't Lose!</v>
      </c>
      <c r="I755" s="43" t="str">
        <f>IFERROR(__xludf.DUMMYFUNCTION("""COMPUTED_VALUE"""),"Send your in-play Zatch Bell or Kanchomé MAMODO card to the Discard Pile to put this MAMODO card in play. [IN PLAY] The SPELL card on the last page of your Spell Book cannot be negated by your opponent's card effects (except other SPELL cards). In additio"&amp;"n, your opponent cannot play the SPELL card on the last page of their Spell Book.")</f>
        <v>Send your in-play Zatch Bell or Kanchomé MAMODO card to the Discard Pile to put this MAMODO card in play. [IN PLAY] The SPELL card on the last page of your Spell Book cannot be negated by your opponent's card effects (except other SPELL cards). In addition, your opponent cannot play the SPELL card on the last page of their Spell Book.</v>
      </c>
      <c r="J755" s="42">
        <f>IFERROR(__xludf.DUMMYFUNCTION("""COMPUTED_VALUE"""),5000.0)</f>
        <v>5000</v>
      </c>
      <c r="K755" s="42" t="str">
        <f>IFERROR(__xludf.DUMMYFUNCTION("""COMPUTED_VALUE"""),"-")</f>
        <v>-</v>
      </c>
      <c r="L755" s="42" t="str">
        <f>IFERROR(__xludf.DUMMYFUNCTION("""COMPUTED_VALUE"""),"-")</f>
        <v>-</v>
      </c>
      <c r="M755" s="42" t="str">
        <f>IFERROR(__xludf.DUMMYFUNCTION("""COMPUTED_VALUE"""),"[SR]")</f>
        <v>[SR]</v>
      </c>
      <c r="N755" s="42" t="str">
        <f>IFERROR(__xludf.DUMMYFUNCTION("""COMPUTED_VALUE"""),"The best combination for helping each other out of a tight spot!")</f>
        <v>The best combination for helping each other out of a tight spot!</v>
      </c>
      <c r="O755" s="42"/>
      <c r="P755" s="42"/>
      <c r="Q755" s="42"/>
      <c r="R755" s="42"/>
      <c r="S755" s="42"/>
      <c r="T755" s="42"/>
      <c r="U755" s="42"/>
      <c r="V755" s="42"/>
      <c r="W755" s="42"/>
      <c r="X755" s="42"/>
      <c r="Y755" s="42"/>
      <c r="Z755" s="42"/>
    </row>
    <row r="756">
      <c r="A756" s="41" t="str">
        <f>IFERROR(__xludf.DUMMYFUNCTION("""COMPUTED_VALUE"""),"M-373")</f>
        <v>M-373</v>
      </c>
      <c r="B756" s="42" t="str">
        <f>IFERROR(__xludf.DUMMYFUNCTION("""COMPUTED_VALUE"""),"VS Mamodo")</f>
        <v>VS Mamodo</v>
      </c>
      <c r="C756" s="42" t="str">
        <f>IFERROR(__xludf.DUMMYFUNCTION("""COMPUTED_VALUE"""),"Keith VS Kanchomé")</f>
        <v>Keith VS Kanchomé</v>
      </c>
      <c r="D756" s="42" t="str">
        <f>IFERROR(__xludf.DUMMYFUNCTION("""COMPUTED_VALUE"""),"Keith | Kanchomé")</f>
        <v>Keith | Kanchomé</v>
      </c>
      <c r="E756" s="42" t="str">
        <f>IFERROR(__xludf.DUMMYFUNCTION("""COMPUTED_VALUE"""),"-")</f>
        <v>-</v>
      </c>
      <c r="F756" s="42" t="str">
        <f>IFERROR(__xludf.DUMMYFUNCTION("""COMPUTED_VALUE"""),"-")</f>
        <v>-</v>
      </c>
      <c r="G756" s="42" t="str">
        <f>IFERROR(__xludf.DUMMYFUNCTION("""COMPUTED_VALUE"""),"None")</f>
        <v>None</v>
      </c>
      <c r="H756" s="42" t="str">
        <f>IFERROR(__xludf.DUMMYFUNCTION("""COMPUTED_VALUE"""),"Curse You!")</f>
        <v>Curse You!</v>
      </c>
      <c r="I756" s="43" t="str">
        <f>IFERROR(__xludf.DUMMYFUNCTION("""COMPUTED_VALUE"""),"Send either player's in-play Keith or Kanchomé MAMODO card to the Discard Pile to put this MAMODO card in play. [IN PLAY] Your opponent can play only 1 SPELL card per turn.")</f>
        <v>Send either player's in-play Keith or Kanchomé MAMODO card to the Discard Pile to put this MAMODO card in play. [IN PLAY] Your opponent can play only 1 SPELL card per turn.</v>
      </c>
      <c r="J756" s="42">
        <f>IFERROR(__xludf.DUMMYFUNCTION("""COMPUTED_VALUE"""),5000.0)</f>
        <v>5000</v>
      </c>
      <c r="K756" s="42" t="str">
        <f>IFERROR(__xludf.DUMMYFUNCTION("""COMPUTED_VALUE"""),"-")</f>
        <v>-</v>
      </c>
      <c r="L756" s="42" t="str">
        <f>IFERROR(__xludf.DUMMYFUNCTION("""COMPUTED_VALUE"""),"-")</f>
        <v>-</v>
      </c>
      <c r="M756" s="42" t="str">
        <f>IFERROR(__xludf.DUMMYFUNCTION("""COMPUTED_VALUE"""),"[U]")</f>
        <v>[U]</v>
      </c>
      <c r="N756" s="42" t="str">
        <f>IFERROR(__xludf.DUMMYFUNCTION("""COMPUTED_VALUE"""),"""I might manage to get one of them, but there's no way I can cast enough spells to fight off that many of them!""")</f>
        <v>"I might manage to get one of them, but there's no way I can cast enough spells to fight off that many of them!"</v>
      </c>
      <c r="O756" s="42"/>
      <c r="P756" s="42"/>
      <c r="Q756" s="42"/>
      <c r="R756" s="42"/>
      <c r="S756" s="42"/>
      <c r="T756" s="42"/>
      <c r="U756" s="42"/>
      <c r="V756" s="42"/>
      <c r="W756" s="42"/>
      <c r="X756" s="42"/>
      <c r="Y756" s="42"/>
      <c r="Z756" s="42"/>
    </row>
    <row r="757">
      <c r="A757" s="41" t="str">
        <f>IFERROR(__xludf.DUMMYFUNCTION("""COMPUTED_VALUE"""),"M-374")</f>
        <v>M-374</v>
      </c>
      <c r="B757" s="42" t="str">
        <f>IFERROR(__xludf.DUMMYFUNCTION("""COMPUTED_VALUE"""),"S Mamodo")</f>
        <v>S Mamodo</v>
      </c>
      <c r="C757" s="42" t="str">
        <f>IFERROR(__xludf.DUMMYFUNCTION("""COMPUTED_VALUE"""),"Keith")</f>
        <v>Keith</v>
      </c>
      <c r="D757" s="42" t="str">
        <f>IFERROR(__xludf.DUMMYFUNCTION("""COMPUTED_VALUE"""),"Keith")</f>
        <v>Keith</v>
      </c>
      <c r="E757" s="42" t="str">
        <f>IFERROR(__xludf.DUMMYFUNCTION("""COMPUTED_VALUE"""),"-")</f>
        <v>-</v>
      </c>
      <c r="F757" s="42" t="str">
        <f>IFERROR(__xludf.DUMMYFUNCTION("""COMPUTED_VALUE"""),"-")</f>
        <v>-</v>
      </c>
      <c r="G757" s="42" t="str">
        <f>IFERROR(__xludf.DUMMYFUNCTION("""COMPUTED_VALUE"""),"Intermediate")</f>
        <v>Intermediate</v>
      </c>
      <c r="H757" s="42" t="str">
        <f>IFERROR(__xludf.DUMMYFUNCTION("""COMPUTED_VALUE"""),"You Lowly Worms!")</f>
        <v>You Lowly Worms!</v>
      </c>
      <c r="I757" s="43" t="str">
        <f>IFERROR(__xludf.DUMMYFUNCTION("""COMPUTED_VALUE"""),"This card is placed on a regular Keith MAMODO card. This MAMODO card does not receive Damage or Injury from an infliction of 2 Damage or less.")</f>
        <v>This card is placed on a regular Keith MAMODO card. This MAMODO card does not receive Damage or Injury from an infliction of 2 Damage or less.</v>
      </c>
      <c r="J757" s="42">
        <f>IFERROR(__xludf.DUMMYFUNCTION("""COMPUTED_VALUE"""),5500.0)</f>
        <v>5500</v>
      </c>
      <c r="K757" s="42" t="str">
        <f>IFERROR(__xludf.DUMMYFUNCTION("""COMPUTED_VALUE"""),"-")</f>
        <v>-</v>
      </c>
      <c r="L757" s="42" t="str">
        <f>IFERROR(__xludf.DUMMYFUNCTION("""COMPUTED_VALUE"""),"-")</f>
        <v>-</v>
      </c>
      <c r="M757" s="42" t="str">
        <f>IFERROR(__xludf.DUMMYFUNCTION("""COMPUTED_VALUE"""),"[R]")</f>
        <v>[R]</v>
      </c>
      <c r="N757" s="42" t="str">
        <f>IFERROR(__xludf.DUMMYFUNCTION("""COMPUTED_VALUE"""),"""If what he says is true...then that means he's got some extraordinary powers.""")</f>
        <v>"If what he says is true...then that means he's got some extraordinary powers."</v>
      </c>
      <c r="O757" s="42"/>
      <c r="P757" s="42"/>
      <c r="Q757" s="42"/>
      <c r="R757" s="42"/>
      <c r="S757" s="42"/>
      <c r="T757" s="42"/>
      <c r="U757" s="42"/>
      <c r="V757" s="42"/>
      <c r="W757" s="42"/>
      <c r="X757" s="42"/>
      <c r="Y757" s="42"/>
      <c r="Z757" s="42"/>
    </row>
    <row r="758">
      <c r="A758" s="41" t="str">
        <f>IFERROR(__xludf.DUMMYFUNCTION("""COMPUTED_VALUE"""),"M-375")</f>
        <v>M-375</v>
      </c>
      <c r="B758" s="42" t="str">
        <f>IFERROR(__xludf.DUMMYFUNCTION("""COMPUTED_VALUE"""),"Mamodo")</f>
        <v>Mamodo</v>
      </c>
      <c r="C758" s="42" t="str">
        <f>IFERROR(__xludf.DUMMYFUNCTION("""COMPUTED_VALUE"""),"Zatch Bell")</f>
        <v>Zatch Bell</v>
      </c>
      <c r="D758" s="42" t="str">
        <f>IFERROR(__xludf.DUMMYFUNCTION("""COMPUTED_VALUE"""),"Zatch Bell")</f>
        <v>Zatch Bell</v>
      </c>
      <c r="E758" s="42" t="str">
        <f>IFERROR(__xludf.DUMMYFUNCTION("""COMPUTED_VALUE"""),"-")</f>
        <v>-</v>
      </c>
      <c r="F758" s="42" t="str">
        <f>IFERROR(__xludf.DUMMYFUNCTION("""COMPUTED_VALUE"""),"-")</f>
        <v>-</v>
      </c>
      <c r="G758" s="42" t="str">
        <f>IFERROR(__xludf.DUMMYFUNCTION("""COMPUTED_VALUE"""),"None")</f>
        <v>None</v>
      </c>
      <c r="H758" s="42" t="str">
        <f>IFERROR(__xludf.DUMMYFUNCTION("""COMPUTED_VALUE"""),"Catch My Heart")</f>
        <v>Catch My Heart</v>
      </c>
      <c r="I758" s="43" t="str">
        <f>IFERROR(__xludf.DUMMYFUNCTION("""COMPUTED_VALUE"""),"[IN PLAY] Your opponent cannot apply the effects of MAMODO and EVENT cards containing ""V"" (as the entire word), ""Beautiful Body"", or ""Melon"" in their card names and/or effect names.")</f>
        <v>[IN PLAY] Your opponent cannot apply the effects of MAMODO and EVENT cards containing "V" (as the entire word), "Beautiful Body", or "Melon" in their card names and/or effect names.</v>
      </c>
      <c r="J758" s="42">
        <f>IFERROR(__xludf.DUMMYFUNCTION("""COMPUTED_VALUE"""),4500.0)</f>
        <v>4500</v>
      </c>
      <c r="K758" s="42" t="str">
        <f>IFERROR(__xludf.DUMMYFUNCTION("""COMPUTED_VALUE"""),"-")</f>
        <v>-</v>
      </c>
      <c r="L758" s="42" t="str">
        <f>IFERROR(__xludf.DUMMYFUNCTION("""COMPUTED_VALUE"""),"-")</f>
        <v>-</v>
      </c>
      <c r="M758" s="42" t="str">
        <f>IFERROR(__xludf.DUMMYFUNCTION("""COMPUTED_VALUE"""),"[U]")</f>
        <v>[U]</v>
      </c>
      <c r="N758" s="42" t="str">
        <f>IFERROR(__xludf.DUMMYFUNCTION("""COMPUTED_VALUE"""),"""Catch My Heart! Very Melon!""")</f>
        <v>"Catch My Heart! Very Melon!"</v>
      </c>
      <c r="O758" s="42"/>
      <c r="P758" s="42"/>
      <c r="Q758" s="42"/>
      <c r="R758" s="42"/>
      <c r="S758" s="42"/>
      <c r="T758" s="42"/>
      <c r="U758" s="42"/>
      <c r="V758" s="42"/>
      <c r="W758" s="42"/>
      <c r="X758" s="42"/>
      <c r="Y758" s="42"/>
      <c r="Z758" s="42"/>
    </row>
    <row r="759">
      <c r="A759" s="41" t="str">
        <f>IFERROR(__xludf.DUMMYFUNCTION("""COMPUTED_VALUE"""),"M-376")</f>
        <v>M-376</v>
      </c>
      <c r="B759" s="42" t="str">
        <f>IFERROR(__xludf.DUMMYFUNCTION("""COMPUTED_VALUE"""),"Mamodo")</f>
        <v>Mamodo</v>
      </c>
      <c r="C759" s="42" t="str">
        <f>IFERROR(__xludf.DUMMYFUNCTION("""COMPUTED_VALUE"""),"Victoream")</f>
        <v>Victoream</v>
      </c>
      <c r="D759" s="42" t="str">
        <f>IFERROR(__xludf.DUMMYFUNCTION("""COMPUTED_VALUE"""),"Victoream")</f>
        <v>Victoream</v>
      </c>
      <c r="E759" s="42" t="str">
        <f>IFERROR(__xludf.DUMMYFUNCTION("""COMPUTED_VALUE"""),"-")</f>
        <v>-</v>
      </c>
      <c r="F759" s="42" t="str">
        <f>IFERROR(__xludf.DUMMYFUNCTION("""COMPUTED_VALUE"""),"-")</f>
        <v>-</v>
      </c>
      <c r="G759" s="42" t="str">
        <f>IFERROR(__xludf.DUMMYFUNCTION("""COMPUTED_VALUE"""),"None")</f>
        <v>None</v>
      </c>
      <c r="H759" s="42" t="str">
        <f>IFERROR(__xludf.DUMMYFUNCTION("""COMPUTED_VALUE"""),"Limited V")</f>
        <v>Limited V</v>
      </c>
      <c r="I759" s="43" t="str">
        <f>IFERROR(__xludf.DUMMYFUNCTION("""COMPUTED_VALUE"""),"[5 MP] Look at your opponent's Spell Book. If there are 6 or more EVENT cards in the pages, select 5 of those cards. Then, send all of their other EVENT cards to the Discard Pile.")</f>
        <v>[5 MP] Look at your opponent's Spell Book. If there are 6 or more EVENT cards in the pages, select 5 of those cards. Then, send all of their other EVENT cards to the Discard Pile.</v>
      </c>
      <c r="J759" s="42">
        <f>IFERROR(__xludf.DUMMYFUNCTION("""COMPUTED_VALUE"""),4000.0)</f>
        <v>4000</v>
      </c>
      <c r="K759" s="42" t="str">
        <f>IFERROR(__xludf.DUMMYFUNCTION("""COMPUTED_VALUE"""),"-")</f>
        <v>-</v>
      </c>
      <c r="L759" s="42" t="str">
        <f>IFERROR(__xludf.DUMMYFUNCTION("""COMPUTED_VALUE"""),"-")</f>
        <v>-</v>
      </c>
      <c r="M759" s="42" t="str">
        <f>IFERROR(__xludf.DUMMYFUNCTION("""COMPUTED_VALUE"""),"[U]")</f>
        <v>[U]</v>
      </c>
      <c r="N759" s="42" t="str">
        <f>IFERROR(__xludf.DUMMYFUNCTION("""COMPUTED_VALUE"""),"""The succulent melon that captured my heart!""")</f>
        <v>"The succulent melon that captured my heart!"</v>
      </c>
      <c r="O759" s="42"/>
      <c r="P759" s="42"/>
      <c r="Q759" s="42"/>
      <c r="R759" s="42"/>
      <c r="S759" s="42"/>
      <c r="T759" s="42"/>
      <c r="U759" s="42"/>
      <c r="V759" s="42"/>
      <c r="W759" s="42"/>
      <c r="X759" s="42"/>
      <c r="Y759" s="42"/>
      <c r="Z759" s="42"/>
    </row>
    <row r="760">
      <c r="A760" s="41" t="str">
        <f>IFERROR(__xludf.DUMMYFUNCTION("""COMPUTED_VALUE"""),"M-377")</f>
        <v>M-377</v>
      </c>
      <c r="B760" s="42" t="str">
        <f>IFERROR(__xludf.DUMMYFUNCTION("""COMPUTED_VALUE"""),"VS Mamodo")</f>
        <v>VS Mamodo</v>
      </c>
      <c r="C760" s="42" t="str">
        <f>IFERROR(__xludf.DUMMYFUNCTION("""COMPUTED_VALUE"""),"Riou VS Keith")</f>
        <v>Riou VS Keith</v>
      </c>
      <c r="D760" s="42" t="str">
        <f>IFERROR(__xludf.DUMMYFUNCTION("""COMPUTED_VALUE"""),"Riou | Keith")</f>
        <v>Riou | Keith</v>
      </c>
      <c r="E760" s="42" t="str">
        <f>IFERROR(__xludf.DUMMYFUNCTION("""COMPUTED_VALUE"""),"-")</f>
        <v>-</v>
      </c>
      <c r="F760" s="42" t="str">
        <f>IFERROR(__xludf.DUMMYFUNCTION("""COMPUTED_VALUE"""),"-")</f>
        <v>-</v>
      </c>
      <c r="G760" s="42" t="str">
        <f>IFERROR(__xludf.DUMMYFUNCTION("""COMPUTED_VALUE"""),"None")</f>
        <v>None</v>
      </c>
      <c r="H760" s="42" t="str">
        <f>IFERROR(__xludf.DUMMYFUNCTION("""COMPUTED_VALUE"""),"Predicting Treason")</f>
        <v>Predicting Treason</v>
      </c>
      <c r="I760" s="43" t="str">
        <f>IFERROR(__xludf.DUMMYFUNCTION("""COMPUTED_VALUE"""),"Send either player's in-play Riou or Keith MAMODO card to the Discard Pile to put this MAMODO card in play. [DECLARE TO USE] Your opponent selects 1 card in their Spell Book with effects that turns pages of a player's Spell Book and sends it to the Discar"&amp;"d Pile (you do not look at your opponent's Spell Book).")</f>
        <v>Send either player's in-play Riou or Keith MAMODO card to the Discard Pile to put this MAMODO card in play. [DECLARE TO USE] Your opponent selects 1 card in their Spell Book with effects that turns pages of a player's Spell Book and sends it to the Discard Pile (you do not look at your opponent's Spell Book).</v>
      </c>
      <c r="J760" s="42">
        <f>IFERROR(__xludf.DUMMYFUNCTION("""COMPUTED_VALUE"""),5500.0)</f>
        <v>5500</v>
      </c>
      <c r="K760" s="42" t="str">
        <f>IFERROR(__xludf.DUMMYFUNCTION("""COMPUTED_VALUE"""),"-")</f>
        <v>-</v>
      </c>
      <c r="L760" s="42" t="str">
        <f>IFERROR(__xludf.DUMMYFUNCTION("""COMPUTED_VALUE"""),"-")</f>
        <v>-</v>
      </c>
      <c r="M760" s="42" t="str">
        <f>IFERROR(__xludf.DUMMYFUNCTION("""COMPUTED_VALUE"""),"[U]")</f>
        <v>[U]</v>
      </c>
      <c r="N760" s="42" t="str">
        <f>IFERROR(__xludf.DUMMYFUNCTION("""COMPUTED_VALUE"""),"""You pathetic traitors... How could you possibly think that you have a chance to take Faudo away from me?""")</f>
        <v>"You pathetic traitors... How could you possibly think that you have a chance to take Faudo away from me?"</v>
      </c>
      <c r="O760" s="42"/>
      <c r="P760" s="42"/>
      <c r="Q760" s="42"/>
      <c r="R760" s="42"/>
      <c r="S760" s="42"/>
      <c r="T760" s="42"/>
      <c r="U760" s="42"/>
      <c r="V760" s="42"/>
      <c r="W760" s="42"/>
      <c r="X760" s="42"/>
      <c r="Y760" s="42"/>
      <c r="Z760" s="42"/>
    </row>
    <row r="761">
      <c r="A761" s="41" t="str">
        <f>IFERROR(__xludf.DUMMYFUNCTION("""COMPUTED_VALUE"""),"M-378")</f>
        <v>M-378</v>
      </c>
      <c r="B761" s="42" t="str">
        <f>IFERROR(__xludf.DUMMYFUNCTION("""COMPUTED_VALUE"""),"Mamodo")</f>
        <v>Mamodo</v>
      </c>
      <c r="C761" s="42" t="str">
        <f>IFERROR(__xludf.DUMMYFUNCTION("""COMPUTED_VALUE"""),"Zatch Bell")</f>
        <v>Zatch Bell</v>
      </c>
      <c r="D761" s="42" t="str">
        <f>IFERROR(__xludf.DUMMYFUNCTION("""COMPUTED_VALUE"""),"Zatch Bell")</f>
        <v>Zatch Bell</v>
      </c>
      <c r="E761" s="42" t="str">
        <f>IFERROR(__xludf.DUMMYFUNCTION("""COMPUTED_VALUE"""),"-")</f>
        <v>-</v>
      </c>
      <c r="F761" s="42" t="str">
        <f>IFERROR(__xludf.DUMMYFUNCTION("""COMPUTED_VALUE"""),"-")</f>
        <v>-</v>
      </c>
      <c r="G761" s="42" t="str">
        <f>IFERROR(__xludf.DUMMYFUNCTION("""COMPUTED_VALUE"""),"None")</f>
        <v>None</v>
      </c>
      <c r="H761" s="42" t="str">
        <f>IFERROR(__xludf.DUMMYFUNCTION("""COMPUTED_VALUE"""),"Stop Messing Around")</f>
        <v>Stop Messing Around</v>
      </c>
      <c r="I761" s="43" t="str">
        <f>IFERROR(__xludf.DUMMYFUNCTION("""COMPUTED_VALUE"""),"(Battle) (Cut-In) [2 MP] Negate the effect your opponent just applied during the Battle (except SPELL card effects).")</f>
        <v>(Battle) (Cut-In) [2 MP] Negate the effect your opponent just applied during the Battle (except SPELL card effects).</v>
      </c>
      <c r="J761" s="42">
        <f>IFERROR(__xludf.DUMMYFUNCTION("""COMPUTED_VALUE"""),4000.0)</f>
        <v>4000</v>
      </c>
      <c r="K761" s="42" t="str">
        <f>IFERROR(__xludf.DUMMYFUNCTION("""COMPUTED_VALUE"""),"-")</f>
        <v>-</v>
      </c>
      <c r="L761" s="42" t="str">
        <f>IFERROR(__xludf.DUMMYFUNCTION("""COMPUTED_VALUE"""),"-")</f>
        <v>-</v>
      </c>
      <c r="M761" s="42" t="str">
        <f>IFERROR(__xludf.DUMMYFUNCTION("""COMPUTED_VALUE"""),"[SR]")</f>
        <v>[SR]</v>
      </c>
      <c r="N761" s="42" t="str">
        <f>IFERROR(__xludf.DUMMYFUNCTION("""COMPUTED_VALUE"""),"""YOU'RE the one who's in the way!""")</f>
        <v>"YOU'RE the one who's in the way!"</v>
      </c>
      <c r="O761" s="42"/>
      <c r="P761" s="42"/>
      <c r="Q761" s="42"/>
      <c r="R761" s="42"/>
      <c r="S761" s="42"/>
      <c r="T761" s="42"/>
      <c r="U761" s="42"/>
      <c r="V761" s="42"/>
      <c r="W761" s="42"/>
      <c r="X761" s="42"/>
      <c r="Y761" s="42"/>
      <c r="Z761" s="42"/>
    </row>
    <row r="762">
      <c r="A762" s="41" t="str">
        <f>IFERROR(__xludf.DUMMYFUNCTION("""COMPUTED_VALUE"""),"M-379")</f>
        <v>M-379</v>
      </c>
      <c r="B762" s="42" t="str">
        <f>IFERROR(__xludf.DUMMYFUNCTION("""COMPUTED_VALUE"""),"Mamodo")</f>
        <v>Mamodo</v>
      </c>
      <c r="C762" s="42" t="str">
        <f>IFERROR(__xludf.DUMMYFUNCTION("""COMPUTED_VALUE"""),"Kanchomé")</f>
        <v>Kanchomé</v>
      </c>
      <c r="D762" s="42" t="str">
        <f>IFERROR(__xludf.DUMMYFUNCTION("""COMPUTED_VALUE"""),"Kanchomé")</f>
        <v>Kanchomé</v>
      </c>
      <c r="E762" s="42" t="str">
        <f>IFERROR(__xludf.DUMMYFUNCTION("""COMPUTED_VALUE"""),"-")</f>
        <v>-</v>
      </c>
      <c r="F762" s="42" t="str">
        <f>IFERROR(__xludf.DUMMYFUNCTION("""COMPUTED_VALUE"""),"-")</f>
        <v>-</v>
      </c>
      <c r="G762" s="42" t="str">
        <f>IFERROR(__xludf.DUMMYFUNCTION("""COMPUTED_VALUE"""),"None")</f>
        <v>None</v>
      </c>
      <c r="H762" s="42" t="str">
        <f>IFERROR(__xludf.DUMMYFUNCTION("""COMPUTED_VALUE"""),"Leave Nobody Behind")</f>
        <v>Leave Nobody Behind</v>
      </c>
      <c r="I762" s="43" t="str">
        <f>IFERROR(__xludf.DUMMYFUNCTION("""COMPUTED_VALUE"""),"(Cut-In) [2 MP] Negate the effect your opponent just played that would send any of your in-play cards to the Discard Pile (except from Damage or Injury).")</f>
        <v>(Cut-In) [2 MP] Negate the effect your opponent just played that would send any of your in-play cards to the Discard Pile (except from Damage or Injury).</v>
      </c>
      <c r="J762" s="42">
        <f>IFERROR(__xludf.DUMMYFUNCTION("""COMPUTED_VALUE"""),4000.0)</f>
        <v>4000</v>
      </c>
      <c r="K762" s="42" t="str">
        <f>IFERROR(__xludf.DUMMYFUNCTION("""COMPUTED_VALUE"""),"-")</f>
        <v>-</v>
      </c>
      <c r="L762" s="42" t="str">
        <f>IFERROR(__xludf.DUMMYFUNCTION("""COMPUTED_VALUE"""),"-")</f>
        <v>-</v>
      </c>
      <c r="M762" s="42" t="str">
        <f>IFERROR(__xludf.DUMMYFUNCTION("""COMPUTED_VALUE"""),"[R]")</f>
        <v>[R]</v>
      </c>
      <c r="N762" s="42" t="str">
        <f>IFERROR(__xludf.DUMMYFUNCTION("""COMPUTED_VALUE"""),"""Yeah! What would we do if we ever lost Zatch?""")</f>
        <v>"Yeah! What would we do if we ever lost Zatch?"</v>
      </c>
      <c r="O762" s="42"/>
      <c r="P762" s="42"/>
      <c r="Q762" s="42"/>
      <c r="R762" s="42"/>
      <c r="S762" s="42"/>
      <c r="T762" s="42"/>
      <c r="U762" s="42"/>
      <c r="V762" s="42"/>
      <c r="W762" s="42"/>
      <c r="X762" s="42"/>
      <c r="Y762" s="42"/>
      <c r="Z762" s="42"/>
    </row>
    <row r="763">
      <c r="A763" s="41" t="str">
        <f>IFERROR(__xludf.DUMMYFUNCTION("""COMPUTED_VALUE"""),"M-380")</f>
        <v>M-380</v>
      </c>
      <c r="B763" s="42" t="str">
        <f>IFERROR(__xludf.DUMMYFUNCTION("""COMPUTED_VALUE"""),"Mamodo")</f>
        <v>Mamodo</v>
      </c>
      <c r="C763" s="42" t="str">
        <f>IFERROR(__xludf.DUMMYFUNCTION("""COMPUTED_VALUE"""),"Ponygon")</f>
        <v>Ponygon</v>
      </c>
      <c r="D763" s="42" t="str">
        <f>IFERROR(__xludf.DUMMYFUNCTION("""COMPUTED_VALUE"""),"Ponygon")</f>
        <v>Ponygon</v>
      </c>
      <c r="E763" s="42" t="str">
        <f>IFERROR(__xludf.DUMMYFUNCTION("""COMPUTED_VALUE"""),"-")</f>
        <v>-</v>
      </c>
      <c r="F763" s="42" t="str">
        <f>IFERROR(__xludf.DUMMYFUNCTION("""COMPUTED_VALUE"""),"-")</f>
        <v>-</v>
      </c>
      <c r="G763" s="42" t="str">
        <f>IFERROR(__xludf.DUMMYFUNCTION("""COMPUTED_VALUE"""),"None")</f>
        <v>None</v>
      </c>
      <c r="H763" s="42" t="str">
        <f>IFERROR(__xludf.DUMMYFUNCTION("""COMPUTED_VALUE"""),"Howling Ponygon")</f>
        <v>Howling Ponygon</v>
      </c>
      <c r="I763" s="43" t="str">
        <f>IFERROR(__xludf.DUMMYFUNCTION("""COMPUTED_VALUE"""),"(Cut-In) [2 MP] Negate the EVENT card your opponent just played during their BATTLE PHASE.")</f>
        <v>(Cut-In) [2 MP] Negate the EVENT card your opponent just played during their BATTLE PHASE.</v>
      </c>
      <c r="J763" s="42">
        <f>IFERROR(__xludf.DUMMYFUNCTION("""COMPUTED_VALUE"""),3000.0)</f>
        <v>3000</v>
      </c>
      <c r="K763" s="42" t="str">
        <f>IFERROR(__xludf.DUMMYFUNCTION("""COMPUTED_VALUE"""),"-")</f>
        <v>-</v>
      </c>
      <c r="L763" s="42" t="str">
        <f>IFERROR(__xludf.DUMMYFUNCTION("""COMPUTED_VALUE"""),"-")</f>
        <v>-</v>
      </c>
      <c r="M763" s="42" t="str">
        <f>IFERROR(__xludf.DUMMYFUNCTION("""COMPUTED_VALUE"""),"[SR]")</f>
        <v>[SR]</v>
      </c>
      <c r="N763" s="42" t="str">
        <f>IFERROR(__xludf.DUMMYFUNCTION("""COMPUTED_VALUE"""),"Ponygon's exceptional agility has saved Kiyo and his friends numerous times in the past.")</f>
        <v>Ponygon's exceptional agility has saved Kiyo and his friends numerous times in the past.</v>
      </c>
      <c r="O763" s="42"/>
      <c r="P763" s="42"/>
      <c r="Q763" s="42"/>
      <c r="R763" s="42"/>
      <c r="S763" s="42"/>
      <c r="T763" s="42"/>
      <c r="U763" s="42"/>
      <c r="V763" s="42"/>
      <c r="W763" s="42"/>
      <c r="X763" s="42"/>
      <c r="Y763" s="42"/>
      <c r="Z763" s="42"/>
    </row>
    <row r="764">
      <c r="A764" s="41" t="str">
        <f>IFERROR(__xludf.DUMMYFUNCTION("""COMPUTED_VALUE"""),"M-381")</f>
        <v>M-381</v>
      </c>
      <c r="B764" s="42" t="str">
        <f>IFERROR(__xludf.DUMMYFUNCTION("""COMPUTED_VALUE"""),"Mamodo")</f>
        <v>Mamodo</v>
      </c>
      <c r="C764" s="42" t="str">
        <f>IFERROR(__xludf.DUMMYFUNCTION("""COMPUTED_VALUE"""),"Ponygon (Shudoruk Form)")</f>
        <v>Ponygon (Shudoruk Form)</v>
      </c>
      <c r="D764" s="42" t="str">
        <f>IFERROR(__xludf.DUMMYFUNCTION("""COMPUTED_VALUE"""),"Ponygon")</f>
        <v>Ponygon</v>
      </c>
      <c r="E764" s="42" t="str">
        <f>IFERROR(__xludf.DUMMYFUNCTION("""COMPUTED_VALUE"""),"-")</f>
        <v>-</v>
      </c>
      <c r="F764" s="42" t="str">
        <f>IFERROR(__xludf.DUMMYFUNCTION("""COMPUTED_VALUE"""),"-")</f>
        <v>-</v>
      </c>
      <c r="G764" s="42" t="str">
        <f>IFERROR(__xludf.DUMMYFUNCTION("""COMPUTED_VALUE"""),"None")</f>
        <v>None</v>
      </c>
      <c r="H764" s="42" t="str">
        <f>IFERROR(__xludf.DUMMYFUNCTION("""COMPUTED_VALUE"""),"Sturdy Armor")</f>
        <v>Sturdy Armor</v>
      </c>
      <c r="I764" s="43" t="str">
        <f>IFERROR(__xludf.DUMMYFUNCTION("""COMPUTED_VALUE"""),"This card is placed on a Ponygon MAMODO card when a Shudoruk SPELL card is played for the Ponygon MAMODO card. The effects of the original Ponygon MAMODO can still be applied if its original Power is 1000 or less. (Battle) [1 MP] [STANDBY] Only once durin"&amp;"g the Battle when this card SACRIFICES or PROTECTS your Spell Book from Damage, this MAMODO card does not receive Damage or Injury.")</f>
        <v>This card is placed on a Ponygon MAMODO card when a Shudoruk SPELL card is played for the Ponygon MAMODO card. The effects of the original Ponygon MAMODO can still be applied if its original Power is 1000 or less. (Battle) [1 MP] [STANDBY] Only once during the Battle when this card SACRIFICES or PROTECTS your Spell Book from Damage, this MAMODO card does not receive Damage or Injury.</v>
      </c>
      <c r="J764" s="42">
        <f>IFERROR(__xludf.DUMMYFUNCTION("""COMPUTED_VALUE"""),5000.0)</f>
        <v>5000</v>
      </c>
      <c r="K764" s="42" t="str">
        <f>IFERROR(__xludf.DUMMYFUNCTION("""COMPUTED_VALUE"""),"-")</f>
        <v>-</v>
      </c>
      <c r="L764" s="42" t="str">
        <f>IFERROR(__xludf.DUMMYFUNCTION("""COMPUTED_VALUE"""),"-")</f>
        <v>-</v>
      </c>
      <c r="M764" s="42" t="str">
        <f>IFERROR(__xludf.DUMMYFUNCTION("""COMPUTED_VALUE"""),"[C]")</f>
        <v>[C]</v>
      </c>
      <c r="N764" s="42" t="str">
        <f>IFERROR(__xludf.DUMMYFUNCTION("""COMPUTED_VALUE"""),"Ponygon's 1st transformation. His body becomes clad in silver armor.")</f>
        <v>Ponygon's 1st transformation. His body becomes clad in silver armor.</v>
      </c>
      <c r="O764" s="42"/>
      <c r="P764" s="42"/>
      <c r="Q764" s="42"/>
      <c r="R764" s="42"/>
      <c r="S764" s="42"/>
      <c r="T764" s="42"/>
      <c r="U764" s="42"/>
      <c r="V764" s="42"/>
      <c r="W764" s="42"/>
      <c r="X764" s="42"/>
      <c r="Y764" s="42"/>
      <c r="Z764" s="42"/>
    </row>
    <row r="765">
      <c r="A765" s="41" t="str">
        <f>IFERROR(__xludf.DUMMYFUNCTION("""COMPUTED_VALUE"""),"M-382")</f>
        <v>M-382</v>
      </c>
      <c r="B765" s="42" t="str">
        <f>IFERROR(__xludf.DUMMYFUNCTION("""COMPUTED_VALUE"""),"Mamodo")</f>
        <v>Mamodo</v>
      </c>
      <c r="C765" s="42" t="str">
        <f>IFERROR(__xludf.DUMMYFUNCTION("""COMPUTED_VALUE"""),"Ponygon (Go Shudoruk Form)")</f>
        <v>Ponygon (Go Shudoruk Form)</v>
      </c>
      <c r="D765" s="42" t="str">
        <f>IFERROR(__xludf.DUMMYFUNCTION("""COMPUTED_VALUE"""),"Ponygon")</f>
        <v>Ponygon</v>
      </c>
      <c r="E765" s="42" t="str">
        <f>IFERROR(__xludf.DUMMYFUNCTION("""COMPUTED_VALUE"""),"-")</f>
        <v>-</v>
      </c>
      <c r="F765" s="42" t="str">
        <f>IFERROR(__xludf.DUMMYFUNCTION("""COMPUTED_VALUE"""),"-")</f>
        <v>-</v>
      </c>
      <c r="G765" s="42" t="str">
        <f>IFERROR(__xludf.DUMMYFUNCTION("""COMPUTED_VALUE"""),"None")</f>
        <v>None</v>
      </c>
      <c r="H765" s="42" t="str">
        <f>IFERROR(__xludf.DUMMYFUNCTION("""COMPUTED_VALUE"""),"Dexterity")</f>
        <v>Dexterity</v>
      </c>
      <c r="I765" s="43" t="str">
        <f>IFERROR(__xludf.DUMMYFUNCTION("""COMPUTED_VALUE"""),"This card is placed on a Ponygon MAMODO card when a Go Shudoruk SPELL card is played for the Ponygon MAMODO card. The effects of the original Ponygon MAMODO can still be applied if its original Power is 2000 or less. (Battle) [1 MP] [STANDBY] During the B"&amp;"attle, this MAMODO card can SACRIFICE or PROTECT your Spell Book from Damage even when prohibited to do so.")</f>
        <v>This card is placed on a Ponygon MAMODO card when a Go Shudoruk SPELL card is played for the Ponygon MAMODO card. The effects of the original Ponygon MAMODO can still be applied if its original Power is 2000 or less. (Battle) [1 MP] [STANDBY] During the Battle, this MAMODO card can SACRIFICE or PROTECT your Spell Book from Damage even when prohibited to do so.</v>
      </c>
      <c r="J765" s="42">
        <f>IFERROR(__xludf.DUMMYFUNCTION("""COMPUTED_VALUE"""),5500.0)</f>
        <v>5500</v>
      </c>
      <c r="K765" s="42" t="str">
        <f>IFERROR(__xludf.DUMMYFUNCTION("""COMPUTED_VALUE"""),"-")</f>
        <v>-</v>
      </c>
      <c r="L765" s="42" t="str">
        <f>IFERROR(__xludf.DUMMYFUNCTION("""COMPUTED_VALUE"""),"-")</f>
        <v>-</v>
      </c>
      <c r="M765" s="42" t="str">
        <f>IFERROR(__xludf.DUMMYFUNCTION("""COMPUTED_VALUE"""),"[C]")</f>
        <v>[C]</v>
      </c>
      <c r="N765" s="42" t="str">
        <f>IFERROR(__xludf.DUMMYFUNCTION("""COMPUTED_VALUE"""),"Ponygon's 2nd transformation. He grows out a horn and gains a tremendous boost in speed.")</f>
        <v>Ponygon's 2nd transformation. He grows out a horn and gains a tremendous boost in speed.</v>
      </c>
      <c r="O765" s="42"/>
      <c r="P765" s="42"/>
      <c r="Q765" s="42"/>
      <c r="R765" s="42"/>
      <c r="S765" s="42"/>
      <c r="T765" s="42"/>
      <c r="U765" s="42"/>
      <c r="V765" s="42"/>
      <c r="W765" s="42"/>
      <c r="X765" s="42"/>
      <c r="Y765" s="42"/>
      <c r="Z765" s="42"/>
    </row>
    <row r="766">
      <c r="A766" s="41" t="str">
        <f>IFERROR(__xludf.DUMMYFUNCTION("""COMPUTED_VALUE"""),"M-383")</f>
        <v>M-383</v>
      </c>
      <c r="B766" s="42" t="str">
        <f>IFERROR(__xludf.DUMMYFUNCTION("""COMPUTED_VALUE"""),"Mamodo")</f>
        <v>Mamodo</v>
      </c>
      <c r="C766" s="42" t="str">
        <f>IFERROR(__xludf.DUMMYFUNCTION("""COMPUTED_VALUE"""),"Ponygon (Dioemur Shudoruk Form)")</f>
        <v>Ponygon (Dioemur Shudoruk Form)</v>
      </c>
      <c r="D766" s="42" t="str">
        <f>IFERROR(__xludf.DUMMYFUNCTION("""COMPUTED_VALUE"""),"Ponygon")</f>
        <v>Ponygon</v>
      </c>
      <c r="E766" s="42" t="str">
        <f>IFERROR(__xludf.DUMMYFUNCTION("""COMPUTED_VALUE"""),"-")</f>
        <v>-</v>
      </c>
      <c r="F766" s="42" t="str">
        <f>IFERROR(__xludf.DUMMYFUNCTION("""COMPUTED_VALUE"""),"-")</f>
        <v>-</v>
      </c>
      <c r="G766" s="42" t="str">
        <f>IFERROR(__xludf.DUMMYFUNCTION("""COMPUTED_VALUE"""),"None")</f>
        <v>None</v>
      </c>
      <c r="H766" s="42" t="str">
        <f>IFERROR(__xludf.DUMMYFUNCTION("""COMPUTED_VALUE"""),"Scorching Flames")</f>
        <v>Scorching Flames</v>
      </c>
      <c r="I766" s="43" t="str">
        <f>IFERROR(__xludf.DUMMYFUNCTION("""COMPUTED_VALUE"""),"This card is placed on a Ponygon MAMODO card when a Dioemur Shudoruk SPELL card is played for the Ponygon MAMODO. The effects of the original Ponygon MAMODO can still be applied if its original Power is 3000 or less. (Cut-In) [1 MP] Negate the MAMODO card"&amp;" effect your opponent just applied.")</f>
        <v>This card is placed on a Ponygon MAMODO card when a Dioemur Shudoruk SPELL card is played for the Ponygon MAMODO. The effects of the original Ponygon MAMODO can still be applied if its original Power is 3000 or less. (Cut-In) [1 MP] Negate the MAMODO card effect your opponent just applied.</v>
      </c>
      <c r="J766" s="42">
        <f>IFERROR(__xludf.DUMMYFUNCTION("""COMPUTED_VALUE"""),6000.0)</f>
        <v>6000</v>
      </c>
      <c r="K766" s="42" t="str">
        <f>IFERROR(__xludf.DUMMYFUNCTION("""COMPUTED_VALUE"""),"-")</f>
        <v>-</v>
      </c>
      <c r="L766" s="42" t="str">
        <f>IFERROR(__xludf.DUMMYFUNCTION("""COMPUTED_VALUE"""),"-")</f>
        <v>-</v>
      </c>
      <c r="M766" s="42" t="str">
        <f>IFERROR(__xludf.DUMMYFUNCTION("""COMPUTED_VALUE"""),"[R]")</f>
        <v>[R]</v>
      </c>
      <c r="N766" s="42" t="str">
        <f>IFERROR(__xludf.DUMMYFUNCTION("""COMPUTED_VALUE"""),"Ponygon's 3rd transformation. Torrid flames cloak his entire body.")</f>
        <v>Ponygon's 3rd transformation. Torrid flames cloak his entire body.</v>
      </c>
      <c r="O766" s="42"/>
      <c r="P766" s="42"/>
      <c r="Q766" s="42"/>
      <c r="R766" s="42"/>
      <c r="S766" s="42"/>
      <c r="T766" s="42"/>
      <c r="U766" s="42"/>
      <c r="V766" s="42"/>
      <c r="W766" s="42"/>
      <c r="X766" s="42"/>
      <c r="Y766" s="42"/>
      <c r="Z766" s="42"/>
    </row>
    <row r="767">
      <c r="A767" s="38" t="str">
        <f>IFERROR(__xludf.DUMMYFUNCTION("""COMPUTED_VALUE"""),"M-384")</f>
        <v>M-384</v>
      </c>
      <c r="B767" s="39" t="str">
        <f>IFERROR(__xludf.DUMMYFUNCTION("""COMPUTED_VALUE"""),"Mamodo")</f>
        <v>Mamodo</v>
      </c>
      <c r="C767" s="39" t="str">
        <f>IFERROR(__xludf.DUMMYFUNCTION("""COMPUTED_VALUE"""),"Karudio (Gidoruk Form)")</f>
        <v>Karudio (Gidoruk Form)</v>
      </c>
      <c r="D767" s="39" t="str">
        <f>IFERROR(__xludf.DUMMYFUNCTION("""COMPUTED_VALUE"""),"Karudio")</f>
        <v>Karudio</v>
      </c>
      <c r="E767" s="39" t="str">
        <f>IFERROR(__xludf.DUMMYFUNCTION("""COMPUTED_VALUE"""),"-")</f>
        <v>-</v>
      </c>
      <c r="F767" s="39" t="str">
        <f>IFERROR(__xludf.DUMMYFUNCTION("""COMPUTED_VALUE"""),"-")</f>
        <v>-</v>
      </c>
      <c r="G767" s="39" t="str">
        <f>IFERROR(__xludf.DUMMYFUNCTION("""COMPUTED_VALUE"""),"None")</f>
        <v>None</v>
      </c>
      <c r="H767" s="39" t="str">
        <f>IFERROR(__xludf.DUMMYFUNCTION("""COMPUTED_VALUE"""),"Hardened Hide")</f>
        <v>Hardened Hide</v>
      </c>
      <c r="I767" s="40" t="str">
        <f>IFERROR(__xludf.DUMMYFUNCTION("""COMPUTED_VALUE"""),"This card is placed on a Karudio MAMODO card when a Gidoruk SPELL card is played for the Karudio MAMODO card. (Attack) (Defend) [1 MP] This card may Attack without using a SPELL card (Total Power=8000, Damage=1) OR, Defend without using a SPELL card (Tota"&amp;"l Power=8000). When used for Defending, reduce the Damage of your opponent's Attack by 1 regardless of their Power.")</f>
        <v>This card is placed on a Karudio MAMODO card when a Gidoruk SPELL card is played for the Karudio MAMODO card. (Attack) (Defend) [1 MP] This card may Attack without using a SPELL card (Total Power=8000, Damage=1) OR, Defend without using a SPELL card (Total Power=8000). When used for Defending, reduce the Damage of your opponent's Attack by 1 regardless of their Power.</v>
      </c>
      <c r="J767" s="39">
        <f>IFERROR(__xludf.DUMMYFUNCTION("""COMPUTED_VALUE"""),5000.0)</f>
        <v>5000</v>
      </c>
      <c r="K767" s="39" t="str">
        <f>IFERROR(__xludf.DUMMYFUNCTION("""COMPUTED_VALUE"""),"-")</f>
        <v>-</v>
      </c>
      <c r="L767" s="39" t="str">
        <f>IFERROR(__xludf.DUMMYFUNCTION("""COMPUTED_VALUE"""),"-")</f>
        <v>-</v>
      </c>
      <c r="M767" s="39" t="str">
        <f>IFERROR(__xludf.DUMMYFUNCTION("""COMPUTED_VALUE"""),"[C]")</f>
        <v>[C]</v>
      </c>
      <c r="N767" s="39" t="str">
        <f>IFERROR(__xludf.DUMMYFUNCTION("""COMPUTED_VALUE"""),"Karudio's 1st transformation. It enhances all of his natural abilities.")</f>
        <v>Karudio's 1st transformation. It enhances all of his natural abilities.</v>
      </c>
      <c r="O767" s="39"/>
      <c r="P767" s="39"/>
      <c r="Q767" s="39"/>
      <c r="R767" s="39"/>
      <c r="S767" s="39"/>
      <c r="T767" s="39"/>
      <c r="U767" s="39"/>
      <c r="V767" s="39"/>
      <c r="W767" s="39"/>
      <c r="X767" s="39"/>
      <c r="Y767" s="39"/>
      <c r="Z767" s="39"/>
    </row>
    <row r="768">
      <c r="A768" s="38" t="str">
        <f>IFERROR(__xludf.DUMMYFUNCTION("""COMPUTED_VALUE"""),"M-385")</f>
        <v>M-385</v>
      </c>
      <c r="B768" s="39" t="str">
        <f>IFERROR(__xludf.DUMMYFUNCTION("""COMPUTED_VALUE"""),"Mamodo")</f>
        <v>Mamodo</v>
      </c>
      <c r="C768" s="39" t="str">
        <f>IFERROR(__xludf.DUMMYFUNCTION("""COMPUTED_VALUE"""),"Karudio (Go Gidoruk Form)")</f>
        <v>Karudio (Go Gidoruk Form)</v>
      </c>
      <c r="D768" s="39" t="str">
        <f>IFERROR(__xludf.DUMMYFUNCTION("""COMPUTED_VALUE"""),"Karudio")</f>
        <v>Karudio</v>
      </c>
      <c r="E768" s="39" t="str">
        <f>IFERROR(__xludf.DUMMYFUNCTION("""COMPUTED_VALUE"""),"-")</f>
        <v>-</v>
      </c>
      <c r="F768" s="39" t="str">
        <f>IFERROR(__xludf.DUMMYFUNCTION("""COMPUTED_VALUE"""),"-")</f>
        <v>-</v>
      </c>
      <c r="G768" s="39" t="str">
        <f>IFERROR(__xludf.DUMMYFUNCTION("""COMPUTED_VALUE"""),"None")</f>
        <v>None</v>
      </c>
      <c r="H768" s="39" t="str">
        <f>IFERROR(__xludf.DUMMYFUNCTION("""COMPUTED_VALUE"""),"Horn Thrust")</f>
        <v>Horn Thrust</v>
      </c>
      <c r="I768" s="40" t="str">
        <f>IFERROR(__xludf.DUMMYFUNCTION("""COMPUTED_VALUE"""),"This card is placed on a Karudio MAMODO card when a Go Gidoruk SPELL card is played for the Karudio MAMODO card. (Attack) (Defend) [1 MP] This card may Attack without using a SPELL card (Total Power=8000, Damage=1) OR, Defend without using a SPELL card (T"&amp;"otal Power=8000). When you inflict Damage or Injury, turn 1 page of your opponent's Spell Book.")</f>
        <v>This card is placed on a Karudio MAMODO card when a Go Gidoruk SPELL card is played for the Karudio MAMODO card. (Attack) (Defend) [1 MP] This card may Attack without using a SPELL card (Total Power=8000, Damage=1) OR, Defend without using a SPELL card (Total Power=8000). When you inflict Damage or Injury, turn 1 page of your opponent's Spell Book.</v>
      </c>
      <c r="J768" s="39">
        <f>IFERROR(__xludf.DUMMYFUNCTION("""COMPUTED_VALUE"""),5500.0)</f>
        <v>5500</v>
      </c>
      <c r="K768" s="39" t="str">
        <f>IFERROR(__xludf.DUMMYFUNCTION("""COMPUTED_VALUE"""),"-")</f>
        <v>-</v>
      </c>
      <c r="L768" s="39" t="str">
        <f>IFERROR(__xludf.DUMMYFUNCTION("""COMPUTED_VALUE"""),"-")</f>
        <v>-</v>
      </c>
      <c r="M768" s="39" t="str">
        <f>IFERROR(__xludf.DUMMYFUNCTION("""COMPUTED_VALUE"""),"[C]")</f>
        <v>[C]</v>
      </c>
      <c r="N768" s="39" t="str">
        <f>IFERROR(__xludf.DUMMYFUNCTION("""COMPUTED_VALUE"""),"Karudio's 2nd transformation. Two long horns extend from the top of his head.")</f>
        <v>Karudio's 2nd transformation. Two long horns extend from the top of his head.</v>
      </c>
      <c r="O768" s="39"/>
      <c r="P768" s="39"/>
      <c r="Q768" s="39"/>
      <c r="R768" s="39"/>
      <c r="S768" s="39"/>
      <c r="T768" s="39"/>
      <c r="U768" s="39"/>
      <c r="V768" s="39"/>
      <c r="W768" s="39"/>
      <c r="X768" s="39"/>
      <c r="Y768" s="39"/>
      <c r="Z768" s="39"/>
    </row>
    <row r="769">
      <c r="A769" s="38" t="str">
        <f>IFERROR(__xludf.DUMMYFUNCTION("""COMPUTED_VALUE"""),"M-386")</f>
        <v>M-386</v>
      </c>
      <c r="B769" s="39" t="str">
        <f>IFERROR(__xludf.DUMMYFUNCTION("""COMPUTED_VALUE"""),"Mamodo")</f>
        <v>Mamodo</v>
      </c>
      <c r="C769" s="39" t="str">
        <f>IFERROR(__xludf.DUMMYFUNCTION("""COMPUTED_VALUE"""),"Karudio (Diogikor Gidoruk Form)")</f>
        <v>Karudio (Diogikor Gidoruk Form)</v>
      </c>
      <c r="D769" s="39" t="str">
        <f>IFERROR(__xludf.DUMMYFUNCTION("""COMPUTED_VALUE"""),"Karudio")</f>
        <v>Karudio</v>
      </c>
      <c r="E769" s="39" t="str">
        <f>IFERROR(__xludf.DUMMYFUNCTION("""COMPUTED_VALUE"""),"-")</f>
        <v>-</v>
      </c>
      <c r="F769" s="39" t="str">
        <f>IFERROR(__xludf.DUMMYFUNCTION("""COMPUTED_VALUE"""),"-")</f>
        <v>-</v>
      </c>
      <c r="G769" s="39" t="str">
        <f>IFERROR(__xludf.DUMMYFUNCTION("""COMPUTED_VALUE"""),"None")</f>
        <v>None</v>
      </c>
      <c r="H769" s="39" t="str">
        <f>IFERROR(__xludf.DUMMYFUNCTION("""COMPUTED_VALUE"""),"Freezing Breath")</f>
        <v>Freezing Breath</v>
      </c>
      <c r="I769" s="40" t="str">
        <f>IFERROR(__xludf.DUMMYFUNCTION("""COMPUTED_VALUE"""),"This card is placed on a regular Karudio MAMODO card when a Diogikor Gidoruk SPELL card is played for the Karudio MAMODO card. (Attack) (Defend) [3 MP] This card may Attack without using a SPELL card (Total Power=8000, Attribute=""Ice"", Damage=2) OR, Def"&amp;"end without using a SPELL card (Total Power=8000). When you inflict Damage or Injury, reduce your opponent's MP by 4.")</f>
        <v>This card is placed on a regular Karudio MAMODO card when a Diogikor Gidoruk SPELL card is played for the Karudio MAMODO card. (Attack) (Defend) [3 MP] This card may Attack without using a SPELL card (Total Power=8000, Attribute="Ice", Damage=2) OR, Defend without using a SPELL card (Total Power=8000). When you inflict Damage or Injury, reduce your opponent's MP by 4.</v>
      </c>
      <c r="J769" s="39">
        <f>IFERROR(__xludf.DUMMYFUNCTION("""COMPUTED_VALUE"""),6000.0)</f>
        <v>6000</v>
      </c>
      <c r="K769" s="39" t="str">
        <f>IFERROR(__xludf.DUMMYFUNCTION("""COMPUTED_VALUE"""),"-")</f>
        <v>-</v>
      </c>
      <c r="L769" s="39" t="str">
        <f>IFERROR(__xludf.DUMMYFUNCTION("""COMPUTED_VALUE"""),"-")</f>
        <v>-</v>
      </c>
      <c r="M769" s="39" t="str">
        <f>IFERROR(__xludf.DUMMYFUNCTION("""COMPUTED_VALUE"""),"[R]")</f>
        <v>[R]</v>
      </c>
      <c r="N769" s="39" t="str">
        <f>IFERROR(__xludf.DUMMYFUNCTION("""COMPUTED_VALUE"""),"Karudio's 3rd transformation. Frigid air cloaks his entire body.")</f>
        <v>Karudio's 3rd transformation. Frigid air cloaks his entire body.</v>
      </c>
      <c r="O769" s="39"/>
      <c r="P769" s="39"/>
      <c r="Q769" s="39"/>
      <c r="R769" s="39"/>
      <c r="S769" s="39"/>
      <c r="T769" s="39"/>
      <c r="U769" s="39"/>
      <c r="V769" s="39"/>
      <c r="W769" s="39"/>
      <c r="X769" s="39"/>
      <c r="Y769" s="39"/>
      <c r="Z769" s="39"/>
    </row>
    <row r="770">
      <c r="A770" s="38" t="str">
        <f>IFERROR(__xludf.DUMMYFUNCTION("""COMPUTED_VALUE"""),"M-387")</f>
        <v>M-387</v>
      </c>
      <c r="B770" s="39" t="str">
        <f>IFERROR(__xludf.DUMMYFUNCTION("""COMPUTED_VALUE"""),"Mamodo")</f>
        <v>Mamodo</v>
      </c>
      <c r="C770" s="39" t="str">
        <f>IFERROR(__xludf.DUMMYFUNCTION("""COMPUTED_VALUE"""),"Rodeaux")</f>
        <v>Rodeaux</v>
      </c>
      <c r="D770" s="39" t="str">
        <f>IFERROR(__xludf.DUMMYFUNCTION("""COMPUTED_VALUE"""),"Rodeaux")</f>
        <v>Rodeaux</v>
      </c>
      <c r="E770" s="39" t="str">
        <f>IFERROR(__xludf.DUMMYFUNCTION("""COMPUTED_VALUE"""),"-")</f>
        <v>-</v>
      </c>
      <c r="F770" s="39" t="str">
        <f>IFERROR(__xludf.DUMMYFUNCTION("""COMPUTED_VALUE"""),"-")</f>
        <v>-</v>
      </c>
      <c r="G770" s="39" t="str">
        <f>IFERROR(__xludf.DUMMYFUNCTION("""COMPUTED_VALUE"""),"None")</f>
        <v>None</v>
      </c>
      <c r="H770" s="39" t="str">
        <f>IFERROR(__xludf.DUMMYFUNCTION("""COMPUTED_VALUE"""),"Left To Their Doom")</f>
        <v>Left To Their Doom</v>
      </c>
      <c r="I770" s="40" t="str">
        <f>IFERROR(__xludf.DUMMYFUNCTION("""COMPUTED_VALUE"""),"(Cut-In) [DECLARE TO USE] Negate the effect your opponent just applied that would move cards into empty pages of their Spell Book. In addition, send all of those moved cards to the Discard Pile even when prohibited to do so.")</f>
        <v>(Cut-In) [DECLARE TO USE] Negate the effect your opponent just applied that would move cards into empty pages of their Spell Book. In addition, send all of those moved cards to the Discard Pile even when prohibited to do so.</v>
      </c>
      <c r="J770" s="39">
        <f>IFERROR(__xludf.DUMMYFUNCTION("""COMPUTED_VALUE"""),5000.0)</f>
        <v>5000</v>
      </c>
      <c r="K770" s="39" t="str">
        <f>IFERROR(__xludf.DUMMYFUNCTION("""COMPUTED_VALUE"""),"-")</f>
        <v>-</v>
      </c>
      <c r="L770" s="39" t="str">
        <f>IFERROR(__xludf.DUMMYFUNCTION("""COMPUTED_VALUE"""),"-")</f>
        <v>-</v>
      </c>
      <c r="M770" s="39" t="str">
        <f>IFERROR(__xludf.DUMMYFUNCTION("""COMPUTED_VALUE"""),"[U]")</f>
        <v>[U]</v>
      </c>
      <c r="N770" s="39" t="str">
        <f>IFERROR(__xludf.DUMMYFUNCTION("""COMPUTED_VALUE"""),"""There's nothing more fun than shooting some fool in the back as he runs away, leaving his friend behind.""")</f>
        <v>"There's nothing more fun than shooting some fool in the back as he runs away, leaving his friend behind."</v>
      </c>
      <c r="O770" s="39"/>
      <c r="P770" s="39"/>
      <c r="Q770" s="39"/>
      <c r="R770" s="39"/>
      <c r="S770" s="39"/>
      <c r="T770" s="39"/>
      <c r="U770" s="39"/>
      <c r="V770" s="39"/>
      <c r="W770" s="39"/>
      <c r="X770" s="39"/>
      <c r="Y770" s="39"/>
      <c r="Z770" s="39"/>
    </row>
    <row r="771">
      <c r="A771" s="38" t="str">
        <f>IFERROR(__xludf.DUMMYFUNCTION("""COMPUTED_VALUE"""),"M-388")</f>
        <v>M-388</v>
      </c>
      <c r="B771" s="39" t="str">
        <f>IFERROR(__xludf.DUMMYFUNCTION("""COMPUTED_VALUE"""),"Mamodo")</f>
        <v>Mamodo</v>
      </c>
      <c r="C771" s="39" t="str">
        <f>IFERROR(__xludf.DUMMYFUNCTION("""COMPUTED_VALUE"""),"Riou")</f>
        <v>Riou</v>
      </c>
      <c r="D771" s="39" t="str">
        <f>IFERROR(__xludf.DUMMYFUNCTION("""COMPUTED_VALUE"""),"Riou")</f>
        <v>Riou</v>
      </c>
      <c r="E771" s="39" t="str">
        <f>IFERROR(__xludf.DUMMYFUNCTION("""COMPUTED_VALUE"""),"-")</f>
        <v>-</v>
      </c>
      <c r="F771" s="39" t="str">
        <f>IFERROR(__xludf.DUMMYFUNCTION("""COMPUTED_VALUE"""),"-")</f>
        <v>-</v>
      </c>
      <c r="G771" s="39" t="str">
        <f>IFERROR(__xludf.DUMMYFUNCTION("""COMPUTED_VALUE"""),"None")</f>
        <v>None</v>
      </c>
      <c r="H771" s="39" t="str">
        <f>IFERROR(__xludf.DUMMYFUNCTION("""COMPUTED_VALUE"""),"Breaking the Seal")</f>
        <v>Breaking the Seal</v>
      </c>
      <c r="I771" s="40" t="str">
        <f>IFERROR(__xludf.DUMMYFUNCTION("""COMPUTED_VALUE"""),"(Cut-In) [1 MP] Negate the cut-in effect your opponent just applied that would negate the EVENT card you played.")</f>
        <v>(Cut-In) [1 MP] Negate the cut-in effect your opponent just applied that would negate the EVENT card you played.</v>
      </c>
      <c r="J771" s="39">
        <f>IFERROR(__xludf.DUMMYFUNCTION("""COMPUTED_VALUE"""),6000.0)</f>
        <v>6000</v>
      </c>
      <c r="K771" s="39" t="str">
        <f>IFERROR(__xludf.DUMMYFUNCTION("""COMPUTED_VALUE"""),"-")</f>
        <v>-</v>
      </c>
      <c r="L771" s="39" t="str">
        <f>IFERROR(__xludf.DUMMYFUNCTION("""COMPUTED_VALUE"""),"-")</f>
        <v>-</v>
      </c>
      <c r="M771" s="39" t="str">
        <f>IFERROR(__xludf.DUMMYFUNCTION("""COMPUTED_VALUE"""),"[SR]")</f>
        <v>[SR]</v>
      </c>
      <c r="N771" s="39" t="str">
        <f>IFERROR(__xludf.DUMMYFUNCTION("""COMPUTED_VALUE"""),"""This is it! Soon, Faudo will be ours!""")</f>
        <v>"This is it! Soon, Faudo will be ours!"</v>
      </c>
      <c r="O771" s="39"/>
      <c r="P771" s="39"/>
      <c r="Q771" s="39"/>
      <c r="R771" s="39"/>
      <c r="S771" s="39"/>
      <c r="T771" s="39"/>
      <c r="U771" s="39"/>
      <c r="V771" s="39"/>
      <c r="W771" s="39"/>
      <c r="X771" s="39"/>
      <c r="Y771" s="39"/>
      <c r="Z771" s="39"/>
    </row>
    <row r="772">
      <c r="A772" s="38" t="str">
        <f>IFERROR(__xludf.DUMMYFUNCTION("""COMPUTED_VALUE"""),"M-389")</f>
        <v>M-389</v>
      </c>
      <c r="B772" s="39" t="str">
        <f>IFERROR(__xludf.DUMMYFUNCTION("""COMPUTED_VALUE"""),"Mamodo")</f>
        <v>Mamodo</v>
      </c>
      <c r="C772" s="39" t="str">
        <f>IFERROR(__xludf.DUMMYFUNCTION("""COMPUTED_VALUE"""),"Cherish")</f>
        <v>Cherish</v>
      </c>
      <c r="D772" s="39" t="str">
        <f>IFERROR(__xludf.DUMMYFUNCTION("""COMPUTED_VALUE"""),"Cherish")</f>
        <v>Cherish</v>
      </c>
      <c r="E772" s="39" t="str">
        <f>IFERROR(__xludf.DUMMYFUNCTION("""COMPUTED_VALUE"""),"-")</f>
        <v>-</v>
      </c>
      <c r="F772" s="39" t="str">
        <f>IFERROR(__xludf.DUMMYFUNCTION("""COMPUTED_VALUE"""),"-")</f>
        <v>-</v>
      </c>
      <c r="G772" s="39" t="str">
        <f>IFERROR(__xludf.DUMMYFUNCTION("""COMPUTED_VALUE"""),"None")</f>
        <v>None</v>
      </c>
      <c r="H772" s="39" t="str">
        <f>IFERROR(__xludf.DUMMYFUNCTION("""COMPUTED_VALUE"""),"Walking the Road to Despair")</f>
        <v>Walking the Road to Despair</v>
      </c>
      <c r="I772" s="40" t="str">
        <f>IFERROR(__xludf.DUMMYFUNCTION("""COMPUTED_VALUE"""),"[1 MP] Negate 1 [Standby] effect. This effect can be applied regardless of your opponent's card effects.")</f>
        <v>[1 MP] Negate 1 [Standby] effect. This effect can be applied regardless of your opponent's card effects.</v>
      </c>
      <c r="J772" s="39">
        <f>IFERROR(__xludf.DUMMYFUNCTION("""COMPUTED_VALUE"""),4000.0)</f>
        <v>4000</v>
      </c>
      <c r="K772" s="39" t="str">
        <f>IFERROR(__xludf.DUMMYFUNCTION("""COMPUTED_VALUE"""),"-")</f>
        <v>-</v>
      </c>
      <c r="L772" s="39" t="str">
        <f>IFERROR(__xludf.DUMMYFUNCTION("""COMPUTED_VALUE"""),"-")</f>
        <v>-</v>
      </c>
      <c r="M772" s="39" t="str">
        <f>IFERROR(__xludf.DUMMYFUNCTION("""COMPUTED_VALUE"""),"[R]")</f>
        <v>[R]</v>
      </c>
      <c r="N772" s="39" t="str">
        <f>IFERROR(__xludf.DUMMYFUNCTION("""COMPUTED_VALUE"""),"""Are you okay with that? Do you want to be defeated by despair?""")</f>
        <v>"Are you okay with that? Do you want to be defeated by despair?"</v>
      </c>
      <c r="O772" s="39"/>
      <c r="P772" s="39"/>
      <c r="Q772" s="39"/>
      <c r="R772" s="39"/>
      <c r="S772" s="39"/>
      <c r="T772" s="39"/>
      <c r="U772" s="39"/>
      <c r="V772" s="39"/>
      <c r="W772" s="39"/>
      <c r="X772" s="39"/>
      <c r="Y772" s="39"/>
      <c r="Z772" s="39"/>
    </row>
    <row r="773">
      <c r="A773" s="41" t="str">
        <f>IFERROR(__xludf.DUMMYFUNCTION("""COMPUTED_VALUE"""),"M-390")</f>
        <v>M-390</v>
      </c>
      <c r="B773" s="42" t="str">
        <f>IFERROR(__xludf.DUMMYFUNCTION("""COMPUTED_VALUE"""),"Dual Mamodo")</f>
        <v>Dual Mamodo</v>
      </c>
      <c r="C773" s="42" t="str">
        <f>IFERROR(__xludf.DUMMYFUNCTION("""COMPUTED_VALUE"""),"Karudio &amp; Arth")</f>
        <v>Karudio &amp; Arth</v>
      </c>
      <c r="D773" s="42" t="str">
        <f>IFERROR(__xludf.DUMMYFUNCTION("""COMPUTED_VALUE"""),"Karudio | Arth")</f>
        <v>Karudio | Arth</v>
      </c>
      <c r="E773" s="42" t="str">
        <f>IFERROR(__xludf.DUMMYFUNCTION("""COMPUTED_VALUE"""),"-")</f>
        <v>-</v>
      </c>
      <c r="F773" s="42" t="str">
        <f>IFERROR(__xludf.DUMMYFUNCTION("""COMPUTED_VALUE"""),"-")</f>
        <v>-</v>
      </c>
      <c r="G773" s="42" t="str">
        <f>IFERROR(__xludf.DUMMYFUNCTION("""COMPUTED_VALUE"""),"None")</f>
        <v>None</v>
      </c>
      <c r="H773" s="42" t="str">
        <f>IFERROR(__xludf.DUMMYFUNCTION("""COMPUTED_VALUE"""),"For Ellie's Sake")</f>
        <v>For Ellie's Sake</v>
      </c>
      <c r="I773" s="43" t="str">
        <f>IFERROR(__xludf.DUMMYFUNCTION("""COMPUTED_VALUE"""),"Send your in-play Karudio or Arth MAMODO card to the Discard Pile to put this MAMODO card in play. Up to 2 PARTNER cards can be attached to this MAMODO card at the same time. [2 MP] Select 1 Ellie PARTNER card from any page of your Spell Book or your Disc"&amp;"ard Pile and put it in play.")</f>
        <v>Send your in-play Karudio or Arth MAMODO card to the Discard Pile to put this MAMODO card in play. Up to 2 PARTNER cards can be attached to this MAMODO card at the same time. [2 MP] Select 1 Ellie PARTNER card from any page of your Spell Book or your Discard Pile and put it in play.</v>
      </c>
      <c r="J773" s="42">
        <f>IFERROR(__xludf.DUMMYFUNCTION("""COMPUTED_VALUE"""),5000.0)</f>
        <v>5000</v>
      </c>
      <c r="K773" s="42" t="str">
        <f>IFERROR(__xludf.DUMMYFUNCTION("""COMPUTED_VALUE"""),"-")</f>
        <v>-</v>
      </c>
      <c r="L773" s="42" t="str">
        <f>IFERROR(__xludf.DUMMYFUNCTION("""COMPUTED_VALUE"""),"-")</f>
        <v>-</v>
      </c>
      <c r="M773" s="42" t="str">
        <f>IFERROR(__xludf.DUMMYFUNCTION("""COMPUTED_VALUE"""),"[SR]")</f>
        <v>[SR]</v>
      </c>
      <c r="N773" s="42" t="str">
        <f>IFERROR(__xludf.DUMMYFUNCTION("""COMPUTED_VALUE"""),"""Of course I'm protecting her! I mean, how could I let her die?""")</f>
        <v>"Of course I'm protecting her! I mean, how could I let her die?"</v>
      </c>
      <c r="O773" s="42"/>
      <c r="P773" s="42"/>
      <c r="Q773" s="42"/>
      <c r="R773" s="42"/>
      <c r="S773" s="42"/>
      <c r="T773" s="42"/>
      <c r="U773" s="42"/>
      <c r="V773" s="42"/>
      <c r="W773" s="42"/>
      <c r="X773" s="42"/>
      <c r="Y773" s="42"/>
      <c r="Z773" s="42"/>
    </row>
    <row r="774">
      <c r="A774" s="41" t="str">
        <f>IFERROR(__xludf.DUMMYFUNCTION("""COMPUTED_VALUE"""),"M-391")</f>
        <v>M-391</v>
      </c>
      <c r="B774" s="42" t="str">
        <f>IFERROR(__xludf.DUMMYFUNCTION("""COMPUTED_VALUE"""),"VS Mamodo")</f>
        <v>VS Mamodo</v>
      </c>
      <c r="C774" s="42" t="str">
        <f>IFERROR(__xludf.DUMMYFUNCTION("""COMPUTED_VALUE"""),"Tia VS Wonrei")</f>
        <v>Tia VS Wonrei</v>
      </c>
      <c r="D774" s="42" t="str">
        <f>IFERROR(__xludf.DUMMYFUNCTION("""COMPUTED_VALUE"""),"Tia | Wonrei")</f>
        <v>Tia | Wonrei</v>
      </c>
      <c r="E774" s="42" t="str">
        <f>IFERROR(__xludf.DUMMYFUNCTION("""COMPUTED_VALUE"""),"-")</f>
        <v>-</v>
      </c>
      <c r="F774" s="42" t="str">
        <f>IFERROR(__xludf.DUMMYFUNCTION("""COMPUTED_VALUE"""),"-")</f>
        <v>-</v>
      </c>
      <c r="G774" s="42" t="str">
        <f>IFERROR(__xludf.DUMMYFUNCTION("""COMPUTED_VALUE"""),"None")</f>
        <v>None</v>
      </c>
      <c r="H774" s="42" t="str">
        <f>IFERROR(__xludf.DUMMYFUNCTION("""COMPUTED_VALUE"""),"Cold Glare")</f>
        <v>Cold Glare</v>
      </c>
      <c r="I774" s="43" t="str">
        <f>IFERROR(__xludf.DUMMYFUNCTION("""COMPUTED_VALUE"""),"Send either player's in-play Tia or Wonrei MAMODO card to the Discard Pile to put this MAMODO card in play. [2 MP] Send 1 of your opponent's in-play VS MAMODO cards to the Discard Pile.")</f>
        <v>Send either player's in-play Tia or Wonrei MAMODO card to the Discard Pile to put this MAMODO card in play. [2 MP] Send 1 of your opponent's in-play VS MAMODO cards to the Discard Pile.</v>
      </c>
      <c r="J774" s="42">
        <f>IFERROR(__xludf.DUMMYFUNCTION("""COMPUTED_VALUE"""),4500.0)</f>
        <v>4500</v>
      </c>
      <c r="K774" s="42" t="str">
        <f>IFERROR(__xludf.DUMMYFUNCTION("""COMPUTED_VALUE"""),"-")</f>
        <v>-</v>
      </c>
      <c r="L774" s="42" t="str">
        <f>IFERROR(__xludf.DUMMYFUNCTION("""COMPUTED_VALUE"""),"-")</f>
        <v>-</v>
      </c>
      <c r="M774" s="42" t="str">
        <f>IFERROR(__xludf.DUMMYFUNCTION("""COMPUTED_VALUE"""),"[SR]")</f>
        <v>[SR]</v>
      </c>
      <c r="N774" s="42" t="str">
        <f>IFERROR(__xludf.DUMMYFUNCTION("""COMPUTED_VALUE"""),"""He had a really cold look in his eyes. Like we were his enemies...""")</f>
        <v>"He had a really cold look in his eyes. Like we were his enemies..."</v>
      </c>
      <c r="O774" s="42"/>
      <c r="P774" s="42"/>
      <c r="Q774" s="42"/>
      <c r="R774" s="42"/>
      <c r="S774" s="42"/>
      <c r="T774" s="42"/>
      <c r="U774" s="42"/>
      <c r="V774" s="42"/>
      <c r="W774" s="42"/>
      <c r="X774" s="42"/>
      <c r="Y774" s="42"/>
      <c r="Z774" s="42"/>
    </row>
    <row r="775">
      <c r="A775" s="41" t="str">
        <f>IFERROR(__xludf.DUMMYFUNCTION("""COMPUTED_VALUE"""),"M-392")</f>
        <v>M-392</v>
      </c>
      <c r="B775" s="42" t="str">
        <f>IFERROR(__xludf.DUMMYFUNCTION("""COMPUTED_VALUE"""),"VS Mamodo")</f>
        <v>VS Mamodo</v>
      </c>
      <c r="C775" s="42" t="str">
        <f>IFERROR(__xludf.DUMMYFUNCTION("""COMPUTED_VALUE"""),"Riya VS Zaruchim")</f>
        <v>Riya VS Zaruchim</v>
      </c>
      <c r="D775" s="42" t="str">
        <f>IFERROR(__xludf.DUMMYFUNCTION("""COMPUTED_VALUE"""),"Riya | Zaruchim")</f>
        <v>Riya | Zaruchim</v>
      </c>
      <c r="E775" s="42" t="str">
        <f>IFERROR(__xludf.DUMMYFUNCTION("""COMPUTED_VALUE"""),"-")</f>
        <v>-</v>
      </c>
      <c r="F775" s="42" t="str">
        <f>IFERROR(__xludf.DUMMYFUNCTION("""COMPUTED_VALUE"""),"-")</f>
        <v>-</v>
      </c>
      <c r="G775" s="42" t="str">
        <f>IFERROR(__xludf.DUMMYFUNCTION("""COMPUTED_VALUE"""),"None")</f>
        <v>None</v>
      </c>
      <c r="H775" s="42" t="str">
        <f>IFERROR(__xludf.DUMMYFUNCTION("""COMPUTED_VALUE"""),"Betrayal of Beliefs")</f>
        <v>Betrayal of Beliefs</v>
      </c>
      <c r="I775" s="43" t="str">
        <f>IFERROR(__xludf.DUMMYFUNCTION("""COMPUTED_VALUE"""),"Send either player's in-play Riya or Zaruchim MAMODO card to the Discard Pile to put this MAMODO card in play. [1 MP] Negate 1 [Stay] effect regardless of your opponent's card effects.")</f>
        <v>Send either player's in-play Riya or Zaruchim MAMODO card to the Discard Pile to put this MAMODO card in play. [1 MP] Negate 1 [Stay] effect regardless of your opponent's card effects.</v>
      </c>
      <c r="J775" s="42">
        <f>IFERROR(__xludf.DUMMYFUNCTION("""COMPUTED_VALUE"""),5000.0)</f>
        <v>5000</v>
      </c>
      <c r="K775" s="42" t="str">
        <f>IFERROR(__xludf.DUMMYFUNCTION("""COMPUTED_VALUE"""),"-")</f>
        <v>-</v>
      </c>
      <c r="L775" s="42" t="str">
        <f>IFERROR(__xludf.DUMMYFUNCTION("""COMPUTED_VALUE"""),"-")</f>
        <v>-</v>
      </c>
      <c r="M775" s="42" t="str">
        <f>IFERROR(__xludf.DUMMYFUNCTION("""COMPUTED_VALUE"""),"[SR]")</f>
        <v>[SR]</v>
      </c>
      <c r="N775" s="42" t="str">
        <f>IFERROR(__xludf.DUMMYFUNCTION("""COMPUTED_VALUE"""),"""This is madness... The curse should have left you so weak you can barely move a finger.""")</f>
        <v>"This is madness... The curse should have left you so weak you can barely move a finger."</v>
      </c>
      <c r="O775" s="42"/>
      <c r="P775" s="42"/>
      <c r="Q775" s="42"/>
      <c r="R775" s="42"/>
      <c r="S775" s="42"/>
      <c r="T775" s="42"/>
      <c r="U775" s="42"/>
      <c r="V775" s="42"/>
      <c r="W775" s="42"/>
      <c r="X775" s="42"/>
      <c r="Y775" s="42"/>
      <c r="Z775" s="42"/>
    </row>
    <row r="776">
      <c r="A776" s="41" t="str">
        <f>IFERROR(__xludf.DUMMYFUNCTION("""COMPUTED_VALUE"""),"M-393")</f>
        <v>M-393</v>
      </c>
      <c r="B776" s="42" t="str">
        <f>IFERROR(__xludf.DUMMYFUNCTION("""COMPUTED_VALUE"""),"S Mamodo")</f>
        <v>S Mamodo</v>
      </c>
      <c r="C776" s="42" t="str">
        <f>IFERROR(__xludf.DUMMYFUNCTION("""COMPUTED_VALUE"""),"Zatch Bell")</f>
        <v>Zatch Bell</v>
      </c>
      <c r="D776" s="42" t="str">
        <f>IFERROR(__xludf.DUMMYFUNCTION("""COMPUTED_VALUE"""),"Zatch Bell")</f>
        <v>Zatch Bell</v>
      </c>
      <c r="E776" s="42" t="str">
        <f>IFERROR(__xludf.DUMMYFUNCTION("""COMPUTED_VALUE"""),"-")</f>
        <v>-</v>
      </c>
      <c r="F776" s="42" t="str">
        <f>IFERROR(__xludf.DUMMYFUNCTION("""COMPUTED_VALUE"""),"-")</f>
        <v>-</v>
      </c>
      <c r="G776" s="42" t="str">
        <f>IFERROR(__xludf.DUMMYFUNCTION("""COMPUTED_VALUE"""),"Intermediate")</f>
        <v>Intermediate</v>
      </c>
      <c r="H776" s="42" t="str">
        <f>IFERROR(__xludf.DUMMYFUNCTION("""COMPUTED_VALUE"""),"Give It Your All")</f>
        <v>Give It Your All</v>
      </c>
      <c r="I776" s="43" t="str">
        <f>IFERROR(__xludf.DUMMYFUNCTION("""COMPUTED_VALUE"""),"This card is placed on a regular Zatch Bell MAMODO card. (Battle) [1 MP] [STANDBY] During the Battle, your opponent can neither SACRIFICE PROTECT their Spell Book from the Damage of an Attack declared by this MAMODO card with a Total Power of 10000 or mor"&amp;"e.")</f>
        <v>This card is placed on a regular Zatch Bell MAMODO card. (Battle) [1 MP] [STANDBY] During the Battle, your opponent can neither SACRIFICE PROTECT their Spell Book from the Damage of an Attack declared by this MAMODO card with a Total Power of 10000 or more.</v>
      </c>
      <c r="J776" s="42">
        <f>IFERROR(__xludf.DUMMYFUNCTION("""COMPUTED_VALUE"""),5000.0)</f>
        <v>5000</v>
      </c>
      <c r="K776" s="42" t="str">
        <f>IFERROR(__xludf.DUMMYFUNCTION("""COMPUTED_VALUE"""),"-")</f>
        <v>-</v>
      </c>
      <c r="L776" s="42" t="str">
        <f>IFERROR(__xludf.DUMMYFUNCTION("""COMPUTED_VALUE"""),"-")</f>
        <v>-</v>
      </c>
      <c r="M776" s="42" t="str">
        <f>IFERROR(__xludf.DUMMYFUNCTION("""COMPUTED_VALUE"""),"[R]")</f>
        <v>[R]</v>
      </c>
      <c r="N776" s="42" t="str">
        <f>IFERROR(__xludf.DUMMYFUNCTION("""COMPUTED_VALUE"""),"""Zatch! Don't hesitate. We're gonna take them down! Use all the power you've got!""")</f>
        <v>"Zatch! Don't hesitate. We're gonna take them down! Use all the power you've got!"</v>
      </c>
      <c r="O776" s="42"/>
      <c r="P776" s="42"/>
      <c r="Q776" s="42"/>
      <c r="R776" s="42"/>
      <c r="S776" s="42"/>
      <c r="T776" s="42"/>
      <c r="U776" s="42"/>
      <c r="V776" s="42"/>
      <c r="W776" s="42"/>
      <c r="X776" s="42"/>
      <c r="Y776" s="42"/>
      <c r="Z776" s="42"/>
    </row>
    <row r="777">
      <c r="A777" s="41" t="str">
        <f>IFERROR(__xludf.DUMMYFUNCTION("""COMPUTED_VALUE"""),"M-394")</f>
        <v>M-394</v>
      </c>
      <c r="B777" s="42" t="str">
        <f>IFERROR(__xludf.DUMMYFUNCTION("""COMPUTED_VALUE"""),"S Mamodo")</f>
        <v>S Mamodo</v>
      </c>
      <c r="C777" s="42" t="str">
        <f>IFERROR(__xludf.DUMMYFUNCTION("""COMPUTED_VALUE"""),"Momon")</f>
        <v>Momon</v>
      </c>
      <c r="D777" s="42" t="str">
        <f>IFERROR(__xludf.DUMMYFUNCTION("""COMPUTED_VALUE"""),"Momon")</f>
        <v>Momon</v>
      </c>
      <c r="E777" s="42" t="str">
        <f>IFERROR(__xludf.DUMMYFUNCTION("""COMPUTED_VALUE"""),"-")</f>
        <v>-</v>
      </c>
      <c r="F777" s="42" t="str">
        <f>IFERROR(__xludf.DUMMYFUNCTION("""COMPUTED_VALUE"""),"-")</f>
        <v>-</v>
      </c>
      <c r="G777" s="42" t="str">
        <f>IFERROR(__xludf.DUMMYFUNCTION("""COMPUTED_VALUE"""),"Intermediate")</f>
        <v>Intermediate</v>
      </c>
      <c r="H777" s="42" t="str">
        <f>IFERROR(__xludf.DUMMYFUNCTION("""COMPUTED_VALUE"""),"Lust &amp; Peace")</f>
        <v>Lust &amp; Peace</v>
      </c>
      <c r="I777" s="43" t="str">
        <f>IFERROR(__xludf.DUMMYFUNCTION("""COMPUTED_VALUE"""),"This card is placed on a regular Momon MAMODO card. [IN PLAY] Reduce the Damage of your opponent's Attacks by 1.")</f>
        <v>This card is placed on a regular Momon MAMODO card. [IN PLAY] Reduce the Damage of your opponent's Attacks by 1.</v>
      </c>
      <c r="J777" s="42">
        <f>IFERROR(__xludf.DUMMYFUNCTION("""COMPUTED_VALUE"""),3000.0)</f>
        <v>3000</v>
      </c>
      <c r="K777" s="42" t="str">
        <f>IFERROR(__xludf.DUMMYFUNCTION("""COMPUTED_VALUE"""),"-")</f>
        <v>-</v>
      </c>
      <c r="L777" s="42" t="str">
        <f>IFERROR(__xludf.DUMMYFUNCTION("""COMPUTED_VALUE"""),"-")</f>
        <v>-</v>
      </c>
      <c r="M777" s="42" t="str">
        <f>IFERROR(__xludf.DUMMYFUNCTION("""COMPUTED_VALUE"""),"[R]")</f>
        <v>[R]</v>
      </c>
      <c r="N777" s="42" t="str">
        <f>IFERROR(__xludf.DUMMYFUNCTION("""COMPUTED_VALUE"""),"""I'm scared, but... I'm the only one who can save everyone...""")</f>
        <v>"I'm scared, but... I'm the only one who can save everyone..."</v>
      </c>
      <c r="O777" s="42"/>
      <c r="P777" s="42"/>
      <c r="Q777" s="42"/>
      <c r="R777" s="42"/>
      <c r="S777" s="42"/>
      <c r="T777" s="42"/>
      <c r="U777" s="42"/>
      <c r="V777" s="42"/>
      <c r="W777" s="42"/>
      <c r="X777" s="42"/>
      <c r="Y777" s="42"/>
      <c r="Z777" s="42"/>
    </row>
    <row r="778">
      <c r="A778" s="41" t="str">
        <f>IFERROR(__xludf.DUMMYFUNCTION("""COMPUTED_VALUE"""),"M-395")</f>
        <v>M-395</v>
      </c>
      <c r="B778" s="42" t="str">
        <f>IFERROR(__xludf.DUMMYFUNCTION("""COMPUTED_VALUE"""),"S Mamodo")</f>
        <v>S Mamodo</v>
      </c>
      <c r="C778" s="42" t="str">
        <f>IFERROR(__xludf.DUMMYFUNCTION("""COMPUTED_VALUE"""),"Keith")</f>
        <v>Keith</v>
      </c>
      <c r="D778" s="42" t="str">
        <f>IFERROR(__xludf.DUMMYFUNCTION("""COMPUTED_VALUE"""),"Keith")</f>
        <v>Keith</v>
      </c>
      <c r="E778" s="42" t="str">
        <f>IFERROR(__xludf.DUMMYFUNCTION("""COMPUTED_VALUE"""),"-")</f>
        <v>-</v>
      </c>
      <c r="F778" s="42" t="str">
        <f>IFERROR(__xludf.DUMMYFUNCTION("""COMPUTED_VALUE"""),"-")</f>
        <v>-</v>
      </c>
      <c r="G778" s="42" t="str">
        <f>IFERROR(__xludf.DUMMYFUNCTION("""COMPUTED_VALUE"""),"Intermediate")</f>
        <v>Intermediate</v>
      </c>
      <c r="H778" s="42" t="str">
        <f>IFERROR(__xludf.DUMMYFUNCTION("""COMPUTED_VALUE"""),"Suppressed Power")</f>
        <v>Suppressed Power</v>
      </c>
      <c r="I778" s="43" t="str">
        <f>IFERROR(__xludf.DUMMYFUNCTION("""COMPUTED_VALUE"""),"This card is placed on a regular Keith MAMODO card. [DECLARE TO USE] [STANDBY] Reduce the MP cost of SPELL cards with Keith as their MAMODO name that you play in the next Battle during this turn by 2. In addition, reduce the Damage of those SPELL cards by"&amp;" 1.")</f>
        <v>This card is placed on a regular Keith MAMODO card. [DECLARE TO USE] [STANDBY] Reduce the MP cost of SPELL cards with Keith as their MAMODO name that you play in the next Battle during this turn by 2. In addition, reduce the Damage of those SPELL cards by 1.</v>
      </c>
      <c r="J778" s="42">
        <f>IFERROR(__xludf.DUMMYFUNCTION("""COMPUTED_VALUE"""),5500.0)</f>
        <v>5500</v>
      </c>
      <c r="K778" s="42" t="str">
        <f>IFERROR(__xludf.DUMMYFUNCTION("""COMPUTED_VALUE"""),"-")</f>
        <v>-</v>
      </c>
      <c r="L778" s="42" t="str">
        <f>IFERROR(__xludf.DUMMYFUNCTION("""COMPUTED_VALUE"""),"-")</f>
        <v>-</v>
      </c>
      <c r="M778" s="42" t="str">
        <f>IFERROR(__xludf.DUMMYFUNCTION("""COMPUTED_VALUE"""),"[R]")</f>
        <v>[R]</v>
      </c>
      <c r="N778" s="42" t="str">
        <f>IFERROR(__xludf.DUMMYFUNCTION("""COMPUTED_VALUE"""),"""Hmph, what's wrong? We haven't even used 80% of our power yet!""")</f>
        <v>"Hmph, what's wrong? We haven't even used 80% of our power yet!"</v>
      </c>
      <c r="O778" s="42"/>
      <c r="P778" s="42"/>
      <c r="Q778" s="42"/>
      <c r="R778" s="42"/>
      <c r="S778" s="42"/>
      <c r="T778" s="42"/>
      <c r="U778" s="42"/>
      <c r="V778" s="42"/>
      <c r="W778" s="42"/>
      <c r="X778" s="42"/>
      <c r="Y778" s="42"/>
      <c r="Z778" s="42"/>
    </row>
    <row r="779">
      <c r="A779" s="41" t="str">
        <f>IFERROR(__xludf.DUMMYFUNCTION("""COMPUTED_VALUE"""),"M-396ab")</f>
        <v>M-396ab</v>
      </c>
      <c r="B779" s="42" t="str">
        <f>IFERROR(__xludf.DUMMYFUNCTION("""COMPUTED_VALUE"""),"Mamodo")</f>
        <v>Mamodo</v>
      </c>
      <c r="C779" s="42" t="str">
        <f>IFERROR(__xludf.DUMMYFUNCTION("""COMPUTED_VALUE"""),"Faudo")</f>
        <v>Faudo</v>
      </c>
      <c r="D779" s="42" t="str">
        <f>IFERROR(__xludf.DUMMYFUNCTION("""COMPUTED_VALUE"""),"-")</f>
        <v>-</v>
      </c>
      <c r="E779" s="42" t="str">
        <f>IFERROR(__xludf.DUMMYFUNCTION("""COMPUTED_VALUE"""),"-")</f>
        <v>-</v>
      </c>
      <c r="F779" s="42" t="str">
        <f>IFERROR(__xludf.DUMMYFUNCTION("""COMPUTED_VALUE"""),"-")</f>
        <v>-</v>
      </c>
      <c r="G779" s="42" t="str">
        <f>IFERROR(__xludf.DUMMYFUNCTION("""COMPUTED_VALUE"""),"None")</f>
        <v>None</v>
      </c>
      <c r="H779" s="42" t="str">
        <f>IFERROR(__xludf.DUMMYFUNCTION("""COMPUTED_VALUE"""),"Colossus")</f>
        <v>Colossus</v>
      </c>
      <c r="I779" s="43" t="str">
        <f>IFERROR(__xludf.DUMMYFUNCTION("""COMPUTED_VALUE"""),"This MAMODO card (both M-396a and M-396b) is put in play when you play an E-200 The Resurrection of Faudo EVENT card (both M-396a and M-396b are considered to be 1 card while in play). [IN PLAY] This MAMODO does not receive Damage or Injury and cannot be "&amp;"sent to the Discard Pile by your opponent's card effects. [10 MP] Turn 8 pages of your opponent's Spell Book during your BATTLE PHASE.")</f>
        <v>This MAMODO card (both M-396a and M-396b) is put in play when you play an E-200 The Resurrection of Faudo EVENT card (both M-396a and M-396b are considered to be 1 card while in play). [IN PLAY] This MAMODO does not receive Damage or Injury and cannot be sent to the Discard Pile by your opponent's card effects. [10 MP] Turn 8 pages of your opponent's Spell Book during your BATTLE PHASE.</v>
      </c>
      <c r="J779" s="42">
        <f>IFERROR(__xludf.DUMMYFUNCTION("""COMPUTED_VALUE"""),99999.0)</f>
        <v>99999</v>
      </c>
      <c r="K779" s="42" t="str">
        <f>IFERROR(__xludf.DUMMYFUNCTION("""COMPUTED_VALUE"""),"-")</f>
        <v>-</v>
      </c>
      <c r="L779" s="42" t="str">
        <f>IFERROR(__xludf.DUMMYFUNCTION("""COMPUTED_VALUE"""),"-")</f>
        <v>-</v>
      </c>
      <c r="M779" s="42" t="str">
        <f>IFERROR(__xludf.DUMMYFUNCTION("""COMPUTED_VALUE"""),"[SR]")</f>
        <v>[SR]</v>
      </c>
      <c r="N779" s="42" t="str">
        <f>IFERROR(__xludf.DUMMYFUNCTION("""COMPUTED_VALUE"""),"""Hah, you lowly insects! Your puny attacks won't even scratch Faudo!"" / ""FAUDO! FIRE!""")</f>
        <v>"Hah, you lowly insects! Your puny attacks won't even scratch Faudo!" / "FAUDO! FIRE!"</v>
      </c>
      <c r="O779" s="42"/>
      <c r="P779" s="42"/>
      <c r="Q779" s="42"/>
      <c r="R779" s="42"/>
      <c r="S779" s="42"/>
      <c r="T779" s="42"/>
      <c r="U779" s="42"/>
      <c r="V779" s="42"/>
      <c r="W779" s="42"/>
      <c r="X779" s="42"/>
      <c r="Y779" s="42"/>
      <c r="Z779" s="42"/>
    </row>
    <row r="780">
      <c r="A780" s="41" t="str">
        <f>IFERROR(__xludf.DUMMYFUNCTION("""COMPUTED_VALUE"""),"M-397")</f>
        <v>M-397</v>
      </c>
      <c r="B780" s="42" t="str">
        <f>IFERROR(__xludf.DUMMYFUNCTION("""COMPUTED_VALUE"""),"Mamodo")</f>
        <v>Mamodo</v>
      </c>
      <c r="C780" s="42" t="str">
        <f>IFERROR(__xludf.DUMMYFUNCTION("""COMPUTED_VALUE"""),"Zatch Bell")</f>
        <v>Zatch Bell</v>
      </c>
      <c r="D780" s="42" t="str">
        <f>IFERROR(__xludf.DUMMYFUNCTION("""COMPUTED_VALUE"""),"Zatch Bell")</f>
        <v>Zatch Bell</v>
      </c>
      <c r="E780" s="42" t="str">
        <f>IFERROR(__xludf.DUMMYFUNCTION("""COMPUTED_VALUE"""),"-")</f>
        <v>-</v>
      </c>
      <c r="F780" s="42" t="str">
        <f>IFERROR(__xludf.DUMMYFUNCTION("""COMPUTED_VALUE"""),"-")</f>
        <v>-</v>
      </c>
      <c r="G780" s="42" t="str">
        <f>IFERROR(__xludf.DUMMYFUNCTION("""COMPUTED_VALUE"""),"None")</f>
        <v>None</v>
      </c>
      <c r="H780" s="42" t="str">
        <f>IFERROR(__xludf.DUMMYFUNCTION("""COMPUTED_VALUE"""),"Don't Look Back")</f>
        <v>Don't Look Back</v>
      </c>
      <c r="I780" s="43" t="str">
        <f>IFERROR(__xludf.DUMMYFUNCTION("""COMPUTED_VALUE"""),"[IN PLAY] Your opponent can neither turn back pages of their Spell Book, nor can your opponent play or put cards in play from the previous pages of their Spell Book with their card effects.")</f>
        <v>[IN PLAY] Your opponent can neither turn back pages of their Spell Book, nor can your opponent play or put cards in play from the previous pages of their Spell Book with their card effects.</v>
      </c>
      <c r="J780" s="42">
        <f>IFERROR(__xludf.DUMMYFUNCTION("""COMPUTED_VALUE"""),4000.0)</f>
        <v>4000</v>
      </c>
      <c r="K780" s="42" t="str">
        <f>IFERROR(__xludf.DUMMYFUNCTION("""COMPUTED_VALUE"""),"-")</f>
        <v>-</v>
      </c>
      <c r="L780" s="42" t="str">
        <f>IFERROR(__xludf.DUMMYFUNCTION("""COMPUTED_VALUE"""),"-")</f>
        <v>-</v>
      </c>
      <c r="M780" s="42" t="str">
        <f>IFERROR(__xludf.DUMMYFUNCTION("""COMPUTED_VALUE"""),"[C]")</f>
        <v>[C]</v>
      </c>
      <c r="N780" s="42" t="str">
        <f>IFERROR(__xludf.DUMMYFUNCTION("""COMPUTED_VALUE"""),"""AGGGH! Are we done yet? Kiyo! Can I look at you now?""")</f>
        <v>"AGGGH! Are we done yet? Kiyo! Can I look at you now?"</v>
      </c>
      <c r="O780" s="42"/>
      <c r="P780" s="42"/>
      <c r="Q780" s="42"/>
      <c r="R780" s="42"/>
      <c r="S780" s="42"/>
      <c r="T780" s="42"/>
      <c r="U780" s="42"/>
      <c r="V780" s="42"/>
      <c r="W780" s="42"/>
      <c r="X780" s="42"/>
      <c r="Y780" s="42"/>
      <c r="Z780" s="42"/>
    </row>
    <row r="781">
      <c r="A781" s="41" t="str">
        <f>IFERROR(__xludf.DUMMYFUNCTION("""COMPUTED_VALUE"""),"M-398")</f>
        <v>M-398</v>
      </c>
      <c r="B781" s="42" t="str">
        <f>IFERROR(__xludf.DUMMYFUNCTION("""COMPUTED_VALUE"""),"Mamodo")</f>
        <v>Mamodo</v>
      </c>
      <c r="C781" s="42" t="str">
        <f>IFERROR(__xludf.DUMMYFUNCTION("""COMPUTED_VALUE"""),"Zatch Bell (Rauzaruk State)")</f>
        <v>Zatch Bell (Rauzaruk State)</v>
      </c>
      <c r="D781" s="42" t="str">
        <f>IFERROR(__xludf.DUMMYFUNCTION("""COMPUTED_VALUE"""),"Zatch Bell")</f>
        <v>Zatch Bell</v>
      </c>
      <c r="E781" s="42" t="str">
        <f>IFERROR(__xludf.DUMMYFUNCTION("""COMPUTED_VALUE"""),"-")</f>
        <v>-</v>
      </c>
      <c r="F781" s="42" t="str">
        <f>IFERROR(__xludf.DUMMYFUNCTION("""COMPUTED_VALUE"""),"-")</f>
        <v>-</v>
      </c>
      <c r="G781" s="42" t="str">
        <f>IFERROR(__xludf.DUMMYFUNCTION("""COMPUTED_VALUE"""),"None")</f>
        <v>None</v>
      </c>
      <c r="H781" s="42" t="str">
        <f>IFERROR(__xludf.DUMMYFUNCTION("""COMPUTED_VALUE"""),"Brief Chance to Win")</f>
        <v>Brief Chance to Win</v>
      </c>
      <c r="I781" s="43" t="str">
        <f>IFERROR(__xludf.DUMMYFUNCTION("""COMPUTED_VALUE"""),"This card is placed on a Zatch Bell MAMODO when a Rauzaruk SPELL is played for Zatch Bell. No SPELLS can be played for this card. Discard this card at the END PHASE of the turn you applied its effect (the original Zatch Bell remains in play). (Battle) [DE"&amp;"CLARE TO USE] Negate your opponent's Attack in the Battle. [STANDBY] Then, turn 1 page of your opponent's Spell Book.")</f>
        <v>This card is placed on a Zatch Bell MAMODO when a Rauzaruk SPELL is played for Zatch Bell. No SPELLS can be played for this card. Discard this card at the END PHASE of the turn you applied its effect (the original Zatch Bell remains in play). (Battle) [DECLARE TO USE] Negate your opponent's Attack in the Battle. [STANDBY] Then, turn 1 page of your opponent's Spell Book.</v>
      </c>
      <c r="J781" s="42">
        <f>IFERROR(__xludf.DUMMYFUNCTION("""COMPUTED_VALUE"""),8000.0)</f>
        <v>8000</v>
      </c>
      <c r="K781" s="42" t="str">
        <f>IFERROR(__xludf.DUMMYFUNCTION("""COMPUTED_VALUE"""),"-")</f>
        <v>-</v>
      </c>
      <c r="L781" s="42" t="str">
        <f>IFERROR(__xludf.DUMMYFUNCTION("""COMPUTED_VALUE"""),"-")</f>
        <v>-</v>
      </c>
      <c r="M781" s="42" t="str">
        <f>IFERROR(__xludf.DUMMYFUNCTION("""COMPUTED_VALUE"""),"[C]")</f>
        <v>[C]</v>
      </c>
      <c r="N781" s="42" t="str">
        <f>IFERROR(__xludf.DUMMYFUNCTION("""COMPUTED_VALUE"""),"""And now... get the book from his partner!""")</f>
        <v>"And now... get the book from his partner!"</v>
      </c>
      <c r="O781" s="42"/>
      <c r="P781" s="42"/>
      <c r="Q781" s="42"/>
      <c r="R781" s="42"/>
      <c r="S781" s="42"/>
      <c r="T781" s="42"/>
      <c r="U781" s="42"/>
      <c r="V781" s="42"/>
      <c r="W781" s="42"/>
      <c r="X781" s="42"/>
      <c r="Y781" s="42"/>
      <c r="Z781" s="42"/>
    </row>
    <row r="782">
      <c r="A782" s="41" t="str">
        <f>IFERROR(__xludf.DUMMYFUNCTION("""COMPUTED_VALUE"""),"M-399")</f>
        <v>M-399</v>
      </c>
      <c r="B782" s="42" t="str">
        <f>IFERROR(__xludf.DUMMYFUNCTION("""COMPUTED_VALUE"""),"Mamodo")</f>
        <v>Mamodo</v>
      </c>
      <c r="C782" s="42" t="str">
        <f>IFERROR(__xludf.DUMMYFUNCTION("""COMPUTED_VALUE"""),"Riou")</f>
        <v>Riou</v>
      </c>
      <c r="D782" s="42" t="str">
        <f>IFERROR(__xludf.DUMMYFUNCTION("""COMPUTED_VALUE"""),"Riou")</f>
        <v>Riou</v>
      </c>
      <c r="E782" s="42" t="str">
        <f>IFERROR(__xludf.DUMMYFUNCTION("""COMPUTED_VALUE"""),"-")</f>
        <v>-</v>
      </c>
      <c r="F782" s="42" t="str">
        <f>IFERROR(__xludf.DUMMYFUNCTION("""COMPUTED_VALUE"""),"-")</f>
        <v>-</v>
      </c>
      <c r="G782" s="42" t="str">
        <f>IFERROR(__xludf.DUMMYFUNCTION("""COMPUTED_VALUE"""),"None")</f>
        <v>None</v>
      </c>
      <c r="H782" s="42" t="str">
        <f>IFERROR(__xludf.DUMMYFUNCTION("""COMPUTED_VALUE"""),"Staff Protection")</f>
        <v>Staff Protection</v>
      </c>
      <c r="I782" s="43" t="str">
        <f>IFERROR(__xludf.DUMMYFUNCTION("""COMPUTED_VALUE"""),"(Defend) [1 MP] This card may Defend without using a SPELL card (Total Power=9000). Reduce the Damage of your opponent's Attack by 1 regardless of their Power.")</f>
        <v>(Defend) [1 MP] This card may Defend without using a SPELL card (Total Power=9000). Reduce the Damage of your opponent's Attack by 1 regardless of their Power.</v>
      </c>
      <c r="J782" s="42">
        <f>IFERROR(__xludf.DUMMYFUNCTION("""COMPUTED_VALUE"""),6000.0)</f>
        <v>6000</v>
      </c>
      <c r="K782" s="42" t="str">
        <f>IFERROR(__xludf.DUMMYFUNCTION("""COMPUTED_VALUE"""),"-")</f>
        <v>-</v>
      </c>
      <c r="L782" s="42" t="str">
        <f>IFERROR(__xludf.DUMMYFUNCTION("""COMPUTED_VALUE"""),"-")</f>
        <v>-</v>
      </c>
      <c r="M782" s="42" t="str">
        <f>IFERROR(__xludf.DUMMYFUNCTION("""COMPUTED_VALUE"""),"[C]")</f>
        <v>[C]</v>
      </c>
      <c r="N782" s="42" t="str">
        <f>IFERROR(__xludf.DUMMYFUNCTION("""COMPUTED_VALUE"""),"""Don't underestimate my strength!""")</f>
        <v>"Don't underestimate my strength!"</v>
      </c>
      <c r="O782" s="42"/>
      <c r="P782" s="42"/>
      <c r="Q782" s="42"/>
      <c r="R782" s="42"/>
      <c r="S782" s="42"/>
      <c r="T782" s="42"/>
      <c r="U782" s="42"/>
      <c r="V782" s="42"/>
      <c r="W782" s="42"/>
      <c r="X782" s="42"/>
      <c r="Y782" s="42"/>
      <c r="Z782" s="42"/>
    </row>
    <row r="783">
      <c r="A783" s="41" t="str">
        <f>IFERROR(__xludf.DUMMYFUNCTION("""COMPUTED_VALUE"""),"M-400")</f>
        <v>M-400</v>
      </c>
      <c r="B783" s="42" t="str">
        <f>IFERROR(__xludf.DUMMYFUNCTION("""COMPUTED_VALUE"""),"Mamodo")</f>
        <v>Mamodo</v>
      </c>
      <c r="C783" s="42" t="str">
        <f>IFERROR(__xludf.DUMMYFUNCTION("""COMPUTED_VALUE"""),"Zeno")</f>
        <v>Zeno</v>
      </c>
      <c r="D783" s="42" t="str">
        <f>IFERROR(__xludf.DUMMYFUNCTION("""COMPUTED_VALUE"""),"Zeno")</f>
        <v>Zeno</v>
      </c>
      <c r="E783" s="42" t="str">
        <f>IFERROR(__xludf.DUMMYFUNCTION("""COMPUTED_VALUE"""),"-")</f>
        <v>-</v>
      </c>
      <c r="F783" s="42" t="str">
        <f>IFERROR(__xludf.DUMMYFUNCTION("""COMPUTED_VALUE"""),"-")</f>
        <v>-</v>
      </c>
      <c r="G783" s="42" t="str">
        <f>IFERROR(__xludf.DUMMYFUNCTION("""COMPUTED_VALUE"""),"None")</f>
        <v>None</v>
      </c>
      <c r="H783" s="42" t="str">
        <f>IFERROR(__xludf.DUMMYFUNCTION("""COMPUTED_VALUE"""),"Thunder Emperor")</f>
        <v>Thunder Emperor</v>
      </c>
      <c r="I783" s="43" t="str">
        <f>IFERROR(__xludf.DUMMYFUNCTION("""COMPUTED_VALUE"""),"[4 MP] When your opponent is past the 22nd page of their Spell Book, turn 1 page of your opponent's Spell Book.")</f>
        <v>[4 MP] When your opponent is past the 22nd page of their Spell Book, turn 1 page of your opponent's Spell Book.</v>
      </c>
      <c r="J783" s="42">
        <f>IFERROR(__xludf.DUMMYFUNCTION("""COMPUTED_VALUE"""),6000.0)</f>
        <v>6000</v>
      </c>
      <c r="K783" s="42" t="str">
        <f>IFERROR(__xludf.DUMMYFUNCTION("""COMPUTED_VALUE"""),"-")</f>
        <v>-</v>
      </c>
      <c r="L783" s="42" t="str">
        <f>IFERROR(__xludf.DUMMYFUNCTION("""COMPUTED_VALUE"""),"-")</f>
        <v>-</v>
      </c>
      <c r="M783" s="42" t="str">
        <f>IFERROR(__xludf.DUMMYFUNCTION("""COMPUTED_VALUE"""),"[U]")</f>
        <v>[U]</v>
      </c>
      <c r="N783" s="42" t="str">
        <f>IFERROR(__xludf.DUMMYFUNCTION("""COMPUTED_VALUE"""),"""Purple eyes and silver hair... You're the heir of the mamodo royal family... Zeno, the Thunder Emperor!""")</f>
        <v>"Purple eyes and silver hair... You're the heir of the mamodo royal family... Zeno, the Thunder Emperor!"</v>
      </c>
      <c r="O783" s="42"/>
      <c r="P783" s="42"/>
      <c r="Q783" s="42"/>
      <c r="R783" s="42"/>
      <c r="S783" s="42"/>
      <c r="T783" s="42"/>
      <c r="U783" s="42"/>
      <c r="V783" s="42"/>
      <c r="W783" s="42"/>
      <c r="X783" s="42"/>
      <c r="Y783" s="42"/>
      <c r="Z783" s="42"/>
    </row>
    <row r="784">
      <c r="A784" s="42" t="str">
        <f>IFERROR(__xludf.DUMMYFUNCTION("""COMPUTED_VALUE"""),"M-401")</f>
        <v>M-401</v>
      </c>
      <c r="B784" s="42" t="str">
        <f>IFERROR(__xludf.DUMMYFUNCTION("""COMPUTED_VALUE"""),"Mamodo")</f>
        <v>Mamodo</v>
      </c>
      <c r="C784" s="42" t="str">
        <f>IFERROR(__xludf.DUMMYFUNCTION("""COMPUTED_VALUE"""),"Zatch Bell")</f>
        <v>Zatch Bell</v>
      </c>
      <c r="D784" s="42" t="str">
        <f>IFERROR(__xludf.DUMMYFUNCTION("""COMPUTED_VALUE"""),"Zatch Bell")</f>
        <v>Zatch Bell</v>
      </c>
      <c r="E784" s="42" t="str">
        <f>IFERROR(__xludf.DUMMYFUNCTION("""COMPUTED_VALUE"""),"-")</f>
        <v>-</v>
      </c>
      <c r="F784" s="42" t="str">
        <f>IFERROR(__xludf.DUMMYFUNCTION("""COMPUTED_VALUE"""),"-")</f>
        <v>-</v>
      </c>
      <c r="G784" s="42" t="str">
        <f>IFERROR(__xludf.DUMMYFUNCTION("""COMPUTED_VALUE"""),"None")</f>
        <v>None</v>
      </c>
      <c r="H784" s="42" t="str">
        <f>IFERROR(__xludf.DUMMYFUNCTION("""COMPUTED_VALUE"""),"Pounding Fists")</f>
        <v>Pounding Fists</v>
      </c>
      <c r="I784" s="43" t="str">
        <f>IFERROR(__xludf.DUMMYFUNCTION("""COMPUTED_VALUE"""),"[DECLARE TO USE] If your opponent sent any of your PARTNER cards to the Discard Pile with their card effects during this turn, turn 2 pages of your opponent's Spell Book.")</f>
        <v>[DECLARE TO USE] If your opponent sent any of your PARTNER cards to the Discard Pile with their card effects during this turn, turn 2 pages of your opponent's Spell Book.</v>
      </c>
      <c r="J784" s="42">
        <f>IFERROR(__xludf.DUMMYFUNCTION("""COMPUTED_VALUE"""),4000.0)</f>
        <v>4000</v>
      </c>
      <c r="K784" s="42" t="str">
        <f>IFERROR(__xludf.DUMMYFUNCTION("""COMPUTED_VALUE"""),"-")</f>
        <v>-</v>
      </c>
      <c r="L784" s="42" t="str">
        <f>IFERROR(__xludf.DUMMYFUNCTION("""COMPUTED_VALUE"""),"-")</f>
        <v>-</v>
      </c>
      <c r="M784" s="42" t="str">
        <f>IFERROR(__xludf.DUMMYFUNCTION("""COMPUTED_VALUE"""),"[C]")</f>
        <v>[C]</v>
      </c>
      <c r="N784" s="42" t="str">
        <f>IFERROR(__xludf.DUMMYFUNCTION("""COMPUTED_VALUE"""),"""What am I supposed to do from now on?! What am I gonna do without you...?""")</f>
        <v>"What am I supposed to do from now on?! What am I gonna do without you...?"</v>
      </c>
      <c r="O784" s="42"/>
      <c r="P784" s="42"/>
      <c r="Q784" s="42"/>
      <c r="R784" s="42"/>
      <c r="S784" s="42"/>
      <c r="T784" s="42"/>
      <c r="U784" s="42"/>
      <c r="V784" s="42"/>
      <c r="W784" s="42"/>
      <c r="X784" s="42"/>
      <c r="Y784" s="42"/>
      <c r="Z784" s="42"/>
    </row>
    <row r="785">
      <c r="A785" s="42" t="str">
        <f>IFERROR(__xludf.DUMMYFUNCTION("""COMPUTED_VALUE"""),"M-402")</f>
        <v>M-402</v>
      </c>
      <c r="B785" s="42" t="str">
        <f>IFERROR(__xludf.DUMMYFUNCTION("""COMPUTED_VALUE"""),"Mamodo")</f>
        <v>Mamodo</v>
      </c>
      <c r="C785" s="42" t="str">
        <f>IFERROR(__xludf.DUMMYFUNCTION("""COMPUTED_VALUE"""),"Zatch Bell (Berserker)")</f>
        <v>Zatch Bell (Berserker)</v>
      </c>
      <c r="D785" s="42" t="str">
        <f>IFERROR(__xludf.DUMMYFUNCTION("""COMPUTED_VALUE"""),"Zatch Bell (Berserker)")</f>
        <v>Zatch Bell (Berserker)</v>
      </c>
      <c r="E785" s="42" t="str">
        <f>IFERROR(__xludf.DUMMYFUNCTION("""COMPUTED_VALUE"""),"-")</f>
        <v>-</v>
      </c>
      <c r="F785" s="42" t="str">
        <f>IFERROR(__xludf.DUMMYFUNCTION("""COMPUTED_VALUE"""),"-")</f>
        <v>-</v>
      </c>
      <c r="G785" s="42" t="str">
        <f>IFERROR(__xludf.DUMMYFUNCTION("""COMPUTED_VALUE"""),"Intermediate")</f>
        <v>Intermediate</v>
      </c>
      <c r="H785" s="42" t="str">
        <f>IFERROR(__xludf.DUMMYFUNCTION("""COMPUTED_VALUE"""),"Physical Phenomenon")</f>
        <v>Physical Phenomenon</v>
      </c>
      <c r="I785" s="43" t="str">
        <f>IFERROR(__xludf.DUMMYFUNCTION("""COMPUTED_VALUE"""),"This card can be placed on a Zatch Bell card only if your in-play Kiyo Takamine PARTNER was discarded by your opponent's effects during this game. No SPELLS with ""Zatch Bell"" as their MAMODO name can be played for this card. Discard this card at the END"&amp;" PHASE of your next turn (the card underneath remains in play). [DECLARE TO USE) Turn 1 page of your opponent's Spell Book.")</f>
        <v>This card can be placed on a Zatch Bell card only if your in-play Kiyo Takamine PARTNER was discarded by your opponent's effects during this game. No SPELLS with "Zatch Bell" as their MAMODO name can be played for this card. Discard this card at the END PHASE of your next turn (the card underneath remains in play). [DECLARE TO USE) Turn 1 page of your opponent's Spell Book.</v>
      </c>
      <c r="J785" s="42">
        <f>IFERROR(__xludf.DUMMYFUNCTION("""COMPUTED_VALUE"""),8000.0)</f>
        <v>8000</v>
      </c>
      <c r="K785" s="42" t="str">
        <f>IFERROR(__xludf.DUMMYFUNCTION("""COMPUTED_VALUE"""),"-")</f>
        <v>-</v>
      </c>
      <c r="L785" s="42" t="str">
        <f>IFERROR(__xludf.DUMMYFUNCTION("""COMPUTED_VALUE"""),"-")</f>
        <v>-</v>
      </c>
      <c r="M785" s="42" t="str">
        <f>IFERROR(__xludf.DUMMYFUNCTION("""COMPUTED_VALUE"""),"[SR]")</f>
        <v>[SR]</v>
      </c>
      <c r="N785" s="42" t="str">
        <f>IFERROR(__xludf.DUMMYFUNCTION("""COMPUTED_VALUE"""),"With the loss of Kiyo eating away at his heart, Zatch's book aggressively shines in a color never seen before.")</f>
        <v>With the loss of Kiyo eating away at his heart, Zatch's book aggressively shines in a color never seen before.</v>
      </c>
      <c r="O785" s="42"/>
      <c r="P785" s="42"/>
      <c r="Q785" s="42"/>
      <c r="R785" s="42"/>
      <c r="S785" s="42"/>
      <c r="T785" s="42"/>
      <c r="U785" s="42"/>
      <c r="V785" s="42"/>
      <c r="W785" s="42"/>
      <c r="X785" s="42"/>
      <c r="Y785" s="42"/>
      <c r="Z785" s="42"/>
    </row>
    <row r="786">
      <c r="A786" s="42" t="str">
        <f>IFERROR(__xludf.DUMMYFUNCTION("""COMPUTED_VALUE"""),"M-403")</f>
        <v>M-403</v>
      </c>
      <c r="B786" s="42" t="str">
        <f>IFERROR(__xludf.DUMMYFUNCTION("""COMPUTED_VALUE"""),"Mamodo")</f>
        <v>Mamodo</v>
      </c>
      <c r="C786" s="42" t="str">
        <f>IFERROR(__xludf.DUMMYFUNCTION("""COMPUTED_VALUE"""),"Wonrei")</f>
        <v>Wonrei</v>
      </c>
      <c r="D786" s="42" t="str">
        <f>IFERROR(__xludf.DUMMYFUNCTION("""COMPUTED_VALUE"""),"Wonrei")</f>
        <v>Wonrei</v>
      </c>
      <c r="E786" s="42" t="str">
        <f>IFERROR(__xludf.DUMMYFUNCTION("""COMPUTED_VALUE"""),"-")</f>
        <v>-</v>
      </c>
      <c r="F786" s="42" t="str">
        <f>IFERROR(__xludf.DUMMYFUNCTION("""COMPUTED_VALUE"""),"-")</f>
        <v>-</v>
      </c>
      <c r="G786" s="42" t="str">
        <f>IFERROR(__xludf.DUMMYFUNCTION("""COMPUTED_VALUE"""),"None")</f>
        <v>None</v>
      </c>
      <c r="H786" s="42" t="str">
        <f>IFERROR(__xludf.DUMMYFUNCTION("""COMPUTED_VALUE"""),"Prepared to Protect")</f>
        <v>Prepared to Protect</v>
      </c>
      <c r="I786" s="43" t="str">
        <f>IFERROR(__xludf.DUMMYFUNCTION("""COMPUTED_VALUE"""),"[IN PLAY] When a Li-en PARTNER card is not attached to this MAMODO card, apply both of the following effects: ● Your opponent cannot turn pages of your Spell Book with their card effects (except from Damage). ● Your opponent cannot send cards from your Sp"&amp;"ell Book to the Discard Pile with their card effects.")</f>
        <v>[IN PLAY] When a Li-en PARTNER card is not attached to this MAMODO card, apply both of the following effects: ● Your opponent cannot turn pages of your Spell Book with their card effects (except from Damage). ● Your opponent cannot send cards from your Spell Book to the Discard Pile with their card effects.</v>
      </c>
      <c r="J786" s="42">
        <f>IFERROR(__xludf.DUMMYFUNCTION("""COMPUTED_VALUE"""),5000.0)</f>
        <v>5000</v>
      </c>
      <c r="K786" s="42" t="str">
        <f>IFERROR(__xludf.DUMMYFUNCTION("""COMPUTED_VALUE"""),"-")</f>
        <v>-</v>
      </c>
      <c r="L786" s="42" t="str">
        <f>IFERROR(__xludf.DUMMYFUNCTION("""COMPUTED_VALUE"""),"-")</f>
        <v>-</v>
      </c>
      <c r="M786" s="42" t="str">
        <f>IFERROR(__xludf.DUMMYFUNCTION("""COMPUTED_VALUE"""),"[C]")</f>
        <v>[C]</v>
      </c>
      <c r="N786" s="42" t="str">
        <f>IFERROR(__xludf.DUMMYFUNCTION("""COMPUTED_VALUE"""),"""I won't allow you to hurt any of the people behind me.""")</f>
        <v>"I won't allow you to hurt any of the people behind me."</v>
      </c>
      <c r="O786" s="42"/>
      <c r="P786" s="42"/>
      <c r="Q786" s="42"/>
      <c r="R786" s="42"/>
      <c r="S786" s="42"/>
      <c r="T786" s="42"/>
      <c r="U786" s="42"/>
      <c r="V786" s="42"/>
      <c r="W786" s="42"/>
      <c r="X786" s="42"/>
      <c r="Y786" s="42"/>
      <c r="Z786" s="42"/>
    </row>
    <row r="787">
      <c r="A787" s="42" t="str">
        <f>IFERROR(__xludf.DUMMYFUNCTION("""COMPUTED_VALUE"""),"M-404")</f>
        <v>M-404</v>
      </c>
      <c r="B787" s="42" t="str">
        <f>IFERROR(__xludf.DUMMYFUNCTION("""COMPUTED_VALUE"""),"Mamodo")</f>
        <v>Mamodo</v>
      </c>
      <c r="C787" s="42" t="str">
        <f>IFERROR(__xludf.DUMMYFUNCTION("""COMPUTED_VALUE"""),"Riou")</f>
        <v>Riou</v>
      </c>
      <c r="D787" s="42" t="str">
        <f>IFERROR(__xludf.DUMMYFUNCTION("""COMPUTED_VALUE"""),"Riou")</f>
        <v>Riou</v>
      </c>
      <c r="E787" s="42" t="str">
        <f>IFERROR(__xludf.DUMMYFUNCTION("""COMPUTED_VALUE"""),"-")</f>
        <v>-</v>
      </c>
      <c r="F787" s="42" t="str">
        <f>IFERROR(__xludf.DUMMYFUNCTION("""COMPUTED_VALUE"""),"-")</f>
        <v>-</v>
      </c>
      <c r="G787" s="42" t="str">
        <f>IFERROR(__xludf.DUMMYFUNCTION("""COMPUTED_VALUE"""),"None")</f>
        <v>None</v>
      </c>
      <c r="H787" s="42" t="str">
        <f>IFERROR(__xludf.DUMMYFUNCTION("""COMPUTED_VALUE"""),"Obsession With Kingship")</f>
        <v>Obsession With Kingship</v>
      </c>
      <c r="I787" s="43" t="str">
        <f>IFERROR(__xludf.DUMMYFUNCTION("""COMPUTED_VALUE"""),"[DECLARE TO USE] If your opponent inflicted Damage to your Spell Book or any of your MAMODO cards during the previous turn, get 4 MP.")</f>
        <v>[DECLARE TO USE] If your opponent inflicted Damage to your Spell Book or any of your MAMODO cards during the previous turn, get 4 MP.</v>
      </c>
      <c r="J787" s="42">
        <f>IFERROR(__xludf.DUMMYFUNCTION("""COMPUTED_VALUE"""),6000.0)</f>
        <v>6000</v>
      </c>
      <c r="K787" s="42" t="str">
        <f>IFERROR(__xludf.DUMMYFUNCTION("""COMPUTED_VALUE"""),"-")</f>
        <v>-</v>
      </c>
      <c r="L787" s="42" t="str">
        <f>IFERROR(__xludf.DUMMYFUNCTION("""COMPUTED_VALUE"""),"-")</f>
        <v>-</v>
      </c>
      <c r="M787" s="42" t="str">
        <f>IFERROR(__xludf.DUMMYFUNCTION("""COMPUTED_VALUE"""),"[SR]")</f>
        <v>[SR]</v>
      </c>
      <c r="N787" s="42" t="str">
        <f>IFERROR(__xludf.DUMMYFUNCTION("""COMPUTED_VALUE"""),"""I'm going to become king... no matter what... I'll do whatever it takes...""")</f>
        <v>"I'm going to become king... no matter what... I'll do whatever it takes..."</v>
      </c>
      <c r="O787" s="42"/>
      <c r="P787" s="42"/>
      <c r="Q787" s="42"/>
      <c r="R787" s="42"/>
      <c r="S787" s="42"/>
      <c r="T787" s="42"/>
      <c r="U787" s="42"/>
      <c r="V787" s="42"/>
      <c r="W787" s="42"/>
      <c r="X787" s="42"/>
      <c r="Y787" s="42"/>
      <c r="Z787" s="42"/>
    </row>
    <row r="788">
      <c r="A788" s="42" t="str">
        <f>IFERROR(__xludf.DUMMYFUNCTION("""COMPUTED_VALUE"""),"M-405")</f>
        <v>M-405</v>
      </c>
      <c r="B788" s="42" t="str">
        <f>IFERROR(__xludf.DUMMYFUNCTION("""COMPUTED_VALUE"""),"Mamodo")</f>
        <v>Mamodo</v>
      </c>
      <c r="C788" s="42" t="str">
        <f>IFERROR(__xludf.DUMMYFUNCTION("""COMPUTED_VALUE"""),"Riou (Berserker)")</f>
        <v>Riou (Berserker)</v>
      </c>
      <c r="D788" s="42" t="str">
        <f>IFERROR(__xludf.DUMMYFUNCTION("""COMPUTED_VALUE"""),"Riou (Berserker)")</f>
        <v>Riou (Berserker)</v>
      </c>
      <c r="E788" s="42" t="str">
        <f>IFERROR(__xludf.DUMMYFUNCTION("""COMPUTED_VALUE"""),"-")</f>
        <v>-</v>
      </c>
      <c r="F788" s="42" t="str">
        <f>IFERROR(__xludf.DUMMYFUNCTION("""COMPUTED_VALUE"""),"-")</f>
        <v>-</v>
      </c>
      <c r="G788" s="42" t="str">
        <f>IFERROR(__xludf.DUMMYFUNCTION("""COMPUTED_VALUE"""),"Intermediate")</f>
        <v>Intermediate</v>
      </c>
      <c r="H788" s="42" t="str">
        <f>IFERROR(__xludf.DUMMYFUNCTION("""COMPUTED_VALUE"""),"Rampaging Warrior")</f>
        <v>Rampaging Warrior</v>
      </c>
      <c r="I788" s="43" t="str">
        <f>IFERROR(__xludf.DUMMYFUNCTION("""COMPUTED_VALUE"""),"This card is placed on a Riou MAMODO card when a Girfadom Barsuruk SPELL card is played for the Riou MAMODO card. (Attack) [3 MP] This card may Attack without using a SPELL card (Total Power=10000, Damage=3).")</f>
        <v>This card is placed on a Riou MAMODO card when a Girfadom Barsuruk SPELL card is played for the Riou MAMODO card. (Attack) [3 MP] This card may Attack without using a SPELL card (Total Power=10000, Damage=3).</v>
      </c>
      <c r="J788" s="42">
        <f>IFERROR(__xludf.DUMMYFUNCTION("""COMPUTED_VALUE"""),8000.0)</f>
        <v>8000</v>
      </c>
      <c r="K788" s="42" t="str">
        <f>IFERROR(__xludf.DUMMYFUNCTION("""COMPUTED_VALUE"""),"-")</f>
        <v>-</v>
      </c>
      <c r="L788" s="42" t="str">
        <f>IFERROR(__xludf.DUMMYFUNCTION("""COMPUTED_VALUE"""),"-")</f>
        <v>-</v>
      </c>
      <c r="M788" s="42" t="str">
        <f>IFERROR(__xludf.DUMMYFUNCTION("""COMPUTED_VALUE"""),"[C]")</f>
        <v>[C]</v>
      </c>
      <c r="N788" s="42" t="str">
        <f>IFERROR(__xludf.DUMMYFUNCTION("""COMPUTED_VALUE"""),"Riou's forbidden spell has transformed him into a raging behemoth. His power has increased tenfold, and yet...")</f>
        <v>Riou's forbidden spell has transformed him into a raging behemoth. His power has increased tenfold, and yet...</v>
      </c>
      <c r="O788" s="42"/>
      <c r="P788" s="42"/>
      <c r="Q788" s="42"/>
      <c r="R788" s="42"/>
      <c r="S788" s="42"/>
      <c r="T788" s="42"/>
      <c r="U788" s="42"/>
      <c r="V788" s="42"/>
      <c r="W788" s="42"/>
      <c r="X788" s="42"/>
      <c r="Y788" s="42"/>
      <c r="Z788" s="42"/>
    </row>
    <row r="789">
      <c r="A789" s="42" t="str">
        <f>IFERROR(__xludf.DUMMYFUNCTION("""COMPUTED_VALUE"""),"M-406ab")</f>
        <v>M-406ab</v>
      </c>
      <c r="B789" s="42" t="str">
        <f>IFERROR(__xludf.DUMMYFUNCTION("""COMPUTED_VALUE"""),"Mamodo")</f>
        <v>Mamodo</v>
      </c>
      <c r="C789" s="42" t="str">
        <f>IFERROR(__xludf.DUMMYFUNCTION("""COMPUTED_VALUE"""),"Faudo")</f>
        <v>Faudo</v>
      </c>
      <c r="D789" s="42" t="str">
        <f>IFERROR(__xludf.DUMMYFUNCTION("""COMPUTED_VALUE"""),"-")</f>
        <v>-</v>
      </c>
      <c r="E789" s="42" t="str">
        <f>IFERROR(__xludf.DUMMYFUNCTION("""COMPUTED_VALUE"""),"-")</f>
        <v>-</v>
      </c>
      <c r="F789" s="42" t="str">
        <f>IFERROR(__xludf.DUMMYFUNCTION("""COMPUTED_VALUE"""),"-")</f>
        <v>-</v>
      </c>
      <c r="G789" s="42" t="str">
        <f>IFERROR(__xludf.DUMMYFUNCTION("""COMPUTED_VALUE"""),"None")</f>
        <v>None</v>
      </c>
      <c r="H789" s="42" t="str">
        <f>IFERROR(__xludf.DUMMYFUNCTION("""COMPUTED_VALUE"""),"Faudo's Might")</f>
        <v>Faudo's Might</v>
      </c>
      <c r="I789" s="43" t="str">
        <f>IFERROR(__xludf.DUMMYFUNCTION("""COMPUTED_VALUE"""),"This MAMODO card (both M-406a and M-406b) is put in play when you have played 3 or more [SEAL BREAKER] SPELL cards during this game and have a Riou MAMODO card in play (both M-406a and M-406b are considered to be 1 card while in play). [IN PLAY] This MAMO"&amp;"DO card does not receive Damage or Injury and cannot be sent to the Discard Pile by your opponent's card effects. [6 MP] Send up to 2 of your opponent's in-play MAMODO cards to the Discard Pile.")</f>
        <v>This MAMODO card (both M-406a and M-406b) is put in play when you have played 3 or more [SEAL BREAKER] SPELL cards during this game and have a Riou MAMODO card in play (both M-406a and M-406b are considered to be 1 card while in play). [IN PLAY] This MAMODO card does not receive Damage or Injury and cannot be sent to the Discard Pile by your opponent's card effects. [6 MP] Send up to 2 of your opponent's in-play MAMODO cards to the Discard Pile.</v>
      </c>
      <c r="J789" s="42">
        <f>IFERROR(__xludf.DUMMYFUNCTION("""COMPUTED_VALUE"""),99999.0)</f>
        <v>99999</v>
      </c>
      <c r="K789" s="42" t="str">
        <f>IFERROR(__xludf.DUMMYFUNCTION("""COMPUTED_VALUE"""),"-")</f>
        <v>-</v>
      </c>
      <c r="L789" s="42" t="str">
        <f>IFERROR(__xludf.DUMMYFUNCTION("""COMPUTED_VALUE"""),"-")</f>
        <v>-</v>
      </c>
      <c r="M789" s="42" t="str">
        <f>IFERROR(__xludf.DUMMYFUNCTION("""COMPUTED_VALUE"""),"[SR]")</f>
        <v>[SR]</v>
      </c>
      <c r="N789" s="42" t="str">
        <f>IFERROR(__xludf.DUMMYFUNCTION("""COMPUTED_VALUE"""),"""Do not underestimate the power of Faudo!!! FAUDO, FIRE!!!""")</f>
        <v>"Do not underestimate the power of Faudo!!! FAUDO, FIRE!!!"</v>
      </c>
      <c r="O789" s="42"/>
      <c r="P789" s="42"/>
      <c r="Q789" s="42"/>
      <c r="R789" s="42"/>
      <c r="S789" s="42"/>
      <c r="T789" s="42"/>
      <c r="U789" s="42"/>
      <c r="V789" s="42"/>
      <c r="W789" s="42"/>
      <c r="X789" s="42"/>
      <c r="Y789" s="42"/>
      <c r="Z789" s="42"/>
    </row>
    <row r="790">
      <c r="A790" s="42" t="str">
        <f>IFERROR(__xludf.DUMMYFUNCTION("""COMPUTED_VALUE"""),"M-407")</f>
        <v>M-407</v>
      </c>
      <c r="B790" s="42" t="str">
        <f>IFERROR(__xludf.DUMMYFUNCTION("""COMPUTED_VALUE"""),"Mamodo")</f>
        <v>Mamodo</v>
      </c>
      <c r="C790" s="42" t="str">
        <f>IFERROR(__xludf.DUMMYFUNCTION("""COMPUTED_VALUE"""),"Zeno")</f>
        <v>Zeno</v>
      </c>
      <c r="D790" s="42" t="str">
        <f>IFERROR(__xludf.DUMMYFUNCTION("""COMPUTED_VALUE"""),"Zeno")</f>
        <v>Zeno</v>
      </c>
      <c r="E790" s="42" t="str">
        <f>IFERROR(__xludf.DUMMYFUNCTION("""COMPUTED_VALUE"""),"-")</f>
        <v>-</v>
      </c>
      <c r="F790" s="42" t="str">
        <f>IFERROR(__xludf.DUMMYFUNCTION("""COMPUTED_VALUE"""),"-")</f>
        <v>-</v>
      </c>
      <c r="G790" s="42" t="str">
        <f>IFERROR(__xludf.DUMMYFUNCTION("""COMPUTED_VALUE"""),"Intermediate")</f>
        <v>Intermediate</v>
      </c>
      <c r="H790" s="42" t="str">
        <f>IFERROR(__xludf.DUMMYFUNCTION("""COMPUTED_VALUE"""),"Absolute Ruler")</f>
        <v>Absolute Ruler</v>
      </c>
      <c r="I790" s="43" t="str">
        <f>IFERROR(__xludf.DUMMYFUNCTION("""COMPUTED_VALUE"""),"(Cut-In) [DECLARE TO USE] Negate the Action your opponent just made that put a MAMODO card in play. Your opponent cannot put that card in play without the use of a card effect during this turn. This effect can be applied only once per game (per player).")</f>
        <v>(Cut-In) [DECLARE TO USE] Negate the Action your opponent just made that put a MAMODO card in play. Your opponent cannot put that card in play without the use of a card effect during this turn. This effect can be applied only once per game (per player).</v>
      </c>
      <c r="J790" s="42">
        <f>IFERROR(__xludf.DUMMYFUNCTION("""COMPUTED_VALUE"""),6000.0)</f>
        <v>6000</v>
      </c>
      <c r="K790" s="42" t="str">
        <f>IFERROR(__xludf.DUMMYFUNCTION("""COMPUTED_VALUE"""),"-")</f>
        <v>-</v>
      </c>
      <c r="L790" s="42" t="str">
        <f>IFERROR(__xludf.DUMMYFUNCTION("""COMPUTED_VALUE"""),"-")</f>
        <v>-</v>
      </c>
      <c r="M790" s="42" t="str">
        <f>IFERROR(__xludf.DUMMYFUNCTION("""COMPUTED_VALUE"""),"[SR]")</f>
        <v>[SR]</v>
      </c>
      <c r="N790" s="42" t="str">
        <f>IFERROR(__xludf.DUMMYFUNCTION("""COMPUTED_VALUE"""),"After defeating Riou in battle, Zeno procures the power to control Faudo.")</f>
        <v>After defeating Riou in battle, Zeno procures the power to control Faudo.</v>
      </c>
      <c r="O790" s="42"/>
      <c r="P790" s="42"/>
      <c r="Q790" s="42"/>
      <c r="R790" s="42"/>
      <c r="S790" s="42"/>
      <c r="T790" s="42"/>
      <c r="U790" s="42"/>
      <c r="V790" s="42"/>
      <c r="W790" s="42"/>
      <c r="X790" s="42"/>
      <c r="Y790" s="42"/>
      <c r="Z790" s="42"/>
    </row>
    <row r="791">
      <c r="A791" s="42" t="str">
        <f>IFERROR(__xludf.DUMMYFUNCTION("""COMPUTED_VALUE"""),"M-408")</f>
        <v>M-408</v>
      </c>
      <c r="B791" s="42" t="str">
        <f>IFERROR(__xludf.DUMMYFUNCTION("""COMPUTED_VALUE"""),"Hide Mamodo")</f>
        <v>Hide Mamodo</v>
      </c>
      <c r="C791" s="42" t="str">
        <f>IFERROR(__xludf.DUMMYFUNCTION("""COMPUTED_VALUE"""),"Thunder Emperor Zeno")</f>
        <v>Thunder Emperor Zeno</v>
      </c>
      <c r="D791" s="42" t="str">
        <f>IFERROR(__xludf.DUMMYFUNCTION("""COMPUTED_VALUE"""),"Thunder Emperor Zeno")</f>
        <v>Thunder Emperor Zeno</v>
      </c>
      <c r="E791" s="42" t="str">
        <f>IFERROR(__xludf.DUMMYFUNCTION("""COMPUTED_VALUE"""),"-")</f>
        <v>-</v>
      </c>
      <c r="F791" s="42" t="str">
        <f>IFERROR(__xludf.DUMMYFUNCTION("""COMPUTED_VALUE"""),"-")</f>
        <v>-</v>
      </c>
      <c r="G791" s="42" t="str">
        <f>IFERROR(__xludf.DUMMYFUNCTION("""COMPUTED_VALUE"""),"Intermediate")</f>
        <v>Intermediate</v>
      </c>
      <c r="H791" s="42" t="str">
        <f>IFERROR(__xludf.DUMMYFUNCTION("""COMPUTED_VALUE"""),"We Finally Meet...")</f>
        <v>We Finally Meet...</v>
      </c>
      <c r="I791" s="43" t="str">
        <f>IFERROR(__xludf.DUMMYFUNCTION("""COMPUTED_VALUE"""),"[HIDE MAMODO] This card is put in play away face-down, away from your MAMODO card area. With 1 Action, you can flip this card face-up and put it in play. This card is considered to be the same as the Zeno MAMODO card. [IN PLAY] Turn 1 page of your opponen"&amp;"t's Spell Book immediately when this MAMODO card is flipped face-up. You may pay 4 MP to turn 2 pages of your opponent's Spell Book instead.")</f>
        <v>[HIDE MAMODO] This card is put in play away face-down, away from your MAMODO card area. With 1 Action, you can flip this card face-up and put it in play. This card is considered to be the same as the Zeno MAMODO card. [IN PLAY] Turn 1 page of your opponent's Spell Book immediately when this MAMODO card is flipped face-up. You may pay 4 MP to turn 2 pages of your opponent's Spell Book instead.</v>
      </c>
      <c r="J791" s="42">
        <f>IFERROR(__xludf.DUMMYFUNCTION("""COMPUTED_VALUE"""),8000.0)</f>
        <v>8000</v>
      </c>
      <c r="K791" s="42" t="str">
        <f>IFERROR(__xludf.DUMMYFUNCTION("""COMPUTED_VALUE"""),"-")</f>
        <v>-</v>
      </c>
      <c r="L791" s="42" t="str">
        <f>IFERROR(__xludf.DUMMYFUNCTION("""COMPUTED_VALUE"""),"-")</f>
        <v>-</v>
      </c>
      <c r="M791" s="42" t="str">
        <f>IFERROR(__xludf.DUMMYFUNCTION("""COMPUTED_VALUE"""),"[SR]")</f>
        <v>[SR]</v>
      </c>
      <c r="N791" s="42" t="str">
        <f>IFERROR(__xludf.DUMMYFUNCTION("""COMPUTED_VALUE"""),"""Do you recognize me, Riou? Perhaps my eyes and hair will jog your memory.""")</f>
        <v>"Do you recognize me, Riou? Perhaps my eyes and hair will jog your memory."</v>
      </c>
      <c r="O791" s="42"/>
      <c r="P791" s="42"/>
      <c r="Q791" s="42"/>
      <c r="R791" s="42"/>
      <c r="S791" s="42"/>
      <c r="T791" s="42"/>
      <c r="U791" s="42"/>
      <c r="V791" s="42"/>
      <c r="W791" s="42"/>
      <c r="X791" s="42"/>
      <c r="Y791" s="42"/>
      <c r="Z791" s="42"/>
    </row>
    <row r="792">
      <c r="A792" s="42" t="str">
        <f>IFERROR(__xludf.DUMMYFUNCTION("""COMPUTED_VALUE"""),"M-409")</f>
        <v>M-409</v>
      </c>
      <c r="B792" s="42" t="str">
        <f>IFERROR(__xludf.DUMMYFUNCTION("""COMPUTED_VALUE"""),"VS Mamodo")</f>
        <v>VS Mamodo</v>
      </c>
      <c r="C792" s="42" t="str">
        <f>IFERROR(__xludf.DUMMYFUNCTION("""COMPUTED_VALUE"""),"Arth VS Karudio")</f>
        <v>Arth VS Karudio</v>
      </c>
      <c r="D792" s="42" t="str">
        <f>IFERROR(__xludf.DUMMYFUNCTION("""COMPUTED_VALUE"""),"Arth VS Karudio")</f>
        <v>Arth VS Karudio</v>
      </c>
      <c r="E792" s="42" t="str">
        <f>IFERROR(__xludf.DUMMYFUNCTION("""COMPUTED_VALUE"""),"-")</f>
        <v>-</v>
      </c>
      <c r="F792" s="42" t="str">
        <f>IFERROR(__xludf.DUMMYFUNCTION("""COMPUTED_VALUE"""),"-")</f>
        <v>-</v>
      </c>
      <c r="G792" s="42" t="str">
        <f>IFERROR(__xludf.DUMMYFUNCTION("""COMPUTED_VALUE"""),"Intermediate")</f>
        <v>Intermediate</v>
      </c>
      <c r="H792" s="42" t="str">
        <f>IFERROR(__xludf.DUMMYFUNCTION("""COMPUTED_VALUE"""),"Why No Spells?!")</f>
        <v>Why No Spells?!</v>
      </c>
      <c r="I792" s="43" t="str">
        <f>IFERROR(__xludf.DUMMYFUNCTION("""COMPUTED_VALUE"""),"Send either player's in-play Arth or Karudio MAMODO card to the Discard Pile to put this MAMODO card in play. [DECLARE TO USE] If you are on or past the 22nd page of your Spell Book and your opponent has not played any SPELL cards during this game, turn 1"&amp;" page of your opponent's Spell Book during your BATTLE PHASE.")</f>
        <v>Send either player's in-play Arth or Karudio MAMODO card to the Discard Pile to put this MAMODO card in play. [DECLARE TO USE] If you are on or past the 22nd page of your Spell Book and your opponent has not played any SPELL cards during this game, turn 1 page of your opponent's Spell Book during your BATTLE PHASE.</v>
      </c>
      <c r="J792" s="42">
        <f>IFERROR(__xludf.DUMMYFUNCTION("""COMPUTED_VALUE"""),5000.0)</f>
        <v>5000</v>
      </c>
      <c r="K792" s="42" t="str">
        <f>IFERROR(__xludf.DUMMYFUNCTION("""COMPUTED_VALUE"""),"-")</f>
        <v>-</v>
      </c>
      <c r="L792" s="42" t="str">
        <f>IFERROR(__xludf.DUMMYFUNCTION("""COMPUTED_VALUE"""),"-")</f>
        <v>-</v>
      </c>
      <c r="M792" s="42" t="str">
        <f>IFERROR(__xludf.DUMMYFUNCTION("""COMPUTED_VALUE"""),"[C]")</f>
        <v>[C]</v>
      </c>
      <c r="N792" s="42" t="str">
        <f>IFERROR(__xludf.DUMMYFUNCTION("""COMPUTED_VALUE"""),"""Why don't you use any spells? Do you wanna lose that bad?""")</f>
        <v>"Why don't you use any spells? Do you wanna lose that bad?"</v>
      </c>
      <c r="O792" s="42"/>
      <c r="P792" s="42"/>
      <c r="Q792" s="42"/>
      <c r="R792" s="42"/>
      <c r="S792" s="42"/>
      <c r="T792" s="42"/>
      <c r="U792" s="42"/>
      <c r="V792" s="42"/>
      <c r="W792" s="42"/>
      <c r="X792" s="42"/>
      <c r="Y792" s="42"/>
      <c r="Z792" s="42"/>
    </row>
    <row r="793">
      <c r="A793" s="42" t="str">
        <f>IFERROR(__xludf.DUMMYFUNCTION("""COMPUTED_VALUE"""),"M-410")</f>
        <v>M-410</v>
      </c>
      <c r="B793" s="42" t="str">
        <f>IFERROR(__xludf.DUMMYFUNCTION("""COMPUTED_VALUE"""),"VS Mamodo")</f>
        <v>VS Mamodo</v>
      </c>
      <c r="C793" s="42" t="str">
        <f>IFERROR(__xludf.DUMMYFUNCTION("""COMPUTED_VALUE"""),"Rops VS Zeno")</f>
        <v>Rops VS Zeno</v>
      </c>
      <c r="D793" s="42" t="str">
        <f>IFERROR(__xludf.DUMMYFUNCTION("""COMPUTED_VALUE"""),"Rops VS Zeno")</f>
        <v>Rops VS Zeno</v>
      </c>
      <c r="E793" s="42" t="str">
        <f>IFERROR(__xludf.DUMMYFUNCTION("""COMPUTED_VALUE"""),"-")</f>
        <v>-</v>
      </c>
      <c r="F793" s="42" t="str">
        <f>IFERROR(__xludf.DUMMYFUNCTION("""COMPUTED_VALUE"""),"-")</f>
        <v>-</v>
      </c>
      <c r="G793" s="42" t="str">
        <f>IFERROR(__xludf.DUMMYFUNCTION("""COMPUTED_VALUE"""),"Intermediate")</f>
        <v>Intermediate</v>
      </c>
      <c r="H793" s="42" t="str">
        <f>IFERROR(__xludf.DUMMYFUNCTION("""COMPUTED_VALUE"""),"A Difference in Power")</f>
        <v>A Difference in Power</v>
      </c>
      <c r="I793" s="43" t="str">
        <f>IFERROR(__xludf.DUMMYFUNCTION("""COMPUTED_VALUE"""),"Send either player's in-play Rops or Zeno MAMODO card to the Discard Pile to put this MAMODO card in play. [LAST VS] When this card is put in play, neither player can put a Rops MAMODO card in play during this game. [IN PLAY] Your opponent can apply effec"&amp;"ts or play SPELL cards that negate Attacks or Defenses only once per turn (per player).")</f>
        <v>Send either player's in-play Rops or Zeno MAMODO card to the Discard Pile to put this MAMODO card in play. [LAST VS] When this card is put in play, neither player can put a Rops MAMODO card in play during this game. [IN PLAY] Your opponent can apply effects or play SPELL cards that negate Attacks or Defenses only once per turn (per player).</v>
      </c>
      <c r="J793" s="42">
        <f>IFERROR(__xludf.DUMMYFUNCTION("""COMPUTED_VALUE"""),5000.0)</f>
        <v>5000</v>
      </c>
      <c r="K793" s="42" t="str">
        <f>IFERROR(__xludf.DUMMYFUNCTION("""COMPUTED_VALUE"""),"-")</f>
        <v>-</v>
      </c>
      <c r="L793" s="42" t="str">
        <f>IFERROR(__xludf.DUMMYFUNCTION("""COMPUTED_VALUE"""),"-")</f>
        <v>-</v>
      </c>
      <c r="M793" s="42" t="str">
        <f>IFERROR(__xludf.DUMMYFUNCTION("""COMPUTED_VALUE"""),"[C]")</f>
        <v>[C]</v>
      </c>
      <c r="N793" s="42" t="str">
        <f>IFERROR(__xludf.DUMMYFUNCTION("""COMPUTED_VALUE"""),"""I can't dodge his attacks! He's so much stronger than I am!""")</f>
        <v>"I can't dodge his attacks! He's so much stronger than I am!"</v>
      </c>
      <c r="O793" s="42"/>
      <c r="P793" s="42"/>
      <c r="Q793" s="42"/>
      <c r="R793" s="42"/>
      <c r="S793" s="42"/>
      <c r="T793" s="42"/>
      <c r="U793" s="42"/>
      <c r="V793" s="42"/>
      <c r="W793" s="42"/>
      <c r="X793" s="42"/>
      <c r="Y793" s="42"/>
      <c r="Z793" s="42"/>
    </row>
    <row r="794">
      <c r="A794" s="42" t="str">
        <f>IFERROR(__xludf.DUMMYFUNCTION("""COMPUTED_VALUE"""),"M-411")</f>
        <v>M-411</v>
      </c>
      <c r="B794" s="42" t="str">
        <f>IFERROR(__xludf.DUMMYFUNCTION("""COMPUTED_VALUE"""),"VS Mamodo")</f>
        <v>VS Mamodo</v>
      </c>
      <c r="C794" s="42" t="str">
        <f>IFERROR(__xludf.DUMMYFUNCTION("""COMPUTED_VALUE"""),"Zatch Bell VS Victoream")</f>
        <v>Zatch Bell VS Victoream</v>
      </c>
      <c r="D794" s="42" t="str">
        <f>IFERROR(__xludf.DUMMYFUNCTION("""COMPUTED_VALUE"""),"Zatch Bell VS Victoream")</f>
        <v>Zatch Bell VS Victoream</v>
      </c>
      <c r="E794" s="42" t="str">
        <f>IFERROR(__xludf.DUMMYFUNCTION("""COMPUTED_VALUE"""),"-")</f>
        <v>-</v>
      </c>
      <c r="F794" s="42" t="str">
        <f>IFERROR(__xludf.DUMMYFUNCTION("""COMPUTED_VALUE"""),"-")</f>
        <v>-</v>
      </c>
      <c r="G794" s="42" t="str">
        <f>IFERROR(__xludf.DUMMYFUNCTION("""COMPUTED_VALUE"""),"Intermediate")</f>
        <v>Intermediate</v>
      </c>
      <c r="H794" s="42" t="str">
        <f>IFERROR(__xludf.DUMMYFUNCTION("""COMPUTED_VALUE"""),"Mad For Melons")</f>
        <v>Mad For Melons</v>
      </c>
      <c r="I794" s="43" t="str">
        <f>IFERROR(__xludf.DUMMYFUNCTION("""COMPUTED_VALUE"""),"Send either player's in-play Zatch Bell or Victoream MAMODO card to the Discard Pile to put this card in play. [LAST VS] When this card is put in play, neither player can put a Victoream MAMODO card in play during this game. [1 MP] Place 1 MP counter on 1"&amp;" of your in-play MAMODO cards.")</f>
        <v>Send either player's in-play Zatch Bell or Victoream MAMODO card to the Discard Pile to put this card in play. [LAST VS] When this card is put in play, neither player can put a Victoream MAMODO card in play during this game. [1 MP] Place 1 MP counter on 1 of your in-play MAMODO cards.</v>
      </c>
      <c r="J794" s="42">
        <f>IFERROR(__xludf.DUMMYFUNCTION("""COMPUTED_VALUE"""),4000.0)</f>
        <v>4000</v>
      </c>
      <c r="K794" s="42" t="str">
        <f>IFERROR(__xludf.DUMMYFUNCTION("""COMPUTED_VALUE"""),"-")</f>
        <v>-</v>
      </c>
      <c r="L794" s="42" t="str">
        <f>IFERROR(__xludf.DUMMYFUNCTION("""COMPUTED_VALUE"""),"-")</f>
        <v>-</v>
      </c>
      <c r="M794" s="42" t="str">
        <f>IFERROR(__xludf.DUMMYFUNCTION("""COMPUTED_VALUE"""),"[C]")</f>
        <v>[C]</v>
      </c>
      <c r="N794" s="42" t="str">
        <f>IFERROR(__xludf.DUMMYFUNCTION("""COMPUTED_VALUE"""),"""Don't just stand there, get me a melon!""")</f>
        <v>"Don't just stand there, get me a melon!"</v>
      </c>
      <c r="O794" s="42"/>
      <c r="P794" s="42"/>
      <c r="Q794" s="42"/>
      <c r="R794" s="42"/>
      <c r="S794" s="42"/>
      <c r="T794" s="42"/>
      <c r="U794" s="42"/>
      <c r="V794" s="42"/>
      <c r="W794" s="42"/>
      <c r="X794" s="42"/>
      <c r="Y794" s="42"/>
      <c r="Z794" s="42"/>
    </row>
    <row r="795">
      <c r="A795" s="42" t="str">
        <f>IFERROR(__xludf.DUMMYFUNCTION("""COMPUTED_VALUE"""),"M-412")</f>
        <v>M-412</v>
      </c>
      <c r="B795" s="42" t="str">
        <f>IFERROR(__xludf.DUMMYFUNCTION("""COMPUTED_VALUE"""),"VS Mamodo")</f>
        <v>VS Mamodo</v>
      </c>
      <c r="C795" s="42" t="str">
        <f>IFERROR(__xludf.DUMMYFUNCTION("""COMPUTED_VALUE"""),"Kido VS Belgim E.O.")</f>
        <v>Kido VS Belgim E.O.</v>
      </c>
      <c r="D795" s="42" t="str">
        <f>IFERROR(__xludf.DUMMYFUNCTION("""COMPUTED_VALUE"""),"Kido VS Belgim E.O.")</f>
        <v>Kido VS Belgim E.O.</v>
      </c>
      <c r="E795" s="42" t="str">
        <f>IFERROR(__xludf.DUMMYFUNCTION("""COMPUTED_VALUE"""),"-")</f>
        <v>-</v>
      </c>
      <c r="F795" s="42" t="str">
        <f>IFERROR(__xludf.DUMMYFUNCTION("""COMPUTED_VALUE"""),"-")</f>
        <v>-</v>
      </c>
      <c r="G795" s="42" t="str">
        <f>IFERROR(__xludf.DUMMYFUNCTION("""COMPUTED_VALUE"""),"Intermediate")</f>
        <v>Intermediate</v>
      </c>
      <c r="H795" s="42" t="str">
        <f>IFERROR(__xludf.DUMMYFUNCTION("""COMPUTED_VALUE"""),"Kido's Voice")</f>
        <v>Kido's Voice</v>
      </c>
      <c r="I795" s="43" t="str">
        <f>IFERROR(__xludf.DUMMYFUNCTION("""COMPUTED_VALUE"""),"Send either player's in-play Kido or Belgim E.O. MAMODO card to the Discard Pile to put this MAMODO card in play. [LAST VS] When this MAMODO card is put in play, no player can put a Kido and/or a Belgim E.O. MAMODO card into play during this game. [1 MP] "&amp;"[STAY] Your opponent cannot play EVENT cards with a 1 MP cost or less until the END PHASE of the next turn.")</f>
        <v>Send either player's in-play Kido or Belgim E.O. MAMODO card to the Discard Pile to put this MAMODO card in play. [LAST VS] When this MAMODO card is put in play, no player can put a Kido and/or a Belgim E.O. MAMODO card into play during this game. [1 MP] [STAY] Your opponent cannot play EVENT cards with a 1 MP cost or less until the END PHASE of the next turn.</v>
      </c>
      <c r="J795" s="42">
        <f>IFERROR(__xludf.DUMMYFUNCTION("""COMPUTED_VALUE"""),6000.0)</f>
        <v>6000</v>
      </c>
      <c r="K795" s="42" t="str">
        <f>IFERROR(__xludf.DUMMYFUNCTION("""COMPUTED_VALUE"""),"-")</f>
        <v>-</v>
      </c>
      <c r="L795" s="42" t="str">
        <f>IFERROR(__xludf.DUMMYFUNCTION("""COMPUTED_VALUE"""),"-")</f>
        <v>-</v>
      </c>
      <c r="M795" s="42" t="str">
        <f>IFERROR(__xludf.DUMMYFUNCTION("""COMPUTED_VALUE"""),"[U]")</f>
        <v>[U]</v>
      </c>
      <c r="N795" s="42" t="str">
        <f>IFERROR(__xludf.DUMMYFUNCTION("""COMPUTED_VALUE"""),"""Is that Kido's voice? Is he fighting alone?""")</f>
        <v>"Is that Kido's voice? Is he fighting alone?"</v>
      </c>
      <c r="O795" s="42"/>
      <c r="P795" s="42"/>
      <c r="Q795" s="42"/>
      <c r="R795" s="42"/>
      <c r="S795" s="42"/>
      <c r="T795" s="42"/>
      <c r="U795" s="42"/>
      <c r="V795" s="42"/>
      <c r="W795" s="42"/>
      <c r="X795" s="42"/>
      <c r="Y795" s="42"/>
      <c r="Z795" s="42"/>
    </row>
    <row r="796">
      <c r="A796" s="42" t="str">
        <f>IFERROR(__xludf.DUMMYFUNCTION("""COMPUTED_VALUE"""),"M-413")</f>
        <v>M-413</v>
      </c>
      <c r="B796" s="42" t="str">
        <f>IFERROR(__xludf.DUMMYFUNCTION("""COMPUTED_VALUE"""),"VS Mamodo")</f>
        <v>VS Mamodo</v>
      </c>
      <c r="C796" s="42" t="str">
        <f>IFERROR(__xludf.DUMMYFUNCTION("""COMPUTED_VALUE"""),"Zatch Bell VS Laila")</f>
        <v>Zatch Bell VS Laila</v>
      </c>
      <c r="D796" s="42" t="str">
        <f>IFERROR(__xludf.DUMMYFUNCTION("""COMPUTED_VALUE"""),"Zatch Bell VS Laila")</f>
        <v>Zatch Bell VS Laila</v>
      </c>
      <c r="E796" s="42" t="str">
        <f>IFERROR(__xludf.DUMMYFUNCTION("""COMPUTED_VALUE"""),"-")</f>
        <v>-</v>
      </c>
      <c r="F796" s="42" t="str">
        <f>IFERROR(__xludf.DUMMYFUNCTION("""COMPUTED_VALUE"""),"-")</f>
        <v>-</v>
      </c>
      <c r="G796" s="42" t="str">
        <f>IFERROR(__xludf.DUMMYFUNCTION("""COMPUTED_VALUE"""),"None")</f>
        <v>None</v>
      </c>
      <c r="H796" s="42" t="str">
        <f>IFERROR(__xludf.DUMMYFUNCTION("""COMPUTED_VALUE"""),"Break Free!")</f>
        <v>Break Free!</v>
      </c>
      <c r="I796" s="43" t="str">
        <f>IFERROR(__xludf.DUMMYFUNCTION("""COMPUTED_VALUE"""),"Send either player's in-play Zatch Bell or Laila MAMODO card to the Discard Pile to put this MAMODO card in play. [IN PLAY] You can play ""No Battle"" SPELL cards with Zatch Bell or Laila as their MAMODO name that have only an ""Attack"" Icon during your "&amp;"opponent's BATTLE PHASE.")</f>
        <v>Send either player's in-play Zatch Bell or Laila MAMODO card to the Discard Pile to put this MAMODO card in play. [IN PLAY] You can play "No Battle" SPELL cards with Zatch Bell or Laila as their MAMODO name that have only an "Attack" Icon during your opponent's BATTLE PHASE.</v>
      </c>
      <c r="J796" s="42">
        <f>IFERROR(__xludf.DUMMYFUNCTION("""COMPUTED_VALUE"""),4000.0)</f>
        <v>4000</v>
      </c>
      <c r="K796" s="42" t="str">
        <f>IFERROR(__xludf.DUMMYFUNCTION("""COMPUTED_VALUE"""),"-")</f>
        <v>-</v>
      </c>
      <c r="L796" s="42" t="str">
        <f>IFERROR(__xludf.DUMMYFUNCTION("""COMPUTED_VALUE"""),"-")</f>
        <v>-</v>
      </c>
      <c r="M796" s="42" t="str">
        <f>IFERROR(__xludf.DUMMYFUNCTION("""COMPUTED_VALUE"""),"[C]")</f>
        <v>[C]</v>
      </c>
      <c r="N796" s="42" t="str">
        <f>IFERROR(__xludf.DUMMYFUNCTION("""COMPUTED_VALUE"""),"""Please! Set aside your fear and break free from Zofis' control!""")</f>
        <v>"Please! Set aside your fear and break free from Zofis' control!"</v>
      </c>
      <c r="O796" s="42"/>
      <c r="P796" s="42"/>
      <c r="Q796" s="42"/>
      <c r="R796" s="42"/>
      <c r="S796" s="42"/>
      <c r="T796" s="42"/>
      <c r="U796" s="42"/>
      <c r="V796" s="42"/>
      <c r="W796" s="42"/>
      <c r="X796" s="42"/>
      <c r="Y796" s="42"/>
      <c r="Z796" s="42"/>
    </row>
    <row r="797">
      <c r="A797" s="42" t="str">
        <f>IFERROR(__xludf.DUMMYFUNCTION("""COMPUTED_VALUE"""),"M-414")</f>
        <v>M-414</v>
      </c>
      <c r="B797" s="42" t="str">
        <f>IFERROR(__xludf.DUMMYFUNCTION("""COMPUTED_VALUE"""),"VS Mamodo")</f>
        <v>VS Mamodo</v>
      </c>
      <c r="C797" s="42" t="str">
        <f>IFERROR(__xludf.DUMMYFUNCTION("""COMPUTED_VALUE"""),"Penny VS Demolt")</f>
        <v>Penny VS Demolt</v>
      </c>
      <c r="D797" s="42" t="str">
        <f>IFERROR(__xludf.DUMMYFUNCTION("""COMPUTED_VALUE"""),"Penny VS Demolt")</f>
        <v>Penny VS Demolt</v>
      </c>
      <c r="E797" s="42" t="str">
        <f>IFERROR(__xludf.DUMMYFUNCTION("""COMPUTED_VALUE"""),"-")</f>
        <v>-</v>
      </c>
      <c r="F797" s="42" t="str">
        <f>IFERROR(__xludf.DUMMYFUNCTION("""COMPUTED_VALUE"""),"-")</f>
        <v>-</v>
      </c>
      <c r="G797" s="42" t="str">
        <f>IFERROR(__xludf.DUMMYFUNCTION("""COMPUTED_VALUE"""),"Intermediate")</f>
        <v>Intermediate</v>
      </c>
      <c r="H797" s="42" t="str">
        <f>IFERROR(__xludf.DUMMYFUNCTION("""COMPUTED_VALUE"""),"Realization")</f>
        <v>Realization</v>
      </c>
      <c r="I797" s="43" t="str">
        <f>IFERROR(__xludf.DUMMYFUNCTION("""COMPUTED_VALUE"""),"Send either player's in-play Penny or Demolt MAMODO card to the Discard Pile to put this MAMODO card in play. [LAST VS] When this MAMODO card is put in play, neither player can put a Penny and/or a Demolt MAMODO card in play during this game. [SEND THIS C"&amp;"ARD TO THE DISCARD PILE] [STAY] You can SACRIFICE or PROTECT your Spell Book from Damage during this game even when prohibited to do so.")</f>
        <v>Send either player's in-play Penny or Demolt MAMODO card to the Discard Pile to put this MAMODO card in play. [LAST VS] When this MAMODO card is put in play, neither player can put a Penny and/or a Demolt MAMODO card in play during this game. [SEND THIS CARD TO THE DISCARD PILE] [STAY] You can SACRIFICE or PROTECT your Spell Book from Damage during this game even when prohibited to do so.</v>
      </c>
      <c r="J797" s="42">
        <f>IFERROR(__xludf.DUMMYFUNCTION("""COMPUTED_VALUE"""),6000.0)</f>
        <v>6000</v>
      </c>
      <c r="K797" s="42" t="str">
        <f>IFERROR(__xludf.DUMMYFUNCTION("""COMPUTED_VALUE"""),"-")</f>
        <v>-</v>
      </c>
      <c r="L797" s="42" t="str">
        <f>IFERROR(__xludf.DUMMYFUNCTION("""COMPUTED_VALUE"""),"-")</f>
        <v>-</v>
      </c>
      <c r="M797" s="42" t="str">
        <f>IFERROR(__xludf.DUMMYFUNCTION("""COMPUTED_VALUE"""),"[U]")</f>
        <v>[U]</v>
      </c>
      <c r="N797" s="42" t="str">
        <f>IFERROR(__xludf.DUMMYFUNCTION("""COMPUTED_VALUE"""),"""I'm...so stupid! After everything I've done...I must...I have to...""")</f>
        <v>"I'm...so stupid! After everything I've done...I must...I have to..."</v>
      </c>
      <c r="O797" s="42"/>
      <c r="P797" s="42"/>
      <c r="Q797" s="42"/>
      <c r="R797" s="42"/>
      <c r="S797" s="42"/>
      <c r="T797" s="42"/>
      <c r="U797" s="42"/>
      <c r="V797" s="42"/>
      <c r="W797" s="42"/>
      <c r="X797" s="42"/>
      <c r="Y797" s="42"/>
      <c r="Z797" s="42"/>
    </row>
    <row r="798">
      <c r="A798" s="42" t="str">
        <f>IFERROR(__xludf.DUMMYFUNCTION("""COMPUTED_VALUE"""),"M-415")</f>
        <v>M-415</v>
      </c>
      <c r="B798" s="42" t="str">
        <f>IFERROR(__xludf.DUMMYFUNCTION("""COMPUTED_VALUE"""),"VS Mamodo")</f>
        <v>VS Mamodo</v>
      </c>
      <c r="C798" s="42" t="str">
        <f>IFERROR(__xludf.DUMMYFUNCTION("""COMPUTED_VALUE"""),"Ponygon VS Wonrei")</f>
        <v>Ponygon VS Wonrei</v>
      </c>
      <c r="D798" s="42" t="str">
        <f>IFERROR(__xludf.DUMMYFUNCTION("""COMPUTED_VALUE"""),"Ponygon VS Wonrei")</f>
        <v>Ponygon VS Wonrei</v>
      </c>
      <c r="E798" s="42" t="str">
        <f>IFERROR(__xludf.DUMMYFUNCTION("""COMPUTED_VALUE"""),"-")</f>
        <v>-</v>
      </c>
      <c r="F798" s="42" t="str">
        <f>IFERROR(__xludf.DUMMYFUNCTION("""COMPUTED_VALUE"""),"-")</f>
        <v>-</v>
      </c>
      <c r="G798" s="42" t="str">
        <f>IFERROR(__xludf.DUMMYFUNCTION("""COMPUTED_VALUE"""),"Intermediate")</f>
        <v>Intermediate</v>
      </c>
      <c r="H798" s="42" t="str">
        <f>IFERROR(__xludf.DUMMYFUNCTION("""COMPUTED_VALUE"""),"Unyielding Fist")</f>
        <v>Unyielding Fist</v>
      </c>
      <c r="I798" s="43" t="str">
        <f>IFERROR(__xludf.DUMMYFUNCTION("""COMPUTED_VALUE"""),"Send either player's in-play Ponygon or Wonrei MAMODO card to the Discard Pile to put this MAMODO card in play. [3 MP] Send 1 of your opponent's in-play MAMODO cards that share a card name with any of your in-play MAMODO cards to the Discard Pile.")</f>
        <v>Send either player's in-play Ponygon or Wonrei MAMODO card to the Discard Pile to put this MAMODO card in play. [3 MP] Send 1 of your opponent's in-play MAMODO cards that share a card name with any of your in-play MAMODO cards to the Discard Pile.</v>
      </c>
      <c r="J798" s="42">
        <f>IFERROR(__xludf.DUMMYFUNCTION("""COMPUTED_VALUE"""),4000.0)</f>
        <v>4000</v>
      </c>
      <c r="K798" s="42" t="str">
        <f>IFERROR(__xludf.DUMMYFUNCTION("""COMPUTED_VALUE"""),"-")</f>
        <v>-</v>
      </c>
      <c r="L798" s="42" t="str">
        <f>IFERROR(__xludf.DUMMYFUNCTION("""COMPUTED_VALUE"""),"-")</f>
        <v>-</v>
      </c>
      <c r="M798" s="42" t="str">
        <f>IFERROR(__xludf.DUMMYFUNCTION("""COMPUTED_VALUE"""),"[C]")</f>
        <v>[C]</v>
      </c>
      <c r="N798" s="42" t="str">
        <f>IFERROR(__xludf.DUMMYFUNCTION("""COMPUTED_VALUE"""),"""Oh no! Wonrei has no hesitation about attacking us!""")</f>
        <v>"Oh no! Wonrei has no hesitation about attacking us!"</v>
      </c>
      <c r="O798" s="42"/>
      <c r="P798" s="42"/>
      <c r="Q798" s="42"/>
      <c r="R798" s="42"/>
      <c r="S798" s="42"/>
      <c r="T798" s="42"/>
      <c r="U798" s="42"/>
      <c r="V798" s="42"/>
      <c r="W798" s="42"/>
      <c r="X798" s="42"/>
      <c r="Y798" s="42"/>
      <c r="Z798" s="42"/>
    </row>
    <row r="799">
      <c r="A799" s="42" t="str">
        <f>IFERROR(__xludf.DUMMYFUNCTION("""COMPUTED_VALUE"""),"M-416")</f>
        <v>M-416</v>
      </c>
      <c r="B799" s="42" t="str">
        <f>IFERROR(__xludf.DUMMYFUNCTION("""COMPUTED_VALUE"""),"VS Mamodo")</f>
        <v>VS Mamodo</v>
      </c>
      <c r="C799" s="42" t="str">
        <f>IFERROR(__xludf.DUMMYFUNCTION("""COMPUTED_VALUE"""),"Zatch Bell VS Riou")</f>
        <v>Zatch Bell VS Riou</v>
      </c>
      <c r="D799" s="42" t="str">
        <f>IFERROR(__xludf.DUMMYFUNCTION("""COMPUTED_VALUE"""),"Zatch Bell VS Riou")</f>
        <v>Zatch Bell VS Riou</v>
      </c>
      <c r="E799" s="42" t="str">
        <f>IFERROR(__xludf.DUMMYFUNCTION("""COMPUTED_VALUE"""),"-")</f>
        <v>-</v>
      </c>
      <c r="F799" s="42" t="str">
        <f>IFERROR(__xludf.DUMMYFUNCTION("""COMPUTED_VALUE"""),"-")</f>
        <v>-</v>
      </c>
      <c r="G799" s="42" t="str">
        <f>IFERROR(__xludf.DUMMYFUNCTION("""COMPUTED_VALUE"""),"None")</f>
        <v>None</v>
      </c>
      <c r="H799" s="42" t="str">
        <f>IFERROR(__xludf.DUMMYFUNCTION("""COMPUTED_VALUE"""),"Raw Strength")</f>
        <v>Raw Strength</v>
      </c>
      <c r="I799" s="43" t="str">
        <f>IFERROR(__xludf.DUMMYFUNCTION("""COMPUTED_VALUE"""),"Send either player's in-play Zatch Bell or Riou MAMODO card to the Discard Pile to put this MAMODO card in play. [IN PLAY] Add the text below to all of your in-play MAMODO: ● (Attack) (Defend) [DECLARE TO USE] This card may Attack without using a SPELL ca"&amp;"rd (Power=+2000, Damage=1) OR, Defend without using a SPELL card (Power=+2000).")</f>
        <v>Send either player's in-play Zatch Bell or Riou MAMODO card to the Discard Pile to put this MAMODO card in play. [IN PLAY] Add the text below to all of your in-play MAMODO: ● (Attack) (Defend) [DECLARE TO USE] This card may Attack without using a SPELL card (Power=+2000, Damage=1) OR, Defend without using a SPELL card (Power=+2000).</v>
      </c>
      <c r="J799" s="42">
        <f>IFERROR(__xludf.DUMMYFUNCTION("""COMPUTED_VALUE"""),6000.0)</f>
        <v>6000</v>
      </c>
      <c r="K799" s="42" t="str">
        <f>IFERROR(__xludf.DUMMYFUNCTION("""COMPUTED_VALUE"""),"-")</f>
        <v>-</v>
      </c>
      <c r="L799" s="42" t="str">
        <f>IFERROR(__xludf.DUMMYFUNCTION("""COMPUTED_VALUE"""),"-")</f>
        <v>-</v>
      </c>
      <c r="M799" s="42" t="str">
        <f>IFERROR(__xludf.DUMMYFUNCTION("""COMPUTED_VALUE"""),"[SR]")</f>
        <v>[SR]</v>
      </c>
      <c r="N799" s="42" t="str">
        <f>IFERROR(__xludf.DUMMYFUNCTION("""COMPUTED_VALUE"""),"""Don't underestimate my raw strength!""")</f>
        <v>"Don't underestimate my raw strength!"</v>
      </c>
      <c r="O799" s="42"/>
      <c r="P799" s="42"/>
      <c r="Q799" s="42"/>
      <c r="R799" s="42"/>
      <c r="S799" s="42"/>
      <c r="T799" s="42"/>
      <c r="U799" s="42"/>
      <c r="V799" s="42"/>
      <c r="W799" s="42"/>
      <c r="X799" s="42"/>
      <c r="Y799" s="42"/>
      <c r="Z799" s="42"/>
    </row>
    <row r="800">
      <c r="A800" s="42" t="str">
        <f>IFERROR(__xludf.DUMMYFUNCTION("""COMPUTED_VALUE"""),"M-417")</f>
        <v>M-417</v>
      </c>
      <c r="B800" s="42" t="str">
        <f>IFERROR(__xludf.DUMMYFUNCTION("""COMPUTED_VALUE"""),"VS Mamodo")</f>
        <v>VS Mamodo</v>
      </c>
      <c r="C800" s="42" t="str">
        <f>IFERROR(__xludf.DUMMYFUNCTION("""COMPUTED_VALUE"""),"Riou VS Zeno")</f>
        <v>Riou VS Zeno</v>
      </c>
      <c r="D800" s="42" t="str">
        <f>IFERROR(__xludf.DUMMYFUNCTION("""COMPUTED_VALUE"""),"Riou VS Zeno")</f>
        <v>Riou VS Zeno</v>
      </c>
      <c r="E800" s="42" t="str">
        <f>IFERROR(__xludf.DUMMYFUNCTION("""COMPUTED_VALUE"""),"-")</f>
        <v>-</v>
      </c>
      <c r="F800" s="42" t="str">
        <f>IFERROR(__xludf.DUMMYFUNCTION("""COMPUTED_VALUE"""),"-")</f>
        <v>-</v>
      </c>
      <c r="G800" s="42" t="str">
        <f>IFERROR(__xludf.DUMMYFUNCTION("""COMPUTED_VALUE"""),"Intermediate")</f>
        <v>Intermediate</v>
      </c>
      <c r="H800" s="42" t="str">
        <f>IFERROR(__xludf.DUMMYFUNCTION("""COMPUTED_VALUE"""),"A One-Sided Game")</f>
        <v>A One-Sided Game</v>
      </c>
      <c r="I800" s="43" t="str">
        <f>IFERROR(__xludf.DUMMYFUNCTION("""COMPUTED_VALUE"""),"Send either player's in-play Riou or Zeno MAMODO card to the Discard Pile to put this MAMODO card in play. [LAST VS] When this MAMODO card is put in play, neither player can put a Riou MAMODO card in play during this game. [DECLARE TO USE] If the differen"&amp;"ce in remaining pages between both players' Spell Books is 5 or more, turn 2 pages of your opponent's Spell Book. This effect can be applied only once per game (per player).")</f>
        <v>Send either player's in-play Riou or Zeno MAMODO card to the Discard Pile to put this MAMODO card in play. [LAST VS] When this MAMODO card is put in play, neither player can put a Riou MAMODO card in play during this game. [DECLARE TO USE] If the difference in remaining pages between both players' Spell Books is 5 or more, turn 2 pages of your opponent's Spell Book. This effect can be applied only once per game (per player).</v>
      </c>
      <c r="J800" s="42">
        <f>IFERROR(__xludf.DUMMYFUNCTION("""COMPUTED_VALUE"""),6000.0)</f>
        <v>6000</v>
      </c>
      <c r="K800" s="42" t="str">
        <f>IFERROR(__xludf.DUMMYFUNCTION("""COMPUTED_VALUE"""),"-")</f>
        <v>-</v>
      </c>
      <c r="L800" s="42" t="str">
        <f>IFERROR(__xludf.DUMMYFUNCTION("""COMPUTED_VALUE"""),"-")</f>
        <v>-</v>
      </c>
      <c r="M800" s="42" t="str">
        <f>IFERROR(__xludf.DUMMYFUNCTION("""COMPUTED_VALUE"""),"[SR]")</f>
        <v>[SR]</v>
      </c>
      <c r="N800" s="42" t="str">
        <f>IFERROR(__xludf.DUMMYFUNCTION("""COMPUTED_VALUE"""),"""I'm sick of hearing you babble.""")</f>
        <v>"I'm sick of hearing you babble."</v>
      </c>
      <c r="O800" s="42"/>
      <c r="P800" s="42"/>
      <c r="Q800" s="42"/>
      <c r="R800" s="42"/>
      <c r="S800" s="42"/>
      <c r="T800" s="42"/>
      <c r="U800" s="42"/>
      <c r="V800" s="42"/>
      <c r="W800" s="42"/>
      <c r="X800" s="42"/>
      <c r="Y800" s="42"/>
      <c r="Z800" s="42"/>
    </row>
    <row r="801">
      <c r="A801" s="42" t="str">
        <f>IFERROR(__xludf.DUMMYFUNCTION("""COMPUTED_VALUE"""),"M-418")</f>
        <v>M-418</v>
      </c>
      <c r="B801" s="42" t="str">
        <f>IFERROR(__xludf.DUMMYFUNCTION("""COMPUTED_VALUE"""),"S Mamodo")</f>
        <v>S Mamodo</v>
      </c>
      <c r="C801" s="42" t="str">
        <f>IFERROR(__xludf.DUMMYFUNCTION("""COMPUTED_VALUE"""),"Wonrei")</f>
        <v>Wonrei</v>
      </c>
      <c r="D801" s="42" t="str">
        <f>IFERROR(__xludf.DUMMYFUNCTION("""COMPUTED_VALUE"""),"Wonrei")</f>
        <v>Wonrei</v>
      </c>
      <c r="E801" s="42" t="str">
        <f>IFERROR(__xludf.DUMMYFUNCTION("""COMPUTED_VALUE"""),"-")</f>
        <v>-</v>
      </c>
      <c r="F801" s="42" t="str">
        <f>IFERROR(__xludf.DUMMYFUNCTION("""COMPUTED_VALUE"""),"-")</f>
        <v>-</v>
      </c>
      <c r="G801" s="42" t="str">
        <f>IFERROR(__xludf.DUMMYFUNCTION("""COMPUTED_VALUE"""),"Intermediate")</f>
        <v>Intermediate</v>
      </c>
      <c r="H801" s="42" t="str">
        <f>IFERROR(__xludf.DUMMYFUNCTION("""COMPUTED_VALUE"""),"Her Smile...")</f>
        <v>Her Smile...</v>
      </c>
      <c r="I801" s="43" t="str">
        <f>IFERROR(__xludf.DUMMYFUNCTION("""COMPUTED_VALUE"""),"This card is placed on a regular Wonrei MAMODO card. [IN PLAY] Apply all of the following effects: ● Your MP cannot be reduced by your opponent's card effects. ● Your opponent cannot turn pages fo your Spell Book with their card effects (except from Damag"&amp;"e). ● Your opponent cannot discard your in-play cards with their card effects.")</f>
        <v>This card is placed on a regular Wonrei MAMODO card. [IN PLAY] Apply all of the following effects: ● Your MP cannot be reduced by your opponent's card effects. ● Your opponent cannot turn pages fo your Spell Book with their card effects (except from Damage). ● Your opponent cannot discard your in-play cards with their card effects.</v>
      </c>
      <c r="J801" s="42">
        <f>IFERROR(__xludf.DUMMYFUNCTION("""COMPUTED_VALUE"""),5000.0)</f>
        <v>5000</v>
      </c>
      <c r="K801" s="42" t="str">
        <f>IFERROR(__xludf.DUMMYFUNCTION("""COMPUTED_VALUE"""),"-")</f>
        <v>-</v>
      </c>
      <c r="L801" s="42" t="str">
        <f>IFERROR(__xludf.DUMMYFUNCTION("""COMPUTED_VALUE"""),"-")</f>
        <v>-</v>
      </c>
      <c r="M801" s="42" t="str">
        <f>IFERROR(__xludf.DUMMYFUNCTION("""COMPUTED_VALUE"""),"[R]")</f>
        <v>[R]</v>
      </c>
      <c r="N801" s="42" t="str">
        <f>IFERROR(__xludf.DUMMYFUNCTION("""COMPUTED_VALUE"""),"""I've got to be strong... Stronger than ever... I've got to be a king who protects... A king who protects!!!""")</f>
        <v>"I've got to be strong... Stronger than ever... I've got to be a king who protects... A king who protects!!!"</v>
      </c>
      <c r="O801" s="42"/>
      <c r="P801" s="42"/>
      <c r="Q801" s="42"/>
      <c r="R801" s="42"/>
      <c r="S801" s="42"/>
      <c r="T801" s="42"/>
      <c r="U801" s="42"/>
      <c r="V801" s="42"/>
      <c r="W801" s="42"/>
      <c r="X801" s="42"/>
      <c r="Y801" s="42"/>
      <c r="Z801" s="42"/>
    </row>
    <row r="802">
      <c r="A802" s="42" t="str">
        <f>IFERROR(__xludf.DUMMYFUNCTION("""COMPUTED_VALUE"""),"M-419")</f>
        <v>M-419</v>
      </c>
      <c r="B802" s="42" t="str">
        <f>IFERROR(__xludf.DUMMYFUNCTION("""COMPUTED_VALUE"""),"S Mamodo")</f>
        <v>S Mamodo</v>
      </c>
      <c r="C802" s="42" t="str">
        <f>IFERROR(__xludf.DUMMYFUNCTION("""COMPUTED_VALUE"""),"Kido")</f>
        <v>Kido</v>
      </c>
      <c r="D802" s="42" t="str">
        <f>IFERROR(__xludf.DUMMYFUNCTION("""COMPUTED_VALUE"""),"Kido")</f>
        <v>Kido</v>
      </c>
      <c r="E802" s="42" t="str">
        <f>IFERROR(__xludf.DUMMYFUNCTION("""COMPUTED_VALUE"""),"-")</f>
        <v>-</v>
      </c>
      <c r="F802" s="42" t="str">
        <f>IFERROR(__xludf.DUMMYFUNCTION("""COMPUTED_VALUE"""),"-")</f>
        <v>-</v>
      </c>
      <c r="G802" s="42" t="str">
        <f>IFERROR(__xludf.DUMMYFUNCTION("""COMPUTED_VALUE"""),"Intermediate")</f>
        <v>Intermediate</v>
      </c>
      <c r="H802" s="42" t="str">
        <f>IFERROR(__xludf.DUMMYFUNCTION("""COMPUTED_VALUE"""),"I Love You, Doctor")</f>
        <v>I Love You, Doctor</v>
      </c>
      <c r="I802" s="43" t="str">
        <f>IFERROR(__xludf.DUMMYFUNCTION("""COMPUTED_VALUE"""),"This card is placed on a regular Kido MAMODO card. [2 MP] Select 1 Dr. Riddles PARTNER card from any page of your Spell Book or your Discard Pile and put it in play.")</f>
        <v>This card is placed on a regular Kido MAMODO card. [2 MP] Select 1 Dr. Riddles PARTNER card from any page of your Spell Book or your Discard Pile and put it in play.</v>
      </c>
      <c r="J802" s="42">
        <f>IFERROR(__xludf.DUMMYFUNCTION("""COMPUTED_VALUE"""),5000.0)</f>
        <v>5000</v>
      </c>
      <c r="K802" s="42" t="str">
        <f>IFERROR(__xludf.DUMMYFUNCTION("""COMPUTED_VALUE"""),"-")</f>
        <v>-</v>
      </c>
      <c r="L802" s="42" t="str">
        <f>IFERROR(__xludf.DUMMYFUNCTION("""COMPUTED_VALUE"""),"-")</f>
        <v>-</v>
      </c>
      <c r="M802" s="42" t="str">
        <f>IFERROR(__xludf.DUMMYFUNCTION("""COMPUTED_VALUE"""),"[R]")</f>
        <v>[R]</v>
      </c>
      <c r="N802" s="42" t="str">
        <f>IFERROR(__xludf.DUMMYFUNCTION("""COMPUTED_VALUE"""),"""Maybe I've grown up? I hope I turned out the way you wanted me to, Doctor.""")</f>
        <v>"Maybe I've grown up? I hope I turned out the way you wanted me to, Doctor."</v>
      </c>
      <c r="O802" s="42"/>
      <c r="P802" s="42"/>
      <c r="Q802" s="42"/>
      <c r="R802" s="42"/>
      <c r="S802" s="42"/>
      <c r="T802" s="42"/>
      <c r="U802" s="42"/>
      <c r="V802" s="42"/>
      <c r="W802" s="42"/>
      <c r="X802" s="42"/>
      <c r="Y802" s="42"/>
      <c r="Z802" s="42"/>
    </row>
    <row r="803">
      <c r="A803" s="42" t="str">
        <f>IFERROR(__xludf.DUMMYFUNCTION("""COMPUTED_VALUE"""),"M-420")</f>
        <v>M-420</v>
      </c>
      <c r="B803" s="42" t="str">
        <f>IFERROR(__xludf.DUMMYFUNCTION("""COMPUTED_VALUE"""),"S Mamodo")</f>
        <v>S Mamodo</v>
      </c>
      <c r="C803" s="42" t="str">
        <f>IFERROR(__xludf.DUMMYFUNCTION("""COMPUTED_VALUE"""),"Penny")</f>
        <v>Penny</v>
      </c>
      <c r="D803" s="42" t="str">
        <f>IFERROR(__xludf.DUMMYFUNCTION("""COMPUTED_VALUE"""),"Penny")</f>
        <v>Penny</v>
      </c>
      <c r="E803" s="42" t="str">
        <f>IFERROR(__xludf.DUMMYFUNCTION("""COMPUTED_VALUE"""),"-")</f>
        <v>-</v>
      </c>
      <c r="F803" s="42" t="str">
        <f>IFERROR(__xludf.DUMMYFUNCTION("""COMPUTED_VALUE"""),"-")</f>
        <v>-</v>
      </c>
      <c r="G803" s="42" t="str">
        <f>IFERROR(__xludf.DUMMYFUNCTION("""COMPUTED_VALUE"""),"Intermediate")</f>
        <v>Intermediate</v>
      </c>
      <c r="H803" s="42" t="str">
        <f>IFERROR(__xludf.DUMMYFUNCTION("""COMPUTED_VALUE"""),"Joining Hands")</f>
        <v>Joining Hands</v>
      </c>
      <c r="I803" s="43" t="str">
        <f>IFERROR(__xludf.DUMMYFUNCTION("""COMPUTED_VALUE"""),"This card is placed on a regular Penny MAMODO card. [IN PLAY] Your opponent can neither look at your Spell Book, nor can they apply effects that allow them to look at your Spell Book. They may still apply effects that select cards in your Spell Book as lo"&amp;"ng as the effect specifies that you select the card(s).")</f>
        <v>This card is placed on a regular Penny MAMODO card. [IN PLAY] Your opponent can neither look at your Spell Book, nor can they apply effects that allow them to look at your Spell Book. They may still apply effects that select cards in your Spell Book as long as the effect specifies that you select the card(s).</v>
      </c>
      <c r="J803" s="42">
        <f>IFERROR(__xludf.DUMMYFUNCTION("""COMPUTED_VALUE"""),5000.0)</f>
        <v>5000</v>
      </c>
      <c r="K803" s="42" t="str">
        <f>IFERROR(__xludf.DUMMYFUNCTION("""COMPUTED_VALUE"""),"-")</f>
        <v>-</v>
      </c>
      <c r="L803" s="42" t="str">
        <f>IFERROR(__xludf.DUMMYFUNCTION("""COMPUTED_VALUE"""),"-")</f>
        <v>-</v>
      </c>
      <c r="M803" s="42" t="str">
        <f>IFERROR(__xludf.DUMMYFUNCTION("""COMPUTED_VALUE"""),"[R]")</f>
        <v>[R]</v>
      </c>
      <c r="N803" s="42" t="str">
        <f>IFERROR(__xludf.DUMMYFUNCTION("""COMPUTED_VALUE"""),"""Thank you, Zatch... Thank you, everyone...""")</f>
        <v>"Thank you, Zatch... Thank you, everyone..."</v>
      </c>
      <c r="O803" s="42"/>
      <c r="P803" s="42"/>
      <c r="Q803" s="42"/>
      <c r="R803" s="42"/>
      <c r="S803" s="42"/>
      <c r="T803" s="42"/>
      <c r="U803" s="42"/>
      <c r="V803" s="42"/>
      <c r="W803" s="42"/>
      <c r="X803" s="42"/>
      <c r="Y803" s="42"/>
      <c r="Z803" s="42"/>
    </row>
    <row r="804">
      <c r="A804" s="39" t="str">
        <f>IFERROR(__xludf.DUMMYFUNCTION("""COMPUTED_VALUE"""),"M-421")</f>
        <v>M-421</v>
      </c>
      <c r="B804" s="39" t="str">
        <f>IFERROR(__xludf.DUMMYFUNCTION("""COMPUTED_VALUE"""),"S Mamodo")</f>
        <v>S Mamodo</v>
      </c>
      <c r="C804" s="39" t="str">
        <f>IFERROR(__xludf.DUMMYFUNCTION("""COMPUTED_VALUE"""),"Byonko")</f>
        <v>Byonko</v>
      </c>
      <c r="D804" s="39" t="str">
        <f>IFERROR(__xludf.DUMMYFUNCTION("""COMPUTED_VALUE"""),"Byonko")</f>
        <v>Byonko</v>
      </c>
      <c r="E804" s="39" t="str">
        <f>IFERROR(__xludf.DUMMYFUNCTION("""COMPUTED_VALUE"""),"-")</f>
        <v>-</v>
      </c>
      <c r="F804" s="39" t="str">
        <f>IFERROR(__xludf.DUMMYFUNCTION("""COMPUTED_VALUE"""),"-")</f>
        <v>-</v>
      </c>
      <c r="G804" s="39" t="str">
        <f>IFERROR(__xludf.DUMMYFUNCTION("""COMPUTED_VALUE"""),"Intermediate")</f>
        <v>Intermediate</v>
      </c>
      <c r="H804" s="39" t="str">
        <f>IFERROR(__xludf.DUMMYFUNCTION("""COMPUTED_VALUE"""),"Four Leaf Clover")</f>
        <v>Four Leaf Clover</v>
      </c>
      <c r="I804" s="40" t="str">
        <f>IFERROR(__xludf.DUMMYFUNCTION("""COMPUTED_VALUE"""),"This card is placed on a regular Byonko MAMODO card. [IN PLAY] Reduce the Damage of your opponent's Attacks by 2. In addition, if there are other effects that are currently reducing your opponent's Damage, this effect does not reduce any Damage.")</f>
        <v>This card is placed on a regular Byonko MAMODO card. [IN PLAY] Reduce the Damage of your opponent's Attacks by 2. In addition, if there are other effects that are currently reducing your opponent's Damage, this effect does not reduce any Damage.</v>
      </c>
      <c r="J804" s="39">
        <f>IFERROR(__xludf.DUMMYFUNCTION("""COMPUTED_VALUE"""),5000.0)</f>
        <v>5000</v>
      </c>
      <c r="K804" s="39" t="str">
        <f>IFERROR(__xludf.DUMMYFUNCTION("""COMPUTED_VALUE"""),"-")</f>
        <v>-</v>
      </c>
      <c r="L804" s="39" t="str">
        <f>IFERROR(__xludf.DUMMYFUNCTION("""COMPUTED_VALUE"""),"-")</f>
        <v>-</v>
      </c>
      <c r="M804" s="39" t="str">
        <f>IFERROR(__xludf.DUMMYFUNCTION("""COMPUTED_VALUE"""),"[R]")</f>
        <v>[R]</v>
      </c>
      <c r="N804" s="39" t="str">
        <f>IFERROR(__xludf.DUMMYFUNCTION("""COMPUTED_VALUE"""),"""Penny, let's do this togeher, ribbit! Don't worry, I'm with you, ribbit!""")</f>
        <v>"Penny, let's do this togeher, ribbit! Don't worry, I'm with you, ribbit!"</v>
      </c>
      <c r="O804" s="39"/>
      <c r="P804" s="39"/>
      <c r="Q804" s="39"/>
      <c r="R804" s="39"/>
      <c r="S804" s="39"/>
      <c r="T804" s="39"/>
      <c r="U804" s="39"/>
      <c r="V804" s="39"/>
      <c r="W804" s="39"/>
      <c r="X804" s="39"/>
      <c r="Y804" s="39"/>
      <c r="Z804" s="39"/>
    </row>
    <row r="805">
      <c r="A805" s="39" t="str">
        <f>IFERROR(__xludf.DUMMYFUNCTION("""COMPUTED_VALUE"""),"M-422")</f>
        <v>M-422</v>
      </c>
      <c r="B805" s="39" t="str">
        <f>IFERROR(__xludf.DUMMYFUNCTION("""COMPUTED_VALUE"""),"S Mamodo")</f>
        <v>S Mamodo</v>
      </c>
      <c r="C805" s="39" t="str">
        <f>IFERROR(__xludf.DUMMYFUNCTION("""COMPUTED_VALUE"""),"Victoream")</f>
        <v>Victoream</v>
      </c>
      <c r="D805" s="39" t="str">
        <f>IFERROR(__xludf.DUMMYFUNCTION("""COMPUTED_VALUE"""),"Victoream")</f>
        <v>Victoream</v>
      </c>
      <c r="E805" s="39" t="str">
        <f>IFERROR(__xludf.DUMMYFUNCTION("""COMPUTED_VALUE"""),"-")</f>
        <v>-</v>
      </c>
      <c r="F805" s="39" t="str">
        <f>IFERROR(__xludf.DUMMYFUNCTION("""COMPUTED_VALUE"""),"-")</f>
        <v>-</v>
      </c>
      <c r="G805" s="39" t="str">
        <f>IFERROR(__xludf.DUMMYFUNCTION("""COMPUTED_VALUE"""),"Intermediate")</f>
        <v>Intermediate</v>
      </c>
      <c r="H805" s="39" t="str">
        <f>IFERROR(__xludf.DUMMYFUNCTION("""COMPUTED_VALUE"""),"Dream Melon")</f>
        <v>Dream Melon</v>
      </c>
      <c r="I805" s="40" t="str">
        <f>IFERROR(__xludf.DUMMYFUNCTION("""COMPUTED_VALUE"""),"This card is placed on a regular Victoream MAMODO card. [IN PLAY] At the start of the END PHASE, negate any of your opponent's [Standby] effects that are triggered during the END PHASE. In addition, your opponent can only get 1 MP at their END PHASE, even"&amp;" when turning a page of their Spell Book.")</f>
        <v>This card is placed on a regular Victoream MAMODO card. [IN PLAY] At the start of the END PHASE, negate any of your opponent's [Standby] effects that are triggered during the END PHASE. In addition, your opponent can only get 1 MP at their END PHASE, even when turning a page of their Spell Book.</v>
      </c>
      <c r="J805" s="39">
        <f>IFERROR(__xludf.DUMMYFUNCTION("""COMPUTED_VALUE"""),5500.0)</f>
        <v>5500</v>
      </c>
      <c r="K805" s="39" t="str">
        <f>IFERROR(__xludf.DUMMYFUNCTION("""COMPUTED_VALUE"""),"-")</f>
        <v>-</v>
      </c>
      <c r="L805" s="39" t="str">
        <f>IFERROR(__xludf.DUMMYFUNCTION("""COMPUTED_VALUE"""),"-")</f>
        <v>-</v>
      </c>
      <c r="M805" s="39" t="str">
        <f>IFERROR(__xludf.DUMMYFUNCTION("""COMPUTED_VALUE"""),"[R]")</f>
        <v>[R]</v>
      </c>
      <c r="N805" s="39" t="str">
        <f>IFERROR(__xludf.DUMMYFUNCTION("""COMPUTED_VALUE"""),"""Huom, homomom, slurp slurp... It's even better than I imagined!""")</f>
        <v>"Huom, homomom, slurp slurp... It's even better than I imagined!"</v>
      </c>
      <c r="O805" s="39"/>
      <c r="P805" s="39"/>
      <c r="Q805" s="39"/>
      <c r="R805" s="39"/>
      <c r="S805" s="39"/>
      <c r="T805" s="39"/>
      <c r="U805" s="39"/>
      <c r="V805" s="39"/>
      <c r="W805" s="39"/>
      <c r="X805" s="39"/>
      <c r="Y805" s="39"/>
      <c r="Z805" s="39"/>
    </row>
    <row r="806">
      <c r="A806" s="39" t="str">
        <f>IFERROR(__xludf.DUMMYFUNCTION("""COMPUTED_VALUE"""),"M-424")</f>
        <v>M-424</v>
      </c>
      <c r="B806" s="39" t="str">
        <f>IFERROR(__xludf.DUMMYFUNCTION("""COMPUTED_VALUE"""),"S Mamodo")</f>
        <v>S Mamodo</v>
      </c>
      <c r="C806" s="39" t="str">
        <f>IFERROR(__xludf.DUMMYFUNCTION("""COMPUTED_VALUE"""),"Zofis")</f>
        <v>Zofis</v>
      </c>
      <c r="D806" s="39" t="str">
        <f>IFERROR(__xludf.DUMMYFUNCTION("""COMPUTED_VALUE"""),"Zofis")</f>
        <v>Zofis</v>
      </c>
      <c r="E806" s="39" t="str">
        <f>IFERROR(__xludf.DUMMYFUNCTION("""COMPUTED_VALUE"""),"-")</f>
        <v>-</v>
      </c>
      <c r="F806" s="39" t="str">
        <f>IFERROR(__xludf.DUMMYFUNCTION("""COMPUTED_VALUE"""),"-")</f>
        <v>-</v>
      </c>
      <c r="G806" s="39" t="str">
        <f>IFERROR(__xludf.DUMMYFUNCTION("""COMPUTED_VALUE"""),"Intermediate")</f>
        <v>Intermediate</v>
      </c>
      <c r="H806" s="39" t="str">
        <f>IFERROR(__xludf.DUMMYFUNCTION("""COMPUTED_VALUE"""),"Puppet Master")</f>
        <v>Puppet Master</v>
      </c>
      <c r="I806" s="40" t="str">
        <f>IFERROR(__xludf.DUMMYFUNCTION("""COMPUTED_VALUE"""),"This card is placed on a regular Zofis MAMODO card. [IN PLAY] The Damage from your Attacks cannot be reduced by your opponent's card effects.")</f>
        <v>This card is placed on a regular Zofis MAMODO card. [IN PLAY] The Damage from your Attacks cannot be reduced by your opponent's card effects.</v>
      </c>
      <c r="J806" s="39">
        <f>IFERROR(__xludf.DUMMYFUNCTION("""COMPUTED_VALUE"""),6500.0)</f>
        <v>6500</v>
      </c>
      <c r="K806" s="39" t="str">
        <f>IFERROR(__xludf.DUMMYFUNCTION("""COMPUTED_VALUE"""),"-")</f>
        <v>-</v>
      </c>
      <c r="L806" s="39" t="str">
        <f>IFERROR(__xludf.DUMMYFUNCTION("""COMPUTED_VALUE"""),"-")</f>
        <v>-</v>
      </c>
      <c r="M806" s="39" t="str">
        <f>IFERROR(__xludf.DUMMYFUNCTION("""COMPUTED_VALUE"""),"[R]")</f>
        <v>[R]</v>
      </c>
      <c r="N806" s="39" t="str">
        <f>IFERROR(__xludf.DUMMYFUNCTION("""COMPUTED_VALUE"""),"""How entertaining... This is so amusing.""")</f>
        <v>"How entertaining... This is so amusing."</v>
      </c>
      <c r="O806" s="39"/>
      <c r="P806" s="39"/>
      <c r="Q806" s="39"/>
      <c r="R806" s="39"/>
      <c r="S806" s="39"/>
      <c r="T806" s="39"/>
      <c r="U806" s="39"/>
      <c r="V806" s="39"/>
      <c r="W806" s="39"/>
      <c r="X806" s="39"/>
      <c r="Y806" s="39"/>
      <c r="Z806" s="39"/>
    </row>
    <row r="807">
      <c r="A807" s="39" t="str">
        <f>IFERROR(__xludf.DUMMYFUNCTION("""COMPUTED_VALUE"""),"M-425")</f>
        <v>M-425</v>
      </c>
      <c r="B807" s="39" t="str">
        <f>IFERROR(__xludf.DUMMYFUNCTION("""COMPUTED_VALUE"""),"S Mamodo")</f>
        <v>S Mamodo</v>
      </c>
      <c r="C807" s="39" t="str">
        <f>IFERROR(__xludf.DUMMYFUNCTION("""COMPUTED_VALUE"""),"Riou")</f>
        <v>Riou</v>
      </c>
      <c r="D807" s="39" t="str">
        <f>IFERROR(__xludf.DUMMYFUNCTION("""COMPUTED_VALUE"""),"Riou")</f>
        <v>Riou</v>
      </c>
      <c r="E807" s="39" t="str">
        <f>IFERROR(__xludf.DUMMYFUNCTION("""COMPUTED_VALUE"""),"-")</f>
        <v>-</v>
      </c>
      <c r="F807" s="39" t="str">
        <f>IFERROR(__xludf.DUMMYFUNCTION("""COMPUTED_VALUE"""),"-")</f>
        <v>-</v>
      </c>
      <c r="G807" s="39" t="str">
        <f>IFERROR(__xludf.DUMMYFUNCTION("""COMPUTED_VALUE"""),"Intermediate")</f>
        <v>Intermediate</v>
      </c>
      <c r="H807" s="39" t="str">
        <f>IFERROR(__xludf.DUMMYFUNCTION("""COMPUTED_VALUE"""),"Condescension")</f>
        <v>Condescension</v>
      </c>
      <c r="I807" s="40" t="str">
        <f>IFERROR(__xludf.DUMMYFUNCTION("""COMPUTED_VALUE"""),"This card is placed on a regular Riou MAMODO card. [IN PLAY] Increase the Damage of this MAMODO card's Attacks by 1.")</f>
        <v>This card is placed on a regular Riou MAMODO card. [IN PLAY] Increase the Damage of this MAMODO card's Attacks by 1.</v>
      </c>
      <c r="J807" s="39">
        <f>IFERROR(__xludf.DUMMYFUNCTION("""COMPUTED_VALUE"""),7000.0)</f>
        <v>7000</v>
      </c>
      <c r="K807" s="39" t="str">
        <f>IFERROR(__xludf.DUMMYFUNCTION("""COMPUTED_VALUE"""),"-")</f>
        <v>-</v>
      </c>
      <c r="L807" s="39" t="str">
        <f>IFERROR(__xludf.DUMMYFUNCTION("""COMPUTED_VALUE"""),"-")</f>
        <v>-</v>
      </c>
      <c r="M807" s="39" t="str">
        <f>IFERROR(__xludf.DUMMYFUNCTION("""COMPUTED_VALUE"""),"[R]")</f>
        <v>[R]</v>
      </c>
      <c r="N807" s="39" t="str">
        <f>IFERROR(__xludf.DUMMYFUNCTION("""COMPUTED_VALUE"""),"""You're going to regret making me look like a fool!""")</f>
        <v>"You're going to regret making me look like a fool!"</v>
      </c>
      <c r="O807" s="39"/>
      <c r="P807" s="39"/>
      <c r="Q807" s="39"/>
      <c r="R807" s="39"/>
      <c r="S807" s="39"/>
      <c r="T807" s="39"/>
      <c r="U807" s="39"/>
      <c r="V807" s="39"/>
      <c r="W807" s="39"/>
      <c r="X807" s="39"/>
      <c r="Y807" s="39"/>
      <c r="Z807" s="39"/>
    </row>
    <row r="808">
      <c r="A808" s="39" t="str">
        <f>IFERROR(__xludf.DUMMYFUNCTION("""COMPUTED_VALUE"""),"M-426")</f>
        <v>M-426</v>
      </c>
      <c r="B808" s="39" t="str">
        <f>IFERROR(__xludf.DUMMYFUNCTION("""COMPUTED_VALUE"""),"S Mamodo")</f>
        <v>S Mamodo</v>
      </c>
      <c r="C808" s="39" t="str">
        <f>IFERROR(__xludf.DUMMYFUNCTION("""COMPUTED_VALUE"""),"Zeno")</f>
        <v>Zeno</v>
      </c>
      <c r="D808" s="39" t="str">
        <f>IFERROR(__xludf.DUMMYFUNCTION("""COMPUTED_VALUE"""),"Zeno")</f>
        <v>Zeno</v>
      </c>
      <c r="E808" s="39" t="str">
        <f>IFERROR(__xludf.DUMMYFUNCTION("""COMPUTED_VALUE"""),"-")</f>
        <v>-</v>
      </c>
      <c r="F808" s="39" t="str">
        <f>IFERROR(__xludf.DUMMYFUNCTION("""COMPUTED_VALUE"""),"-")</f>
        <v>-</v>
      </c>
      <c r="G808" s="39" t="str">
        <f>IFERROR(__xludf.DUMMYFUNCTION("""COMPUTED_VALUE"""),"Intermediate")</f>
        <v>Intermediate</v>
      </c>
      <c r="H808" s="39" t="str">
        <f>IFERROR(__xludf.DUMMYFUNCTION("""COMPUTED_VALUE"""),"Get Serious")</f>
        <v>Get Serious</v>
      </c>
      <c r="I808" s="40" t="str">
        <f>IFERROR(__xludf.DUMMYFUNCTION("""COMPUTED_VALUE"""),"This card is placed on a regular Zeno MAMODO card. [IN PLAY] Inflict 1 Damage on your opponent when you win the Battle as a Defender.")</f>
        <v>This card is placed on a regular Zeno MAMODO card. [IN PLAY] Inflict 1 Damage on your opponent when you win the Battle as a Defender.</v>
      </c>
      <c r="J808" s="39">
        <f>IFERROR(__xludf.DUMMYFUNCTION("""COMPUTED_VALUE"""),7000.0)</f>
        <v>7000</v>
      </c>
      <c r="K808" s="39" t="str">
        <f>IFERROR(__xludf.DUMMYFUNCTION("""COMPUTED_VALUE"""),"-")</f>
        <v>-</v>
      </c>
      <c r="L808" s="39" t="str">
        <f>IFERROR(__xludf.DUMMYFUNCTION("""COMPUTED_VALUE"""),"-")</f>
        <v>-</v>
      </c>
      <c r="M808" s="39" t="str">
        <f>IFERROR(__xludf.DUMMYFUNCTION("""COMPUTED_VALUE"""),"[R]")</f>
        <v>[R]</v>
      </c>
      <c r="N808" s="39" t="str">
        <f>IFERROR(__xludf.DUMMYFUNCTION("""COMPUTED_VALUE"""),"""Take this a little more seriously.""")</f>
        <v>"Take this a little more seriously."</v>
      </c>
      <c r="O808" s="39"/>
      <c r="P808" s="39"/>
      <c r="Q808" s="39"/>
      <c r="R808" s="39"/>
      <c r="S808" s="39"/>
      <c r="T808" s="39"/>
      <c r="U808" s="39"/>
      <c r="V808" s="39"/>
      <c r="W808" s="39"/>
      <c r="X808" s="39"/>
      <c r="Y808" s="39"/>
      <c r="Z808" s="39"/>
    </row>
    <row r="809">
      <c r="A809" s="39" t="str">
        <f>IFERROR(__xludf.DUMMYFUNCTION("""COMPUTED_VALUE"""),"M-427")</f>
        <v>M-427</v>
      </c>
      <c r="B809" s="39" t="str">
        <f>IFERROR(__xludf.DUMMYFUNCTION("""COMPUTED_VALUE"""),"Mamodo")</f>
        <v>Mamodo</v>
      </c>
      <c r="C809" s="39" t="str">
        <f>IFERROR(__xludf.DUMMYFUNCTION("""COMPUTED_VALUE"""),"Riou")</f>
        <v>Riou</v>
      </c>
      <c r="D809" s="39" t="str">
        <f>IFERROR(__xludf.DUMMYFUNCTION("""COMPUTED_VALUE"""),"Riou")</f>
        <v>Riou</v>
      </c>
      <c r="E809" s="39" t="str">
        <f>IFERROR(__xludf.DUMMYFUNCTION("""COMPUTED_VALUE"""),"-")</f>
        <v>-</v>
      </c>
      <c r="F809" s="39" t="str">
        <f>IFERROR(__xludf.DUMMYFUNCTION("""COMPUTED_VALUE"""),"-")</f>
        <v>-</v>
      </c>
      <c r="G809" s="39" t="str">
        <f>IFERROR(__xludf.DUMMYFUNCTION("""COMPUTED_VALUE"""),"None")</f>
        <v>None</v>
      </c>
      <c r="H809" s="39" t="str">
        <f>IFERROR(__xludf.DUMMYFUNCTION("""COMPUTED_VALUE"""),"Serve Me Well!")</f>
        <v>Serve Me Well!</v>
      </c>
      <c r="I809" s="40" t="str">
        <f>IFERROR(__xludf.DUMMYFUNCTION("""COMPUTED_VALUE"""),"[2 MP] Your opponent selects 1 of their in-play MAMODO cards. [STAY] Your opponent can neither play SPELL cards for, nor can they apply the effects of the selected MAMODO card, during this game. This effect is negated before it can be applied again.")</f>
        <v>[2 MP] Your opponent selects 1 of their in-play MAMODO cards. [STAY] Your opponent can neither play SPELL cards for, nor can they apply the effects of the selected MAMODO card, during this game. This effect is negated before it can be applied again.</v>
      </c>
      <c r="J809" s="39">
        <f>IFERROR(__xludf.DUMMYFUNCTION("""COMPUTED_VALUE"""),6000.0)</f>
        <v>6000</v>
      </c>
      <c r="K809" s="39" t="str">
        <f>IFERROR(__xludf.DUMMYFUNCTION("""COMPUTED_VALUE"""),"-")</f>
        <v>-</v>
      </c>
      <c r="L809" s="39" t="str">
        <f>IFERROR(__xludf.DUMMYFUNCTION("""COMPUTED_VALUE"""),"-")</f>
        <v>-</v>
      </c>
      <c r="M809" s="39" t="str">
        <f>IFERROR(__xludf.DUMMYFUNCTION("""COMPUTED_VALUE"""),"[U]")</f>
        <v>[U]</v>
      </c>
      <c r="N809" s="39" t="str">
        <f>IFERROR(__xludf.DUMMYFUNCTION("""COMPUTED_VALUE"""),"""If you want to serve me...and live...get on this disc now!""")</f>
        <v>"If you want to serve me...and live...get on this disc now!"</v>
      </c>
      <c r="O809" s="39"/>
      <c r="P809" s="39"/>
      <c r="Q809" s="39"/>
      <c r="R809" s="39"/>
      <c r="S809" s="39"/>
      <c r="T809" s="39"/>
      <c r="U809" s="39"/>
      <c r="V809" s="39"/>
      <c r="W809" s="39"/>
      <c r="X809" s="39"/>
      <c r="Y809" s="39"/>
      <c r="Z809" s="39"/>
    </row>
    <row r="810">
      <c r="A810" s="39" t="str">
        <f>IFERROR(__xludf.DUMMYFUNCTION("""COMPUTED_VALUE"""),"M-428")</f>
        <v>M-428</v>
      </c>
      <c r="B810" s="39" t="str">
        <f>IFERROR(__xludf.DUMMYFUNCTION("""COMPUTED_VALUE"""),"Mamodo")</f>
        <v>Mamodo</v>
      </c>
      <c r="C810" s="39" t="str">
        <f>IFERROR(__xludf.DUMMYFUNCTION("""COMPUTED_VALUE"""),"Riou (Berserker)")</f>
        <v>Riou (Berserker)</v>
      </c>
      <c r="D810" s="39" t="str">
        <f>IFERROR(__xludf.DUMMYFUNCTION("""COMPUTED_VALUE"""),"Riou (Berserker)")</f>
        <v>Riou (Berserker)</v>
      </c>
      <c r="E810" s="39" t="str">
        <f>IFERROR(__xludf.DUMMYFUNCTION("""COMPUTED_VALUE"""),"-")</f>
        <v>-</v>
      </c>
      <c r="F810" s="39" t="str">
        <f>IFERROR(__xludf.DUMMYFUNCTION("""COMPUTED_VALUE"""),"-")</f>
        <v>-</v>
      </c>
      <c r="G810" s="39" t="str">
        <f>IFERROR(__xludf.DUMMYFUNCTION("""COMPUTED_VALUE"""),"Intermediate")</f>
        <v>Intermediate</v>
      </c>
      <c r="H810" s="39" t="str">
        <f>IFERROR(__xludf.DUMMYFUNCTION("""COMPUTED_VALUE"""),"Ferocious Power")</f>
        <v>Ferocious Power</v>
      </c>
      <c r="I810" s="40" t="str">
        <f>IFERROR(__xludf.DUMMYFUNCTION("""COMPUTED_VALUE"""),"This card is placed on a regular Riou MAMODO card when a Gigfadom Barsuruk SPELL card is played for the Riou MAMODO card. (Attack) (Defend) [2 MP] This card may Attack without using a SPELL card (Total Power=10000, Damage=2) OR, Defend without using a SPE"&amp;"LL card (Total Power=10000).")</f>
        <v>This card is placed on a regular Riou MAMODO card when a Gigfadom Barsuruk SPELL card is played for the Riou MAMODO card. (Attack) (Defend) [2 MP] This card may Attack without using a SPELL card (Total Power=10000, Damage=2) OR, Defend without using a SPELL card (Total Power=10000).</v>
      </c>
      <c r="J810" s="39">
        <f>IFERROR(__xludf.DUMMYFUNCTION("""COMPUTED_VALUE"""),8000.0)</f>
        <v>8000</v>
      </c>
      <c r="K810" s="39" t="str">
        <f>IFERROR(__xludf.DUMMYFUNCTION("""COMPUTED_VALUE"""),"-")</f>
        <v>-</v>
      </c>
      <c r="L810" s="39" t="str">
        <f>IFERROR(__xludf.DUMMYFUNCTION("""COMPUTED_VALUE"""),"-")</f>
        <v>-</v>
      </c>
      <c r="M810" s="39" t="str">
        <f>IFERROR(__xludf.DUMMYFUNCTION("""COMPUTED_VALUE"""),"[U]")</f>
        <v>[U]</v>
      </c>
      <c r="N810" s="39" t="str">
        <f>IFERROR(__xludf.DUMMYFUNCTION("""COMPUTED_VALUE"""),"Riou gained a tremendous amount of forbidden power from the Girfadom Barsuruk spell.")</f>
        <v>Riou gained a tremendous amount of forbidden power from the Girfadom Barsuruk spell.</v>
      </c>
      <c r="O810" s="39"/>
      <c r="P810" s="39"/>
      <c r="Q810" s="39"/>
      <c r="R810" s="39"/>
      <c r="S810" s="39"/>
      <c r="T810" s="39"/>
      <c r="U810" s="39"/>
      <c r="V810" s="39"/>
      <c r="W810" s="39"/>
      <c r="X810" s="39"/>
      <c r="Y810" s="39"/>
      <c r="Z810" s="39"/>
    </row>
    <row r="811">
      <c r="A811" s="39" t="str">
        <f>IFERROR(__xludf.DUMMYFUNCTION("""COMPUTED_VALUE"""),"M-429")</f>
        <v>M-429</v>
      </c>
      <c r="B811" s="39" t="str">
        <f>IFERROR(__xludf.DUMMYFUNCTION("""COMPUTED_VALUE"""),"Mamodo")</f>
        <v>Mamodo</v>
      </c>
      <c r="C811" s="39" t="str">
        <f>IFERROR(__xludf.DUMMYFUNCTION("""COMPUTED_VALUE"""),"Zeno")</f>
        <v>Zeno</v>
      </c>
      <c r="D811" s="39" t="str">
        <f>IFERROR(__xludf.DUMMYFUNCTION("""COMPUTED_VALUE"""),"Zeno")</f>
        <v>Zeno</v>
      </c>
      <c r="E811" s="39" t="str">
        <f>IFERROR(__xludf.DUMMYFUNCTION("""COMPUTED_VALUE"""),"-")</f>
        <v>-</v>
      </c>
      <c r="F811" s="39" t="str">
        <f>IFERROR(__xludf.DUMMYFUNCTION("""COMPUTED_VALUE"""),"-")</f>
        <v>-</v>
      </c>
      <c r="G811" s="39" t="str">
        <f>IFERROR(__xludf.DUMMYFUNCTION("""COMPUTED_VALUE"""),"None")</f>
        <v>None</v>
      </c>
      <c r="H811" s="39" t="str">
        <f>IFERROR(__xludf.DUMMYFUNCTION("""COMPUTED_VALUE"""),"Unfazed")</f>
        <v>Unfazed</v>
      </c>
      <c r="I811" s="40" t="str">
        <f>IFERROR(__xludf.DUMMYFUNCTION("""COMPUTED_VALUE"""),"[2 MP] [STAY] Select 1 of your opponent's in-play MAMODO cards. Your opponent cannot apply the effects of the selected MAMODO card during this turn.")</f>
        <v>[2 MP] [STAY] Select 1 of your opponent's in-play MAMODO cards. Your opponent cannot apply the effects of the selected MAMODO card during this turn.</v>
      </c>
      <c r="J811" s="39">
        <f>IFERROR(__xludf.DUMMYFUNCTION("""COMPUTED_VALUE"""),6000.0)</f>
        <v>6000</v>
      </c>
      <c r="K811" s="39" t="str">
        <f>IFERROR(__xludf.DUMMYFUNCTION("""COMPUTED_VALUE"""),"-")</f>
        <v>-</v>
      </c>
      <c r="L811" s="39" t="str">
        <f>IFERROR(__xludf.DUMMYFUNCTION("""COMPUTED_VALUE"""),"-")</f>
        <v>-</v>
      </c>
      <c r="M811" s="39" t="str">
        <f>IFERROR(__xludf.DUMMYFUNCTION("""COMPUTED_VALUE"""),"[SR]")</f>
        <v>[SR]</v>
      </c>
      <c r="N811" s="39" t="str">
        <f>IFERROR(__xludf.DUMMYFUNCTION("""COMPUTED_VALUE"""),"Even when staring down Riou's most powerful spell, he calmly holds his hand out in front of him...")</f>
        <v>Even when staring down Riou's most powerful spell, he calmly holds his hand out in front of him...</v>
      </c>
      <c r="O811" s="39"/>
      <c r="P811" s="39"/>
      <c r="Q811" s="39"/>
      <c r="R811" s="39"/>
      <c r="S811" s="39"/>
      <c r="T811" s="39"/>
      <c r="U811" s="39"/>
      <c r="V811" s="39"/>
      <c r="W811" s="39"/>
      <c r="X811" s="39"/>
      <c r="Y811" s="39"/>
      <c r="Z811" s="39"/>
    </row>
    <row r="812">
      <c r="A812" s="42" t="str">
        <f>IFERROR(__xludf.DUMMYFUNCTION("""COMPUTED_VALUE"""),"M-430")</f>
        <v>M-430</v>
      </c>
      <c r="B812" s="42" t="str">
        <f>IFERROR(__xludf.DUMMYFUNCTION("""COMPUTED_VALUE"""),"VS Mamodo")</f>
        <v>VS Mamodo</v>
      </c>
      <c r="C812" s="42" t="str">
        <f>IFERROR(__xludf.DUMMYFUNCTION("""COMPUTED_VALUE"""),"Zeno VS Riou")</f>
        <v>Zeno VS Riou</v>
      </c>
      <c r="D812" s="42" t="str">
        <f>IFERROR(__xludf.DUMMYFUNCTION("""COMPUTED_VALUE"""),"Zeno VS Riou")</f>
        <v>Zeno VS Riou</v>
      </c>
      <c r="E812" s="42" t="str">
        <f>IFERROR(__xludf.DUMMYFUNCTION("""COMPUTED_VALUE"""),"-")</f>
        <v>-</v>
      </c>
      <c r="F812" s="42" t="str">
        <f>IFERROR(__xludf.DUMMYFUNCTION("""COMPUTED_VALUE"""),"-")</f>
        <v>-</v>
      </c>
      <c r="G812" s="42" t="str">
        <f>IFERROR(__xludf.DUMMYFUNCTION("""COMPUTED_VALUE"""),"None")</f>
        <v>None</v>
      </c>
      <c r="H812" s="42" t="str">
        <f>IFERROR(__xludf.DUMMYFUNCTION("""COMPUTED_VALUE"""),"Outclassed")</f>
        <v>Outclassed</v>
      </c>
      <c r="I812" s="43" t="str">
        <f>IFERROR(__xludf.DUMMYFUNCTION("""COMPUTED_VALUE"""),"Send either player's in-play Zeno or Riou MAMODO card to the Discard Pile to put this MAMODO card in play. [IN PLAY] During the Battle when this MAMODO card Attacks, your opponent can neither play SPELL cards for, nor can they SACRIFICE or PROTECT their S"&amp;"pell Book from Damage with, any of their MAMODO cards that have less than half the Power of this MAMODO card.")</f>
        <v>Send either player's in-play Zeno or Riou MAMODO card to the Discard Pile to put this MAMODO card in play. [IN PLAY] During the Battle when this MAMODO card Attacks, your opponent can neither play SPELL cards for, nor can they SACRIFICE or PROTECT their Spell Book from Damage with, any of their MAMODO cards that have less than half the Power of this MAMODO card.</v>
      </c>
      <c r="J812" s="42">
        <f>IFERROR(__xludf.DUMMYFUNCTION("""COMPUTED_VALUE"""),6000.0)</f>
        <v>6000</v>
      </c>
      <c r="K812" s="42" t="str">
        <f>IFERROR(__xludf.DUMMYFUNCTION("""COMPUTED_VALUE"""),"-")</f>
        <v>-</v>
      </c>
      <c r="L812" s="42" t="str">
        <f>IFERROR(__xludf.DUMMYFUNCTION("""COMPUTED_VALUE"""),"-")</f>
        <v>-</v>
      </c>
      <c r="M812" s="42" t="str">
        <f>IFERROR(__xludf.DUMMYFUNCTION("""COMPUTED_VALUE"""),"[U]")</f>
        <v>[U]</v>
      </c>
      <c r="N812" s="42" t="str">
        <f>IFERROR(__xludf.DUMMYFUNCTION("""COMPUTED_VALUE"""),"""Is this just a bad dream? He's treating Riou like a child...""")</f>
        <v>"Is this just a bad dream? He's treating Riou like a child..."</v>
      </c>
      <c r="O812" s="42"/>
      <c r="P812" s="42"/>
      <c r="Q812" s="42"/>
      <c r="R812" s="42"/>
      <c r="S812" s="42"/>
      <c r="T812" s="42"/>
      <c r="U812" s="42"/>
      <c r="V812" s="42"/>
      <c r="W812" s="42"/>
      <c r="X812" s="42"/>
      <c r="Y812" s="42"/>
      <c r="Z812" s="42"/>
    </row>
    <row r="813">
      <c r="A813" s="42" t="str">
        <f>IFERROR(__xludf.DUMMYFUNCTION("""COMPUTED_VALUE"""),"M-431")</f>
        <v>M-431</v>
      </c>
      <c r="B813" s="42" t="str">
        <f>IFERROR(__xludf.DUMMYFUNCTION("""COMPUTED_VALUE"""),"VS Mamodo")</f>
        <v>VS Mamodo</v>
      </c>
      <c r="C813" s="42" t="str">
        <f>IFERROR(__xludf.DUMMYFUNCTION("""COMPUTED_VALUE"""),"Zeno VS Zatch Bell")</f>
        <v>Zeno VS Zatch Bell</v>
      </c>
      <c r="D813" s="42" t="str">
        <f>IFERROR(__xludf.DUMMYFUNCTION("""COMPUTED_VALUE"""),"Zeno VS Zatch Bell")</f>
        <v>Zeno VS Zatch Bell</v>
      </c>
      <c r="E813" s="42" t="str">
        <f>IFERROR(__xludf.DUMMYFUNCTION("""COMPUTED_VALUE"""),"-")</f>
        <v>-</v>
      </c>
      <c r="F813" s="42" t="str">
        <f>IFERROR(__xludf.DUMMYFUNCTION("""COMPUTED_VALUE"""),"-")</f>
        <v>-</v>
      </c>
      <c r="G813" s="42" t="str">
        <f>IFERROR(__xludf.DUMMYFUNCTION("""COMPUTED_VALUE"""),"None")</f>
        <v>None</v>
      </c>
      <c r="H813" s="42" t="str">
        <f>IFERROR(__xludf.DUMMYFUNCTION("""COMPUTED_VALUE"""),"Gold &amp; Silver")</f>
        <v>Gold &amp; Silver</v>
      </c>
      <c r="I813" s="43" t="str">
        <f>IFERROR(__xludf.DUMMYFUNCTION("""COMPUTED_VALUE"""),"Send either player's in-play Zeno or Zatch Bell MAMODO card to the Discard Pile to put this MAMODO card in play. [IN PLAY] Apply 1 of the following effects at each player's END PHASE: ● Get 1 MP. ● Reduce your opponent's MP by 1.")</f>
        <v>Send either player's in-play Zeno or Zatch Bell MAMODO card to the Discard Pile to put this MAMODO card in play. [IN PLAY] Apply 1 of the following effects at each player's END PHASE: ● Get 1 MP. ● Reduce your opponent's MP by 1.</v>
      </c>
      <c r="J813" s="42">
        <f>IFERROR(__xludf.DUMMYFUNCTION("""COMPUTED_VALUE"""),6000.0)</f>
        <v>6000</v>
      </c>
      <c r="K813" s="42" t="str">
        <f>IFERROR(__xludf.DUMMYFUNCTION("""COMPUTED_VALUE"""),"-")</f>
        <v>-</v>
      </c>
      <c r="L813" s="42" t="str">
        <f>IFERROR(__xludf.DUMMYFUNCTION("""COMPUTED_VALUE"""),"-")</f>
        <v>-</v>
      </c>
      <c r="M813" s="42" t="str">
        <f>IFERROR(__xludf.DUMMYFUNCTION("""COMPUTED_VALUE"""),"[SR]")</f>
        <v>[SR]</v>
      </c>
      <c r="N813" s="42" t="str">
        <f>IFERROR(__xludf.DUMMYFUNCTION("""COMPUTED_VALUE"""),"""Zeno... I have a feeling that...I'm gonna have to be the one to fight against him.""")</f>
        <v>"Zeno... I have a feeling that...I'm gonna have to be the one to fight against him."</v>
      </c>
      <c r="O813" s="42"/>
      <c r="P813" s="42"/>
      <c r="Q813" s="42"/>
      <c r="R813" s="42"/>
      <c r="S813" s="42"/>
      <c r="T813" s="42"/>
      <c r="U813" s="42"/>
      <c r="V813" s="42"/>
      <c r="W813" s="42"/>
      <c r="X813" s="42"/>
      <c r="Y813" s="42"/>
      <c r="Z813" s="42"/>
    </row>
    <row r="814">
      <c r="A814" s="42" t="str">
        <f>IFERROR(__xludf.DUMMYFUNCTION("""COMPUTED_VALUE"""),"M-432")</f>
        <v>M-432</v>
      </c>
      <c r="B814" s="42" t="str">
        <f>IFERROR(__xludf.DUMMYFUNCTION("""COMPUTED_VALUE"""),"Mamodo")</f>
        <v>Mamodo</v>
      </c>
      <c r="C814" s="42" t="str">
        <f>IFERROR(__xludf.DUMMYFUNCTION("""COMPUTED_VALUE"""),"Zeno")</f>
        <v>Zeno</v>
      </c>
      <c r="D814" s="42" t="str">
        <f>IFERROR(__xludf.DUMMYFUNCTION("""COMPUTED_VALUE"""),"Zeno")</f>
        <v>Zeno</v>
      </c>
      <c r="E814" s="42" t="str">
        <f>IFERROR(__xludf.DUMMYFUNCTION("""COMPUTED_VALUE"""),"-")</f>
        <v>-</v>
      </c>
      <c r="F814" s="42" t="str">
        <f>IFERROR(__xludf.DUMMYFUNCTION("""COMPUTED_VALUE"""),"-")</f>
        <v>-</v>
      </c>
      <c r="G814" s="42" t="str">
        <f>IFERROR(__xludf.DUMMYFUNCTION("""COMPUTED_VALUE"""),"Intermediate")</f>
        <v>Intermediate</v>
      </c>
      <c r="H814" s="42" t="str">
        <f>IFERROR(__xludf.DUMMYFUNCTION("""COMPUTED_VALUE"""),"An Invitation to Faudo")</f>
        <v>An Invitation to Faudo</v>
      </c>
      <c r="I814" s="43" t="str">
        <f>IFERROR(__xludf.DUMMYFUNCTION("""COMPUTED_VALUE"""),"[HIDE MAMODO] This card is put in play away face-down, away from your MAMODO card area. With 1 Action, you can flip this card face-up and put it in play. [IN PLAY] When this card is flipped face-up, send 1 of your opponent's in-play MAMODO cards to the Di"&amp;"scard Pile. Your opponent may select 1 MAMODO card from any page of their Spell Book and put it in play.")</f>
        <v>[HIDE MAMODO] This card is put in play away face-down, away from your MAMODO card area. With 1 Action, you can flip this card face-up and put it in play. [IN PLAY] When this card is flipped face-up, send 1 of your opponent's in-play MAMODO cards to the Discard Pile. Your opponent may select 1 MAMODO card from any page of their Spell Book and put it in play.</v>
      </c>
      <c r="J814" s="42">
        <f>IFERROR(__xludf.DUMMYFUNCTION("""COMPUTED_VALUE"""),7000.0)</f>
        <v>7000</v>
      </c>
      <c r="K814" s="42" t="str">
        <f>IFERROR(__xludf.DUMMYFUNCTION("""COMPUTED_VALUE"""),"-")</f>
        <v>-</v>
      </c>
      <c r="L814" s="42" t="str">
        <f>IFERROR(__xludf.DUMMYFUNCTION("""COMPUTED_VALUE"""),"-")</f>
        <v>-</v>
      </c>
      <c r="M814" s="42" t="str">
        <f>IFERROR(__xludf.DUMMYFUNCTION("""COMPUTED_VALUE"""),"[R]")</f>
        <v>[R]</v>
      </c>
      <c r="N814" s="42" t="str">
        <f>IFERROR(__xludf.DUMMYFUNCTION("""COMPUTED_VALUE"""),"""If it weren't for me, Zatch wouldn't be here...and you wouldn't have been able to revive Faudo using his power.""")</f>
        <v>"If it weren't for me, Zatch wouldn't be here...and you wouldn't have been able to revive Faudo using his power."</v>
      </c>
      <c r="O814" s="42"/>
      <c r="P814" s="42"/>
      <c r="Q814" s="42"/>
      <c r="R814" s="42"/>
      <c r="S814" s="42"/>
      <c r="T814" s="42"/>
      <c r="U814" s="42"/>
      <c r="V814" s="42"/>
      <c r="W814" s="42"/>
      <c r="X814" s="42"/>
      <c r="Y814" s="42"/>
      <c r="Z814" s="42"/>
    </row>
    <row r="815">
      <c r="A815" s="42" t="str">
        <f>IFERROR(__xludf.DUMMYFUNCTION("""COMPUTED_VALUE"""),"M-433ab")</f>
        <v>M-433ab</v>
      </c>
      <c r="B815" s="42" t="str">
        <f>IFERROR(__xludf.DUMMYFUNCTION("""COMPUTED_VALUE"""),"Triple Mamodo")</f>
        <v>Triple Mamodo</v>
      </c>
      <c r="C815" s="42" t="str">
        <f>IFERROR(__xludf.DUMMYFUNCTION("""COMPUTED_VALUE"""),"Zatch Bell &amp; Kanchomé &amp; Ponygon")</f>
        <v>Zatch Bell &amp; Kanchomé &amp; Ponygon</v>
      </c>
      <c r="D815" s="42" t="str">
        <f>IFERROR(__xludf.DUMMYFUNCTION("""COMPUTED_VALUE"""),"Zatch Bell &amp; Kanchomé &amp; Ponygon")</f>
        <v>Zatch Bell &amp; Kanchomé &amp; Ponygon</v>
      </c>
      <c r="E815" s="42" t="str">
        <f>IFERROR(__xludf.DUMMYFUNCTION("""COMPUTED_VALUE"""),"-")</f>
        <v>-</v>
      </c>
      <c r="F815" s="42" t="str">
        <f>IFERROR(__xludf.DUMMYFUNCTION("""COMPUTED_VALUE"""),"-")</f>
        <v>-</v>
      </c>
      <c r="G815" s="42" t="str">
        <f>IFERROR(__xludf.DUMMYFUNCTION("""COMPUTED_VALUE"""),"Intermediate")</f>
        <v>Intermediate</v>
      </c>
      <c r="H815" s="42" t="str">
        <f>IFERROR(__xludf.DUMMYFUNCTION("""COMPUTED_VALUE"""),"The Power Of Three")</f>
        <v>The Power Of Three</v>
      </c>
      <c r="I815" s="43" t="str">
        <f>IFERROR(__xludf.DUMMYFUNCTION("""COMPUTED_VALUE"""),"[TRIPLE MAMODO] Send 2 of any combination of your in-play Zatch Bell, Kanchomé, and Ponygon DUAL MAMODO cards to the Discard Pile to put M-433a and M-433b in play (both are considered to be 1 card while in play). (Battle) [IN PLAY] These effects can be ap"&amp;"plied, and you can SACRIFICE or PROTECT your Spell Book from Damage, even when prohibited. [IN PLAY] This MAMODO card cannot be sent to the Discard Pile by your opponent's card effects (except from Damage). This effect can be applied even when prohibited "&amp;"to do so.")</f>
        <v>[TRIPLE MAMODO] Send 2 of any combination of your in-play Zatch Bell, Kanchomé, and Ponygon DUAL MAMODO cards to the Discard Pile to put M-433a and M-433b in play (both are considered to be 1 card while in play). (Battle) [IN PLAY] These effects can be applied, and you can SACRIFICE or PROTECT your Spell Book from Damage, even when prohibited. [IN PLAY] This MAMODO card cannot be sent to the Discard Pile by your opponent's card effects (except from Damage). This effect can be applied even when prohibited to do so.</v>
      </c>
      <c r="J815" s="42">
        <f>IFERROR(__xludf.DUMMYFUNCTION("""COMPUTED_VALUE"""),5000.0)</f>
        <v>5000</v>
      </c>
      <c r="K815" s="42" t="str">
        <f>IFERROR(__xludf.DUMMYFUNCTION("""COMPUTED_VALUE"""),"-")</f>
        <v>-</v>
      </c>
      <c r="L815" s="42" t="str">
        <f>IFERROR(__xludf.DUMMYFUNCTION("""COMPUTED_VALUE"""),"-")</f>
        <v>-</v>
      </c>
      <c r="M815" s="42" t="str">
        <f>IFERROR(__xludf.DUMMYFUNCTION("""COMPUTED_VALUE"""),"[R]")</f>
        <v>[R]</v>
      </c>
      <c r="N815" s="42" t="str">
        <f>IFERROR(__xludf.DUMMYFUNCTION("""COMPUTED_VALUE"""),"""Let's go, Ponygon! Run as fast as you can!"" ""Meru meru me~"" ""Waaaah, wait! I'm gonna fall off!""")</f>
        <v>"Let's go, Ponygon! Run as fast as you can!" "Meru meru me~" "Waaaah, wait! I'm gonna fall off!"</v>
      </c>
      <c r="O815" s="42"/>
      <c r="P815" s="42"/>
      <c r="Q815" s="42"/>
      <c r="R815" s="42"/>
      <c r="S815" s="42"/>
      <c r="T815" s="42"/>
      <c r="U815" s="42"/>
      <c r="V815" s="42"/>
      <c r="W815" s="42"/>
      <c r="X815" s="42"/>
      <c r="Y815" s="42"/>
      <c r="Z815" s="42"/>
    </row>
    <row r="816">
      <c r="A816" s="42" t="str">
        <f>IFERROR(__xludf.DUMMYFUNCTION("""COMPUTED_VALUE"""),"M-434ab")</f>
        <v>M-434ab</v>
      </c>
      <c r="B816" s="42" t="str">
        <f>IFERROR(__xludf.DUMMYFUNCTION("""COMPUTED_VALUE"""),"Dual Mamodo")</f>
        <v>Dual Mamodo</v>
      </c>
      <c r="C816" s="42" t="str">
        <f>IFERROR(__xludf.DUMMYFUNCTION("""COMPUTED_VALUE"""),"Zeno &amp; Faudo")</f>
        <v>Zeno &amp; Faudo</v>
      </c>
      <c r="D816" s="42" t="str">
        <f>IFERROR(__xludf.DUMMYFUNCTION("""COMPUTED_VALUE"""),"Zeno &amp; Faudo")</f>
        <v>Zeno &amp; Faudo</v>
      </c>
      <c r="E816" s="42" t="str">
        <f>IFERROR(__xludf.DUMMYFUNCTION("""COMPUTED_VALUE"""),"-")</f>
        <v>-</v>
      </c>
      <c r="F816" s="42" t="str">
        <f>IFERROR(__xludf.DUMMYFUNCTION("""COMPUTED_VALUE"""),"-")</f>
        <v>-</v>
      </c>
      <c r="G816" s="42" t="str">
        <f>IFERROR(__xludf.DUMMYFUNCTION("""COMPUTED_VALUE"""),"Intermediate")</f>
        <v>Intermediate</v>
      </c>
      <c r="H816" s="42" t="str">
        <f>IFERROR(__xludf.DUMMYFUNCTION("""COMPUTED_VALUE"""),"Faudo's Master")</f>
        <v>Faudo's Master</v>
      </c>
      <c r="I816" s="43" t="str">
        <f>IFERROR(__xludf.DUMMYFUNCTION("""COMPUTED_VALUE"""),"Send your in-play Faudo MAMODO card to the Discard Pile, OR if either player has successfully played 3 or more [Seal Breaker] SPELLS during this game, send your in-play Zeno MAMODO card to the Discard Pile to put both M-434a and M-434b in play (both M-434"&amp;"a and M-434b are considered to be 1 card while in play). [IN PLAY] The MP cost of all your ""Command"" SPELL cards with Faudo as their MAMODO name is considered to be 0.")</f>
        <v>Send your in-play Faudo MAMODO card to the Discard Pile, OR if either player has successfully played 3 or more [Seal Breaker] SPELLS during this game, send your in-play Zeno MAMODO card to the Discard Pile to put both M-434a and M-434b in play (both M-434a and M-434b are considered to be 1 card while in play). [IN PLAY] The MP cost of all your "Command" SPELL cards with Faudo as their MAMODO name is considered to be 0.</v>
      </c>
      <c r="J816" s="42">
        <f>IFERROR(__xludf.DUMMYFUNCTION("""COMPUTED_VALUE"""),100000.0)</f>
        <v>100000</v>
      </c>
      <c r="K816" s="42" t="str">
        <f>IFERROR(__xludf.DUMMYFUNCTION("""COMPUTED_VALUE"""),"-")</f>
        <v>-</v>
      </c>
      <c r="L816" s="42" t="str">
        <f>IFERROR(__xludf.DUMMYFUNCTION("""COMPUTED_VALUE"""),"-")</f>
        <v>-</v>
      </c>
      <c r="M816" s="42" t="str">
        <f>IFERROR(__xludf.DUMMYFUNCTION("""COMPUTED_VALUE"""),"[R]")</f>
        <v>[R]</v>
      </c>
      <c r="N816" s="42" t="str">
        <f>IFERROR(__xludf.DUMMYFUNCTION("""COMPUTED_VALUE"""),"""Attention, all mamodo inside Faudo. This is Zeno. From now on...Faudo is under my ownership.""")</f>
        <v>"Attention, all mamodo inside Faudo. This is Zeno. From now on...Faudo is under my ownership."</v>
      </c>
      <c r="O816" s="42"/>
      <c r="P816" s="42"/>
      <c r="Q816" s="42"/>
      <c r="R816" s="42"/>
      <c r="S816" s="42"/>
      <c r="T816" s="42"/>
      <c r="U816" s="42"/>
      <c r="V816" s="42"/>
      <c r="W816" s="42"/>
      <c r="X816" s="42"/>
      <c r="Y816" s="42"/>
      <c r="Z816" s="42"/>
    </row>
    <row r="817">
      <c r="A817" s="42" t="str">
        <f>IFERROR(__xludf.DUMMYFUNCTION("""COMPUTED_VALUE"""),"M-435")</f>
        <v>M-435</v>
      </c>
      <c r="B817" s="42" t="str">
        <f>IFERROR(__xludf.DUMMYFUNCTION("""COMPUTED_VALUE"""),"Mamodo")</f>
        <v>Mamodo</v>
      </c>
      <c r="C817" s="42" t="str">
        <f>IFERROR(__xludf.DUMMYFUNCTION("""COMPUTED_VALUE"""),"Zatch Bell")</f>
        <v>Zatch Bell</v>
      </c>
      <c r="D817" s="42" t="str">
        <f>IFERROR(__xludf.DUMMYFUNCTION("""COMPUTED_VALUE"""),"Zatch Bell")</f>
        <v>Zatch Bell</v>
      </c>
      <c r="E817" s="42" t="str">
        <f>IFERROR(__xludf.DUMMYFUNCTION("""COMPUTED_VALUE"""),"-")</f>
        <v>-</v>
      </c>
      <c r="F817" s="42" t="str">
        <f>IFERROR(__xludf.DUMMYFUNCTION("""COMPUTED_VALUE"""),"-")</f>
        <v>-</v>
      </c>
      <c r="G817" s="42" t="str">
        <f>IFERROR(__xludf.DUMMYFUNCTION("""COMPUTED_VALUE"""),"Intermediate")</f>
        <v>Intermediate</v>
      </c>
      <c r="H817" s="42" t="str">
        <f>IFERROR(__xludf.DUMMYFUNCTION("""COMPUTED_VALUE"""),"All of Our Power")</f>
        <v>All of Our Power</v>
      </c>
      <c r="I817" s="43" t="str">
        <f>IFERROR(__xludf.DUMMYFUNCTION("""COMPUTED_VALUE"""),"[HIDE MAMODO] This card is put in play away face-down, away from your MAMODO card area. With 1 Action, you can flip this card face-up and put it in play. [IN PLAY] Turn 1 back page of your Spell Book immediately when this card is flipped face-up. You may "&amp;"reduce your MP by 4 to turn back 2 pages instead. This effect can be applied only once per game (per player).")</f>
        <v>[HIDE MAMODO] This card is put in play away face-down, away from your MAMODO card area. With 1 Action, you can flip this card face-up and put it in play. [IN PLAY] Turn 1 back page of your Spell Book immediately when this card is flipped face-up. You may reduce your MP by 4 to turn back 2 pages instead. This effect can be applied only once per game (per player).</v>
      </c>
      <c r="J817" s="42">
        <f>IFERROR(__xludf.DUMMYFUNCTION("""COMPUTED_VALUE"""),4500.0)</f>
        <v>4500</v>
      </c>
      <c r="K817" s="42" t="str">
        <f>IFERROR(__xludf.DUMMYFUNCTION("""COMPUTED_VALUE"""),"-")</f>
        <v>-</v>
      </c>
      <c r="L817" s="42" t="str">
        <f>IFERROR(__xludf.DUMMYFUNCTION("""COMPUTED_VALUE"""),"-")</f>
        <v>-</v>
      </c>
      <c r="M817" s="42" t="str">
        <f>IFERROR(__xludf.DUMMYFUNCTION("""COMPUTED_VALUE"""),"[SR]")</f>
        <v>[SR]</v>
      </c>
      <c r="N817" s="42" t="str">
        <f>IFERROR(__xludf.DUMMYFUNCTION("""COMPUTED_VALUE"""),"""Please! I want to help everybody!""")</f>
        <v>"Please! I want to help everybody!"</v>
      </c>
      <c r="O817" s="42"/>
      <c r="P817" s="42"/>
      <c r="Q817" s="42"/>
      <c r="R817" s="42"/>
      <c r="S817" s="42"/>
      <c r="T817" s="42"/>
      <c r="U817" s="42"/>
      <c r="V817" s="42"/>
      <c r="W817" s="42"/>
      <c r="X817" s="42"/>
      <c r="Y817" s="42"/>
      <c r="Z817" s="42"/>
    </row>
    <row r="818">
      <c r="A818" s="42" t="str">
        <f>IFERROR(__xludf.DUMMYFUNCTION("""COMPUTED_VALUE"""),"M-436")</f>
        <v>M-436</v>
      </c>
      <c r="B818" s="42" t="str">
        <f>IFERROR(__xludf.DUMMYFUNCTION("""COMPUTED_VALUE"""),"Mamodo")</f>
        <v>Mamodo</v>
      </c>
      <c r="C818" s="42" t="str">
        <f>IFERROR(__xludf.DUMMYFUNCTION("""COMPUTED_VALUE"""),"Ponygon (Dioemur Shudoruk Form)")</f>
        <v>Ponygon (Dioemur Shudoruk Form)</v>
      </c>
      <c r="D818" s="42" t="str">
        <f>IFERROR(__xludf.DUMMYFUNCTION("""COMPUTED_VALUE"""),"Ponygon")</f>
        <v>Ponygon</v>
      </c>
      <c r="E818" s="42" t="str">
        <f>IFERROR(__xludf.DUMMYFUNCTION("""COMPUTED_VALUE"""),"-")</f>
        <v>-</v>
      </c>
      <c r="F818" s="42" t="str">
        <f>IFERROR(__xludf.DUMMYFUNCTION("""COMPUTED_VALUE"""),"-")</f>
        <v>-</v>
      </c>
      <c r="G818" s="42" t="str">
        <f>IFERROR(__xludf.DUMMYFUNCTION("""COMPUTED_VALUE"""),"Intermediate")</f>
        <v>Intermediate</v>
      </c>
      <c r="H818" s="42" t="str">
        <f>IFERROR(__xludf.DUMMYFUNCTION("""COMPUTED_VALUE"""),"Flaming Pegasus")</f>
        <v>Flaming Pegasus</v>
      </c>
      <c r="I818" s="43" t="str">
        <f>IFERROR(__xludf.DUMMYFUNCTION("""COMPUTED_VALUE"""),"This card is placed on a Ponygon MAMODO card when a Dioemur Shudoruk SPELL card is played for the Ponygon MAMODO card. [1 MP] [STANDBY] Only once during this turn (per player), you can play 1 ""Command"" SPELL card with Ponygon (Dioemur Shudoruk Form) as "&amp;"its MAMODO name from any page of your Spell Book.")</f>
        <v>This card is placed on a Ponygon MAMODO card when a Dioemur Shudoruk SPELL card is played for the Ponygon MAMODO card. [1 MP] [STANDBY] Only once during this turn (per player), you can play 1 "Command" SPELL card with Ponygon (Dioemur Shudoruk Form) as its MAMODO name from any page of your Spell Book.</v>
      </c>
      <c r="J818" s="42">
        <f>IFERROR(__xludf.DUMMYFUNCTION("""COMPUTED_VALUE"""),6000.0)</f>
        <v>6000</v>
      </c>
      <c r="K818" s="42" t="str">
        <f>IFERROR(__xludf.DUMMYFUNCTION("""COMPUTED_VALUE"""),"-")</f>
        <v>-</v>
      </c>
      <c r="L818" s="42" t="str">
        <f>IFERROR(__xludf.DUMMYFUNCTION("""COMPUTED_VALUE"""),"-")</f>
        <v>-</v>
      </c>
      <c r="M818" s="42" t="str">
        <f>IFERROR(__xludf.DUMMYFUNCTION("""COMPUTED_VALUE"""),"[SR]")</f>
        <v>[SR]</v>
      </c>
      <c r="N818" s="42" t="str">
        <f>IFERROR(__xludf.DUMMYFUNCTION("""COMPUTED_VALUE"""),"""We'll get them with our combination of speed and flame!""")</f>
        <v>"We'll get them with our combination of speed and flame!"</v>
      </c>
      <c r="O818" s="42"/>
      <c r="P818" s="42"/>
      <c r="Q818" s="42"/>
      <c r="R818" s="42"/>
      <c r="S818" s="42"/>
      <c r="T818" s="42"/>
      <c r="U818" s="42"/>
      <c r="V818" s="42"/>
      <c r="W818" s="42"/>
      <c r="X818" s="42"/>
      <c r="Y818" s="42"/>
      <c r="Z818" s="42"/>
    </row>
    <row r="819">
      <c r="A819" s="42" t="str">
        <f>IFERROR(__xludf.DUMMYFUNCTION("""COMPUTED_VALUE"""),"M-437")</f>
        <v>M-437</v>
      </c>
      <c r="B819" s="42" t="str">
        <f>IFERROR(__xludf.DUMMYFUNCTION("""COMPUTED_VALUE"""),"Mamodo")</f>
        <v>Mamodo</v>
      </c>
      <c r="C819" s="42" t="str">
        <f>IFERROR(__xludf.DUMMYFUNCTION("""COMPUTED_VALUE"""),"Ted")</f>
        <v>Ted</v>
      </c>
      <c r="D819" s="42" t="str">
        <f>IFERROR(__xludf.DUMMYFUNCTION("""COMPUTED_VALUE"""),"Ted")</f>
        <v>Ted</v>
      </c>
      <c r="E819" s="42" t="str">
        <f>IFERROR(__xludf.DUMMYFUNCTION("""COMPUTED_VALUE"""),"-")</f>
        <v>-</v>
      </c>
      <c r="F819" s="42" t="str">
        <f>IFERROR(__xludf.DUMMYFUNCTION("""COMPUTED_VALUE"""),"-")</f>
        <v>-</v>
      </c>
      <c r="G819" s="42" t="str">
        <f>IFERROR(__xludf.DUMMYFUNCTION("""COMPUTED_VALUE"""),"Intermediate")</f>
        <v>Intermediate</v>
      </c>
      <c r="H819" s="42" t="str">
        <f>IFERROR(__xludf.DUMMYFUNCTION("""COMPUTED_VALUE"""),"I Came to Help")</f>
        <v>I Came to Help</v>
      </c>
      <c r="I819" s="43" t="str">
        <f>IFERROR(__xludf.DUMMYFUNCTION("""COMPUTED_VALUE"""),"[HIDE MAMODO] This card is put in play away face-down, away from your MAMODO card area. With 1 Action, you can flip this card face-up and put it in play. [IN PLAY] Turn 1 of your opponent's Normal Status MAMODO cards to Injured Status, OR send 1 of your o"&amp;"pponent's Injured MAMODO cards to the Discard Pile, immediately when this MAMODO card is flipped face-up.")</f>
        <v>[HIDE MAMODO] This card is put in play away face-down, away from your MAMODO card area. With 1 Action, you can flip this card face-up and put it in play. [IN PLAY] Turn 1 of your opponent's Normal Status MAMODO cards to Injured Status, OR send 1 of your opponent's Injured MAMODO cards to the Discard Pile, immediately when this MAMODO card is flipped face-up.</v>
      </c>
      <c r="J819" s="42">
        <f>IFERROR(__xludf.DUMMYFUNCTION("""COMPUTED_VALUE"""),4500.0)</f>
        <v>4500</v>
      </c>
      <c r="K819" s="42" t="str">
        <f>IFERROR(__xludf.DUMMYFUNCTION("""COMPUTED_VALUE"""),"-")</f>
        <v>-</v>
      </c>
      <c r="L819" s="42" t="str">
        <f>IFERROR(__xludf.DUMMYFUNCTION("""COMPUTED_VALUE"""),"-")</f>
        <v>-</v>
      </c>
      <c r="M819" s="42" t="str">
        <f>IFERROR(__xludf.DUMMYFUNCTION("""COMPUTED_VALUE"""),"[SR]")</f>
        <v>[SR]</v>
      </c>
      <c r="N819" s="42" t="str">
        <f>IFERROR(__xludf.DUMMYFUNCTION("""COMPUTED_VALUE"""),"""All right, Jido! Let's go help my friend Zatch!""")</f>
        <v>"All right, Jido! Let's go help my friend Zatch!"</v>
      </c>
      <c r="O819" s="42"/>
      <c r="P819" s="42"/>
      <c r="Q819" s="42"/>
      <c r="R819" s="42"/>
      <c r="S819" s="42"/>
      <c r="T819" s="42"/>
      <c r="U819" s="42"/>
      <c r="V819" s="42"/>
      <c r="W819" s="42"/>
      <c r="X819" s="42"/>
      <c r="Y819" s="42"/>
      <c r="Z819" s="42"/>
    </row>
    <row r="820">
      <c r="A820" s="42" t="str">
        <f>IFERROR(__xludf.DUMMYFUNCTION("""COMPUTED_VALUE"""),"M-438")</f>
        <v>M-438</v>
      </c>
      <c r="B820" s="42" t="str">
        <f>IFERROR(__xludf.DUMMYFUNCTION("""COMPUTED_VALUE"""),"Mamodo")</f>
        <v>Mamodo</v>
      </c>
      <c r="C820" s="42" t="str">
        <f>IFERROR(__xludf.DUMMYFUNCTION("""COMPUTED_VALUE"""),"Riya")</f>
        <v>Riya</v>
      </c>
      <c r="D820" s="42" t="str">
        <f>IFERROR(__xludf.DUMMYFUNCTION("""COMPUTED_VALUE"""),"Riya")</f>
        <v>Riya</v>
      </c>
      <c r="E820" s="42" t="str">
        <f>IFERROR(__xludf.DUMMYFUNCTION("""COMPUTED_VALUE"""),"-")</f>
        <v>-</v>
      </c>
      <c r="F820" s="42" t="str">
        <f>IFERROR(__xludf.DUMMYFUNCTION("""COMPUTED_VALUE"""),"-")</f>
        <v>-</v>
      </c>
      <c r="G820" s="42" t="str">
        <f>IFERROR(__xludf.DUMMYFUNCTION("""COMPUTED_VALUE"""),"None")</f>
        <v>None</v>
      </c>
      <c r="H820" s="42" t="str">
        <f>IFERROR(__xludf.DUMMYFUNCTION("""COMPUTED_VALUE"""),"Blood of the Wild")</f>
        <v>Blood of the Wild</v>
      </c>
      <c r="I820" s="43" t="str">
        <f>IFERROR(__xludf.DUMMYFUNCTION("""COMPUTED_VALUE"""),"(Attack) (Defend) [1 MP] This card may Attack without using a SPELL card (Total Power=8000, Damage=2) OR, Defend without using a SPELL card (Total Power=8000). If you applied the effects of an Alishie PARTNER card during this turn, this effect can be appl"&amp;"ied up to twice per turn (per player).")</f>
        <v>(Attack) (Defend) [1 MP] This card may Attack without using a SPELL card (Total Power=8000, Damage=2) OR, Defend without using a SPELL card (Total Power=8000). If you applied the effects of an Alishie PARTNER card during this turn, this effect can be applied up to twice per turn (per player).</v>
      </c>
      <c r="J820" s="42">
        <f>IFERROR(__xludf.DUMMYFUNCTION("""COMPUTED_VALUE"""),5000.0)</f>
        <v>5000</v>
      </c>
      <c r="K820" s="42" t="str">
        <f>IFERROR(__xludf.DUMMYFUNCTION("""COMPUTED_VALUE"""),"-")</f>
        <v>-</v>
      </c>
      <c r="L820" s="42" t="str">
        <f>IFERROR(__xludf.DUMMYFUNCTION("""COMPUTED_VALUE"""),"-")</f>
        <v>-</v>
      </c>
      <c r="M820" s="42" t="str">
        <f>IFERROR(__xludf.DUMMYFUNCTION("""COMPUTED_VALUE"""),"[C]")</f>
        <v>[C]</v>
      </c>
      <c r="N820" s="42" t="str">
        <f>IFERROR(__xludf.DUMMYFUNCTION("""COMPUTED_VALUE"""),"""I'm okay... Are you ready, Alishie? The attack we just got hit with has got my blood boiling.""")</f>
        <v>"I'm okay... Are you ready, Alishie? The attack we just got hit with has got my blood boiling."</v>
      </c>
      <c r="O820" s="42"/>
      <c r="P820" s="42"/>
      <c r="Q820" s="42"/>
      <c r="R820" s="42"/>
      <c r="S820" s="42"/>
      <c r="T820" s="42"/>
      <c r="U820" s="42"/>
      <c r="V820" s="42"/>
      <c r="W820" s="42"/>
      <c r="X820" s="42"/>
      <c r="Y820" s="42"/>
      <c r="Z820" s="42"/>
    </row>
    <row r="821">
      <c r="A821" s="42" t="str">
        <f>IFERROR(__xludf.DUMMYFUNCTION("""COMPUTED_VALUE"""),"M-439")</f>
        <v>M-439</v>
      </c>
      <c r="B821" s="42" t="str">
        <f>IFERROR(__xludf.DUMMYFUNCTION("""COMPUTED_VALUE"""),"Mamodo")</f>
        <v>Mamodo</v>
      </c>
      <c r="C821" s="42" t="str">
        <f>IFERROR(__xludf.DUMMYFUNCTION("""COMPUTED_VALUE"""),"Zaruchim")</f>
        <v>Zaruchim</v>
      </c>
      <c r="D821" s="42" t="str">
        <f>IFERROR(__xludf.DUMMYFUNCTION("""COMPUTED_VALUE"""),"Zaruchim")</f>
        <v>Zaruchim</v>
      </c>
      <c r="E821" s="42" t="str">
        <f>IFERROR(__xludf.DUMMYFUNCTION("""COMPUTED_VALUE"""),"-")</f>
        <v>-</v>
      </c>
      <c r="F821" s="42" t="str">
        <f>IFERROR(__xludf.DUMMYFUNCTION("""COMPUTED_VALUE"""),"-")</f>
        <v>-</v>
      </c>
      <c r="G821" s="42" t="str">
        <f>IFERROR(__xludf.DUMMYFUNCTION("""COMPUTED_VALUE"""),"None")</f>
        <v>None</v>
      </c>
      <c r="H821" s="42" t="str">
        <f>IFERROR(__xludf.DUMMYFUNCTION("""COMPUTED_VALUE"""),"Don't Avert Your Gaze")</f>
        <v>Don't Avert Your Gaze</v>
      </c>
      <c r="I821" s="43" t="str">
        <f>IFERROR(__xludf.DUMMYFUNCTION("""COMPUTED_VALUE"""),"[IN PLAY] Get MP equal to the number of pages of your Spell Book that you turn as a result of Damage times 2.")</f>
        <v>[IN PLAY] Get MP equal to the number of pages of your Spell Book that you turn as a result of Damage times 2.</v>
      </c>
      <c r="J821" s="42">
        <f>IFERROR(__xludf.DUMMYFUNCTION("""COMPUTED_VALUE"""),5000.0)</f>
        <v>5000</v>
      </c>
      <c r="K821" s="42" t="str">
        <f>IFERROR(__xludf.DUMMYFUNCTION("""COMPUTED_VALUE"""),"-")</f>
        <v>-</v>
      </c>
      <c r="L821" s="42" t="str">
        <f>IFERROR(__xludf.DUMMYFUNCTION("""COMPUTED_VALUE"""),"-")</f>
        <v>-</v>
      </c>
      <c r="M821" s="42" t="str">
        <f>IFERROR(__xludf.DUMMYFUNCTION("""COMPUTED_VALUE"""),"[C]")</f>
        <v>[C]</v>
      </c>
      <c r="N821" s="42" t="str">
        <f>IFERROR(__xludf.DUMMYFUNCTION("""COMPUTED_VALUE"""),"""I hate that look... I'll teach you the humiliation of defeat!""")</f>
        <v>"I hate that look... I'll teach you the humiliation of defeat!"</v>
      </c>
      <c r="O821" s="42"/>
      <c r="P821" s="42"/>
      <c r="Q821" s="42"/>
      <c r="R821" s="42"/>
      <c r="S821" s="42"/>
      <c r="T821" s="42"/>
      <c r="U821" s="42"/>
      <c r="V821" s="42"/>
      <c r="W821" s="42"/>
      <c r="X821" s="42"/>
      <c r="Y821" s="42"/>
      <c r="Z821" s="42"/>
    </row>
    <row r="822">
      <c r="A822" s="42" t="str">
        <f>IFERROR(__xludf.DUMMYFUNCTION("""COMPUTED_VALUE"""),"M-440")</f>
        <v>M-440</v>
      </c>
      <c r="B822" s="42" t="str">
        <f>IFERROR(__xludf.DUMMYFUNCTION("""COMPUTED_VALUE"""),"Mamodo")</f>
        <v>Mamodo</v>
      </c>
      <c r="C822" s="42" t="str">
        <f>IFERROR(__xludf.DUMMYFUNCTION("""COMPUTED_VALUE"""),"Fango")</f>
        <v>Fango</v>
      </c>
      <c r="D822" s="42" t="str">
        <f>IFERROR(__xludf.DUMMYFUNCTION("""COMPUTED_VALUE"""),"Fango")</f>
        <v>Fango</v>
      </c>
      <c r="E822" s="42" t="str">
        <f>IFERROR(__xludf.DUMMYFUNCTION("""COMPUTED_VALUE"""),"-")</f>
        <v>-</v>
      </c>
      <c r="F822" s="42" t="str">
        <f>IFERROR(__xludf.DUMMYFUNCTION("""COMPUTED_VALUE"""),"-")</f>
        <v>-</v>
      </c>
      <c r="G822" s="42" t="str">
        <f>IFERROR(__xludf.DUMMYFUNCTION("""COMPUTED_VALUE"""),"None")</f>
        <v>None</v>
      </c>
      <c r="H822" s="42" t="str">
        <f>IFERROR(__xludf.DUMMYFUNCTION("""COMPUTED_VALUE"""),"Lost Determination")</f>
        <v>Lost Determination</v>
      </c>
      <c r="I822" s="43" t="str">
        <f>IFERROR(__xludf.DUMMYFUNCTION("""COMPUTED_VALUE"""),"[GODUFA] [SEND THIS CARD TO THE DISCARD PILE] (Cut-In) Negate the EVENT card your opponent just played. Then, turn 1 page of your opponent's Spell Book.")</f>
        <v>[GODUFA] [SEND THIS CARD TO THE DISCARD PILE] (Cut-In) Negate the EVENT card your opponent just played. Then, turn 1 page of your opponent's Spell Book.</v>
      </c>
      <c r="J822" s="42" t="str">
        <f>IFERROR(__xludf.DUMMYFUNCTION("""COMPUTED_VALUE"""),"4000-red")</f>
        <v>4000-red</v>
      </c>
      <c r="K822" s="42" t="str">
        <f>IFERROR(__xludf.DUMMYFUNCTION("""COMPUTED_VALUE"""),"-")</f>
        <v>-</v>
      </c>
      <c r="L822" s="42" t="str">
        <f>IFERROR(__xludf.DUMMYFUNCTION("""COMPUTED_VALUE"""),"-")</f>
        <v>-</v>
      </c>
      <c r="M822" s="42" t="str">
        <f>IFERROR(__xludf.DUMMYFUNCTION("""COMPUTED_VALUE"""),"[U]")</f>
        <v>[U]</v>
      </c>
      <c r="N822" s="42" t="str">
        <f>IFERROR(__xludf.DUMMYFUNCTION("""COMPUTED_VALUE"""),"""We all have the same goal... To become the king of the mamodo.""")</f>
        <v>"We all have the same goal... To become the king of the mamodo."</v>
      </c>
      <c r="O822" s="42"/>
      <c r="P822" s="42"/>
      <c r="Q822" s="42"/>
      <c r="R822" s="42"/>
      <c r="S822" s="42"/>
      <c r="T822" s="42"/>
      <c r="U822" s="42"/>
      <c r="V822" s="42"/>
      <c r="W822" s="42"/>
      <c r="X822" s="42"/>
      <c r="Y822" s="42"/>
      <c r="Z822" s="42"/>
    </row>
    <row r="823">
      <c r="A823" s="42" t="str">
        <f>IFERROR(__xludf.DUMMYFUNCTION("""COMPUTED_VALUE"""),"M-441")</f>
        <v>M-441</v>
      </c>
      <c r="B823" s="42" t="str">
        <f>IFERROR(__xludf.DUMMYFUNCTION("""COMPUTED_VALUE"""),"Mamodo")</f>
        <v>Mamodo</v>
      </c>
      <c r="C823" s="42" t="str">
        <f>IFERROR(__xludf.DUMMYFUNCTION("""COMPUTED_VALUE"""),"Cherish")</f>
        <v>Cherish</v>
      </c>
      <c r="D823" s="42" t="str">
        <f>IFERROR(__xludf.DUMMYFUNCTION("""COMPUTED_VALUE"""),"Cherish")</f>
        <v>Cherish</v>
      </c>
      <c r="E823" s="42" t="str">
        <f>IFERROR(__xludf.DUMMYFUNCTION("""COMPUTED_VALUE"""),"-")</f>
        <v>-</v>
      </c>
      <c r="F823" s="42" t="str">
        <f>IFERROR(__xludf.DUMMYFUNCTION("""COMPUTED_VALUE"""),"-")</f>
        <v>-</v>
      </c>
      <c r="G823" s="42" t="str">
        <f>IFERROR(__xludf.DUMMYFUNCTION("""COMPUTED_VALUE"""),"None")</f>
        <v>None</v>
      </c>
      <c r="H823" s="42" t="str">
        <f>IFERROR(__xludf.DUMMYFUNCTION("""COMPUTED_VALUE"""),"Lost Smile")</f>
        <v>Lost Smile</v>
      </c>
      <c r="I823" s="43" t="str">
        <f>IFERROR(__xludf.DUMMYFUNCTION("""COMPUTED_VALUE"""),"[1 MP] Negate 1 [Stay] effect. This effect can be applied regardless of your opponent's card effects.")</f>
        <v>[1 MP] Negate 1 [Stay] effect. This effect can be applied regardless of your opponent's card effects.</v>
      </c>
      <c r="J823" s="42">
        <f>IFERROR(__xludf.DUMMYFUNCTION("""COMPUTED_VALUE"""),4000.0)</f>
        <v>4000</v>
      </c>
      <c r="K823" s="42" t="str">
        <f>IFERROR(__xludf.DUMMYFUNCTION("""COMPUTED_VALUE"""),"-")</f>
        <v>-</v>
      </c>
      <c r="L823" s="42" t="str">
        <f>IFERROR(__xludf.DUMMYFUNCTION("""COMPUTED_VALUE"""),"-")</f>
        <v>-</v>
      </c>
      <c r="M823" s="42" t="str">
        <f>IFERROR(__xludf.DUMMYFUNCTION("""COMPUTED_VALUE"""),"[C]")</f>
        <v>[C]</v>
      </c>
      <c r="N823" s="42" t="str">
        <f>IFERROR(__xludf.DUMMYFUNCTION("""COMPUTED_VALUE"""),"""She was strong... and beautiful... She never showed any sign of weakness.""")</f>
        <v>"She was strong... and beautiful... She never showed any sign of weakness."</v>
      </c>
      <c r="O823" s="42"/>
      <c r="P823" s="42"/>
      <c r="Q823" s="42"/>
      <c r="R823" s="42"/>
      <c r="S823" s="42"/>
      <c r="T823" s="42"/>
      <c r="U823" s="42"/>
      <c r="V823" s="42"/>
      <c r="W823" s="42"/>
      <c r="X823" s="42"/>
      <c r="Y823" s="42"/>
      <c r="Z823" s="42"/>
    </row>
    <row r="824">
      <c r="A824" s="42" t="str">
        <f>IFERROR(__xludf.DUMMYFUNCTION("""COMPUTED_VALUE"""),"M-442")</f>
        <v>M-442</v>
      </c>
      <c r="B824" s="42" t="str">
        <f>IFERROR(__xludf.DUMMYFUNCTION("""COMPUTED_VALUE"""),"Mamodo")</f>
        <v>Mamodo</v>
      </c>
      <c r="C824" s="42" t="str">
        <f>IFERROR(__xludf.DUMMYFUNCTION("""COMPUTED_VALUE"""),"Purio")</f>
        <v>Purio</v>
      </c>
      <c r="D824" s="42" t="str">
        <f>IFERROR(__xludf.DUMMYFUNCTION("""COMPUTED_VALUE"""),"Purio")</f>
        <v>Purio</v>
      </c>
      <c r="E824" s="42" t="str">
        <f>IFERROR(__xludf.DUMMYFUNCTION("""COMPUTED_VALUE"""),"-")</f>
        <v>-</v>
      </c>
      <c r="F824" s="42" t="str">
        <f>IFERROR(__xludf.DUMMYFUNCTION("""COMPUTED_VALUE"""),"-")</f>
        <v>-</v>
      </c>
      <c r="G824" s="42" t="str">
        <f>IFERROR(__xludf.DUMMYFUNCTION("""COMPUTED_VALUE"""),"Intermediate")</f>
        <v>Intermediate</v>
      </c>
      <c r="H824" s="42" t="str">
        <f>IFERROR(__xludf.DUMMYFUNCTION("""COMPUTED_VALUE"""),"Gas Discharge")</f>
        <v>Gas Discharge</v>
      </c>
      <c r="I824" s="43" t="str">
        <f>IFERROR(__xludf.DUMMYFUNCTION("""COMPUTED_VALUE"""),"[HIDE MAMODO] This card is put in play away face-down, away from your MAMODO card area. With 1 Action, you can flip this card face-up and put it in play. [IN PLAY] Look at the currently open pages of your opponent's Spell Book immediately when this card i"&amp;"s flipped face-up. Then, send 1 of either card to the Discard Pile. This effect can be applied only once per game (per player).")</f>
        <v>[HIDE MAMODO] This card is put in play away face-down, away from your MAMODO card area. With 1 Action, you can flip this card face-up and put it in play. [IN PLAY] Look at the currently open pages of your opponent's Spell Book immediately when this card is flipped face-up. Then, send 1 of either card to the Discard Pile. This effect can be applied only once per game (per player).</v>
      </c>
      <c r="J824" s="42">
        <f>IFERROR(__xludf.DUMMYFUNCTION("""COMPUTED_VALUE"""),1500.0)</f>
        <v>1500</v>
      </c>
      <c r="K824" s="42" t="str">
        <f>IFERROR(__xludf.DUMMYFUNCTION("""COMPUTED_VALUE"""),"-")</f>
        <v>-</v>
      </c>
      <c r="L824" s="42" t="str">
        <f>IFERROR(__xludf.DUMMYFUNCTION("""COMPUTED_VALUE"""),"-")</f>
        <v>-</v>
      </c>
      <c r="M824" s="42" t="str">
        <f>IFERROR(__xludf.DUMMYFUNCTION("""COMPUTED_VALUE"""),"[C]")</f>
        <v>[C]</v>
      </c>
      <c r="N824" s="42" t="str">
        <f>IFERROR(__xludf.DUMMYFUNCTION("""COMPUTED_VALUE"""),"""Urggh! What a horrible smell! That's got to be enough!""")</f>
        <v>"Urggh! What a horrible smell! That's got to be enough!"</v>
      </c>
      <c r="O824" s="42"/>
      <c r="P824" s="42"/>
      <c r="Q824" s="42"/>
      <c r="R824" s="42"/>
      <c r="S824" s="42"/>
      <c r="T824" s="42"/>
      <c r="U824" s="42"/>
      <c r="V824" s="42"/>
      <c r="W824" s="42"/>
      <c r="X824" s="42"/>
      <c r="Y824" s="42"/>
      <c r="Z824" s="42"/>
    </row>
    <row r="825">
      <c r="A825" s="42" t="str">
        <f>IFERROR(__xludf.DUMMYFUNCTION("""COMPUTED_VALUE"""),"M-443")</f>
        <v>M-443</v>
      </c>
      <c r="B825" s="42" t="str">
        <f>IFERROR(__xludf.DUMMYFUNCTION("""COMPUTED_VALUE"""),"Mamodo")</f>
        <v>Mamodo</v>
      </c>
      <c r="C825" s="42" t="str">
        <f>IFERROR(__xludf.DUMMYFUNCTION("""COMPUTED_VALUE"""),"Faudo's Internal Mamodo")</f>
        <v>Faudo's Internal Mamodo</v>
      </c>
      <c r="D825" s="42" t="str">
        <f>IFERROR(__xludf.DUMMYFUNCTION("""COMPUTED_VALUE"""),"-")</f>
        <v>-</v>
      </c>
      <c r="E825" s="42" t="str">
        <f>IFERROR(__xludf.DUMMYFUNCTION("""COMPUTED_VALUE"""),"-")</f>
        <v>-</v>
      </c>
      <c r="F825" s="42" t="str">
        <f>IFERROR(__xludf.DUMMYFUNCTION("""COMPUTED_VALUE"""),"-")</f>
        <v>-</v>
      </c>
      <c r="G825" s="42" t="str">
        <f>IFERROR(__xludf.DUMMYFUNCTION("""COMPUTED_VALUE"""),"None")</f>
        <v>None</v>
      </c>
      <c r="H825" s="42" t="str">
        <f>IFERROR(__xludf.DUMMYFUNCTION("""COMPUTED_VALUE"""),"Eliminating Intruders")</f>
        <v>Eliminating Intruders</v>
      </c>
      <c r="I825" s="43" t="str">
        <f>IFERROR(__xludf.DUMMYFUNCTION("""COMPUTED_VALUE"""),"You can put 1 of this MAMODO card in play once per turn (per player) when an ""Internal Faudo Event"" [Stay] effect is currently active, regardless of the number of MAMODO cards you have in play. (Attack) [1 MP] This card may Attack without using a SPELL "&amp;"card (Total Power=7000, Damage=1).")</f>
        <v>You can put 1 of this MAMODO card in play once per turn (per player) when an "Internal Faudo Event" [Stay] effect is currently active, regardless of the number of MAMODO cards you have in play. (Attack) [1 MP] This card may Attack without using a SPELL card (Total Power=7000, Damage=1).</v>
      </c>
      <c r="J825" s="42">
        <f>IFERROR(__xludf.DUMMYFUNCTION("""COMPUTED_VALUE"""),4000.0)</f>
        <v>4000</v>
      </c>
      <c r="K825" s="42" t="str">
        <f>IFERROR(__xludf.DUMMYFUNCTION("""COMPUTED_VALUE"""),"-")</f>
        <v>-</v>
      </c>
      <c r="L825" s="42" t="str">
        <f>IFERROR(__xludf.DUMMYFUNCTION("""COMPUTED_VALUE"""),"-")</f>
        <v>-</v>
      </c>
      <c r="M825" s="42" t="str">
        <f>IFERROR(__xludf.DUMMYFUNCTION("""COMPUTED_VALUE"""),"[C]")</f>
        <v>[C]</v>
      </c>
      <c r="N825" s="42" t="str">
        <f>IFERROR(__xludf.DUMMYFUNCTION("""COMPUTED_VALUE"""),"""They'll be born where the lymph nodes are located in a human body, in order to seek out and capture the intruders.""")</f>
        <v>"They'll be born where the lymph nodes are located in a human body, in order to seek out and capture the intruders."</v>
      </c>
      <c r="O825" s="42"/>
      <c r="P825" s="42"/>
      <c r="Q825" s="42"/>
      <c r="R825" s="42"/>
      <c r="S825" s="42"/>
      <c r="T825" s="42"/>
      <c r="U825" s="42"/>
      <c r="V825" s="42"/>
      <c r="W825" s="42"/>
      <c r="X825" s="42"/>
      <c r="Y825" s="42"/>
      <c r="Z825" s="42"/>
    </row>
    <row r="826">
      <c r="A826" s="42" t="str">
        <f>IFERROR(__xludf.DUMMYFUNCTION("""COMPUTED_VALUE"""),"M-444")</f>
        <v>M-444</v>
      </c>
      <c r="B826" s="42" t="str">
        <f>IFERROR(__xludf.DUMMYFUNCTION("""COMPUTED_VALUE"""),"Dual Mamodo")</f>
        <v>Dual Mamodo</v>
      </c>
      <c r="C826" s="42" t="str">
        <f>IFERROR(__xludf.DUMMYFUNCTION("""COMPUTED_VALUE"""),"Ponygon &amp; Riya")</f>
        <v>Ponygon &amp; Riya</v>
      </c>
      <c r="D826" s="42" t="str">
        <f>IFERROR(__xludf.DUMMYFUNCTION("""COMPUTED_VALUE"""),"Ponygon | Riya")</f>
        <v>Ponygon | Riya</v>
      </c>
      <c r="E826" s="42" t="str">
        <f>IFERROR(__xludf.DUMMYFUNCTION("""COMPUTED_VALUE"""),"-")</f>
        <v>-</v>
      </c>
      <c r="F826" s="42" t="str">
        <f>IFERROR(__xludf.DUMMYFUNCTION("""COMPUTED_VALUE"""),"-")</f>
        <v>-</v>
      </c>
      <c r="G826" s="42" t="str">
        <f>IFERROR(__xludf.DUMMYFUNCTION("""COMPUTED_VALUE"""),"None")</f>
        <v>None</v>
      </c>
      <c r="H826" s="42" t="str">
        <f>IFERROR(__xludf.DUMMYFUNCTION("""COMPUTED_VALUE"""),"The Big Difference")</f>
        <v>The Big Difference</v>
      </c>
      <c r="I826" s="43" t="str">
        <f>IFERROR(__xludf.DUMMYFUNCTION("""COMPUTED_VALUE"""),"Send your in-play Ponygon or Riya MAMODO card to the Discard Pile to put this MAMODO card in play. [IN PLAY] Apply both of the following effects for your DUAL MAMODO: ● They cannot be sent to the Discard Pile by your opponent's effects (except as a result"&amp;" of Damage or Injury). ● They can SACRIFICE or PROTECT your Spell Book even when prohibited.")</f>
        <v>Send your in-play Ponygon or Riya MAMODO card to the Discard Pile to put this MAMODO card in play. [IN PLAY] Apply both of the following effects for your DUAL MAMODO: ● They cannot be sent to the Discard Pile by your opponent's effects (except as a result of Damage or Injury). ● They can SACRIFICE or PROTECT your Spell Book even when prohibited.</v>
      </c>
      <c r="J826" s="42">
        <f>IFERROR(__xludf.DUMMYFUNCTION("""COMPUTED_VALUE"""),4000.0)</f>
        <v>4000</v>
      </c>
      <c r="K826" s="42" t="str">
        <f>IFERROR(__xludf.DUMMYFUNCTION("""COMPUTED_VALUE"""),"-")</f>
        <v>-</v>
      </c>
      <c r="L826" s="42" t="str">
        <f>IFERROR(__xludf.DUMMYFUNCTION("""COMPUTED_VALUE"""),"-")</f>
        <v>-</v>
      </c>
      <c r="M826" s="42" t="str">
        <f>IFERROR(__xludf.DUMMYFUNCTION("""COMPUTED_VALUE"""),"[U]")</f>
        <v>[U]</v>
      </c>
      <c r="N826" s="42" t="str">
        <f>IFERROR(__xludf.DUMMYFUNCTION("""COMPUTED_VALUE"""),"""This is where the real battle begins! Let's show them just how powerful we are!""")</f>
        <v>"This is where the real battle begins! Let's show them just how powerful we are!"</v>
      </c>
      <c r="O826" s="42"/>
      <c r="P826" s="42"/>
      <c r="Q826" s="42"/>
      <c r="R826" s="42"/>
      <c r="S826" s="42"/>
      <c r="T826" s="42"/>
      <c r="U826" s="42"/>
      <c r="V826" s="42"/>
      <c r="W826" s="42"/>
      <c r="X826" s="42"/>
      <c r="Y826" s="42"/>
      <c r="Z826" s="42"/>
    </row>
    <row r="827">
      <c r="A827" s="42" t="str">
        <f>IFERROR(__xludf.DUMMYFUNCTION("""COMPUTED_VALUE"""),"M-445")</f>
        <v>M-445</v>
      </c>
      <c r="B827" s="42" t="str">
        <f>IFERROR(__xludf.DUMMYFUNCTION("""COMPUTED_VALUE"""),"Dual Mamodo")</f>
        <v>Dual Mamodo</v>
      </c>
      <c r="C827" s="42" t="str">
        <f>IFERROR(__xludf.DUMMYFUNCTION("""COMPUTED_VALUE"""),"Zaruchim &amp; Riou")</f>
        <v>Zaruchim &amp; Riou</v>
      </c>
      <c r="D827" s="42" t="str">
        <f>IFERROR(__xludf.DUMMYFUNCTION("""COMPUTED_VALUE"""),"Zaruchim | Riou")</f>
        <v>Zaruchim | Riou</v>
      </c>
      <c r="E827" s="42" t="str">
        <f>IFERROR(__xludf.DUMMYFUNCTION("""COMPUTED_VALUE"""),"-")</f>
        <v>-</v>
      </c>
      <c r="F827" s="42" t="str">
        <f>IFERROR(__xludf.DUMMYFUNCTION("""COMPUTED_VALUE"""),"-")</f>
        <v>-</v>
      </c>
      <c r="G827" s="42" t="str">
        <f>IFERROR(__xludf.DUMMYFUNCTION("""COMPUTED_VALUE"""),"None")</f>
        <v>None</v>
      </c>
      <c r="H827" s="42" t="str">
        <f>IFERROR(__xludf.DUMMYFUNCTION("""COMPUTED_VALUE"""),"You Idiot")</f>
        <v>You Idiot</v>
      </c>
      <c r="I827" s="43" t="str">
        <f>IFERROR(__xludf.DUMMYFUNCTION("""COMPUTED_VALUE"""),"Send your in-play Zaruchim or Riou MAMODO card to the Discard Pile to put this MAMODO card in play. [IN PLAY] Your ""Superior"" Class SPELL cards with an MP cost of 5 or more are considered to be [Seal Breaker] SPELL cards.")</f>
        <v>Send your in-play Zaruchim or Riou MAMODO card to the Discard Pile to put this MAMODO card in play. [IN PLAY] Your "Superior" Class SPELL cards with an MP cost of 5 or more are considered to be [Seal Breaker] SPELL cards.</v>
      </c>
      <c r="J827" s="42">
        <f>IFERROR(__xludf.DUMMYFUNCTION("""COMPUTED_VALUE"""),6000.0)</f>
        <v>6000</v>
      </c>
      <c r="K827" s="42" t="str">
        <f>IFERROR(__xludf.DUMMYFUNCTION("""COMPUTED_VALUE"""),"-")</f>
        <v>-</v>
      </c>
      <c r="L827" s="42" t="str">
        <f>IFERROR(__xludf.DUMMYFUNCTION("""COMPUTED_VALUE"""),"-")</f>
        <v>-</v>
      </c>
      <c r="M827" s="42" t="str">
        <f>IFERROR(__xludf.DUMMYFUNCTION("""COMPUTED_VALUE"""),"[C]")</f>
        <v>[C]</v>
      </c>
      <c r="N827" s="42" t="str">
        <f>IFERROR(__xludf.DUMMYFUNCTION("""COMPUTED_VALUE"""),"""Riou... I wonder if it would've been different if we had fought against them together.""")</f>
        <v>"Riou... I wonder if it would've been different if we had fought against them together."</v>
      </c>
      <c r="O827" s="42"/>
      <c r="P827" s="42"/>
      <c r="Q827" s="42"/>
      <c r="R827" s="42"/>
      <c r="S827" s="42"/>
      <c r="T827" s="42"/>
      <c r="U827" s="42"/>
      <c r="V827" s="42"/>
      <c r="W827" s="42"/>
      <c r="X827" s="42"/>
      <c r="Y827" s="42"/>
      <c r="Z827" s="42"/>
    </row>
    <row r="828">
      <c r="A828" s="42" t="str">
        <f>IFERROR(__xludf.DUMMYFUNCTION("""COMPUTED_VALUE"""),"M-446")</f>
        <v>M-446</v>
      </c>
      <c r="B828" s="42" t="str">
        <f>IFERROR(__xludf.DUMMYFUNCTION("""COMPUTED_VALUE"""),"VS Mamodo")</f>
        <v>VS Mamodo</v>
      </c>
      <c r="C828" s="42" t="str">
        <f>IFERROR(__xludf.DUMMYFUNCTION("""COMPUTED_VALUE"""),"Zaruchim VS Alishie")</f>
        <v>Zaruchim VS Alishie</v>
      </c>
      <c r="D828" s="42" t="str">
        <f>IFERROR(__xludf.DUMMYFUNCTION("""COMPUTED_VALUE"""),"Zaruchim")</f>
        <v>Zaruchim</v>
      </c>
      <c r="E828" s="42" t="str">
        <f>IFERROR(__xludf.DUMMYFUNCTION("""COMPUTED_VALUE"""),"-")</f>
        <v>-</v>
      </c>
      <c r="F828" s="42" t="str">
        <f>IFERROR(__xludf.DUMMYFUNCTION("""COMPUTED_VALUE"""),"-")</f>
        <v>-</v>
      </c>
      <c r="G828" s="42" t="str">
        <f>IFERROR(__xludf.DUMMYFUNCTION("""COMPUTED_VALUE"""),"Intermediate")</f>
        <v>Intermediate</v>
      </c>
      <c r="H828" s="42" t="str">
        <f>IFERROR(__xludf.DUMMYFUNCTION("""COMPUTED_VALUE"""),"Tenacity")</f>
        <v>Tenacity</v>
      </c>
      <c r="I828" s="43" t="str">
        <f>IFERROR(__xludf.DUMMYFUNCTION("""COMPUTED_VALUE"""),"Send either player's in-play Zaruchim or Riya MAMODO card to the Discard Pile to put this card in play. An Alishie PARTNER card can be attached to this MAMODO card. [LAST VS] When this card is put in play, neither player can put a Zaruchim MAMODO or Alish"&amp;"ie PARTNER in play during this game. [IN PLAY] When you apply MAMODO effects to Attack without using a SPELL card, your opponent can only Defend by applying MAMODO effects to Defend without using a SPELL card.")</f>
        <v>Send either player's in-play Zaruchim or Riya MAMODO card to the Discard Pile to put this card in play. An Alishie PARTNER card can be attached to this MAMODO card. [LAST VS] When this card is put in play, neither player can put a Zaruchim MAMODO or Alishie PARTNER in play during this game. [IN PLAY] When you apply MAMODO effects to Attack without using a SPELL card, your opponent can only Defend by applying MAMODO effects to Defend without using a SPELL card.</v>
      </c>
      <c r="J828" s="42">
        <f>IFERROR(__xludf.DUMMYFUNCTION("""COMPUTED_VALUE"""),6000.0)</f>
        <v>6000</v>
      </c>
      <c r="K828" s="42" t="str">
        <f>IFERROR(__xludf.DUMMYFUNCTION("""COMPUTED_VALUE"""),"-")</f>
        <v>-</v>
      </c>
      <c r="L828" s="42" t="str">
        <f>IFERROR(__xludf.DUMMYFUNCTION("""COMPUTED_VALUE"""),"-")</f>
        <v>-</v>
      </c>
      <c r="M828" s="42" t="str">
        <f>IFERROR(__xludf.DUMMYFUNCTION("""COMPUTED_VALUE"""),"[R]")</f>
        <v>[R]</v>
      </c>
      <c r="N828" s="42" t="str">
        <f>IFERROR(__xludf.DUMMYFUNCTION("""COMPUTED_VALUE"""),"""Y-You fool! Are you deranged?! You were going to take me down along with you!""")</f>
        <v>"Y-You fool! Are you deranged?! You were going to take me down along with you!"</v>
      </c>
      <c r="O828" s="42"/>
      <c r="P828" s="42"/>
      <c r="Q828" s="42"/>
      <c r="R828" s="42"/>
      <c r="S828" s="42"/>
      <c r="T828" s="42"/>
      <c r="U828" s="42"/>
      <c r="V828" s="42"/>
      <c r="W828" s="42"/>
      <c r="X828" s="42"/>
      <c r="Y828" s="42"/>
      <c r="Z828" s="42"/>
    </row>
    <row r="829">
      <c r="A829" s="42" t="str">
        <f>IFERROR(__xludf.DUMMYFUNCTION("""COMPUTED_VALUE"""),"M-447")</f>
        <v>M-447</v>
      </c>
      <c r="B829" s="42" t="str">
        <f>IFERROR(__xludf.DUMMYFUNCTION("""COMPUTED_VALUE"""),"VS Mamodo")</f>
        <v>VS Mamodo</v>
      </c>
      <c r="C829" s="42" t="str">
        <f>IFERROR(__xludf.DUMMYFUNCTION("""COMPUTED_VALUE"""),"Wonrei VS Rodeaux")</f>
        <v>Wonrei VS Rodeaux</v>
      </c>
      <c r="D829" s="42" t="str">
        <f>IFERROR(__xludf.DUMMYFUNCTION("""COMPUTED_VALUE"""),"Wonrei | Rodeaux")</f>
        <v>Wonrei | Rodeaux</v>
      </c>
      <c r="E829" s="42" t="str">
        <f>IFERROR(__xludf.DUMMYFUNCTION("""COMPUTED_VALUE"""),"-")</f>
        <v>-</v>
      </c>
      <c r="F829" s="42" t="str">
        <f>IFERROR(__xludf.DUMMYFUNCTION("""COMPUTED_VALUE"""),"-")</f>
        <v>-</v>
      </c>
      <c r="G829" s="42" t="str">
        <f>IFERROR(__xludf.DUMMYFUNCTION("""COMPUTED_VALUE"""),"Intermediate")</f>
        <v>Intermediate</v>
      </c>
      <c r="H829" s="42" t="str">
        <f>IFERROR(__xludf.DUMMYFUNCTION("""COMPUTED_VALUE"""),"The Last Iron Fist")</f>
        <v>The Last Iron Fist</v>
      </c>
      <c r="I829" s="43" t="str">
        <f>IFERROR(__xludf.DUMMYFUNCTION("""COMPUTED_VALUE"""),"Send either player's in-play Wonrei or Rodeaux MAMODO card to the Discard Pile to put this MAMODO card in play. [LAST VS] When this card is put in play, neither player can put a Wonrei MAMODO card in play during this game. [IN PLAY] Your opponent cannot p"&amp;"ut any VS MAMODO cards in play.")</f>
        <v>Send either player's in-play Wonrei or Rodeaux MAMODO card to the Discard Pile to put this MAMODO card in play. [LAST VS] When this card is put in play, neither player can put a Wonrei MAMODO card in play during this game. [IN PLAY] Your opponent cannot put any VS MAMODO cards in play.</v>
      </c>
      <c r="J829" s="42">
        <f>IFERROR(__xludf.DUMMYFUNCTION("""COMPUTED_VALUE"""),5000.0)</f>
        <v>5000</v>
      </c>
      <c r="K829" s="42" t="str">
        <f>IFERROR(__xludf.DUMMYFUNCTION("""COMPUTED_VALUE"""),"-")</f>
        <v>-</v>
      </c>
      <c r="L829" s="42" t="str">
        <f>IFERROR(__xludf.DUMMYFUNCTION("""COMPUTED_VALUE"""),"-")</f>
        <v>-</v>
      </c>
      <c r="M829" s="42" t="str">
        <f>IFERROR(__xludf.DUMMYFUNCTION("""COMPUTED_VALUE"""),"[U]")</f>
        <v>[U]</v>
      </c>
      <c r="N829" s="42" t="str">
        <f>IFERROR(__xludf.DUMMYFUNCTION("""COMPUTED_VALUE"""),"""I'll protect her from everything bad. I'll protect our life together...and my sweet love...I'll protect her smile.""")</f>
        <v>"I'll protect her from everything bad. I'll protect our life together...and my sweet love...I'll protect her smile."</v>
      </c>
      <c r="O829" s="42"/>
      <c r="P829" s="42"/>
      <c r="Q829" s="42"/>
      <c r="R829" s="42"/>
      <c r="S829" s="42"/>
      <c r="T829" s="42"/>
      <c r="U829" s="42"/>
      <c r="V829" s="42"/>
      <c r="W829" s="42"/>
      <c r="X829" s="42"/>
      <c r="Y829" s="42"/>
      <c r="Z829" s="42"/>
    </row>
    <row r="830">
      <c r="A830" s="42" t="str">
        <f>IFERROR(__xludf.DUMMYFUNCTION("""COMPUTED_VALUE"""),"M-448")</f>
        <v>M-448</v>
      </c>
      <c r="B830" s="42" t="str">
        <f>IFERROR(__xludf.DUMMYFUNCTION("""COMPUTED_VALUE"""),"S Mamodo")</f>
        <v>S Mamodo</v>
      </c>
      <c r="C830" s="42" t="str">
        <f>IFERROR(__xludf.DUMMYFUNCTION("""COMPUTED_VALUE"""),"Riya")</f>
        <v>Riya</v>
      </c>
      <c r="D830" s="42" t="str">
        <f>IFERROR(__xludf.DUMMYFUNCTION("""COMPUTED_VALUE"""),"Riya")</f>
        <v>Riya</v>
      </c>
      <c r="E830" s="42" t="str">
        <f>IFERROR(__xludf.DUMMYFUNCTION("""COMPUTED_VALUE"""),"-")</f>
        <v>-</v>
      </c>
      <c r="F830" s="42" t="str">
        <f>IFERROR(__xludf.DUMMYFUNCTION("""COMPUTED_VALUE"""),"-")</f>
        <v>-</v>
      </c>
      <c r="G830" s="42" t="str">
        <f>IFERROR(__xludf.DUMMYFUNCTION("""COMPUTED_VALUE"""),"Intermediate")</f>
        <v>Intermediate</v>
      </c>
      <c r="H830" s="42" t="str">
        <f>IFERROR(__xludf.DUMMYFUNCTION("""COMPUTED_VALUE"""),"Won't Let Him Die")</f>
        <v>Won't Let Him Die</v>
      </c>
      <c r="I830" s="43" t="str">
        <f>IFERROR(__xludf.DUMMYFUNCTION("""COMPUTED_VALUE"""),"This MAMODO card is placed on a regular Riya MAMODO card. [1 MP] Select 1 Alishie PARTNER card from any page of your Spell Book and put it in play.")</f>
        <v>This MAMODO card is placed on a regular Riya MAMODO card. [1 MP] Select 1 Alishie PARTNER card from any page of your Spell Book and put it in play.</v>
      </c>
      <c r="J830" s="42">
        <f>IFERROR(__xludf.DUMMYFUNCTION("""COMPUTED_VALUE"""),5500.0)</f>
        <v>5500</v>
      </c>
      <c r="K830" s="42" t="str">
        <f>IFERROR(__xludf.DUMMYFUNCTION("""COMPUTED_VALUE"""),"-")</f>
        <v>-</v>
      </c>
      <c r="L830" s="42" t="str">
        <f>IFERROR(__xludf.DUMMYFUNCTION("""COMPUTED_VALUE"""),"-")</f>
        <v>-</v>
      </c>
      <c r="M830" s="42" t="str">
        <f>IFERROR(__xludf.DUMMYFUNCTION("""COMPUTED_VALUE"""),"[R]")</f>
        <v>[R]</v>
      </c>
      <c r="N830" s="42" t="str">
        <f>IFERROR(__xludf.DUMMYFUNCTION("""COMPUTED_VALUE"""),"""I love Alishie! He's tough, fun and kind... All his life he's protected the people of his village!""")</f>
        <v>"I love Alishie! He's tough, fun and kind... All his life he's protected the people of his village!"</v>
      </c>
      <c r="O830" s="42"/>
      <c r="P830" s="42"/>
      <c r="Q830" s="42"/>
      <c r="R830" s="42"/>
      <c r="S830" s="42"/>
      <c r="T830" s="42"/>
      <c r="U830" s="42"/>
      <c r="V830" s="42"/>
      <c r="W830" s="42"/>
      <c r="X830" s="42"/>
      <c r="Y830" s="42"/>
      <c r="Z830" s="42"/>
    </row>
    <row r="831">
      <c r="A831" s="42" t="str">
        <f>IFERROR(__xludf.DUMMYFUNCTION("""COMPUTED_VALUE"""),"M-449")</f>
        <v>M-449</v>
      </c>
      <c r="B831" s="42" t="str">
        <f>IFERROR(__xludf.DUMMYFUNCTION("""COMPUTED_VALUE"""),"S Mamodo")</f>
        <v>S Mamodo</v>
      </c>
      <c r="C831" s="42" t="str">
        <f>IFERROR(__xludf.DUMMYFUNCTION("""COMPUTED_VALUE"""),"Zaruchim")</f>
        <v>Zaruchim</v>
      </c>
      <c r="D831" s="42" t="str">
        <f>IFERROR(__xludf.DUMMYFUNCTION("""COMPUTED_VALUE"""),"Zaruchim")</f>
        <v>Zaruchim</v>
      </c>
      <c r="E831" s="42" t="str">
        <f>IFERROR(__xludf.DUMMYFUNCTION("""COMPUTED_VALUE"""),"-")</f>
        <v>-</v>
      </c>
      <c r="F831" s="42" t="str">
        <f>IFERROR(__xludf.DUMMYFUNCTION("""COMPUTED_VALUE"""),"-")</f>
        <v>-</v>
      </c>
      <c r="G831" s="42" t="str">
        <f>IFERROR(__xludf.DUMMYFUNCTION("""COMPUTED_VALUE"""),"Intermediate")</f>
        <v>Intermediate</v>
      </c>
      <c r="H831" s="42" t="str">
        <f>IFERROR(__xludf.DUMMYFUNCTION("""COMPUTED_VALUE"""),"My Personal Shield")</f>
        <v>My Personal Shield</v>
      </c>
      <c r="I831" s="43" t="str">
        <f>IFERROR(__xludf.DUMMYFUNCTION("""COMPUTED_VALUE"""),"This MAMODO card is placed on a regular Zaruchim MAMODO card. [IN PLAY] Your in-play MAMODO cards (except this MAMODO card) can SACRIFICE or PROTECT your Spell Book from Damage even when prohibited to do so.")</f>
        <v>This MAMODO card is placed on a regular Zaruchim MAMODO card. [IN PLAY] Your in-play MAMODO cards (except this MAMODO card) can SACRIFICE or PROTECT your Spell Book from Damage even when prohibited to do so.</v>
      </c>
      <c r="J831" s="42">
        <f>IFERROR(__xludf.DUMMYFUNCTION("""COMPUTED_VALUE"""),5500.0)</f>
        <v>5500</v>
      </c>
      <c r="K831" s="42" t="str">
        <f>IFERROR(__xludf.DUMMYFUNCTION("""COMPUTED_VALUE"""),"-")</f>
        <v>-</v>
      </c>
      <c r="L831" s="42" t="str">
        <f>IFERROR(__xludf.DUMMYFUNCTION("""COMPUTED_VALUE"""),"-")</f>
        <v>-</v>
      </c>
      <c r="M831" s="42" t="str">
        <f>IFERROR(__xludf.DUMMYFUNCTION("""COMPUTED_VALUE"""),"[R]")</f>
        <v>[R]</v>
      </c>
      <c r="N831" s="42" t="str">
        <f>IFERROR(__xludf.DUMMYFUNCTION("""COMPUTED_VALUE"""),"""He may be scum, but this fool served quite well as my personal shield!""")</f>
        <v>"He may be scum, but this fool served quite well as my personal shield!"</v>
      </c>
      <c r="O831" s="42"/>
      <c r="P831" s="42"/>
      <c r="Q831" s="42"/>
      <c r="R831" s="42"/>
      <c r="S831" s="42"/>
      <c r="T831" s="42"/>
      <c r="U831" s="42"/>
      <c r="V831" s="42"/>
      <c r="W831" s="42"/>
      <c r="X831" s="42"/>
      <c r="Y831" s="42"/>
      <c r="Z831" s="42"/>
    </row>
    <row r="832">
      <c r="A832" s="42" t="str">
        <f>IFERROR(__xludf.DUMMYFUNCTION("""COMPUTED_VALUE"""),"M-450")</f>
        <v>M-450</v>
      </c>
      <c r="B832" s="42" t="str">
        <f>IFERROR(__xludf.DUMMYFUNCTION("""COMPUTED_VALUE"""),"S Mamodo")</f>
        <v>S Mamodo</v>
      </c>
      <c r="C832" s="42" t="str">
        <f>IFERROR(__xludf.DUMMYFUNCTION("""COMPUTED_VALUE"""),"Zeno")</f>
        <v>Zeno</v>
      </c>
      <c r="D832" s="42" t="str">
        <f>IFERROR(__xludf.DUMMYFUNCTION("""COMPUTED_VALUE"""),"Zeno")</f>
        <v>Zeno</v>
      </c>
      <c r="E832" s="42" t="str">
        <f>IFERROR(__xludf.DUMMYFUNCTION("""COMPUTED_VALUE"""),"-")</f>
        <v>-</v>
      </c>
      <c r="F832" s="42" t="str">
        <f>IFERROR(__xludf.DUMMYFUNCTION("""COMPUTED_VALUE"""),"-")</f>
        <v>-</v>
      </c>
      <c r="G832" s="42" t="str">
        <f>IFERROR(__xludf.DUMMYFUNCTION("""COMPUTED_VALUE"""),"Intermediate")</f>
        <v>Intermediate</v>
      </c>
      <c r="H832" s="42" t="str">
        <f>IFERROR(__xludf.DUMMYFUNCTION("""COMPUTED_VALUE"""),"The Beginning of the End")</f>
        <v>The Beginning of the End</v>
      </c>
      <c r="I832" s="43" t="str">
        <f>IFERROR(__xludf.DUMMYFUNCTION("""COMPUTED_VALUE"""),"This MAMODO card is placed on a regular Zeno MAMODO card. [IN PLAY] Your opponent cannot apply effects that prohibit either player from sending cards to the Discard Pile.")</f>
        <v>This MAMODO card is placed on a regular Zeno MAMODO card. [IN PLAY] Your opponent cannot apply effects that prohibit either player from sending cards to the Discard Pile.</v>
      </c>
      <c r="J832" s="42">
        <f>IFERROR(__xludf.DUMMYFUNCTION("""COMPUTED_VALUE"""),7000.0)</f>
        <v>7000</v>
      </c>
      <c r="K832" s="42" t="str">
        <f>IFERROR(__xludf.DUMMYFUNCTION("""COMPUTED_VALUE"""),"-")</f>
        <v>-</v>
      </c>
      <c r="L832" s="42" t="str">
        <f>IFERROR(__xludf.DUMMYFUNCTION("""COMPUTED_VALUE"""),"-")</f>
        <v>-</v>
      </c>
      <c r="M832" s="42" t="str">
        <f>IFERROR(__xludf.DUMMYFUNCTION("""COMPUTED_VALUE"""),"[R]")</f>
        <v>[R]</v>
      </c>
      <c r="N832" s="42" t="str">
        <f>IFERROR(__xludf.DUMMYFUNCTION("""COMPUTED_VALUE"""),"""Heh heh heh... Faudo! Get ready to switch into high gear!""")</f>
        <v>"Heh heh heh... Faudo! Get ready to switch into high gear!"</v>
      </c>
      <c r="O832" s="42"/>
      <c r="P832" s="42"/>
      <c r="Q832" s="42"/>
      <c r="R832" s="42"/>
      <c r="S832" s="42"/>
      <c r="T832" s="42"/>
      <c r="U832" s="42"/>
      <c r="V832" s="42"/>
      <c r="W832" s="42"/>
      <c r="X832" s="42"/>
      <c r="Y832" s="42"/>
      <c r="Z832" s="42"/>
    </row>
    <row r="833">
      <c r="A833" s="42" t="str">
        <f>IFERROR(__xludf.DUMMYFUNCTION("""COMPUTED_VALUE"""),"M-451")</f>
        <v>M-451</v>
      </c>
      <c r="B833" s="42" t="str">
        <f>IFERROR(__xludf.DUMMYFUNCTION("""COMPUTED_VALUE"""),"S Mamodo")</f>
        <v>S Mamodo</v>
      </c>
      <c r="C833" s="42" t="str">
        <f>IFERROR(__xludf.DUMMYFUNCTION("""COMPUTED_VALUE"""),"Faudo")</f>
        <v>Faudo</v>
      </c>
      <c r="D833" s="42" t="str">
        <f>IFERROR(__xludf.DUMMYFUNCTION("""COMPUTED_VALUE"""),"Faudo")</f>
        <v>Faudo</v>
      </c>
      <c r="E833" s="42" t="str">
        <f>IFERROR(__xludf.DUMMYFUNCTION("""COMPUTED_VALUE"""),"-")</f>
        <v>-</v>
      </c>
      <c r="F833" s="42" t="str">
        <f>IFERROR(__xludf.DUMMYFUNCTION("""COMPUTED_VALUE"""),"-")</f>
        <v>-</v>
      </c>
      <c r="G833" s="42" t="str">
        <f>IFERROR(__xludf.DUMMYFUNCTION("""COMPUTED_VALUE"""),"Intermediate")</f>
        <v>Intermediate</v>
      </c>
      <c r="H833" s="42" t="str">
        <f>IFERROR(__xludf.DUMMYFUNCTION("""COMPUTED_VALUE"""),"High-Speed Engines")</f>
        <v>High-Speed Engines</v>
      </c>
      <c r="I833" s="43" t="str">
        <f>IFERROR(__xludf.DUMMYFUNCTION("""COMPUTED_VALUE"""),"This MAMODO card is placed on a regular Faudo MAMODO card. [DECLARE TO USE] If you have a Faudo MAMODO card in play, go to any page between the 21st and 32nd pages of your Spell Book (this is not considered to be an effect that turns or turns back pages o"&amp;"f your Spell Book). This effect can be applied only once per game (per player).")</f>
        <v>This MAMODO card is placed on a regular Faudo MAMODO card. [DECLARE TO USE] If you have a Faudo MAMODO card in play, go to any page between the 21st and 32nd pages of your Spell Book (this is not considered to be an effect that turns or turns back pages of your Spell Book). This effect can be applied only once per game (per player).</v>
      </c>
      <c r="J833" s="42">
        <f>IFERROR(__xludf.DUMMYFUNCTION("""COMPUTED_VALUE"""),99999.0)</f>
        <v>99999</v>
      </c>
      <c r="K833" s="42" t="str">
        <f>IFERROR(__xludf.DUMMYFUNCTION("""COMPUTED_VALUE"""),"-")</f>
        <v>-</v>
      </c>
      <c r="L833" s="42" t="str">
        <f>IFERROR(__xludf.DUMMYFUNCTION("""COMPUTED_VALUE"""),"-")</f>
        <v>-</v>
      </c>
      <c r="M833" s="42" t="str">
        <f>IFERROR(__xludf.DUMMYFUNCTION("""COMPUTED_VALUE"""),"[R]")</f>
        <v>[R]</v>
      </c>
      <c r="N833" s="42" t="str">
        <f>IFERROR(__xludf.DUMMYFUNCTION("""COMPUTED_VALUE"""),"""Route is confirmed. There are no obstacles. Countdown, 5 seconds before takeoff. 4...3...2...1... GO!""")</f>
        <v>"Route is confirmed. There are no obstacles. Countdown, 5 seconds before takeoff. 4...3...2...1... GO!"</v>
      </c>
      <c r="O833" s="42"/>
      <c r="P833" s="42"/>
      <c r="Q833" s="42"/>
      <c r="R833" s="42"/>
      <c r="S833" s="42"/>
      <c r="T833" s="42"/>
      <c r="U833" s="42"/>
      <c r="V833" s="42"/>
      <c r="W833" s="42"/>
      <c r="X833" s="42"/>
      <c r="Y833" s="42"/>
      <c r="Z833" s="42"/>
    </row>
    <row r="834">
      <c r="A834" s="42" t="str">
        <f>IFERROR(__xludf.DUMMYFUNCTION("""COMPUTED_VALUE"""),"M-452")</f>
        <v>M-452</v>
      </c>
      <c r="B834" s="42" t="str">
        <f>IFERROR(__xludf.DUMMYFUNCTION("""COMPUTED_VALUE"""),"Dual Mamodo S Mamodo")</f>
        <v>Dual Mamodo S Mamodo</v>
      </c>
      <c r="C834" s="42" t="str">
        <f>IFERROR(__xludf.DUMMYFUNCTION("""COMPUTED_VALUE"""),"Kanchomé &amp; Tia (Wild)")</f>
        <v>Kanchomé &amp; Tia (Wild)</v>
      </c>
      <c r="D834" s="42" t="str">
        <f>IFERROR(__xludf.DUMMYFUNCTION("""COMPUTED_VALUE"""),"Kanchomé | Tia")</f>
        <v>Kanchomé | Tia</v>
      </c>
      <c r="E834" s="42" t="str">
        <f>IFERROR(__xludf.DUMMYFUNCTION("""COMPUTED_VALUE"""),"-")</f>
        <v>-</v>
      </c>
      <c r="F834" s="42" t="str">
        <f>IFERROR(__xludf.DUMMYFUNCTION("""COMPUTED_VALUE"""),"-")</f>
        <v>-</v>
      </c>
      <c r="G834" s="42" t="str">
        <f>IFERROR(__xludf.DUMMYFUNCTION("""COMPUTED_VALUE"""),"Intermediate")</f>
        <v>Intermediate</v>
      </c>
      <c r="H834" s="42" t="str">
        <f>IFERROR(__xludf.DUMMYFUNCTION("""COMPUTED_VALUE"""),"Goddess of Anger")</f>
        <v>Goddess of Anger</v>
      </c>
      <c r="I834" s="43" t="str">
        <f>IFERROR(__xludf.DUMMYFUNCTION("""COMPUTED_VALUE"""),"This card is placed on a regular Kanchomé or Tia MAMODO card. This card is considered to be both a Dual MAMODO and S MAMODO card. [IN PLAY] Your opponent cannot apply effects that turn pages of a player's Spell Book.")</f>
        <v>This card is placed on a regular Kanchomé or Tia MAMODO card. This card is considered to be both a Dual MAMODO and S MAMODO card. [IN PLAY] Your opponent cannot apply effects that turn pages of a player's Spell Book.</v>
      </c>
      <c r="J834" s="42">
        <f>IFERROR(__xludf.DUMMYFUNCTION("""COMPUTED_VALUE"""),5000.0)</f>
        <v>5000</v>
      </c>
      <c r="K834" s="42" t="str">
        <f>IFERROR(__xludf.DUMMYFUNCTION("""COMPUTED_VALUE"""),"-")</f>
        <v>-</v>
      </c>
      <c r="L834" s="42" t="str">
        <f>IFERROR(__xludf.DUMMYFUNCTION("""COMPUTED_VALUE"""),"-")</f>
        <v>-</v>
      </c>
      <c r="M834" s="42" t="str">
        <f>IFERROR(__xludf.DUMMYFUNCTION("""COMPUTED_VALUE"""),"[R]")</f>
        <v>[R]</v>
      </c>
      <c r="N834" s="42" t="str">
        <f>IFERROR(__xludf.DUMMYFUNCTION("""COMPUTED_VALUE"""),"""Don't get sloppy! Gogogogogogogogogo...""")</f>
        <v>"Don't get sloppy! Gogogogogogogogogo..."</v>
      </c>
      <c r="O834" s="42"/>
      <c r="P834" s="42"/>
      <c r="Q834" s="42"/>
      <c r="R834" s="42"/>
      <c r="S834" s="42"/>
      <c r="T834" s="42"/>
      <c r="U834" s="42"/>
      <c r="V834" s="42"/>
      <c r="W834" s="42"/>
      <c r="X834" s="42"/>
      <c r="Y834" s="42"/>
      <c r="Z834" s="42"/>
    </row>
    <row r="835">
      <c r="A835" s="42" t="str">
        <f>IFERROR(__xludf.DUMMYFUNCTION("""COMPUTED_VALUE"""),"M-453")</f>
        <v>M-453</v>
      </c>
      <c r="B835" s="42" t="str">
        <f>IFERROR(__xludf.DUMMYFUNCTION("""COMPUTED_VALUE"""),"Mamodo")</f>
        <v>Mamodo</v>
      </c>
      <c r="C835" s="42" t="str">
        <f>IFERROR(__xludf.DUMMYFUNCTION("""COMPUTED_VALUE"""),"Brago")</f>
        <v>Brago</v>
      </c>
      <c r="D835" s="42" t="str">
        <f>IFERROR(__xludf.DUMMYFUNCTION("""COMPUTED_VALUE"""),"Brago")</f>
        <v>Brago</v>
      </c>
      <c r="E835" s="42" t="str">
        <f>IFERROR(__xludf.DUMMYFUNCTION("""COMPUTED_VALUE"""),"-")</f>
        <v>-</v>
      </c>
      <c r="F835" s="42" t="str">
        <f>IFERROR(__xludf.DUMMYFUNCTION("""COMPUTED_VALUE"""),"-")</f>
        <v>-</v>
      </c>
      <c r="G835" s="42" t="str">
        <f>IFERROR(__xludf.DUMMYFUNCTION("""COMPUTED_VALUE"""),"Intermediate")</f>
        <v>Intermediate</v>
      </c>
      <c r="H835" s="42" t="str">
        <f>IFERROR(__xludf.DUMMYFUNCTION("""COMPUTED_VALUE"""),"Light of Fellowship")</f>
        <v>Light of Fellowship</v>
      </c>
      <c r="I835" s="43" t="str">
        <f>IFERROR(__xludf.DUMMYFUNCTION("""COMPUTED_VALUE"""),"[HIDE MAMODO] This card is put in play face-down, away from your MAMODO card area. With 1 Action, you can flip this card face-up and put in play. [IN PLAY] Apply the following effect immediately when this MAMODO card is flipped face-up. This effect can be"&amp;" applied only once per game (per player): [STAY] Your opponent cannot Attack during this turn.")</f>
        <v>[HIDE MAMODO] This card is put in play face-down, away from your MAMODO card area. With 1 Action, you can flip this card face-up and put in play. [IN PLAY] Apply the following effect immediately when this MAMODO card is flipped face-up. This effect can be applied only once per game (per player): [STAY] Your opponent cannot Attack during this turn.</v>
      </c>
      <c r="J835" s="42">
        <f>IFERROR(__xludf.DUMMYFUNCTION("""COMPUTED_VALUE"""),5000.0)</f>
        <v>5000</v>
      </c>
      <c r="K835" s="42" t="str">
        <f>IFERROR(__xludf.DUMMYFUNCTION("""COMPUTED_VALUE"""),"-")</f>
        <v>-</v>
      </c>
      <c r="L835" s="42" t="str">
        <f>IFERROR(__xludf.DUMMYFUNCTION("""COMPUTED_VALUE"""),"-")</f>
        <v>-</v>
      </c>
      <c r="M835" s="42" t="str">
        <f>IFERROR(__xludf.DUMMYFUNCTION("""COMPUTED_VALUE"""),"[SR]")</f>
        <v>[SR]</v>
      </c>
      <c r="N835" s="42" t="str">
        <f>IFERROR(__xludf.DUMMYFUNCTION("""COMPUTED_VALUE"""),"""Kiyo had sent out S.O.S. messages from inside of Faudo's body. He called upon the light of friendship!""")</f>
        <v>"Kiyo had sent out S.O.S. messages from inside of Faudo's body. He called upon the light of friendship!"</v>
      </c>
      <c r="O835" s="42"/>
      <c r="P835" s="42"/>
      <c r="Q835" s="42"/>
      <c r="R835" s="42"/>
      <c r="S835" s="42"/>
      <c r="T835" s="42"/>
      <c r="U835" s="42"/>
      <c r="V835" s="42"/>
      <c r="W835" s="42"/>
      <c r="X835" s="42"/>
      <c r="Y835" s="42"/>
      <c r="Z835" s="42"/>
    </row>
    <row r="836">
      <c r="A836" s="42" t="str">
        <f>IFERROR(__xludf.DUMMYFUNCTION("""COMPUTED_VALUE"""),"M-454")</f>
        <v>M-454</v>
      </c>
      <c r="B836" s="42" t="str">
        <f>IFERROR(__xludf.DUMMYFUNCTION("""COMPUTED_VALUE"""),"Mamodo")</f>
        <v>Mamodo</v>
      </c>
      <c r="C836" s="42" t="str">
        <f>IFERROR(__xludf.DUMMYFUNCTION("""COMPUTED_VALUE"""),"Bari")</f>
        <v>Bari</v>
      </c>
      <c r="D836" s="42" t="str">
        <f>IFERROR(__xludf.DUMMYFUNCTION("""COMPUTED_VALUE"""),"Bari")</f>
        <v>Bari</v>
      </c>
      <c r="E836" s="42" t="str">
        <f>IFERROR(__xludf.DUMMYFUNCTION("""COMPUTED_VALUE"""),"-")</f>
        <v>-</v>
      </c>
      <c r="F836" s="42" t="str">
        <f>IFERROR(__xludf.DUMMYFUNCTION("""COMPUTED_VALUE"""),"-")</f>
        <v>-</v>
      </c>
      <c r="G836" s="42" t="str">
        <f>IFERROR(__xludf.DUMMYFUNCTION("""COMPUTED_VALUE"""),"Intermediate")</f>
        <v>Intermediate</v>
      </c>
      <c r="H836" s="42" t="str">
        <f>IFERROR(__xludf.DUMMYFUNCTION("""COMPUTED_VALUE"""),"Broad Back")</f>
        <v>Broad Back</v>
      </c>
      <c r="I836" s="43" t="str">
        <f>IFERROR(__xludf.DUMMYFUNCTION("""COMPUTED_VALUE"""),"[HIDE MAMODO] This MAMODO card is put in play away from your MAMODO card area, face-down. With 1 Action, this MAMODO card can be flipped up and put in play. [IN PLAY] Negate 1 [Stay] effect immediately when this MAMODO card is flipped face-up. In addition"&amp;", this MAMODO card can Attack, Defend, and apply this effect regardless of your opponent's card effects.")</f>
        <v>[HIDE MAMODO] This MAMODO card is put in play away from your MAMODO card area, face-down. With 1 Action, this MAMODO card can be flipped up and put in play. [IN PLAY] Negate 1 [Stay] effect immediately when this MAMODO card is flipped face-up. In addition, this MAMODO card can Attack, Defend, and apply this effect regardless of your opponent's card effects.</v>
      </c>
      <c r="J836" s="42">
        <f>IFERROR(__xludf.DUMMYFUNCTION("""COMPUTED_VALUE"""),6000.0)</f>
        <v>6000</v>
      </c>
      <c r="K836" s="42" t="str">
        <f>IFERROR(__xludf.DUMMYFUNCTION("""COMPUTED_VALUE"""),"-")</f>
        <v>-</v>
      </c>
      <c r="L836" s="42" t="str">
        <f>IFERROR(__xludf.DUMMYFUNCTION("""COMPUTED_VALUE"""),"-")</f>
        <v>-</v>
      </c>
      <c r="M836" s="42" t="str">
        <f>IFERROR(__xludf.DUMMYFUNCTION("""COMPUTED_VALUE"""),"[SR]")</f>
        <v>[SR]</v>
      </c>
      <c r="N836" s="42" t="str">
        <f>IFERROR(__xludf.DUMMYFUNCTION("""COMPUTED_VALUE"""),"""Fighting you is not my priority right now. We have to stop Faudo.""")</f>
        <v>"Fighting you is not my priority right now. We have to stop Faudo."</v>
      </c>
      <c r="O836" s="42"/>
      <c r="P836" s="42"/>
      <c r="Q836" s="42"/>
      <c r="R836" s="42"/>
      <c r="S836" s="42"/>
      <c r="T836" s="42"/>
      <c r="U836" s="42"/>
      <c r="V836" s="42"/>
      <c r="W836" s="42"/>
      <c r="X836" s="42"/>
      <c r="Y836" s="42"/>
      <c r="Z836" s="42"/>
    </row>
    <row r="837">
      <c r="A837" s="42" t="str">
        <f>IFERROR(__xludf.DUMMYFUNCTION("""COMPUTED_VALUE"""),"M-455")</f>
        <v>M-455</v>
      </c>
      <c r="B837" s="42" t="str">
        <f>IFERROR(__xludf.DUMMYFUNCTION("""COMPUTED_VALUE"""),"Mamodo")</f>
        <v>Mamodo</v>
      </c>
      <c r="C837" s="42" t="str">
        <f>IFERROR(__xludf.DUMMYFUNCTION("""COMPUTED_VALUE"""),"Keith (Faudo Form)")</f>
        <v>Keith (Faudo Form)</v>
      </c>
      <c r="D837" s="42" t="str">
        <f>IFERROR(__xludf.DUMMYFUNCTION("""COMPUTED_VALUE"""),"Keith")</f>
        <v>Keith</v>
      </c>
      <c r="E837" s="42" t="str">
        <f>IFERROR(__xludf.DUMMYFUNCTION("""COMPUTED_VALUE"""),"-")</f>
        <v>-</v>
      </c>
      <c r="F837" s="42" t="str">
        <f>IFERROR(__xludf.DUMMYFUNCTION("""COMPUTED_VALUE"""),"-")</f>
        <v>-</v>
      </c>
      <c r="G837" s="42" t="str">
        <f>IFERROR(__xludf.DUMMYFUNCTION("""COMPUTED_VALUE"""),"Intermediate")</f>
        <v>Intermediate</v>
      </c>
      <c r="H837" s="42" t="str">
        <f>IFERROR(__xludf.DUMMYFUNCTION("""COMPUTED_VALUE"""),"Star Units")</f>
        <v>Star Units</v>
      </c>
      <c r="I837" s="43" t="str">
        <f>IFERROR(__xludf.DUMMYFUNCTION("""COMPUTED_VALUE"""),"This card is placed on a regular Keith MAMODO card when the [Stay] effect of an ""Internal Faudo Event"" EVENT card is active. The effects of the Keith MAMODO card underneath this card can still be applied. [GODUFA] [DECLARE TO USE] Turn 1 or 2 pages of y"&amp;"our Spell Book during your opponent's BATTLE PHASE. Then, get MP equal to the number of pages turned by this effect times 2.")</f>
        <v>This card is placed on a regular Keith MAMODO card when the [Stay] effect of an "Internal Faudo Event" EVENT card is active. The effects of the Keith MAMODO card underneath this card can still be applied. [GODUFA] [DECLARE TO USE] Turn 1 or 2 pages of your Spell Book during your opponent's BATTLE PHASE. Then, get MP equal to the number of pages turned by this effect times 2.</v>
      </c>
      <c r="J837" s="42" t="str">
        <f>IFERROR(__xludf.DUMMYFUNCTION("""COMPUTED_VALUE"""),"4000-red")</f>
        <v>4000-red</v>
      </c>
      <c r="K837" s="42" t="str">
        <f>IFERROR(__xludf.DUMMYFUNCTION("""COMPUTED_VALUE"""),"-")</f>
        <v>-</v>
      </c>
      <c r="L837" s="42" t="str">
        <f>IFERROR(__xludf.DUMMYFUNCTION("""COMPUTED_VALUE"""),"-")</f>
        <v>-</v>
      </c>
      <c r="M837" s="42" t="str">
        <f>IFERROR(__xludf.DUMMYFUNCTION("""COMPUTED_VALUE"""),"[C]")</f>
        <v>[C]</v>
      </c>
      <c r="N837" s="42" t="str">
        <f>IFERROR(__xludf.DUMMYFUNCTION("""COMPUTED_VALUE"""),"""Thank you Faudo! You are my father!""")</f>
        <v>"Thank you Faudo! You are my father!"</v>
      </c>
      <c r="O837" s="42"/>
      <c r="P837" s="42"/>
      <c r="Q837" s="42"/>
      <c r="R837" s="42"/>
      <c r="S837" s="42"/>
      <c r="T837" s="42"/>
      <c r="U837" s="42"/>
      <c r="V837" s="42"/>
      <c r="W837" s="42"/>
      <c r="X837" s="42"/>
      <c r="Y837" s="42"/>
      <c r="Z837" s="42"/>
    </row>
    <row r="838">
      <c r="A838" s="42" t="str">
        <f>IFERROR(__xludf.DUMMYFUNCTION("""COMPUTED_VALUE"""),"M-456")</f>
        <v>M-456</v>
      </c>
      <c r="B838" s="42" t="str">
        <f>IFERROR(__xludf.DUMMYFUNCTION("""COMPUTED_VALUE"""),"Mamodo")</f>
        <v>Mamodo</v>
      </c>
      <c r="C838" s="42" t="str">
        <f>IFERROR(__xludf.DUMMYFUNCTION("""COMPUTED_VALUE"""),"Gyaron")</f>
        <v>Gyaron</v>
      </c>
      <c r="D838" s="42" t="str">
        <f>IFERROR(__xludf.DUMMYFUNCTION("""COMPUTED_VALUE"""),"Gyaron")</f>
        <v>Gyaron</v>
      </c>
      <c r="E838" s="42" t="str">
        <f>IFERROR(__xludf.DUMMYFUNCTION("""COMPUTED_VALUE"""),"-")</f>
        <v>-</v>
      </c>
      <c r="F838" s="42" t="str">
        <f>IFERROR(__xludf.DUMMYFUNCTION("""COMPUTED_VALUE"""),"-")</f>
        <v>-</v>
      </c>
      <c r="G838" s="42" t="str">
        <f>IFERROR(__xludf.DUMMYFUNCTION("""COMPUTED_VALUE"""),"None")</f>
        <v>None</v>
      </c>
      <c r="H838" s="42" t="str">
        <f>IFERROR(__xludf.DUMMYFUNCTION("""COMPUTED_VALUE"""),"Melee")</f>
        <v>Melee</v>
      </c>
      <c r="I838" s="43" t="str">
        <f>IFERROR(__xludf.DUMMYFUNCTION("""COMPUTED_VALUE"""),"[GODUFA] (Attack) (Defend) [1 MP] This card may Attack without using a SPELL (Total Power=7000, Damage=1) OR, Defend without using a SPELL (Total Power=7000). When this card's Power is increased by effects, the Total Power of this effect is considered to "&amp;"be 9000).")</f>
        <v>[GODUFA] (Attack) (Defend) [1 MP] This card may Attack without using a SPELL (Total Power=7000, Damage=1) OR, Defend without using a SPELL (Total Power=7000). When this card's Power is increased by effects, the Total Power of this effect is considered to be 9000).</v>
      </c>
      <c r="J838" s="42" t="str">
        <f>IFERROR(__xludf.DUMMYFUNCTION("""COMPUTED_VALUE"""),"4000-red")</f>
        <v>4000-red</v>
      </c>
      <c r="K838" s="42" t="str">
        <f>IFERROR(__xludf.DUMMYFUNCTION("""COMPUTED_VALUE"""),"-")</f>
        <v>-</v>
      </c>
      <c r="L838" s="42" t="str">
        <f>IFERROR(__xludf.DUMMYFUNCTION("""COMPUTED_VALUE"""),"-")</f>
        <v>-</v>
      </c>
      <c r="M838" s="42" t="str">
        <f>IFERROR(__xludf.DUMMYFUNCTION("""COMPUTED_VALUE"""),"[C]")</f>
        <v>[C]</v>
      </c>
      <c r="N838" s="42" t="str">
        <f>IFERROR(__xludf.DUMMYFUNCTION("""COMPUTED_VALUE"""),"""You get to torture enemies who have no means of fighting back. Isn't that fun?""")</f>
        <v>"You get to torture enemies who have no means of fighting back. Isn't that fun?"</v>
      </c>
      <c r="O838" s="42"/>
      <c r="P838" s="42"/>
      <c r="Q838" s="42"/>
      <c r="R838" s="42"/>
      <c r="S838" s="42"/>
      <c r="T838" s="42"/>
      <c r="U838" s="42"/>
      <c r="V838" s="42"/>
      <c r="W838" s="42"/>
      <c r="X838" s="42"/>
      <c r="Y838" s="42"/>
      <c r="Z838" s="42"/>
    </row>
    <row r="839">
      <c r="A839" s="42" t="str">
        <f>IFERROR(__xludf.DUMMYFUNCTION("""COMPUTED_VALUE"""),"M-457")</f>
        <v>M-457</v>
      </c>
      <c r="B839" s="42" t="str">
        <f>IFERROR(__xludf.DUMMYFUNCTION("""COMPUTED_VALUE"""),"Mamodo")</f>
        <v>Mamodo</v>
      </c>
      <c r="C839" s="42" t="str">
        <f>IFERROR(__xludf.DUMMYFUNCTION("""COMPUTED_VALUE"""),"Elzador")</f>
        <v>Elzador</v>
      </c>
      <c r="D839" s="42" t="str">
        <f>IFERROR(__xludf.DUMMYFUNCTION("""COMPUTED_VALUE"""),"Elzador")</f>
        <v>Elzador</v>
      </c>
      <c r="E839" s="42" t="str">
        <f>IFERROR(__xludf.DUMMYFUNCTION("""COMPUTED_VALUE"""),"-")</f>
        <v>-</v>
      </c>
      <c r="F839" s="42" t="str">
        <f>IFERROR(__xludf.DUMMYFUNCTION("""COMPUTED_VALUE"""),"-")</f>
        <v>-</v>
      </c>
      <c r="G839" s="42" t="str">
        <f>IFERROR(__xludf.DUMMYFUNCTION("""COMPUTED_VALUE"""),"Intermediate")</f>
        <v>Intermediate</v>
      </c>
      <c r="H839" s="42" t="str">
        <f>IFERROR(__xludf.DUMMYFUNCTION("""COMPUTED_VALUE"""),"Eyes of Nobility")</f>
        <v>Eyes of Nobility</v>
      </c>
      <c r="I839" s="43" t="str">
        <f>IFERROR(__xludf.DUMMYFUNCTION("""COMPUTED_VALUE"""),"[IN PLAY] Your opponent cannot apply the effect of their MAMODO cards that have less than half the Power of this MAMODO card.")</f>
        <v>[IN PLAY] Your opponent cannot apply the effect of their MAMODO cards that have less than half the Power of this MAMODO card.</v>
      </c>
      <c r="J839" s="42">
        <f>IFERROR(__xludf.DUMMYFUNCTION("""COMPUTED_VALUE"""),7000.0)</f>
        <v>7000</v>
      </c>
      <c r="K839" s="42" t="str">
        <f>IFERROR(__xludf.DUMMYFUNCTION("""COMPUTED_VALUE"""),"-")</f>
        <v>-</v>
      </c>
      <c r="L839" s="42" t="str">
        <f>IFERROR(__xludf.DUMMYFUNCTION("""COMPUTED_VALUE"""),"-")</f>
        <v>-</v>
      </c>
      <c r="M839" s="42" t="str">
        <f>IFERROR(__xludf.DUMMYFUNCTION("""COMPUTED_VALUE"""),"[U]")</f>
        <v>[U]</v>
      </c>
      <c r="N839" s="42" t="str">
        <f>IFERROR(__xludf.DUMMYFUNCTION("""COMPUTED_VALUE"""),"""What the... I see absolute power in his eyes, but... I also see a noble fighter! The light of ambition!""")</f>
        <v>"What the... I see absolute power in his eyes, but... I also see a noble fighter! The light of ambition!"</v>
      </c>
      <c r="O839" s="42"/>
      <c r="P839" s="42"/>
      <c r="Q839" s="42"/>
      <c r="R839" s="42"/>
      <c r="S839" s="42"/>
      <c r="T839" s="42"/>
      <c r="U839" s="42"/>
      <c r="V839" s="42"/>
      <c r="W839" s="42"/>
      <c r="X839" s="42"/>
      <c r="Y839" s="42"/>
      <c r="Z839" s="42"/>
    </row>
    <row r="840">
      <c r="A840" s="42" t="str">
        <f>IFERROR(__xludf.DUMMYFUNCTION("""COMPUTED_VALUE"""),"M-458")</f>
        <v>M-458</v>
      </c>
      <c r="B840" s="42" t="str">
        <f>IFERROR(__xludf.DUMMYFUNCTION("""COMPUTED_VALUE"""),"Mamodo")</f>
        <v>Mamodo</v>
      </c>
      <c r="C840" s="42" t="str">
        <f>IFERROR(__xludf.DUMMYFUNCTION("""COMPUTED_VALUE"""),"Jedun &amp; Escarlo Rune")</f>
        <v>Jedun &amp; Escarlo Rune</v>
      </c>
      <c r="D840" s="42" t="str">
        <f>IFERROR(__xludf.DUMMYFUNCTION("""COMPUTED_VALUE"""),"Jedun")</f>
        <v>Jedun</v>
      </c>
      <c r="E840" s="42" t="str">
        <f>IFERROR(__xludf.DUMMYFUNCTION("""COMPUTED_VALUE"""),"-")</f>
        <v>-</v>
      </c>
      <c r="F840" s="42" t="str">
        <f>IFERROR(__xludf.DUMMYFUNCTION("""COMPUTED_VALUE"""),"-")</f>
        <v>-</v>
      </c>
      <c r="G840" s="42" t="str">
        <f>IFERROR(__xludf.DUMMYFUNCTION("""COMPUTED_VALUE"""),"None")</f>
        <v>None</v>
      </c>
      <c r="H840" s="42" t="str">
        <f>IFERROR(__xludf.DUMMYFUNCTION("""COMPUTED_VALUE"""),"In a Capsule")</f>
        <v>In a Capsule</v>
      </c>
      <c r="I840" s="43" t="str">
        <f>IFERROR(__xludf.DUMMYFUNCTION("""COMPUTED_VALUE"""),"No PARTNER cards can be attached to this MAMODO card. This MAMODO card is considered to always have a PARTNER card attached. [GODUFA] [IN PLAY] Apply both of the following effects: ● Reduce the Damage of your opponent's Attack by 1. ● The pages of your Sp"&amp;"ell Book cannot be turned by effects (except Damage).")</f>
        <v>No PARTNER cards can be attached to this MAMODO card. This MAMODO card is considered to always have a PARTNER card attached. [GODUFA] [IN PLAY] Apply both of the following effects: ● Reduce the Damage of your opponent's Attack by 1. ● The pages of your Spell Book cannot be turned by effects (except Damage).</v>
      </c>
      <c r="J840" s="42" t="str">
        <f>IFERROR(__xludf.DUMMYFUNCTION("""COMPUTED_VALUE"""),"4000-red")</f>
        <v>4000-red</v>
      </c>
      <c r="K840" s="42" t="str">
        <f>IFERROR(__xludf.DUMMYFUNCTION("""COMPUTED_VALUE"""),"-")</f>
        <v>-</v>
      </c>
      <c r="L840" s="42" t="str">
        <f>IFERROR(__xludf.DUMMYFUNCTION("""COMPUTED_VALUE"""),"-")</f>
        <v>-</v>
      </c>
      <c r="M840" s="42" t="str">
        <f>IFERROR(__xludf.DUMMYFUNCTION("""COMPUTED_VALUE"""),"[C]")</f>
        <v>[C]</v>
      </c>
      <c r="N840" s="42" t="str">
        <f>IFERROR(__xludf.DUMMYFUNCTION("""COMPUTED_VALUE"""),"""YANKO, YANKO, YANKO!""")</f>
        <v>"YANKO, YANKO, YANKO!"</v>
      </c>
      <c r="O840" s="42"/>
      <c r="P840" s="42"/>
      <c r="Q840" s="42"/>
      <c r="R840" s="42"/>
      <c r="S840" s="42"/>
      <c r="T840" s="42"/>
      <c r="U840" s="42"/>
      <c r="V840" s="42"/>
      <c r="W840" s="42"/>
      <c r="X840" s="42"/>
      <c r="Y840" s="42"/>
      <c r="Z840" s="42"/>
    </row>
    <row r="841">
      <c r="A841" s="42" t="str">
        <f>IFERROR(__xludf.DUMMYFUNCTION("""COMPUTED_VALUE"""),"M-459")</f>
        <v>M-459</v>
      </c>
      <c r="B841" s="42" t="str">
        <f>IFERROR(__xludf.DUMMYFUNCTION("""COMPUTED_VALUE"""),"Mamodo")</f>
        <v>Mamodo</v>
      </c>
      <c r="C841" s="42" t="str">
        <f>IFERROR(__xludf.DUMMYFUNCTION("""COMPUTED_VALUE"""),"Zeno")</f>
        <v>Zeno</v>
      </c>
      <c r="D841" s="42" t="str">
        <f>IFERROR(__xludf.DUMMYFUNCTION("""COMPUTED_VALUE"""),"Zeno")</f>
        <v>Zeno</v>
      </c>
      <c r="E841" s="42" t="str">
        <f>IFERROR(__xludf.DUMMYFUNCTION("""COMPUTED_VALUE"""),"-")</f>
        <v>-</v>
      </c>
      <c r="F841" s="42" t="str">
        <f>IFERROR(__xludf.DUMMYFUNCTION("""COMPUTED_VALUE"""),"-")</f>
        <v>-</v>
      </c>
      <c r="G841" s="42" t="str">
        <f>IFERROR(__xludf.DUMMYFUNCTION("""COMPUTED_VALUE"""),"None")</f>
        <v>None</v>
      </c>
      <c r="H841" s="42" t="str">
        <f>IFERROR(__xludf.DUMMYFUNCTION("""COMPUTED_VALUE"""),"Flames of Envy")</f>
        <v>Flames of Envy</v>
      </c>
      <c r="I841" s="43" t="str">
        <f>IFERROR(__xludf.DUMMYFUNCTION("""COMPUTED_VALUE"""),"[1 MP] Look at your opponent's Spell Book during your BATTLE PHASE. Select 1 ""Superior"" Class SPELL card from any of the pages (except the last page) and send it to the Discard Pile. You may reduce your MP by 3; if you do, you may also send the card fro"&amp;"m the last page of your opponent's Spell Book to the Discard Pile.")</f>
        <v>[1 MP] Look at your opponent's Spell Book during your BATTLE PHASE. Select 1 "Superior" Class SPELL card from any of the pages (except the last page) and send it to the Discard Pile. You may reduce your MP by 3; if you do, you may also send the card from the last page of your opponent's Spell Book to the Discard Pile.</v>
      </c>
      <c r="J841" s="42">
        <f>IFERROR(__xludf.DUMMYFUNCTION("""COMPUTED_VALUE"""),7000.0)</f>
        <v>7000</v>
      </c>
      <c r="K841" s="42" t="str">
        <f>IFERROR(__xludf.DUMMYFUNCTION("""COMPUTED_VALUE"""),"-")</f>
        <v>-</v>
      </c>
      <c r="L841" s="42" t="str">
        <f>IFERROR(__xludf.DUMMYFUNCTION("""COMPUTED_VALUE"""),"-")</f>
        <v>-</v>
      </c>
      <c r="M841" s="42" t="str">
        <f>IFERROR(__xludf.DUMMYFUNCTION("""COMPUTED_VALUE"""),"[SR]")</f>
        <v>[SR]</v>
      </c>
      <c r="N841" s="42" t="str">
        <f>IFERROR(__xludf.DUMMYFUNCTION("""COMPUTED_VALUE"""),"""I could never allow myself to lose to Zatch... who stole away the Bao that is rightfully mine.""")</f>
        <v>"I could never allow myself to lose to Zatch... who stole away the Bao that is rightfully mine."</v>
      </c>
      <c r="O841" s="42"/>
      <c r="P841" s="42"/>
      <c r="Q841" s="42"/>
      <c r="R841" s="42"/>
      <c r="S841" s="42"/>
      <c r="T841" s="42"/>
      <c r="U841" s="42"/>
      <c r="V841" s="42"/>
      <c r="W841" s="42"/>
      <c r="X841" s="42"/>
      <c r="Y841" s="42"/>
      <c r="Z841" s="42"/>
    </row>
    <row r="842">
      <c r="A842" s="42" t="str">
        <f>IFERROR(__xludf.DUMMYFUNCTION("""COMPUTED_VALUE"""),"M-460")</f>
        <v>M-460</v>
      </c>
      <c r="B842" s="42" t="str">
        <f>IFERROR(__xludf.DUMMYFUNCTION("""COMPUTED_VALUE"""),"Mamodo")</f>
        <v>Mamodo</v>
      </c>
      <c r="C842" s="42" t="str">
        <f>IFERROR(__xludf.DUMMYFUNCTION("""COMPUTED_VALUE"""),"Hogan")</f>
        <v>Hogan</v>
      </c>
      <c r="D842" s="42" t="str">
        <f>IFERROR(__xludf.DUMMYFUNCTION("""COMPUTED_VALUE"""),"Hogan")</f>
        <v>Hogan</v>
      </c>
      <c r="E842" s="42" t="str">
        <f>IFERROR(__xludf.DUMMYFUNCTION("""COMPUTED_VALUE"""),"-")</f>
        <v>-</v>
      </c>
      <c r="F842" s="42" t="str">
        <f>IFERROR(__xludf.DUMMYFUNCTION("""COMPUTED_VALUE"""),"-")</f>
        <v>-</v>
      </c>
      <c r="G842" s="42" t="str">
        <f>IFERROR(__xludf.DUMMYFUNCTION("""COMPUTED_VALUE"""),"None")</f>
        <v>None</v>
      </c>
      <c r="H842" s="42" t="str">
        <f>IFERROR(__xludf.DUMMYFUNCTION("""COMPUTED_VALUE"""),"Burning Axe")</f>
        <v>Burning Axe</v>
      </c>
      <c r="I842" s="43" t="str">
        <f>IFERROR(__xludf.DUMMYFUNCTION("""COMPUTED_VALUE"""),"(Attack) [1 MP] Emuraksu: This card may Attack without using a SPELL (Total Power=6000, Attribute=""Fire"", Damage=1). (Attack) [3 MP] Gigano Emuraksu: This card may Attack without using a SPELL (Total Power=8000, Attribute=""Fire"", Damage=3).")</f>
        <v>(Attack) [1 MP] Emuraksu: This card may Attack without using a SPELL (Total Power=6000, Attribute="Fire", Damage=1). (Attack) [3 MP] Gigano Emuraksu: This card may Attack without using a SPELL (Total Power=8000, Attribute="Fire", Damage=3).</v>
      </c>
      <c r="J842" s="42">
        <f>IFERROR(__xludf.DUMMYFUNCTION("""COMPUTED_VALUE"""),4000.0)</f>
        <v>4000</v>
      </c>
      <c r="K842" s="42" t="str">
        <f>IFERROR(__xludf.DUMMYFUNCTION("""COMPUTED_VALUE"""),"-")</f>
        <v>-</v>
      </c>
      <c r="L842" s="42" t="str">
        <f>IFERROR(__xludf.DUMMYFUNCTION("""COMPUTED_VALUE"""),"-")</f>
        <v>-</v>
      </c>
      <c r="M842" s="42" t="str">
        <f>IFERROR(__xludf.DUMMYFUNCTION("""COMPUTED_VALUE"""),"[C]")</f>
        <v>[C]</v>
      </c>
      <c r="N842" s="42" t="str">
        <f>IFERROR(__xludf.DUMMYFUNCTION("""COMPUTED_VALUE"""),"""You punk! There's nobody alive who can survive my burning axe attack!""")</f>
        <v>"You punk! There's nobody alive who can survive my burning axe attack!"</v>
      </c>
      <c r="O842" s="42"/>
      <c r="P842" s="42"/>
      <c r="Q842" s="42"/>
      <c r="R842" s="42"/>
      <c r="S842" s="42"/>
      <c r="T842" s="42"/>
      <c r="U842" s="42"/>
      <c r="V842" s="42"/>
      <c r="W842" s="42"/>
      <c r="X842" s="42"/>
      <c r="Y842" s="42"/>
      <c r="Z842" s="42"/>
    </row>
    <row r="843">
      <c r="A843" s="42" t="str">
        <f>IFERROR(__xludf.DUMMYFUNCTION("""COMPUTED_VALUE"""),"M-461")</f>
        <v>M-461</v>
      </c>
      <c r="B843" s="42" t="str">
        <f>IFERROR(__xludf.DUMMYFUNCTION("""COMPUTED_VALUE"""),"Mamodo")</f>
        <v>Mamodo</v>
      </c>
      <c r="C843" s="42" t="str">
        <f>IFERROR(__xludf.DUMMYFUNCTION("""COMPUTED_VALUE"""),"Degosumia")</f>
        <v>Degosumia</v>
      </c>
      <c r="D843" s="42" t="str">
        <f>IFERROR(__xludf.DUMMYFUNCTION("""COMPUTED_VALUE"""),"-")</f>
        <v>-</v>
      </c>
      <c r="E843" s="42" t="str">
        <f>IFERROR(__xludf.DUMMYFUNCTION("""COMPUTED_VALUE"""),"-")</f>
        <v>-</v>
      </c>
      <c r="F843" s="42" t="str">
        <f>IFERROR(__xludf.DUMMYFUNCTION("""COMPUTED_VALUE"""),"-")</f>
        <v>-</v>
      </c>
      <c r="G843" s="42" t="str">
        <f>IFERROR(__xludf.DUMMYFUNCTION("""COMPUTED_VALUE"""),"None")</f>
        <v>None</v>
      </c>
      <c r="H843" s="42" t="str">
        <f>IFERROR(__xludf.DUMMYFUNCTION("""COMPUTED_VALUE"""),"Brainless Brawn")</f>
        <v>Brainless Brawn</v>
      </c>
      <c r="I843" s="43" t="str">
        <f>IFERROR(__xludf.DUMMYFUNCTION("""COMPUTED_VALUE"""),"This MAMODO card can be put in play only when when the [Stay] effect of an ""Internal Faudo Event"" EVENT card is active. (Attack) [1 MP] This card may Attack without using a SPELL card (Total Power=8000, Damage=3). [IN PLAY] This card does not receive Da"&amp;"mage or Injury. If this card receives a collective infliction of 3 Damage or more, it is sent to the Discard Pile.")</f>
        <v>This MAMODO card can be put in play only when when the [Stay] effect of an "Internal Faudo Event" EVENT card is active. (Attack) [1 MP] This card may Attack without using a SPELL card (Total Power=8000, Damage=3). [IN PLAY] This card does not receive Damage or Injury. If this card receives a collective infliction of 3 Damage or more, it is sent to the Discard Pile.</v>
      </c>
      <c r="J843" s="42">
        <f>IFERROR(__xludf.DUMMYFUNCTION("""COMPUTED_VALUE"""),6000.0)</f>
        <v>6000</v>
      </c>
      <c r="K843" s="42" t="str">
        <f>IFERROR(__xludf.DUMMYFUNCTION("""COMPUTED_VALUE"""),"-")</f>
        <v>-</v>
      </c>
      <c r="L843" s="42" t="str">
        <f>IFERROR(__xludf.DUMMYFUNCTION("""COMPUTED_VALUE"""),"-")</f>
        <v>-</v>
      </c>
      <c r="M843" s="42" t="str">
        <f>IFERROR(__xludf.DUMMYFUNCTION("""COMPUTED_VALUE"""),"[U]")</f>
        <v>[U]</v>
      </c>
      <c r="N843" s="42" t="str">
        <f>IFERROR(__xludf.DUMMYFUNCTION("""COMPUTED_VALUE"""),"""Degosu is amazing! How unbelievably tough he is!""")</f>
        <v>"Degosu is amazing! How unbelievably tough he is!"</v>
      </c>
      <c r="O843" s="42"/>
      <c r="P843" s="42"/>
      <c r="Q843" s="42"/>
      <c r="R843" s="42"/>
      <c r="S843" s="42"/>
      <c r="T843" s="42"/>
      <c r="U843" s="42"/>
      <c r="V843" s="42"/>
      <c r="W843" s="42"/>
      <c r="X843" s="42"/>
      <c r="Y843" s="42"/>
      <c r="Z843" s="42"/>
    </row>
    <row r="844">
      <c r="A844" s="42" t="str">
        <f>IFERROR(__xludf.DUMMYFUNCTION("""COMPUTED_VALUE"""),"M-462")</f>
        <v>M-462</v>
      </c>
      <c r="B844" s="42" t="str">
        <f>IFERROR(__xludf.DUMMYFUNCTION("""COMPUTED_VALUE"""),"Mamodo")</f>
        <v>Mamodo</v>
      </c>
      <c r="C844" s="42" t="str">
        <f>IFERROR(__xludf.DUMMYFUNCTION("""COMPUTED_VALUE"""),"Faudo's Heart")</f>
        <v>Faudo's Heart</v>
      </c>
      <c r="D844" s="42" t="str">
        <f>IFERROR(__xludf.DUMMYFUNCTION("""COMPUTED_VALUE"""),"-")</f>
        <v>-</v>
      </c>
      <c r="E844" s="42" t="str">
        <f>IFERROR(__xludf.DUMMYFUNCTION("""COMPUTED_VALUE"""),"-")</f>
        <v>-</v>
      </c>
      <c r="F844" s="42" t="str">
        <f>IFERROR(__xludf.DUMMYFUNCTION("""COMPUTED_VALUE"""),"-")</f>
        <v>-</v>
      </c>
      <c r="G844" s="42" t="str">
        <f>IFERROR(__xludf.DUMMYFUNCTION("""COMPUTED_VALUE"""),"None")</f>
        <v>None</v>
      </c>
      <c r="H844" s="42" t="str">
        <f>IFERROR(__xludf.DUMMYFUNCTION("""COMPUTED_VALUE"""),"Whips of Flame")</f>
        <v>Whips of Flame</v>
      </c>
      <c r="I844" s="43" t="str">
        <f>IFERROR(__xludf.DUMMYFUNCTION("""COMPUTED_VALUE"""),"This MAMODO card can be put in play only when the [Stay] effect of an ""Internal Faudo Event"" EVENT card is active. (Attack) [4 MP] This card may Attack without using a SPELL card (Total Power=10000, Attribute=""Fire"", Damage=3). Negate 1 [Stay] effect "&amp;"when you win the Battle as an Attacker.")</f>
        <v>This MAMODO card can be put in play only when the [Stay] effect of an "Internal Faudo Event" EVENT card is active. (Attack) [4 MP] This card may Attack without using a SPELL card (Total Power=10000, Attribute="Fire", Damage=3). Negate 1 [Stay] effect when you win the Battle as an Attacker.</v>
      </c>
      <c r="J844" s="42">
        <f>IFERROR(__xludf.DUMMYFUNCTION("""COMPUTED_VALUE"""),6000.0)</f>
        <v>6000</v>
      </c>
      <c r="K844" s="42" t="str">
        <f>IFERROR(__xludf.DUMMYFUNCTION("""COMPUTED_VALUE"""),"-")</f>
        <v>-</v>
      </c>
      <c r="L844" s="42" t="str">
        <f>IFERROR(__xludf.DUMMYFUNCTION("""COMPUTED_VALUE"""),"-")</f>
        <v>-</v>
      </c>
      <c r="M844" s="42" t="str">
        <f>IFERROR(__xludf.DUMMYFUNCTION("""COMPUTED_VALUE"""),"[U]")</f>
        <v>[U]</v>
      </c>
      <c r="N844" s="42" t="str">
        <f>IFERROR(__xludf.DUMMYFUNCTION("""COMPUTED_VALUE"""),"""These flaming whips produced by my body's metamorphosis... will reduce all of you to ashes!""")</f>
        <v>"These flaming whips produced by my body's metamorphosis... will reduce all of you to ashes!"</v>
      </c>
      <c r="O844" s="42"/>
      <c r="P844" s="42"/>
      <c r="Q844" s="42"/>
      <c r="R844" s="42"/>
      <c r="S844" s="42"/>
      <c r="T844" s="42"/>
      <c r="U844" s="42"/>
      <c r="V844" s="42"/>
      <c r="W844" s="42"/>
      <c r="X844" s="42"/>
      <c r="Y844" s="42"/>
      <c r="Z844" s="42"/>
    </row>
    <row r="845">
      <c r="A845" s="42" t="str">
        <f>IFERROR(__xludf.DUMMYFUNCTION("""COMPUTED_VALUE"""),"M-463")</f>
        <v>M-463</v>
      </c>
      <c r="B845" s="42" t="str">
        <f>IFERROR(__xludf.DUMMYFUNCTION("""COMPUTED_VALUE"""),"Triple Mamodo")</f>
        <v>Triple Mamodo</v>
      </c>
      <c r="C845" s="42" t="str">
        <f>IFERROR(__xludf.DUMMYFUNCTION("""COMPUTED_VALUE"""),"Kanchomé &amp; Tia &amp; Ponygon")</f>
        <v>Kanchomé &amp; Tia &amp; Ponygon</v>
      </c>
      <c r="D845" s="42" t="str">
        <f>IFERROR(__xludf.DUMMYFUNCTION("""COMPUTED_VALUE"""),"Kanchomé | Tia | Ponygon")</f>
        <v>Kanchomé | Tia | Ponygon</v>
      </c>
      <c r="E845" s="42" t="str">
        <f>IFERROR(__xludf.DUMMYFUNCTION("""COMPUTED_VALUE"""),"-")</f>
        <v>-</v>
      </c>
      <c r="F845" s="42" t="str">
        <f>IFERROR(__xludf.DUMMYFUNCTION("""COMPUTED_VALUE"""),"-")</f>
        <v>-</v>
      </c>
      <c r="G845" s="42" t="str">
        <f>IFERROR(__xludf.DUMMYFUNCTION("""COMPUTED_VALUE"""),"None")</f>
        <v>None</v>
      </c>
      <c r="H845" s="42" t="str">
        <f>IFERROR(__xludf.DUMMYFUNCTION("""COMPUTED_VALUE"""),"Playtime Fever")</f>
        <v>Playtime Fever</v>
      </c>
      <c r="I845" s="43" t="str">
        <f>IFERROR(__xludf.DUMMYFUNCTION("""COMPUTED_VALUE"""),"[TRIPLE MAMODO] Send 2 of any combination of your in-play Kanchomé, Tia, and Ponygon Dual MAMODO cards to the Discard Pile to put this card in play. Up to 3 PARTNER cards can be attached to this MAMODO card. [DECLARE TO USE] Select 1 effect of a Kanchomé,"&amp;" Tia, or Ponygon MAMODO card in your Discard Pile. [STAY] This MAMODO card is considered to have the selected effect of the selected card during this turn.")</f>
        <v>[TRIPLE MAMODO] Send 2 of any combination of your in-play Kanchomé, Tia, and Ponygon Dual MAMODO cards to the Discard Pile to put this card in play. Up to 3 PARTNER cards can be attached to this MAMODO card. [DECLARE TO USE] Select 1 effect of a Kanchomé, Tia, or Ponygon MAMODO card in your Discard Pile. [STAY] This MAMODO card is considered to have the selected effect of the selected card during this turn.</v>
      </c>
      <c r="J845" s="42">
        <f>IFERROR(__xludf.DUMMYFUNCTION("""COMPUTED_VALUE"""),5000.0)</f>
        <v>5000</v>
      </c>
      <c r="K845" s="42" t="str">
        <f>IFERROR(__xludf.DUMMYFUNCTION("""COMPUTED_VALUE"""),"-")</f>
        <v>-</v>
      </c>
      <c r="L845" s="42" t="str">
        <f>IFERROR(__xludf.DUMMYFUNCTION("""COMPUTED_VALUE"""),"-")</f>
        <v>-</v>
      </c>
      <c r="M845" s="42" t="str">
        <f>IFERROR(__xludf.DUMMYFUNCTION("""COMPUTED_VALUE"""),"[SR]")</f>
        <v>[SR]</v>
      </c>
      <c r="N845" s="42" t="str">
        <f>IFERROR(__xludf.DUMMYFUNCTION("""COMPUTED_VALUE"""),"""Jump, Dance, Laugh, Play, and fight a little ev~er~y day~~""")</f>
        <v>"Jump, Dance, Laugh, Play, and fight a little ev~er~y day~~"</v>
      </c>
      <c r="O845" s="42"/>
      <c r="P845" s="42"/>
      <c r="Q845" s="42"/>
      <c r="R845" s="42"/>
      <c r="S845" s="42"/>
      <c r="T845" s="42"/>
      <c r="U845" s="42"/>
      <c r="V845" s="42"/>
      <c r="W845" s="42"/>
      <c r="X845" s="42"/>
      <c r="Y845" s="42"/>
      <c r="Z845" s="42"/>
    </row>
    <row r="846">
      <c r="A846" s="42" t="str">
        <f>IFERROR(__xludf.DUMMYFUNCTION("""COMPUTED_VALUE"""),"M-464ab")</f>
        <v>M-464ab</v>
      </c>
      <c r="B846" s="42" t="str">
        <f>IFERROR(__xludf.DUMMYFUNCTION("""COMPUTED_VALUE"""),"VS Mamodo")</f>
        <v>VS Mamodo</v>
      </c>
      <c r="C846" s="42" t="str">
        <f>IFERROR(__xludf.DUMMYFUNCTION("""COMPUTED_VALUE"""),"Zatch Bell VS Faudo")</f>
        <v>Zatch Bell VS Faudo</v>
      </c>
      <c r="D846" s="42" t="str">
        <f>IFERROR(__xludf.DUMMYFUNCTION("""COMPUTED_VALUE"""),"Zatch Bell | Faudo")</f>
        <v>Zatch Bell | Faudo</v>
      </c>
      <c r="E846" s="42" t="str">
        <f>IFERROR(__xludf.DUMMYFUNCTION("""COMPUTED_VALUE"""),"-")</f>
        <v>-</v>
      </c>
      <c r="F846" s="42" t="str">
        <f>IFERROR(__xludf.DUMMYFUNCTION("""COMPUTED_VALUE"""),"-")</f>
        <v>-</v>
      </c>
      <c r="G846" s="42" t="str">
        <f>IFERROR(__xludf.DUMMYFUNCTION("""COMPUTED_VALUE"""),"Superior")</f>
        <v>Superior</v>
      </c>
      <c r="H846" s="42" t="str">
        <f>IFERROR(__xludf.DUMMYFUNCTION("""COMPUTED_VALUE"""),"The Last Hope")</f>
        <v>The Last Hope</v>
      </c>
      <c r="I846" s="43" t="str">
        <f>IFERROR(__xludf.DUMMYFUNCTION("""COMPUTED_VALUE"""),"Send either player's in-play Faudo MAMODO card to the Discard Pile, OR if either player has successfully played 3 or more [Seal Breaker] SPELL cards during this game, send either player's in-play Zatch Bell MAMODO card to the Discard Pile, to put both M-4"&amp;"64a and M-464b in play (both M-464a and M-464b are considered to be 1 card while in play). [DECLARE TO USE] [STANDBY] Turn 3 pages of your opponent's Spell Book during the END PHASE of the next turn.")</f>
        <v>Send either player's in-play Faudo MAMODO card to the Discard Pile, OR if either player has successfully played 3 or more [Seal Breaker] SPELL cards during this game, send either player's in-play Zatch Bell MAMODO card to the Discard Pile, to put both M-464a and M-464b in play (both M-464a and M-464b are considered to be 1 card while in play). [DECLARE TO USE] [STANDBY] Turn 3 pages of your opponent's Spell Book during the END PHASE of the next turn.</v>
      </c>
      <c r="J846" s="42">
        <f>IFERROR(__xludf.DUMMYFUNCTION("""COMPUTED_VALUE"""),99999.0)</f>
        <v>99999</v>
      </c>
      <c r="K846" s="42" t="str">
        <f>IFERROR(__xludf.DUMMYFUNCTION("""COMPUTED_VALUE"""),"-")</f>
        <v>-</v>
      </c>
      <c r="L846" s="42" t="str">
        <f>IFERROR(__xludf.DUMMYFUNCTION("""COMPUTED_VALUE"""),"-")</f>
        <v>-</v>
      </c>
      <c r="M846" s="42" t="str">
        <f>IFERROR(__xludf.DUMMYFUNCTION("""COMPUTED_VALUE"""),"[R]")</f>
        <v>[R]</v>
      </c>
      <c r="N846" s="42" t="str">
        <f>IFERROR(__xludf.DUMMYFUNCTION("""COMPUTED_VALUE"""),"""Zatch and I will put a stop to Faudo's rampage!""")</f>
        <v>"Zatch and I will put a stop to Faudo's rampage!"</v>
      </c>
      <c r="O846" s="42"/>
      <c r="P846" s="42"/>
      <c r="Q846" s="42"/>
      <c r="R846" s="42"/>
      <c r="S846" s="42"/>
      <c r="T846" s="42"/>
      <c r="U846" s="42"/>
      <c r="V846" s="42"/>
      <c r="W846" s="42"/>
      <c r="X846" s="42"/>
      <c r="Y846" s="42"/>
      <c r="Z846" s="42"/>
    </row>
    <row r="847">
      <c r="A847" s="42" t="str">
        <f>IFERROR(__xludf.DUMMYFUNCTION("""COMPUTED_VALUE"""),"M-465")</f>
        <v>M-465</v>
      </c>
      <c r="B847" s="42" t="str">
        <f>IFERROR(__xludf.DUMMYFUNCTION("""COMPUTED_VALUE"""),"S Mamodo")</f>
        <v>S Mamodo</v>
      </c>
      <c r="C847" s="42" t="str">
        <f>IFERROR(__xludf.DUMMYFUNCTION("""COMPUTED_VALUE"""),"Zatch Bell")</f>
        <v>Zatch Bell</v>
      </c>
      <c r="D847" s="42" t="str">
        <f>IFERROR(__xludf.DUMMYFUNCTION("""COMPUTED_VALUE"""),"Zatch Bell")</f>
        <v>Zatch Bell</v>
      </c>
      <c r="E847" s="42" t="str">
        <f>IFERROR(__xludf.DUMMYFUNCTION("""COMPUTED_VALUE"""),"-")</f>
        <v>-</v>
      </c>
      <c r="F847" s="42" t="str">
        <f>IFERROR(__xludf.DUMMYFUNCTION("""COMPUTED_VALUE"""),"-")</f>
        <v>-</v>
      </c>
      <c r="G847" s="42" t="str">
        <f>IFERROR(__xludf.DUMMYFUNCTION("""COMPUTED_VALUE"""),"Intermediate")</f>
        <v>Intermediate</v>
      </c>
      <c r="H847" s="42" t="str">
        <f>IFERROR(__xludf.DUMMYFUNCTION("""COMPUTED_VALUE"""),"Resolved Heart")</f>
        <v>Resolved Heart</v>
      </c>
      <c r="I847" s="43" t="str">
        <f>IFERROR(__xludf.DUMMYFUNCTION("""COMPUTED_VALUE"""),"This card is placed on a regular Zatch Bell MAMODO card. [3 MP] Select the effect of 1 MAMODO card in your Discard Pile that is not a DUAL MAMODO, TRIPLE MAMODO, VS MAMODO, S-MAMODO, or a MAMODO that is comprised of 2 cards: [STAY] This MAMODO card is con"&amp;"sidered to have the selected effect of the selected card during this turn.")</f>
        <v>This card is placed on a regular Zatch Bell MAMODO card. [3 MP] Select the effect of 1 MAMODO card in your Discard Pile that is not a DUAL MAMODO, TRIPLE MAMODO, VS MAMODO, S-MAMODO, or a MAMODO that is comprised of 2 cards: [STAY] This MAMODO card is considered to have the selected effect of the selected card during this turn.</v>
      </c>
      <c r="J847" s="42">
        <f>IFERROR(__xludf.DUMMYFUNCTION("""COMPUTED_VALUE"""),5500.0)</f>
        <v>5500</v>
      </c>
      <c r="K847" s="42" t="str">
        <f>IFERROR(__xludf.DUMMYFUNCTION("""COMPUTED_VALUE"""),"-")</f>
        <v>-</v>
      </c>
      <c r="L847" s="42" t="str">
        <f>IFERROR(__xludf.DUMMYFUNCTION("""COMPUTED_VALUE"""),"-")</f>
        <v>-</v>
      </c>
      <c r="M847" s="42" t="str">
        <f>IFERROR(__xludf.DUMMYFUNCTION("""COMPUTED_VALUE"""),"[R]")</f>
        <v>[R]</v>
      </c>
      <c r="N847" s="42" t="str">
        <f>IFERROR(__xludf.DUMMYFUNCTION("""COMPUTED_VALUE"""),"""The hearts of so many people live on inside of me!""")</f>
        <v>"The hearts of so many people live on inside of me!"</v>
      </c>
      <c r="O847" s="42"/>
      <c r="P847" s="42"/>
      <c r="Q847" s="42"/>
      <c r="R847" s="42"/>
      <c r="S847" s="42"/>
      <c r="T847" s="42"/>
      <c r="U847" s="42"/>
      <c r="V847" s="42"/>
      <c r="W847" s="42"/>
      <c r="X847" s="42"/>
      <c r="Y847" s="42"/>
      <c r="Z847" s="42"/>
    </row>
    <row r="848">
      <c r="A848" s="42" t="str">
        <f>IFERROR(__xludf.DUMMYFUNCTION("""COMPUTED_VALUE"""),"M-466")</f>
        <v>M-466</v>
      </c>
      <c r="B848" s="42" t="str">
        <f>IFERROR(__xludf.DUMMYFUNCTION("""COMPUTED_VALUE"""),"S Mamodo")</f>
        <v>S Mamodo</v>
      </c>
      <c r="C848" s="42" t="str">
        <f>IFERROR(__xludf.DUMMYFUNCTION("""COMPUTED_VALUE"""),"Ted")</f>
        <v>Ted</v>
      </c>
      <c r="D848" s="42" t="str">
        <f>IFERROR(__xludf.DUMMYFUNCTION("""COMPUTED_VALUE"""),"Ted")</f>
        <v>Ted</v>
      </c>
      <c r="E848" s="42" t="str">
        <f>IFERROR(__xludf.DUMMYFUNCTION("""COMPUTED_VALUE"""),"-")</f>
        <v>-</v>
      </c>
      <c r="F848" s="42" t="str">
        <f>IFERROR(__xludf.DUMMYFUNCTION("""COMPUTED_VALUE"""),"-")</f>
        <v>-</v>
      </c>
      <c r="G848" s="42" t="str">
        <f>IFERROR(__xludf.DUMMYFUNCTION("""COMPUTED_VALUE"""),"Intermediate")</f>
        <v>Intermediate</v>
      </c>
      <c r="H848" s="42" t="str">
        <f>IFERROR(__xludf.DUMMYFUNCTION("""COMPUTED_VALUE"""),"Determination")</f>
        <v>Determination</v>
      </c>
      <c r="I848" s="43" t="str">
        <f>IFERROR(__xludf.DUMMYFUNCTION("""COMPUTED_VALUE"""),"This MAMODO card is placed on a regular Ted MAMODO card. Only 1 SPELL card can be played for this MAMODO card per turn (per player). Send this card to the Discard Pile at the END PHASE of the turn it is put in play, even when prohibited to do so. [DECLARE"&amp;" TO USE] Place 2 MP counters on this MAMODO card.")</f>
        <v>This MAMODO card is placed on a regular Ted MAMODO card. Only 1 SPELL card can be played for this MAMODO card per turn (per player). Send this card to the Discard Pile at the END PHASE of the turn it is put in play, even when prohibited to do so. [DECLARE TO USE] Place 2 MP counters on this MAMODO card.</v>
      </c>
      <c r="J848" s="42">
        <f>IFERROR(__xludf.DUMMYFUNCTION("""COMPUTED_VALUE"""),5000.0)</f>
        <v>5000</v>
      </c>
      <c r="K848" s="42" t="str">
        <f>IFERROR(__xludf.DUMMYFUNCTION("""COMPUTED_VALUE"""),"-")</f>
        <v>-</v>
      </c>
      <c r="L848" s="42" t="str">
        <f>IFERROR(__xludf.DUMMYFUNCTION("""COMPUTED_VALUE"""),"-")</f>
        <v>-</v>
      </c>
      <c r="M848" s="42" t="str">
        <f>IFERROR(__xludf.DUMMYFUNCTION("""COMPUTED_VALUE"""),"[R]")</f>
        <v>[R]</v>
      </c>
      <c r="N848" s="42" t="str">
        <f>IFERROR(__xludf.DUMMYFUNCTION("""COMPUTED_VALUE"""),"""Yeah... All right... I get it, kid...""")</f>
        <v>"Yeah... All right... I get it, kid..."</v>
      </c>
      <c r="O848" s="42"/>
      <c r="P848" s="42"/>
      <c r="Q848" s="42"/>
      <c r="R848" s="42"/>
      <c r="S848" s="42"/>
      <c r="T848" s="42"/>
      <c r="U848" s="42"/>
      <c r="V848" s="42"/>
      <c r="W848" s="42"/>
      <c r="X848" s="42"/>
      <c r="Y848" s="42"/>
      <c r="Z848" s="42"/>
    </row>
    <row r="849">
      <c r="A849" s="42" t="str">
        <f>IFERROR(__xludf.DUMMYFUNCTION("""COMPUTED_VALUE"""),"M-467")</f>
        <v>M-467</v>
      </c>
      <c r="B849" s="42" t="str">
        <f>IFERROR(__xludf.DUMMYFUNCTION("""COMPUTED_VALUE"""),"S Mamodo")</f>
        <v>S Mamodo</v>
      </c>
      <c r="C849" s="42" t="str">
        <f>IFERROR(__xludf.DUMMYFUNCTION("""COMPUTED_VALUE"""),"Cherish")</f>
        <v>Cherish</v>
      </c>
      <c r="D849" s="42" t="str">
        <f>IFERROR(__xludf.DUMMYFUNCTION("""COMPUTED_VALUE"""),"Cherish")</f>
        <v>Cherish</v>
      </c>
      <c r="E849" s="42" t="str">
        <f>IFERROR(__xludf.DUMMYFUNCTION("""COMPUTED_VALUE"""),"-")</f>
        <v>-</v>
      </c>
      <c r="F849" s="42" t="str">
        <f>IFERROR(__xludf.DUMMYFUNCTION("""COMPUTED_VALUE"""),"-")</f>
        <v>-</v>
      </c>
      <c r="G849" s="42" t="str">
        <f>IFERROR(__xludf.DUMMYFUNCTION("""COMPUTED_VALUE"""),"Intermediate")</f>
        <v>Intermediate</v>
      </c>
      <c r="H849" s="42" t="str">
        <f>IFERROR(__xludf.DUMMYFUNCTION("""COMPUTED_VALUE"""),"A Jewel in the Dump")</f>
        <v>A Jewel in the Dump</v>
      </c>
      <c r="I849" s="43" t="str">
        <f>IFERROR(__xludf.DUMMYFUNCTION("""COMPUTED_VALUE"""),"This MAMODO card is placed on a regular Cherish MAMODO card. [IN PLAY] Get 1 MP each time you negate a [Stay] or [Standby] effect.")</f>
        <v>This MAMODO card is placed on a regular Cherish MAMODO card. [IN PLAY] Get 1 MP each time you negate a [Stay] or [Standby] effect.</v>
      </c>
      <c r="J849" s="42">
        <f>IFERROR(__xludf.DUMMYFUNCTION("""COMPUTED_VALUE"""),5000.0)</f>
        <v>5000</v>
      </c>
      <c r="K849" s="42" t="str">
        <f>IFERROR(__xludf.DUMMYFUNCTION("""COMPUTED_VALUE"""),"-")</f>
        <v>-</v>
      </c>
      <c r="L849" s="42" t="str">
        <f>IFERROR(__xludf.DUMMYFUNCTION("""COMPUTED_VALUE"""),"-")</f>
        <v>-</v>
      </c>
      <c r="M849" s="42" t="str">
        <f>IFERROR(__xludf.DUMMYFUNCTION("""COMPUTED_VALUE"""),"[R]")</f>
        <v>[R]</v>
      </c>
      <c r="N849" s="42" t="str">
        <f>IFERROR(__xludf.DUMMYFUNCTION("""COMPUTED_VALUE"""),"""You have no right to call me by my name as if you're my friend!""")</f>
        <v>"You have no right to call me by my name as if you're my friend!"</v>
      </c>
      <c r="O849" s="42"/>
      <c r="P849" s="42"/>
      <c r="Q849" s="42"/>
      <c r="R849" s="42"/>
      <c r="S849" s="42"/>
      <c r="T849" s="42"/>
      <c r="U849" s="42"/>
      <c r="V849" s="42"/>
      <c r="W849" s="42"/>
      <c r="X849" s="42"/>
      <c r="Y849" s="42"/>
      <c r="Z849" s="42"/>
    </row>
    <row r="850">
      <c r="A850" s="42" t="str">
        <f>IFERROR(__xludf.DUMMYFUNCTION("""COMPUTED_VALUE"""),"M-468")</f>
        <v>M-468</v>
      </c>
      <c r="B850" s="42" t="str">
        <f>IFERROR(__xludf.DUMMYFUNCTION("""COMPUTED_VALUE"""),"Dual Mamodo S Mamodo")</f>
        <v>Dual Mamodo S Mamodo</v>
      </c>
      <c r="C850" s="42" t="str">
        <f>IFERROR(__xludf.DUMMYFUNCTION("""COMPUTED_VALUE"""),"Karudio (Diogikor Gidoruk Form) &amp; Arth")</f>
        <v>Karudio (Diogikor Gidoruk Form) &amp; Arth</v>
      </c>
      <c r="D850" s="42" t="str">
        <f>IFERROR(__xludf.DUMMYFUNCTION("""COMPUTED_VALUE"""),"Karudio | Arth")</f>
        <v>Karudio | Arth</v>
      </c>
      <c r="E850" s="42" t="str">
        <f>IFERROR(__xludf.DUMMYFUNCTION("""COMPUTED_VALUE"""),"-")</f>
        <v>-</v>
      </c>
      <c r="F850" s="42" t="str">
        <f>IFERROR(__xludf.DUMMYFUNCTION("""COMPUTED_VALUE"""),"-")</f>
        <v>-</v>
      </c>
      <c r="G850" s="42" t="str">
        <f>IFERROR(__xludf.DUMMYFUNCTION("""COMPUTED_VALUE"""),"Intermediate")</f>
        <v>Intermediate</v>
      </c>
      <c r="H850" s="42" t="str">
        <f>IFERROR(__xludf.DUMMYFUNCTION("""COMPUTED_VALUE"""),"Faster!")</f>
        <v>Faster!</v>
      </c>
      <c r="I850" s="43" t="str">
        <f>IFERROR(__xludf.DUMMYFUNCTION("""COMPUTED_VALUE"""),"This card is considered to be both a DUAL MAMODO and S MAMODO card. Send your in-play Karudio or Arth MAMODO card to the Discard Pile to put this MAMODO card in play. [IN PLAY] You can play 1 SPELL card with Karudio as its MAMODO name, and/or 1 SPELL card"&amp;" with Arth as its MAMODO name, from the previous page of your Spell Book once per turn (per player).")</f>
        <v>This card is considered to be both a DUAL MAMODO and S MAMODO card. Send your in-play Karudio or Arth MAMODO card to the Discard Pile to put this MAMODO card in play. [IN PLAY] You can play 1 SPELL card with Karudio as its MAMODO name, and/or 1 SPELL card with Arth as its MAMODO name, from the previous page of your Spell Book once per turn (per player).</v>
      </c>
      <c r="J850" s="42">
        <f>IFERROR(__xludf.DUMMYFUNCTION("""COMPUTED_VALUE"""),6000.0)</f>
        <v>6000</v>
      </c>
      <c r="K850" s="42" t="str">
        <f>IFERROR(__xludf.DUMMYFUNCTION("""COMPUTED_VALUE"""),"-")</f>
        <v>-</v>
      </c>
      <c r="L850" s="42" t="str">
        <f>IFERROR(__xludf.DUMMYFUNCTION("""COMPUTED_VALUE"""),"-")</f>
        <v>-</v>
      </c>
      <c r="M850" s="42" t="str">
        <f>IFERROR(__xludf.DUMMYFUNCTION("""COMPUTED_VALUE"""),"[R]")</f>
        <v>[R]</v>
      </c>
      <c r="N850" s="42" t="str">
        <f>IFERROR(__xludf.DUMMYFUNCTION("""COMPUTED_VALUE"""),"""Faster! Faster!! FASTER!!!""")</f>
        <v>"Faster! Faster!! FASTER!!!"</v>
      </c>
      <c r="O850" s="42"/>
      <c r="P850" s="42"/>
      <c r="Q850" s="42"/>
      <c r="R850" s="42"/>
      <c r="S850" s="42"/>
      <c r="T850" s="42"/>
      <c r="U850" s="42"/>
      <c r="V850" s="42"/>
      <c r="W850" s="42"/>
      <c r="X850" s="42"/>
      <c r="Y850" s="42"/>
      <c r="Z850" s="42"/>
    </row>
    <row r="851">
      <c r="A851" s="42" t="str">
        <f>IFERROR(__xludf.DUMMYFUNCTION("""COMPUTED_VALUE"""),"M-469")</f>
        <v>M-469</v>
      </c>
      <c r="B851" s="42" t="str">
        <f>IFERROR(__xludf.DUMMYFUNCTION("""COMPUTED_VALUE"""),"VS Mamodo S Mamodo")</f>
        <v>VS Mamodo S Mamodo</v>
      </c>
      <c r="C851" s="42" t="str">
        <f>IFERROR(__xludf.DUMMYFUNCTION("""COMPUTED_VALUE"""),"Bari VS Keith")</f>
        <v>Bari VS Keith</v>
      </c>
      <c r="D851" s="42" t="str">
        <f>IFERROR(__xludf.DUMMYFUNCTION("""COMPUTED_VALUE"""),"Bari | Keith")</f>
        <v>Bari | Keith</v>
      </c>
      <c r="E851" s="42" t="str">
        <f>IFERROR(__xludf.DUMMYFUNCTION("""COMPUTED_VALUE"""),"-")</f>
        <v>-</v>
      </c>
      <c r="F851" s="42" t="str">
        <f>IFERROR(__xludf.DUMMYFUNCTION("""COMPUTED_VALUE"""),"-")</f>
        <v>-</v>
      </c>
      <c r="G851" s="42" t="str">
        <f>IFERROR(__xludf.DUMMYFUNCTION("""COMPUTED_VALUE"""),"Intermediate")</f>
        <v>Intermediate</v>
      </c>
      <c r="H851" s="42" t="str">
        <f>IFERROR(__xludf.DUMMYFUNCTION("""COMPUTED_VALUE"""),"A New Level of Strength")</f>
        <v>A New Level of Strength</v>
      </c>
      <c r="I851" s="43" t="str">
        <f>IFERROR(__xludf.DUMMYFUNCTION("""COMPUTED_VALUE"""),"This card is considered to be both a VS MAMODO and S MAMODO card. This MAMODO card is placed on a regular Bari or Keith MAMODO card. You may immediately send your opponent's in-play Bari or Keith MAMODO card to the Discard Pile when this card is put in pl"&amp;"ay. [IN PLAY] If your Total Power is higher than your opponent's Total Power by 5000 or more during the Battle when this card Attacks, your opponent cannot SACRIFICE or PROTECT their Spell Book from the Damage.")</f>
        <v>This card is considered to be both a VS MAMODO and S MAMODO card. This MAMODO card is placed on a regular Bari or Keith MAMODO card. You may immediately send your opponent's in-play Bari or Keith MAMODO card to the Discard Pile when this card is put in play. [IN PLAY] If your Total Power is higher than your opponent's Total Power by 5000 or more during the Battle when this card Attacks, your opponent cannot SACRIFICE or PROTECT their Spell Book from the Damage.</v>
      </c>
      <c r="J851" s="42">
        <f>IFERROR(__xludf.DUMMYFUNCTION("""COMPUTED_VALUE"""),6000.0)</f>
        <v>6000</v>
      </c>
      <c r="K851" s="42" t="str">
        <f>IFERROR(__xludf.DUMMYFUNCTION("""COMPUTED_VALUE"""),"-")</f>
        <v>-</v>
      </c>
      <c r="L851" s="42" t="str">
        <f>IFERROR(__xludf.DUMMYFUNCTION("""COMPUTED_VALUE"""),"-")</f>
        <v>-</v>
      </c>
      <c r="M851" s="42" t="str">
        <f>IFERROR(__xludf.DUMMYFUNCTION("""COMPUTED_VALUE"""),"[R]")</f>
        <v>[R]</v>
      </c>
      <c r="N851" s="42" t="str">
        <f>IFERROR(__xludf.DUMMYFUNCTION("""COMPUTED_VALUE"""),"""I'm gonna keep rising higher and higher.""")</f>
        <v>"I'm gonna keep rising higher and higher."</v>
      </c>
      <c r="O851" s="42"/>
      <c r="P851" s="42"/>
      <c r="Q851" s="42"/>
      <c r="R851" s="42"/>
      <c r="S851" s="42"/>
      <c r="T851" s="42"/>
      <c r="U851" s="42"/>
      <c r="V851" s="42"/>
      <c r="W851" s="42"/>
      <c r="X851" s="42"/>
      <c r="Y851" s="42"/>
      <c r="Z851" s="42"/>
    </row>
    <row r="852">
      <c r="A852" s="42" t="str">
        <f>IFERROR(__xludf.DUMMYFUNCTION("""COMPUTED_VALUE"""),"M-470")</f>
        <v>M-470</v>
      </c>
      <c r="B852" s="42" t="str">
        <f>IFERROR(__xludf.DUMMYFUNCTION("""COMPUTED_VALUE"""),"VS Mamodo S Mamodo")</f>
        <v>VS Mamodo S Mamodo</v>
      </c>
      <c r="C852" s="42" t="str">
        <f>IFERROR(__xludf.DUMMYFUNCTION("""COMPUTED_VALUE"""),"Zeno VS Zatch Bell")</f>
        <v>Zeno VS Zatch Bell</v>
      </c>
      <c r="D852" s="42" t="str">
        <f>IFERROR(__xludf.DUMMYFUNCTION("""COMPUTED_VALUE"""),"Zeno | Zatch Bell")</f>
        <v>Zeno | Zatch Bell</v>
      </c>
      <c r="E852" s="42" t="str">
        <f>IFERROR(__xludf.DUMMYFUNCTION("""COMPUTED_VALUE"""),"-")</f>
        <v>-</v>
      </c>
      <c r="F852" s="42" t="str">
        <f>IFERROR(__xludf.DUMMYFUNCTION("""COMPUTED_VALUE"""),"-")</f>
        <v>-</v>
      </c>
      <c r="G852" s="42" t="str">
        <f>IFERROR(__xludf.DUMMYFUNCTION("""COMPUTED_VALUE"""),"Superior")</f>
        <v>Superior</v>
      </c>
      <c r="H852" s="42" t="str">
        <f>IFERROR(__xludf.DUMMYFUNCTION("""COMPUTED_VALUE"""),"Decisive Battle")</f>
        <v>Decisive Battle</v>
      </c>
      <c r="I852" s="43" t="str">
        <f>IFERROR(__xludf.DUMMYFUNCTION("""COMPUTED_VALUE"""),"This card is considered to be both a VS MAMODO and S MAMODO card. This MAMODO card is placed on a regular Zeno or Zatch Bell MAMODO card. You may immediately send your opponent's in-play Zeno or Zatch Bell MAMODO card to the Discard Pile when this card is"&amp;" put in play. [DECLARE TO USE] [STAY] Both players can play the SPELL card on the last page of their Spell Book during this turn with its MP cost considered to be 0. This effect can be applied only once per game (per player).")</f>
        <v>This card is considered to be both a VS MAMODO and S MAMODO card. This MAMODO card is placed on a regular Zeno or Zatch Bell MAMODO card. You may immediately send your opponent's in-play Zeno or Zatch Bell MAMODO card to the Discard Pile when this card is put in play. [DECLARE TO USE] [STAY] Both players can play the SPELL card on the last page of their Spell Book during this turn with its MP cost considered to be 0. This effect can be applied only once per game (per player).</v>
      </c>
      <c r="J852" s="42">
        <f>IFERROR(__xludf.DUMMYFUNCTION("""COMPUTED_VALUE"""),7000.0)</f>
        <v>7000</v>
      </c>
      <c r="K852" s="42" t="str">
        <f>IFERROR(__xludf.DUMMYFUNCTION("""COMPUTED_VALUE"""),"-")</f>
        <v>-</v>
      </c>
      <c r="L852" s="42" t="str">
        <f>IFERROR(__xludf.DUMMYFUNCTION("""COMPUTED_VALUE"""),"-")</f>
        <v>-</v>
      </c>
      <c r="M852" s="42" t="str">
        <f>IFERROR(__xludf.DUMMYFUNCTION("""COMPUTED_VALUE"""),"[R]")</f>
        <v>[R]</v>
      </c>
      <c r="N852" s="42" t="str">
        <f>IFERROR(__xludf.DUMMYFUNCTION("""COMPUTED_VALUE"""),"""This last attack...""")</f>
        <v>"This last attack..."</v>
      </c>
      <c r="O852" s="42"/>
      <c r="P852" s="42"/>
      <c r="Q852" s="42"/>
      <c r="R852" s="42"/>
      <c r="S852" s="42"/>
      <c r="T852" s="42"/>
      <c r="U852" s="42"/>
      <c r="V852" s="42"/>
      <c r="W852" s="42"/>
      <c r="X852" s="42"/>
      <c r="Y852" s="42"/>
      <c r="Z852" s="42"/>
    </row>
    <row r="853">
      <c r="A853" s="41" t="str">
        <f>IFERROR(__xludf.DUMMYFUNCTION("""COMPUTED_VALUE"""),"MJ-001")</f>
        <v>MJ-001</v>
      </c>
      <c r="B853" s="42" t="str">
        <f>IFERROR(__xludf.DUMMYFUNCTION("""COMPUTED_VALUE"""),"Majestic 12")</f>
        <v>Majestic 12</v>
      </c>
      <c r="C853" s="42" t="str">
        <f>IFERROR(__xludf.DUMMYFUNCTION("""COMPUTED_VALUE"""),"Lightning Eye")</f>
        <v>Lightning Eye</v>
      </c>
      <c r="D853" s="42" t="str">
        <f>IFERROR(__xludf.DUMMYFUNCTION("""COMPUTED_VALUE"""),"-")</f>
        <v>-</v>
      </c>
      <c r="E853" s="42" t="str">
        <f>IFERROR(__xludf.DUMMYFUNCTION("""COMPUTED_VALUE"""),"-")</f>
        <v>-</v>
      </c>
      <c r="F853" s="42" t="str">
        <f>IFERROR(__xludf.DUMMYFUNCTION("""COMPUTED_VALUE"""),"-")</f>
        <v>-</v>
      </c>
      <c r="G853" s="42" t="str">
        <f>IFERROR(__xludf.DUMMYFUNCTION("""COMPUTED_VALUE"""),"None")</f>
        <v>None</v>
      </c>
      <c r="H853" s="42" t="str">
        <f>IFERROR(__xludf.DUMMYFUNCTION("""COMPUTED_VALUE"""),"-")</f>
        <v>-</v>
      </c>
      <c r="I853" s="43" t="str">
        <f>IFERROR(__xludf.DUMMYFUNCTION("""COMPUTED_VALUE"""),"[SEND THIS CARD TO THE DISCARD PILE] Inflict 1 Damage on your opponent. This effect can be applied only once per turn (per player).")</f>
        <v>[SEND THIS CARD TO THE DISCARD PILE] Inflict 1 Damage on your opponent. This effect can be applied only once per turn (per player).</v>
      </c>
      <c r="J853" s="42" t="str">
        <f>IFERROR(__xludf.DUMMYFUNCTION("""COMPUTED_VALUE"""),"-")</f>
        <v>-</v>
      </c>
      <c r="K853" s="42" t="str">
        <f>IFERROR(__xludf.DUMMYFUNCTION("""COMPUTED_VALUE"""),"-")</f>
        <v>-</v>
      </c>
      <c r="L853" s="42" t="str">
        <f>IFERROR(__xludf.DUMMYFUNCTION("""COMPUTED_VALUE"""),"The Gathering Storm, Series 3, Level 4, The Best Booster 2, Revised Edition")</f>
        <v>The Gathering Storm, Series 3, Level 4, The Best Booster 2, Revised Edition</v>
      </c>
      <c r="M853" s="42" t="str">
        <f>IFERROR(__xludf.DUMMYFUNCTION("""COMPUTED_VALUE"""),"[R]")</f>
        <v>[R]</v>
      </c>
      <c r="N853" s="42" t="str">
        <f>IFERROR(__xludf.DUMMYFUNCTION("""COMPUTED_VALUE"""),"Member of the Majestic 12. He can emit a ray from his eyes. His laser can cut through concrete.")</f>
        <v>Member of the Majestic 12. He can emit a ray from his eyes. His laser can cut through concrete.</v>
      </c>
      <c r="O853" s="42"/>
      <c r="P853" s="42"/>
      <c r="Q853" s="42"/>
      <c r="R853" s="42"/>
      <c r="S853" s="42"/>
      <c r="T853" s="42"/>
      <c r="U853" s="42"/>
      <c r="V853" s="42"/>
      <c r="W853" s="42"/>
      <c r="X853" s="42"/>
      <c r="Y853" s="42"/>
      <c r="Z853" s="42"/>
    </row>
    <row r="854">
      <c r="A854" s="41" t="str">
        <f>IFERROR(__xludf.DUMMYFUNCTION("""COMPUTED_VALUE"""),"MJ-002")</f>
        <v>MJ-002</v>
      </c>
      <c r="B854" s="42" t="str">
        <f>IFERROR(__xludf.DUMMYFUNCTION("""COMPUTED_VALUE"""),"Majestic 12")</f>
        <v>Majestic 12</v>
      </c>
      <c r="C854" s="42" t="str">
        <f>IFERROR(__xludf.DUMMYFUNCTION("""COMPUTED_VALUE"""),"Rocket Foot")</f>
        <v>Rocket Foot</v>
      </c>
      <c r="D854" s="42" t="str">
        <f>IFERROR(__xludf.DUMMYFUNCTION("""COMPUTED_VALUE"""),"-")</f>
        <v>-</v>
      </c>
      <c r="E854" s="42" t="str">
        <f>IFERROR(__xludf.DUMMYFUNCTION("""COMPUTED_VALUE"""),"-")</f>
        <v>-</v>
      </c>
      <c r="F854" s="42" t="str">
        <f>IFERROR(__xludf.DUMMYFUNCTION("""COMPUTED_VALUE"""),"-")</f>
        <v>-</v>
      </c>
      <c r="G854" s="42" t="str">
        <f>IFERROR(__xludf.DUMMYFUNCTION("""COMPUTED_VALUE"""),"None")</f>
        <v>None</v>
      </c>
      <c r="H854" s="42" t="str">
        <f>IFERROR(__xludf.DUMMYFUNCTION("""COMPUTED_VALUE"""),"-")</f>
        <v>-</v>
      </c>
      <c r="I854" s="43" t="str">
        <f>IFERROR(__xludf.DUMMYFUNCTION("""COMPUTED_VALUE"""),"[SEND THIS CARD TO THE DISCARD PILE] [STAY] Each time you Defend during this turn, add 4000 Power to the Total Power of your Defense.")</f>
        <v>[SEND THIS CARD TO THE DISCARD PILE] [STAY] Each time you Defend during this turn, add 4000 Power to the Total Power of your Defense.</v>
      </c>
      <c r="J854" s="42" t="str">
        <f>IFERROR(__xludf.DUMMYFUNCTION("""COMPUTED_VALUE"""),"-")</f>
        <v>-</v>
      </c>
      <c r="K854" s="42" t="str">
        <f>IFERROR(__xludf.DUMMYFUNCTION("""COMPUTED_VALUE"""),"-")</f>
        <v>-</v>
      </c>
      <c r="L854" s="42" t="str">
        <f>IFERROR(__xludf.DUMMYFUNCTION("""COMPUTED_VALUE"""),"The Gathering Storm, Series 3, Level 4")</f>
        <v>The Gathering Storm, Series 3, Level 4</v>
      </c>
      <c r="M854" s="42" t="str">
        <f>IFERROR(__xludf.DUMMYFUNCTION("""COMPUTED_VALUE"""),"[R]")</f>
        <v>[R]</v>
      </c>
      <c r="N854" s="42" t="str">
        <f>IFERROR(__xludf.DUMMYFUNCTION("""COMPUTED_VALUE"""),"Member of the Majestic 12. He can run at 300km/hour.")</f>
        <v>Member of the Majestic 12. He can run at 300km/hour.</v>
      </c>
      <c r="O854" s="42"/>
      <c r="P854" s="42"/>
      <c r="Q854" s="42"/>
      <c r="R854" s="42"/>
      <c r="S854" s="42"/>
      <c r="T854" s="42"/>
      <c r="U854" s="42"/>
      <c r="V854" s="42"/>
      <c r="W854" s="42"/>
      <c r="X854" s="42"/>
      <c r="Y854" s="42"/>
      <c r="Z854" s="42"/>
    </row>
    <row r="855">
      <c r="A855" s="41" t="str">
        <f>IFERROR(__xludf.DUMMYFUNCTION("""COMPUTED_VALUE"""),"MJ-003")</f>
        <v>MJ-003</v>
      </c>
      <c r="B855" s="42" t="str">
        <f>IFERROR(__xludf.DUMMYFUNCTION("""COMPUTED_VALUE"""),"Majestic 12")</f>
        <v>Majestic 12</v>
      </c>
      <c r="C855" s="42" t="str">
        <f>IFERROR(__xludf.DUMMYFUNCTION("""COMPUTED_VALUE"""),"Flying Beat")</f>
        <v>Flying Beat</v>
      </c>
      <c r="D855" s="42" t="str">
        <f>IFERROR(__xludf.DUMMYFUNCTION("""COMPUTED_VALUE"""),"-")</f>
        <v>-</v>
      </c>
      <c r="E855" s="42" t="str">
        <f>IFERROR(__xludf.DUMMYFUNCTION("""COMPUTED_VALUE"""),"-")</f>
        <v>-</v>
      </c>
      <c r="F855" s="42" t="str">
        <f>IFERROR(__xludf.DUMMYFUNCTION("""COMPUTED_VALUE"""),"-")</f>
        <v>-</v>
      </c>
      <c r="G855" s="42" t="str">
        <f>IFERROR(__xludf.DUMMYFUNCTION("""COMPUTED_VALUE"""),"None")</f>
        <v>None</v>
      </c>
      <c r="H855" s="42" t="str">
        <f>IFERROR(__xludf.DUMMYFUNCTION("""COMPUTED_VALUE"""),"-")</f>
        <v>-</v>
      </c>
      <c r="I855" s="43" t="str">
        <f>IFERROR(__xludf.DUMMYFUNCTION("""COMPUTED_VALUE"""),"[SEND THIS CARD TO THE DISCARD PILE] Select 1 MAMODO or PARTNER card from any page of your Spell Book and put it in play.")</f>
        <v>[SEND THIS CARD TO THE DISCARD PILE] Select 1 MAMODO or PARTNER card from any page of your Spell Book and put it in play.</v>
      </c>
      <c r="J855" s="42" t="str">
        <f>IFERROR(__xludf.DUMMYFUNCTION("""COMPUTED_VALUE"""),"-")</f>
        <v>-</v>
      </c>
      <c r="K855" s="42" t="str">
        <f>IFERROR(__xludf.DUMMYFUNCTION("""COMPUTED_VALUE"""),"-")</f>
        <v>-</v>
      </c>
      <c r="L855" s="42" t="str">
        <f>IFERROR(__xludf.DUMMYFUNCTION("""COMPUTED_VALUE"""),"The Gathering Storm, Series 3, Level 4, The Best Booster 2, Revised Edition")</f>
        <v>The Gathering Storm, Series 3, Level 4, The Best Booster 2, Revised Edition</v>
      </c>
      <c r="M855" s="42" t="str">
        <f>IFERROR(__xludf.DUMMYFUNCTION("""COMPUTED_VALUE"""),"[R]")</f>
        <v>[R]</v>
      </c>
      <c r="N855" s="42" t="str">
        <f>IFERROR(__xludf.DUMMYFUNCTION("""COMPUTED_VALUE"""),"Member of the Majestic 12. He has the ability to fly.")</f>
        <v>Member of the Majestic 12. He has the ability to fly.</v>
      </c>
      <c r="O855" s="42"/>
      <c r="P855" s="42"/>
      <c r="Q855" s="42"/>
      <c r="R855" s="42"/>
      <c r="S855" s="42"/>
      <c r="T855" s="42"/>
      <c r="U855" s="42"/>
      <c r="V855" s="42"/>
      <c r="W855" s="42"/>
      <c r="X855" s="42"/>
      <c r="Y855" s="42"/>
      <c r="Z855" s="42"/>
    </row>
    <row r="856">
      <c r="A856" s="41" t="str">
        <f>IFERROR(__xludf.DUMMYFUNCTION("""COMPUTED_VALUE"""),"MJ-004")</f>
        <v>MJ-004</v>
      </c>
      <c r="B856" s="42" t="str">
        <f>IFERROR(__xludf.DUMMYFUNCTION("""COMPUTED_VALUE"""),"Majestic 12")</f>
        <v>Majestic 12</v>
      </c>
      <c r="C856" s="42" t="str">
        <f>IFERROR(__xludf.DUMMYFUNCTION("""COMPUTED_VALUE"""),"Second Sight")</f>
        <v>Second Sight</v>
      </c>
      <c r="D856" s="42" t="str">
        <f>IFERROR(__xludf.DUMMYFUNCTION("""COMPUTED_VALUE"""),"-")</f>
        <v>-</v>
      </c>
      <c r="E856" s="42" t="str">
        <f>IFERROR(__xludf.DUMMYFUNCTION("""COMPUTED_VALUE"""),"-")</f>
        <v>-</v>
      </c>
      <c r="F856" s="42" t="str">
        <f>IFERROR(__xludf.DUMMYFUNCTION("""COMPUTED_VALUE"""),"-")</f>
        <v>-</v>
      </c>
      <c r="G856" s="42" t="str">
        <f>IFERROR(__xludf.DUMMYFUNCTION("""COMPUTED_VALUE"""),"None")</f>
        <v>None</v>
      </c>
      <c r="H856" s="42" t="str">
        <f>IFERROR(__xludf.DUMMYFUNCTION("""COMPUTED_VALUE"""),"-")</f>
        <v>-</v>
      </c>
      <c r="I856" s="43" t="str">
        <f>IFERROR(__xludf.DUMMYFUNCTION("""COMPUTED_VALUE"""),"[1 MP] Look at the currently open pages of your opponent's Spell Book.")</f>
        <v>[1 MP] Look at the currently open pages of your opponent's Spell Book.</v>
      </c>
      <c r="J856" s="42" t="str">
        <f>IFERROR(__xludf.DUMMYFUNCTION("""COMPUTED_VALUE"""),"-")</f>
        <v>-</v>
      </c>
      <c r="K856" s="42" t="str">
        <f>IFERROR(__xludf.DUMMYFUNCTION("""COMPUTED_VALUE"""),"-")</f>
        <v>-</v>
      </c>
      <c r="L856" s="42" t="str">
        <f>IFERROR(__xludf.DUMMYFUNCTION("""COMPUTED_VALUE"""),"The Gathering Storm, Series 3, Level 4")</f>
        <v>The Gathering Storm, Series 3, Level 4</v>
      </c>
      <c r="M856" s="42" t="str">
        <f>IFERROR(__xludf.DUMMYFUNCTION("""COMPUTED_VALUE"""),"[R]")</f>
        <v>[R]</v>
      </c>
      <c r="N856" s="42" t="str">
        <f>IFERROR(__xludf.DUMMYFUNCTION("""COMPUTED_VALUE"""),"Member of the Majestic 12. He has the ability to see through everything.")</f>
        <v>Member of the Majestic 12. He has the ability to see through everything.</v>
      </c>
      <c r="O856" s="42"/>
      <c r="P856" s="42"/>
      <c r="Q856" s="42"/>
      <c r="R856" s="42"/>
      <c r="S856" s="42"/>
      <c r="T856" s="42"/>
      <c r="U856" s="42"/>
      <c r="V856" s="42"/>
      <c r="W856" s="42"/>
      <c r="X856" s="42"/>
      <c r="Y856" s="42"/>
      <c r="Z856" s="42"/>
    </row>
    <row r="857">
      <c r="A857" s="38" t="str">
        <f>IFERROR(__xludf.DUMMYFUNCTION("""COMPUTED_VALUE"""),"MJ-005")</f>
        <v>MJ-005</v>
      </c>
      <c r="B857" s="39" t="str">
        <f>IFERROR(__xludf.DUMMYFUNCTION("""COMPUTED_VALUE"""),"Majestic 12")</f>
        <v>Majestic 12</v>
      </c>
      <c r="C857" s="39" t="str">
        <f>IFERROR(__xludf.DUMMYFUNCTION("""COMPUTED_VALUE"""),"Dinosaur Arm")</f>
        <v>Dinosaur Arm</v>
      </c>
      <c r="D857" s="39" t="str">
        <f>IFERROR(__xludf.DUMMYFUNCTION("""COMPUTED_VALUE"""),"-")</f>
        <v>-</v>
      </c>
      <c r="E857" s="39" t="str">
        <f>IFERROR(__xludf.DUMMYFUNCTION("""COMPUTED_VALUE"""),"-")</f>
        <v>-</v>
      </c>
      <c r="F857" s="39" t="str">
        <f>IFERROR(__xludf.DUMMYFUNCTION("""COMPUTED_VALUE"""),"-")</f>
        <v>-</v>
      </c>
      <c r="G857" s="39" t="str">
        <f>IFERROR(__xludf.DUMMYFUNCTION("""COMPUTED_VALUE"""),"None")</f>
        <v>None</v>
      </c>
      <c r="H857" s="39" t="str">
        <f>IFERROR(__xludf.DUMMYFUNCTION("""COMPUTED_VALUE"""),"-")</f>
        <v>-</v>
      </c>
      <c r="I857" s="40" t="str">
        <f>IFERROR(__xludf.DUMMYFUNCTION("""COMPUTED_VALUE"""),"[SEND THIS CARD TO THE DISCARD PILE] [STAY] Add 4000 Power to the Total Power of each of your Attacks during this turn. Member of the Majestic 12.")</f>
        <v>[SEND THIS CARD TO THE DISCARD PILE] [STAY] Add 4000 Power to the Total Power of each of your Attacks during this turn. Member of the Majestic 12.</v>
      </c>
      <c r="J857" s="39" t="str">
        <f>IFERROR(__xludf.DUMMYFUNCTION("""COMPUTED_VALUE"""),"-")</f>
        <v>-</v>
      </c>
      <c r="K857" s="39" t="str">
        <f>IFERROR(__xludf.DUMMYFUNCTION("""COMPUTED_VALUE"""),"-")</f>
        <v>-</v>
      </c>
      <c r="L857" s="39" t="str">
        <f>IFERROR(__xludf.DUMMYFUNCTION("""COMPUTED_VALUE"""),"The Gathering Storm")</f>
        <v>The Gathering Storm</v>
      </c>
      <c r="M857" s="39" t="str">
        <f>IFERROR(__xludf.DUMMYFUNCTION("""COMPUTED_VALUE"""),"[R]")</f>
        <v>[R]</v>
      </c>
      <c r="N857" s="39" t="str">
        <f>IFERROR(__xludf.DUMMYFUNCTION("""COMPUTED_VALUE"""),"He has the strength of a dinosaur.")</f>
        <v>He has the strength of a dinosaur.</v>
      </c>
      <c r="O857" s="39"/>
      <c r="P857" s="39"/>
      <c r="Q857" s="39"/>
      <c r="R857" s="39"/>
      <c r="S857" s="39"/>
      <c r="T857" s="39"/>
      <c r="U857" s="39"/>
      <c r="V857" s="39"/>
      <c r="W857" s="39"/>
      <c r="X857" s="39"/>
      <c r="Y857" s="39"/>
      <c r="Z857" s="39"/>
    </row>
    <row r="858">
      <c r="A858" s="38" t="str">
        <f>IFERROR(__xludf.DUMMYFUNCTION("""COMPUTED_VALUE"""),"MJ-006")</f>
        <v>MJ-006</v>
      </c>
      <c r="B858" s="39" t="str">
        <f>IFERROR(__xludf.DUMMYFUNCTION("""COMPUTED_VALUE"""),"Majestic 12")</f>
        <v>Majestic 12</v>
      </c>
      <c r="C858" s="39" t="str">
        <f>IFERROR(__xludf.DUMMYFUNCTION("""COMPUTED_VALUE"""),"Future Wonder")</f>
        <v>Future Wonder</v>
      </c>
      <c r="D858" s="39" t="str">
        <f>IFERROR(__xludf.DUMMYFUNCTION("""COMPUTED_VALUE"""),"-")</f>
        <v>-</v>
      </c>
      <c r="E858" s="39" t="str">
        <f>IFERROR(__xludf.DUMMYFUNCTION("""COMPUTED_VALUE"""),"-")</f>
        <v>-</v>
      </c>
      <c r="F858" s="39" t="str">
        <f>IFERROR(__xludf.DUMMYFUNCTION("""COMPUTED_VALUE"""),"-")</f>
        <v>-</v>
      </c>
      <c r="G858" s="39" t="str">
        <f>IFERROR(__xludf.DUMMYFUNCTION("""COMPUTED_VALUE"""),"None")</f>
        <v>None</v>
      </c>
      <c r="H858" s="39" t="str">
        <f>IFERROR(__xludf.DUMMYFUNCTION("""COMPUTED_VALUE"""),"-")</f>
        <v>-</v>
      </c>
      <c r="I858" s="40" t="str">
        <f>IFERROR(__xludf.DUMMYFUNCTION("""COMPUTED_VALUE"""),"[IN PLAY] Reduce your opponent's MP by an equal amount when your MP is reduced by your opponent's card effects. ※ If your opponent also has Future Wonder in play, this effect is applied once for each player.")</f>
        <v>[IN PLAY] Reduce your opponent's MP by an equal amount when your MP is reduced by your opponent's card effects. ※ If your opponent also has Future Wonder in play, this effect is applied once for each player.</v>
      </c>
      <c r="J858" s="39" t="str">
        <f>IFERROR(__xludf.DUMMYFUNCTION("""COMPUTED_VALUE"""),"-")</f>
        <v>-</v>
      </c>
      <c r="K858" s="39" t="str">
        <f>IFERROR(__xludf.DUMMYFUNCTION("""COMPUTED_VALUE"""),"-")</f>
        <v>-</v>
      </c>
      <c r="L858" s="39" t="str">
        <f>IFERROR(__xludf.DUMMYFUNCTION("""COMPUTED_VALUE"""),"The Gathering Storm, Series 3, Level 4, The Best Booster 2")</f>
        <v>The Gathering Storm, Series 3, Level 4, The Best Booster 2</v>
      </c>
      <c r="M858" s="39" t="str">
        <f>IFERROR(__xludf.DUMMYFUNCTION("""COMPUTED_VALUE"""),"[R]")</f>
        <v>[R]</v>
      </c>
      <c r="N858" s="39" t="str">
        <f>IFERROR(__xludf.DUMMYFUNCTION("""COMPUTED_VALUE"""),"Member of the Majestic 12. He can foretell the future.")</f>
        <v>Member of the Majestic 12. He can foretell the future.</v>
      </c>
      <c r="O858" s="39"/>
      <c r="P858" s="39"/>
      <c r="Q858" s="39"/>
      <c r="R858" s="39"/>
      <c r="S858" s="39"/>
      <c r="T858" s="39"/>
      <c r="U858" s="39"/>
      <c r="V858" s="39"/>
      <c r="W858" s="39"/>
      <c r="X858" s="39"/>
      <c r="Y858" s="39"/>
      <c r="Z858" s="39"/>
    </row>
    <row r="859">
      <c r="A859" s="38" t="str">
        <f>IFERROR(__xludf.DUMMYFUNCTION("""COMPUTED_VALUE"""),"MJ-007")</f>
        <v>MJ-007</v>
      </c>
      <c r="B859" s="39" t="str">
        <f>IFERROR(__xludf.DUMMYFUNCTION("""COMPUTED_VALUE"""),"Majestic 12")</f>
        <v>Majestic 12</v>
      </c>
      <c r="C859" s="39" t="str">
        <f>IFERROR(__xludf.DUMMYFUNCTION("""COMPUTED_VALUE"""),"Psychic Jungle")</f>
        <v>Psychic Jungle</v>
      </c>
      <c r="D859" s="39" t="str">
        <f>IFERROR(__xludf.DUMMYFUNCTION("""COMPUTED_VALUE"""),"-")</f>
        <v>-</v>
      </c>
      <c r="E859" s="39" t="str">
        <f>IFERROR(__xludf.DUMMYFUNCTION("""COMPUTED_VALUE"""),"-")</f>
        <v>-</v>
      </c>
      <c r="F859" s="39" t="str">
        <f>IFERROR(__xludf.DUMMYFUNCTION("""COMPUTED_VALUE"""),"-")</f>
        <v>-</v>
      </c>
      <c r="G859" s="39" t="str">
        <f>IFERROR(__xludf.DUMMYFUNCTION("""COMPUTED_VALUE"""),"None")</f>
        <v>None</v>
      </c>
      <c r="H859" s="39" t="str">
        <f>IFERROR(__xludf.DUMMYFUNCTION("""COMPUTED_VALUE"""),"-")</f>
        <v>-</v>
      </c>
      <c r="I859" s="40" t="str">
        <f>IFERROR(__xludf.DUMMYFUNCTION("""COMPUTED_VALUE"""),"[1 MP] Flip a coin; if it's heads, this card may Attack without using a SPELL card (Total Power=6000, Damage=1).")</f>
        <v>[1 MP] Flip a coin; if it's heads, this card may Attack without using a SPELL card (Total Power=6000, Damage=1).</v>
      </c>
      <c r="J859" s="39" t="str">
        <f>IFERROR(__xludf.DUMMYFUNCTION("""COMPUTED_VALUE"""),"-")</f>
        <v>-</v>
      </c>
      <c r="K859" s="39" t="str">
        <f>IFERROR(__xludf.DUMMYFUNCTION("""COMPUTED_VALUE"""),"-")</f>
        <v>-</v>
      </c>
      <c r="L859" s="39" t="str">
        <f>IFERROR(__xludf.DUMMYFUNCTION("""COMPUTED_VALUE"""),"The Gathering Storm, Series 3, Level 5, The Best Booster 2")</f>
        <v>The Gathering Storm, Series 3, Level 5, The Best Booster 2</v>
      </c>
      <c r="M859" s="39" t="str">
        <f>IFERROR(__xludf.DUMMYFUNCTION("""COMPUTED_VALUE"""),"[R]")</f>
        <v>[R]</v>
      </c>
      <c r="N859" s="39" t="str">
        <f>IFERROR(__xludf.DUMMYFUNCTION("""COMPUTED_VALUE"""),"Member of the Majestic 12. He is a wild man who has psychic powers.")</f>
        <v>Member of the Majestic 12. He is a wild man who has psychic powers.</v>
      </c>
      <c r="O859" s="39"/>
      <c r="P859" s="39"/>
      <c r="Q859" s="39"/>
      <c r="R859" s="39"/>
      <c r="S859" s="39"/>
      <c r="T859" s="39"/>
      <c r="U859" s="39"/>
      <c r="V859" s="39"/>
      <c r="W859" s="39"/>
      <c r="X859" s="39"/>
      <c r="Y859" s="39"/>
      <c r="Z859" s="39"/>
    </row>
    <row r="860">
      <c r="A860" s="38" t="str">
        <f>IFERROR(__xludf.DUMMYFUNCTION("""COMPUTED_VALUE"""),"MJ-008e")</f>
        <v>MJ-008e</v>
      </c>
      <c r="B860" s="39" t="str">
        <f>IFERROR(__xludf.DUMMYFUNCTION("""COMPUTED_VALUE"""),"Majestic 12")</f>
        <v>Majestic 12</v>
      </c>
      <c r="C860" s="39" t="str">
        <f>IFERROR(__xludf.DUMMYFUNCTION("""COMPUTED_VALUE"""),"Fire Elbow")</f>
        <v>Fire Elbow</v>
      </c>
      <c r="D860" s="39" t="str">
        <f>IFERROR(__xludf.DUMMYFUNCTION("""COMPUTED_VALUE"""),"-")</f>
        <v>-</v>
      </c>
      <c r="E860" s="39" t="str">
        <f>IFERROR(__xludf.DUMMYFUNCTION("""COMPUTED_VALUE"""),"-")</f>
        <v>-</v>
      </c>
      <c r="F860" s="39" t="str">
        <f>IFERROR(__xludf.DUMMYFUNCTION("""COMPUTED_VALUE"""),"-")</f>
        <v>-</v>
      </c>
      <c r="G860" s="39" t="str">
        <f>IFERROR(__xludf.DUMMYFUNCTION("""COMPUTED_VALUE"""),"None")</f>
        <v>None</v>
      </c>
      <c r="H860" s="39" t="str">
        <f>IFERROR(__xludf.DUMMYFUNCTION("""COMPUTED_VALUE"""),"-")</f>
        <v>-</v>
      </c>
      <c r="I860" s="40" t="str">
        <f>IFERROR(__xludf.DUMMYFUNCTION("""COMPUTED_VALUE"""),"[IN PLAY] Add 2000 Power to all of your ""Fire"" Attribute SPELL cards (this effect cannot be duplicated).")</f>
        <v>[IN PLAY] Add 2000 Power to all of your "Fire" Attribute SPELL cards (this effect cannot be duplicated).</v>
      </c>
      <c r="J860" s="39" t="str">
        <f>IFERROR(__xludf.DUMMYFUNCTION("""COMPUTED_VALUE"""),"-")</f>
        <v>-</v>
      </c>
      <c r="K860" s="39" t="str">
        <f>IFERROR(__xludf.DUMMYFUNCTION("""COMPUTED_VALUE"""),"-")</f>
        <v>-</v>
      </c>
      <c r="L860" s="39" t="str">
        <f>IFERROR(__xludf.DUMMYFUNCTION("""COMPUTED_VALUE"""),"The Gathering Storm, Series 3, Level 5")</f>
        <v>The Gathering Storm, Series 3, Level 5</v>
      </c>
      <c r="M860" s="39" t="str">
        <f>IFERROR(__xludf.DUMMYFUNCTION("""COMPUTED_VALUE"""),"[R]")</f>
        <v>[R]</v>
      </c>
      <c r="N860" s="39" t="str">
        <f>IFERROR(__xludf.DUMMYFUNCTION("""COMPUTED_VALUE"""),"Member of the Majestic 12. He manipulates fire with his will.")</f>
        <v>Member of the Majestic 12. He manipulates fire with his will.</v>
      </c>
      <c r="O860" s="39"/>
      <c r="P860" s="39"/>
      <c r="Q860" s="39"/>
      <c r="R860" s="39"/>
      <c r="S860" s="39"/>
      <c r="T860" s="39"/>
      <c r="U860" s="39"/>
      <c r="V860" s="39"/>
      <c r="W860" s="39"/>
      <c r="X860" s="39"/>
      <c r="Y860" s="39"/>
      <c r="Z860" s="39"/>
    </row>
    <row r="861">
      <c r="A861" s="38" t="str">
        <f>IFERROR(__xludf.DUMMYFUNCTION("""COMPUTED_VALUE"""),"MJ-008j")</f>
        <v>MJ-008j</v>
      </c>
      <c r="B861" s="39" t="str">
        <f>IFERROR(__xludf.DUMMYFUNCTION("""COMPUTED_VALUE"""),"Majestic 12")</f>
        <v>Majestic 12</v>
      </c>
      <c r="C861" s="39" t="str">
        <f>IFERROR(__xludf.DUMMYFUNCTION("""COMPUTED_VALUE"""),"Fire Elbow")</f>
        <v>Fire Elbow</v>
      </c>
      <c r="D861" s="39" t="str">
        <f>IFERROR(__xludf.DUMMYFUNCTION("""COMPUTED_VALUE"""),"-")</f>
        <v>-</v>
      </c>
      <c r="E861" s="39" t="str">
        <f>IFERROR(__xludf.DUMMYFUNCTION("""COMPUTED_VALUE"""),"-")</f>
        <v>-</v>
      </c>
      <c r="F861" s="39" t="str">
        <f>IFERROR(__xludf.DUMMYFUNCTION("""COMPUTED_VALUE"""),"-")</f>
        <v>-</v>
      </c>
      <c r="G861" s="39" t="str">
        <f>IFERROR(__xludf.DUMMYFUNCTION("""COMPUTED_VALUE"""),"None")</f>
        <v>None</v>
      </c>
      <c r="H861" s="39" t="str">
        <f>IFERROR(__xludf.DUMMYFUNCTION("""COMPUTED_VALUE"""),"-")</f>
        <v>-</v>
      </c>
      <c r="I861" s="40" t="str">
        <f>IFERROR(__xludf.DUMMYFUNCTION("""COMPUTED_VALUE"""),"[IN PLAY] Add 2000 Power to all of your ""Fire"" Attribute SPELL cards.")</f>
        <v>[IN PLAY] Add 2000 Power to all of your "Fire" Attribute SPELL cards.</v>
      </c>
      <c r="J861" s="39" t="str">
        <f>IFERROR(__xludf.DUMMYFUNCTION("""COMPUTED_VALUE"""),"-")</f>
        <v>-</v>
      </c>
      <c r="K861" s="39" t="str">
        <f>IFERROR(__xludf.DUMMYFUNCTION("""COMPUTED_VALUE"""),"-")</f>
        <v>-</v>
      </c>
      <c r="L861" s="39" t="str">
        <f>IFERROR(__xludf.DUMMYFUNCTION("""COMPUTED_VALUE"""),"The Gathering Storm, Series 3, Level 5")</f>
        <v>The Gathering Storm, Series 3, Level 5</v>
      </c>
      <c r="M861" s="39" t="str">
        <f>IFERROR(__xludf.DUMMYFUNCTION("""COMPUTED_VALUE"""),"[R]")</f>
        <v>[R]</v>
      </c>
      <c r="N861" s="39" t="str">
        <f>IFERROR(__xludf.DUMMYFUNCTION("""COMPUTED_VALUE"""),"Member of the Majestic 12. He manipulates fire with his will.")</f>
        <v>Member of the Majestic 12. He manipulates fire with his will.</v>
      </c>
      <c r="O861" s="39"/>
      <c r="P861" s="39"/>
      <c r="Q861" s="39"/>
      <c r="R861" s="39"/>
      <c r="S861" s="39"/>
      <c r="T861" s="39"/>
      <c r="U861" s="39"/>
      <c r="V861" s="39"/>
      <c r="W861" s="39"/>
      <c r="X861" s="39"/>
      <c r="Y861" s="39"/>
      <c r="Z861" s="39"/>
    </row>
    <row r="862">
      <c r="A862" s="38" t="str">
        <f>IFERROR(__xludf.DUMMYFUNCTION("""COMPUTED_VALUE"""),"MJ-009")</f>
        <v>MJ-009</v>
      </c>
      <c r="B862" s="39" t="str">
        <f>IFERROR(__xludf.DUMMYFUNCTION("""COMPUTED_VALUE"""),"Majestic 12")</f>
        <v>Majestic 12</v>
      </c>
      <c r="C862" s="39" t="str">
        <f>IFERROR(__xludf.DUMMYFUNCTION("""COMPUTED_VALUE"""),"Lady Susan")</f>
        <v>Lady Susan</v>
      </c>
      <c r="D862" s="39" t="str">
        <f>IFERROR(__xludf.DUMMYFUNCTION("""COMPUTED_VALUE"""),"-")</f>
        <v>-</v>
      </c>
      <c r="E862" s="39" t="str">
        <f>IFERROR(__xludf.DUMMYFUNCTION("""COMPUTED_VALUE"""),"-")</f>
        <v>-</v>
      </c>
      <c r="F862" s="39" t="str">
        <f>IFERROR(__xludf.DUMMYFUNCTION("""COMPUTED_VALUE"""),"-")</f>
        <v>-</v>
      </c>
      <c r="G862" s="39" t="str">
        <f>IFERROR(__xludf.DUMMYFUNCTION("""COMPUTED_VALUE"""),"None")</f>
        <v>None</v>
      </c>
      <c r="H862" s="39" t="str">
        <f>IFERROR(__xludf.DUMMYFUNCTION("""COMPUTED_VALUE"""),"-")</f>
        <v>-</v>
      </c>
      <c r="I862" s="40" t="str">
        <f>IFERROR(__xludf.DUMMYFUNCTION("""COMPUTED_VALUE"""),"[SEND THIS CARD TO THE DISCARD PILE] Both players send all of their in-play MJ12 cards to the Discard Pile.")</f>
        <v>[SEND THIS CARD TO THE DISCARD PILE] Both players send all of their in-play MJ12 cards to the Discard Pile.</v>
      </c>
      <c r="J862" s="39" t="str">
        <f>IFERROR(__xludf.DUMMYFUNCTION("""COMPUTED_VALUE"""),"-")</f>
        <v>-</v>
      </c>
      <c r="K862" s="39" t="str">
        <f>IFERROR(__xludf.DUMMYFUNCTION("""COMPUTED_VALUE"""),"-")</f>
        <v>-</v>
      </c>
      <c r="L862" s="39" t="str">
        <f>IFERROR(__xludf.DUMMYFUNCTION("""COMPUTED_VALUE"""),"The Gathering Storm, Series 3, Level 5, The Best Booster 2")</f>
        <v>The Gathering Storm, Series 3, Level 5, The Best Booster 2</v>
      </c>
      <c r="M862" s="39" t="str">
        <f>IFERROR(__xludf.DUMMYFUNCTION("""COMPUTED_VALUE"""),"[SR]")</f>
        <v>[SR]</v>
      </c>
      <c r="N862" s="39" t="str">
        <f>IFERROR(__xludf.DUMMYFUNCTION("""COMPUTED_VALUE"""),"Member of the Majestic 12. She smells good.")</f>
        <v>Member of the Majestic 12. She smells good.</v>
      </c>
      <c r="O862" s="39"/>
      <c r="P862" s="39"/>
      <c r="Q862" s="39"/>
      <c r="R862" s="39"/>
      <c r="S862" s="39"/>
      <c r="T862" s="39"/>
      <c r="U862" s="39"/>
      <c r="V862" s="39"/>
      <c r="W862" s="39"/>
      <c r="X862" s="39"/>
      <c r="Y862" s="39"/>
      <c r="Z862" s="39"/>
    </row>
    <row r="863">
      <c r="A863" s="38" t="str">
        <f>IFERROR(__xludf.DUMMYFUNCTION("""COMPUTED_VALUE"""),"MJ-010e")</f>
        <v>MJ-010e</v>
      </c>
      <c r="B863" s="39" t="str">
        <f>IFERROR(__xludf.DUMMYFUNCTION("""COMPUTED_VALUE"""),"Majestic 12")</f>
        <v>Majestic 12</v>
      </c>
      <c r="C863" s="39" t="str">
        <f>IFERROR(__xludf.DUMMYFUNCTION("""COMPUTED_VALUE"""),"Blizzard Thing")</f>
        <v>Blizzard Thing</v>
      </c>
      <c r="D863" s="39" t="str">
        <f>IFERROR(__xludf.DUMMYFUNCTION("""COMPUTED_VALUE"""),"-")</f>
        <v>-</v>
      </c>
      <c r="E863" s="39" t="str">
        <f>IFERROR(__xludf.DUMMYFUNCTION("""COMPUTED_VALUE"""),"-")</f>
        <v>-</v>
      </c>
      <c r="F863" s="39" t="str">
        <f>IFERROR(__xludf.DUMMYFUNCTION("""COMPUTED_VALUE"""),"-")</f>
        <v>-</v>
      </c>
      <c r="G863" s="39" t="str">
        <f>IFERROR(__xludf.DUMMYFUNCTION("""COMPUTED_VALUE"""),"None")</f>
        <v>None</v>
      </c>
      <c r="H863" s="39" t="str">
        <f>IFERROR(__xludf.DUMMYFUNCTION("""COMPUTED_VALUE"""),"-")</f>
        <v>-</v>
      </c>
      <c r="I863" s="40" t="str">
        <f>IFERROR(__xludf.DUMMYFUNCTION("""COMPUTED_VALUE"""),"[IN PLAY] Add 2000 Power to all of your ""Ice"" Attribute SPELL cards (this effect cannot be duplicated).")</f>
        <v>[IN PLAY] Add 2000 Power to all of your "Ice" Attribute SPELL cards (this effect cannot be duplicated).</v>
      </c>
      <c r="J863" s="39" t="str">
        <f>IFERROR(__xludf.DUMMYFUNCTION("""COMPUTED_VALUE"""),"-")</f>
        <v>-</v>
      </c>
      <c r="K863" s="39" t="str">
        <f>IFERROR(__xludf.DUMMYFUNCTION("""COMPUTED_VALUE"""),"-")</f>
        <v>-</v>
      </c>
      <c r="L863" s="39" t="str">
        <f>IFERROR(__xludf.DUMMYFUNCTION("""COMPUTED_VALUE"""),"The Gathering Storm, Series 3, Level 5")</f>
        <v>The Gathering Storm, Series 3, Level 5</v>
      </c>
      <c r="M863" s="39" t="str">
        <f>IFERROR(__xludf.DUMMYFUNCTION("""COMPUTED_VALUE"""),"[R]")</f>
        <v>[R]</v>
      </c>
      <c r="N863" s="39" t="str">
        <f>IFERROR(__xludf.DUMMYFUNCTION("""COMPUTED_VALUE"""),"Member of the Majestic 12. He is a young man with the ability to freeze things.")</f>
        <v>Member of the Majestic 12. He is a young man with the ability to freeze things.</v>
      </c>
      <c r="O863" s="39"/>
      <c r="P863" s="39"/>
      <c r="Q863" s="39"/>
      <c r="R863" s="39"/>
      <c r="S863" s="39"/>
      <c r="T863" s="39"/>
      <c r="U863" s="39"/>
      <c r="V863" s="39"/>
      <c r="W863" s="39"/>
      <c r="X863" s="39"/>
      <c r="Y863" s="39"/>
      <c r="Z863" s="39"/>
    </row>
    <row r="864">
      <c r="A864" s="38" t="str">
        <f>IFERROR(__xludf.DUMMYFUNCTION("""COMPUTED_VALUE"""),"MJ-010j")</f>
        <v>MJ-010j</v>
      </c>
      <c r="B864" s="39" t="str">
        <f>IFERROR(__xludf.DUMMYFUNCTION("""COMPUTED_VALUE"""),"Majestic 12")</f>
        <v>Majestic 12</v>
      </c>
      <c r="C864" s="39" t="str">
        <f>IFERROR(__xludf.DUMMYFUNCTION("""COMPUTED_VALUE"""),"Blizzard Thing")</f>
        <v>Blizzard Thing</v>
      </c>
      <c r="D864" s="39" t="str">
        <f>IFERROR(__xludf.DUMMYFUNCTION("""COMPUTED_VALUE"""),"-")</f>
        <v>-</v>
      </c>
      <c r="E864" s="39" t="str">
        <f>IFERROR(__xludf.DUMMYFUNCTION("""COMPUTED_VALUE"""),"-")</f>
        <v>-</v>
      </c>
      <c r="F864" s="39" t="str">
        <f>IFERROR(__xludf.DUMMYFUNCTION("""COMPUTED_VALUE"""),"-")</f>
        <v>-</v>
      </c>
      <c r="G864" s="39" t="str">
        <f>IFERROR(__xludf.DUMMYFUNCTION("""COMPUTED_VALUE"""),"None")</f>
        <v>None</v>
      </c>
      <c r="H864" s="39" t="str">
        <f>IFERROR(__xludf.DUMMYFUNCTION("""COMPUTED_VALUE"""),"-")</f>
        <v>-</v>
      </c>
      <c r="I864" s="40" t="str">
        <f>IFERROR(__xludf.DUMMYFUNCTION("""COMPUTED_VALUE"""),"[IN PLAY] Add 2000 Power to all of your ""Ice"" Attribute SPELL cards.")</f>
        <v>[IN PLAY] Add 2000 Power to all of your "Ice" Attribute SPELL cards.</v>
      </c>
      <c r="J864" s="39" t="str">
        <f>IFERROR(__xludf.DUMMYFUNCTION("""COMPUTED_VALUE"""),"-")</f>
        <v>-</v>
      </c>
      <c r="K864" s="39" t="str">
        <f>IFERROR(__xludf.DUMMYFUNCTION("""COMPUTED_VALUE"""),"-")</f>
        <v>-</v>
      </c>
      <c r="L864" s="39" t="str">
        <f>IFERROR(__xludf.DUMMYFUNCTION("""COMPUTED_VALUE"""),"The Gathering Storm, Series 3, Level 5")</f>
        <v>The Gathering Storm, Series 3, Level 5</v>
      </c>
      <c r="M864" s="39" t="str">
        <f>IFERROR(__xludf.DUMMYFUNCTION("""COMPUTED_VALUE"""),"[R]")</f>
        <v>[R]</v>
      </c>
      <c r="N864" s="39" t="str">
        <f>IFERROR(__xludf.DUMMYFUNCTION("""COMPUTED_VALUE"""),"Member of the Majestic 12. He is a young man with the ability to freeze things.")</f>
        <v>Member of the Majestic 12. He is a young man with the ability to freeze things.</v>
      </c>
      <c r="O864" s="39"/>
      <c r="P864" s="39"/>
      <c r="Q864" s="39"/>
      <c r="R864" s="39"/>
      <c r="S864" s="39"/>
      <c r="T864" s="39"/>
      <c r="U864" s="39"/>
      <c r="V864" s="39"/>
      <c r="W864" s="39"/>
      <c r="X864" s="39"/>
      <c r="Y864" s="39"/>
      <c r="Z864" s="39"/>
    </row>
    <row r="865">
      <c r="A865" s="38" t="str">
        <f>IFERROR(__xludf.DUMMYFUNCTION("""COMPUTED_VALUE"""),"MJ-011e")</f>
        <v>MJ-011e</v>
      </c>
      <c r="B865" s="39" t="str">
        <f>IFERROR(__xludf.DUMMYFUNCTION("""COMPUTED_VALUE"""),"Majestic 12")</f>
        <v>Majestic 12</v>
      </c>
      <c r="C865" s="39" t="str">
        <f>IFERROR(__xludf.DUMMYFUNCTION("""COMPUTED_VALUE"""),"Tremor Mole")</f>
        <v>Tremor Mole</v>
      </c>
      <c r="D865" s="39" t="str">
        <f>IFERROR(__xludf.DUMMYFUNCTION("""COMPUTED_VALUE"""),"-")</f>
        <v>-</v>
      </c>
      <c r="E865" s="39" t="str">
        <f>IFERROR(__xludf.DUMMYFUNCTION("""COMPUTED_VALUE"""),"-")</f>
        <v>-</v>
      </c>
      <c r="F865" s="39" t="str">
        <f>IFERROR(__xludf.DUMMYFUNCTION("""COMPUTED_VALUE"""),"-")</f>
        <v>-</v>
      </c>
      <c r="G865" s="39" t="str">
        <f>IFERROR(__xludf.DUMMYFUNCTION("""COMPUTED_VALUE"""),"None")</f>
        <v>None</v>
      </c>
      <c r="H865" s="39" t="str">
        <f>IFERROR(__xludf.DUMMYFUNCTION("""COMPUTED_VALUE"""),"-")</f>
        <v>-</v>
      </c>
      <c r="I865" s="40" t="str">
        <f>IFERROR(__xludf.DUMMYFUNCTION("""COMPUTED_VALUE"""),"[IN PLAY] Add 2000 Power to all of your ""Ground"" Attribute SPELL cards (this effect cannot be duplicated).")</f>
        <v>[IN PLAY] Add 2000 Power to all of your "Ground" Attribute SPELL cards (this effect cannot be duplicated).</v>
      </c>
      <c r="J865" s="39" t="str">
        <f>IFERROR(__xludf.DUMMYFUNCTION("""COMPUTED_VALUE"""),"-")</f>
        <v>-</v>
      </c>
      <c r="K865" s="39" t="str">
        <f>IFERROR(__xludf.DUMMYFUNCTION("""COMPUTED_VALUE"""),"-")</f>
        <v>-</v>
      </c>
      <c r="L865" s="39" t="str">
        <f>IFERROR(__xludf.DUMMYFUNCTION("""COMPUTED_VALUE"""),"The Gathering Storm, Series 3, Level 5")</f>
        <v>The Gathering Storm, Series 3, Level 5</v>
      </c>
      <c r="M865" s="39" t="str">
        <f>IFERROR(__xludf.DUMMYFUNCTION("""COMPUTED_VALUE"""),"[R]")</f>
        <v>[R]</v>
      </c>
      <c r="N865" s="39" t="str">
        <f>IFERROR(__xludf.DUMMYFUNCTION("""COMPUTED_VALUE"""),"Member of the Majestic 12. He can move quickly underground.")</f>
        <v>Member of the Majestic 12. He can move quickly underground.</v>
      </c>
      <c r="O865" s="39"/>
      <c r="P865" s="39"/>
      <c r="Q865" s="39"/>
      <c r="R865" s="39"/>
      <c r="S865" s="39"/>
      <c r="T865" s="39"/>
      <c r="U865" s="39"/>
      <c r="V865" s="39"/>
      <c r="W865" s="39"/>
      <c r="X865" s="39"/>
      <c r="Y865" s="39"/>
      <c r="Z865" s="39"/>
    </row>
    <row r="866">
      <c r="A866" s="38" t="str">
        <f>IFERROR(__xludf.DUMMYFUNCTION("""COMPUTED_VALUE"""),"MJ-011j")</f>
        <v>MJ-011j</v>
      </c>
      <c r="B866" s="39" t="str">
        <f>IFERROR(__xludf.DUMMYFUNCTION("""COMPUTED_VALUE"""),"Majestic 12")</f>
        <v>Majestic 12</v>
      </c>
      <c r="C866" s="39" t="str">
        <f>IFERROR(__xludf.DUMMYFUNCTION("""COMPUTED_VALUE"""),"Tremor Mole")</f>
        <v>Tremor Mole</v>
      </c>
      <c r="D866" s="39" t="str">
        <f>IFERROR(__xludf.DUMMYFUNCTION("""COMPUTED_VALUE"""),"-")</f>
        <v>-</v>
      </c>
      <c r="E866" s="39" t="str">
        <f>IFERROR(__xludf.DUMMYFUNCTION("""COMPUTED_VALUE"""),"-")</f>
        <v>-</v>
      </c>
      <c r="F866" s="39" t="str">
        <f>IFERROR(__xludf.DUMMYFUNCTION("""COMPUTED_VALUE"""),"-")</f>
        <v>-</v>
      </c>
      <c r="G866" s="39" t="str">
        <f>IFERROR(__xludf.DUMMYFUNCTION("""COMPUTED_VALUE"""),"None")</f>
        <v>None</v>
      </c>
      <c r="H866" s="39" t="str">
        <f>IFERROR(__xludf.DUMMYFUNCTION("""COMPUTED_VALUE"""),"-")</f>
        <v>-</v>
      </c>
      <c r="I866" s="40" t="str">
        <f>IFERROR(__xludf.DUMMYFUNCTION("""COMPUTED_VALUE"""),"[IN PLAY] Add 2000 Power to all of your ""Ground"" Attribute SPELL cards.")</f>
        <v>[IN PLAY] Add 2000 Power to all of your "Ground" Attribute SPELL cards.</v>
      </c>
      <c r="J866" s="39" t="str">
        <f>IFERROR(__xludf.DUMMYFUNCTION("""COMPUTED_VALUE"""),"-")</f>
        <v>-</v>
      </c>
      <c r="K866" s="39" t="str">
        <f>IFERROR(__xludf.DUMMYFUNCTION("""COMPUTED_VALUE"""),"-")</f>
        <v>-</v>
      </c>
      <c r="L866" s="39" t="str">
        <f>IFERROR(__xludf.DUMMYFUNCTION("""COMPUTED_VALUE"""),"The Gathering Storm, Series 3, Level 5")</f>
        <v>The Gathering Storm, Series 3, Level 5</v>
      </c>
      <c r="M866" s="39" t="str">
        <f>IFERROR(__xludf.DUMMYFUNCTION("""COMPUTED_VALUE"""),"[R]")</f>
        <v>[R]</v>
      </c>
      <c r="N866" s="39" t="str">
        <f>IFERROR(__xludf.DUMMYFUNCTION("""COMPUTED_VALUE"""),"Member of the Majestic 12. He can move quickly underground.")</f>
        <v>Member of the Majestic 12. He can move quickly underground.</v>
      </c>
      <c r="O866" s="39"/>
      <c r="P866" s="39"/>
      <c r="Q866" s="39"/>
      <c r="R866" s="39"/>
      <c r="S866" s="39"/>
      <c r="T866" s="39"/>
      <c r="U866" s="39"/>
      <c r="V866" s="39"/>
      <c r="W866" s="39"/>
      <c r="X866" s="39"/>
      <c r="Y866" s="39"/>
      <c r="Z866" s="39"/>
    </row>
    <row r="867">
      <c r="A867" s="38" t="str">
        <f>IFERROR(__xludf.DUMMYFUNCTION("""COMPUTED_VALUE"""),"MJ-012")</f>
        <v>MJ-012</v>
      </c>
      <c r="B867" s="39" t="str">
        <f>IFERROR(__xludf.DUMMYFUNCTION("""COMPUTED_VALUE"""),"Majestic 12")</f>
        <v>Majestic 12</v>
      </c>
      <c r="C867" s="39" t="str">
        <f>IFERROR(__xludf.DUMMYFUNCTION("""COMPUTED_VALUE"""),"Telepathy Radar")</f>
        <v>Telepathy Radar</v>
      </c>
      <c r="D867" s="39" t="str">
        <f>IFERROR(__xludf.DUMMYFUNCTION("""COMPUTED_VALUE"""),"-")</f>
        <v>-</v>
      </c>
      <c r="E867" s="39" t="str">
        <f>IFERROR(__xludf.DUMMYFUNCTION("""COMPUTED_VALUE"""),"-")</f>
        <v>-</v>
      </c>
      <c r="F867" s="39" t="str">
        <f>IFERROR(__xludf.DUMMYFUNCTION("""COMPUTED_VALUE"""),"-")</f>
        <v>-</v>
      </c>
      <c r="G867" s="39" t="str">
        <f>IFERROR(__xludf.DUMMYFUNCTION("""COMPUTED_VALUE"""),"None")</f>
        <v>None</v>
      </c>
      <c r="H867" s="39" t="str">
        <f>IFERROR(__xludf.DUMMYFUNCTION("""COMPUTED_VALUE"""),"-")</f>
        <v>-</v>
      </c>
      <c r="I867" s="40" t="str">
        <f>IFERROR(__xludf.DUMMYFUNCTION("""COMPUTED_VALUE"""),"[SEND THIS CARD TO THE DISCARD PILE] Select 1 MJ12 card from any page of your Spell Book and put it in play.")</f>
        <v>[SEND THIS CARD TO THE DISCARD PILE] Select 1 MJ12 card from any page of your Spell Book and put it in play.</v>
      </c>
      <c r="J867" s="39" t="str">
        <f>IFERROR(__xludf.DUMMYFUNCTION("""COMPUTED_VALUE"""),"-")</f>
        <v>-</v>
      </c>
      <c r="K867" s="39" t="str">
        <f>IFERROR(__xludf.DUMMYFUNCTION("""COMPUTED_VALUE"""),"-")</f>
        <v>-</v>
      </c>
      <c r="L867" s="39" t="str">
        <f>IFERROR(__xludf.DUMMYFUNCTION("""COMPUTED_VALUE"""),"The Gathering Storm, Series 3, Level 5, The Best Booster 2, Revised Edition")</f>
        <v>The Gathering Storm, Series 3, Level 5, The Best Booster 2, Revised Edition</v>
      </c>
      <c r="M867" s="39" t="str">
        <f>IFERROR(__xludf.DUMMYFUNCTION("""COMPUTED_VALUE"""),"[R]")</f>
        <v>[R]</v>
      </c>
      <c r="N867" s="39" t="str">
        <f>IFERROR(__xludf.DUMMYFUNCTION("""COMPUTED_VALUE"""),"Member of the Majestic 12. He commands and unites all the members.")</f>
        <v>Member of the Majestic 12. He commands and unites all the members.</v>
      </c>
      <c r="O867" s="39"/>
      <c r="P867" s="39"/>
      <c r="Q867" s="39"/>
      <c r="R867" s="39"/>
      <c r="S867" s="39"/>
      <c r="T867" s="39"/>
      <c r="U867" s="39"/>
      <c r="V867" s="39"/>
      <c r="W867" s="39"/>
      <c r="X867" s="39"/>
      <c r="Y867" s="39"/>
      <c r="Z867" s="39"/>
    </row>
    <row r="868">
      <c r="A868" s="38" t="str">
        <f>IFERROR(__xludf.DUMMYFUNCTION("""COMPUTED_VALUE"""),"MJ-013")</f>
        <v>MJ-013</v>
      </c>
      <c r="B868" s="39" t="str">
        <f>IFERROR(__xludf.DUMMYFUNCTION("""COMPUTED_VALUE"""),"Majestic 12")</f>
        <v>Majestic 12</v>
      </c>
      <c r="C868" s="39" t="str">
        <f>IFERROR(__xludf.DUMMYFUNCTION("""COMPUTED_VALUE"""),"Lady Susan")</f>
        <v>Lady Susan</v>
      </c>
      <c r="D868" s="39" t="str">
        <f>IFERROR(__xludf.DUMMYFUNCTION("""COMPUTED_VALUE"""),"-")</f>
        <v>-</v>
      </c>
      <c r="E868" s="39" t="str">
        <f>IFERROR(__xludf.DUMMYFUNCTION("""COMPUTED_VALUE"""),"-")</f>
        <v>-</v>
      </c>
      <c r="F868" s="39" t="str">
        <f>IFERROR(__xludf.DUMMYFUNCTION("""COMPUTED_VALUE"""),"-")</f>
        <v>-</v>
      </c>
      <c r="G868" s="39" t="str">
        <f>IFERROR(__xludf.DUMMYFUNCTION("""COMPUTED_VALUE"""),"None")</f>
        <v>None</v>
      </c>
      <c r="H868" s="39" t="str">
        <f>IFERROR(__xludf.DUMMYFUNCTION("""COMPUTED_VALUE"""),"-")</f>
        <v>-</v>
      </c>
      <c r="I868" s="40" t="str">
        <f>IFERROR(__xludf.DUMMYFUNCTION("""COMPUTED_VALUE"""),"[IN PLAY] Your opponent cannot apply the effects of MJ12 cards other than Lady Susan MJ12 cards. Member of the Majestic 12. ""Hey, big boy, won't you look at me?")</f>
        <v>[IN PLAY] Your opponent cannot apply the effects of MJ12 cards other than Lady Susan MJ12 cards. Member of the Majestic 12. "Hey, big boy, won't you look at me?</v>
      </c>
      <c r="J868" s="39" t="str">
        <f>IFERROR(__xludf.DUMMYFUNCTION("""COMPUTED_VALUE"""),"-")</f>
        <v>-</v>
      </c>
      <c r="K868" s="39" t="str">
        <f>IFERROR(__xludf.DUMMYFUNCTION("""COMPUTED_VALUE"""),"-")</f>
        <v>-</v>
      </c>
      <c r="L868" s="39" t="str">
        <f>IFERROR(__xludf.DUMMYFUNCTION("""COMPUTED_VALUE"""),"-")</f>
        <v>-</v>
      </c>
      <c r="M868" s="39" t="str">
        <f>IFERROR(__xludf.DUMMYFUNCTION("""COMPUTED_VALUE"""),"[R]")</f>
        <v>[R]</v>
      </c>
      <c r="N868" s="39" t="str">
        <f>IFERROR(__xludf.DUMMYFUNCTION("""COMPUTED_VALUE"""),"It's okay, you can look for free.""")</f>
        <v>It's okay, you can look for free."</v>
      </c>
      <c r="O868" s="39"/>
      <c r="P868" s="39"/>
      <c r="Q868" s="39"/>
      <c r="R868" s="39"/>
      <c r="S868" s="39"/>
      <c r="T868" s="39"/>
      <c r="U868" s="39"/>
      <c r="V868" s="39"/>
      <c r="W868" s="39"/>
      <c r="X868" s="39"/>
      <c r="Y868" s="39"/>
      <c r="Z868" s="39"/>
    </row>
    <row r="869">
      <c r="A869" s="38" t="str">
        <f>IFERROR(__xludf.DUMMYFUNCTION("""COMPUTED_VALUE"""),"P-001")</f>
        <v>P-001</v>
      </c>
      <c r="B869" s="39" t="str">
        <f>IFERROR(__xludf.DUMMYFUNCTION("""COMPUTED_VALUE"""),"Partner")</f>
        <v>Partner</v>
      </c>
      <c r="C869" s="39" t="str">
        <f>IFERROR(__xludf.DUMMYFUNCTION("""COMPUTED_VALUE"""),"Kiyo Takamine")</f>
        <v>Kiyo Takamine</v>
      </c>
      <c r="D869" s="39" t="str">
        <f>IFERROR(__xludf.DUMMYFUNCTION("""COMPUTED_VALUE"""),"Zatch Bell")</f>
        <v>Zatch Bell</v>
      </c>
      <c r="E869" s="39" t="str">
        <f>IFERROR(__xludf.DUMMYFUNCTION("""COMPUTED_VALUE"""),"-")</f>
        <v>-</v>
      </c>
      <c r="F869" s="39" t="str">
        <f>IFERROR(__xludf.DUMMYFUNCTION("""COMPUTED_VALUE"""),"-")</f>
        <v>-</v>
      </c>
      <c r="G869" s="39" t="str">
        <f>IFERROR(__xludf.DUMMYFUNCTION("""COMPUTED_VALUE"""),"None")</f>
        <v>None</v>
      </c>
      <c r="H869" s="39" t="str">
        <f>IFERROR(__xludf.DUMMYFUNCTION("""COMPUTED_VALUE"""),"-")</f>
        <v>-</v>
      </c>
      <c r="I869" s="40" t="str">
        <f>IFERROR(__xludf.DUMMYFUNCTION("""COMPUTED_VALUE"""),"[SEND THIS CARD TO THE DISCARD PILE] [STANDBY] The SPELL card your Zatch Bell MAMODO card Attacks with in the next Battle this turn cannot be Defended.")</f>
        <v>[SEND THIS CARD TO THE DISCARD PILE] [STANDBY] The SPELL card your Zatch Bell MAMODO card Attacks with in the next Battle this turn cannot be Defended.</v>
      </c>
      <c r="J869" s="39" t="str">
        <f>IFERROR(__xludf.DUMMYFUNCTION("""COMPUTED_VALUE"""),"-")</f>
        <v>-</v>
      </c>
      <c r="K869" s="39" t="str">
        <f>IFERROR(__xludf.DUMMYFUNCTION("""COMPUTED_VALUE"""),"-")</f>
        <v>-</v>
      </c>
      <c r="L869" s="39" t="str">
        <f>IFERROR(__xludf.DUMMYFUNCTION("""COMPUTED_VALUE"""),"Series 1, Level 1")</f>
        <v>Series 1, Level 1</v>
      </c>
      <c r="M869" s="39" t="str">
        <f>IFERROR(__xludf.DUMMYFUNCTION("""COMPUTED_VALUE"""),"[R]")</f>
        <v>[R]</v>
      </c>
      <c r="N869" s="39" t="str">
        <f>IFERROR(__xludf.DUMMYFUNCTION("""COMPUTED_VALUE"""),"He is a genius, but bored with life...that is until he encounters Zatch.")</f>
        <v>He is a genius, but bored with life...that is until he encounters Zatch.</v>
      </c>
      <c r="O869" s="39"/>
      <c r="P869" s="39"/>
      <c r="Q869" s="39"/>
      <c r="R869" s="39"/>
      <c r="S869" s="39"/>
      <c r="T869" s="39"/>
      <c r="U869" s="39"/>
      <c r="V869" s="39"/>
      <c r="W869" s="39"/>
      <c r="X869" s="39"/>
      <c r="Y869" s="39"/>
      <c r="Z869" s="39"/>
    </row>
    <row r="870">
      <c r="A870" s="41" t="str">
        <f>IFERROR(__xludf.DUMMYFUNCTION("""COMPUTED_VALUE"""),"P-002")</f>
        <v>P-002</v>
      </c>
      <c r="B870" s="42" t="str">
        <f>IFERROR(__xludf.DUMMYFUNCTION("""COMPUTED_VALUE"""),"Partner")</f>
        <v>Partner</v>
      </c>
      <c r="C870" s="42" t="str">
        <f>IFERROR(__xludf.DUMMYFUNCTION("""COMPUTED_VALUE"""),"Hosokawa")</f>
        <v>Hosokawa</v>
      </c>
      <c r="D870" s="42" t="str">
        <f>IFERROR(__xludf.DUMMYFUNCTION("""COMPUTED_VALUE"""),"Reycom")</f>
        <v>Reycom</v>
      </c>
      <c r="E870" s="42" t="str">
        <f>IFERROR(__xludf.DUMMYFUNCTION("""COMPUTED_VALUE"""),"-")</f>
        <v>-</v>
      </c>
      <c r="F870" s="42" t="str">
        <f>IFERROR(__xludf.DUMMYFUNCTION("""COMPUTED_VALUE"""),"-")</f>
        <v>-</v>
      </c>
      <c r="G870" s="42" t="str">
        <f>IFERROR(__xludf.DUMMYFUNCTION("""COMPUTED_VALUE"""),"None")</f>
        <v>None</v>
      </c>
      <c r="H870" s="42" t="str">
        <f>IFERROR(__xludf.DUMMYFUNCTION("""COMPUTED_VALUE"""),"-")</f>
        <v>-</v>
      </c>
      <c r="I870" s="43" t="str">
        <f>IFERROR(__xludf.DUMMYFUNCTION("""COMPUTED_VALUE"""),"[SEND THIS CARD TO THE DISCARD PILE] Reduce your opponent's MP by 3 to get MP equal to the number they reduced their MP by from this effect.")</f>
        <v>[SEND THIS CARD TO THE DISCARD PILE] Reduce your opponent's MP by 3 to get MP equal to the number they reduced their MP by from this effect.</v>
      </c>
      <c r="J870" s="42" t="str">
        <f>IFERROR(__xludf.DUMMYFUNCTION("""COMPUTED_VALUE"""),"-")</f>
        <v>-</v>
      </c>
      <c r="K870" s="42" t="str">
        <f>IFERROR(__xludf.DUMMYFUNCTION("""COMPUTED_VALUE"""),"-")</f>
        <v>-</v>
      </c>
      <c r="L870" s="42" t="str">
        <f>IFERROR(__xludf.DUMMYFUNCTION("""COMPUTED_VALUE"""),"Series 1, Level 1, The Best Booster 1, Revised Edition")</f>
        <v>Series 1, Level 1, The Best Booster 1, Revised Edition</v>
      </c>
      <c r="M870" s="42" t="str">
        <f>IFERROR(__xludf.DUMMYFUNCTION("""COMPUTED_VALUE"""),"[U]")</f>
        <v>[U]</v>
      </c>
      <c r="N870" s="42" t="str">
        <f>IFERROR(__xludf.DUMMYFUNCTION("""COMPUTED_VALUE"""),"He finds Reycom and used him as a means to get revenge.")</f>
        <v>He finds Reycom and used him as a means to get revenge.</v>
      </c>
      <c r="O870" s="42"/>
      <c r="P870" s="42"/>
      <c r="Q870" s="42"/>
      <c r="R870" s="42"/>
      <c r="S870" s="42"/>
      <c r="T870" s="42"/>
      <c r="U870" s="42"/>
      <c r="V870" s="42"/>
      <c r="W870" s="42"/>
      <c r="X870" s="42"/>
      <c r="Y870" s="42"/>
      <c r="Z870" s="42"/>
    </row>
    <row r="871">
      <c r="A871" s="41" t="str">
        <f>IFERROR(__xludf.DUMMYFUNCTION("""COMPUTED_VALUE"""),"P-003e")</f>
        <v>P-003e</v>
      </c>
      <c r="B871" s="42" t="str">
        <f>IFERROR(__xludf.DUMMYFUNCTION("""COMPUTED_VALUE"""),"Partner")</f>
        <v>Partner</v>
      </c>
      <c r="C871" s="42" t="str">
        <f>IFERROR(__xludf.DUMMYFUNCTION("""COMPUTED_VALUE"""),"Sherry")</f>
        <v>Sherry</v>
      </c>
      <c r="D871" s="42" t="str">
        <f>IFERROR(__xludf.DUMMYFUNCTION("""COMPUTED_VALUE"""),"Brago")</f>
        <v>Brago</v>
      </c>
      <c r="E871" s="42" t="str">
        <f>IFERROR(__xludf.DUMMYFUNCTION("""COMPUTED_VALUE"""),"-")</f>
        <v>-</v>
      </c>
      <c r="F871" s="42" t="str">
        <f>IFERROR(__xludf.DUMMYFUNCTION("""COMPUTED_VALUE"""),"-")</f>
        <v>-</v>
      </c>
      <c r="G871" s="42" t="str">
        <f>IFERROR(__xludf.DUMMYFUNCTION("""COMPUTED_VALUE"""),"None")</f>
        <v>None</v>
      </c>
      <c r="H871" s="42" t="str">
        <f>IFERROR(__xludf.DUMMYFUNCTION("""COMPUTED_VALUE"""),"-")</f>
        <v>-</v>
      </c>
      <c r="I871" s="43" t="str">
        <f>IFERROR(__xludf.DUMMYFUNCTION("""COMPUTED_VALUE"""),"[SEND THIS CARD TO THE DISCARD PILE] [STAY] Increase the Damage inflicted by your Brago MAMODO card's Attack during this Battle by 2.")</f>
        <v>[SEND THIS CARD TO THE DISCARD PILE] [STAY] Increase the Damage inflicted by your Brago MAMODO card's Attack during this Battle by 2.</v>
      </c>
      <c r="J871" s="42" t="str">
        <f>IFERROR(__xludf.DUMMYFUNCTION("""COMPUTED_VALUE"""),"-")</f>
        <v>-</v>
      </c>
      <c r="K871" s="42" t="str">
        <f>IFERROR(__xludf.DUMMYFUNCTION("""COMPUTED_VALUE"""),"-")</f>
        <v>-</v>
      </c>
      <c r="L871" s="42" t="str">
        <f>IFERROR(__xludf.DUMMYFUNCTION("""COMPUTED_VALUE"""),"Series 1, Level 1, The Best Booster 1, Revised Edition")</f>
        <v>Series 1, Level 1, The Best Booster 1, Revised Edition</v>
      </c>
      <c r="M871" s="42" t="str">
        <f>IFERROR(__xludf.DUMMYFUNCTION("""COMPUTED_VALUE"""),"[R]")</f>
        <v>[R]</v>
      </c>
      <c r="N871" s="42" t="str">
        <f>IFERROR(__xludf.DUMMYFUNCTION("""COMPUTED_VALUE"""),"Sherry warns Kiyo to drop out of the battle of 100 mamodo.")</f>
        <v>Sherry warns Kiyo to drop out of the battle of 100 mamodo.</v>
      </c>
      <c r="O871" s="42"/>
      <c r="P871" s="42"/>
      <c r="Q871" s="42"/>
      <c r="R871" s="42"/>
      <c r="S871" s="42"/>
      <c r="T871" s="42"/>
      <c r="U871" s="42"/>
      <c r="V871" s="42"/>
      <c r="W871" s="42"/>
      <c r="X871" s="42"/>
      <c r="Y871" s="42"/>
      <c r="Z871" s="42"/>
    </row>
    <row r="872">
      <c r="A872" s="41" t="str">
        <f>IFERROR(__xludf.DUMMYFUNCTION("""COMPUTED_VALUE"""),"P-003j")</f>
        <v>P-003j</v>
      </c>
      <c r="B872" s="42" t="str">
        <f>IFERROR(__xludf.DUMMYFUNCTION("""COMPUTED_VALUE"""),"Partner")</f>
        <v>Partner</v>
      </c>
      <c r="C872" s="42" t="str">
        <f>IFERROR(__xludf.DUMMYFUNCTION("""COMPUTED_VALUE"""),"Sherry")</f>
        <v>Sherry</v>
      </c>
      <c r="D872" s="42" t="str">
        <f>IFERROR(__xludf.DUMMYFUNCTION("""COMPUTED_VALUE"""),"Brago")</f>
        <v>Brago</v>
      </c>
      <c r="E872" s="42" t="str">
        <f>IFERROR(__xludf.DUMMYFUNCTION("""COMPUTED_VALUE"""),"-")</f>
        <v>-</v>
      </c>
      <c r="F872" s="42" t="str">
        <f>IFERROR(__xludf.DUMMYFUNCTION("""COMPUTED_VALUE"""),"-")</f>
        <v>-</v>
      </c>
      <c r="G872" s="42" t="str">
        <f>IFERROR(__xludf.DUMMYFUNCTION("""COMPUTED_VALUE"""),"None")</f>
        <v>None</v>
      </c>
      <c r="H872" s="42" t="str">
        <f>IFERROR(__xludf.DUMMYFUNCTION("""COMPUTED_VALUE"""),"-")</f>
        <v>-</v>
      </c>
      <c r="I872" s="43" t="str">
        <f>IFERROR(__xludf.DUMMYFUNCTION("""COMPUTED_VALUE"""),"[SEND THIS CARD TO THE DISCARD PILE] [STAY] Increase the Damage inflicted by your Brago MAMODO card's Attack during this Battle by 2 (this effect cannot be duplicated).")</f>
        <v>[SEND THIS CARD TO THE DISCARD PILE] [STAY] Increase the Damage inflicted by your Brago MAMODO card's Attack during this Battle by 2 (this effect cannot be duplicated).</v>
      </c>
      <c r="J872" s="42" t="str">
        <f>IFERROR(__xludf.DUMMYFUNCTION("""COMPUTED_VALUE"""),"-")</f>
        <v>-</v>
      </c>
      <c r="K872" s="42" t="str">
        <f>IFERROR(__xludf.DUMMYFUNCTION("""COMPUTED_VALUE"""),"-")</f>
        <v>-</v>
      </c>
      <c r="L872" s="42" t="str">
        <f>IFERROR(__xludf.DUMMYFUNCTION("""COMPUTED_VALUE"""),"Series 1, Level 1, The Best Booster 1, Revised Edition")</f>
        <v>Series 1, Level 1, The Best Booster 1, Revised Edition</v>
      </c>
      <c r="M872" s="42" t="str">
        <f>IFERROR(__xludf.DUMMYFUNCTION("""COMPUTED_VALUE"""),"[R]")</f>
        <v>[R]</v>
      </c>
      <c r="N872" s="42" t="str">
        <f>IFERROR(__xludf.DUMMYFUNCTION("""COMPUTED_VALUE"""),"Sherry warns Kiyo to drop out of the battle of 100 mamodo.")</f>
        <v>Sherry warns Kiyo to drop out of the battle of 100 mamodo.</v>
      </c>
      <c r="O872" s="42"/>
      <c r="P872" s="42"/>
      <c r="Q872" s="42"/>
      <c r="R872" s="42"/>
      <c r="S872" s="42"/>
      <c r="T872" s="42"/>
      <c r="U872" s="42"/>
      <c r="V872" s="42"/>
      <c r="W872" s="42"/>
      <c r="X872" s="42"/>
      <c r="Y872" s="42"/>
      <c r="Z872" s="42"/>
    </row>
    <row r="873">
      <c r="A873" s="41" t="str">
        <f>IFERROR(__xludf.DUMMYFUNCTION("""COMPUTED_VALUE"""),"P-004e")</f>
        <v>P-004e</v>
      </c>
      <c r="B873" s="42" t="str">
        <f>IFERROR(__xludf.DUMMYFUNCTION("""COMPUTED_VALUE"""),"Partner")</f>
        <v>Partner</v>
      </c>
      <c r="C873" s="42" t="str">
        <f>IFERROR(__xludf.DUMMYFUNCTION("""COMPUTED_VALUE"""),"Renji")</f>
        <v>Renji</v>
      </c>
      <c r="D873" s="42" t="str">
        <f>IFERROR(__xludf.DUMMYFUNCTION("""COMPUTED_VALUE"""),"Gofure")</f>
        <v>Gofure</v>
      </c>
      <c r="E873" s="42" t="str">
        <f>IFERROR(__xludf.DUMMYFUNCTION("""COMPUTED_VALUE"""),"-")</f>
        <v>-</v>
      </c>
      <c r="F873" s="42" t="str">
        <f>IFERROR(__xludf.DUMMYFUNCTION("""COMPUTED_VALUE"""),"-")</f>
        <v>-</v>
      </c>
      <c r="G873" s="42" t="str">
        <f>IFERROR(__xludf.DUMMYFUNCTION("""COMPUTED_VALUE"""),"None")</f>
        <v>None</v>
      </c>
      <c r="H873" s="42" t="str">
        <f>IFERROR(__xludf.DUMMYFUNCTION("""COMPUTED_VALUE"""),"-")</f>
        <v>-</v>
      </c>
      <c r="I873" s="43" t="str">
        <f>IFERROR(__xludf.DUMMYFUNCTION("""COMPUTED_VALUE"""),"[SEND THIS CARD TO THE DISCARD PILE] [STAY] The Damage inflicted by your Gofure MAMODO card during this Battle is doubled.")</f>
        <v>[SEND THIS CARD TO THE DISCARD PILE] [STAY] The Damage inflicted by your Gofure MAMODO card during this Battle is doubled.</v>
      </c>
      <c r="J873" s="42" t="str">
        <f>IFERROR(__xludf.DUMMYFUNCTION("""COMPUTED_VALUE"""),"-")</f>
        <v>-</v>
      </c>
      <c r="K873" s="42" t="str">
        <f>IFERROR(__xludf.DUMMYFUNCTION("""COMPUTED_VALUE"""),"-")</f>
        <v>-</v>
      </c>
      <c r="L873" s="42" t="str">
        <f>IFERROR(__xludf.DUMMYFUNCTION("""COMPUTED_VALUE"""),"Series 1, Level 1")</f>
        <v>Series 1, Level 1</v>
      </c>
      <c r="M873" s="42" t="str">
        <f>IFERROR(__xludf.DUMMYFUNCTION("""COMPUTED_VALUE"""),"[C]")</f>
        <v>[C]</v>
      </c>
      <c r="N873" s="42" t="str">
        <f>IFERROR(__xludf.DUMMYFUNCTION("""COMPUTED_VALUE"""),"I wanna enjoy this a little longer...")</f>
        <v>I wanna enjoy this a little longer...</v>
      </c>
      <c r="O873" s="42"/>
      <c r="P873" s="42"/>
      <c r="Q873" s="42"/>
      <c r="R873" s="42"/>
      <c r="S873" s="42"/>
      <c r="T873" s="42"/>
      <c r="U873" s="42"/>
      <c r="V873" s="42"/>
      <c r="W873" s="42"/>
      <c r="X873" s="42"/>
      <c r="Y873" s="42"/>
      <c r="Z873" s="42"/>
    </row>
    <row r="874">
      <c r="A874" s="41" t="str">
        <f>IFERROR(__xludf.DUMMYFUNCTION("""COMPUTED_VALUE"""),"P-004j")</f>
        <v>P-004j</v>
      </c>
      <c r="B874" s="42" t="str">
        <f>IFERROR(__xludf.DUMMYFUNCTION("""COMPUTED_VALUE"""),"Partner")</f>
        <v>Partner</v>
      </c>
      <c r="C874" s="42" t="str">
        <f>IFERROR(__xludf.DUMMYFUNCTION("""COMPUTED_VALUE"""),"Renji")</f>
        <v>Renji</v>
      </c>
      <c r="D874" s="42" t="str">
        <f>IFERROR(__xludf.DUMMYFUNCTION("""COMPUTED_VALUE"""),"Gofure")</f>
        <v>Gofure</v>
      </c>
      <c r="E874" s="42" t="str">
        <f>IFERROR(__xludf.DUMMYFUNCTION("""COMPUTED_VALUE"""),"-")</f>
        <v>-</v>
      </c>
      <c r="F874" s="42" t="str">
        <f>IFERROR(__xludf.DUMMYFUNCTION("""COMPUTED_VALUE"""),"-")</f>
        <v>-</v>
      </c>
      <c r="G874" s="42" t="str">
        <f>IFERROR(__xludf.DUMMYFUNCTION("""COMPUTED_VALUE"""),"None")</f>
        <v>None</v>
      </c>
      <c r="H874" s="42" t="str">
        <f>IFERROR(__xludf.DUMMYFUNCTION("""COMPUTED_VALUE"""),"-")</f>
        <v>-</v>
      </c>
      <c r="I874" s="43" t="str">
        <f>IFERROR(__xludf.DUMMYFUNCTION("""COMPUTED_VALUE"""),"[SEND THIS CARD TO THE DISCARD PILE] [STAY] The Damage inflicted by your Gofure MAMODO card during this Battle is doubled (this effect cannot be duplicated).")</f>
        <v>[SEND THIS CARD TO THE DISCARD PILE] [STAY] The Damage inflicted by your Gofure MAMODO card during this Battle is doubled (this effect cannot be duplicated).</v>
      </c>
      <c r="J874" s="42" t="str">
        <f>IFERROR(__xludf.DUMMYFUNCTION("""COMPUTED_VALUE"""),"-")</f>
        <v>-</v>
      </c>
      <c r="K874" s="42" t="str">
        <f>IFERROR(__xludf.DUMMYFUNCTION("""COMPUTED_VALUE"""),"-")</f>
        <v>-</v>
      </c>
      <c r="L874" s="42" t="str">
        <f>IFERROR(__xludf.DUMMYFUNCTION("""COMPUTED_VALUE"""),"Series 1, Level 1")</f>
        <v>Series 1, Level 1</v>
      </c>
      <c r="M874" s="42" t="str">
        <f>IFERROR(__xludf.DUMMYFUNCTION("""COMPUTED_VALUE"""),"[C]")</f>
        <v>[C]</v>
      </c>
      <c r="N874" s="42" t="str">
        <f>IFERROR(__xludf.DUMMYFUNCTION("""COMPUTED_VALUE"""),"I wanna enjoy this a little longer...")</f>
        <v>I wanna enjoy this a little longer...</v>
      </c>
      <c r="O874" s="42"/>
      <c r="P874" s="42"/>
      <c r="Q874" s="42"/>
      <c r="R874" s="42"/>
      <c r="S874" s="42"/>
      <c r="T874" s="42"/>
      <c r="U874" s="42"/>
      <c r="V874" s="42"/>
      <c r="W874" s="42"/>
      <c r="X874" s="42"/>
      <c r="Y874" s="42"/>
      <c r="Z874" s="42"/>
    </row>
    <row r="875">
      <c r="A875" s="41" t="str">
        <f>IFERROR(__xludf.DUMMYFUNCTION("""COMPUTED_VALUE"""),"P-005")</f>
        <v>P-005</v>
      </c>
      <c r="B875" s="42" t="str">
        <f>IFERROR(__xludf.DUMMYFUNCTION("""COMPUTED_VALUE"""),"Partner")</f>
        <v>Partner</v>
      </c>
      <c r="C875" s="42" t="str">
        <f>IFERROR(__xludf.DUMMYFUNCTION("""COMPUTED_VALUE"""),"Haru")</f>
        <v>Haru</v>
      </c>
      <c r="D875" s="42" t="str">
        <f>IFERROR(__xludf.DUMMYFUNCTION("""COMPUTED_VALUE"""),"Sugino")</f>
        <v>Sugino</v>
      </c>
      <c r="E875" s="42" t="str">
        <f>IFERROR(__xludf.DUMMYFUNCTION("""COMPUTED_VALUE"""),"-")</f>
        <v>-</v>
      </c>
      <c r="F875" s="42" t="str">
        <f>IFERROR(__xludf.DUMMYFUNCTION("""COMPUTED_VALUE"""),"-")</f>
        <v>-</v>
      </c>
      <c r="G875" s="42" t="str">
        <f>IFERROR(__xludf.DUMMYFUNCTION("""COMPUTED_VALUE"""),"None")</f>
        <v>None</v>
      </c>
      <c r="H875" s="42" t="str">
        <f>IFERROR(__xludf.DUMMYFUNCTION("""COMPUTED_VALUE"""),"-")</f>
        <v>-</v>
      </c>
      <c r="I875" s="43" t="str">
        <f>IFERROR(__xludf.DUMMYFUNCTION("""COMPUTED_VALUE"""),"[SEND THIS CARD TO THE DISCARD PILE] [STAY] The MP cost of all of your SPELL cards with Sugino as their MAMODO name is considered to be 0 during this turn.")</f>
        <v>[SEND THIS CARD TO THE DISCARD PILE] [STAY] The MP cost of all of your SPELL cards with Sugino as their MAMODO name is considered to be 0 during this turn.</v>
      </c>
      <c r="J875" s="42" t="str">
        <f>IFERROR(__xludf.DUMMYFUNCTION("""COMPUTED_VALUE"""),"-")</f>
        <v>-</v>
      </c>
      <c r="K875" s="42" t="str">
        <f>IFERROR(__xludf.DUMMYFUNCTION("""COMPUTED_VALUE"""),"-")</f>
        <v>-</v>
      </c>
      <c r="L875" s="42" t="str">
        <f>IFERROR(__xludf.DUMMYFUNCTION("""COMPUTED_VALUE"""),"Series 1, Level 1")</f>
        <v>Series 1, Level 1</v>
      </c>
      <c r="M875" s="42" t="str">
        <f>IFERROR(__xludf.DUMMYFUNCTION("""COMPUTED_VALUE"""),"[C]")</f>
        <v>[C]</v>
      </c>
      <c r="N875" s="42" t="str">
        <f>IFERROR(__xludf.DUMMYFUNCTION("""COMPUTED_VALUE"""),"A cold-hearted human that attacks a botanical garden to practice his mamodo spells.")</f>
        <v>A cold-hearted human that attacks a botanical garden to practice his mamodo spells.</v>
      </c>
      <c r="O875" s="42"/>
      <c r="P875" s="42"/>
      <c r="Q875" s="42"/>
      <c r="R875" s="42"/>
      <c r="S875" s="42"/>
      <c r="T875" s="42"/>
      <c r="U875" s="42"/>
      <c r="V875" s="42"/>
      <c r="W875" s="42"/>
      <c r="X875" s="42"/>
      <c r="Y875" s="42"/>
      <c r="Z875" s="42"/>
    </row>
    <row r="876">
      <c r="A876" s="41" t="str">
        <f>IFERROR(__xludf.DUMMYFUNCTION("""COMPUTED_VALUE"""),"P-006e")</f>
        <v>P-006e</v>
      </c>
      <c r="B876" s="42" t="str">
        <f>IFERROR(__xludf.DUMMYFUNCTION("""COMPUTED_VALUE"""),"Partner")</f>
        <v>Partner</v>
      </c>
      <c r="C876" s="42" t="str">
        <f>IFERROR(__xludf.DUMMYFUNCTION("""COMPUTED_VALUE"""),"Lori")</f>
        <v>Lori</v>
      </c>
      <c r="D876" s="42" t="str">
        <f>IFERROR(__xludf.DUMMYFUNCTION("""COMPUTED_VALUE"""),"Kolulu")</f>
        <v>Kolulu</v>
      </c>
      <c r="E876" s="42" t="str">
        <f>IFERROR(__xludf.DUMMYFUNCTION("""COMPUTED_VALUE"""),"-")</f>
        <v>-</v>
      </c>
      <c r="F876" s="42" t="str">
        <f>IFERROR(__xludf.DUMMYFUNCTION("""COMPUTED_VALUE"""),"-")</f>
        <v>-</v>
      </c>
      <c r="G876" s="42" t="str">
        <f>IFERROR(__xludf.DUMMYFUNCTION("""COMPUTED_VALUE"""),"None")</f>
        <v>None</v>
      </c>
      <c r="H876" s="42" t="str">
        <f>IFERROR(__xludf.DUMMYFUNCTION("""COMPUTED_VALUE"""),"-")</f>
        <v>-</v>
      </c>
      <c r="I876" s="43" t="str">
        <f>IFERROR(__xludf.DUMMYFUNCTION("""COMPUTED_VALUE"""),"[SEND THIS CARD TO THE DISCARD PILE] Send your in-play Kolulu (Transformed) MAMODO card to the Discard Pile (the regular Kolulu MAMODO card remains in play).")</f>
        <v>[SEND THIS CARD TO THE DISCARD PILE] Send your in-play Kolulu (Transformed) MAMODO card to the Discard Pile (the regular Kolulu MAMODO card remains in play).</v>
      </c>
      <c r="J876" s="42" t="str">
        <f>IFERROR(__xludf.DUMMYFUNCTION("""COMPUTED_VALUE"""),"-")</f>
        <v>-</v>
      </c>
      <c r="K876" s="42" t="str">
        <f>IFERROR(__xludf.DUMMYFUNCTION("""COMPUTED_VALUE"""),"-")</f>
        <v>-</v>
      </c>
      <c r="L876" s="42" t="str">
        <f>IFERROR(__xludf.DUMMYFUNCTION("""COMPUTED_VALUE"""),"Series 1, Level 1, Revised Edition")</f>
        <v>Series 1, Level 1, Revised Edition</v>
      </c>
      <c r="M876" s="42" t="str">
        <f>IFERROR(__xludf.DUMMYFUNCTION("""COMPUTED_VALUE"""),"[U]")</f>
        <v>[U]</v>
      </c>
      <c r="N876" s="42" t="str">
        <f>IFERROR(__xludf.DUMMYFUNCTION("""COMPUTED_VALUE"""),"Lori decides to become Kolulu's older sister and take care of her.")</f>
        <v>Lori decides to become Kolulu's older sister and take care of her.</v>
      </c>
      <c r="O876" s="42"/>
      <c r="P876" s="42"/>
      <c r="Q876" s="42"/>
      <c r="R876" s="42"/>
      <c r="S876" s="42"/>
      <c r="T876" s="42"/>
      <c r="U876" s="42"/>
      <c r="V876" s="42"/>
      <c r="W876" s="42"/>
      <c r="X876" s="42"/>
      <c r="Y876" s="42"/>
      <c r="Z876" s="42"/>
    </row>
    <row r="877">
      <c r="A877" s="41" t="str">
        <f>IFERROR(__xludf.DUMMYFUNCTION("""COMPUTED_VALUE"""),"P-006j")</f>
        <v>P-006j</v>
      </c>
      <c r="B877" s="42" t="str">
        <f>IFERROR(__xludf.DUMMYFUNCTION("""COMPUTED_VALUE"""),"Partner")</f>
        <v>Partner</v>
      </c>
      <c r="C877" s="42" t="str">
        <f>IFERROR(__xludf.DUMMYFUNCTION("""COMPUTED_VALUE"""),"Lori")</f>
        <v>Lori</v>
      </c>
      <c r="D877" s="42" t="str">
        <f>IFERROR(__xludf.DUMMYFUNCTION("""COMPUTED_VALUE"""),"Kolulu")</f>
        <v>Kolulu</v>
      </c>
      <c r="E877" s="42" t="str">
        <f>IFERROR(__xludf.DUMMYFUNCTION("""COMPUTED_VALUE"""),"-")</f>
        <v>-</v>
      </c>
      <c r="F877" s="42" t="str">
        <f>IFERROR(__xludf.DUMMYFUNCTION("""COMPUTED_VALUE"""),"-")</f>
        <v>-</v>
      </c>
      <c r="G877" s="42" t="str">
        <f>IFERROR(__xludf.DUMMYFUNCTION("""COMPUTED_VALUE"""),"None")</f>
        <v>None</v>
      </c>
      <c r="H877" s="42" t="str">
        <f>IFERROR(__xludf.DUMMYFUNCTION("""COMPUTED_VALUE"""),"-")</f>
        <v>-</v>
      </c>
      <c r="I877" s="43" t="str">
        <f>IFERROR(__xludf.DUMMYFUNCTION("""COMPUTED_VALUE"""),"[SEND THIS CARD TO THE DISCARD PILE] [STANDBY] Negate an infliction of Damage or Injury done to your Kolulu (Transformed) MAMODO card during the Battle. Then, send your Kolulu (Transformed) MAMODO card to the Discard Pile (the regular Kolulu MAMODO card r"&amp;"emains in play).")</f>
        <v>[SEND THIS CARD TO THE DISCARD PILE] [STANDBY] Negate an infliction of Damage or Injury done to your Kolulu (Transformed) MAMODO card during the Battle. Then, send your Kolulu (Transformed) MAMODO card to the Discard Pile (the regular Kolulu MAMODO card remains in play).</v>
      </c>
      <c r="J877" s="42" t="str">
        <f>IFERROR(__xludf.DUMMYFUNCTION("""COMPUTED_VALUE"""),"-")</f>
        <v>-</v>
      </c>
      <c r="K877" s="42" t="str">
        <f>IFERROR(__xludf.DUMMYFUNCTION("""COMPUTED_VALUE"""),"-")</f>
        <v>-</v>
      </c>
      <c r="L877" s="42" t="str">
        <f>IFERROR(__xludf.DUMMYFUNCTION("""COMPUTED_VALUE"""),"Series 1, Level 1, Revised Edition")</f>
        <v>Series 1, Level 1, Revised Edition</v>
      </c>
      <c r="M877" s="42" t="str">
        <f>IFERROR(__xludf.DUMMYFUNCTION("""COMPUTED_VALUE"""),"[U]")</f>
        <v>[U]</v>
      </c>
      <c r="N877" s="42" t="str">
        <f>IFERROR(__xludf.DUMMYFUNCTION("""COMPUTED_VALUE"""),"Lori decides to become Kolulu's older sister and take care of her.")</f>
        <v>Lori decides to become Kolulu's older sister and take care of her.</v>
      </c>
      <c r="O877" s="42"/>
      <c r="P877" s="42"/>
      <c r="Q877" s="42"/>
      <c r="R877" s="42"/>
      <c r="S877" s="42"/>
      <c r="T877" s="42"/>
      <c r="U877" s="42"/>
      <c r="V877" s="42"/>
      <c r="W877" s="42"/>
      <c r="X877" s="42"/>
      <c r="Y877" s="42"/>
      <c r="Z877" s="42"/>
    </row>
    <row r="878">
      <c r="A878" s="41" t="str">
        <f>IFERROR(__xludf.DUMMYFUNCTION("""COMPUTED_VALUE"""),"P-007")</f>
        <v>P-007</v>
      </c>
      <c r="B878" s="42" t="str">
        <f>IFERROR(__xludf.DUMMYFUNCTION("""COMPUTED_VALUE"""),"Partner")</f>
        <v>Partner</v>
      </c>
      <c r="C878" s="42" t="str">
        <f>IFERROR(__xludf.DUMMYFUNCTION("""COMPUTED_VALUE"""),"Sebe")</f>
        <v>Sebe</v>
      </c>
      <c r="D878" s="42" t="str">
        <f>IFERROR(__xludf.DUMMYFUNCTION("""COMPUTED_VALUE"""),"Fein")</f>
        <v>Fein</v>
      </c>
      <c r="E878" s="42" t="str">
        <f>IFERROR(__xludf.DUMMYFUNCTION("""COMPUTED_VALUE"""),"-")</f>
        <v>-</v>
      </c>
      <c r="F878" s="42" t="str">
        <f>IFERROR(__xludf.DUMMYFUNCTION("""COMPUTED_VALUE"""),"-")</f>
        <v>-</v>
      </c>
      <c r="G878" s="42" t="str">
        <f>IFERROR(__xludf.DUMMYFUNCTION("""COMPUTED_VALUE"""),"None")</f>
        <v>None</v>
      </c>
      <c r="H878" s="42" t="str">
        <f>IFERROR(__xludf.DUMMYFUNCTION("""COMPUTED_VALUE"""),"-")</f>
        <v>-</v>
      </c>
      <c r="I878" s="43" t="str">
        <f>IFERROR(__xludf.DUMMYFUNCTION("""COMPUTED_VALUE"""),"[SEND THIS CARD TO THE DISCARD PILE] [STANDBY] Add 4000 Power to a SPELL card you play in the next Battle with Fein as its MAMODO name during this turn.")</f>
        <v>[SEND THIS CARD TO THE DISCARD PILE] [STANDBY] Add 4000 Power to a SPELL card you play in the next Battle with Fein as its MAMODO name during this turn.</v>
      </c>
      <c r="J878" s="42" t="str">
        <f>IFERROR(__xludf.DUMMYFUNCTION("""COMPUTED_VALUE"""),"-")</f>
        <v>-</v>
      </c>
      <c r="K878" s="42" t="str">
        <f>IFERROR(__xludf.DUMMYFUNCTION("""COMPUTED_VALUE"""),"-")</f>
        <v>-</v>
      </c>
      <c r="L878" s="42" t="str">
        <f>IFERROR(__xludf.DUMMYFUNCTION("""COMPUTED_VALUE"""),"Series 1, Level 1")</f>
        <v>Series 1, Level 1</v>
      </c>
      <c r="M878" s="42" t="str">
        <f>IFERROR(__xludf.DUMMYFUNCTION("""COMPUTED_VALUE"""),"[U]")</f>
        <v>[U]</v>
      </c>
      <c r="N878" s="42" t="str">
        <f>IFERROR(__xludf.DUMMYFUNCTION("""COMPUTED_VALUE"""),"""This power feels so great!""")</f>
        <v>"This power feels so great!"</v>
      </c>
      <c r="O878" s="42"/>
      <c r="P878" s="42"/>
      <c r="Q878" s="42"/>
      <c r="R878" s="42"/>
      <c r="S878" s="42"/>
      <c r="T878" s="42"/>
      <c r="U878" s="42"/>
      <c r="V878" s="42"/>
      <c r="W878" s="42"/>
      <c r="X878" s="42"/>
      <c r="Y878" s="42"/>
      <c r="Z878" s="42"/>
    </row>
    <row r="879">
      <c r="A879" s="41" t="str">
        <f>IFERROR(__xludf.DUMMYFUNCTION("""COMPUTED_VALUE"""),"P-008")</f>
        <v>P-008</v>
      </c>
      <c r="B879" s="42" t="str">
        <f>IFERROR(__xludf.DUMMYFUNCTION("""COMPUTED_VALUE"""),"Partner")</f>
        <v>Partner</v>
      </c>
      <c r="C879" s="42" t="str">
        <f>IFERROR(__xludf.DUMMYFUNCTION("""COMPUTED_VALUE"""),"Parco Folgore")</f>
        <v>Parco Folgore</v>
      </c>
      <c r="D879" s="42" t="str">
        <f>IFERROR(__xludf.DUMMYFUNCTION("""COMPUTED_VALUE"""),"Kanchome")</f>
        <v>Kanchome</v>
      </c>
      <c r="E879" s="42" t="str">
        <f>IFERROR(__xludf.DUMMYFUNCTION("""COMPUTED_VALUE"""),"-")</f>
        <v>-</v>
      </c>
      <c r="F879" s="42" t="str">
        <f>IFERROR(__xludf.DUMMYFUNCTION("""COMPUTED_VALUE"""),"-")</f>
        <v>-</v>
      </c>
      <c r="G879" s="42" t="str">
        <f>IFERROR(__xludf.DUMMYFUNCTION("""COMPUTED_VALUE"""),"None")</f>
        <v>None</v>
      </c>
      <c r="H879" s="42" t="str">
        <f>IFERROR(__xludf.DUMMYFUNCTION("""COMPUTED_VALUE"""),"-")</f>
        <v>-</v>
      </c>
      <c r="I879" s="43" t="str">
        <f>IFERROR(__xludf.DUMMYFUNCTION("""COMPUTED_VALUE"""),"[SEND THIS CARD TO THE DISCARD PILE] Send 1 of your opponent's in-play PARTNER cards to the Discard Pile.")</f>
        <v>[SEND THIS CARD TO THE DISCARD PILE] Send 1 of your opponent's in-play PARTNER cards to the Discard Pile.</v>
      </c>
      <c r="J879" s="42" t="str">
        <f>IFERROR(__xludf.DUMMYFUNCTION("""COMPUTED_VALUE"""),"-")</f>
        <v>-</v>
      </c>
      <c r="K879" s="42" t="str">
        <f>IFERROR(__xludf.DUMMYFUNCTION("""COMPUTED_VALUE"""),"-")</f>
        <v>-</v>
      </c>
      <c r="L879" s="42" t="str">
        <f>IFERROR(__xludf.DUMMYFUNCTION("""COMPUTED_VALUE"""),"Series 1, Level 1, The Best Booster 1")</f>
        <v>Series 1, Level 1, The Best Booster 1</v>
      </c>
      <c r="M879" s="42" t="str">
        <f>IFERROR(__xludf.DUMMYFUNCTION("""COMPUTED_VALUE"""),"[SR]")</f>
        <v>[SR]</v>
      </c>
      <c r="N879" s="42" t="str">
        <f>IFERROR(__xludf.DUMMYFUNCTION("""COMPUTED_VALUE"""),"He is a world-famous superstar.")</f>
        <v>He is a world-famous superstar.</v>
      </c>
      <c r="O879" s="42"/>
      <c r="P879" s="42"/>
      <c r="Q879" s="42"/>
      <c r="R879" s="42"/>
      <c r="S879" s="42"/>
      <c r="T879" s="42"/>
      <c r="U879" s="42"/>
      <c r="V879" s="42"/>
      <c r="W879" s="42"/>
      <c r="X879" s="42"/>
      <c r="Y879" s="42"/>
      <c r="Z879" s="42"/>
    </row>
    <row r="880">
      <c r="A880" s="41" t="str">
        <f>IFERROR(__xludf.DUMMYFUNCTION("""COMPUTED_VALUE"""),"P-009")</f>
        <v>P-009</v>
      </c>
      <c r="B880" s="42" t="str">
        <f>IFERROR(__xludf.DUMMYFUNCTION("""COMPUTED_VALUE"""),"Partner")</f>
        <v>Partner</v>
      </c>
      <c r="C880" s="42" t="str">
        <f>IFERROR(__xludf.DUMMYFUNCTION("""COMPUTED_VALUE"""),"Megumi")</f>
        <v>Megumi</v>
      </c>
      <c r="D880" s="42" t="str">
        <f>IFERROR(__xludf.DUMMYFUNCTION("""COMPUTED_VALUE"""),"Tia")</f>
        <v>Tia</v>
      </c>
      <c r="E880" s="42" t="str">
        <f>IFERROR(__xludf.DUMMYFUNCTION("""COMPUTED_VALUE"""),"-")</f>
        <v>-</v>
      </c>
      <c r="F880" s="42" t="str">
        <f>IFERROR(__xludf.DUMMYFUNCTION("""COMPUTED_VALUE"""),"-")</f>
        <v>-</v>
      </c>
      <c r="G880" s="42" t="str">
        <f>IFERROR(__xludf.DUMMYFUNCTION("""COMPUTED_VALUE"""),"None")</f>
        <v>None</v>
      </c>
      <c r="H880" s="42" t="str">
        <f>IFERROR(__xludf.DUMMYFUNCTION("""COMPUTED_VALUE"""),"-")</f>
        <v>-</v>
      </c>
      <c r="I880" s="43" t="str">
        <f>IFERROR(__xludf.DUMMYFUNCTION("""COMPUTED_VALUE"""),"[SEND THIS CARD TO THE DISCARD PILE] Negate the SPELL card your opponent just played.")</f>
        <v>[SEND THIS CARD TO THE DISCARD PILE] Negate the SPELL card your opponent just played.</v>
      </c>
      <c r="J880" s="42" t="str">
        <f>IFERROR(__xludf.DUMMYFUNCTION("""COMPUTED_VALUE"""),"-")</f>
        <v>-</v>
      </c>
      <c r="K880" s="42" t="str">
        <f>IFERROR(__xludf.DUMMYFUNCTION("""COMPUTED_VALUE"""),"-")</f>
        <v>-</v>
      </c>
      <c r="L880" s="42" t="str">
        <f>IFERROR(__xludf.DUMMYFUNCTION("""COMPUTED_VALUE"""),"Series 1, Level 1")</f>
        <v>Series 1, Level 1</v>
      </c>
      <c r="M880" s="42" t="str">
        <f>IFERROR(__xludf.DUMMYFUNCTION("""COMPUTED_VALUE"""),"[SR]")</f>
        <v>[SR]</v>
      </c>
      <c r="N880" s="42" t="str">
        <f>IFERROR(__xludf.DUMMYFUNCTION("""COMPUTED_VALUE"""),"She is a popular pop idol.")</f>
        <v>She is a popular pop idol.</v>
      </c>
      <c r="O880" s="42"/>
      <c r="P880" s="42"/>
      <c r="Q880" s="42"/>
      <c r="R880" s="42"/>
      <c r="S880" s="42"/>
      <c r="T880" s="42"/>
      <c r="U880" s="42"/>
      <c r="V880" s="42"/>
      <c r="W880" s="42"/>
      <c r="X880" s="42"/>
      <c r="Y880" s="42"/>
      <c r="Z880" s="42"/>
    </row>
    <row r="881">
      <c r="A881" s="41" t="str">
        <f>IFERROR(__xludf.DUMMYFUNCTION("""COMPUTED_VALUE"""),"P-010")</f>
        <v>P-010</v>
      </c>
      <c r="B881" s="42" t="str">
        <f>IFERROR(__xludf.DUMMYFUNCTION("""COMPUTED_VALUE"""),"Partner")</f>
        <v>Partner</v>
      </c>
      <c r="C881" s="42" t="str">
        <f>IFERROR(__xludf.DUMMYFUNCTION("""COMPUTED_VALUE"""),"Kiyo Takamine")</f>
        <v>Kiyo Takamine</v>
      </c>
      <c r="D881" s="42" t="str">
        <f>IFERROR(__xludf.DUMMYFUNCTION("""COMPUTED_VALUE"""),"Zatch Bell")</f>
        <v>Zatch Bell</v>
      </c>
      <c r="E881" s="42" t="str">
        <f>IFERROR(__xludf.DUMMYFUNCTION("""COMPUTED_VALUE"""),"-")</f>
        <v>-</v>
      </c>
      <c r="F881" s="42" t="str">
        <f>IFERROR(__xludf.DUMMYFUNCTION("""COMPUTED_VALUE"""),"-")</f>
        <v>-</v>
      </c>
      <c r="G881" s="42" t="str">
        <f>IFERROR(__xludf.DUMMYFUNCTION("""COMPUTED_VALUE"""),"None")</f>
        <v>None</v>
      </c>
      <c r="H881" s="42" t="str">
        <f>IFERROR(__xludf.DUMMYFUNCTION("""COMPUTED_VALUE"""),"-")</f>
        <v>-</v>
      </c>
      <c r="I881" s="43" t="str">
        <f>IFERROR(__xludf.DUMMYFUNCTION("""COMPUTED_VALUE"""),"[SEND THIS CARD TO THE DISCARD PILE] Turn 1 page of your Spell Book. Effects that turn pages of your Spell Book can be applied only once per turn (per player).")</f>
        <v>[SEND THIS CARD TO THE DISCARD PILE] Turn 1 page of your Spell Book. Effects that turn pages of your Spell Book can be applied only once per turn (per player).</v>
      </c>
      <c r="J881" s="42" t="str">
        <f>IFERROR(__xludf.DUMMYFUNCTION("""COMPUTED_VALUE"""),"-")</f>
        <v>-</v>
      </c>
      <c r="K881" s="42" t="str">
        <f>IFERROR(__xludf.DUMMYFUNCTION("""COMPUTED_VALUE"""),"-")</f>
        <v>-</v>
      </c>
      <c r="L881" s="42" t="str">
        <f>IFERROR(__xludf.DUMMYFUNCTION("""COMPUTED_VALUE"""),"Series 1, Level 2, The Best Booster 2, Revised Edition")</f>
        <v>Series 1, Level 2, The Best Booster 2, Revised Edition</v>
      </c>
      <c r="M881" s="42" t="str">
        <f>IFERROR(__xludf.DUMMYFUNCTION("""COMPUTED_VALUE"""),"[U]")</f>
        <v>[U]</v>
      </c>
      <c r="N881" s="42" t="str">
        <f>IFERROR(__xludf.DUMMYFUNCTION("""COMPUTED_VALUE"""),"""Become strong, Zatch – I will stand by you.""")</f>
        <v>"Become strong, Zatch – I will stand by you."</v>
      </c>
      <c r="O881" s="42"/>
      <c r="P881" s="42"/>
      <c r="Q881" s="42"/>
      <c r="R881" s="42"/>
      <c r="S881" s="42"/>
      <c r="T881" s="42"/>
      <c r="U881" s="42"/>
      <c r="V881" s="42"/>
      <c r="W881" s="42"/>
      <c r="X881" s="42"/>
      <c r="Y881" s="42"/>
      <c r="Z881" s="42"/>
    </row>
    <row r="882">
      <c r="A882" s="41" t="str">
        <f>IFERROR(__xludf.DUMMYFUNCTION("""COMPUTED_VALUE"""),"P-011")</f>
        <v>P-011</v>
      </c>
      <c r="B882" s="42" t="str">
        <f>IFERROR(__xludf.DUMMYFUNCTION("""COMPUTED_VALUE"""),"Partner")</f>
        <v>Partner</v>
      </c>
      <c r="C882" s="42" t="str">
        <f>IFERROR(__xludf.DUMMYFUNCTION("""COMPUTED_VALUE"""),"Eido")</f>
        <v>Eido</v>
      </c>
      <c r="D882" s="42" t="str">
        <f>IFERROR(__xludf.DUMMYFUNCTION("""COMPUTED_VALUE"""),"Hyde")</f>
        <v>Hyde</v>
      </c>
      <c r="E882" s="42" t="str">
        <f>IFERROR(__xludf.DUMMYFUNCTION("""COMPUTED_VALUE"""),"-")</f>
        <v>-</v>
      </c>
      <c r="F882" s="42" t="str">
        <f>IFERROR(__xludf.DUMMYFUNCTION("""COMPUTED_VALUE"""),"-")</f>
        <v>-</v>
      </c>
      <c r="G882" s="42" t="str">
        <f>IFERROR(__xludf.DUMMYFUNCTION("""COMPUTED_VALUE"""),"None")</f>
        <v>None</v>
      </c>
      <c r="H882" s="42" t="str">
        <f>IFERROR(__xludf.DUMMYFUNCTION("""COMPUTED_VALUE"""),"-")</f>
        <v>-</v>
      </c>
      <c r="I882" s="43" t="str">
        <f>IFERROR(__xludf.DUMMYFUNCTION("""COMPUTED_VALUE"""),"[SEND THIS CARD TO THE DISCARD PILE] [STAY] The Power of 1 of your opponent's in-play MAMODO cards is considered to be 0 during this turn.")</f>
        <v>[SEND THIS CARD TO THE DISCARD PILE] [STAY] The Power of 1 of your opponent's in-play MAMODO cards is considered to be 0 during this turn.</v>
      </c>
      <c r="J882" s="42" t="str">
        <f>IFERROR(__xludf.DUMMYFUNCTION("""COMPUTED_VALUE"""),"-")</f>
        <v>-</v>
      </c>
      <c r="K882" s="42" t="str">
        <f>IFERROR(__xludf.DUMMYFUNCTION("""COMPUTED_VALUE"""),"-")</f>
        <v>-</v>
      </c>
      <c r="L882" s="42" t="str">
        <f>IFERROR(__xludf.DUMMYFUNCTION("""COMPUTED_VALUE"""),"Series 1, Level 2")</f>
        <v>Series 1, Level 2</v>
      </c>
      <c r="M882" s="42" t="str">
        <f>IFERROR(__xludf.DUMMYFUNCTION("""COMPUTED_VALUE"""),"[U]")</f>
        <v>[U]</v>
      </c>
      <c r="N882" s="42" t="str">
        <f>IFERROR(__xludf.DUMMYFUNCTION("""COMPUTED_VALUE"""),"""You can be my girlfriend!""")</f>
        <v>"You can be my girlfriend!"</v>
      </c>
      <c r="O882" s="42"/>
      <c r="P882" s="42"/>
      <c r="Q882" s="42"/>
      <c r="R882" s="42"/>
      <c r="S882" s="42"/>
      <c r="T882" s="42"/>
      <c r="U882" s="42"/>
      <c r="V882" s="42"/>
      <c r="W882" s="42"/>
      <c r="X882" s="42"/>
      <c r="Y882" s="42"/>
      <c r="Z882" s="42"/>
    </row>
    <row r="883">
      <c r="A883" s="41" t="str">
        <f>IFERROR(__xludf.DUMMYFUNCTION("""COMPUTED_VALUE"""),"P-012e")</f>
        <v>P-012e</v>
      </c>
      <c r="B883" s="42" t="str">
        <f>IFERROR(__xludf.DUMMYFUNCTION("""COMPUTED_VALUE"""),"Partner")</f>
        <v>Partner</v>
      </c>
      <c r="C883" s="42" t="str">
        <f>IFERROR(__xludf.DUMMYFUNCTION("""COMPUTED_VALUE"""),"Sherry")</f>
        <v>Sherry</v>
      </c>
      <c r="D883" s="42" t="str">
        <f>IFERROR(__xludf.DUMMYFUNCTION("""COMPUTED_VALUE"""),"Brago")</f>
        <v>Brago</v>
      </c>
      <c r="E883" s="42" t="str">
        <f>IFERROR(__xludf.DUMMYFUNCTION("""COMPUTED_VALUE"""),"-")</f>
        <v>-</v>
      </c>
      <c r="F883" s="42" t="str">
        <f>IFERROR(__xludf.DUMMYFUNCTION("""COMPUTED_VALUE"""),"-")</f>
        <v>-</v>
      </c>
      <c r="G883" s="42" t="str">
        <f>IFERROR(__xludf.DUMMYFUNCTION("""COMPUTED_VALUE"""),"None")</f>
        <v>None</v>
      </c>
      <c r="H883" s="42" t="str">
        <f>IFERROR(__xludf.DUMMYFUNCTION("""COMPUTED_VALUE"""),"-")</f>
        <v>-</v>
      </c>
      <c r="I883" s="43" t="str">
        <f>IFERROR(__xludf.DUMMYFUNCTION("""COMPUTED_VALUE"""),"[SEND THIS CARD TO THE DISCARD PILE] [STAY] When a MAMODO cards SACRIFICES or PROTECTS against Damage inflicted by your Brago MAMODO card's Attack during this turn, it is sent to the Discard Pile.")</f>
        <v>[SEND THIS CARD TO THE DISCARD PILE] [STAY] When a MAMODO cards SACRIFICES or PROTECTS against Damage inflicted by your Brago MAMODO card's Attack during this turn, it is sent to the Discard Pile.</v>
      </c>
      <c r="J883" s="42" t="str">
        <f>IFERROR(__xludf.DUMMYFUNCTION("""COMPUTED_VALUE"""),"-")</f>
        <v>-</v>
      </c>
      <c r="K883" s="42" t="str">
        <f>IFERROR(__xludf.DUMMYFUNCTION("""COMPUTED_VALUE"""),"-")</f>
        <v>-</v>
      </c>
      <c r="L883" s="42" t="str">
        <f>IFERROR(__xludf.DUMMYFUNCTION("""COMPUTED_VALUE"""),"Series 1, Level 2")</f>
        <v>Series 1, Level 2</v>
      </c>
      <c r="M883" s="42" t="str">
        <f>IFERROR(__xludf.DUMMYFUNCTION("""COMPUTED_VALUE"""),"[U]")</f>
        <v>[U]</v>
      </c>
      <c r="N883" s="42" t="str">
        <f>IFERROR(__xludf.DUMMYFUNCTION("""COMPUTED_VALUE"""),"""My goal is to end this battle as soon as possible.""")</f>
        <v>"My goal is to end this battle as soon as possible."</v>
      </c>
      <c r="O883" s="42"/>
      <c r="P883" s="42"/>
      <c r="Q883" s="42"/>
      <c r="R883" s="42"/>
      <c r="S883" s="42"/>
      <c r="T883" s="42"/>
      <c r="U883" s="42"/>
      <c r="V883" s="42"/>
      <c r="W883" s="42"/>
      <c r="X883" s="42"/>
      <c r="Y883" s="42"/>
      <c r="Z883" s="42"/>
    </row>
    <row r="884">
      <c r="A884" s="41" t="str">
        <f>IFERROR(__xludf.DUMMYFUNCTION("""COMPUTED_VALUE"""),"P-012j")</f>
        <v>P-012j</v>
      </c>
      <c r="B884" s="42" t="str">
        <f>IFERROR(__xludf.DUMMYFUNCTION("""COMPUTED_VALUE"""),"Partner")</f>
        <v>Partner</v>
      </c>
      <c r="C884" s="42" t="str">
        <f>IFERROR(__xludf.DUMMYFUNCTION("""COMPUTED_VALUE"""),"Sherry")</f>
        <v>Sherry</v>
      </c>
      <c r="D884" s="42" t="str">
        <f>IFERROR(__xludf.DUMMYFUNCTION("""COMPUTED_VALUE"""),"Brago")</f>
        <v>Brago</v>
      </c>
      <c r="E884" s="42" t="str">
        <f>IFERROR(__xludf.DUMMYFUNCTION("""COMPUTED_VALUE"""),"-")</f>
        <v>-</v>
      </c>
      <c r="F884" s="42" t="str">
        <f>IFERROR(__xludf.DUMMYFUNCTION("""COMPUTED_VALUE"""),"-")</f>
        <v>-</v>
      </c>
      <c r="G884" s="42" t="str">
        <f>IFERROR(__xludf.DUMMYFUNCTION("""COMPUTED_VALUE"""),"None")</f>
        <v>None</v>
      </c>
      <c r="H884" s="42" t="str">
        <f>IFERROR(__xludf.DUMMYFUNCTION("""COMPUTED_VALUE"""),"-")</f>
        <v>-</v>
      </c>
      <c r="I884" s="43" t="str">
        <f>IFERROR(__xludf.DUMMYFUNCTION("""COMPUTED_VALUE"""),"[SEND THIS CARD TO THE DISCARD PILE] [STAY] Any MAMODO cards that SACRIFICE or PROTECT against Damage inflicted by your Brago MAMODO card's Attacks during this turn are sent to the Discard Pile.")</f>
        <v>[SEND THIS CARD TO THE DISCARD PILE] [STAY] Any MAMODO cards that SACRIFICE or PROTECT against Damage inflicted by your Brago MAMODO card's Attacks during this turn are sent to the Discard Pile.</v>
      </c>
      <c r="J884" s="42" t="str">
        <f>IFERROR(__xludf.DUMMYFUNCTION("""COMPUTED_VALUE"""),"-")</f>
        <v>-</v>
      </c>
      <c r="K884" s="42" t="str">
        <f>IFERROR(__xludf.DUMMYFUNCTION("""COMPUTED_VALUE"""),"-")</f>
        <v>-</v>
      </c>
      <c r="L884" s="42" t="str">
        <f>IFERROR(__xludf.DUMMYFUNCTION("""COMPUTED_VALUE"""),"Series 1, Level 2")</f>
        <v>Series 1, Level 2</v>
      </c>
      <c r="M884" s="42" t="str">
        <f>IFERROR(__xludf.DUMMYFUNCTION("""COMPUTED_VALUE"""),"[U]")</f>
        <v>[U]</v>
      </c>
      <c r="N884" s="42" t="str">
        <f>IFERROR(__xludf.DUMMYFUNCTION("""COMPUTED_VALUE"""),"""My goal is to end this battle as soon as possible.""")</f>
        <v>"My goal is to end this battle as soon as possible."</v>
      </c>
      <c r="O884" s="42"/>
      <c r="P884" s="42"/>
      <c r="Q884" s="42"/>
      <c r="R884" s="42"/>
      <c r="S884" s="42"/>
      <c r="T884" s="42"/>
      <c r="U884" s="42"/>
      <c r="V884" s="42"/>
      <c r="W884" s="42"/>
      <c r="X884" s="42"/>
      <c r="Y884" s="42"/>
      <c r="Z884" s="42"/>
    </row>
    <row r="885">
      <c r="A885" s="41" t="str">
        <f>IFERROR(__xludf.DUMMYFUNCTION("""COMPUTED_VALUE"""),"P-013")</f>
        <v>P-013</v>
      </c>
      <c r="B885" s="42" t="str">
        <f>IFERROR(__xludf.DUMMYFUNCTION("""COMPUTED_VALUE"""),"Partner")</f>
        <v>Partner</v>
      </c>
      <c r="C885" s="42" t="str">
        <f>IFERROR(__xludf.DUMMYFUNCTION("""COMPUTED_VALUE"""),"Koko")</f>
        <v>Koko</v>
      </c>
      <c r="D885" s="42" t="str">
        <f>IFERROR(__xludf.DUMMYFUNCTION("""COMPUTED_VALUE"""),"Zofis")</f>
        <v>Zofis</v>
      </c>
      <c r="E885" s="42" t="str">
        <f>IFERROR(__xludf.DUMMYFUNCTION("""COMPUTED_VALUE"""),"-")</f>
        <v>-</v>
      </c>
      <c r="F885" s="42" t="str">
        <f>IFERROR(__xludf.DUMMYFUNCTION("""COMPUTED_VALUE"""),"-")</f>
        <v>-</v>
      </c>
      <c r="G885" s="42" t="str">
        <f>IFERROR(__xludf.DUMMYFUNCTION("""COMPUTED_VALUE"""),"None")</f>
        <v>None</v>
      </c>
      <c r="H885" s="42" t="str">
        <f>IFERROR(__xludf.DUMMYFUNCTION("""COMPUTED_VALUE"""),"-")</f>
        <v>-</v>
      </c>
      <c r="I885" s="43" t="str">
        <f>IFERROR(__xludf.DUMMYFUNCTION("""COMPUTED_VALUE"""),"[IN PLAY] Each time an opponent's MAMODO card is sent to the Discard Pile, turn 1 page of your opponent's Spell Book.")</f>
        <v>[IN PLAY] Each time an opponent's MAMODO card is sent to the Discard Pile, turn 1 page of your opponent's Spell Book.</v>
      </c>
      <c r="J885" s="42" t="str">
        <f>IFERROR(__xludf.DUMMYFUNCTION("""COMPUTED_VALUE"""),"-")</f>
        <v>-</v>
      </c>
      <c r="K885" s="42" t="str">
        <f>IFERROR(__xludf.DUMMYFUNCTION("""COMPUTED_VALUE"""),"-")</f>
        <v>-</v>
      </c>
      <c r="L885" s="42" t="str">
        <f>IFERROR(__xludf.DUMMYFUNCTION("""COMPUTED_VALUE"""),"Series 1, Level 2")</f>
        <v>Series 1, Level 2</v>
      </c>
      <c r="M885" s="42" t="str">
        <f>IFERROR(__xludf.DUMMYFUNCTION("""COMPUTED_VALUE"""),"[R]")</f>
        <v>[R]</v>
      </c>
      <c r="N885" s="42" t="str">
        <f>IFERROR(__xludf.DUMMYFUNCTION("""COMPUTED_VALUE"""),"She is Sherry's best friend before Zofis turns her into a cold-hearted puppet.")</f>
        <v>She is Sherry's best friend before Zofis turns her into a cold-hearted puppet.</v>
      </c>
      <c r="O885" s="42"/>
      <c r="P885" s="42"/>
      <c r="Q885" s="42"/>
      <c r="R885" s="42"/>
      <c r="S885" s="42"/>
      <c r="T885" s="42"/>
      <c r="U885" s="42"/>
      <c r="V885" s="42"/>
      <c r="W885" s="42"/>
      <c r="X885" s="42"/>
      <c r="Y885" s="42"/>
      <c r="Z885" s="42"/>
    </row>
    <row r="886">
      <c r="A886" s="41" t="str">
        <f>IFERROR(__xludf.DUMMYFUNCTION("""COMPUTED_VALUE"""),"P-014")</f>
        <v>P-014</v>
      </c>
      <c r="B886" s="42" t="str">
        <f>IFERROR(__xludf.DUMMYFUNCTION("""COMPUTED_VALUE"""),"Partner")</f>
        <v>Partner</v>
      </c>
      <c r="C886" s="42" t="str">
        <f>IFERROR(__xludf.DUMMYFUNCTION("""COMPUTED_VALUE"""),"Periko")</f>
        <v>Periko</v>
      </c>
      <c r="D886" s="42" t="str">
        <f>IFERROR(__xludf.DUMMYFUNCTION("""COMPUTED_VALUE"""),"Pokkerio")</f>
        <v>Pokkerio</v>
      </c>
      <c r="E886" s="42" t="str">
        <f>IFERROR(__xludf.DUMMYFUNCTION("""COMPUTED_VALUE"""),"-")</f>
        <v>-</v>
      </c>
      <c r="F886" s="42" t="str">
        <f>IFERROR(__xludf.DUMMYFUNCTION("""COMPUTED_VALUE"""),"-")</f>
        <v>-</v>
      </c>
      <c r="G886" s="42" t="str">
        <f>IFERROR(__xludf.DUMMYFUNCTION("""COMPUTED_VALUE"""),"None")</f>
        <v>None</v>
      </c>
      <c r="H886" s="42" t="str">
        <f>IFERROR(__xludf.DUMMYFUNCTION("""COMPUTED_VALUE"""),"-")</f>
        <v>-</v>
      </c>
      <c r="I886" s="43" t="str">
        <f>IFERROR(__xludf.DUMMYFUNCTION("""COMPUTED_VALUE"""),"[SEND THIS CARD TO THE DISCARD PILE] [STAY] Your opponent cannot play SPELL cards to Attack during this turn.")</f>
        <v>[SEND THIS CARD TO THE DISCARD PILE] [STAY] Your opponent cannot play SPELL cards to Attack during this turn.</v>
      </c>
      <c r="J886" s="42" t="str">
        <f>IFERROR(__xludf.DUMMYFUNCTION("""COMPUTED_VALUE"""),"-")</f>
        <v>-</v>
      </c>
      <c r="K886" s="42" t="str">
        <f>IFERROR(__xludf.DUMMYFUNCTION("""COMPUTED_VALUE"""),"-")</f>
        <v>-</v>
      </c>
      <c r="L886" s="42" t="str">
        <f>IFERROR(__xludf.DUMMYFUNCTION("""COMPUTED_VALUE"""),"Series 1, Level 2")</f>
        <v>Series 1, Level 2</v>
      </c>
      <c r="M886" s="42" t="str">
        <f>IFERROR(__xludf.DUMMYFUNCTION("""COMPUTED_VALUE"""),"[C]")</f>
        <v>[C]</v>
      </c>
      <c r="N886" s="42" t="str">
        <f>IFERROR(__xludf.DUMMYFUNCTION("""COMPUTED_VALUE"""),"He wants to use Pokkerio's powers to become a millionaire.")</f>
        <v>He wants to use Pokkerio's powers to become a millionaire.</v>
      </c>
      <c r="O886" s="42"/>
      <c r="P886" s="42"/>
      <c r="Q886" s="42"/>
      <c r="R886" s="42"/>
      <c r="S886" s="42"/>
      <c r="T886" s="42"/>
      <c r="U886" s="42"/>
      <c r="V886" s="42"/>
      <c r="W886" s="42"/>
      <c r="X886" s="42"/>
      <c r="Y886" s="42"/>
      <c r="Z886" s="42"/>
    </row>
    <row r="887">
      <c r="A887" s="41" t="str">
        <f>IFERROR(__xludf.DUMMYFUNCTION("""COMPUTED_VALUE"""),"P-015")</f>
        <v>P-015</v>
      </c>
      <c r="B887" s="42" t="str">
        <f>IFERROR(__xludf.DUMMYFUNCTION("""COMPUTED_VALUE"""),"Partner")</f>
        <v>Partner</v>
      </c>
      <c r="C887" s="42" t="str">
        <f>IFERROR(__xludf.DUMMYFUNCTION("""COMPUTED_VALUE"""),"Ruku")</f>
        <v>Ruku</v>
      </c>
      <c r="D887" s="42" t="str">
        <f>IFERROR(__xludf.DUMMYFUNCTION("""COMPUTED_VALUE"""),"Robnos")</f>
        <v>Robnos</v>
      </c>
      <c r="E887" s="42" t="str">
        <f>IFERROR(__xludf.DUMMYFUNCTION("""COMPUTED_VALUE"""),"-")</f>
        <v>-</v>
      </c>
      <c r="F887" s="42" t="str">
        <f>IFERROR(__xludf.DUMMYFUNCTION("""COMPUTED_VALUE"""),"-")</f>
        <v>-</v>
      </c>
      <c r="G887" s="42" t="str">
        <f>IFERROR(__xludf.DUMMYFUNCTION("""COMPUTED_VALUE"""),"None")</f>
        <v>None</v>
      </c>
      <c r="H887" s="42" t="str">
        <f>IFERROR(__xludf.DUMMYFUNCTION("""COMPUTED_VALUE"""),"-")</f>
        <v>-</v>
      </c>
      <c r="I887" s="43" t="str">
        <f>IFERROR(__xludf.DUMMYFUNCTION("""COMPUTED_VALUE"""),"[SEND THIS CARD TO THE DISCARD PILE] [STANDBY] After applying this effect, only once during this turn (per player), you can play 1 Biraitsu SPELL card from any page of your Spell Book.")</f>
        <v>[SEND THIS CARD TO THE DISCARD PILE] [STANDBY] After applying this effect, only once during this turn (per player), you can play 1 Biraitsu SPELL card from any page of your Spell Book.</v>
      </c>
      <c r="J887" s="42" t="str">
        <f>IFERROR(__xludf.DUMMYFUNCTION("""COMPUTED_VALUE"""),"-")</f>
        <v>-</v>
      </c>
      <c r="K887" s="42" t="str">
        <f>IFERROR(__xludf.DUMMYFUNCTION("""COMPUTED_VALUE"""),"-")</f>
        <v>-</v>
      </c>
      <c r="L887" s="42" t="str">
        <f>IFERROR(__xludf.DUMMYFUNCTION("""COMPUTED_VALUE"""),"Series 1, Level 2, The Best Booster 1")</f>
        <v>Series 1, Level 2, The Best Booster 1</v>
      </c>
      <c r="M887" s="42" t="str">
        <f>IFERROR(__xludf.DUMMYFUNCTION("""COMPUTED_VALUE"""),"[U]")</f>
        <v>[U]</v>
      </c>
      <c r="N887" s="42" t="str">
        <f>IFERROR(__xludf.DUMMYFUNCTION("""COMPUTED_VALUE"""),"He acts like a bully, but he's actually a wimp.")</f>
        <v>He acts like a bully, but he's actually a wimp.</v>
      </c>
      <c r="O887" s="42"/>
      <c r="P887" s="42"/>
      <c r="Q887" s="42"/>
      <c r="R887" s="42"/>
      <c r="S887" s="42"/>
      <c r="T887" s="42"/>
      <c r="U887" s="42"/>
      <c r="V887" s="42"/>
      <c r="W887" s="42"/>
      <c r="X887" s="42"/>
      <c r="Y887" s="42"/>
      <c r="Z887" s="42"/>
    </row>
    <row r="888">
      <c r="A888" s="41" t="str">
        <f>IFERROR(__xludf.DUMMYFUNCTION("""COMPUTED_VALUE"""),"P-016")</f>
        <v>P-016</v>
      </c>
      <c r="B888" s="42" t="str">
        <f>IFERROR(__xludf.DUMMYFUNCTION("""COMPUTED_VALUE"""),"Partner")</f>
        <v>Partner</v>
      </c>
      <c r="C888" s="42" t="str">
        <f>IFERROR(__xludf.DUMMYFUNCTION("""COMPUTED_VALUE"""),"Rembrant")</f>
        <v>Rembrant</v>
      </c>
      <c r="D888" s="42" t="str">
        <f>IFERROR(__xludf.DUMMYFUNCTION("""COMPUTED_VALUE"""),"Maruss")</f>
        <v>Maruss</v>
      </c>
      <c r="E888" s="42" t="str">
        <f>IFERROR(__xludf.DUMMYFUNCTION("""COMPUTED_VALUE"""),"-")</f>
        <v>-</v>
      </c>
      <c r="F888" s="42" t="str">
        <f>IFERROR(__xludf.DUMMYFUNCTION("""COMPUTED_VALUE"""),"-")</f>
        <v>-</v>
      </c>
      <c r="G888" s="42" t="str">
        <f>IFERROR(__xludf.DUMMYFUNCTION("""COMPUTED_VALUE"""),"None")</f>
        <v>None</v>
      </c>
      <c r="H888" s="42" t="str">
        <f>IFERROR(__xludf.DUMMYFUNCTION("""COMPUTED_VALUE"""),"-")</f>
        <v>-</v>
      </c>
      <c r="I888" s="43" t="str">
        <f>IFERROR(__xludf.DUMMYFUNCTION("""COMPUTED_VALUE"""),"[SEND THIS CARD TO THE DISCARD PILE] Negate the SPELL card your opponent Attacked with in the Battle.")</f>
        <v>[SEND THIS CARD TO THE DISCARD PILE] Negate the SPELL card your opponent Attacked with in the Battle.</v>
      </c>
      <c r="J888" s="42" t="str">
        <f>IFERROR(__xludf.DUMMYFUNCTION("""COMPUTED_VALUE"""),"-")</f>
        <v>-</v>
      </c>
      <c r="K888" s="42" t="str">
        <f>IFERROR(__xludf.DUMMYFUNCTION("""COMPUTED_VALUE"""),"-")</f>
        <v>-</v>
      </c>
      <c r="L888" s="42" t="str">
        <f>IFERROR(__xludf.DUMMYFUNCTION("""COMPUTED_VALUE"""),"Series 1, Level 2, The Best Booster 1, Revised Edition")</f>
        <v>Series 1, Level 2, The Best Booster 1, Revised Edition</v>
      </c>
      <c r="M888" s="42" t="str">
        <f>IFERROR(__xludf.DUMMYFUNCTION("""COMPUTED_VALUE"""),"[C]")</f>
        <v>[C]</v>
      </c>
      <c r="N888" s="42" t="str">
        <f>IFERROR(__xludf.DUMMYFUNCTION("""COMPUTED_VALUE"""),"He enjoys the cruelty of battle just as much as Maruss.")</f>
        <v>He enjoys the cruelty of battle just as much as Maruss.</v>
      </c>
      <c r="O888" s="42"/>
      <c r="P888" s="42"/>
      <c r="Q888" s="42"/>
      <c r="R888" s="42"/>
      <c r="S888" s="42"/>
      <c r="T888" s="42"/>
      <c r="U888" s="42"/>
      <c r="V888" s="42"/>
      <c r="W888" s="42"/>
      <c r="X888" s="42"/>
      <c r="Y888" s="42"/>
      <c r="Z888" s="42"/>
    </row>
    <row r="889">
      <c r="A889" s="41" t="str">
        <f>IFERROR(__xludf.DUMMYFUNCTION("""COMPUTED_VALUE"""),"P-017")</f>
        <v>P-017</v>
      </c>
      <c r="B889" s="42" t="str">
        <f>IFERROR(__xludf.DUMMYFUNCTION("""COMPUTED_VALUE"""),"Partner")</f>
        <v>Partner</v>
      </c>
      <c r="C889" s="42" t="str">
        <f>IFERROR(__xludf.DUMMYFUNCTION("""COMPUTED_VALUE"""),"Steng")</f>
        <v>Steng</v>
      </c>
      <c r="D889" s="42" t="str">
        <f>IFERROR(__xludf.DUMMYFUNCTION("""COMPUTED_VALUE"""),"Baltro")</f>
        <v>Baltro</v>
      </c>
      <c r="E889" s="42" t="str">
        <f>IFERROR(__xludf.DUMMYFUNCTION("""COMPUTED_VALUE"""),"-")</f>
        <v>-</v>
      </c>
      <c r="F889" s="42" t="str">
        <f>IFERROR(__xludf.DUMMYFUNCTION("""COMPUTED_VALUE"""),"-")</f>
        <v>-</v>
      </c>
      <c r="G889" s="42" t="str">
        <f>IFERROR(__xludf.DUMMYFUNCTION("""COMPUTED_VALUE"""),"None")</f>
        <v>None</v>
      </c>
      <c r="H889" s="42" t="str">
        <f>IFERROR(__xludf.DUMMYFUNCTION("""COMPUTED_VALUE"""),"-")</f>
        <v>-</v>
      </c>
      <c r="I889" s="43" t="str">
        <f>IFERROR(__xludf.DUMMYFUNCTION("""COMPUTED_VALUE"""),"[SEND THIS CARD TO THE DISCARD PILE] Negate the SPELL card your opponent Defended with in the Battle.")</f>
        <v>[SEND THIS CARD TO THE DISCARD PILE] Negate the SPELL card your opponent Defended with in the Battle.</v>
      </c>
      <c r="J889" s="42" t="str">
        <f>IFERROR(__xludf.DUMMYFUNCTION("""COMPUTED_VALUE"""),"-")</f>
        <v>-</v>
      </c>
      <c r="K889" s="42" t="str">
        <f>IFERROR(__xludf.DUMMYFUNCTION("""COMPUTED_VALUE"""),"-")</f>
        <v>-</v>
      </c>
      <c r="L889" s="42" t="str">
        <f>IFERROR(__xludf.DUMMYFUNCTION("""COMPUTED_VALUE"""),"Series 1, Level 2")</f>
        <v>Series 1, Level 2</v>
      </c>
      <c r="M889" s="42" t="str">
        <f>IFERROR(__xludf.DUMMYFUNCTION("""COMPUTED_VALUE"""),"[C]")</f>
        <v>[C]</v>
      </c>
      <c r="N889" s="42" t="str">
        <f>IFERROR(__xludf.DUMMYFUNCTION("""COMPUTED_VALUE"""),"""Hahaha...this is a great snack to go with my drink.""")</f>
        <v>"Hahaha...this is a great snack to go with my drink."</v>
      </c>
      <c r="O889" s="42"/>
      <c r="P889" s="42"/>
      <c r="Q889" s="42"/>
      <c r="R889" s="42"/>
      <c r="S889" s="42"/>
      <c r="T889" s="42"/>
      <c r="U889" s="42"/>
      <c r="V889" s="42"/>
      <c r="W889" s="42"/>
      <c r="X889" s="42"/>
      <c r="Y889" s="42"/>
      <c r="Z889" s="42"/>
    </row>
    <row r="890">
      <c r="A890" s="41" t="str">
        <f>IFERROR(__xludf.DUMMYFUNCTION("""COMPUTED_VALUE"""),"P-018")</f>
        <v>P-018</v>
      </c>
      <c r="B890" s="42" t="str">
        <f>IFERROR(__xludf.DUMMYFUNCTION("""COMPUTED_VALUE"""),"Partner")</f>
        <v>Partner</v>
      </c>
      <c r="C890" s="42" t="str">
        <f>IFERROR(__xludf.DUMMYFUNCTION("""COMPUTED_VALUE"""),"Djem")</f>
        <v>Djem</v>
      </c>
      <c r="D890" s="42" t="str">
        <f>IFERROR(__xludf.DUMMYFUNCTION("""COMPUTED_VALUE"""),"Yopopo")</f>
        <v>Yopopo</v>
      </c>
      <c r="E890" s="42" t="str">
        <f>IFERROR(__xludf.DUMMYFUNCTION("""COMPUTED_VALUE"""),"-")</f>
        <v>-</v>
      </c>
      <c r="F890" s="42" t="str">
        <f>IFERROR(__xludf.DUMMYFUNCTION("""COMPUTED_VALUE"""),"-")</f>
        <v>-</v>
      </c>
      <c r="G890" s="42" t="str">
        <f>IFERROR(__xludf.DUMMYFUNCTION("""COMPUTED_VALUE"""),"None")</f>
        <v>None</v>
      </c>
      <c r="H890" s="42" t="str">
        <f>IFERROR(__xludf.DUMMYFUNCTION("""COMPUTED_VALUE"""),"-")</f>
        <v>-</v>
      </c>
      <c r="I890" s="43" t="str">
        <f>IFERROR(__xludf.DUMMYFUNCTION("""COMPUTED_VALUE"""),"[SEND THIS CARD TO THE DISCARD PILE] Turn back 1 page of your Spell Book. Effects that turn back pages of your Spell Book can be applied only once per turn (per player).")</f>
        <v>[SEND THIS CARD TO THE DISCARD PILE] Turn back 1 page of your Spell Book. Effects that turn back pages of your Spell Book can be applied only once per turn (per player).</v>
      </c>
      <c r="J890" s="42" t="str">
        <f>IFERROR(__xludf.DUMMYFUNCTION("""COMPUTED_VALUE"""),"-")</f>
        <v>-</v>
      </c>
      <c r="K890" s="42" t="str">
        <f>IFERROR(__xludf.DUMMYFUNCTION("""COMPUTED_VALUE"""),"-")</f>
        <v>-</v>
      </c>
      <c r="L890" s="42" t="str">
        <f>IFERROR(__xludf.DUMMYFUNCTION("""COMPUTED_VALUE"""),"Series 1, Level 2, The Best Booster 2, Revised Edition")</f>
        <v>Series 1, Level 2, The Best Booster 2, Revised Edition</v>
      </c>
      <c r="M890" s="42" t="str">
        <f>IFERROR(__xludf.DUMMYFUNCTION("""COMPUTED_VALUE"""),"[R]")</f>
        <v>[R]</v>
      </c>
      <c r="N890" s="42" t="str">
        <f>IFERROR(__xludf.DUMMYFUNCTION("""COMPUTED_VALUE"""),"She is a tomboy that lives in a small village in England.")</f>
        <v>She is a tomboy that lives in a small village in England.</v>
      </c>
      <c r="O890" s="42"/>
      <c r="P890" s="42"/>
      <c r="Q890" s="42"/>
      <c r="R890" s="42"/>
      <c r="S890" s="42"/>
      <c r="T890" s="42"/>
      <c r="U890" s="42"/>
      <c r="V890" s="42"/>
      <c r="W890" s="42"/>
      <c r="X890" s="42"/>
      <c r="Y890" s="42"/>
      <c r="Z890" s="42"/>
    </row>
    <row r="891">
      <c r="A891" s="41" t="str">
        <f>IFERROR(__xludf.DUMMYFUNCTION("""COMPUTED_VALUE"""),"P-019")</f>
        <v>P-019</v>
      </c>
      <c r="B891" s="42" t="str">
        <f>IFERROR(__xludf.DUMMYFUNCTION("""COMPUTED_VALUE"""),"Partner")</f>
        <v>Partner</v>
      </c>
      <c r="C891" s="42" t="str">
        <f>IFERROR(__xludf.DUMMYFUNCTION("""COMPUTED_VALUE"""),"British Gentleman")</f>
        <v>British Gentleman</v>
      </c>
      <c r="D891" s="42" t="str">
        <f>IFERROR(__xludf.DUMMYFUNCTION("""COMPUTED_VALUE"""),"Kikuropu")</f>
        <v>Kikuropu</v>
      </c>
      <c r="E891" s="42" t="str">
        <f>IFERROR(__xludf.DUMMYFUNCTION("""COMPUTED_VALUE"""),"-")</f>
        <v>-</v>
      </c>
      <c r="F891" s="42" t="str">
        <f>IFERROR(__xludf.DUMMYFUNCTION("""COMPUTED_VALUE"""),"-")</f>
        <v>-</v>
      </c>
      <c r="G891" s="42" t="str">
        <f>IFERROR(__xludf.DUMMYFUNCTION("""COMPUTED_VALUE"""),"None")</f>
        <v>None</v>
      </c>
      <c r="H891" s="42" t="str">
        <f>IFERROR(__xludf.DUMMYFUNCTION("""COMPUTED_VALUE"""),"-")</f>
        <v>-</v>
      </c>
      <c r="I891" s="43" t="str">
        <f>IFERROR(__xludf.DUMMYFUNCTION("""COMPUTED_VALUE"""),"[IN PLAY] Each time your opponent turns back any pages of their Spell Book, reduce your opponent's MP by 2.")</f>
        <v>[IN PLAY] Each time your opponent turns back any pages of their Spell Book, reduce your opponent's MP by 2.</v>
      </c>
      <c r="J891" s="42" t="str">
        <f>IFERROR(__xludf.DUMMYFUNCTION("""COMPUTED_VALUE"""),"-")</f>
        <v>-</v>
      </c>
      <c r="K891" s="42" t="str">
        <f>IFERROR(__xludf.DUMMYFUNCTION("""COMPUTED_VALUE"""),"-")</f>
        <v>-</v>
      </c>
      <c r="L891" s="42" t="str">
        <f>IFERROR(__xludf.DUMMYFUNCTION("""COMPUTED_VALUE"""),"Series 1, Level 2")</f>
        <v>Series 1, Level 2</v>
      </c>
      <c r="M891" s="42" t="str">
        <f>IFERROR(__xludf.DUMMYFUNCTION("""COMPUTED_VALUE"""),"[C]")</f>
        <v>[C]</v>
      </c>
      <c r="N891" s="42" t="str">
        <f>IFERROR(__xludf.DUMMYFUNCTION("""COMPUTED_VALUE"""),"""As a British gentleman, I will teach you some manners.""")</f>
        <v>"As a British gentleman, I will teach you some manners."</v>
      </c>
      <c r="O891" s="42"/>
      <c r="P891" s="42"/>
      <c r="Q891" s="42"/>
      <c r="R891" s="42"/>
      <c r="S891" s="42"/>
      <c r="T891" s="42"/>
      <c r="U891" s="42"/>
      <c r="V891" s="42"/>
      <c r="W891" s="42"/>
      <c r="X891" s="42"/>
      <c r="Y891" s="42"/>
      <c r="Z891" s="42"/>
    </row>
    <row r="892">
      <c r="A892" s="41" t="str">
        <f>IFERROR(__xludf.DUMMYFUNCTION("""COMPUTED_VALUE"""),"P-020")</f>
        <v>P-020</v>
      </c>
      <c r="B892" s="42" t="str">
        <f>IFERROR(__xludf.DUMMYFUNCTION("""COMPUTED_VALUE"""),"Partner")</f>
        <v>Partner</v>
      </c>
      <c r="C892" s="42" t="str">
        <f>IFERROR(__xludf.DUMMYFUNCTION("""COMPUTED_VALUE"""),"Kiyo Takamine")</f>
        <v>Kiyo Takamine</v>
      </c>
      <c r="D892" s="42" t="str">
        <f>IFERROR(__xludf.DUMMYFUNCTION("""COMPUTED_VALUE"""),"Zatch Bell")</f>
        <v>Zatch Bell</v>
      </c>
      <c r="E892" s="42" t="str">
        <f>IFERROR(__xludf.DUMMYFUNCTION("""COMPUTED_VALUE"""),"-")</f>
        <v>-</v>
      </c>
      <c r="F892" s="42" t="str">
        <f>IFERROR(__xludf.DUMMYFUNCTION("""COMPUTED_VALUE"""),"-")</f>
        <v>-</v>
      </c>
      <c r="G892" s="42" t="str">
        <f>IFERROR(__xludf.DUMMYFUNCTION("""COMPUTED_VALUE"""),"None")</f>
        <v>None</v>
      </c>
      <c r="H892" s="42" t="str">
        <f>IFERROR(__xludf.DUMMYFUNCTION("""COMPUTED_VALUE"""),"-")</f>
        <v>-</v>
      </c>
      <c r="I892" s="43" t="str">
        <f>IFERROR(__xludf.DUMMYFUNCTION("""COMPUTED_VALUE"""),"[IN PLAY] Apply both of the following effects: ● Your opponent cannot reduce your MP with their card effects during the BATTLE PHASE. ● You cannot get MP with your card effects during the BATTLE PHASE. ※ With 1 Action, you can send this card to the Discar"&amp;"d Pile at any time.")</f>
        <v>[IN PLAY] Apply both of the following effects: ● Your opponent cannot reduce your MP with their card effects during the BATTLE PHASE. ● You cannot get MP with your card effects during the BATTLE PHASE. ※ With 1 Action, you can send this card to the Discard Pile at any time.</v>
      </c>
      <c r="J892" s="42" t="str">
        <f>IFERROR(__xludf.DUMMYFUNCTION("""COMPUTED_VALUE"""),"-")</f>
        <v>-</v>
      </c>
      <c r="K892" s="42" t="str">
        <f>IFERROR(__xludf.DUMMYFUNCTION("""COMPUTED_VALUE"""),"-")</f>
        <v>-</v>
      </c>
      <c r="L892" s="42" t="str">
        <f>IFERROR(__xludf.DUMMYFUNCTION("""COMPUTED_VALUE"""),"Supreme Power of the Golden Spell, Series 2, Level 3, The Best Booster 2, File 1: Zatch Bell &amp; Ponygon")</f>
        <v>Supreme Power of the Golden Spell, Series 2, Level 3, The Best Booster 2, File 1: Zatch Bell &amp; Ponygon</v>
      </c>
      <c r="M892" s="42" t="str">
        <f>IFERROR(__xludf.DUMMYFUNCTION("""COMPUTED_VALUE"""),"[C]")</f>
        <v>[C]</v>
      </c>
      <c r="N892" s="42" t="str">
        <f>IFERROR(__xludf.DUMMYFUNCTION("""COMPUTED_VALUE"""),"""My desire to make Zatch a King is unrivaled.""")</f>
        <v>"My desire to make Zatch a King is unrivaled."</v>
      </c>
      <c r="O892" s="42"/>
      <c r="P892" s="42"/>
      <c r="Q892" s="42"/>
      <c r="R892" s="42"/>
      <c r="S892" s="42"/>
      <c r="T892" s="42"/>
      <c r="U892" s="42"/>
      <c r="V892" s="42"/>
      <c r="W892" s="42"/>
      <c r="X892" s="42"/>
      <c r="Y892" s="42"/>
      <c r="Z892" s="42"/>
    </row>
    <row r="893">
      <c r="A893" s="41" t="str">
        <f>IFERROR(__xludf.DUMMYFUNCTION("""COMPUTED_VALUE"""),"P-021")</f>
        <v>P-021</v>
      </c>
      <c r="B893" s="42" t="str">
        <f>IFERROR(__xludf.DUMMYFUNCTION("""COMPUTED_VALUE"""),"Partner")</f>
        <v>Partner</v>
      </c>
      <c r="C893" s="42" t="str">
        <f>IFERROR(__xludf.DUMMYFUNCTION("""COMPUTED_VALUE"""),"Sherry")</f>
        <v>Sherry</v>
      </c>
      <c r="D893" s="42" t="str">
        <f>IFERROR(__xludf.DUMMYFUNCTION("""COMPUTED_VALUE"""),"Brago")</f>
        <v>Brago</v>
      </c>
      <c r="E893" s="42" t="str">
        <f>IFERROR(__xludf.DUMMYFUNCTION("""COMPUTED_VALUE"""),"-")</f>
        <v>-</v>
      </c>
      <c r="F893" s="42" t="str">
        <f>IFERROR(__xludf.DUMMYFUNCTION("""COMPUTED_VALUE"""),"-")</f>
        <v>-</v>
      </c>
      <c r="G893" s="42" t="str">
        <f>IFERROR(__xludf.DUMMYFUNCTION("""COMPUTED_VALUE"""),"None")</f>
        <v>None</v>
      </c>
      <c r="H893" s="42" t="str">
        <f>IFERROR(__xludf.DUMMYFUNCTION("""COMPUTED_VALUE"""),"-")</f>
        <v>-</v>
      </c>
      <c r="I893" s="43" t="str">
        <f>IFERROR(__xludf.DUMMYFUNCTION("""COMPUTED_VALUE"""),"[SEND THIS CARD TO THE DISCARD PILE] [STAY] Your MP cannot be reduced by your opponent's card effects during this turn.")</f>
        <v>[SEND THIS CARD TO THE DISCARD PILE] [STAY] Your MP cannot be reduced by your opponent's card effects during this turn.</v>
      </c>
      <c r="J893" s="42" t="str">
        <f>IFERROR(__xludf.DUMMYFUNCTION("""COMPUTED_VALUE"""),"-")</f>
        <v>-</v>
      </c>
      <c r="K893" s="42" t="str">
        <f>IFERROR(__xludf.DUMMYFUNCTION("""COMPUTED_VALUE"""),"-")</f>
        <v>-</v>
      </c>
      <c r="L893" s="42" t="str">
        <f>IFERROR(__xludf.DUMMYFUNCTION("""COMPUTED_VALUE"""),"Supreme Power of the Golden Spell, Series 2, Level 3")</f>
        <v>Supreme Power of the Golden Spell, Series 2, Level 3</v>
      </c>
      <c r="M893" s="42" t="str">
        <f>IFERROR(__xludf.DUMMYFUNCTION("""COMPUTED_VALUE"""),"[U]")</f>
        <v>[U]</v>
      </c>
      <c r="N893" s="42" t="str">
        <f>IFERROR(__xludf.DUMMYFUNCTION("""COMPUTED_VALUE"""),"""I can't be happy without you.""")</f>
        <v>"I can't be happy without you."</v>
      </c>
      <c r="O893" s="42"/>
      <c r="P893" s="42"/>
      <c r="Q893" s="42"/>
      <c r="R893" s="42"/>
      <c r="S893" s="42"/>
      <c r="T893" s="42"/>
      <c r="U893" s="42"/>
      <c r="V893" s="42"/>
      <c r="W893" s="42"/>
      <c r="X893" s="42"/>
      <c r="Y893" s="42"/>
      <c r="Z893" s="42"/>
    </row>
    <row r="894">
      <c r="A894" s="41" t="str">
        <f>IFERROR(__xludf.DUMMYFUNCTION("""COMPUTED_VALUE"""),"P-022")</f>
        <v>P-022</v>
      </c>
      <c r="B894" s="42" t="str">
        <f>IFERROR(__xludf.DUMMYFUNCTION("""COMPUTED_VALUE"""),"Partner")</f>
        <v>Partner</v>
      </c>
      <c r="C894" s="42" t="str">
        <f>IFERROR(__xludf.DUMMYFUNCTION("""COMPUTED_VALUE"""),"Gerhart")</f>
        <v>Gerhart</v>
      </c>
      <c r="D894" s="42" t="str">
        <f>IFERROR(__xludf.DUMMYFUNCTION("""COMPUTED_VALUE"""),"Furigaro")</f>
        <v>Furigaro</v>
      </c>
      <c r="E894" s="42" t="str">
        <f>IFERROR(__xludf.DUMMYFUNCTION("""COMPUTED_VALUE"""),"-")</f>
        <v>-</v>
      </c>
      <c r="F894" s="42" t="str">
        <f>IFERROR(__xludf.DUMMYFUNCTION("""COMPUTED_VALUE"""),"-")</f>
        <v>-</v>
      </c>
      <c r="G894" s="42" t="str">
        <f>IFERROR(__xludf.DUMMYFUNCTION("""COMPUTED_VALUE"""),"None")</f>
        <v>None</v>
      </c>
      <c r="H894" s="42" t="str">
        <f>IFERROR(__xludf.DUMMYFUNCTION("""COMPUTED_VALUE"""),"-")</f>
        <v>-</v>
      </c>
      <c r="I894" s="43" t="str">
        <f>IFERROR(__xludf.DUMMYFUNCTION("""COMPUTED_VALUE"""),"[SEND THIS CARD TO THE DISCARD PILE] [STANDBY] Select 1 of your opponent’s MAMODO cards. During the next Battle this turn when your Furigaro MAMODO card Attacks with a SPELL card, Injure the selected MAMODO card when you win the Battle as an Attacker with"&amp;" that SPELL card.")</f>
        <v>[SEND THIS CARD TO THE DISCARD PILE] [STANDBY] Select 1 of your opponent’s MAMODO cards. During the next Battle this turn when your Furigaro MAMODO card Attacks with a SPELL card, Injure the selected MAMODO card when you win the Battle as an Attacker with that SPELL card.</v>
      </c>
      <c r="J894" s="42" t="str">
        <f>IFERROR(__xludf.DUMMYFUNCTION("""COMPUTED_VALUE"""),"-")</f>
        <v>-</v>
      </c>
      <c r="K894" s="42" t="str">
        <f>IFERROR(__xludf.DUMMYFUNCTION("""COMPUTED_VALUE"""),"-")</f>
        <v>-</v>
      </c>
      <c r="L894" s="42" t="str">
        <f>IFERROR(__xludf.DUMMYFUNCTION("""COMPUTED_VALUE"""),"The Gathering Storm, Series 3, Level 3")</f>
        <v>The Gathering Storm, Series 3, Level 3</v>
      </c>
      <c r="M894" s="42" t="str">
        <f>IFERROR(__xludf.DUMMYFUNCTION("""COMPUTED_VALUE"""),"[C]")</f>
        <v>[C]</v>
      </c>
      <c r="N894" s="42" t="str">
        <f>IFERROR(__xludf.DUMMYFUNCTION("""COMPUTED_VALUE"""),"Furigaro's human partner from Germany, his spell is strong enough to injure Brago.")</f>
        <v>Furigaro's human partner from Germany, his spell is strong enough to injure Brago.</v>
      </c>
      <c r="O894" s="42"/>
      <c r="P894" s="42"/>
      <c r="Q894" s="42"/>
      <c r="R894" s="42"/>
      <c r="S894" s="42"/>
      <c r="T894" s="42"/>
      <c r="U894" s="42"/>
      <c r="V894" s="42"/>
      <c r="W894" s="42"/>
      <c r="X894" s="42"/>
      <c r="Y894" s="42"/>
      <c r="Z894" s="42"/>
    </row>
    <row r="895">
      <c r="A895" s="41" t="str">
        <f>IFERROR(__xludf.DUMMYFUNCTION("""COMPUTED_VALUE"""),"P-023")</f>
        <v>P-023</v>
      </c>
      <c r="B895" s="42" t="str">
        <f>IFERROR(__xludf.DUMMYFUNCTION("""COMPUTED_VALUE"""),"Partner")</f>
        <v>Partner</v>
      </c>
      <c r="C895" s="42" t="str">
        <f>IFERROR(__xludf.DUMMYFUNCTION("""COMPUTED_VALUE"""),"Shin")</f>
        <v>Shin</v>
      </c>
      <c r="D895" s="42" t="str">
        <f>IFERROR(__xludf.DUMMYFUNCTION("""COMPUTED_VALUE"""),"Eshros")</f>
        <v>Eshros</v>
      </c>
      <c r="E895" s="42" t="str">
        <f>IFERROR(__xludf.DUMMYFUNCTION("""COMPUTED_VALUE"""),"-")</f>
        <v>-</v>
      </c>
      <c r="F895" s="42" t="str">
        <f>IFERROR(__xludf.DUMMYFUNCTION("""COMPUTED_VALUE"""),"-")</f>
        <v>-</v>
      </c>
      <c r="G895" s="42" t="str">
        <f>IFERROR(__xludf.DUMMYFUNCTION("""COMPUTED_VALUE"""),"None")</f>
        <v>None</v>
      </c>
      <c r="H895" s="42" t="str">
        <f>IFERROR(__xludf.DUMMYFUNCTION("""COMPUTED_VALUE"""),"-")</f>
        <v>-</v>
      </c>
      <c r="I895" s="43" t="str">
        <f>IFERROR(__xludf.DUMMYFUNCTION("""COMPUTED_VALUE"""),"[SEND THIS CARD TO THE DISCARD PILE] Apply both of the following effects in order: ● Get 2 MP. ● [STANDBY] In the next Battle this turn, add 2000 Power to 1 SPELL card played for your Eshros MAMODO card.")</f>
        <v>[SEND THIS CARD TO THE DISCARD PILE] Apply both of the following effects in order: ● Get 2 MP. ● [STANDBY] In the next Battle this turn, add 2000 Power to 1 SPELL card played for your Eshros MAMODO card.</v>
      </c>
      <c r="J895" s="42" t="str">
        <f>IFERROR(__xludf.DUMMYFUNCTION("""COMPUTED_VALUE"""),"-")</f>
        <v>-</v>
      </c>
      <c r="K895" s="42" t="str">
        <f>IFERROR(__xludf.DUMMYFUNCTION("""COMPUTED_VALUE"""),"-")</f>
        <v>-</v>
      </c>
      <c r="L895" s="42" t="str">
        <f>IFERROR(__xludf.DUMMYFUNCTION("""COMPUTED_VALUE"""),"Supreme Power of the Golden Spell, Series 2, Level 3")</f>
        <v>Supreme Power of the Golden Spell, Series 2, Level 3</v>
      </c>
      <c r="M895" s="42" t="str">
        <f>IFERROR(__xludf.DUMMYFUNCTION("""COMPUTED_VALUE"""),"[R]")</f>
        <v>[R]</v>
      </c>
      <c r="N895" s="42" t="str">
        <f>IFERROR(__xludf.DUMMYFUNCTION("""COMPUTED_VALUE"""),"""I want to be a strong man!""")</f>
        <v>"I want to be a strong man!"</v>
      </c>
      <c r="O895" s="42"/>
      <c r="P895" s="42"/>
      <c r="Q895" s="42"/>
      <c r="R895" s="42"/>
      <c r="S895" s="42"/>
      <c r="T895" s="42"/>
      <c r="U895" s="42"/>
      <c r="V895" s="42"/>
      <c r="W895" s="42"/>
      <c r="X895" s="42"/>
      <c r="Y895" s="42"/>
      <c r="Z895" s="42"/>
    </row>
    <row r="896">
      <c r="A896" s="41" t="str">
        <f>IFERROR(__xludf.DUMMYFUNCTION("""COMPUTED_VALUE"""),"P-024")</f>
        <v>P-024</v>
      </c>
      <c r="B896" s="42" t="str">
        <f>IFERROR(__xludf.DUMMYFUNCTION("""COMPUTED_VALUE"""),"Partner")</f>
        <v>Partner</v>
      </c>
      <c r="C896" s="42" t="str">
        <f>IFERROR(__xludf.DUMMYFUNCTION("""COMPUTED_VALUE"""),"Apollo")</f>
        <v>Apollo</v>
      </c>
      <c r="D896" s="42" t="str">
        <f>IFERROR(__xludf.DUMMYFUNCTION("""COMPUTED_VALUE"""),"Rops")</f>
        <v>Rops</v>
      </c>
      <c r="E896" s="42" t="str">
        <f>IFERROR(__xludf.DUMMYFUNCTION("""COMPUTED_VALUE"""),"-")</f>
        <v>-</v>
      </c>
      <c r="F896" s="42" t="str">
        <f>IFERROR(__xludf.DUMMYFUNCTION("""COMPUTED_VALUE"""),"-")</f>
        <v>-</v>
      </c>
      <c r="G896" s="42" t="str">
        <f>IFERROR(__xludf.DUMMYFUNCTION("""COMPUTED_VALUE"""),"None")</f>
        <v>None</v>
      </c>
      <c r="H896" s="42" t="str">
        <f>IFERROR(__xludf.DUMMYFUNCTION("""COMPUTED_VALUE"""),"-")</f>
        <v>-</v>
      </c>
      <c r="I896" s="43" t="str">
        <f>IFERROR(__xludf.DUMMYFUNCTION("""COMPUTED_VALUE"""),"[IN PLAY] Your opponent shows you the currently open pages of their Spell Book.")</f>
        <v>[IN PLAY] Your opponent shows you the currently open pages of their Spell Book.</v>
      </c>
      <c r="J896" s="42" t="str">
        <f>IFERROR(__xludf.DUMMYFUNCTION("""COMPUTED_VALUE"""),"-")</f>
        <v>-</v>
      </c>
      <c r="K896" s="42" t="str">
        <f>IFERROR(__xludf.DUMMYFUNCTION("""COMPUTED_VALUE"""),"-")</f>
        <v>-</v>
      </c>
      <c r="L896" s="42" t="str">
        <f>IFERROR(__xludf.DUMMYFUNCTION("""COMPUTED_VALUE"""),"Supreme Power of the Golden Spell, Series 2, Level 3, The Best Booster 1")</f>
        <v>Supreme Power of the Golden Spell, Series 2, Level 3, The Best Booster 1</v>
      </c>
      <c r="M896" s="42" t="str">
        <f>IFERROR(__xludf.DUMMYFUNCTION("""COMPUTED_VALUE"""),"[R]")</f>
        <v>[R]</v>
      </c>
      <c r="N896" s="42" t="str">
        <f>IFERROR(__xludf.DUMMYFUNCTION("""COMPUTED_VALUE"""),"""Rops, let's become king.""")</f>
        <v>"Rops, let's become king."</v>
      </c>
      <c r="O896" s="42"/>
      <c r="P896" s="42"/>
      <c r="Q896" s="42"/>
      <c r="R896" s="42"/>
      <c r="S896" s="42"/>
      <c r="T896" s="42"/>
      <c r="U896" s="42"/>
      <c r="V896" s="42"/>
      <c r="W896" s="42"/>
      <c r="X896" s="42"/>
      <c r="Y896" s="42"/>
      <c r="Z896" s="42"/>
    </row>
    <row r="897">
      <c r="A897" s="41" t="str">
        <f>IFERROR(__xludf.DUMMYFUNCTION("""COMPUTED_VALUE"""),"P-025e")</f>
        <v>P-025e</v>
      </c>
      <c r="B897" s="42" t="str">
        <f>IFERROR(__xludf.DUMMYFUNCTION("""COMPUTED_VALUE"""),"Partner")</f>
        <v>Partner</v>
      </c>
      <c r="C897" s="42" t="str">
        <f>IFERROR(__xludf.DUMMYFUNCTION("""COMPUTED_VALUE"""),"Mr. Goldo")</f>
        <v>Mr. Goldo</v>
      </c>
      <c r="D897" s="42" t="str">
        <f>IFERROR(__xludf.DUMMYFUNCTION("""COMPUTED_VALUE"""),"Danny")</f>
        <v>Danny</v>
      </c>
      <c r="E897" s="42" t="str">
        <f>IFERROR(__xludf.DUMMYFUNCTION("""COMPUTED_VALUE"""),"-")</f>
        <v>-</v>
      </c>
      <c r="F897" s="42" t="str">
        <f>IFERROR(__xludf.DUMMYFUNCTION("""COMPUTED_VALUE"""),"-")</f>
        <v>-</v>
      </c>
      <c r="G897" s="42" t="str">
        <f>IFERROR(__xludf.DUMMYFUNCTION("""COMPUTED_VALUE"""),"None")</f>
        <v>None</v>
      </c>
      <c r="H897" s="42" t="str">
        <f>IFERROR(__xludf.DUMMYFUNCTION("""COMPUTED_VALUE"""),"-")</f>
        <v>-</v>
      </c>
      <c r="I897" s="43" t="str">
        <f>IFERROR(__xludf.DUMMYFUNCTION("""COMPUTED_VALUE"""),"[SEND THIS CARD TO THE DISCARD PILE] [STANDBY] 1 Jioruk SPELL card can be played from any page of your Spell Book during this turn.")</f>
        <v>[SEND THIS CARD TO THE DISCARD PILE] [STANDBY] 1 Jioruk SPELL card can be played from any page of your Spell Book during this turn.</v>
      </c>
      <c r="J897" s="42" t="str">
        <f>IFERROR(__xludf.DUMMYFUNCTION("""COMPUTED_VALUE"""),"-")</f>
        <v>-</v>
      </c>
      <c r="K897" s="42" t="str">
        <f>IFERROR(__xludf.DUMMYFUNCTION("""COMPUTED_VALUE"""),"-")</f>
        <v>-</v>
      </c>
      <c r="L897" s="42" t="str">
        <f>IFERROR(__xludf.DUMMYFUNCTION("""COMPUTED_VALUE"""),"Supreme Power of the Golden Spell, Series 2, Level 3")</f>
        <v>Supreme Power of the Golden Spell, Series 2, Level 3</v>
      </c>
      <c r="M897" s="42" t="str">
        <f>IFERROR(__xludf.DUMMYFUNCTION("""COMPUTED_VALUE"""),"[U]")</f>
        <v>[U]</v>
      </c>
      <c r="N897" s="42" t="str">
        <f>IFERROR(__xludf.DUMMYFUNCTION("""COMPUTED_VALUE"""),"""Stupid, Danny Boy!""")</f>
        <v>"Stupid, Danny Boy!"</v>
      </c>
      <c r="O897" s="42"/>
      <c r="P897" s="42"/>
      <c r="Q897" s="42"/>
      <c r="R897" s="42"/>
      <c r="S897" s="42"/>
      <c r="T897" s="42"/>
      <c r="U897" s="42"/>
      <c r="V897" s="42"/>
      <c r="W897" s="42"/>
      <c r="X897" s="42"/>
      <c r="Y897" s="42"/>
      <c r="Z897" s="42"/>
    </row>
    <row r="898">
      <c r="A898" s="41" t="str">
        <f>IFERROR(__xludf.DUMMYFUNCTION("""COMPUTED_VALUE"""),"P-025j")</f>
        <v>P-025j</v>
      </c>
      <c r="B898" s="42" t="str">
        <f>IFERROR(__xludf.DUMMYFUNCTION("""COMPUTED_VALUE"""),"Partner")</f>
        <v>Partner</v>
      </c>
      <c r="C898" s="42" t="str">
        <f>IFERROR(__xludf.DUMMYFUNCTION("""COMPUTED_VALUE"""),"Mr. Goldo")</f>
        <v>Mr. Goldo</v>
      </c>
      <c r="D898" s="42" t="str">
        <f>IFERROR(__xludf.DUMMYFUNCTION("""COMPUTED_VALUE"""),"Danny")</f>
        <v>Danny</v>
      </c>
      <c r="E898" s="42" t="str">
        <f>IFERROR(__xludf.DUMMYFUNCTION("""COMPUTED_VALUE"""),"-")</f>
        <v>-</v>
      </c>
      <c r="F898" s="42" t="str">
        <f>IFERROR(__xludf.DUMMYFUNCTION("""COMPUTED_VALUE"""),"-")</f>
        <v>-</v>
      </c>
      <c r="G898" s="42" t="str">
        <f>IFERROR(__xludf.DUMMYFUNCTION("""COMPUTED_VALUE"""),"None")</f>
        <v>None</v>
      </c>
      <c r="H898" s="42" t="str">
        <f>IFERROR(__xludf.DUMMYFUNCTION("""COMPUTED_VALUE"""),"-")</f>
        <v>-</v>
      </c>
      <c r="I898" s="43" t="str">
        <f>IFERROR(__xludf.DUMMYFUNCTION("""COMPUTED_VALUE"""),"[SEND THIS CARD TO THE DISCARD PILE] [STANDBY] 1 Jioruk SPELL card can be played from any page of your Spell Book during this turn.")</f>
        <v>[SEND THIS CARD TO THE DISCARD PILE] [STANDBY] 1 Jioruk SPELL card can be played from any page of your Spell Book during this turn.</v>
      </c>
      <c r="J898" s="42" t="str">
        <f>IFERROR(__xludf.DUMMYFUNCTION("""COMPUTED_VALUE"""),"-")</f>
        <v>-</v>
      </c>
      <c r="K898" s="42" t="str">
        <f>IFERROR(__xludf.DUMMYFUNCTION("""COMPUTED_VALUE"""),"-")</f>
        <v>-</v>
      </c>
      <c r="L898" s="42" t="str">
        <f>IFERROR(__xludf.DUMMYFUNCTION("""COMPUTED_VALUE"""),"Supreme Power of the Golden Spell, Series 2, Level 3")</f>
        <v>Supreme Power of the Golden Spell, Series 2, Level 3</v>
      </c>
      <c r="M898" s="42" t="str">
        <f>IFERROR(__xludf.DUMMYFUNCTION("""COMPUTED_VALUE"""),"[U]")</f>
        <v>[U]</v>
      </c>
      <c r="N898" s="42" t="str">
        <f>IFERROR(__xludf.DUMMYFUNCTION("""COMPUTED_VALUE"""),"""Stupid, Danny Boy!""")</f>
        <v>"Stupid, Danny Boy!"</v>
      </c>
      <c r="O898" s="42"/>
      <c r="P898" s="42"/>
      <c r="Q898" s="42"/>
      <c r="R898" s="42"/>
      <c r="S898" s="42"/>
      <c r="T898" s="42"/>
      <c r="U898" s="42"/>
      <c r="V898" s="42"/>
      <c r="W898" s="42"/>
      <c r="X898" s="42"/>
      <c r="Y898" s="42"/>
      <c r="Z898" s="42"/>
    </row>
    <row r="899">
      <c r="A899" s="41" t="str">
        <f>IFERROR(__xludf.DUMMYFUNCTION("""COMPUTED_VALUE"""),"P-026")</f>
        <v>P-026</v>
      </c>
      <c r="B899" s="42" t="str">
        <f>IFERROR(__xludf.DUMMYFUNCTION("""COMPUTED_VALUE"""),"Partner")</f>
        <v>Partner</v>
      </c>
      <c r="C899" s="42" t="str">
        <f>IFERROR(__xludf.DUMMYFUNCTION("""COMPUTED_VALUE"""),"Lupa")</f>
        <v>Lupa</v>
      </c>
      <c r="D899" s="42" t="str">
        <f>IFERROR(__xludf.DUMMYFUNCTION("""COMPUTED_VALUE"""),"Purio")</f>
        <v>Purio</v>
      </c>
      <c r="E899" s="42" t="str">
        <f>IFERROR(__xludf.DUMMYFUNCTION("""COMPUTED_VALUE"""),"-")</f>
        <v>-</v>
      </c>
      <c r="F899" s="42" t="str">
        <f>IFERROR(__xludf.DUMMYFUNCTION("""COMPUTED_VALUE"""),"-")</f>
        <v>-</v>
      </c>
      <c r="G899" s="42" t="str">
        <f>IFERROR(__xludf.DUMMYFUNCTION("""COMPUTED_VALUE"""),"None")</f>
        <v>None</v>
      </c>
      <c r="H899" s="42" t="str">
        <f>IFERROR(__xludf.DUMMYFUNCTION("""COMPUTED_VALUE"""),"-")</f>
        <v>-</v>
      </c>
      <c r="I899" s="43" t="str">
        <f>IFERROR(__xludf.DUMMYFUNCTION("""COMPUTED_VALUE"""),"[SEND THIS CARD TO THE DISCARD PILE] [STAY] Select 1 of your opponent's in-play MAMODO cards. During this turn, your opponent can neither SACRIFICE nor PROTECT their Spell Book from Damage with any other MAMODO cards they have in play except the selected "&amp;"MAMODO card.")</f>
        <v>[SEND THIS CARD TO THE DISCARD PILE] [STAY] Select 1 of your opponent's in-play MAMODO cards. During this turn, your opponent can neither SACRIFICE nor PROTECT their Spell Book from Damage with any other MAMODO cards they have in play except the selected MAMODO card.</v>
      </c>
      <c r="J899" s="42" t="str">
        <f>IFERROR(__xludf.DUMMYFUNCTION("""COMPUTED_VALUE"""),"-")</f>
        <v>-</v>
      </c>
      <c r="K899" s="42" t="str">
        <f>IFERROR(__xludf.DUMMYFUNCTION("""COMPUTED_VALUE"""),"-")</f>
        <v>-</v>
      </c>
      <c r="L899" s="42" t="str">
        <f>IFERROR(__xludf.DUMMYFUNCTION("""COMPUTED_VALUE"""),"Supreme Power of the Golden Spell, Series 2, Level 3, The Best Booster 1")</f>
        <v>Supreme Power of the Golden Spell, Series 2, Level 3, The Best Booster 1</v>
      </c>
      <c r="M899" s="42" t="str">
        <f>IFERROR(__xludf.DUMMYFUNCTION("""COMPUTED_VALUE"""),"[C]")</f>
        <v>[C]</v>
      </c>
      <c r="N899" s="42" t="str">
        <f>IFERROR(__xludf.DUMMYFUNCTION("""COMPUTED_VALUE"""),"""Hirururururu............""")</f>
        <v>"Hirururururu............"</v>
      </c>
      <c r="O899" s="42"/>
      <c r="P899" s="42"/>
      <c r="Q899" s="42"/>
      <c r="R899" s="42"/>
      <c r="S899" s="42"/>
      <c r="T899" s="42"/>
      <c r="U899" s="42"/>
      <c r="V899" s="42"/>
      <c r="W899" s="42"/>
      <c r="X899" s="42"/>
      <c r="Y899" s="42"/>
      <c r="Z899" s="42"/>
    </row>
    <row r="900">
      <c r="A900" s="41" t="str">
        <f>IFERROR(__xludf.DUMMYFUNCTION("""COMPUTED_VALUE"""),"P-027")</f>
        <v>P-027</v>
      </c>
      <c r="B900" s="42" t="str">
        <f>IFERROR(__xludf.DUMMYFUNCTION("""COMPUTED_VALUE"""),"Partner")</f>
        <v>Partner</v>
      </c>
      <c r="C900" s="42" t="str">
        <f>IFERROR(__xludf.DUMMYFUNCTION("""COMPUTED_VALUE"""),"Hige")</f>
        <v>Hige</v>
      </c>
      <c r="D900" s="42" t="str">
        <f>IFERROR(__xludf.DUMMYFUNCTION("""COMPUTED_VALUE"""),"Zoboron")</f>
        <v>Zoboron</v>
      </c>
      <c r="E900" s="42" t="str">
        <f>IFERROR(__xludf.DUMMYFUNCTION("""COMPUTED_VALUE"""),"-")</f>
        <v>-</v>
      </c>
      <c r="F900" s="42" t="str">
        <f>IFERROR(__xludf.DUMMYFUNCTION("""COMPUTED_VALUE"""),"-")</f>
        <v>-</v>
      </c>
      <c r="G900" s="42" t="str">
        <f>IFERROR(__xludf.DUMMYFUNCTION("""COMPUTED_VALUE"""),"None")</f>
        <v>None</v>
      </c>
      <c r="H900" s="42" t="str">
        <f>IFERROR(__xludf.DUMMYFUNCTION("""COMPUTED_VALUE"""),"-")</f>
        <v>-</v>
      </c>
      <c r="I900" s="43" t="str">
        <f>IFERROR(__xludf.DUMMYFUNCTION("""COMPUTED_VALUE"""),"[SEND THIS CARD TO THE DISCARD PILE] [STANDBY] Select 1 of your opponent's in-play MAMODO cards (except a Zoboron MAMODO card). When your Spell Book is about to receive Damage during the Battle, you can use the selected MAMODO card to SACRIFICE or PROTECT"&amp;" your Spell Book from Damage as it were your own.")</f>
        <v>[SEND THIS CARD TO THE DISCARD PILE] [STANDBY] Select 1 of your opponent's in-play MAMODO cards (except a Zoboron MAMODO card). When your Spell Book is about to receive Damage during the Battle, you can use the selected MAMODO card to SACRIFICE or PROTECT your Spell Book from Damage as it were your own.</v>
      </c>
      <c r="J900" s="42" t="str">
        <f>IFERROR(__xludf.DUMMYFUNCTION("""COMPUTED_VALUE"""),"-")</f>
        <v>-</v>
      </c>
      <c r="K900" s="42" t="str">
        <f>IFERROR(__xludf.DUMMYFUNCTION("""COMPUTED_VALUE"""),"-")</f>
        <v>-</v>
      </c>
      <c r="L900" s="42" t="str">
        <f>IFERROR(__xludf.DUMMYFUNCTION("""COMPUTED_VALUE"""),"Supreme Power of the Golden Spell, Series 2, Level 3, The Best Booster 1, Revised Edition")</f>
        <v>Supreme Power of the Golden Spell, Series 2, Level 3, The Best Booster 1, Revised Edition</v>
      </c>
      <c r="M900" s="42" t="str">
        <f>IFERROR(__xludf.DUMMYFUNCTION("""COMPUTED_VALUE"""),"[U]")</f>
        <v>[U]</v>
      </c>
      <c r="N900" s="42" t="str">
        <f>IFERROR(__xludf.DUMMYFUNCTION("""COMPUTED_VALUE"""),"""Finally, we've achieved the best combination!""")</f>
        <v>"Finally, we've achieved the best combination!"</v>
      </c>
      <c r="O900" s="42"/>
      <c r="P900" s="42"/>
      <c r="Q900" s="42"/>
      <c r="R900" s="42"/>
      <c r="S900" s="42"/>
      <c r="T900" s="42"/>
      <c r="U900" s="42"/>
      <c r="V900" s="42"/>
      <c r="W900" s="42"/>
      <c r="X900" s="42"/>
      <c r="Y900" s="42"/>
      <c r="Z900" s="42"/>
    </row>
    <row r="901">
      <c r="A901" s="41" t="str">
        <f>IFERROR(__xludf.DUMMYFUNCTION("""COMPUTED_VALUE"""),"P-028")</f>
        <v>P-028</v>
      </c>
      <c r="B901" s="42" t="str">
        <f>IFERROR(__xludf.DUMMYFUNCTION("""COMPUTED_VALUE"""),"Partner")</f>
        <v>Partner</v>
      </c>
      <c r="C901" s="42" t="str">
        <f>IFERROR(__xludf.DUMMYFUNCTION("""COMPUTED_VALUE"""),"Li-en")</f>
        <v>Li-en</v>
      </c>
      <c r="D901" s="42" t="str">
        <f>IFERROR(__xludf.DUMMYFUNCTION("""COMPUTED_VALUE"""),"Wonrei")</f>
        <v>Wonrei</v>
      </c>
      <c r="E901" s="42" t="str">
        <f>IFERROR(__xludf.DUMMYFUNCTION("""COMPUTED_VALUE"""),"-")</f>
        <v>-</v>
      </c>
      <c r="F901" s="42" t="str">
        <f>IFERROR(__xludf.DUMMYFUNCTION("""COMPUTED_VALUE"""),"-")</f>
        <v>-</v>
      </c>
      <c r="G901" s="42" t="str">
        <f>IFERROR(__xludf.DUMMYFUNCTION("""COMPUTED_VALUE"""),"None")</f>
        <v>None</v>
      </c>
      <c r="H901" s="42" t="str">
        <f>IFERROR(__xludf.DUMMYFUNCTION("""COMPUTED_VALUE"""),"-")</f>
        <v>-</v>
      </c>
      <c r="I901" s="43" t="str">
        <f>IFERROR(__xludf.DUMMYFUNCTION("""COMPUTED_VALUE"""),"[SEND THIS CARD TO THE DISCARD PILE] [STANDBY] Once during the Battle when your Wonrei MAMODO card would receive Damage or Injury, your Wonrei MAMODO card does not receive Damage or Injury.")</f>
        <v>[SEND THIS CARD TO THE DISCARD PILE] [STANDBY] Once during the Battle when your Wonrei MAMODO card would receive Damage or Injury, your Wonrei MAMODO card does not receive Damage or Injury.</v>
      </c>
      <c r="J901" s="42" t="str">
        <f>IFERROR(__xludf.DUMMYFUNCTION("""COMPUTED_VALUE"""),"-")</f>
        <v>-</v>
      </c>
      <c r="K901" s="42" t="str">
        <f>IFERROR(__xludf.DUMMYFUNCTION("""COMPUTED_VALUE"""),"-")</f>
        <v>-</v>
      </c>
      <c r="L901" s="42" t="str">
        <f>IFERROR(__xludf.DUMMYFUNCTION("""COMPUTED_VALUE"""),"Supreme Power of the Golden Spell, Series 2, Level 3, Revised Edition")</f>
        <v>Supreme Power of the Golden Spell, Series 2, Level 3, Revised Edition</v>
      </c>
      <c r="M901" s="42" t="str">
        <f>IFERROR(__xludf.DUMMYFUNCTION("""COMPUTED_VALUE"""),"[R]")</f>
        <v>[R]</v>
      </c>
      <c r="N901" s="42" t="str">
        <f>IFERROR(__xludf.DUMMYFUNCTION("""COMPUTED_VALUE"""),"""I love Wonrei!""")</f>
        <v>"I love Wonrei!"</v>
      </c>
      <c r="O901" s="42"/>
      <c r="P901" s="42"/>
      <c r="Q901" s="42"/>
      <c r="R901" s="42"/>
      <c r="S901" s="42"/>
      <c r="T901" s="42"/>
      <c r="U901" s="42"/>
      <c r="V901" s="42"/>
      <c r="W901" s="42"/>
      <c r="X901" s="42"/>
      <c r="Y901" s="42"/>
      <c r="Z901" s="42"/>
    </row>
    <row r="902">
      <c r="A902" s="41" t="str">
        <f>IFERROR(__xludf.DUMMYFUNCTION("""COMPUTED_VALUE"""),"P-029")</f>
        <v>P-029</v>
      </c>
      <c r="B902" s="42" t="str">
        <f>IFERROR(__xludf.DUMMYFUNCTION("""COMPUTED_VALUE"""),"Partner")</f>
        <v>Partner</v>
      </c>
      <c r="C902" s="42" t="str">
        <f>IFERROR(__xludf.DUMMYFUNCTION("""COMPUTED_VALUE"""),"Galliont")</f>
        <v>Galliont</v>
      </c>
      <c r="D902" s="42" t="str">
        <f>IFERROR(__xludf.DUMMYFUNCTION("""COMPUTED_VALUE"""),"Zabas")</f>
        <v>Zabas</v>
      </c>
      <c r="E902" s="42" t="str">
        <f>IFERROR(__xludf.DUMMYFUNCTION("""COMPUTED_VALUE"""),"-")</f>
        <v>-</v>
      </c>
      <c r="F902" s="42" t="str">
        <f>IFERROR(__xludf.DUMMYFUNCTION("""COMPUTED_VALUE"""),"-")</f>
        <v>-</v>
      </c>
      <c r="G902" s="42" t="str">
        <f>IFERROR(__xludf.DUMMYFUNCTION("""COMPUTED_VALUE"""),"None")</f>
        <v>None</v>
      </c>
      <c r="H902" s="42" t="str">
        <f>IFERROR(__xludf.DUMMYFUNCTION("""COMPUTED_VALUE"""),"-")</f>
        <v>-</v>
      </c>
      <c r="I902" s="43" t="str">
        <f>IFERROR(__xludf.DUMMYFUNCTION("""COMPUTED_VALUE"""),"[SEND THIS CARD TO THE DISCARD PILE] [STAY] Any SPELL cards with a ""Wind"" Attribute can be played for your Zabas MAMODO card during this turn.")</f>
        <v>[SEND THIS CARD TO THE DISCARD PILE] [STAY] Any SPELL cards with a "Wind" Attribute can be played for your Zabas MAMODO card during this turn.</v>
      </c>
      <c r="J902" s="42" t="str">
        <f>IFERROR(__xludf.DUMMYFUNCTION("""COMPUTED_VALUE"""),"-")</f>
        <v>-</v>
      </c>
      <c r="K902" s="42" t="str">
        <f>IFERROR(__xludf.DUMMYFUNCTION("""COMPUTED_VALUE"""),"-")</f>
        <v>-</v>
      </c>
      <c r="L902" s="42" t="str">
        <f>IFERROR(__xludf.DUMMYFUNCTION("""COMPUTED_VALUE"""),"Supreme Power of the Golden Spell, Series 2, Level 3")</f>
        <v>Supreme Power of the Golden Spell, Series 2, Level 3</v>
      </c>
      <c r="M902" s="42" t="str">
        <f>IFERROR(__xludf.DUMMYFUNCTION("""COMPUTED_VALUE"""),"[C]")</f>
        <v>[C]</v>
      </c>
      <c r="N902" s="42" t="str">
        <f>IFERROR(__xludf.DUMMYFUNCTION("""COMPUTED_VALUE"""),"""Welcome to heaven.""")</f>
        <v>"Welcome to heaven."</v>
      </c>
      <c r="O902" s="42"/>
      <c r="P902" s="42"/>
      <c r="Q902" s="42"/>
      <c r="R902" s="42"/>
      <c r="S902" s="42"/>
      <c r="T902" s="42"/>
      <c r="U902" s="42"/>
      <c r="V902" s="42"/>
      <c r="W902" s="42"/>
      <c r="X902" s="42"/>
      <c r="Y902" s="42"/>
      <c r="Z902" s="42"/>
    </row>
    <row r="903">
      <c r="A903" s="41" t="str">
        <f>IFERROR(__xludf.DUMMYFUNCTION("""COMPUTED_VALUE"""),"P-030")</f>
        <v>P-030</v>
      </c>
      <c r="B903" s="42" t="str">
        <f>IFERROR(__xludf.DUMMYFUNCTION("""COMPUTED_VALUE"""),"Partner")</f>
        <v>Partner</v>
      </c>
      <c r="C903" s="42" t="str">
        <f>IFERROR(__xludf.DUMMYFUNCTION("""COMPUTED_VALUE"""),"Fredo")</f>
        <v>Fredo</v>
      </c>
      <c r="D903" s="42" t="str">
        <f>IFERROR(__xludf.DUMMYFUNCTION("""COMPUTED_VALUE"""),"Bago")</f>
        <v>Bago</v>
      </c>
      <c r="E903" s="42" t="str">
        <f>IFERROR(__xludf.DUMMYFUNCTION("""COMPUTED_VALUE"""),"-")</f>
        <v>-</v>
      </c>
      <c r="F903" s="42" t="str">
        <f>IFERROR(__xludf.DUMMYFUNCTION("""COMPUTED_VALUE"""),"-")</f>
        <v>-</v>
      </c>
      <c r="G903" s="42" t="str">
        <f>IFERROR(__xludf.DUMMYFUNCTION("""COMPUTED_VALUE"""),"None")</f>
        <v>None</v>
      </c>
      <c r="H903" s="42" t="str">
        <f>IFERROR(__xludf.DUMMYFUNCTION("""COMPUTED_VALUE"""),"-")</f>
        <v>-</v>
      </c>
      <c r="I903" s="43" t="str">
        <f>IFERROR(__xludf.DUMMYFUNCTION("""COMPUTED_VALUE"""),"[IN PLAY] Get 2 MP each time your opponent plays an EVENT card.")</f>
        <v>[IN PLAY] Get 2 MP each time your opponent plays an EVENT card.</v>
      </c>
      <c r="J903" s="42" t="str">
        <f>IFERROR(__xludf.DUMMYFUNCTION("""COMPUTED_VALUE"""),"-")</f>
        <v>-</v>
      </c>
      <c r="K903" s="42" t="str">
        <f>IFERROR(__xludf.DUMMYFUNCTION("""COMPUTED_VALUE"""),"-")</f>
        <v>-</v>
      </c>
      <c r="L903" s="42" t="str">
        <f>IFERROR(__xludf.DUMMYFUNCTION("""COMPUTED_VALUE"""),"Supreme Power of the Golden Spell, Series 2, Level 3")</f>
        <v>Supreme Power of the Golden Spell, Series 2, Level 3</v>
      </c>
      <c r="M903" s="42" t="str">
        <f>IFERROR(__xludf.DUMMYFUNCTION("""COMPUTED_VALUE"""),"[C]")</f>
        <v>[C]</v>
      </c>
      <c r="N903" s="42" t="str">
        <f>IFERROR(__xludf.DUMMYFUNCTION("""COMPUTED_VALUE"""),"""Ha? Are you going to turn on us?""")</f>
        <v>"Ha? Are you going to turn on us?"</v>
      </c>
      <c r="O903" s="42"/>
      <c r="P903" s="42"/>
      <c r="Q903" s="42"/>
      <c r="R903" s="42"/>
      <c r="S903" s="42"/>
      <c r="T903" s="42"/>
      <c r="U903" s="42"/>
      <c r="V903" s="42"/>
      <c r="W903" s="42"/>
      <c r="X903" s="42"/>
      <c r="Y903" s="42"/>
      <c r="Z903" s="42"/>
    </row>
    <row r="904">
      <c r="A904" s="41" t="str">
        <f>IFERROR(__xludf.DUMMYFUNCTION("""COMPUTED_VALUE"""),"P-031")</f>
        <v>P-031</v>
      </c>
      <c r="B904" s="42" t="str">
        <f>IFERROR(__xludf.DUMMYFUNCTION("""COMPUTED_VALUE"""),"Partner")</f>
        <v>Partner</v>
      </c>
      <c r="C904" s="42" t="str">
        <f>IFERROR(__xludf.DUMMYFUNCTION("""COMPUTED_VALUE"""),"Kafk Sunbeam")</f>
        <v>Kafk Sunbeam</v>
      </c>
      <c r="D904" s="42" t="str">
        <f>IFERROR(__xludf.DUMMYFUNCTION("""COMPUTED_VALUE"""),"Ponygon")</f>
        <v>Ponygon</v>
      </c>
      <c r="E904" s="42" t="str">
        <f>IFERROR(__xludf.DUMMYFUNCTION("""COMPUTED_VALUE"""),"-")</f>
        <v>-</v>
      </c>
      <c r="F904" s="42" t="str">
        <f>IFERROR(__xludf.DUMMYFUNCTION("""COMPUTED_VALUE"""),"-")</f>
        <v>-</v>
      </c>
      <c r="G904" s="42" t="str">
        <f>IFERROR(__xludf.DUMMYFUNCTION("""COMPUTED_VALUE"""),"None")</f>
        <v>None</v>
      </c>
      <c r="H904" s="42" t="str">
        <f>IFERROR(__xludf.DUMMYFUNCTION("""COMPUTED_VALUE"""),"-")</f>
        <v>-</v>
      </c>
      <c r="I904" s="43" t="str">
        <f>IFERROR(__xludf.DUMMYFUNCTION("""COMPUTED_VALUE"""),"[IN PLAY] Apply both of the following effects: ● Your opponent cannot apply the effects of their in-play Ponygon MAMODO cards. ● Your opponent cannot play Ponygon EVENT cards.")</f>
        <v>[IN PLAY] Apply both of the following effects: ● Your opponent cannot apply the effects of their in-play Ponygon MAMODO cards. ● Your opponent cannot play Ponygon EVENT cards.</v>
      </c>
      <c r="J904" s="42" t="str">
        <f>IFERROR(__xludf.DUMMYFUNCTION("""COMPUTED_VALUE"""),"-")</f>
        <v>-</v>
      </c>
      <c r="K904" s="42" t="str">
        <f>IFERROR(__xludf.DUMMYFUNCTION("""COMPUTED_VALUE"""),"-")</f>
        <v>-</v>
      </c>
      <c r="L904" s="42" t="str">
        <f>IFERROR(__xludf.DUMMYFUNCTION("""COMPUTED_VALUE"""),"Dawn of the Ancients, Series 4, Level 3, The Best Booster 1, File 1: Zatch Bell &amp; Ponygon, Revised Edition")</f>
        <v>Dawn of the Ancients, Series 4, Level 3, The Best Booster 1, File 1: Zatch Bell &amp; Ponygon, Revised Edition</v>
      </c>
      <c r="M904" s="42" t="str">
        <f>IFERROR(__xludf.DUMMYFUNCTION("""COMPUTED_VALUE"""),"[U]")</f>
        <v>[U]</v>
      </c>
      <c r="N904" s="42" t="str">
        <f>IFERROR(__xludf.DUMMYFUNCTION("""COMPUTED_VALUE"""),"""Groovy!""")</f>
        <v>"Groovy!"</v>
      </c>
      <c r="O904" s="42"/>
      <c r="P904" s="42"/>
      <c r="Q904" s="42"/>
      <c r="R904" s="42"/>
      <c r="S904" s="42"/>
      <c r="T904" s="42"/>
      <c r="U904" s="42"/>
      <c r="V904" s="42"/>
      <c r="W904" s="42"/>
      <c r="X904" s="42"/>
      <c r="Y904" s="42"/>
      <c r="Z904" s="42"/>
    </row>
    <row r="905">
      <c r="A905" s="41" t="str">
        <f>IFERROR(__xludf.DUMMYFUNCTION("""COMPUTED_VALUE"""),"P-032")</f>
        <v>P-032</v>
      </c>
      <c r="B905" s="42" t="str">
        <f>IFERROR(__xludf.DUMMYFUNCTION("""COMPUTED_VALUE"""),"Partner")</f>
        <v>Partner</v>
      </c>
      <c r="C905" s="42" t="str">
        <f>IFERROR(__xludf.DUMMYFUNCTION("""COMPUTED_VALUE"""),"Parco Folgore")</f>
        <v>Parco Folgore</v>
      </c>
      <c r="D905" s="42" t="str">
        <f>IFERROR(__xludf.DUMMYFUNCTION("""COMPUTED_VALUE"""),"Kanchome")</f>
        <v>Kanchome</v>
      </c>
      <c r="E905" s="42" t="str">
        <f>IFERROR(__xludf.DUMMYFUNCTION("""COMPUTED_VALUE"""),"-")</f>
        <v>-</v>
      </c>
      <c r="F905" s="42" t="str">
        <f>IFERROR(__xludf.DUMMYFUNCTION("""COMPUTED_VALUE"""),"-")</f>
        <v>-</v>
      </c>
      <c r="G905" s="42" t="str">
        <f>IFERROR(__xludf.DUMMYFUNCTION("""COMPUTED_VALUE"""),"None")</f>
        <v>None</v>
      </c>
      <c r="H905" s="42" t="str">
        <f>IFERROR(__xludf.DUMMYFUNCTION("""COMPUTED_VALUE"""),"-")</f>
        <v>-</v>
      </c>
      <c r="I905" s="43" t="str">
        <f>IFERROR(__xludf.DUMMYFUNCTION("""COMPUTED_VALUE"""),"[SEND THIS CARD TO THE DISCARD PILE] Your opponent cannot apply the effects of their in-play PARTNER cards during the next turn. This effect is [STANDBY] during this turn, and [STAY] during the next turn.")</f>
        <v>[SEND THIS CARD TO THE DISCARD PILE] Your opponent cannot apply the effects of their in-play PARTNER cards during the next turn. This effect is [STANDBY] during this turn, and [STAY] during the next turn.</v>
      </c>
      <c r="J905" s="42" t="str">
        <f>IFERROR(__xludf.DUMMYFUNCTION("""COMPUTED_VALUE"""),"-")</f>
        <v>-</v>
      </c>
      <c r="K905" s="42" t="str">
        <f>IFERROR(__xludf.DUMMYFUNCTION("""COMPUTED_VALUE"""),"-")</f>
        <v>-</v>
      </c>
      <c r="L905" s="42" t="str">
        <f>IFERROR(__xludf.DUMMYFUNCTION("""COMPUTED_VALUE"""),"Supreme Power of the Golden Spell, Series 2, Zatch Bell and His Friends")</f>
        <v>Supreme Power of the Golden Spell, Series 2, Zatch Bell and His Friends</v>
      </c>
      <c r="M905" s="42" t="str">
        <f>IFERROR(__xludf.DUMMYFUNCTION("""COMPUTED_VALUE"""),"[C]")</f>
        <v>[C]</v>
      </c>
      <c r="N905" s="42" t="str">
        <f>IFERROR(__xludf.DUMMYFUNCTION("""COMPUTED_VALUE"""),"""I'm the handsome Italian hero, Parco Folgore!""")</f>
        <v>"I'm the handsome Italian hero, Parco Folgore!"</v>
      </c>
      <c r="O905" s="42"/>
      <c r="P905" s="42"/>
      <c r="Q905" s="42"/>
      <c r="R905" s="42"/>
      <c r="S905" s="42"/>
      <c r="T905" s="42"/>
      <c r="U905" s="42"/>
      <c r="V905" s="42"/>
      <c r="W905" s="42"/>
      <c r="X905" s="42"/>
      <c r="Y905" s="42"/>
      <c r="Z905" s="42"/>
    </row>
    <row r="906">
      <c r="A906" s="41" t="str">
        <f>IFERROR(__xludf.DUMMYFUNCTION("""COMPUTED_VALUE"""),"P-033")</f>
        <v>P-033</v>
      </c>
      <c r="B906" s="42" t="str">
        <f>IFERROR(__xludf.DUMMYFUNCTION("""COMPUTED_VALUE"""),"Partner")</f>
        <v>Partner</v>
      </c>
      <c r="C906" s="42" t="str">
        <f>IFERROR(__xludf.DUMMYFUNCTION("""COMPUTED_VALUE"""),"Megumi")</f>
        <v>Megumi</v>
      </c>
      <c r="D906" s="42" t="str">
        <f>IFERROR(__xludf.DUMMYFUNCTION("""COMPUTED_VALUE"""),"Tia")</f>
        <v>Tia</v>
      </c>
      <c r="E906" s="42" t="str">
        <f>IFERROR(__xludf.DUMMYFUNCTION("""COMPUTED_VALUE"""),"-")</f>
        <v>-</v>
      </c>
      <c r="F906" s="42" t="str">
        <f>IFERROR(__xludf.DUMMYFUNCTION("""COMPUTED_VALUE"""),"-")</f>
        <v>-</v>
      </c>
      <c r="G906" s="42" t="str">
        <f>IFERROR(__xludf.DUMMYFUNCTION("""COMPUTED_VALUE"""),"None")</f>
        <v>None</v>
      </c>
      <c r="H906" s="42" t="str">
        <f>IFERROR(__xludf.DUMMYFUNCTION("""COMPUTED_VALUE"""),"-")</f>
        <v>-</v>
      </c>
      <c r="I906" s="43" t="str">
        <f>IFERROR(__xludf.DUMMYFUNCTION("""COMPUTED_VALUE"""),"[SEND THIS CARD TO THE DISCARD PILE] [STAY] Select 1 of your opponent's in-play MAMODO cards. Your opponent cannot play SPELL cards to Attack with the selected MAMODO card during this turn.")</f>
        <v>[SEND THIS CARD TO THE DISCARD PILE] [STAY] Select 1 of your opponent's in-play MAMODO cards. Your opponent cannot play SPELL cards to Attack with the selected MAMODO card during this turn.</v>
      </c>
      <c r="J906" s="42" t="str">
        <f>IFERROR(__xludf.DUMMYFUNCTION("""COMPUTED_VALUE"""),"-")</f>
        <v>-</v>
      </c>
      <c r="K906" s="42" t="str">
        <f>IFERROR(__xludf.DUMMYFUNCTION("""COMPUTED_VALUE"""),"-")</f>
        <v>-</v>
      </c>
      <c r="L906" s="42" t="str">
        <f>IFERROR(__xludf.DUMMYFUNCTION("""COMPUTED_VALUE"""),"Supreme Power of the Golden Spell, Series 2, Zatch Bell and His Friends")</f>
        <v>Supreme Power of the Golden Spell, Series 2, Zatch Bell and His Friends</v>
      </c>
      <c r="M906" s="42" t="str">
        <f>IFERROR(__xludf.DUMMYFUNCTION("""COMPUTED_VALUE"""),"[R]")</f>
        <v>[R]</v>
      </c>
      <c r="N906" s="42" t="str">
        <f>IFERROR(__xludf.DUMMYFUNCTION("""COMPUTED_VALUE"""),"""We are not fighting alone. We've got friendship on our side!""")</f>
        <v>"We are not fighting alone. We've got friendship on our side!"</v>
      </c>
      <c r="O906" s="42"/>
      <c r="P906" s="42"/>
      <c r="Q906" s="42"/>
      <c r="R906" s="42"/>
      <c r="S906" s="42"/>
      <c r="T906" s="42"/>
      <c r="U906" s="42"/>
      <c r="V906" s="42"/>
      <c r="W906" s="42"/>
      <c r="X906" s="42"/>
      <c r="Y906" s="42"/>
      <c r="Z906" s="42"/>
    </row>
    <row r="907">
      <c r="A907" s="41" t="str">
        <f>IFERROR(__xludf.DUMMYFUNCTION("""COMPUTED_VALUE"""),"P-034")</f>
        <v>P-034</v>
      </c>
      <c r="B907" s="42" t="str">
        <f>IFERROR(__xludf.DUMMYFUNCTION("""COMPUTED_VALUE"""),"Partner")</f>
        <v>Partner</v>
      </c>
      <c r="C907" s="42" t="str">
        <f>IFERROR(__xludf.DUMMYFUNCTION("""COMPUTED_VALUE"""),"Dufort")</f>
        <v>Dufort</v>
      </c>
      <c r="D907" s="42" t="str">
        <f>IFERROR(__xludf.DUMMYFUNCTION("""COMPUTED_VALUE"""),"Zeno")</f>
        <v>Zeno</v>
      </c>
      <c r="E907" s="42" t="str">
        <f>IFERROR(__xludf.DUMMYFUNCTION("""COMPUTED_VALUE"""),"-")</f>
        <v>-</v>
      </c>
      <c r="F907" s="42" t="str">
        <f>IFERROR(__xludf.DUMMYFUNCTION("""COMPUTED_VALUE"""),"-")</f>
        <v>-</v>
      </c>
      <c r="G907" s="42" t="str">
        <f>IFERROR(__xludf.DUMMYFUNCTION("""COMPUTED_VALUE"""),"None")</f>
        <v>None</v>
      </c>
      <c r="H907" s="42" t="str">
        <f>IFERROR(__xludf.DUMMYFUNCTION("""COMPUTED_VALUE"""),"-")</f>
        <v>-</v>
      </c>
      <c r="I907" s="43" t="str">
        <f>IFERROR(__xludf.DUMMYFUNCTION("""COMPUTED_VALUE"""),"[SEND THIS CARD TO THE DISCARD PILE] [STAY] Negate all [Stay] and [Standby] effects that prohibit you from playing SPELL cards.")</f>
        <v>[SEND THIS CARD TO THE DISCARD PILE] [STAY] Negate all [Stay] and [Standby] effects that prohibit you from playing SPELL cards.</v>
      </c>
      <c r="J907" s="42" t="str">
        <f>IFERROR(__xludf.DUMMYFUNCTION("""COMPUTED_VALUE"""),"-")</f>
        <v>-</v>
      </c>
      <c r="K907" s="42" t="str">
        <f>IFERROR(__xludf.DUMMYFUNCTION("""COMPUTED_VALUE"""),"-")</f>
        <v>-</v>
      </c>
      <c r="L907" s="42" t="str">
        <f>IFERROR(__xludf.DUMMYFUNCTION("""COMPUTED_VALUE"""),"Supreme Power of the Golden Spell, Series 2, Zeno and the Most Powerful Mamodo")</f>
        <v>Supreme Power of the Golden Spell, Series 2, Zeno and the Most Powerful Mamodo</v>
      </c>
      <c r="M907" s="42" t="str">
        <f>IFERROR(__xludf.DUMMYFUNCTION("""COMPUTED_VALUE"""),"[U]")</f>
        <v>[U]</v>
      </c>
      <c r="N907" s="42" t="str">
        <f>IFERROR(__xludf.DUMMYFUNCTION("""COMPUTED_VALUE"""),"He conceals great hatred behind his cool exterior.")</f>
        <v>He conceals great hatred behind his cool exterior.</v>
      </c>
      <c r="O907" s="42"/>
      <c r="P907" s="42"/>
      <c r="Q907" s="42"/>
      <c r="R907" s="42"/>
      <c r="S907" s="42"/>
      <c r="T907" s="42"/>
      <c r="U907" s="42"/>
      <c r="V907" s="42"/>
      <c r="W907" s="42"/>
      <c r="X907" s="42"/>
      <c r="Y907" s="42"/>
      <c r="Z907" s="42"/>
    </row>
    <row r="908">
      <c r="A908" s="41" t="str">
        <f>IFERROR(__xludf.DUMMYFUNCTION("""COMPUTED_VALUE"""),"P-035")</f>
        <v>P-035</v>
      </c>
      <c r="B908" s="42" t="str">
        <f>IFERROR(__xludf.DUMMYFUNCTION("""COMPUTED_VALUE"""),"Partner")</f>
        <v>Partner</v>
      </c>
      <c r="C908" s="42" t="str">
        <f>IFERROR(__xludf.DUMMYFUNCTION("""COMPUTED_VALUE"""),"Gustav")</f>
        <v>Gustav</v>
      </c>
      <c r="D908" s="42" t="str">
        <f>IFERROR(__xludf.DUMMYFUNCTION("""COMPUTED_VALUE"""),"Bari")</f>
        <v>Bari</v>
      </c>
      <c r="E908" s="42" t="str">
        <f>IFERROR(__xludf.DUMMYFUNCTION("""COMPUTED_VALUE"""),"-")</f>
        <v>-</v>
      </c>
      <c r="F908" s="42" t="str">
        <f>IFERROR(__xludf.DUMMYFUNCTION("""COMPUTED_VALUE"""),"-")</f>
        <v>-</v>
      </c>
      <c r="G908" s="42" t="str">
        <f>IFERROR(__xludf.DUMMYFUNCTION("""COMPUTED_VALUE"""),"None")</f>
        <v>None</v>
      </c>
      <c r="H908" s="42" t="str">
        <f>IFERROR(__xludf.DUMMYFUNCTION("""COMPUTED_VALUE"""),"-")</f>
        <v>-</v>
      </c>
      <c r="I908" s="43" t="str">
        <f>IFERROR(__xludf.DUMMYFUNCTION("""COMPUTED_VALUE"""),"[SEND THIS CARD TO THE DISCARD PILE] Reduce your opponent's MP by the same number of MP they got in their START PHASE this turn times 2.")</f>
        <v>[SEND THIS CARD TO THE DISCARD PILE] Reduce your opponent's MP by the same number of MP they got in their START PHASE this turn times 2.</v>
      </c>
      <c r="J908" s="42" t="str">
        <f>IFERROR(__xludf.DUMMYFUNCTION("""COMPUTED_VALUE"""),"-")</f>
        <v>-</v>
      </c>
      <c r="K908" s="42" t="str">
        <f>IFERROR(__xludf.DUMMYFUNCTION("""COMPUTED_VALUE"""),"-")</f>
        <v>-</v>
      </c>
      <c r="L908" s="42" t="str">
        <f>IFERROR(__xludf.DUMMYFUNCTION("""COMPUTED_VALUE"""),"The Gathering Storm, Series 3, Zeno and the Most Powerful Mamodo")</f>
        <v>The Gathering Storm, Series 3, Zeno and the Most Powerful Mamodo</v>
      </c>
      <c r="M908" s="42" t="str">
        <f>IFERROR(__xludf.DUMMYFUNCTION("""COMPUTED_VALUE"""),"[C]")</f>
        <v>[C]</v>
      </c>
      <c r="N908" s="42" t="str">
        <f>IFERROR(__xludf.DUMMYFUNCTION("""COMPUTED_VALUE"""),"""Smash them with your power!""")</f>
        <v>"Smash them with your power!"</v>
      </c>
      <c r="O908" s="42"/>
      <c r="P908" s="42"/>
      <c r="Q908" s="42"/>
      <c r="R908" s="42"/>
      <c r="S908" s="42"/>
      <c r="T908" s="42"/>
      <c r="U908" s="42"/>
      <c r="V908" s="42"/>
      <c r="W908" s="42"/>
      <c r="X908" s="42"/>
      <c r="Y908" s="42"/>
      <c r="Z908" s="42"/>
    </row>
    <row r="909">
      <c r="A909" s="41" t="str">
        <f>IFERROR(__xludf.DUMMYFUNCTION("""COMPUTED_VALUE"""),"P-036")</f>
        <v>P-036</v>
      </c>
      <c r="B909" s="42" t="str">
        <f>IFERROR(__xludf.DUMMYFUNCTION("""COMPUTED_VALUE"""),"Partner")</f>
        <v>Partner</v>
      </c>
      <c r="C909" s="42" t="str">
        <f>IFERROR(__xludf.DUMMYFUNCTION("""COMPUTED_VALUE"""),"Kiyo Takamine")</f>
        <v>Kiyo Takamine</v>
      </c>
      <c r="D909" s="42" t="str">
        <f>IFERROR(__xludf.DUMMYFUNCTION("""COMPUTED_VALUE"""),"Zatch Bell")</f>
        <v>Zatch Bell</v>
      </c>
      <c r="E909" s="42" t="str">
        <f>IFERROR(__xludf.DUMMYFUNCTION("""COMPUTED_VALUE"""),"-")</f>
        <v>-</v>
      </c>
      <c r="F909" s="42" t="str">
        <f>IFERROR(__xludf.DUMMYFUNCTION("""COMPUTED_VALUE"""),"-")</f>
        <v>-</v>
      </c>
      <c r="G909" s="42" t="str">
        <f>IFERROR(__xludf.DUMMYFUNCTION("""COMPUTED_VALUE"""),"None")</f>
        <v>None</v>
      </c>
      <c r="H909" s="42" t="str">
        <f>IFERROR(__xludf.DUMMYFUNCTION("""COMPUTED_VALUE"""),"-")</f>
        <v>-</v>
      </c>
      <c r="I909" s="43" t="str">
        <f>IFERROR(__xludf.DUMMYFUNCTION("""COMPUTED_VALUE"""),"[SEND THIS CARD TO THE DISCARD PILE] Select 1 PARTNER card from any page of your Spell Book and put it in play.")</f>
        <v>[SEND THIS CARD TO THE DISCARD PILE] Select 1 PARTNER card from any page of your Spell Book and put it in play.</v>
      </c>
      <c r="J909" s="42" t="str">
        <f>IFERROR(__xludf.DUMMYFUNCTION("""COMPUTED_VALUE"""),"-")</f>
        <v>-</v>
      </c>
      <c r="K909" s="42" t="str">
        <f>IFERROR(__xludf.DUMMYFUNCTION("""COMPUTED_VALUE"""),"-")</f>
        <v>-</v>
      </c>
      <c r="L909" s="42" t="str">
        <f>IFERROR(__xludf.DUMMYFUNCTION("""COMPUTED_VALUE"""),"The Gathering Storm, Series 3, Special Box, The Best Booster 2")</f>
        <v>The Gathering Storm, Series 3, Special Box, The Best Booster 2</v>
      </c>
      <c r="M909" s="42" t="str">
        <f>IFERROR(__xludf.DUMMYFUNCTION("""COMPUTED_VALUE"""),"[U]")</f>
        <v>[U]</v>
      </c>
      <c r="N909" s="42" t="str">
        <f>IFERROR(__xludf.DUMMYFUNCTION("""COMPUTED_VALUE"""),"“Why don’t you believe in that possibility?”")</f>
        <v>“Why don’t you believe in that possibility?”</v>
      </c>
      <c r="O909" s="42"/>
      <c r="P909" s="42"/>
      <c r="Q909" s="42"/>
      <c r="R909" s="42"/>
      <c r="S909" s="42"/>
      <c r="T909" s="42"/>
      <c r="U909" s="42"/>
      <c r="V909" s="42"/>
      <c r="W909" s="42"/>
      <c r="X909" s="42"/>
      <c r="Y909" s="42"/>
      <c r="Z909" s="42"/>
    </row>
    <row r="910">
      <c r="A910" s="41" t="str">
        <f>IFERROR(__xludf.DUMMYFUNCTION("""COMPUTED_VALUE"""),"P-037e")</f>
        <v>P-037e</v>
      </c>
      <c r="B910" s="42" t="str">
        <f>IFERROR(__xludf.DUMMYFUNCTION("""COMPUTED_VALUE"""),"Partner")</f>
        <v>Partner</v>
      </c>
      <c r="C910" s="42" t="str">
        <f>IFERROR(__xludf.DUMMYFUNCTION("""COMPUTED_VALUE"""),"Sherry")</f>
        <v>Sherry</v>
      </c>
      <c r="D910" s="42" t="str">
        <f>IFERROR(__xludf.DUMMYFUNCTION("""COMPUTED_VALUE"""),"Brago")</f>
        <v>Brago</v>
      </c>
      <c r="E910" s="42" t="str">
        <f>IFERROR(__xludf.DUMMYFUNCTION("""COMPUTED_VALUE"""),"-")</f>
        <v>-</v>
      </c>
      <c r="F910" s="42" t="str">
        <f>IFERROR(__xludf.DUMMYFUNCTION("""COMPUTED_VALUE"""),"-")</f>
        <v>-</v>
      </c>
      <c r="G910" s="42" t="str">
        <f>IFERROR(__xludf.DUMMYFUNCTION("""COMPUTED_VALUE"""),"None")</f>
        <v>None</v>
      </c>
      <c r="H910" s="42" t="str">
        <f>IFERROR(__xludf.DUMMYFUNCTION("""COMPUTED_VALUE"""),"-")</f>
        <v>-</v>
      </c>
      <c r="I910" s="43" t="str">
        <f>IFERROR(__xludf.DUMMYFUNCTION("""COMPUTED_VALUE"""),"[SEND THIS CARD TO THE DISCARD PILE] This effect can be applied only when you are on the last page of your Spell Book. [STANDBY] Once during this turn, you can play either 1 SPELL card (except from the last page) OR 1 EVENT card from any page of your Spel"&amp;"l Book.")</f>
        <v>[SEND THIS CARD TO THE DISCARD PILE] This effect can be applied only when you are on the last page of your Spell Book. [STANDBY] Once during this turn, you can play either 1 SPELL card (except from the last page) OR 1 EVENT card from any page of your Spell Book.</v>
      </c>
      <c r="J910" s="42" t="str">
        <f>IFERROR(__xludf.DUMMYFUNCTION("""COMPUTED_VALUE"""),"-")</f>
        <v>-</v>
      </c>
      <c r="K910" s="42" t="str">
        <f>IFERROR(__xludf.DUMMYFUNCTION("""COMPUTED_VALUE"""),"-")</f>
        <v>-</v>
      </c>
      <c r="L910" s="42" t="str">
        <f>IFERROR(__xludf.DUMMYFUNCTION("""COMPUTED_VALUE"""),"The Gathering Storm, Series 3, Special Box, The Best Booster 1")</f>
        <v>The Gathering Storm, Series 3, Special Box, The Best Booster 1</v>
      </c>
      <c r="M910" s="42" t="str">
        <f>IFERROR(__xludf.DUMMYFUNCTION("""COMPUTED_VALUE"""),"[U]")</f>
        <v>[U]</v>
      </c>
      <c r="N910" s="42" t="str">
        <f>IFERROR(__xludf.DUMMYFUNCTION("""COMPUTED_VALUE"""),"Sherry never gives up on her goal to save her best friend Koko.")</f>
        <v>Sherry never gives up on her goal to save her best friend Koko.</v>
      </c>
      <c r="O910" s="42"/>
      <c r="P910" s="42"/>
      <c r="Q910" s="42"/>
      <c r="R910" s="42"/>
      <c r="S910" s="42"/>
      <c r="T910" s="42"/>
      <c r="U910" s="42"/>
      <c r="V910" s="42"/>
      <c r="W910" s="42"/>
      <c r="X910" s="42"/>
      <c r="Y910" s="42"/>
      <c r="Z910" s="42"/>
    </row>
    <row r="911">
      <c r="A911" s="41" t="str">
        <f>IFERROR(__xludf.DUMMYFUNCTION("""COMPUTED_VALUE"""),"P-037j")</f>
        <v>P-037j</v>
      </c>
      <c r="B911" s="42" t="str">
        <f>IFERROR(__xludf.DUMMYFUNCTION("""COMPUTED_VALUE"""),"Partner")</f>
        <v>Partner</v>
      </c>
      <c r="C911" s="42" t="str">
        <f>IFERROR(__xludf.DUMMYFUNCTION("""COMPUTED_VALUE"""),"Sherry")</f>
        <v>Sherry</v>
      </c>
      <c r="D911" s="42" t="str">
        <f>IFERROR(__xludf.DUMMYFUNCTION("""COMPUTED_VALUE"""),"Brago")</f>
        <v>Brago</v>
      </c>
      <c r="E911" s="42" t="str">
        <f>IFERROR(__xludf.DUMMYFUNCTION("""COMPUTED_VALUE"""),"-")</f>
        <v>-</v>
      </c>
      <c r="F911" s="42" t="str">
        <f>IFERROR(__xludf.DUMMYFUNCTION("""COMPUTED_VALUE"""),"-")</f>
        <v>-</v>
      </c>
      <c r="G911" s="42" t="str">
        <f>IFERROR(__xludf.DUMMYFUNCTION("""COMPUTED_VALUE"""),"None")</f>
        <v>None</v>
      </c>
      <c r="H911" s="42" t="str">
        <f>IFERROR(__xludf.DUMMYFUNCTION("""COMPUTED_VALUE"""),"-")</f>
        <v>-</v>
      </c>
      <c r="I911" s="43" t="str">
        <f>IFERROR(__xludf.DUMMYFUNCTION("""COMPUTED_VALUE"""),"[SEND THIS CARD TO THE DISCARD PILE] This effect can be applied only when you are on the last page of your Spell Book. [STANDBY] Once during this turn, you can play either 1 SPELL card with Brago as its MAMODO name (except from the last page), OR 1 EVENT "&amp;"card from any page of your Spell Book.")</f>
        <v>[SEND THIS CARD TO THE DISCARD PILE] This effect can be applied only when you are on the last page of your Spell Book. [STANDBY] Once during this turn, you can play either 1 SPELL card with Brago as its MAMODO name (except from the last page), OR 1 EVENT card from any page of your Spell Book.</v>
      </c>
      <c r="J911" s="42" t="str">
        <f>IFERROR(__xludf.DUMMYFUNCTION("""COMPUTED_VALUE"""),"-")</f>
        <v>-</v>
      </c>
      <c r="K911" s="42" t="str">
        <f>IFERROR(__xludf.DUMMYFUNCTION("""COMPUTED_VALUE"""),"-")</f>
        <v>-</v>
      </c>
      <c r="L911" s="42" t="str">
        <f>IFERROR(__xludf.DUMMYFUNCTION("""COMPUTED_VALUE"""),"The Gathering Storm, Series 3, Special Box, The Best Booster 1")</f>
        <v>The Gathering Storm, Series 3, Special Box, The Best Booster 1</v>
      </c>
      <c r="M911" s="42" t="str">
        <f>IFERROR(__xludf.DUMMYFUNCTION("""COMPUTED_VALUE"""),"[U]")</f>
        <v>[U]</v>
      </c>
      <c r="N911" s="42" t="str">
        <f>IFERROR(__xludf.DUMMYFUNCTION("""COMPUTED_VALUE"""),"Sherry never gives up on her goal to save her best friend Koko.")</f>
        <v>Sherry never gives up on her goal to save her best friend Koko.</v>
      </c>
      <c r="O911" s="42"/>
      <c r="P911" s="42"/>
      <c r="Q911" s="42"/>
      <c r="R911" s="42"/>
      <c r="S911" s="42"/>
      <c r="T911" s="42"/>
      <c r="U911" s="42"/>
      <c r="V911" s="42"/>
      <c r="W911" s="42"/>
      <c r="X911" s="42"/>
      <c r="Y911" s="42"/>
      <c r="Z911" s="42"/>
    </row>
    <row r="912">
      <c r="A912" s="41" t="str">
        <f>IFERROR(__xludf.DUMMYFUNCTION("""COMPUTED_VALUE"""),"P-038")</f>
        <v>P-038</v>
      </c>
      <c r="B912" s="42" t="str">
        <f>IFERROR(__xludf.DUMMYFUNCTION("""COMPUTED_VALUE"""),"Partner")</f>
        <v>Partner</v>
      </c>
      <c r="C912" s="42" t="str">
        <f>IFERROR(__xludf.DUMMYFUNCTION("""COMPUTED_VALUE"""),"Lori")</f>
        <v>Lori</v>
      </c>
      <c r="D912" s="42" t="str">
        <f>IFERROR(__xludf.DUMMYFUNCTION("""COMPUTED_VALUE"""),"Kolulu")</f>
        <v>Kolulu</v>
      </c>
      <c r="E912" s="42" t="str">
        <f>IFERROR(__xludf.DUMMYFUNCTION("""COMPUTED_VALUE"""),"-")</f>
        <v>-</v>
      </c>
      <c r="F912" s="42" t="str">
        <f>IFERROR(__xludf.DUMMYFUNCTION("""COMPUTED_VALUE"""),"-")</f>
        <v>-</v>
      </c>
      <c r="G912" s="42" t="str">
        <f>IFERROR(__xludf.DUMMYFUNCTION("""COMPUTED_VALUE"""),"None")</f>
        <v>None</v>
      </c>
      <c r="H912" s="42" t="str">
        <f>IFERROR(__xludf.DUMMYFUNCTION("""COMPUTED_VALUE"""),"-")</f>
        <v>-</v>
      </c>
      <c r="I912" s="43" t="str">
        <f>IFERROR(__xludf.DUMMYFUNCTION("""COMPUTED_VALUE"""),"[IN PLAY] Your opponent cannot play EVENT cards during your BATTLE PHASE. ※ With 1 Action, you can send this card to the Discard Pile at any time.")</f>
        <v>[IN PLAY] Your opponent cannot play EVENT cards during your BATTLE PHASE. ※ With 1 Action, you can send this card to the Discard Pile at any time.</v>
      </c>
      <c r="J912" s="42" t="str">
        <f>IFERROR(__xludf.DUMMYFUNCTION("""COMPUTED_VALUE"""),"-")</f>
        <v>-</v>
      </c>
      <c r="K912" s="42" t="str">
        <f>IFERROR(__xludf.DUMMYFUNCTION("""COMPUTED_VALUE"""),"-")</f>
        <v>-</v>
      </c>
      <c r="L912" s="42" t="str">
        <f>IFERROR(__xludf.DUMMYFUNCTION("""COMPUTED_VALUE"""),"The Gathering Storm, Series 3, Special Box, The Best Booster 1, Revised Edition")</f>
        <v>The Gathering Storm, Series 3, Special Box, The Best Booster 1, Revised Edition</v>
      </c>
      <c r="M912" s="42" t="str">
        <f>IFERROR(__xludf.DUMMYFUNCTION("""COMPUTED_VALUE"""),"[SR]")</f>
        <v>[SR]</v>
      </c>
      <c r="N912" s="42" t="str">
        <f>IFERROR(__xludf.DUMMYFUNCTION("""COMPUTED_VALUE"""),"A nice girl who cares about Kolulu like a sister.")</f>
        <v>A nice girl who cares about Kolulu like a sister.</v>
      </c>
      <c r="O912" s="42"/>
      <c r="P912" s="42"/>
      <c r="Q912" s="42"/>
      <c r="R912" s="42"/>
      <c r="S912" s="42"/>
      <c r="T912" s="42"/>
      <c r="U912" s="42"/>
      <c r="V912" s="42"/>
      <c r="W912" s="42"/>
      <c r="X912" s="42"/>
      <c r="Y912" s="42"/>
      <c r="Z912" s="42"/>
    </row>
    <row r="913">
      <c r="A913" s="41" t="str">
        <f>IFERROR(__xludf.DUMMYFUNCTION("""COMPUTED_VALUE"""),"P-039")</f>
        <v>P-039</v>
      </c>
      <c r="B913" s="42" t="str">
        <f>IFERROR(__xludf.DUMMYFUNCTION("""COMPUTED_VALUE"""),"Partner")</f>
        <v>Partner</v>
      </c>
      <c r="C913" s="42" t="str">
        <f>IFERROR(__xludf.DUMMYFUNCTION("""COMPUTED_VALUE"""),"Parco Folgore")</f>
        <v>Parco Folgore</v>
      </c>
      <c r="D913" s="42" t="str">
        <f>IFERROR(__xludf.DUMMYFUNCTION("""COMPUTED_VALUE"""),"Kanchome")</f>
        <v>Kanchome</v>
      </c>
      <c r="E913" s="42" t="str">
        <f>IFERROR(__xludf.DUMMYFUNCTION("""COMPUTED_VALUE"""),"-")</f>
        <v>-</v>
      </c>
      <c r="F913" s="42" t="str">
        <f>IFERROR(__xludf.DUMMYFUNCTION("""COMPUTED_VALUE"""),"-")</f>
        <v>-</v>
      </c>
      <c r="G913" s="42" t="str">
        <f>IFERROR(__xludf.DUMMYFUNCTION("""COMPUTED_VALUE"""),"None")</f>
        <v>None</v>
      </c>
      <c r="H913" s="42" t="str">
        <f>IFERROR(__xludf.DUMMYFUNCTION("""COMPUTED_VALUE"""),"-")</f>
        <v>-</v>
      </c>
      <c r="I913" s="43" t="str">
        <f>IFERROR(__xludf.DUMMYFUNCTION("""COMPUTED_VALUE"""),"[SEND THIS CARD TO THE DISCARD PILE} A coin you just flipped is considered to be ""heads"".")</f>
        <v>[SEND THIS CARD TO THE DISCARD PILE} A coin you just flipped is considered to be "heads".</v>
      </c>
      <c r="J913" s="42" t="str">
        <f>IFERROR(__xludf.DUMMYFUNCTION("""COMPUTED_VALUE"""),"-")</f>
        <v>-</v>
      </c>
      <c r="K913" s="42" t="str">
        <f>IFERROR(__xludf.DUMMYFUNCTION("""COMPUTED_VALUE"""),"-")</f>
        <v>-</v>
      </c>
      <c r="L913" s="42" t="str">
        <f>IFERROR(__xludf.DUMMYFUNCTION("""COMPUTED_VALUE"""),"The Gathering Storm, Series 3, Special Box, The Best Booster 1")</f>
        <v>The Gathering Storm, Series 3, Special Box, The Best Booster 1</v>
      </c>
      <c r="M913" s="42" t="str">
        <f>IFERROR(__xludf.DUMMYFUNCTION("""COMPUTED_VALUE"""),"[U]")</f>
        <v>[U]</v>
      </c>
      <c r="N913" s="42" t="str">
        <f>IFERROR(__xludf.DUMMYFUNCTION("""COMPUTED_VALUE"""),"""Yes, that's me. Iron Man Folgore!""")</f>
        <v>"Yes, that's me. Iron Man Folgore!"</v>
      </c>
      <c r="O913" s="42"/>
      <c r="P913" s="42"/>
      <c r="Q913" s="42"/>
      <c r="R913" s="42"/>
      <c r="S913" s="42"/>
      <c r="T913" s="42"/>
      <c r="U913" s="42"/>
      <c r="V913" s="42"/>
      <c r="W913" s="42"/>
      <c r="X913" s="42"/>
      <c r="Y913" s="42"/>
      <c r="Z913" s="42"/>
    </row>
    <row r="914">
      <c r="A914" s="41" t="str">
        <f>IFERROR(__xludf.DUMMYFUNCTION("""COMPUTED_VALUE"""),"P-040")</f>
        <v>P-040</v>
      </c>
      <c r="B914" s="42" t="str">
        <f>IFERROR(__xludf.DUMMYFUNCTION("""COMPUTED_VALUE"""),"Partner")</f>
        <v>Partner</v>
      </c>
      <c r="C914" s="42" t="str">
        <f>IFERROR(__xludf.DUMMYFUNCTION("""COMPUTED_VALUE"""),"Megumi")</f>
        <v>Megumi</v>
      </c>
      <c r="D914" s="42" t="str">
        <f>IFERROR(__xludf.DUMMYFUNCTION("""COMPUTED_VALUE"""),"Tia")</f>
        <v>Tia</v>
      </c>
      <c r="E914" s="42" t="str">
        <f>IFERROR(__xludf.DUMMYFUNCTION("""COMPUTED_VALUE"""),"-")</f>
        <v>-</v>
      </c>
      <c r="F914" s="42" t="str">
        <f>IFERROR(__xludf.DUMMYFUNCTION("""COMPUTED_VALUE"""),"-")</f>
        <v>-</v>
      </c>
      <c r="G914" s="42" t="str">
        <f>IFERROR(__xludf.DUMMYFUNCTION("""COMPUTED_VALUE"""),"None")</f>
        <v>None</v>
      </c>
      <c r="H914" s="42" t="str">
        <f>IFERROR(__xludf.DUMMYFUNCTION("""COMPUTED_VALUE"""),"-")</f>
        <v>-</v>
      </c>
      <c r="I914" s="43" t="str">
        <f>IFERROR(__xludf.DUMMYFUNCTION("""COMPUTED_VALUE"""),"(Battle) [SEND THIS CARD TO THE DISCARD PILE] Negate the SPELL card your opponent just played.")</f>
        <v>(Battle) [SEND THIS CARD TO THE DISCARD PILE] Negate the SPELL card your opponent just played.</v>
      </c>
      <c r="J914" s="42" t="str">
        <f>IFERROR(__xludf.DUMMYFUNCTION("""COMPUTED_VALUE"""),"-")</f>
        <v>-</v>
      </c>
      <c r="K914" s="42" t="str">
        <f>IFERROR(__xludf.DUMMYFUNCTION("""COMPUTED_VALUE"""),"-")</f>
        <v>-</v>
      </c>
      <c r="L914" s="42" t="str">
        <f>IFERROR(__xludf.DUMMYFUNCTION("""COMPUTED_VALUE"""),"The Gathering Storm, Series 3, Special Box, Revised Edition")</f>
        <v>The Gathering Storm, Series 3, Special Box, Revised Edition</v>
      </c>
      <c r="M914" s="42" t="str">
        <f>IFERROR(__xludf.DUMMYFUNCTION("""COMPUTED_VALUE"""),"[U]")</f>
        <v>[U]</v>
      </c>
      <c r="N914" s="42" t="str">
        <f>IFERROR(__xludf.DUMMYFUNCTION("""COMPUTED_VALUE"""),"""Come on, let's fight together.""")</f>
        <v>"Come on, let's fight together."</v>
      </c>
      <c r="O914" s="42"/>
      <c r="P914" s="42"/>
      <c r="Q914" s="42"/>
      <c r="R914" s="42"/>
      <c r="S914" s="42"/>
      <c r="T914" s="42"/>
      <c r="U914" s="42"/>
      <c r="V914" s="42"/>
      <c r="W914" s="42"/>
      <c r="X914" s="42"/>
      <c r="Y914" s="42"/>
      <c r="Z914" s="42"/>
    </row>
    <row r="915">
      <c r="A915" s="41" t="str">
        <f>IFERROR(__xludf.DUMMYFUNCTION("""COMPUTED_VALUE"""),"P-041")</f>
        <v>P-041</v>
      </c>
      <c r="B915" s="42" t="str">
        <f>IFERROR(__xludf.DUMMYFUNCTION("""COMPUTED_VALUE"""),"Partner")</f>
        <v>Partner</v>
      </c>
      <c r="C915" s="42" t="str">
        <f>IFERROR(__xludf.DUMMYFUNCTION("""COMPUTED_VALUE"""),"Kafk Sunbeam")</f>
        <v>Kafk Sunbeam</v>
      </c>
      <c r="D915" s="42" t="str">
        <f>IFERROR(__xludf.DUMMYFUNCTION("""COMPUTED_VALUE"""),"Ponygon")</f>
        <v>Ponygon</v>
      </c>
      <c r="E915" s="42" t="str">
        <f>IFERROR(__xludf.DUMMYFUNCTION("""COMPUTED_VALUE"""),"-")</f>
        <v>-</v>
      </c>
      <c r="F915" s="42" t="str">
        <f>IFERROR(__xludf.DUMMYFUNCTION("""COMPUTED_VALUE"""),"-")</f>
        <v>-</v>
      </c>
      <c r="G915" s="42" t="str">
        <f>IFERROR(__xludf.DUMMYFUNCTION("""COMPUTED_VALUE"""),"None")</f>
        <v>None</v>
      </c>
      <c r="H915" s="42" t="str">
        <f>IFERROR(__xludf.DUMMYFUNCTION("""COMPUTED_VALUE"""),"-")</f>
        <v>-</v>
      </c>
      <c r="I915" s="43" t="str">
        <f>IFERROR(__xludf.DUMMYFUNCTION("""COMPUTED_VALUE"""),"[IN PLAY] Apply 1 of the following effects immediately after your opponent turns back pages of their Spell Book with their card effects: ● Inflict 1 Damage on your opponent. ● Injure 1 of your opponent's MAMODO cards. ※ With 1 Action, you can send this ca"&amp;"rd to the Discard Pile at any time.")</f>
        <v>[IN PLAY] Apply 1 of the following effects immediately after your opponent turns back pages of their Spell Book with their card effects: ● Inflict 1 Damage on your opponent. ● Injure 1 of your opponent's MAMODO cards. ※ With 1 Action, you can send this card to the Discard Pile at any time.</v>
      </c>
      <c r="J915" s="42" t="str">
        <f>IFERROR(__xludf.DUMMYFUNCTION("""COMPUTED_VALUE"""),"-")</f>
        <v>-</v>
      </c>
      <c r="K915" s="42" t="str">
        <f>IFERROR(__xludf.DUMMYFUNCTION("""COMPUTED_VALUE"""),"-")</f>
        <v>-</v>
      </c>
      <c r="L915" s="42" t="str">
        <f>IFERROR(__xludf.DUMMYFUNCTION("""COMPUTED_VALUE"""),"The Gathering Storm, Series 3, Dawn of the Ancients, Series 4, Special Box, The Best Booster 2")</f>
        <v>The Gathering Storm, Series 3, Dawn of the Ancients, Series 4, Special Box, The Best Booster 2</v>
      </c>
      <c r="M915" s="42" t="str">
        <f>IFERROR(__xludf.DUMMYFUNCTION("""COMPUTED_VALUE"""),"[C]")</f>
        <v>[C]</v>
      </c>
      <c r="N915" s="42" t="str">
        <f>IFERROR(__xludf.DUMMYFUNCTION("""COMPUTED_VALUE"""),"""It's not dumb at all. It's groovy.""")</f>
        <v>"It's not dumb at all. It's groovy."</v>
      </c>
      <c r="O915" s="42"/>
      <c r="P915" s="42"/>
      <c r="Q915" s="42"/>
      <c r="R915" s="42"/>
      <c r="S915" s="42"/>
      <c r="T915" s="42"/>
      <c r="U915" s="42"/>
      <c r="V915" s="42"/>
      <c r="W915" s="42"/>
      <c r="X915" s="42"/>
      <c r="Y915" s="42"/>
      <c r="Z915" s="42"/>
    </row>
    <row r="916">
      <c r="A916" s="41" t="str">
        <f>IFERROR(__xludf.DUMMYFUNCTION("""COMPUTED_VALUE"""),"P-042")</f>
        <v>P-042</v>
      </c>
      <c r="B916" s="42" t="str">
        <f>IFERROR(__xludf.DUMMYFUNCTION("""COMPUTED_VALUE"""),"Partner")</f>
        <v>Partner</v>
      </c>
      <c r="C916" s="42" t="str">
        <f>IFERROR(__xludf.DUMMYFUNCTION("""COMPUTED_VALUE"""),"Mr. Goldo")</f>
        <v>Mr. Goldo</v>
      </c>
      <c r="D916" s="42" t="str">
        <f>IFERROR(__xludf.DUMMYFUNCTION("""COMPUTED_VALUE"""),"Danny")</f>
        <v>Danny</v>
      </c>
      <c r="E916" s="42" t="str">
        <f>IFERROR(__xludf.DUMMYFUNCTION("""COMPUTED_VALUE"""),"-")</f>
        <v>-</v>
      </c>
      <c r="F916" s="42" t="str">
        <f>IFERROR(__xludf.DUMMYFUNCTION("""COMPUTED_VALUE"""),"-")</f>
        <v>-</v>
      </c>
      <c r="G916" s="42" t="str">
        <f>IFERROR(__xludf.DUMMYFUNCTION("""COMPUTED_VALUE"""),"None")</f>
        <v>None</v>
      </c>
      <c r="H916" s="42" t="str">
        <f>IFERROR(__xludf.DUMMYFUNCTION("""COMPUTED_VALUE"""),"-")</f>
        <v>-</v>
      </c>
      <c r="I916" s="43" t="str">
        <f>IFERROR(__xludf.DUMMYFUNCTION("""COMPUTED_VALUE"""),"[SEND THIS CARD TO THE DISCARD PILE] [STANDBY] Your opponent cannot apply the effects of their PARTNER and EVENT cards during the Battle when your Danny MAMODO card Attacks during this turn.")</f>
        <v>[SEND THIS CARD TO THE DISCARD PILE] [STANDBY] Your opponent cannot apply the effects of their PARTNER and EVENT cards during the Battle when your Danny MAMODO card Attacks during this turn.</v>
      </c>
      <c r="J916" s="42" t="str">
        <f>IFERROR(__xludf.DUMMYFUNCTION("""COMPUTED_VALUE"""),"-")</f>
        <v>-</v>
      </c>
      <c r="K916" s="42" t="str">
        <f>IFERROR(__xludf.DUMMYFUNCTION("""COMPUTED_VALUE"""),"-")</f>
        <v>-</v>
      </c>
      <c r="L916" s="42" t="str">
        <f>IFERROR(__xludf.DUMMYFUNCTION("""COMPUTED_VALUE"""),"The Gathering Storm, Series 3, Special Box, The Best Booster 2")</f>
        <v>The Gathering Storm, Series 3, Special Box, The Best Booster 2</v>
      </c>
      <c r="M916" s="42" t="str">
        <f>IFERROR(__xludf.DUMMYFUNCTION("""COMPUTED_VALUE"""),"[U]")</f>
        <v>[U]</v>
      </c>
      <c r="N916" s="42" t="str">
        <f>IFERROR(__xludf.DUMMYFUNCTION("""COMPUTED_VALUE"""),"""Good job, my son!""")</f>
        <v>"Good job, my son!"</v>
      </c>
      <c r="O916" s="42"/>
      <c r="P916" s="42"/>
      <c r="Q916" s="42"/>
      <c r="R916" s="42"/>
      <c r="S916" s="42"/>
      <c r="T916" s="42"/>
      <c r="U916" s="42"/>
      <c r="V916" s="42"/>
      <c r="W916" s="42"/>
      <c r="X916" s="42"/>
      <c r="Y916" s="42"/>
      <c r="Z916" s="42"/>
    </row>
    <row r="917">
      <c r="A917" s="41" t="str">
        <f>IFERROR(__xludf.DUMMYFUNCTION("""COMPUTED_VALUE"""),"P-043")</f>
        <v>P-043</v>
      </c>
      <c r="B917" s="42" t="str">
        <f>IFERROR(__xludf.DUMMYFUNCTION("""COMPUTED_VALUE"""),"Partner")</f>
        <v>Partner</v>
      </c>
      <c r="C917" s="42" t="str">
        <f>IFERROR(__xludf.DUMMYFUNCTION("""COMPUTED_VALUE"""),"Li-en")</f>
        <v>Li-en</v>
      </c>
      <c r="D917" s="42" t="str">
        <f>IFERROR(__xludf.DUMMYFUNCTION("""COMPUTED_VALUE"""),"Wonrei")</f>
        <v>Wonrei</v>
      </c>
      <c r="E917" s="42" t="str">
        <f>IFERROR(__xludf.DUMMYFUNCTION("""COMPUTED_VALUE"""),"-")</f>
        <v>-</v>
      </c>
      <c r="F917" s="42" t="str">
        <f>IFERROR(__xludf.DUMMYFUNCTION("""COMPUTED_VALUE"""),"-")</f>
        <v>-</v>
      </c>
      <c r="G917" s="42" t="str">
        <f>IFERROR(__xludf.DUMMYFUNCTION("""COMPUTED_VALUE"""),"None")</f>
        <v>None</v>
      </c>
      <c r="H917" s="42" t="str">
        <f>IFERROR(__xludf.DUMMYFUNCTION("""COMPUTED_VALUE"""),"-")</f>
        <v>-</v>
      </c>
      <c r="I917" s="43" t="str">
        <f>IFERROR(__xludf.DUMMYFUNCTION("""COMPUTED_VALUE"""),"[DECLARE TO USE] Select 1 of your opponent's MAMODO cards. During the next Battle this turn when your Wonrei MAMODO card attacks, apply 1 of the following effects: ● Your opponent cannot play ""Defend"" SPELL cards for that MAMODO. ● Your opponent can nei"&amp;"ther SACRIFICE nor PROTECT their Spell Book from Damage with the selected MAMODO.")</f>
        <v>[DECLARE TO USE] Select 1 of your opponent's MAMODO cards. During the next Battle this turn when your Wonrei MAMODO card attacks, apply 1 of the following effects: ● Your opponent cannot play "Defend" SPELL cards for that MAMODO. ● Your opponent can neither SACRIFICE nor PROTECT their Spell Book from Damage with the selected MAMODO.</v>
      </c>
      <c r="J917" s="42" t="str">
        <f>IFERROR(__xludf.DUMMYFUNCTION("""COMPUTED_VALUE"""),"-")</f>
        <v>-</v>
      </c>
      <c r="K917" s="42" t="str">
        <f>IFERROR(__xludf.DUMMYFUNCTION("""COMPUTED_VALUE"""),"-")</f>
        <v>-</v>
      </c>
      <c r="L917" s="42" t="str">
        <f>IFERROR(__xludf.DUMMYFUNCTION("""COMPUTED_VALUE"""),"The Gathering Storm, Series 3, Special Box, The Best Booster 2, Revised Edition")</f>
        <v>The Gathering Storm, Series 3, Special Box, The Best Booster 2, Revised Edition</v>
      </c>
      <c r="M917" s="42" t="str">
        <f>IFERROR(__xludf.DUMMYFUNCTION("""COMPUTED_VALUE"""),"[U]")</f>
        <v>[U]</v>
      </c>
      <c r="N917" s="42" t="str">
        <f>IFERROR(__xludf.DUMMYFUNCTION("""COMPUTED_VALUE"""),"""Wonrei is precious to me.""")</f>
        <v>"Wonrei is precious to me."</v>
      </c>
      <c r="O917" s="42"/>
      <c r="P917" s="42"/>
      <c r="Q917" s="42"/>
      <c r="R917" s="42"/>
      <c r="S917" s="42"/>
      <c r="T917" s="42"/>
      <c r="U917" s="42"/>
      <c r="V917" s="42"/>
      <c r="W917" s="42"/>
      <c r="X917" s="42"/>
      <c r="Y917" s="42"/>
      <c r="Z917" s="42"/>
    </row>
    <row r="918">
      <c r="A918" s="41" t="str">
        <f>IFERROR(__xludf.DUMMYFUNCTION("""COMPUTED_VALUE"""),"P-044")</f>
        <v>P-044</v>
      </c>
      <c r="B918" s="42" t="str">
        <f>IFERROR(__xludf.DUMMYFUNCTION("""COMPUTED_VALUE"""),"Partner")</f>
        <v>Partner</v>
      </c>
      <c r="C918" s="42" t="str">
        <f>IFERROR(__xludf.DUMMYFUNCTION("""COMPUTED_VALUE"""),"Garza")</f>
        <v>Garza</v>
      </c>
      <c r="D918" s="42" t="str">
        <f>IFERROR(__xludf.DUMMYFUNCTION("""COMPUTED_VALUE"""),"Baransha")</f>
        <v>Baransha</v>
      </c>
      <c r="E918" s="42" t="str">
        <f>IFERROR(__xludf.DUMMYFUNCTION("""COMPUTED_VALUE"""),"-")</f>
        <v>-</v>
      </c>
      <c r="F918" s="42" t="str">
        <f>IFERROR(__xludf.DUMMYFUNCTION("""COMPUTED_VALUE"""),"-")</f>
        <v>-</v>
      </c>
      <c r="G918" s="42" t="str">
        <f>IFERROR(__xludf.DUMMYFUNCTION("""COMPUTED_VALUE"""),"None")</f>
        <v>None</v>
      </c>
      <c r="H918" s="42" t="str">
        <f>IFERROR(__xludf.DUMMYFUNCTION("""COMPUTED_VALUE"""),"-")</f>
        <v>-</v>
      </c>
      <c r="I918" s="43" t="str">
        <f>IFERROR(__xludf.DUMMYFUNCTION("""COMPUTED_VALUE"""),"[SEND THIS CARD TO THE DISCARD PILE] Your opponent cannot get any MP during the next turn. This effect is [STANDBY] during this turn, and [STAY] during the next turn.")</f>
        <v>[SEND THIS CARD TO THE DISCARD PILE] Your opponent cannot get any MP during the next turn. This effect is [STANDBY] during this turn, and [STAY] during the next turn.</v>
      </c>
      <c r="J918" s="42" t="str">
        <f>IFERROR(__xludf.DUMMYFUNCTION("""COMPUTED_VALUE"""),"-")</f>
        <v>-</v>
      </c>
      <c r="K918" s="42" t="str">
        <f>IFERROR(__xludf.DUMMYFUNCTION("""COMPUTED_VALUE"""),"-")</f>
        <v>-</v>
      </c>
      <c r="L918" s="42" t="str">
        <f>IFERROR(__xludf.DUMMYFUNCTION("""COMPUTED_VALUE"""),"Supreme Power of the Golden Spell, Series 2, Level 4, The Best Booster 1")</f>
        <v>Supreme Power of the Golden Spell, Series 2, Level 4, The Best Booster 1</v>
      </c>
      <c r="M918" s="42" t="str">
        <f>IFERROR(__xludf.DUMMYFUNCTION("""COMPUTED_VALUE"""),"[U]")</f>
        <v>[U]</v>
      </c>
      <c r="N918" s="42" t="str">
        <f>IFERROR(__xludf.DUMMYFUNCTION("""COMPUTED_VALUE"""),"""Weaken your prey and strike!""")</f>
        <v>"Weaken your prey and strike!"</v>
      </c>
      <c r="O918" s="42"/>
      <c r="P918" s="42"/>
      <c r="Q918" s="42"/>
      <c r="R918" s="42"/>
      <c r="S918" s="42"/>
      <c r="T918" s="42"/>
      <c r="U918" s="42"/>
      <c r="V918" s="42"/>
      <c r="W918" s="42"/>
      <c r="X918" s="42"/>
      <c r="Y918" s="42"/>
      <c r="Z918" s="42"/>
    </row>
    <row r="919">
      <c r="A919" s="41" t="str">
        <f>IFERROR(__xludf.DUMMYFUNCTION("""COMPUTED_VALUE"""),"P-045")</f>
        <v>P-045</v>
      </c>
      <c r="B919" s="42" t="str">
        <f>IFERROR(__xludf.DUMMYFUNCTION("""COMPUTED_VALUE"""),"Partner")</f>
        <v>Partner</v>
      </c>
      <c r="C919" s="42" t="str">
        <f>IFERROR(__xludf.DUMMYFUNCTION("""COMPUTED_VALUE"""),"Goman")</f>
        <v>Goman</v>
      </c>
      <c r="D919" s="42" t="str">
        <f>IFERROR(__xludf.DUMMYFUNCTION("""COMPUTED_VALUE"""),"Donpoccho")</f>
        <v>Donpoccho</v>
      </c>
      <c r="E919" s="42" t="str">
        <f>IFERROR(__xludf.DUMMYFUNCTION("""COMPUTED_VALUE"""),"-")</f>
        <v>-</v>
      </c>
      <c r="F919" s="42" t="str">
        <f>IFERROR(__xludf.DUMMYFUNCTION("""COMPUTED_VALUE"""),"-")</f>
        <v>-</v>
      </c>
      <c r="G919" s="42" t="str">
        <f>IFERROR(__xludf.DUMMYFUNCTION("""COMPUTED_VALUE"""),"None")</f>
        <v>None</v>
      </c>
      <c r="H919" s="42" t="str">
        <f>IFERROR(__xludf.DUMMYFUNCTION("""COMPUTED_VALUE"""),"-")</f>
        <v>-</v>
      </c>
      <c r="I919" s="43" t="str">
        <f>IFERROR(__xludf.DUMMYFUNCTION("""COMPUTED_VALUE"""),"[SEND THIS CARD TO THE DISCARD PILE] The outcome of 1 coin you just flipped for 1 SPELL card played for your Donpoccho MAMODO card is considered to be ""heads"".")</f>
        <v>[SEND THIS CARD TO THE DISCARD PILE] The outcome of 1 coin you just flipped for 1 SPELL card played for your Donpoccho MAMODO card is considered to be "heads".</v>
      </c>
      <c r="J919" s="42" t="str">
        <f>IFERROR(__xludf.DUMMYFUNCTION("""COMPUTED_VALUE"""),"-")</f>
        <v>-</v>
      </c>
      <c r="K919" s="42" t="str">
        <f>IFERROR(__xludf.DUMMYFUNCTION("""COMPUTED_VALUE"""),"-")</f>
        <v>-</v>
      </c>
      <c r="L919" s="42" t="str">
        <f>IFERROR(__xludf.DUMMYFUNCTION("""COMPUTED_VALUE"""),"The Gathering Storm, Series 3, Level 4")</f>
        <v>The Gathering Storm, Series 3, Level 4</v>
      </c>
      <c r="M919" s="42" t="str">
        <f>IFERROR(__xludf.DUMMYFUNCTION("""COMPUTED_VALUE"""),"[C]")</f>
        <v>[C]</v>
      </c>
      <c r="N919" s="42" t="str">
        <f>IFERROR(__xludf.DUMMYFUNCTION("""COMPUTED_VALUE"""),"""Wait... wait. Help me.""")</f>
        <v>"Wait... wait. Help me."</v>
      </c>
      <c r="O919" s="42"/>
      <c r="P919" s="42"/>
      <c r="Q919" s="42"/>
      <c r="R919" s="42"/>
      <c r="S919" s="42"/>
      <c r="T919" s="42"/>
      <c r="U919" s="42"/>
      <c r="V919" s="42"/>
      <c r="W919" s="42"/>
      <c r="X919" s="42"/>
      <c r="Y919" s="42"/>
      <c r="Z919" s="42"/>
    </row>
    <row r="920">
      <c r="A920" s="41" t="str">
        <f>IFERROR(__xludf.DUMMYFUNCTION("""COMPUTED_VALUE"""),"P-046")</f>
        <v>P-046</v>
      </c>
      <c r="B920" s="42" t="str">
        <f>IFERROR(__xludf.DUMMYFUNCTION("""COMPUTED_VALUE"""),"Partner")</f>
        <v>Partner</v>
      </c>
      <c r="C920" s="42" t="str">
        <f>IFERROR(__xludf.DUMMYFUNCTION("""COMPUTED_VALUE"""),"Dr. Riddles")</f>
        <v>Dr. Riddles</v>
      </c>
      <c r="D920" s="42" t="str">
        <f>IFERROR(__xludf.DUMMYFUNCTION("""COMPUTED_VALUE"""),"Kido")</f>
        <v>Kido</v>
      </c>
      <c r="E920" s="42" t="str">
        <f>IFERROR(__xludf.DUMMYFUNCTION("""COMPUTED_VALUE"""),"-")</f>
        <v>-</v>
      </c>
      <c r="F920" s="42" t="str">
        <f>IFERROR(__xludf.DUMMYFUNCTION("""COMPUTED_VALUE"""),"-")</f>
        <v>-</v>
      </c>
      <c r="G920" s="42" t="str">
        <f>IFERROR(__xludf.DUMMYFUNCTION("""COMPUTED_VALUE"""),"None")</f>
        <v>None</v>
      </c>
      <c r="H920" s="42" t="str">
        <f>IFERROR(__xludf.DUMMYFUNCTION("""COMPUTED_VALUE"""),"-")</f>
        <v>-</v>
      </c>
      <c r="I920" s="43" t="str">
        <f>IFERROR(__xludf.DUMMYFUNCTION("""COMPUTED_VALUE"""),"[SEND THIS CARD TO THE DISCARD PILE] (Cut-In) Negate the EVENT card your opponent just played.")</f>
        <v>[SEND THIS CARD TO THE DISCARD PILE] (Cut-In) Negate the EVENT card your opponent just played.</v>
      </c>
      <c r="J920" s="42" t="str">
        <f>IFERROR(__xludf.DUMMYFUNCTION("""COMPUTED_VALUE"""),"-")</f>
        <v>-</v>
      </c>
      <c r="K920" s="42" t="str">
        <f>IFERROR(__xludf.DUMMYFUNCTION("""COMPUTED_VALUE"""),"-")</f>
        <v>-</v>
      </c>
      <c r="L920" s="42" t="str">
        <f>IFERROR(__xludf.DUMMYFUNCTION("""COMPUTED_VALUE"""),"The Gathering Storm, Series 3, Level 4, The Best Booster 1, Revised Edition")</f>
        <v>The Gathering Storm, Series 3, Level 4, The Best Booster 1, Revised Edition</v>
      </c>
      <c r="M920" s="42" t="str">
        <f>IFERROR(__xludf.DUMMYFUNCTION("""COMPUTED_VALUE"""),"[SR]")</f>
        <v>[SR]</v>
      </c>
      <c r="N920" s="42" t="str">
        <f>IFERROR(__xludf.DUMMYFUNCTION("""COMPUTED_VALUE"""),"""My name is Dr. Riddles, the one who knows all!""")</f>
        <v>"My name is Dr. Riddles, the one who knows all!"</v>
      </c>
      <c r="O920" s="42"/>
      <c r="P920" s="42"/>
      <c r="Q920" s="42"/>
      <c r="R920" s="42"/>
      <c r="S920" s="42"/>
      <c r="T920" s="42"/>
      <c r="U920" s="42"/>
      <c r="V920" s="42"/>
      <c r="W920" s="42"/>
      <c r="X920" s="42"/>
      <c r="Y920" s="42"/>
      <c r="Z920" s="42"/>
    </row>
    <row r="921">
      <c r="A921" s="41" t="str">
        <f>IFERROR(__xludf.DUMMYFUNCTION("""COMPUTED_VALUE"""),"P-047")</f>
        <v>P-047</v>
      </c>
      <c r="B921" s="42" t="str">
        <f>IFERROR(__xludf.DUMMYFUNCTION("""COMPUTED_VALUE"""),"Partner")</f>
        <v>Partner</v>
      </c>
      <c r="C921" s="42" t="str">
        <f>IFERROR(__xludf.DUMMYFUNCTION("""COMPUTED_VALUE"""),"Uri")</f>
        <v>Uri</v>
      </c>
      <c r="D921" s="42" t="str">
        <f>IFERROR(__xludf.DUMMYFUNCTION("""COMPUTED_VALUE"""),"Penny")</f>
        <v>Penny</v>
      </c>
      <c r="E921" s="42" t="str">
        <f>IFERROR(__xludf.DUMMYFUNCTION("""COMPUTED_VALUE"""),"-")</f>
        <v>-</v>
      </c>
      <c r="F921" s="42" t="str">
        <f>IFERROR(__xludf.DUMMYFUNCTION("""COMPUTED_VALUE"""),"-")</f>
        <v>-</v>
      </c>
      <c r="G921" s="42" t="str">
        <f>IFERROR(__xludf.DUMMYFUNCTION("""COMPUTED_VALUE"""),"None")</f>
        <v>None</v>
      </c>
      <c r="H921" s="42" t="str">
        <f>IFERROR(__xludf.DUMMYFUNCTION("""COMPUTED_VALUE"""),"-")</f>
        <v>-</v>
      </c>
      <c r="I921" s="43" t="str">
        <f>IFERROR(__xludf.DUMMYFUNCTION("""COMPUTED_VALUE"""),"[SEND THIS CARD TO THE DISCARD PILE] Send 1 of either player's in-play cards with [In Play] (except MAMODO cards) to the Discard Pile.")</f>
        <v>[SEND THIS CARD TO THE DISCARD PILE] Send 1 of either player's in-play cards with [In Play] (except MAMODO cards) to the Discard Pile.</v>
      </c>
      <c r="J921" s="42" t="str">
        <f>IFERROR(__xludf.DUMMYFUNCTION("""COMPUTED_VALUE"""),"-")</f>
        <v>-</v>
      </c>
      <c r="K921" s="42" t="str">
        <f>IFERROR(__xludf.DUMMYFUNCTION("""COMPUTED_VALUE"""),"-")</f>
        <v>-</v>
      </c>
      <c r="L921" s="42" t="str">
        <f>IFERROR(__xludf.DUMMYFUNCTION("""COMPUTED_VALUE"""),"The Gathering Storm, Series 3, Level 4, The Best Booster 1")</f>
        <v>The Gathering Storm, Series 3, Level 4, The Best Booster 1</v>
      </c>
      <c r="M921" s="42" t="str">
        <f>IFERROR(__xludf.DUMMYFUNCTION("""COMPUTED_VALUE"""),"[SR]")</f>
        <v>[SR]</v>
      </c>
      <c r="N921" s="42" t="str">
        <f>IFERROR(__xludf.DUMMYFUNCTION("""COMPUTED_VALUE"""),"""Good grief!""")</f>
        <v>"Good grief!"</v>
      </c>
      <c r="O921" s="42"/>
      <c r="P921" s="42"/>
      <c r="Q921" s="42"/>
      <c r="R921" s="42"/>
      <c r="S921" s="42"/>
      <c r="T921" s="42"/>
      <c r="U921" s="42"/>
      <c r="V921" s="42"/>
      <c r="W921" s="42"/>
      <c r="X921" s="42"/>
      <c r="Y921" s="42"/>
      <c r="Z921" s="42"/>
    </row>
    <row r="922">
      <c r="A922" s="41" t="str">
        <f>IFERROR(__xludf.DUMMYFUNCTION("""COMPUTED_VALUE"""),"P-048")</f>
        <v>P-048</v>
      </c>
      <c r="B922" s="42" t="str">
        <f>IFERROR(__xludf.DUMMYFUNCTION("""COMPUTED_VALUE"""),"Partner")</f>
        <v>Partner</v>
      </c>
      <c r="C922" s="42" t="str">
        <f>IFERROR(__xludf.DUMMYFUNCTION("""COMPUTED_VALUE"""),"Koko")</f>
        <v>Koko</v>
      </c>
      <c r="D922" s="42" t="str">
        <f>IFERROR(__xludf.DUMMYFUNCTION("""COMPUTED_VALUE"""),"Zofis")</f>
        <v>Zofis</v>
      </c>
      <c r="E922" s="42" t="str">
        <f>IFERROR(__xludf.DUMMYFUNCTION("""COMPUTED_VALUE"""),"-")</f>
        <v>-</v>
      </c>
      <c r="F922" s="42" t="str">
        <f>IFERROR(__xludf.DUMMYFUNCTION("""COMPUTED_VALUE"""),"-")</f>
        <v>-</v>
      </c>
      <c r="G922" s="42" t="str">
        <f>IFERROR(__xludf.DUMMYFUNCTION("""COMPUTED_VALUE"""),"None")</f>
        <v>None</v>
      </c>
      <c r="H922" s="42" t="str">
        <f>IFERROR(__xludf.DUMMYFUNCTION("""COMPUTED_VALUE"""),"-")</f>
        <v>-</v>
      </c>
      <c r="I922" s="43" t="str">
        <f>IFERROR(__xludf.DUMMYFUNCTION("""COMPUTED_VALUE"""),"[IN PLAY] Your opponent cannot send their in-play MAMODO cards to the Discard Pile (except from Damage or Injury).")</f>
        <v>[IN PLAY] Your opponent cannot send their in-play MAMODO cards to the Discard Pile (except from Damage or Injury).</v>
      </c>
      <c r="J922" s="42" t="str">
        <f>IFERROR(__xludf.DUMMYFUNCTION("""COMPUTED_VALUE"""),"-")</f>
        <v>-</v>
      </c>
      <c r="K922" s="42" t="str">
        <f>IFERROR(__xludf.DUMMYFUNCTION("""COMPUTED_VALUE"""),"-")</f>
        <v>-</v>
      </c>
      <c r="L922" s="42" t="str">
        <f>IFERROR(__xludf.DUMMYFUNCTION("""COMPUTED_VALUE"""),"The Gathering Storm, Series 3, Level 4, Revised Edition")</f>
        <v>The Gathering Storm, Series 3, Level 4, Revised Edition</v>
      </c>
      <c r="M922" s="42" t="str">
        <f>IFERROR(__xludf.DUMMYFUNCTION("""COMPUTED_VALUE"""),"[SR]")</f>
        <v>[SR]</v>
      </c>
      <c r="N922" s="42" t="str">
        <f>IFERROR(__xludf.DUMMYFUNCTION("""COMPUTED_VALUE"""),"""As expected Zofis, you are the best.""")</f>
        <v>"As expected Zofis, you are the best."</v>
      </c>
      <c r="O922" s="42"/>
      <c r="P922" s="42"/>
      <c r="Q922" s="42"/>
      <c r="R922" s="42"/>
      <c r="S922" s="42"/>
      <c r="T922" s="42"/>
      <c r="U922" s="42"/>
      <c r="V922" s="42"/>
      <c r="W922" s="42"/>
      <c r="X922" s="42"/>
      <c r="Y922" s="42"/>
      <c r="Z922" s="42"/>
    </row>
    <row r="923">
      <c r="A923" s="41" t="str">
        <f>IFERROR(__xludf.DUMMYFUNCTION("""COMPUTED_VALUE"""),"P-049")</f>
        <v>P-049</v>
      </c>
      <c r="B923" s="42" t="str">
        <f>IFERROR(__xludf.DUMMYFUNCTION("""COMPUTED_VALUE"""),"Partner")</f>
        <v>Partner</v>
      </c>
      <c r="C923" s="42" t="str">
        <f>IFERROR(__xludf.DUMMYFUNCTION("""COMPUTED_VALUE"""),"Shion")</f>
        <v>Shion</v>
      </c>
      <c r="D923" s="42" t="str">
        <f>IFERROR(__xludf.DUMMYFUNCTION("""COMPUTED_VALUE"""),"Nya")</f>
        <v>Nya</v>
      </c>
      <c r="E923" s="42" t="str">
        <f>IFERROR(__xludf.DUMMYFUNCTION("""COMPUTED_VALUE"""),"-")</f>
        <v>-</v>
      </c>
      <c r="F923" s="42" t="str">
        <f>IFERROR(__xludf.DUMMYFUNCTION("""COMPUTED_VALUE"""),"-")</f>
        <v>-</v>
      </c>
      <c r="G923" s="42" t="str">
        <f>IFERROR(__xludf.DUMMYFUNCTION("""COMPUTED_VALUE"""),"None")</f>
        <v>None</v>
      </c>
      <c r="H923" s="42" t="str">
        <f>IFERROR(__xludf.DUMMYFUNCTION("""COMPUTED_VALUE"""),"-")</f>
        <v>-</v>
      </c>
      <c r="I923" s="43" t="str">
        <f>IFERROR(__xludf.DUMMYFUNCTION("""COMPUTED_VALUE"""),"[IN PLAY] Your opponent cannot turn back pages of their Spell Book during the BATTLE PHASE. ※ With 1 Action, you can send this card to the Discard Pile at any time.")</f>
        <v>[IN PLAY] Your opponent cannot turn back pages of their Spell Book during the BATTLE PHASE. ※ With 1 Action, you can send this card to the Discard Pile at any time.</v>
      </c>
      <c r="J923" s="42" t="str">
        <f>IFERROR(__xludf.DUMMYFUNCTION("""COMPUTED_VALUE"""),"-")</f>
        <v>-</v>
      </c>
      <c r="K923" s="42" t="str">
        <f>IFERROR(__xludf.DUMMYFUNCTION("""COMPUTED_VALUE"""),"-")</f>
        <v>-</v>
      </c>
      <c r="L923" s="42" t="str">
        <f>IFERROR(__xludf.DUMMYFUNCTION("""COMPUTED_VALUE"""),"Supreme Power of the Golden Spell, Series 2, Level 4")</f>
        <v>Supreme Power of the Golden Spell, Series 2, Level 4</v>
      </c>
      <c r="M923" s="42" t="str">
        <f>IFERROR(__xludf.DUMMYFUNCTION("""COMPUTED_VALUE"""),"[U]")</f>
        <v>[U]</v>
      </c>
      <c r="N923" s="42" t="str">
        <f>IFERROR(__xludf.DUMMYFUNCTION("""COMPUTED_VALUE"""),"A transfer student to Kiyo's class. What's her story?")</f>
        <v>A transfer student to Kiyo's class. What's her story?</v>
      </c>
      <c r="O923" s="42"/>
      <c r="P923" s="42"/>
      <c r="Q923" s="42"/>
      <c r="R923" s="42"/>
      <c r="S923" s="42"/>
      <c r="T923" s="42"/>
      <c r="U923" s="42"/>
      <c r="V923" s="42"/>
      <c r="W923" s="42"/>
      <c r="X923" s="42"/>
      <c r="Y923" s="42"/>
      <c r="Z923" s="42"/>
    </row>
    <row r="924">
      <c r="A924" s="41" t="str">
        <f>IFERROR(__xludf.DUMMYFUNCTION("""COMPUTED_VALUE"""),"P-050")</f>
        <v>P-050</v>
      </c>
      <c r="B924" s="42" t="str">
        <f>IFERROR(__xludf.DUMMYFUNCTION("""COMPUTED_VALUE"""),"Partner")</f>
        <v>Partner</v>
      </c>
      <c r="C924" s="42" t="str">
        <f>IFERROR(__xludf.DUMMYFUNCTION("""COMPUTED_VALUE"""),"Kiichiro")</f>
        <v>Kiichiro</v>
      </c>
      <c r="D924" s="42" t="str">
        <f>IFERROR(__xludf.DUMMYFUNCTION("""COMPUTED_VALUE"""),"Cut N' Paste")</f>
        <v>Cut N' Paste</v>
      </c>
      <c r="E924" s="42" t="str">
        <f>IFERROR(__xludf.DUMMYFUNCTION("""COMPUTED_VALUE"""),"-")</f>
        <v>-</v>
      </c>
      <c r="F924" s="42" t="str">
        <f>IFERROR(__xludf.DUMMYFUNCTION("""COMPUTED_VALUE"""),"-")</f>
        <v>-</v>
      </c>
      <c r="G924" s="42" t="str">
        <f>IFERROR(__xludf.DUMMYFUNCTION("""COMPUTED_VALUE"""),"None")</f>
        <v>None</v>
      </c>
      <c r="H924" s="42" t="str">
        <f>IFERROR(__xludf.DUMMYFUNCTION("""COMPUTED_VALUE"""),"-")</f>
        <v>-</v>
      </c>
      <c r="I924" s="43" t="str">
        <f>IFERROR(__xludf.DUMMYFUNCTION("""COMPUTED_VALUE"""),"[SEND THIS CARD TO THE DISCARD PILE] Reduce your opponent's MP by 2 to get 2 MP.")</f>
        <v>[SEND THIS CARD TO THE DISCARD PILE] Reduce your opponent's MP by 2 to get 2 MP.</v>
      </c>
      <c r="J924" s="42" t="str">
        <f>IFERROR(__xludf.DUMMYFUNCTION("""COMPUTED_VALUE"""),"-")</f>
        <v>-</v>
      </c>
      <c r="K924" s="42" t="str">
        <f>IFERROR(__xludf.DUMMYFUNCTION("""COMPUTED_VALUE"""),"-")</f>
        <v>-</v>
      </c>
      <c r="L924" s="42" t="str">
        <f>IFERROR(__xludf.DUMMYFUNCTION("""COMPUTED_VALUE"""),"Supreme Power of the Golden Spell, Series 2, Level 4, the Best Booster 2")</f>
        <v>Supreme Power of the Golden Spell, Series 2, Level 4, the Best Booster 2</v>
      </c>
      <c r="M924" s="42" t="str">
        <f>IFERROR(__xludf.DUMMYFUNCTION("""COMPUTED_VALUE"""),"[U]")</f>
        <v>[U]</v>
      </c>
      <c r="N924" s="42" t="str">
        <f>IFERROR(__xludf.DUMMYFUNCTION("""COMPUTED_VALUE"""),"On Grisor's order, he plots to steal Zatch's magic mirror.")</f>
        <v>On Grisor's order, he plots to steal Zatch's magic mirror.</v>
      </c>
      <c r="O924" s="42"/>
      <c r="P924" s="42"/>
      <c r="Q924" s="42"/>
      <c r="R924" s="42"/>
      <c r="S924" s="42"/>
      <c r="T924" s="42"/>
      <c r="U924" s="42"/>
      <c r="V924" s="42"/>
      <c r="W924" s="42"/>
      <c r="X924" s="42"/>
      <c r="Y924" s="42"/>
      <c r="Z924" s="42"/>
    </row>
    <row r="925">
      <c r="A925" s="41" t="str">
        <f>IFERROR(__xludf.DUMMYFUNCTION("""COMPUTED_VALUE"""),"P-051")</f>
        <v>P-051</v>
      </c>
      <c r="B925" s="42" t="str">
        <f>IFERROR(__xludf.DUMMYFUNCTION("""COMPUTED_VALUE"""),"Partner")</f>
        <v>Partner</v>
      </c>
      <c r="C925" s="42" t="str">
        <f>IFERROR(__xludf.DUMMYFUNCTION("""COMPUTED_VALUE"""),"Hosokawa")</f>
        <v>Hosokawa</v>
      </c>
      <c r="D925" s="42" t="str">
        <f>IFERROR(__xludf.DUMMYFUNCTION("""COMPUTED_VALUE"""),"Reycom")</f>
        <v>Reycom</v>
      </c>
      <c r="E925" s="42" t="str">
        <f>IFERROR(__xludf.DUMMYFUNCTION("""COMPUTED_VALUE"""),"-")</f>
        <v>-</v>
      </c>
      <c r="F925" s="42" t="str">
        <f>IFERROR(__xludf.DUMMYFUNCTION("""COMPUTED_VALUE"""),"-")</f>
        <v>-</v>
      </c>
      <c r="G925" s="42" t="str">
        <f>IFERROR(__xludf.DUMMYFUNCTION("""COMPUTED_VALUE"""),"None")</f>
        <v>None</v>
      </c>
      <c r="H925" s="42" t="str">
        <f>IFERROR(__xludf.DUMMYFUNCTION("""COMPUTED_VALUE"""),"-")</f>
        <v>-</v>
      </c>
      <c r="I925" s="43" t="str">
        <f>IFERROR(__xludf.DUMMYFUNCTION("""COMPUTED_VALUE"""),"[SEND THIS CARD TO THE DISCARD PILE] Reduce your opponent's MP by 4. This effect cannot be applied when you have already reduced your opponent's MP during this turn.")</f>
        <v>[SEND THIS CARD TO THE DISCARD PILE] Reduce your opponent's MP by 4. This effect cannot be applied when you have already reduced your opponent's MP during this turn.</v>
      </c>
      <c r="J925" s="42" t="str">
        <f>IFERROR(__xludf.DUMMYFUNCTION("""COMPUTED_VALUE"""),"-")</f>
        <v>-</v>
      </c>
      <c r="K925" s="42" t="str">
        <f>IFERROR(__xludf.DUMMYFUNCTION("""COMPUTED_VALUE"""),"-")</f>
        <v>-</v>
      </c>
      <c r="L925" s="42" t="str">
        <f>IFERROR(__xludf.DUMMYFUNCTION("""COMPUTED_VALUE"""),"Dawn of the Ancients, Series 4, Level 5, The Best Booster 2")</f>
        <v>Dawn of the Ancients, Series 4, Level 5, The Best Booster 2</v>
      </c>
      <c r="M925" s="42" t="str">
        <f>IFERROR(__xludf.DUMMYFUNCTION("""COMPUTED_VALUE"""),"[U]")</f>
        <v>[U]</v>
      </c>
      <c r="N925" s="42" t="str">
        <f>IFERROR(__xludf.DUMMYFUNCTION("""COMPUTED_VALUE"""),"""I stole money, jewelry, and everything!""")</f>
        <v>"I stole money, jewelry, and everything!"</v>
      </c>
      <c r="O925" s="42"/>
      <c r="P925" s="42"/>
      <c r="Q925" s="42"/>
      <c r="R925" s="42"/>
      <c r="S925" s="42"/>
      <c r="T925" s="42"/>
      <c r="U925" s="42"/>
      <c r="V925" s="42"/>
      <c r="W925" s="42"/>
      <c r="X925" s="42"/>
      <c r="Y925" s="42"/>
      <c r="Z925" s="42"/>
    </row>
    <row r="926">
      <c r="A926" s="41" t="str">
        <f>IFERROR(__xludf.DUMMYFUNCTION("""COMPUTED_VALUE"""),"P-052")</f>
        <v>P-052</v>
      </c>
      <c r="B926" s="42" t="str">
        <f>IFERROR(__xludf.DUMMYFUNCTION("""COMPUTED_VALUE"""),"Partner")</f>
        <v>Partner</v>
      </c>
      <c r="C926" s="42" t="str">
        <f>IFERROR(__xludf.DUMMYFUNCTION("""COMPUTED_VALUE"""),"Haru")</f>
        <v>Haru</v>
      </c>
      <c r="D926" s="42" t="str">
        <f>IFERROR(__xludf.DUMMYFUNCTION("""COMPUTED_VALUE"""),"Sugino")</f>
        <v>Sugino</v>
      </c>
      <c r="E926" s="42" t="str">
        <f>IFERROR(__xludf.DUMMYFUNCTION("""COMPUTED_VALUE"""),"-")</f>
        <v>-</v>
      </c>
      <c r="F926" s="42" t="str">
        <f>IFERROR(__xludf.DUMMYFUNCTION("""COMPUTED_VALUE"""),"-")</f>
        <v>-</v>
      </c>
      <c r="G926" s="42" t="str">
        <f>IFERROR(__xludf.DUMMYFUNCTION("""COMPUTED_VALUE"""),"None")</f>
        <v>None</v>
      </c>
      <c r="H926" s="42" t="str">
        <f>IFERROR(__xludf.DUMMYFUNCTION("""COMPUTED_VALUE"""),"-")</f>
        <v>-</v>
      </c>
      <c r="I926" s="43" t="str">
        <f>IFERROR(__xludf.DUMMYFUNCTION("""COMPUTED_VALUE"""),"[IN PLAY] Reduce the MP cost of all ""Wood"" Attribute SPELL cards played for your Sugino MAMODO card by 1.")</f>
        <v>[IN PLAY] Reduce the MP cost of all "Wood" Attribute SPELL cards played for your Sugino MAMODO card by 1.</v>
      </c>
      <c r="J926" s="42" t="str">
        <f>IFERROR(__xludf.DUMMYFUNCTION("""COMPUTED_VALUE"""),"-")</f>
        <v>-</v>
      </c>
      <c r="K926" s="42" t="str">
        <f>IFERROR(__xludf.DUMMYFUNCTION("""COMPUTED_VALUE"""),"-")</f>
        <v>-</v>
      </c>
      <c r="L926" s="42" t="str">
        <f>IFERROR(__xludf.DUMMYFUNCTION("""COMPUTED_VALUE"""),"Dawn of the Ancients, Series 4, Level 5")</f>
        <v>Dawn of the Ancients, Series 4, Level 5</v>
      </c>
      <c r="M926" s="42" t="str">
        <f>IFERROR(__xludf.DUMMYFUNCTION("""COMPUTED_VALUE"""),"[C]")</f>
        <v>[C]</v>
      </c>
      <c r="N926" s="42" t="str">
        <f>IFERROR(__xludf.DUMMYFUNCTION("""COMPUTED_VALUE"""),"""I still have enough power to use the spell...1, 2, 3, 4, 5. Yes, 5 times.""")</f>
        <v>"I still have enough power to use the spell...1, 2, 3, 4, 5. Yes, 5 times."</v>
      </c>
      <c r="O926" s="42"/>
      <c r="P926" s="42"/>
      <c r="Q926" s="42"/>
      <c r="R926" s="42"/>
      <c r="S926" s="42"/>
      <c r="T926" s="42"/>
      <c r="U926" s="42"/>
      <c r="V926" s="42"/>
      <c r="W926" s="42"/>
      <c r="X926" s="42"/>
      <c r="Y926" s="42"/>
      <c r="Z926" s="42"/>
    </row>
    <row r="927">
      <c r="A927" s="41" t="str">
        <f>IFERROR(__xludf.DUMMYFUNCTION("""COMPUTED_VALUE"""),"P-053")</f>
        <v>P-053</v>
      </c>
      <c r="B927" s="42" t="str">
        <f>IFERROR(__xludf.DUMMYFUNCTION("""COMPUTED_VALUE"""),"Partner")</f>
        <v>Partner</v>
      </c>
      <c r="C927" s="42" t="str">
        <f>IFERROR(__xludf.DUMMYFUNCTION("""COMPUTED_VALUE"""),"Lori")</f>
        <v>Lori</v>
      </c>
      <c r="D927" s="42" t="str">
        <f>IFERROR(__xludf.DUMMYFUNCTION("""COMPUTED_VALUE"""),"Kolulu")</f>
        <v>Kolulu</v>
      </c>
      <c r="E927" s="42" t="str">
        <f>IFERROR(__xludf.DUMMYFUNCTION("""COMPUTED_VALUE"""),"-")</f>
        <v>-</v>
      </c>
      <c r="F927" s="42" t="str">
        <f>IFERROR(__xludf.DUMMYFUNCTION("""COMPUTED_VALUE"""),"-")</f>
        <v>-</v>
      </c>
      <c r="G927" s="42" t="str">
        <f>IFERROR(__xludf.DUMMYFUNCTION("""COMPUTED_VALUE"""),"None")</f>
        <v>None</v>
      </c>
      <c r="H927" s="42" t="str">
        <f>IFERROR(__xludf.DUMMYFUNCTION("""COMPUTED_VALUE"""),"-")</f>
        <v>-</v>
      </c>
      <c r="I927" s="43" t="str">
        <f>IFERROR(__xludf.DUMMYFUNCTION("""COMPUTED_VALUE"""),"[IN PLAY] Your opponent cannot apply the effects of their in-play cards that inflict Damage (including effects that allow them to Attack without using a SPELL card).")</f>
        <v>[IN PLAY] Your opponent cannot apply the effects of their in-play cards that inflict Damage (including effects that allow them to Attack without using a SPELL card).</v>
      </c>
      <c r="J927" s="42" t="str">
        <f>IFERROR(__xludf.DUMMYFUNCTION("""COMPUTED_VALUE"""),"-")</f>
        <v>-</v>
      </c>
      <c r="K927" s="42" t="str">
        <f>IFERROR(__xludf.DUMMYFUNCTION("""COMPUTED_VALUE"""),"-")</f>
        <v>-</v>
      </c>
      <c r="L927" s="42" t="str">
        <f>IFERROR(__xludf.DUMMYFUNCTION("""COMPUTED_VALUE"""),"Secrets of the Ruins, Level 5")</f>
        <v>Secrets of the Ruins, Level 5</v>
      </c>
      <c r="M927" s="42" t="str">
        <f>IFERROR(__xludf.DUMMYFUNCTION("""COMPUTED_VALUE"""),"[U]")</f>
        <v>[U]</v>
      </c>
      <c r="N927" s="42" t="str">
        <f>IFERROR(__xludf.DUMMYFUNCTION("""COMPUTED_VALUE"""),"""Kolulu... It's me, Lori... don't you remember?""")</f>
        <v>"Kolulu... It's me, Lori... don't you remember?"</v>
      </c>
      <c r="O927" s="42"/>
      <c r="P927" s="42"/>
      <c r="Q927" s="42"/>
      <c r="R927" s="42"/>
      <c r="S927" s="42"/>
      <c r="T927" s="42"/>
      <c r="U927" s="42"/>
      <c r="V927" s="42"/>
      <c r="W927" s="42"/>
      <c r="X927" s="42"/>
      <c r="Y927" s="42"/>
      <c r="Z927" s="42"/>
    </row>
    <row r="928">
      <c r="A928" s="41" t="str">
        <f>IFERROR(__xludf.DUMMYFUNCTION("""COMPUTED_VALUE"""),"P-054")</f>
        <v>P-054</v>
      </c>
      <c r="B928" s="42" t="str">
        <f>IFERROR(__xludf.DUMMYFUNCTION("""COMPUTED_VALUE"""),"Partner")</f>
        <v>Partner</v>
      </c>
      <c r="C928" s="42" t="str">
        <f>IFERROR(__xludf.DUMMYFUNCTION("""COMPUTED_VALUE"""),"Dr. Riddles")</f>
        <v>Dr. Riddles</v>
      </c>
      <c r="D928" s="42" t="str">
        <f>IFERROR(__xludf.DUMMYFUNCTION("""COMPUTED_VALUE"""),"Kido")</f>
        <v>Kido</v>
      </c>
      <c r="E928" s="42" t="str">
        <f>IFERROR(__xludf.DUMMYFUNCTION("""COMPUTED_VALUE"""),"-")</f>
        <v>-</v>
      </c>
      <c r="F928" s="42" t="str">
        <f>IFERROR(__xludf.DUMMYFUNCTION("""COMPUTED_VALUE"""),"-")</f>
        <v>-</v>
      </c>
      <c r="G928" s="42" t="str">
        <f>IFERROR(__xludf.DUMMYFUNCTION("""COMPUTED_VALUE"""),"None")</f>
        <v>None</v>
      </c>
      <c r="H928" s="42" t="str">
        <f>IFERROR(__xludf.DUMMYFUNCTION("""COMPUTED_VALUE"""),"-")</f>
        <v>-</v>
      </c>
      <c r="I928" s="43" t="str">
        <f>IFERROR(__xludf.DUMMYFUNCTION("""COMPUTED_VALUE"""),"[SEND THIS CARD TO THE DISCARD PILE] [STANDBY] When you have 12 MJ12 cards in play at the END PHASE of your opponent's next turn, turn 12 pages of your opponent's Spell Book.")</f>
        <v>[SEND THIS CARD TO THE DISCARD PILE] [STANDBY] When you have 12 MJ12 cards in play at the END PHASE of your opponent's next turn, turn 12 pages of your opponent's Spell Book.</v>
      </c>
      <c r="J928" s="42" t="str">
        <f>IFERROR(__xludf.DUMMYFUNCTION("""COMPUTED_VALUE"""),"-")</f>
        <v>-</v>
      </c>
      <c r="K928" s="42" t="str">
        <f>IFERROR(__xludf.DUMMYFUNCTION("""COMPUTED_VALUE"""),"-")</f>
        <v>-</v>
      </c>
      <c r="L928" s="42" t="str">
        <f>IFERROR(__xludf.DUMMYFUNCTION("""COMPUTED_VALUE"""),"Dawn of the Ancients, Series 4, Level 5")</f>
        <v>Dawn of the Ancients, Series 4, Level 5</v>
      </c>
      <c r="M928" s="42" t="str">
        <f>IFERROR(__xludf.DUMMYFUNCTION("""COMPUTED_VALUE"""),"[U]")</f>
        <v>[U]</v>
      </c>
      <c r="N928" s="42" t="str">
        <f>IFERROR(__xludf.DUMMYFUNCTION("""COMPUTED_VALUE"""),"""From the USA, the mysterious Majestic 12!""")</f>
        <v>"From the USA, the mysterious Majestic 12!"</v>
      </c>
      <c r="O928" s="42"/>
      <c r="P928" s="42"/>
      <c r="Q928" s="42"/>
      <c r="R928" s="42"/>
      <c r="S928" s="42"/>
      <c r="T928" s="42"/>
      <c r="U928" s="42"/>
      <c r="V928" s="42"/>
      <c r="W928" s="42"/>
      <c r="X928" s="42"/>
      <c r="Y928" s="42"/>
      <c r="Z928" s="42"/>
    </row>
    <row r="929">
      <c r="A929" s="41" t="str">
        <f>IFERROR(__xludf.DUMMYFUNCTION("""COMPUTED_VALUE"""),"P-055")</f>
        <v>P-055</v>
      </c>
      <c r="B929" s="42" t="str">
        <f>IFERROR(__xludf.DUMMYFUNCTION("""COMPUTED_VALUE"""),"Partner")</f>
        <v>Partner</v>
      </c>
      <c r="C929" s="42" t="str">
        <f>IFERROR(__xludf.DUMMYFUNCTION("""COMPUTED_VALUE"""),"Koko")</f>
        <v>Koko</v>
      </c>
      <c r="D929" s="42" t="str">
        <f>IFERROR(__xludf.DUMMYFUNCTION("""COMPUTED_VALUE"""),"Zofis")</f>
        <v>Zofis</v>
      </c>
      <c r="E929" s="42" t="str">
        <f>IFERROR(__xludf.DUMMYFUNCTION("""COMPUTED_VALUE"""),"-")</f>
        <v>-</v>
      </c>
      <c r="F929" s="42" t="str">
        <f>IFERROR(__xludf.DUMMYFUNCTION("""COMPUTED_VALUE"""),"-")</f>
        <v>-</v>
      </c>
      <c r="G929" s="42" t="str">
        <f>IFERROR(__xludf.DUMMYFUNCTION("""COMPUTED_VALUE"""),"None")</f>
        <v>None</v>
      </c>
      <c r="H929" s="42" t="str">
        <f>IFERROR(__xludf.DUMMYFUNCTION("""COMPUTED_VALUE"""),"-")</f>
        <v>-</v>
      </c>
      <c r="I929" s="43" t="str">
        <f>IFERROR(__xludf.DUMMYFUNCTION("""COMPUTED_VALUE"""),"[SEND THIS CARD TO THE DISCARD PILE] [STAY] Your opponent cannot apply the effects of their MAMODO cards during this turn.")</f>
        <v>[SEND THIS CARD TO THE DISCARD PILE] [STAY] Your opponent cannot apply the effects of their MAMODO cards during this turn.</v>
      </c>
      <c r="J929" s="42" t="str">
        <f>IFERROR(__xludf.DUMMYFUNCTION("""COMPUTED_VALUE"""),"-")</f>
        <v>-</v>
      </c>
      <c r="K929" s="42" t="str">
        <f>IFERROR(__xludf.DUMMYFUNCTION("""COMPUTED_VALUE"""),"-")</f>
        <v>-</v>
      </c>
      <c r="L929" s="42" t="str">
        <f>IFERROR(__xludf.DUMMYFUNCTION("""COMPUTED_VALUE"""),"Dawn of the Ancients, Series 4, Level 5, The Best Booster 2, Revised Edition")</f>
        <v>Dawn of the Ancients, Series 4, Level 5, The Best Booster 2, Revised Edition</v>
      </c>
      <c r="M929" s="42" t="str">
        <f>IFERROR(__xludf.DUMMYFUNCTION("""COMPUTED_VALUE"""),"[SR]")</f>
        <v>[SR]</v>
      </c>
      <c r="N929" s="42" t="str">
        <f>IFERROR(__xludf.DUMMYFUNCTION("""COMPUTED_VALUE"""),"""Do you envy my strength?""")</f>
        <v>"Do you envy my strength?"</v>
      </c>
      <c r="O929" s="42"/>
      <c r="P929" s="42"/>
      <c r="Q929" s="42"/>
      <c r="R929" s="42"/>
      <c r="S929" s="42"/>
      <c r="T929" s="42"/>
      <c r="U929" s="42"/>
      <c r="V929" s="42"/>
      <c r="W929" s="42"/>
      <c r="X929" s="42"/>
      <c r="Y929" s="42"/>
      <c r="Z929" s="42"/>
    </row>
    <row r="930">
      <c r="A930" s="41" t="str">
        <f>IFERROR(__xludf.DUMMYFUNCTION("""COMPUTED_VALUE"""),"P-056")</f>
        <v>P-056</v>
      </c>
      <c r="B930" s="42" t="str">
        <f>IFERROR(__xludf.DUMMYFUNCTION("""COMPUTED_VALUE"""),"Partner")</f>
        <v>Partner</v>
      </c>
      <c r="C930" s="42" t="str">
        <f>IFERROR(__xludf.DUMMYFUNCTION("""COMPUTED_VALUE"""),"Dr. Hakase")</f>
        <v>Dr. Hakase</v>
      </c>
      <c r="D930" s="42" t="str">
        <f>IFERROR(__xludf.DUMMYFUNCTION("""COMPUTED_VALUE"""),"Grisor")</f>
        <v>Grisor</v>
      </c>
      <c r="E930" s="42" t="str">
        <f>IFERROR(__xludf.DUMMYFUNCTION("""COMPUTED_VALUE"""),"-")</f>
        <v>-</v>
      </c>
      <c r="F930" s="42" t="str">
        <f>IFERROR(__xludf.DUMMYFUNCTION("""COMPUTED_VALUE"""),"-")</f>
        <v>-</v>
      </c>
      <c r="G930" s="42" t="str">
        <f>IFERROR(__xludf.DUMMYFUNCTION("""COMPUTED_VALUE"""),"None")</f>
        <v>None</v>
      </c>
      <c r="H930" s="42" t="str">
        <f>IFERROR(__xludf.DUMMYFUNCTION("""COMPUTED_VALUE"""),"-")</f>
        <v>-</v>
      </c>
      <c r="I930" s="43" t="str">
        <f>IFERROR(__xludf.DUMMYFUNCTION("""COMPUTED_VALUE"""),"[SEND THIS CARD TO THE DISCARD PILE] [STANDBY] Increase the MP cost of the next SPELL card your opponent plays during this turn by 3.")</f>
        <v>[SEND THIS CARD TO THE DISCARD PILE] [STANDBY] Increase the MP cost of the next SPELL card your opponent plays during this turn by 3.</v>
      </c>
      <c r="J930" s="42" t="str">
        <f>IFERROR(__xludf.DUMMYFUNCTION("""COMPUTED_VALUE"""),"-")</f>
        <v>-</v>
      </c>
      <c r="K930" s="42" t="str">
        <f>IFERROR(__xludf.DUMMYFUNCTION("""COMPUTED_VALUE"""),"-")</f>
        <v>-</v>
      </c>
      <c r="L930" s="42" t="str">
        <f>IFERROR(__xludf.DUMMYFUNCTION("""COMPUTED_VALUE"""),"Secrets of the Ruins, Level 5")</f>
        <v>Secrets of the Ruins, Level 5</v>
      </c>
      <c r="M930" s="42" t="str">
        <f>IFERROR(__xludf.DUMMYFUNCTION("""COMPUTED_VALUE"""),"[C]")</f>
        <v>[C]</v>
      </c>
      <c r="N930" s="42" t="str">
        <f>IFERROR(__xludf.DUMMYFUNCTION("""COMPUTED_VALUE"""),"""I will have my revenge on those fools at the institute!""")</f>
        <v>"I will have my revenge on those fools at the institute!"</v>
      </c>
      <c r="O930" s="42"/>
      <c r="P930" s="42"/>
      <c r="Q930" s="42"/>
      <c r="R930" s="42"/>
      <c r="S930" s="42"/>
      <c r="T930" s="42"/>
      <c r="U930" s="42"/>
      <c r="V930" s="42"/>
      <c r="W930" s="42"/>
      <c r="X930" s="42"/>
      <c r="Y930" s="42"/>
      <c r="Z930" s="42"/>
    </row>
    <row r="931">
      <c r="A931" s="41" t="str">
        <f>IFERROR(__xludf.DUMMYFUNCTION("""COMPUTED_VALUE"""),"P-057")</f>
        <v>P-057</v>
      </c>
      <c r="B931" s="42" t="str">
        <f>IFERROR(__xludf.DUMMYFUNCTION("""COMPUTED_VALUE"""),"Partner")</f>
        <v>Partner</v>
      </c>
      <c r="C931" s="42" t="str">
        <f>IFERROR(__xludf.DUMMYFUNCTION("""COMPUTED_VALUE"""),"Sebe")</f>
        <v>Sebe</v>
      </c>
      <c r="D931" s="42" t="str">
        <f>IFERROR(__xludf.DUMMYFUNCTION("""COMPUTED_VALUE"""),"Fein")</f>
        <v>Fein</v>
      </c>
      <c r="E931" s="42" t="str">
        <f>IFERROR(__xludf.DUMMYFUNCTION("""COMPUTED_VALUE"""),"-")</f>
        <v>-</v>
      </c>
      <c r="F931" s="42" t="str">
        <f>IFERROR(__xludf.DUMMYFUNCTION("""COMPUTED_VALUE"""),"-")</f>
        <v>-</v>
      </c>
      <c r="G931" s="42" t="str">
        <f>IFERROR(__xludf.DUMMYFUNCTION("""COMPUTED_VALUE"""),"None")</f>
        <v>None</v>
      </c>
      <c r="H931" s="42" t="str">
        <f>IFERROR(__xludf.DUMMYFUNCTION("""COMPUTED_VALUE"""),"Bullying the Weak")</f>
        <v>Bullying the Weak</v>
      </c>
      <c r="I931" s="43" t="str">
        <f>IFERROR(__xludf.DUMMYFUNCTION("""COMPUTED_VALUE"""),"[IN PLAY] Your opponent cannot put MAMODO cards in play during the BATTLE PHASE unless they pay 1 MP for each MAMODO card.")</f>
        <v>[IN PLAY] Your opponent cannot put MAMODO cards in play during the BATTLE PHASE unless they pay 1 MP for each MAMODO card.</v>
      </c>
      <c r="J931" s="42" t="str">
        <f>IFERROR(__xludf.DUMMYFUNCTION("""COMPUTED_VALUE"""),"-")</f>
        <v>-</v>
      </c>
      <c r="K931" s="42" t="str">
        <f>IFERROR(__xludf.DUMMYFUNCTION("""COMPUTED_VALUE"""),"-")</f>
        <v>-</v>
      </c>
      <c r="L931" s="42" t="str">
        <f>IFERROR(__xludf.DUMMYFUNCTION("""COMPUTED_VALUE"""),"-")</f>
        <v>-</v>
      </c>
      <c r="M931" s="42" t="str">
        <f>IFERROR(__xludf.DUMMYFUNCTION("""COMPUTED_VALUE"""),"[U]")</f>
        <v>[U]</v>
      </c>
      <c r="N931" s="42" t="str">
        <f>IFERROR(__xludf.DUMMYFUNCTION("""COMPUTED_VALUE"""),"""The stronger I get, the better I feel.""")</f>
        <v>"The stronger I get, the better I feel."</v>
      </c>
      <c r="O931" s="42"/>
      <c r="P931" s="42"/>
      <c r="Q931" s="42"/>
      <c r="R931" s="42"/>
      <c r="S931" s="42"/>
      <c r="T931" s="42"/>
      <c r="U931" s="42"/>
      <c r="V931" s="42"/>
      <c r="W931" s="42"/>
      <c r="X931" s="42"/>
      <c r="Y931" s="42"/>
      <c r="Z931" s="42"/>
    </row>
    <row r="932">
      <c r="A932" s="41" t="str">
        <f>IFERROR(__xludf.DUMMYFUNCTION("""COMPUTED_VALUE"""),"P-058")</f>
        <v>P-058</v>
      </c>
      <c r="B932" s="42" t="str">
        <f>IFERROR(__xludf.DUMMYFUNCTION("""COMPUTED_VALUE"""),"Partner")</f>
        <v>Partner</v>
      </c>
      <c r="C932" s="42" t="str">
        <f>IFERROR(__xludf.DUMMYFUNCTION("""COMPUTED_VALUE"""),"Rembrant")</f>
        <v>Rembrant</v>
      </c>
      <c r="D932" s="42" t="str">
        <f>IFERROR(__xludf.DUMMYFUNCTION("""COMPUTED_VALUE"""),"Maruss")</f>
        <v>Maruss</v>
      </c>
      <c r="E932" s="42" t="str">
        <f>IFERROR(__xludf.DUMMYFUNCTION("""COMPUTED_VALUE"""),"-")</f>
        <v>-</v>
      </c>
      <c r="F932" s="42" t="str">
        <f>IFERROR(__xludf.DUMMYFUNCTION("""COMPUTED_VALUE"""),"-")</f>
        <v>-</v>
      </c>
      <c r="G932" s="42" t="str">
        <f>IFERROR(__xludf.DUMMYFUNCTION("""COMPUTED_VALUE"""),"None")</f>
        <v>None</v>
      </c>
      <c r="H932" s="42" t="str">
        <f>IFERROR(__xludf.DUMMYFUNCTION("""COMPUTED_VALUE"""),"Defense Spell Negation")</f>
        <v>Defense Spell Negation</v>
      </c>
      <c r="I932" s="43" t="str">
        <f>IFERROR(__xludf.DUMMYFUNCTION("""COMPUTED_VALUE"""),"(Battle)[SEND THIS CARD TO THE DISCARD PILE] Negate the SPELL card your opponent Defended with in the Battle.")</f>
        <v>(Battle)[SEND THIS CARD TO THE DISCARD PILE] Negate the SPELL card your opponent Defended with in the Battle.</v>
      </c>
      <c r="J932" s="42" t="str">
        <f>IFERROR(__xludf.DUMMYFUNCTION("""COMPUTED_VALUE"""),"-")</f>
        <v>-</v>
      </c>
      <c r="K932" s="42" t="str">
        <f>IFERROR(__xludf.DUMMYFUNCTION("""COMPUTED_VALUE"""),"-")</f>
        <v>-</v>
      </c>
      <c r="L932" s="42" t="str">
        <f>IFERROR(__xludf.DUMMYFUNCTION("""COMPUTED_VALUE"""),"-")</f>
        <v>-</v>
      </c>
      <c r="M932" s="42" t="str">
        <f>IFERROR(__xludf.DUMMYFUNCTION("""COMPUTED_VALUE"""),"[U]")</f>
        <v>[U]</v>
      </c>
      <c r="N932" s="42" t="str">
        <f>IFERROR(__xludf.DUMMYFUNCTION("""COMPUTED_VALUE"""),"Maruss' partner from Holland. He has a cruel and ruthless personality.")</f>
        <v>Maruss' partner from Holland. He has a cruel and ruthless personality.</v>
      </c>
      <c r="O932" s="42"/>
      <c r="P932" s="42"/>
      <c r="Q932" s="42"/>
      <c r="R932" s="42"/>
      <c r="S932" s="42"/>
      <c r="T932" s="42"/>
      <c r="U932" s="42"/>
      <c r="V932" s="42"/>
      <c r="W932" s="42"/>
      <c r="X932" s="42"/>
      <c r="Y932" s="42"/>
      <c r="Z932" s="42"/>
    </row>
    <row r="933">
      <c r="A933" s="41" t="str">
        <f>IFERROR(__xludf.DUMMYFUNCTION("""COMPUTED_VALUE"""),"P-059")</f>
        <v>P-059</v>
      </c>
      <c r="B933" s="42" t="str">
        <f>IFERROR(__xludf.DUMMYFUNCTION("""COMPUTED_VALUE"""),"Partner")</f>
        <v>Partner</v>
      </c>
      <c r="C933" s="42" t="str">
        <f>IFERROR(__xludf.DUMMYFUNCTION("""COMPUTED_VALUE"""),"Paul Khan")</f>
        <v>Paul Khan</v>
      </c>
      <c r="D933" s="42" t="str">
        <f>IFERROR(__xludf.DUMMYFUNCTION("""COMPUTED_VALUE"""),"Dogmos")</f>
        <v>Dogmos</v>
      </c>
      <c r="E933" s="42" t="str">
        <f>IFERROR(__xludf.DUMMYFUNCTION("""COMPUTED_VALUE"""),"-")</f>
        <v>-</v>
      </c>
      <c r="F933" s="42" t="str">
        <f>IFERROR(__xludf.DUMMYFUNCTION("""COMPUTED_VALUE"""),"-")</f>
        <v>-</v>
      </c>
      <c r="G933" s="42" t="str">
        <f>IFERROR(__xludf.DUMMYFUNCTION("""COMPUTED_VALUE"""),"None")</f>
        <v>None</v>
      </c>
      <c r="H933" s="42" t="str">
        <f>IFERROR(__xludf.DUMMYFUNCTION("""COMPUTED_VALUE"""),"Manipulated Heart")</f>
        <v>Manipulated Heart</v>
      </c>
      <c r="I933" s="43" t="str">
        <f>IFERROR(__xludf.DUMMYFUNCTION("""COMPUTED_VALUE"""),"[SEND THIS CARD TO THE DISCARD PILE] If your opponent increased their MP with their card effects during this turn, inflict 3 Damage on your opponent.")</f>
        <v>[SEND THIS CARD TO THE DISCARD PILE] If your opponent increased their MP with their card effects during this turn, inflict 3 Damage on your opponent.</v>
      </c>
      <c r="J933" s="42" t="str">
        <f>IFERROR(__xludf.DUMMYFUNCTION("""COMPUTED_VALUE"""),"-")</f>
        <v>-</v>
      </c>
      <c r="K933" s="42" t="str">
        <f>IFERROR(__xludf.DUMMYFUNCTION("""COMPUTED_VALUE"""),"-")</f>
        <v>-</v>
      </c>
      <c r="L933" s="42" t="str">
        <f>IFERROR(__xludf.DUMMYFUNCTION("""COMPUTED_VALUE"""),"-")</f>
        <v>-</v>
      </c>
      <c r="M933" s="42" t="str">
        <f>IFERROR(__xludf.DUMMYFUNCTION("""COMPUTED_VALUE"""),"[C]")</f>
        <v>[C]</v>
      </c>
      <c r="N933" s="42" t="str">
        <f>IFERROR(__xludf.DUMMYFUNCTION("""COMPUTED_VALUE"""),"While his heart is being controlled, he is forced into battle without any memories.")</f>
        <v>While his heart is being controlled, he is forced into battle without any memories.</v>
      </c>
      <c r="O933" s="42"/>
      <c r="P933" s="42"/>
      <c r="Q933" s="42"/>
      <c r="R933" s="42"/>
      <c r="S933" s="42"/>
      <c r="T933" s="42"/>
      <c r="U933" s="42"/>
      <c r="V933" s="42"/>
      <c r="W933" s="42"/>
      <c r="X933" s="42"/>
      <c r="Y933" s="42"/>
      <c r="Z933" s="42"/>
    </row>
    <row r="934">
      <c r="A934" s="41" t="str">
        <f>IFERROR(__xludf.DUMMYFUNCTION("""COMPUTED_VALUE"""),"P-060")</f>
        <v>P-060</v>
      </c>
      <c r="B934" s="42" t="str">
        <f>IFERROR(__xludf.DUMMYFUNCTION("""COMPUTED_VALUE"""),"Partner")</f>
        <v>Partner</v>
      </c>
      <c r="C934" s="42" t="str">
        <f>IFERROR(__xludf.DUMMYFUNCTION("""COMPUTED_VALUE"""),"Henryka Abott")</f>
        <v>Henryka Abott</v>
      </c>
      <c r="D934" s="42" t="str">
        <f>IFERROR(__xludf.DUMMYFUNCTION("""COMPUTED_VALUE"""),"Borubora")</f>
        <v>Borubora</v>
      </c>
      <c r="E934" s="42" t="str">
        <f>IFERROR(__xludf.DUMMYFUNCTION("""COMPUTED_VALUE"""),"-")</f>
        <v>-</v>
      </c>
      <c r="F934" s="42" t="str">
        <f>IFERROR(__xludf.DUMMYFUNCTION("""COMPUTED_VALUE"""),"-")</f>
        <v>-</v>
      </c>
      <c r="G934" s="42" t="str">
        <f>IFERROR(__xludf.DUMMYFUNCTION("""COMPUTED_VALUE"""),"None")</f>
        <v>None</v>
      </c>
      <c r="H934" s="42" t="str">
        <f>IFERROR(__xludf.DUMMYFUNCTION("""COMPUTED_VALUE"""),"Sealed Heart")</f>
        <v>Sealed Heart</v>
      </c>
      <c r="I934" s="43" t="str">
        <f>IFERROR(__xludf.DUMMYFUNCTION("""COMPUTED_VALUE"""),"[SEND THIS CARD TO THE DISCARD PILE] If your opponent turned back pages of their Spell Book with their card effects during this turn, inflict 3 Damage on your opponent.")</f>
        <v>[SEND THIS CARD TO THE DISCARD PILE] If your opponent turned back pages of their Spell Book with their card effects during this turn, inflict 3 Damage on your opponent.</v>
      </c>
      <c r="J934" s="42" t="str">
        <f>IFERROR(__xludf.DUMMYFUNCTION("""COMPUTED_VALUE"""),"-")</f>
        <v>-</v>
      </c>
      <c r="K934" s="42" t="str">
        <f>IFERROR(__xludf.DUMMYFUNCTION("""COMPUTED_VALUE"""),"-")</f>
        <v>-</v>
      </c>
      <c r="L934" s="42" t="str">
        <f>IFERROR(__xludf.DUMMYFUNCTION("""COMPUTED_VALUE"""),"-")</f>
        <v>-</v>
      </c>
      <c r="M934" s="42" t="str">
        <f>IFERROR(__xludf.DUMMYFUNCTION("""COMPUTED_VALUE"""),"[C]")</f>
        <v>[C]</v>
      </c>
      <c r="N934" s="42" t="str">
        <f>IFERROR(__xludf.DUMMYFUNCTION("""COMPUTED_VALUE"""),"With his heart being manipulated, he participates in the mamodo battles against his will.")</f>
        <v>With his heart being manipulated, he participates in the mamodo battles against his will.</v>
      </c>
      <c r="O934" s="42"/>
      <c r="P934" s="42"/>
      <c r="Q934" s="42"/>
      <c r="R934" s="42"/>
      <c r="S934" s="42"/>
      <c r="T934" s="42"/>
      <c r="U934" s="42"/>
      <c r="V934" s="42"/>
      <c r="W934" s="42"/>
      <c r="X934" s="42"/>
      <c r="Y934" s="42"/>
      <c r="Z934" s="42"/>
    </row>
    <row r="935">
      <c r="A935" s="41" t="str">
        <f>IFERROR(__xludf.DUMMYFUNCTION("""COMPUTED_VALUE"""),"P-061")</f>
        <v>P-061</v>
      </c>
      <c r="B935" s="42" t="str">
        <f>IFERROR(__xludf.DUMMYFUNCTION("""COMPUTED_VALUE"""),"Partner")</f>
        <v>Partner</v>
      </c>
      <c r="C935" s="42" t="str">
        <f>IFERROR(__xludf.DUMMYFUNCTION("""COMPUTED_VALUE"""),"Francoise Cardan")</f>
        <v>Francoise Cardan</v>
      </c>
      <c r="D935" s="42" t="str">
        <f>IFERROR(__xludf.DUMMYFUNCTION("""COMPUTED_VALUE"""),"Erujo")</f>
        <v>Erujo</v>
      </c>
      <c r="E935" s="42" t="str">
        <f>IFERROR(__xludf.DUMMYFUNCTION("""COMPUTED_VALUE"""),"-")</f>
        <v>-</v>
      </c>
      <c r="F935" s="42" t="str">
        <f>IFERROR(__xludf.DUMMYFUNCTION("""COMPUTED_VALUE"""),"-")</f>
        <v>-</v>
      </c>
      <c r="G935" s="42" t="str">
        <f>IFERROR(__xludf.DUMMYFUNCTION("""COMPUTED_VALUE"""),"None")</f>
        <v>None</v>
      </c>
      <c r="H935" s="42" t="str">
        <f>IFERROR(__xludf.DUMMYFUNCTION("""COMPUTED_VALUE"""),"Lost Heart")</f>
        <v>Lost Heart</v>
      </c>
      <c r="I935" s="43" t="str">
        <f>IFERROR(__xludf.DUMMYFUNCTION("""COMPUTED_VALUE"""),"[SEND THIS CARD TO THE DISCARD PILE] If your opponent turned pages of your Spell Book with their card effects during this turn (except from Damage), inflict 3 Damage on your opponent.")</f>
        <v>[SEND THIS CARD TO THE DISCARD PILE] If your opponent turned pages of your Spell Book with their card effects during this turn (except from Damage), inflict 3 Damage on your opponent.</v>
      </c>
      <c r="J935" s="42" t="str">
        <f>IFERROR(__xludf.DUMMYFUNCTION("""COMPUTED_VALUE"""),"-")</f>
        <v>-</v>
      </c>
      <c r="K935" s="42" t="str">
        <f>IFERROR(__xludf.DUMMYFUNCTION("""COMPUTED_VALUE"""),"-")</f>
        <v>-</v>
      </c>
      <c r="L935" s="42" t="str">
        <f>IFERROR(__xludf.DUMMYFUNCTION("""COMPUTED_VALUE"""),"-")</f>
        <v>-</v>
      </c>
      <c r="M935" s="42" t="str">
        <f>IFERROR(__xludf.DUMMYFUNCTION("""COMPUTED_VALUE"""),"[C]")</f>
        <v>[C]</v>
      </c>
      <c r="N935" s="42" t="str">
        <f>IFERROR(__xludf.DUMMYFUNCTION("""COMPUTED_VALUE"""),"As his heart is being manipulated, he desperately protects the spell book with his life.")</f>
        <v>As his heart is being manipulated, he desperately protects the spell book with his life.</v>
      </c>
      <c r="O935" s="42"/>
      <c r="P935" s="42"/>
      <c r="Q935" s="42"/>
      <c r="R935" s="42"/>
      <c r="S935" s="42"/>
      <c r="T935" s="42"/>
      <c r="U935" s="42"/>
      <c r="V935" s="42"/>
      <c r="W935" s="42"/>
      <c r="X935" s="42"/>
      <c r="Y935" s="42"/>
      <c r="Z935" s="42"/>
    </row>
    <row r="936">
      <c r="A936" s="41" t="str">
        <f>IFERROR(__xludf.DUMMYFUNCTION("""COMPUTED_VALUE"""),"P-062")</f>
        <v>P-062</v>
      </c>
      <c r="B936" s="42" t="str">
        <f>IFERROR(__xludf.DUMMYFUNCTION("""COMPUTED_VALUE"""),"Partner")</f>
        <v>Partner</v>
      </c>
      <c r="C936" s="42" t="str">
        <f>IFERROR(__xludf.DUMMYFUNCTION("""COMPUTED_VALUE"""),"Mamiko Takahashi")</f>
        <v>Mamiko Takahashi</v>
      </c>
      <c r="D936" s="42" t="str">
        <f>IFERROR(__xludf.DUMMYFUNCTION("""COMPUTED_VALUE"""),"Alm")</f>
        <v>Alm</v>
      </c>
      <c r="E936" s="42" t="str">
        <f>IFERROR(__xludf.DUMMYFUNCTION("""COMPUTED_VALUE"""),"-")</f>
        <v>-</v>
      </c>
      <c r="F936" s="42" t="str">
        <f>IFERROR(__xludf.DUMMYFUNCTION("""COMPUTED_VALUE"""),"-")</f>
        <v>-</v>
      </c>
      <c r="G936" s="42" t="str">
        <f>IFERROR(__xludf.DUMMYFUNCTION("""COMPUTED_VALUE"""),"None")</f>
        <v>None</v>
      </c>
      <c r="H936" s="42" t="str">
        <f>IFERROR(__xludf.DUMMYFUNCTION("""COMPUTED_VALUE"""),"Esper Mamiko")</f>
        <v>Esper Mamiko</v>
      </c>
      <c r="I936" s="43" t="str">
        <f>IFERROR(__xludf.DUMMYFUNCTION("""COMPUTED_VALUE"""),"[IN PLAY] During the Battle when your Alm MAMODO card Attacks, your MP cannot be reduced by your opponent's card effects.")</f>
        <v>[IN PLAY] During the Battle when your Alm MAMODO card Attacks, your MP cannot be reduced by your opponent's card effects.</v>
      </c>
      <c r="J936" s="42" t="str">
        <f>IFERROR(__xludf.DUMMYFUNCTION("""COMPUTED_VALUE"""),"-")</f>
        <v>-</v>
      </c>
      <c r="K936" s="42" t="str">
        <f>IFERROR(__xludf.DUMMYFUNCTION("""COMPUTED_VALUE"""),"-")</f>
        <v>-</v>
      </c>
      <c r="L936" s="42" t="str">
        <f>IFERROR(__xludf.DUMMYFUNCTION("""COMPUTED_VALUE"""),"-")</f>
        <v>-</v>
      </c>
      <c r="M936" s="42" t="str">
        <f>IFERROR(__xludf.DUMMYFUNCTION("""COMPUTED_VALUE"""),"[U]")</f>
        <v>[U]</v>
      </c>
      <c r="N936" s="42" t="str">
        <f>IFERROR(__xludf.DUMMYFUNCTION("""COMPUTED_VALUE"""),"As it turns out, she is actually a fan of Folgore.")</f>
        <v>As it turns out, she is actually a fan of Folgore.</v>
      </c>
      <c r="O936" s="42"/>
      <c r="P936" s="42"/>
      <c r="Q936" s="42"/>
      <c r="R936" s="42"/>
      <c r="S936" s="42"/>
      <c r="T936" s="42"/>
      <c r="U936" s="42"/>
      <c r="V936" s="42"/>
      <c r="W936" s="42"/>
      <c r="X936" s="42"/>
      <c r="Y936" s="42"/>
      <c r="Z936" s="42"/>
    </row>
    <row r="937">
      <c r="A937" s="41" t="str">
        <f>IFERROR(__xludf.DUMMYFUNCTION("""COMPUTED_VALUE"""),"P-063")</f>
        <v>P-063</v>
      </c>
      <c r="B937" s="42" t="str">
        <f>IFERROR(__xludf.DUMMYFUNCTION("""COMPUTED_VALUE"""),"Partner")</f>
        <v>Partner</v>
      </c>
      <c r="C937" s="42" t="str">
        <f>IFERROR(__xludf.DUMMYFUNCTION("""COMPUTED_VALUE"""),"John Owen")</f>
        <v>John Owen</v>
      </c>
      <c r="D937" s="42" t="str">
        <f>IFERROR(__xludf.DUMMYFUNCTION("""COMPUTED_VALUE"""),"Gelios")</f>
        <v>Gelios</v>
      </c>
      <c r="E937" s="42" t="str">
        <f>IFERROR(__xludf.DUMMYFUNCTION("""COMPUTED_VALUE"""),"-")</f>
        <v>-</v>
      </c>
      <c r="F937" s="42" t="str">
        <f>IFERROR(__xludf.DUMMYFUNCTION("""COMPUTED_VALUE"""),"-")</f>
        <v>-</v>
      </c>
      <c r="G937" s="42" t="str">
        <f>IFERROR(__xludf.DUMMYFUNCTION("""COMPUTED_VALUE"""),"None")</f>
        <v>None</v>
      </c>
      <c r="H937" s="42" t="str">
        <f>IFERROR(__xludf.DUMMYFUNCTION("""COMPUTED_VALUE"""),"Baseball Player")</f>
        <v>Baseball Player</v>
      </c>
      <c r="I937" s="43" t="str">
        <f>IFERROR(__xludf.DUMMYFUNCTION("""COMPUTED_VALUE"""),"[SEND THIS CARD TO THE DISCARD PILE] [STAY] Your opponent cannot apply the effects of their MAMODO cards (except Stone Tablet MAMODO cards) during this turn.")</f>
        <v>[SEND THIS CARD TO THE DISCARD PILE] [STAY] Your opponent cannot apply the effects of their MAMODO cards (except Stone Tablet MAMODO cards) during this turn.</v>
      </c>
      <c r="J937" s="42" t="str">
        <f>IFERROR(__xludf.DUMMYFUNCTION("""COMPUTED_VALUE"""),"-")</f>
        <v>-</v>
      </c>
      <c r="K937" s="42" t="str">
        <f>IFERROR(__xludf.DUMMYFUNCTION("""COMPUTED_VALUE"""),"-")</f>
        <v>-</v>
      </c>
      <c r="L937" s="42" t="str">
        <f>IFERROR(__xludf.DUMMYFUNCTION("""COMPUTED_VALUE"""),"-")</f>
        <v>-</v>
      </c>
      <c r="M937" s="42" t="str">
        <f>IFERROR(__xludf.DUMMYFUNCTION("""COMPUTED_VALUE"""),"[U]")</f>
        <v>[U]</v>
      </c>
      <c r="N937" s="42" t="str">
        <f>IFERROR(__xludf.DUMMYFUNCTION("""COMPUTED_VALUE"""),"A baseball player who wears the number 6 on his uniform.")</f>
        <v>A baseball player who wears the number 6 on his uniform.</v>
      </c>
      <c r="O937" s="42"/>
      <c r="P937" s="42"/>
      <c r="Q937" s="42"/>
      <c r="R937" s="42"/>
      <c r="S937" s="42"/>
      <c r="T937" s="42"/>
      <c r="U937" s="42"/>
      <c r="V937" s="42"/>
      <c r="W937" s="42"/>
      <c r="X937" s="42"/>
      <c r="Y937" s="42"/>
      <c r="Z937" s="42"/>
    </row>
    <row r="938">
      <c r="A938" s="41" t="str">
        <f>IFERROR(__xludf.DUMMYFUNCTION("""COMPUTED_VALUE"""),"P-064")</f>
        <v>P-064</v>
      </c>
      <c r="B938" s="42" t="str">
        <f>IFERROR(__xludf.DUMMYFUNCTION("""COMPUTED_VALUE"""),"Partner")</f>
        <v>Partner</v>
      </c>
      <c r="C938" s="42" t="str">
        <f>IFERROR(__xludf.DUMMYFUNCTION("""COMPUTED_VALUE"""),"Billy Ferris")</f>
        <v>Billy Ferris</v>
      </c>
      <c r="D938" s="42" t="str">
        <f>IFERROR(__xludf.DUMMYFUNCTION("""COMPUTED_VALUE"""),"Gantz")</f>
        <v>Gantz</v>
      </c>
      <c r="E938" s="42" t="str">
        <f>IFERROR(__xludf.DUMMYFUNCTION("""COMPUTED_VALUE"""),"-")</f>
        <v>-</v>
      </c>
      <c r="F938" s="42" t="str">
        <f>IFERROR(__xludf.DUMMYFUNCTION("""COMPUTED_VALUE"""),"-")</f>
        <v>-</v>
      </c>
      <c r="G938" s="42" t="str">
        <f>IFERROR(__xludf.DUMMYFUNCTION("""COMPUTED_VALUE"""),"None")</f>
        <v>None</v>
      </c>
      <c r="H938" s="42" t="str">
        <f>IFERROR(__xludf.DUMMYFUNCTION("""COMPUTED_VALUE"""),"Controlled Heart")</f>
        <v>Controlled Heart</v>
      </c>
      <c r="I938" s="43" t="str">
        <f>IFERROR(__xludf.DUMMYFUNCTION("""COMPUTED_VALUE"""),"(Battle)[SEND THIS CARD TO THE DISCARD PILE] Negate the Attack your opponent just declared with any of their MAMODO cards in the Battle (except Stone Tablet MAMODO cards).")</f>
        <v>(Battle)[SEND THIS CARD TO THE DISCARD PILE] Negate the Attack your opponent just declared with any of their MAMODO cards in the Battle (except Stone Tablet MAMODO cards).</v>
      </c>
      <c r="J938" s="42" t="str">
        <f>IFERROR(__xludf.DUMMYFUNCTION("""COMPUTED_VALUE"""),"-")</f>
        <v>-</v>
      </c>
      <c r="K938" s="42" t="str">
        <f>IFERROR(__xludf.DUMMYFUNCTION("""COMPUTED_VALUE"""),"-")</f>
        <v>-</v>
      </c>
      <c r="L938" s="42" t="str">
        <f>IFERROR(__xludf.DUMMYFUNCTION("""COMPUTED_VALUE"""),"-")</f>
        <v>-</v>
      </c>
      <c r="M938" s="42" t="str">
        <f>IFERROR(__xludf.DUMMYFUNCTION("""COMPUTED_VALUE"""),"[U]")</f>
        <v>[U]</v>
      </c>
      <c r="N938" s="42" t="str">
        <f>IFERROR(__xludf.DUMMYFUNCTION("""COMPUTED_VALUE"""),"His heart was being manipulated... until he was saved by Folgore.")</f>
        <v>His heart was being manipulated... until he was saved by Folgore.</v>
      </c>
      <c r="O938" s="42"/>
      <c r="P938" s="42"/>
      <c r="Q938" s="42"/>
      <c r="R938" s="42"/>
      <c r="S938" s="42"/>
      <c r="T938" s="42"/>
      <c r="U938" s="42"/>
      <c r="V938" s="42"/>
      <c r="W938" s="42"/>
      <c r="X938" s="42"/>
      <c r="Y938" s="42"/>
      <c r="Z938" s="42"/>
    </row>
    <row r="939">
      <c r="A939" s="41" t="str">
        <f>IFERROR(__xludf.DUMMYFUNCTION("""COMPUTED_VALUE"""),"P-065")</f>
        <v>P-065</v>
      </c>
      <c r="B939" s="42" t="str">
        <f>IFERROR(__xludf.DUMMYFUNCTION("""COMPUTED_VALUE"""),"Partner")</f>
        <v>Partner</v>
      </c>
      <c r="C939" s="42" t="str">
        <f>IFERROR(__xludf.DUMMYFUNCTION("""COMPUTED_VALUE"""),"Mohawk Ace")</f>
        <v>Mohawk Ace</v>
      </c>
      <c r="D939" s="42" t="str">
        <f>IFERROR(__xludf.DUMMYFUNCTION("""COMPUTED_VALUE"""),"Victoream")</f>
        <v>Victoream</v>
      </c>
      <c r="E939" s="42" t="str">
        <f>IFERROR(__xludf.DUMMYFUNCTION("""COMPUTED_VALUE"""),"-")</f>
        <v>-</v>
      </c>
      <c r="F939" s="42" t="str">
        <f>IFERROR(__xludf.DUMMYFUNCTION("""COMPUTED_VALUE"""),"-")</f>
        <v>-</v>
      </c>
      <c r="G939" s="42" t="str">
        <f>IFERROR(__xludf.DUMMYFUNCTION("""COMPUTED_VALUE"""),"None")</f>
        <v>None</v>
      </c>
      <c r="H939" s="42" t="str">
        <f>IFERROR(__xludf.DUMMYFUNCTION("""COMPUTED_VALUE"""),"Obeying Victoream")</f>
        <v>Obeying Victoream</v>
      </c>
      <c r="I939" s="43" t="str">
        <f>IFERROR(__xludf.DUMMYFUNCTION("""COMPUTED_VALUE"""),"(Cut-In)[SEND THIS CARD TO THE DISCARD PILE] Negate the effect your opponent just applied that targeted your in-play Victoream MAMODO card.")</f>
        <v>(Cut-In)[SEND THIS CARD TO THE DISCARD PILE] Negate the effect your opponent just applied that targeted your in-play Victoream MAMODO card.</v>
      </c>
      <c r="J939" s="42" t="str">
        <f>IFERROR(__xludf.DUMMYFUNCTION("""COMPUTED_VALUE"""),"-")</f>
        <v>-</v>
      </c>
      <c r="K939" s="42" t="str">
        <f>IFERROR(__xludf.DUMMYFUNCTION("""COMPUTED_VALUE"""),"-")</f>
        <v>-</v>
      </c>
      <c r="L939" s="42" t="str">
        <f>IFERROR(__xludf.DUMMYFUNCTION("""COMPUTED_VALUE"""),"-")</f>
        <v>-</v>
      </c>
      <c r="M939" s="42" t="str">
        <f>IFERROR(__xludf.DUMMYFUNCTION("""COMPUTED_VALUE"""),"[R]")</f>
        <v>[R]</v>
      </c>
      <c r="N939" s="42" t="str">
        <f>IFERROR(__xludf.DUMMYFUNCTION("""COMPUTED_VALUE"""),"He followed Victoream's orders and tried his best to protect the spell book... but Victoream was deceived and kicked him away.")</f>
        <v>He followed Victoream's orders and tried his best to protect the spell book... but Victoream was deceived and kicked him away.</v>
      </c>
      <c r="O939" s="42"/>
      <c r="P939" s="42"/>
      <c r="Q939" s="42"/>
      <c r="R939" s="42"/>
      <c r="S939" s="42"/>
      <c r="T939" s="42"/>
      <c r="U939" s="42"/>
      <c r="V939" s="42"/>
      <c r="W939" s="42"/>
      <c r="X939" s="42"/>
      <c r="Y939" s="42"/>
      <c r="Z939" s="42"/>
    </row>
    <row r="940">
      <c r="A940" s="41" t="str">
        <f>IFERROR(__xludf.DUMMYFUNCTION("""COMPUTED_VALUE"""),"P-066")</f>
        <v>P-066</v>
      </c>
      <c r="B940" s="42" t="str">
        <f>IFERROR(__xludf.DUMMYFUNCTION("""COMPUTED_VALUE"""),"Partner")</f>
        <v>Partner</v>
      </c>
      <c r="C940" s="42" t="str">
        <f>IFERROR(__xludf.DUMMYFUNCTION("""COMPUTED_VALUE"""),"Kiyo Takamine")</f>
        <v>Kiyo Takamine</v>
      </c>
      <c r="D940" s="42" t="str">
        <f>IFERROR(__xludf.DUMMYFUNCTION("""COMPUTED_VALUE"""),"Zatch Bell")</f>
        <v>Zatch Bell</v>
      </c>
      <c r="E940" s="42" t="str">
        <f>IFERROR(__xludf.DUMMYFUNCTION("""COMPUTED_VALUE"""),"-")</f>
        <v>-</v>
      </c>
      <c r="F940" s="42" t="str">
        <f>IFERROR(__xludf.DUMMYFUNCTION("""COMPUTED_VALUE"""),"-")</f>
        <v>-</v>
      </c>
      <c r="G940" s="42" t="str">
        <f>IFERROR(__xludf.DUMMYFUNCTION("""COMPUTED_VALUE"""),"None")</f>
        <v>None</v>
      </c>
      <c r="H940" s="42" t="str">
        <f>IFERROR(__xludf.DUMMYFUNCTION("""COMPUTED_VALUE"""),"-")</f>
        <v>-</v>
      </c>
      <c r="I940" s="43" t="str">
        <f>IFERROR(__xludf.DUMMYFUNCTION("""COMPUTED_VALUE"""),"[SEND THIS CARD TO THE DISCARD PILE] [STANDBY] During the next Battle this turn when your Zatch Bell MAMODO card Attacks, your opponent can neither SACRIFICE nor PROTECT their Spell Book from Damage.")</f>
        <v>[SEND THIS CARD TO THE DISCARD PILE] [STANDBY] During the next Battle this turn when your Zatch Bell MAMODO card Attacks, your opponent can neither SACRIFICE nor PROTECT their Spell Book from Damage.</v>
      </c>
      <c r="J940" s="42" t="str">
        <f>IFERROR(__xludf.DUMMYFUNCTION("""COMPUTED_VALUE"""),"-")</f>
        <v>-</v>
      </c>
      <c r="K940" s="42" t="str">
        <f>IFERROR(__xludf.DUMMYFUNCTION("""COMPUTED_VALUE"""),"-")</f>
        <v>-</v>
      </c>
      <c r="L940" s="42" t="str">
        <f>IFERROR(__xludf.DUMMYFUNCTION("""COMPUTED_VALUE"""),"Dawn of the Ancients, Series 4, Level 0, File 1: Zatch Bell &amp; Ponygon")</f>
        <v>Dawn of the Ancients, Series 4, Level 0, File 1: Zatch Bell &amp; Ponygon</v>
      </c>
      <c r="M940" s="42" t="str">
        <f>IFERROR(__xludf.DUMMYFUNCTION("""COMPUTED_VALUE"""),"[C]")</f>
        <v>[C]</v>
      </c>
      <c r="N940" s="42" t="str">
        <f>IFERROR(__xludf.DUMMYFUNCTION("""COMPUTED_VALUE"""),"""I cannot let such a mamodo be a king!""")</f>
        <v>"I cannot let such a mamodo be a king!"</v>
      </c>
      <c r="O940" s="42"/>
      <c r="P940" s="42"/>
      <c r="Q940" s="42"/>
      <c r="R940" s="42"/>
      <c r="S940" s="42"/>
      <c r="T940" s="42"/>
      <c r="U940" s="42"/>
      <c r="V940" s="42"/>
      <c r="W940" s="42"/>
      <c r="X940" s="42"/>
      <c r="Y940" s="42"/>
      <c r="Z940" s="42"/>
    </row>
    <row r="941">
      <c r="A941" s="41" t="str">
        <f>IFERROR(__xludf.DUMMYFUNCTION("""COMPUTED_VALUE"""),"P-067")</f>
        <v>P-067</v>
      </c>
      <c r="B941" s="42" t="str">
        <f>IFERROR(__xludf.DUMMYFUNCTION("""COMPUTED_VALUE"""),"Partner")</f>
        <v>Partner</v>
      </c>
      <c r="C941" s="42" t="str">
        <f>IFERROR(__xludf.DUMMYFUNCTION("""COMPUTED_VALUE"""),"Parco Folgore")</f>
        <v>Parco Folgore</v>
      </c>
      <c r="D941" s="42" t="str">
        <f>IFERROR(__xludf.DUMMYFUNCTION("""COMPUTED_VALUE"""),"Kanchome")</f>
        <v>Kanchome</v>
      </c>
      <c r="E941" s="42" t="str">
        <f>IFERROR(__xludf.DUMMYFUNCTION("""COMPUTED_VALUE"""),"-")</f>
        <v>-</v>
      </c>
      <c r="F941" s="42" t="str">
        <f>IFERROR(__xludf.DUMMYFUNCTION("""COMPUTED_VALUE"""),"-")</f>
        <v>-</v>
      </c>
      <c r="G941" s="42" t="str">
        <f>IFERROR(__xludf.DUMMYFUNCTION("""COMPUTED_VALUE"""),"None")</f>
        <v>None</v>
      </c>
      <c r="H941" s="42" t="str">
        <f>IFERROR(__xludf.DUMMYFUNCTION("""COMPUTED_VALUE"""),"Desperate Folgore")</f>
        <v>Desperate Folgore</v>
      </c>
      <c r="I941" s="43" t="str">
        <f>IFERROR(__xludf.DUMMYFUNCTION("""COMPUTED_VALUE"""),"[SEND THIS CARD TO THE DISCARD PILE] [STAY] Select 1 of your opponent's in-play MAMODO cards. Your opponent can neither apply the effects of the selected MAMODO card, nor can they apply the effects of the attached PARTNER card, during this turn.")</f>
        <v>[SEND THIS CARD TO THE DISCARD PILE] [STAY] Select 1 of your opponent's in-play MAMODO cards. Your opponent can neither apply the effects of the selected MAMODO card, nor can they apply the effects of the attached PARTNER card, during this turn.</v>
      </c>
      <c r="J941" s="42" t="str">
        <f>IFERROR(__xludf.DUMMYFUNCTION("""COMPUTED_VALUE"""),"-")</f>
        <v>-</v>
      </c>
      <c r="K941" s="42" t="str">
        <f>IFERROR(__xludf.DUMMYFUNCTION("""COMPUTED_VALUE"""),"-")</f>
        <v>-</v>
      </c>
      <c r="L941" s="42" t="str">
        <f>IFERROR(__xludf.DUMMYFUNCTION("""COMPUTED_VALUE"""),"-")</f>
        <v>-</v>
      </c>
      <c r="M941" s="42" t="str">
        <f>IFERROR(__xludf.DUMMYFUNCTION("""COMPUTED_VALUE"""),"[U]")</f>
        <v>[U]</v>
      </c>
      <c r="N941" s="42" t="str">
        <f>IFERROR(__xludf.DUMMYFUNCTION("""COMPUTED_VALUE"""),"""We're going to win this thing using only our own strength!""")</f>
        <v>"We're going to win this thing using only our own strength!"</v>
      </c>
      <c r="O941" s="42"/>
      <c r="P941" s="42"/>
      <c r="Q941" s="42"/>
      <c r="R941" s="42"/>
      <c r="S941" s="42"/>
      <c r="T941" s="42"/>
      <c r="U941" s="42"/>
      <c r="V941" s="42"/>
      <c r="W941" s="42"/>
      <c r="X941" s="42"/>
      <c r="Y941" s="42"/>
      <c r="Z941" s="42"/>
    </row>
    <row r="942">
      <c r="A942" s="41" t="str">
        <f>IFERROR(__xludf.DUMMYFUNCTION("""COMPUTED_VALUE"""),"P-068")</f>
        <v>P-068</v>
      </c>
      <c r="B942" s="42" t="str">
        <f>IFERROR(__xludf.DUMMYFUNCTION("""COMPUTED_VALUE"""),"Partner")</f>
        <v>Partner</v>
      </c>
      <c r="C942" s="42" t="str">
        <f>IFERROR(__xludf.DUMMYFUNCTION("""COMPUTED_VALUE"""),"Parco Folgore")</f>
        <v>Parco Folgore</v>
      </c>
      <c r="D942" s="42" t="str">
        <f>IFERROR(__xludf.DUMMYFUNCTION("""COMPUTED_VALUE"""),"Kanchome")</f>
        <v>Kanchome</v>
      </c>
      <c r="E942" s="42" t="str">
        <f>IFERROR(__xludf.DUMMYFUNCTION("""COMPUTED_VALUE"""),"-")</f>
        <v>-</v>
      </c>
      <c r="F942" s="42" t="str">
        <f>IFERROR(__xludf.DUMMYFUNCTION("""COMPUTED_VALUE"""),"-")</f>
        <v>-</v>
      </c>
      <c r="G942" s="42" t="str">
        <f>IFERROR(__xludf.DUMMYFUNCTION("""COMPUTED_VALUE"""),"None")</f>
        <v>None</v>
      </c>
      <c r="H942" s="42" t="str">
        <f>IFERROR(__xludf.DUMMYFUNCTION("""COMPUTED_VALUE"""),"-")</f>
        <v>-</v>
      </c>
      <c r="I942" s="43" t="str">
        <f>IFERROR(__xludf.DUMMYFUNCTION("""COMPUTED_VALUE"""),"[SEND THIS CARD TO THE DISCARD PILE] Apply 1 of the following effects: ● Reduce your opponent's MP by 2. ● Get 2 MP.")</f>
        <v>[SEND THIS CARD TO THE DISCARD PILE] Apply 1 of the following effects: ● Reduce your opponent's MP by 2. ● Get 2 MP.</v>
      </c>
      <c r="J942" s="42" t="str">
        <f>IFERROR(__xludf.DUMMYFUNCTION("""COMPUTED_VALUE"""),"-")</f>
        <v>-</v>
      </c>
      <c r="K942" s="42" t="str">
        <f>IFERROR(__xludf.DUMMYFUNCTION("""COMPUTED_VALUE"""),"-")</f>
        <v>-</v>
      </c>
      <c r="L942" s="42" t="str">
        <f>IFERROR(__xludf.DUMMYFUNCTION("""COMPUTED_VALUE"""),"Dawn of the Ancients, Series 4, Level 0")</f>
        <v>Dawn of the Ancients, Series 4, Level 0</v>
      </c>
      <c r="M942" s="42" t="str">
        <f>IFERROR(__xludf.DUMMYFUNCTION("""COMPUTED_VALUE"""),"[C]")</f>
        <v>[C]</v>
      </c>
      <c r="N942" s="42" t="str">
        <f>IFERROR(__xludf.DUMMYFUNCTION("""COMPUTED_VALUE"""),"""Taada!""")</f>
        <v>"Taada!"</v>
      </c>
      <c r="O942" s="42"/>
      <c r="P942" s="42"/>
      <c r="Q942" s="42"/>
      <c r="R942" s="42"/>
      <c r="S942" s="42"/>
      <c r="T942" s="42"/>
      <c r="U942" s="42"/>
      <c r="V942" s="42"/>
      <c r="W942" s="42"/>
      <c r="X942" s="42"/>
      <c r="Y942" s="42"/>
      <c r="Z942" s="42"/>
    </row>
    <row r="943">
      <c r="A943" s="41" t="str">
        <f>IFERROR(__xludf.DUMMYFUNCTION("""COMPUTED_VALUE"""),"P-069")</f>
        <v>P-069</v>
      </c>
      <c r="B943" s="42" t="str">
        <f>IFERROR(__xludf.DUMMYFUNCTION("""COMPUTED_VALUE"""),"Partner")</f>
        <v>Partner</v>
      </c>
      <c r="C943" s="42" t="str">
        <f>IFERROR(__xludf.DUMMYFUNCTION("""COMPUTED_VALUE"""),"Megumi")</f>
        <v>Megumi</v>
      </c>
      <c r="D943" s="42" t="str">
        <f>IFERROR(__xludf.DUMMYFUNCTION("""COMPUTED_VALUE"""),"Tia")</f>
        <v>Tia</v>
      </c>
      <c r="E943" s="42" t="str">
        <f>IFERROR(__xludf.DUMMYFUNCTION("""COMPUTED_VALUE"""),"-")</f>
        <v>-</v>
      </c>
      <c r="F943" s="42" t="str">
        <f>IFERROR(__xludf.DUMMYFUNCTION("""COMPUTED_VALUE"""),"-")</f>
        <v>-</v>
      </c>
      <c r="G943" s="42" t="str">
        <f>IFERROR(__xludf.DUMMYFUNCTION("""COMPUTED_VALUE"""),"None")</f>
        <v>None</v>
      </c>
      <c r="H943" s="42" t="str">
        <f>IFERROR(__xludf.DUMMYFUNCTION("""COMPUTED_VALUE"""),"-")</f>
        <v>-</v>
      </c>
      <c r="I943" s="43" t="str">
        <f>IFERROR(__xludf.DUMMYFUNCTION("""COMPUTED_VALUE"""),"[SEND THIS CARD TO THE DISCARD PILE] (Battle) Negate 1 SPELL card your opponent played in the Battle. The SPELL card cannot be negated if it cannot be Defended.")</f>
        <v>[SEND THIS CARD TO THE DISCARD PILE] (Battle) Negate 1 SPELL card your opponent played in the Battle. The SPELL card cannot be negated if it cannot be Defended.</v>
      </c>
      <c r="J943" s="42" t="str">
        <f>IFERROR(__xludf.DUMMYFUNCTION("""COMPUTED_VALUE"""),"-")</f>
        <v>-</v>
      </c>
      <c r="K943" s="42" t="str">
        <f>IFERROR(__xludf.DUMMYFUNCTION("""COMPUTED_VALUE"""),"-")</f>
        <v>-</v>
      </c>
      <c r="L943" s="42" t="str">
        <f>IFERROR(__xludf.DUMMYFUNCTION("""COMPUTED_VALUE"""),"Dawn of the Ancients, Series 4, Level 0, Revised Edition")</f>
        <v>Dawn of the Ancients, Series 4, Level 0, Revised Edition</v>
      </c>
      <c r="M943" s="42" t="str">
        <f>IFERROR(__xludf.DUMMYFUNCTION("""COMPUTED_VALUE"""),"[C]")</f>
        <v>[C]</v>
      </c>
      <c r="N943" s="42" t="str">
        <f>IFERROR(__xludf.DUMMYFUNCTION("""COMPUTED_VALUE"""),"""Your opponent is here!""")</f>
        <v>"Your opponent is here!"</v>
      </c>
      <c r="O943" s="42"/>
      <c r="P943" s="42"/>
      <c r="Q943" s="42"/>
      <c r="R943" s="42"/>
      <c r="S943" s="42"/>
      <c r="T943" s="42"/>
      <c r="U943" s="42"/>
      <c r="V943" s="42"/>
      <c r="W943" s="42"/>
      <c r="X943" s="42"/>
      <c r="Y943" s="42"/>
      <c r="Z943" s="42"/>
    </row>
    <row r="944">
      <c r="A944" s="41" t="str">
        <f>IFERROR(__xludf.DUMMYFUNCTION("""COMPUTED_VALUE"""),"P-070")</f>
        <v>P-070</v>
      </c>
      <c r="B944" s="42" t="str">
        <f>IFERROR(__xludf.DUMMYFUNCTION("""COMPUTED_VALUE"""),"Partner")</f>
        <v>Partner</v>
      </c>
      <c r="C944" s="42" t="str">
        <f>IFERROR(__xludf.DUMMYFUNCTION("""COMPUTED_VALUE"""),"Megumi")</f>
        <v>Megumi</v>
      </c>
      <c r="D944" s="42" t="str">
        <f>IFERROR(__xludf.DUMMYFUNCTION("""COMPUTED_VALUE"""),"Tia")</f>
        <v>Tia</v>
      </c>
      <c r="E944" s="42" t="str">
        <f>IFERROR(__xludf.DUMMYFUNCTION("""COMPUTED_VALUE"""),"-")</f>
        <v>-</v>
      </c>
      <c r="F944" s="42" t="str">
        <f>IFERROR(__xludf.DUMMYFUNCTION("""COMPUTED_VALUE"""),"-")</f>
        <v>-</v>
      </c>
      <c r="G944" s="42" t="str">
        <f>IFERROR(__xludf.DUMMYFUNCTION("""COMPUTED_VALUE"""),"None")</f>
        <v>None</v>
      </c>
      <c r="H944" s="42" t="str">
        <f>IFERROR(__xludf.DUMMYFUNCTION("""COMPUTED_VALUE"""),"-")</f>
        <v>-</v>
      </c>
      <c r="I944" s="43" t="str">
        <f>IFERROR(__xludf.DUMMYFUNCTION("""COMPUTED_VALUE"""),"[SEND THIS CARD TO THE DISCARD PILE] (Cut-In) Negate the EVENT card your opponent just played during your BATTLE PHASE.")</f>
        <v>[SEND THIS CARD TO THE DISCARD PILE] (Cut-In) Negate the EVENT card your opponent just played during your BATTLE PHASE.</v>
      </c>
      <c r="J944" s="42" t="str">
        <f>IFERROR(__xludf.DUMMYFUNCTION("""COMPUTED_VALUE"""),"-")</f>
        <v>-</v>
      </c>
      <c r="K944" s="42" t="str">
        <f>IFERROR(__xludf.DUMMYFUNCTION("""COMPUTED_VALUE"""),"-")</f>
        <v>-</v>
      </c>
      <c r="L944" s="42" t="str">
        <f>IFERROR(__xludf.DUMMYFUNCTION("""COMPUTED_VALUE"""),"Secrets of the Ruins, Level 0")</f>
        <v>Secrets of the Ruins, Level 0</v>
      </c>
      <c r="M944" s="42" t="str">
        <f>IFERROR(__xludf.DUMMYFUNCTION("""COMPUTED_VALUE"""),"[U]")</f>
        <v>[U]</v>
      </c>
      <c r="N944" s="42" t="str">
        <f>IFERROR(__xludf.DUMMYFUNCTION("""COMPUTED_VALUE"""),"""I may not look it, but I can more than hold my own in a fight!""")</f>
        <v>"I may not look it, but I can more than hold my own in a fight!"</v>
      </c>
      <c r="O944" s="42"/>
      <c r="P944" s="42"/>
      <c r="Q944" s="42"/>
      <c r="R944" s="42"/>
      <c r="S944" s="42"/>
      <c r="T944" s="42"/>
      <c r="U944" s="42"/>
      <c r="V944" s="42"/>
      <c r="W944" s="42"/>
      <c r="X944" s="42"/>
      <c r="Y944" s="42"/>
      <c r="Z944" s="42"/>
    </row>
    <row r="945">
      <c r="A945" s="41" t="str">
        <f>IFERROR(__xludf.DUMMYFUNCTION("""COMPUTED_VALUE"""),"P-071")</f>
        <v>P-071</v>
      </c>
      <c r="B945" s="42" t="str">
        <f>IFERROR(__xludf.DUMMYFUNCTION("""COMPUTED_VALUE"""),"Partner")</f>
        <v>Partner</v>
      </c>
      <c r="C945" s="42" t="str">
        <f>IFERROR(__xludf.DUMMYFUNCTION("""COMPUTED_VALUE"""),"Kafk Sunbeam")</f>
        <v>Kafk Sunbeam</v>
      </c>
      <c r="D945" s="42" t="str">
        <f>IFERROR(__xludf.DUMMYFUNCTION("""COMPUTED_VALUE"""),"Ponygon")</f>
        <v>Ponygon</v>
      </c>
      <c r="E945" s="42" t="str">
        <f>IFERROR(__xludf.DUMMYFUNCTION("""COMPUTED_VALUE"""),"-")</f>
        <v>-</v>
      </c>
      <c r="F945" s="42" t="str">
        <f>IFERROR(__xludf.DUMMYFUNCTION("""COMPUTED_VALUE"""),"-")</f>
        <v>-</v>
      </c>
      <c r="G945" s="42" t="str">
        <f>IFERROR(__xludf.DUMMYFUNCTION("""COMPUTED_VALUE"""),"None")</f>
        <v>None</v>
      </c>
      <c r="H945" s="42" t="str">
        <f>IFERROR(__xludf.DUMMYFUNCTION("""COMPUTED_VALUE"""),"Speaking through the Heart")</f>
        <v>Speaking through the Heart</v>
      </c>
      <c r="I945" s="43" t="str">
        <f>IFERROR(__xludf.DUMMYFUNCTION("""COMPUTED_VALUE"""),"[IN PLAY] Reduce the MP cost of your SPELL cards with Ponygon as their MAMODO name, and your Ponygon EVENT cards, by 1.")</f>
        <v>[IN PLAY] Reduce the MP cost of your SPELL cards with Ponygon as their MAMODO name, and your Ponygon EVENT cards, by 1.</v>
      </c>
      <c r="J945" s="42" t="str">
        <f>IFERROR(__xludf.DUMMYFUNCTION("""COMPUTED_VALUE"""),"-")</f>
        <v>-</v>
      </c>
      <c r="K945" s="42" t="str">
        <f>IFERROR(__xludf.DUMMYFUNCTION("""COMPUTED_VALUE"""),"-")</f>
        <v>-</v>
      </c>
      <c r="L945" s="42" t="str">
        <f>IFERROR(__xludf.DUMMYFUNCTION("""COMPUTED_VALUE"""),"-")</f>
        <v>-</v>
      </c>
      <c r="M945" s="42" t="str">
        <f>IFERROR(__xludf.DUMMYFUNCTION("""COMPUTED_VALUE"""),"[R]")</f>
        <v>[R]</v>
      </c>
      <c r="N945" s="42" t="str">
        <f>IFERROR(__xludf.DUMMYFUNCTION("""COMPUTED_VALUE"""),"""I don't listen to Ponygon's voice... I listen to the 'feeling' inside his voice.""")</f>
        <v>"I don't listen to Ponygon's voice... I listen to the 'feeling' inside his voice."</v>
      </c>
      <c r="O945" s="42"/>
      <c r="P945" s="42"/>
      <c r="Q945" s="42"/>
      <c r="R945" s="42"/>
      <c r="S945" s="42"/>
      <c r="T945" s="42"/>
      <c r="U945" s="42"/>
      <c r="V945" s="42"/>
      <c r="W945" s="42"/>
      <c r="X945" s="42"/>
      <c r="Y945" s="42"/>
      <c r="Z945" s="42"/>
    </row>
    <row r="946">
      <c r="A946" s="41" t="str">
        <f>IFERROR(__xludf.DUMMYFUNCTION("""COMPUTED_VALUE"""),"P-072")</f>
        <v>P-072</v>
      </c>
      <c r="B946" s="42" t="str">
        <f>IFERROR(__xludf.DUMMYFUNCTION("""COMPUTED_VALUE"""),"Partner")</f>
        <v>Partner</v>
      </c>
      <c r="C946" s="42" t="str">
        <f>IFERROR(__xludf.DUMMYFUNCTION("""COMPUTED_VALUE"""),"Kyle Picard")</f>
        <v>Kyle Picard</v>
      </c>
      <c r="D946" s="42" t="str">
        <f>IFERROR(__xludf.DUMMYFUNCTION("""COMPUTED_VALUE"""),"Ibaris")</f>
        <v>Ibaris</v>
      </c>
      <c r="E946" s="42" t="str">
        <f>IFERROR(__xludf.DUMMYFUNCTION("""COMPUTED_VALUE"""),"-")</f>
        <v>-</v>
      </c>
      <c r="F946" s="42" t="str">
        <f>IFERROR(__xludf.DUMMYFUNCTION("""COMPUTED_VALUE"""),"-")</f>
        <v>-</v>
      </c>
      <c r="G946" s="42" t="str">
        <f>IFERROR(__xludf.DUMMYFUNCTION("""COMPUTED_VALUE"""),"None")</f>
        <v>None</v>
      </c>
      <c r="H946" s="42" t="str">
        <f>IFERROR(__xludf.DUMMYFUNCTION("""COMPUTED_VALUE"""),"Ibaris' Puppet")</f>
        <v>Ibaris' Puppet</v>
      </c>
      <c r="I946" s="43" t="str">
        <f>IFERROR(__xludf.DUMMYFUNCTION("""COMPUTED_VALUE"""),"[IN PLAY] When your Ibaris MAMODO card is the only MAMODO card you have in play, neither player may select your Ibaris MAMODO card with effects that select a card.")</f>
        <v>[IN PLAY] When your Ibaris MAMODO card is the only MAMODO card you have in play, neither player may select your Ibaris MAMODO card with effects that select a card.</v>
      </c>
      <c r="J946" s="42" t="str">
        <f>IFERROR(__xludf.DUMMYFUNCTION("""COMPUTED_VALUE"""),"-")</f>
        <v>-</v>
      </c>
      <c r="K946" s="42" t="str">
        <f>IFERROR(__xludf.DUMMYFUNCTION("""COMPUTED_VALUE"""),"-")</f>
        <v>-</v>
      </c>
      <c r="L946" s="42" t="str">
        <f>IFERROR(__xludf.DUMMYFUNCTION("""COMPUTED_VALUE"""),"-")</f>
        <v>-</v>
      </c>
      <c r="M946" s="42" t="str">
        <f>IFERROR(__xludf.DUMMYFUNCTION("""COMPUTED_VALUE"""),"[C]")</f>
        <v>[C]</v>
      </c>
      <c r="N946" s="42" t="str">
        <f>IFERROR(__xludf.DUMMYFUNCTION("""COMPUTED_VALUE"""),"""Ha, ha, ha! It's my turn to attack!""")</f>
        <v>"Ha, ha, ha! It's my turn to attack!"</v>
      </c>
      <c r="O946" s="42"/>
      <c r="P946" s="42"/>
      <c r="Q946" s="42"/>
      <c r="R946" s="42"/>
      <c r="S946" s="42"/>
      <c r="T946" s="42"/>
      <c r="U946" s="42"/>
      <c r="V946" s="42"/>
      <c r="W946" s="42"/>
      <c r="X946" s="42"/>
      <c r="Y946" s="42"/>
      <c r="Z946" s="42"/>
    </row>
    <row r="947">
      <c r="A947" s="41" t="str">
        <f>IFERROR(__xludf.DUMMYFUNCTION("""COMPUTED_VALUE"""),"P-073")</f>
        <v>P-073</v>
      </c>
      <c r="B947" s="42" t="str">
        <f>IFERROR(__xludf.DUMMYFUNCTION("""COMPUTED_VALUE"""),"Partner")</f>
        <v>Partner</v>
      </c>
      <c r="C947" s="42" t="str">
        <f>IFERROR(__xludf.DUMMYFUNCTION("""COMPUTED_VALUE"""),"Zorge Herrstein")</f>
        <v>Zorge Herrstein</v>
      </c>
      <c r="D947" s="42" t="str">
        <f>IFERROR(__xludf.DUMMYFUNCTION("""COMPUTED_VALUE"""),"Denshin")</f>
        <v>Denshin</v>
      </c>
      <c r="E947" s="42" t="str">
        <f>IFERROR(__xludf.DUMMYFUNCTION("""COMPUTED_VALUE"""),"-")</f>
        <v>-</v>
      </c>
      <c r="F947" s="42" t="str">
        <f>IFERROR(__xludf.DUMMYFUNCTION("""COMPUTED_VALUE"""),"-")</f>
        <v>-</v>
      </c>
      <c r="G947" s="42" t="str">
        <f>IFERROR(__xludf.DUMMYFUNCTION("""COMPUTED_VALUE"""),"None")</f>
        <v>None</v>
      </c>
      <c r="H947" s="42" t="str">
        <f>IFERROR(__xludf.DUMMYFUNCTION("""COMPUTED_VALUE"""),"Denshin's Puppet")</f>
        <v>Denshin's Puppet</v>
      </c>
      <c r="I947" s="43" t="str">
        <f>IFERROR(__xludf.DUMMYFUNCTION("""COMPUTED_VALUE"""),"[IN PLAY] Your opponent's Discard Pile is considered to be empty.")</f>
        <v>[IN PLAY] Your opponent's Discard Pile is considered to be empty.</v>
      </c>
      <c r="J947" s="42" t="str">
        <f>IFERROR(__xludf.DUMMYFUNCTION("""COMPUTED_VALUE"""),"-")</f>
        <v>-</v>
      </c>
      <c r="K947" s="42" t="str">
        <f>IFERROR(__xludf.DUMMYFUNCTION("""COMPUTED_VALUE"""),"-")</f>
        <v>-</v>
      </c>
      <c r="L947" s="42" t="str">
        <f>IFERROR(__xludf.DUMMYFUNCTION("""COMPUTED_VALUE"""),"-")</f>
        <v>-</v>
      </c>
      <c r="M947" s="42" t="str">
        <f>IFERROR(__xludf.DUMMYFUNCTION("""COMPUTED_VALUE"""),"[C]")</f>
        <v>[C]</v>
      </c>
      <c r="N947" s="42" t="str">
        <f>IFERROR(__xludf.DUMMYFUNCTION("""COMPUTED_VALUE"""),"Zofis manipulated him into becoming Denshin's human partner.")</f>
        <v>Zofis manipulated him into becoming Denshin's human partner.</v>
      </c>
      <c r="O947" s="42"/>
      <c r="P947" s="42"/>
      <c r="Q947" s="42"/>
      <c r="R947" s="42"/>
      <c r="S947" s="42"/>
      <c r="T947" s="42"/>
      <c r="U947" s="42"/>
      <c r="V947" s="42"/>
      <c r="W947" s="42"/>
      <c r="X947" s="42"/>
      <c r="Y947" s="42"/>
      <c r="Z947" s="42"/>
    </row>
    <row r="948">
      <c r="A948" s="41" t="str">
        <f>IFERROR(__xludf.DUMMYFUNCTION("""COMPUTED_VALUE"""),"P-074")</f>
        <v>P-074</v>
      </c>
      <c r="B948" s="42" t="str">
        <f>IFERROR(__xludf.DUMMYFUNCTION("""COMPUTED_VALUE"""),"Partner")</f>
        <v>Partner</v>
      </c>
      <c r="C948" s="42" t="str">
        <f>IFERROR(__xludf.DUMMYFUNCTION("""COMPUTED_VALUE"""),"Marlene Janenz")</f>
        <v>Marlene Janenz</v>
      </c>
      <c r="D948" s="42" t="str">
        <f>IFERROR(__xludf.DUMMYFUNCTION("""COMPUTED_VALUE"""),"Kalura")</f>
        <v>Kalura</v>
      </c>
      <c r="E948" s="42" t="str">
        <f>IFERROR(__xludf.DUMMYFUNCTION("""COMPUTED_VALUE"""),"-")</f>
        <v>-</v>
      </c>
      <c r="F948" s="42" t="str">
        <f>IFERROR(__xludf.DUMMYFUNCTION("""COMPUTED_VALUE"""),"-")</f>
        <v>-</v>
      </c>
      <c r="G948" s="42" t="str">
        <f>IFERROR(__xludf.DUMMYFUNCTION("""COMPUTED_VALUE"""),"None")</f>
        <v>None</v>
      </c>
      <c r="H948" s="42" t="str">
        <f>IFERROR(__xludf.DUMMYFUNCTION("""COMPUTED_VALUE"""),"Kalura's Puppet")</f>
        <v>Kalura's Puppet</v>
      </c>
      <c r="I948" s="43" t="str">
        <f>IFERROR(__xludf.DUMMYFUNCTION("""COMPUTED_VALUE"""),"[IN PLAY] The effects of your Kalura MAMODO card with ""When you have 3 Stone Tablet MAMODO cards in play"" can also be applied when you have 2 Stone Tablet MAMODO cards in play.")</f>
        <v>[IN PLAY] The effects of your Kalura MAMODO card with "When you have 3 Stone Tablet MAMODO cards in play" can also be applied when you have 2 Stone Tablet MAMODO cards in play.</v>
      </c>
      <c r="J948" s="42" t="str">
        <f>IFERROR(__xludf.DUMMYFUNCTION("""COMPUTED_VALUE"""),"-")</f>
        <v>-</v>
      </c>
      <c r="K948" s="42" t="str">
        <f>IFERROR(__xludf.DUMMYFUNCTION("""COMPUTED_VALUE"""),"-")</f>
        <v>-</v>
      </c>
      <c r="L948" s="42" t="str">
        <f>IFERROR(__xludf.DUMMYFUNCTION("""COMPUTED_VALUE"""),"-")</f>
        <v>-</v>
      </c>
      <c r="M948" s="42" t="str">
        <f>IFERROR(__xludf.DUMMYFUNCTION("""COMPUTED_VALUE"""),"[C]")</f>
        <v>[C]</v>
      </c>
      <c r="N948" s="42" t="str">
        <f>IFERROR(__xludf.DUMMYFUNCTION("""COMPUTED_VALUE"""),"Her hairpin she wears gives her a charming appearance.")</f>
        <v>Her hairpin she wears gives her a charming appearance.</v>
      </c>
      <c r="O948" s="42"/>
      <c r="P948" s="42"/>
      <c r="Q948" s="42"/>
      <c r="R948" s="42"/>
      <c r="S948" s="42"/>
      <c r="T948" s="42"/>
      <c r="U948" s="42"/>
      <c r="V948" s="42"/>
      <c r="W948" s="42"/>
      <c r="X948" s="42"/>
      <c r="Y948" s="42"/>
      <c r="Z948" s="42"/>
    </row>
    <row r="949">
      <c r="A949" s="41" t="str">
        <f>IFERROR(__xludf.DUMMYFUNCTION("""COMPUTED_VALUE"""),"P-075")</f>
        <v>P-075</v>
      </c>
      <c r="B949" s="42" t="str">
        <f>IFERROR(__xludf.DUMMYFUNCTION("""COMPUTED_VALUE"""),"Partner")</f>
        <v>Partner</v>
      </c>
      <c r="C949" s="42" t="str">
        <f>IFERROR(__xludf.DUMMYFUNCTION("""COMPUTED_VALUE"""),"Seiu Ou")</f>
        <v>Seiu Ou</v>
      </c>
      <c r="D949" s="42" t="str">
        <f>IFERROR(__xludf.DUMMYFUNCTION("""COMPUTED_VALUE"""),"Babiru")</f>
        <v>Babiru</v>
      </c>
      <c r="E949" s="42" t="str">
        <f>IFERROR(__xludf.DUMMYFUNCTION("""COMPUTED_VALUE"""),"-")</f>
        <v>-</v>
      </c>
      <c r="F949" s="42" t="str">
        <f>IFERROR(__xludf.DUMMYFUNCTION("""COMPUTED_VALUE"""),"-")</f>
        <v>-</v>
      </c>
      <c r="G949" s="42" t="str">
        <f>IFERROR(__xludf.DUMMYFUNCTION("""COMPUTED_VALUE"""),"None")</f>
        <v>None</v>
      </c>
      <c r="H949" s="42" t="str">
        <f>IFERROR(__xludf.DUMMYFUNCTION("""COMPUTED_VALUE"""),"Chinese Boy")</f>
        <v>Chinese Boy</v>
      </c>
      <c r="I949" s="43" t="str">
        <f>IFERROR(__xludf.DUMMYFUNCTION("""COMPUTED_VALUE"""),"[SEND THIS CARD TO THE DISCARD PILE] (Cut-In) Negate the MAMODO card effect your opponent just applied with [X MP] (X=any amount).")</f>
        <v>[SEND THIS CARD TO THE DISCARD PILE] (Cut-In) Negate the MAMODO card effect your opponent just applied with [X MP] (X=any amount).</v>
      </c>
      <c r="J949" s="42" t="str">
        <f>IFERROR(__xludf.DUMMYFUNCTION("""COMPUTED_VALUE"""),"-")</f>
        <v>-</v>
      </c>
      <c r="K949" s="42" t="str">
        <f>IFERROR(__xludf.DUMMYFUNCTION("""COMPUTED_VALUE"""),"-")</f>
        <v>-</v>
      </c>
      <c r="L949" s="42" t="str">
        <f>IFERROR(__xludf.DUMMYFUNCTION("""COMPUTED_VALUE"""),"-")</f>
        <v>-</v>
      </c>
      <c r="M949" s="42" t="str">
        <f>IFERROR(__xludf.DUMMYFUNCTION("""COMPUTED_VALUE"""),"[C]")</f>
        <v>[C]</v>
      </c>
      <c r="N949" s="42" t="str">
        <f>IFERROR(__xludf.DUMMYFUNCTION("""COMPUTED_VALUE"""),"A Chinese boy who joins Babiru in battle on Zofis' order.")</f>
        <v>A Chinese boy who joins Babiru in battle on Zofis' order.</v>
      </c>
      <c r="O949" s="42"/>
      <c r="P949" s="42"/>
      <c r="Q949" s="42"/>
      <c r="R949" s="42"/>
      <c r="S949" s="42"/>
      <c r="T949" s="42"/>
      <c r="U949" s="42"/>
      <c r="V949" s="42"/>
      <c r="W949" s="42"/>
      <c r="X949" s="42"/>
      <c r="Y949" s="42"/>
      <c r="Z949" s="42"/>
    </row>
    <row r="950">
      <c r="A950" s="41" t="str">
        <f>IFERROR(__xludf.DUMMYFUNCTION("""COMPUTED_VALUE"""),"P-076")</f>
        <v>P-076</v>
      </c>
      <c r="B950" s="42" t="str">
        <f>IFERROR(__xludf.DUMMYFUNCTION("""COMPUTED_VALUE"""),"Partner")</f>
        <v>Partner</v>
      </c>
      <c r="C950" s="42" t="str">
        <f>IFERROR(__xludf.DUMMYFUNCTION("""COMPUTED_VALUE"""),"Gensou")</f>
        <v>Gensou</v>
      </c>
      <c r="D950" s="42" t="str">
        <f>IFERROR(__xludf.DUMMYFUNCTION("""COMPUTED_VALUE"""),"Tsao-lon")</f>
        <v>Tsao-lon</v>
      </c>
      <c r="E950" s="42" t="str">
        <f>IFERROR(__xludf.DUMMYFUNCTION("""COMPUTED_VALUE"""),"-")</f>
        <v>-</v>
      </c>
      <c r="F950" s="42" t="str">
        <f>IFERROR(__xludf.DUMMYFUNCTION("""COMPUTED_VALUE"""),"-")</f>
        <v>-</v>
      </c>
      <c r="G950" s="42" t="str">
        <f>IFERROR(__xludf.DUMMYFUNCTION("""COMPUTED_VALUE"""),"None")</f>
        <v>None</v>
      </c>
      <c r="H950" s="42" t="str">
        <f>IFERROR(__xludf.DUMMYFUNCTION("""COMPUTED_VALUE"""),"Martial Arts Enthusiast")</f>
        <v>Martial Arts Enthusiast</v>
      </c>
      <c r="I950" s="43" t="str">
        <f>IFERROR(__xludf.DUMMYFUNCTION("""COMPUTED_VALUE"""),"[SEND THIS CARD TO THE DISCARD PILE] (Attack) This card may Attack without using a SPELL card (Total Power=7000, Damage=2).")</f>
        <v>[SEND THIS CARD TO THE DISCARD PILE] (Attack) This card may Attack without using a SPELL card (Total Power=7000, Damage=2).</v>
      </c>
      <c r="J950" s="42" t="str">
        <f>IFERROR(__xludf.DUMMYFUNCTION("""COMPUTED_VALUE"""),"-")</f>
        <v>-</v>
      </c>
      <c r="K950" s="42" t="str">
        <f>IFERROR(__xludf.DUMMYFUNCTION("""COMPUTED_VALUE"""),"-")</f>
        <v>-</v>
      </c>
      <c r="L950" s="42" t="str">
        <f>IFERROR(__xludf.DUMMYFUNCTION("""COMPUTED_VALUE"""),"-")</f>
        <v>-</v>
      </c>
      <c r="M950" s="42" t="str">
        <f>IFERROR(__xludf.DUMMYFUNCTION("""COMPUTED_VALUE"""),"[R]")</f>
        <v>[R]</v>
      </c>
      <c r="N950" s="42" t="str">
        <f>IFERROR(__xludf.DUMMYFUNCTION("""COMPUTED_VALUE"""),"""I am Gensou, and I need stronger opponents... I am no longer satisfied with weak humans!""")</f>
        <v>"I am Gensou, and I need stronger opponents... I am no longer satisfied with weak humans!"</v>
      </c>
      <c r="O950" s="42"/>
      <c r="P950" s="42"/>
      <c r="Q950" s="42"/>
      <c r="R950" s="42"/>
      <c r="S950" s="42"/>
      <c r="T950" s="42"/>
      <c r="U950" s="42"/>
      <c r="V950" s="42"/>
      <c r="W950" s="42"/>
      <c r="X950" s="42"/>
      <c r="Y950" s="42"/>
      <c r="Z950" s="42"/>
    </row>
    <row r="951">
      <c r="A951" s="41" t="str">
        <f>IFERROR(__xludf.DUMMYFUNCTION("""COMPUTED_VALUE"""),"P-077")</f>
        <v>P-077</v>
      </c>
      <c r="B951" s="42" t="str">
        <f>IFERROR(__xludf.DUMMYFUNCTION("""COMPUTED_VALUE"""),"Partner")</f>
        <v>Partner</v>
      </c>
      <c r="C951" s="42" t="str">
        <f>IFERROR(__xludf.DUMMYFUNCTION("""COMPUTED_VALUE"""),"Dalia Ange")</f>
        <v>Dalia Ange</v>
      </c>
      <c r="D951" s="42" t="str">
        <f>IFERROR(__xludf.DUMMYFUNCTION("""COMPUTED_VALUE"""),"Belgim E.O.")</f>
        <v>Belgim E.O.</v>
      </c>
      <c r="E951" s="42" t="str">
        <f>IFERROR(__xludf.DUMMYFUNCTION("""COMPUTED_VALUE"""),"-")</f>
        <v>-</v>
      </c>
      <c r="F951" s="42" t="str">
        <f>IFERROR(__xludf.DUMMYFUNCTION("""COMPUTED_VALUE"""),"-")</f>
        <v>-</v>
      </c>
      <c r="G951" s="42" t="str">
        <f>IFERROR(__xludf.DUMMYFUNCTION("""COMPUTED_VALUE"""),"None")</f>
        <v>None</v>
      </c>
      <c r="H951" s="42" t="str">
        <f>IFERROR(__xludf.DUMMYFUNCTION("""COMPUTED_VALUE"""),"Mwa ha ha!")</f>
        <v>Mwa ha ha!</v>
      </c>
      <c r="I951" s="43" t="str">
        <f>IFERROR(__xludf.DUMMYFUNCTION("""COMPUTED_VALUE"""),"[SEND THIS CARD TO THE DISCARD PILE] The coin you just flipped is considered to be ""tails"".")</f>
        <v>[SEND THIS CARD TO THE DISCARD PILE] The coin you just flipped is considered to be "tails".</v>
      </c>
      <c r="J951" s="42" t="str">
        <f>IFERROR(__xludf.DUMMYFUNCTION("""COMPUTED_VALUE"""),"-")</f>
        <v>-</v>
      </c>
      <c r="K951" s="42" t="str">
        <f>IFERROR(__xludf.DUMMYFUNCTION("""COMPUTED_VALUE"""),"-")</f>
        <v>-</v>
      </c>
      <c r="L951" s="42" t="str">
        <f>IFERROR(__xludf.DUMMYFUNCTION("""COMPUTED_VALUE"""),"-")</f>
        <v>-</v>
      </c>
      <c r="M951" s="42" t="str">
        <f>IFERROR(__xludf.DUMMYFUNCTION("""COMPUTED_VALUE"""),"[R]")</f>
        <v>[R]</v>
      </c>
      <c r="N951" s="42" t="str">
        <f>IFERROR(__xludf.DUMMYFUNCTION("""COMPUTED_VALUE"""),"""Mwa ha ha ha ha~!""")</f>
        <v>"Mwa ha ha ha ha~!"</v>
      </c>
      <c r="O951" s="42"/>
      <c r="P951" s="42"/>
      <c r="Q951" s="42"/>
      <c r="R951" s="42"/>
      <c r="S951" s="42"/>
      <c r="T951" s="42"/>
      <c r="U951" s="42"/>
      <c r="V951" s="42"/>
      <c r="W951" s="42"/>
      <c r="X951" s="42"/>
      <c r="Y951" s="42"/>
      <c r="Z951" s="42"/>
    </row>
    <row r="952">
      <c r="A952" s="41" t="str">
        <f>IFERROR(__xludf.DUMMYFUNCTION("""COMPUTED_VALUE"""),"P-078")</f>
        <v>P-078</v>
      </c>
      <c r="B952" s="42" t="str">
        <f>IFERROR(__xludf.DUMMYFUNCTION("""COMPUTED_VALUE"""),"Partner")</f>
        <v>Partner</v>
      </c>
      <c r="C952" s="42" t="str">
        <f>IFERROR(__xludf.DUMMYFUNCTION("""COMPUTED_VALUE"""),"Lance")</f>
        <v>Lance</v>
      </c>
      <c r="D952" s="42" t="str">
        <f>IFERROR(__xludf.DUMMYFUNCTION("""COMPUTED_VALUE"""),"Pamoon")</f>
        <v>Pamoon</v>
      </c>
      <c r="E952" s="42" t="str">
        <f>IFERROR(__xludf.DUMMYFUNCTION("""COMPUTED_VALUE"""),"-")</f>
        <v>-</v>
      </c>
      <c r="F952" s="42" t="str">
        <f>IFERROR(__xludf.DUMMYFUNCTION("""COMPUTED_VALUE"""),"-")</f>
        <v>-</v>
      </c>
      <c r="G952" s="42" t="str">
        <f>IFERROR(__xludf.DUMMYFUNCTION("""COMPUTED_VALUE"""),"None")</f>
        <v>None</v>
      </c>
      <c r="H952" s="42" t="str">
        <f>IFERROR(__xludf.DUMMYFUNCTION("""COMPUTED_VALUE"""),"Inherited Ancestry")</f>
        <v>Inherited Ancestry</v>
      </c>
      <c r="I952" s="43" t="str">
        <f>IFERROR(__xludf.DUMMYFUNCTION("""COMPUTED_VALUE"""),"[SEND THIS CARD TO THE DISCARD PILE] [STAY] Your MP cannot be reduced by your opponent's card effects until the END PHASE of your next turn.")</f>
        <v>[SEND THIS CARD TO THE DISCARD PILE] [STAY] Your MP cannot be reduced by your opponent's card effects until the END PHASE of your next turn.</v>
      </c>
      <c r="J952" s="42" t="str">
        <f>IFERROR(__xludf.DUMMYFUNCTION("""COMPUTED_VALUE"""),"-")</f>
        <v>-</v>
      </c>
      <c r="K952" s="42" t="str">
        <f>IFERROR(__xludf.DUMMYFUNCTION("""COMPUTED_VALUE"""),"-")</f>
        <v>-</v>
      </c>
      <c r="L952" s="42" t="str">
        <f>IFERROR(__xludf.DUMMYFUNCTION("""COMPUTED_VALUE"""),"-")</f>
        <v>-</v>
      </c>
      <c r="M952" s="42" t="str">
        <f>IFERROR(__xludf.DUMMYFUNCTION("""COMPUTED_VALUE"""),"[R]")</f>
        <v>[R]</v>
      </c>
      <c r="N952" s="42" t="str">
        <f>IFERROR(__xludf.DUMMYFUNCTION("""COMPUTED_VALUE"""),"He is a descendant of Shelby, who was Pamoon's original human partner in the battle a thousand years ago.")</f>
        <v>He is a descendant of Shelby, who was Pamoon's original human partner in the battle a thousand years ago.</v>
      </c>
      <c r="O952" s="42"/>
      <c r="P952" s="42"/>
      <c r="Q952" s="42"/>
      <c r="R952" s="42"/>
      <c r="S952" s="42"/>
      <c r="T952" s="42"/>
      <c r="U952" s="42"/>
      <c r="V952" s="42"/>
      <c r="W952" s="42"/>
      <c r="X952" s="42"/>
      <c r="Y952" s="42"/>
      <c r="Z952" s="42"/>
    </row>
    <row r="953">
      <c r="A953" s="41" t="str">
        <f>IFERROR(__xludf.DUMMYFUNCTION("""COMPUTED_VALUE"""),"P-079")</f>
        <v>P-079</v>
      </c>
      <c r="B953" s="42" t="str">
        <f>IFERROR(__xludf.DUMMYFUNCTION("""COMPUTED_VALUE"""),"Partner")</f>
        <v>Partner</v>
      </c>
      <c r="C953" s="42" t="str">
        <f>IFERROR(__xludf.DUMMYFUNCTION("""COMPUTED_VALUE"""),"Nasuka Sakuma")</f>
        <v>Nasuka Sakuma</v>
      </c>
      <c r="D953" s="42" t="str">
        <f>IFERROR(__xludf.DUMMYFUNCTION("""COMPUTED_VALUE"""),"Biblio")</f>
        <v>Biblio</v>
      </c>
      <c r="E953" s="42" t="str">
        <f>IFERROR(__xludf.DUMMYFUNCTION("""COMPUTED_VALUE"""),"-")</f>
        <v>-</v>
      </c>
      <c r="F953" s="42" t="str">
        <f>IFERROR(__xludf.DUMMYFUNCTION("""COMPUTED_VALUE"""),"-")</f>
        <v>-</v>
      </c>
      <c r="G953" s="42" t="str">
        <f>IFERROR(__xludf.DUMMYFUNCTION("""COMPUTED_VALUE"""),"None")</f>
        <v>None</v>
      </c>
      <c r="H953" s="42" t="str">
        <f>IFERROR(__xludf.DUMMYFUNCTION("""COMPUTED_VALUE"""),"Aspiring Manga Writer")</f>
        <v>Aspiring Manga Writer</v>
      </c>
      <c r="I953" s="43" t="str">
        <f>IFERROR(__xludf.DUMMYFUNCTION("""COMPUTED_VALUE"""),"[SEND THIS CARD TO THE DISCARD PILE] Move 1 The Bad Omen Force EVENT card from your Discard Pile into play.")</f>
        <v>[SEND THIS CARD TO THE DISCARD PILE] Move 1 The Bad Omen Force EVENT card from your Discard Pile into play.</v>
      </c>
      <c r="J953" s="42" t="str">
        <f>IFERROR(__xludf.DUMMYFUNCTION("""COMPUTED_VALUE"""),"-")</f>
        <v>-</v>
      </c>
      <c r="K953" s="42" t="str">
        <f>IFERROR(__xludf.DUMMYFUNCTION("""COMPUTED_VALUE"""),"-")</f>
        <v>-</v>
      </c>
      <c r="L953" s="42" t="str">
        <f>IFERROR(__xludf.DUMMYFUNCTION("""COMPUTED_VALUE"""),"-")</f>
        <v>-</v>
      </c>
      <c r="M953" s="42" t="str">
        <f>IFERROR(__xludf.DUMMYFUNCTION("""COMPUTED_VALUE"""),"[U]")</f>
        <v>[U]</v>
      </c>
      <c r="N953" s="42" t="str">
        <f>IFERROR(__xludf.DUMMYFUNCTION("""COMPUTED_VALUE"""),"Her dream is to become a manga writer. She is a big fan of a manga series called ""Soldiers of Destiny: The Good Omen Force.""")</f>
        <v>Her dream is to become a manga writer. She is a big fan of a manga series called "Soldiers of Destiny: The Good Omen Force."</v>
      </c>
      <c r="O953" s="42"/>
      <c r="P953" s="42"/>
      <c r="Q953" s="42"/>
      <c r="R953" s="42"/>
      <c r="S953" s="42"/>
      <c r="T953" s="42"/>
      <c r="U953" s="42"/>
      <c r="V953" s="42"/>
      <c r="W953" s="42"/>
      <c r="X953" s="42"/>
      <c r="Y953" s="42"/>
      <c r="Z953" s="42"/>
    </row>
    <row r="954">
      <c r="A954" s="41" t="str">
        <f>IFERROR(__xludf.DUMMYFUNCTION("""COMPUTED_VALUE"""),"P-080")</f>
        <v>P-080</v>
      </c>
      <c r="B954" s="42" t="str">
        <f>IFERROR(__xludf.DUMMYFUNCTION("""COMPUTED_VALUE"""),"Partner")</f>
        <v>Partner</v>
      </c>
      <c r="C954" s="42" t="str">
        <f>IFERROR(__xludf.DUMMYFUNCTION("""COMPUTED_VALUE"""),"Mitsuhiro Kunieda")</f>
        <v>Mitsuhiro Kunieda</v>
      </c>
      <c r="D954" s="42" t="str">
        <f>IFERROR(__xludf.DUMMYFUNCTION("""COMPUTED_VALUE"""),"Soma")</f>
        <v>Soma</v>
      </c>
      <c r="E954" s="42" t="str">
        <f>IFERROR(__xludf.DUMMYFUNCTION("""COMPUTED_VALUE"""),"-")</f>
        <v>-</v>
      </c>
      <c r="F954" s="42" t="str">
        <f>IFERROR(__xludf.DUMMYFUNCTION("""COMPUTED_VALUE"""),"-")</f>
        <v>-</v>
      </c>
      <c r="G954" s="42" t="str">
        <f>IFERROR(__xludf.DUMMYFUNCTION("""COMPUTED_VALUE"""),"None")</f>
        <v>None</v>
      </c>
      <c r="H954" s="42" t="str">
        <f>IFERROR(__xludf.DUMMYFUNCTION("""COMPUTED_VALUE"""),"Indigent Rock Star")</f>
        <v>Indigent Rock Star</v>
      </c>
      <c r="I954" s="43" t="str">
        <f>IFERROR(__xludf.DUMMYFUNCTION("""COMPUTED_VALUE"""),"[SEND THIS CARD TO THE DISCARD PILE] [STANDBY] After applying this effect, only once during this turn, the effect of your in-play Soma MAMODO card with ""This effect can be applied only once per game (per player)"" can be applied again if you already appl"&amp;"ied it once during this game. This effect can be applied only once per game (per player).")</f>
        <v>[SEND THIS CARD TO THE DISCARD PILE] [STANDBY] After applying this effect, only once during this turn, the effect of your in-play Soma MAMODO card with "This effect can be applied only once per game (per player)" can be applied again if you already applied it once during this game. This effect can be applied only once per game (per player).</v>
      </c>
      <c r="J954" s="42" t="str">
        <f>IFERROR(__xludf.DUMMYFUNCTION("""COMPUTED_VALUE"""),"-")</f>
        <v>-</v>
      </c>
      <c r="K954" s="42" t="str">
        <f>IFERROR(__xludf.DUMMYFUNCTION("""COMPUTED_VALUE"""),"-")</f>
        <v>-</v>
      </c>
      <c r="L954" s="42" t="str">
        <f>IFERROR(__xludf.DUMMYFUNCTION("""COMPUTED_VALUE"""),"-")</f>
        <v>-</v>
      </c>
      <c r="M954" s="42" t="str">
        <f>IFERROR(__xludf.DUMMYFUNCTION("""COMPUTED_VALUE"""),"[U]")</f>
        <v>[U]</v>
      </c>
      <c r="N954" s="42" t="str">
        <f>IFERROR(__xludf.DUMMYFUNCTION("""COMPUTED_VALUE"""),"He calls himself ""Kunimitsu – The Rock Star of Naniwa,"" but he actually lives in poverty.")</f>
        <v>He calls himself "Kunimitsu – The Rock Star of Naniwa," but he actually lives in poverty.</v>
      </c>
      <c r="O954" s="42"/>
      <c r="P954" s="42"/>
      <c r="Q954" s="42"/>
      <c r="R954" s="42"/>
      <c r="S954" s="42"/>
      <c r="T954" s="42"/>
      <c r="U954" s="42"/>
      <c r="V954" s="42"/>
      <c r="W954" s="42"/>
      <c r="X954" s="42"/>
      <c r="Y954" s="42"/>
      <c r="Z954" s="42"/>
    </row>
    <row r="955">
      <c r="A955" s="41" t="str">
        <f>IFERROR(__xludf.DUMMYFUNCTION("""COMPUTED_VALUE"""),"P-081")</f>
        <v>P-081</v>
      </c>
      <c r="B955" s="42" t="str">
        <f>IFERROR(__xludf.DUMMYFUNCTION("""COMPUTED_VALUE"""),"Partner")</f>
        <v>Partner</v>
      </c>
      <c r="C955" s="42" t="str">
        <f>IFERROR(__xludf.DUMMYFUNCTION("""COMPUTED_VALUE"""),"Kiyo Takamine")</f>
        <v>Kiyo Takamine</v>
      </c>
      <c r="D955" s="42" t="str">
        <f>IFERROR(__xludf.DUMMYFUNCTION("""COMPUTED_VALUE"""),"Zatch Bell")</f>
        <v>Zatch Bell</v>
      </c>
      <c r="E955" s="42" t="str">
        <f>IFERROR(__xludf.DUMMYFUNCTION("""COMPUTED_VALUE"""),"-")</f>
        <v>-</v>
      </c>
      <c r="F955" s="42" t="str">
        <f>IFERROR(__xludf.DUMMYFUNCTION("""COMPUTED_VALUE"""),"-")</f>
        <v>-</v>
      </c>
      <c r="G955" s="42" t="str">
        <f>IFERROR(__xludf.DUMMYFUNCTION("""COMPUTED_VALUE"""),"None")</f>
        <v>None</v>
      </c>
      <c r="H955" s="42" t="str">
        <f>IFERROR(__xludf.DUMMYFUNCTION("""COMPUTED_VALUE"""),"Future!")</f>
        <v>Future!</v>
      </c>
      <c r="I955" s="43" t="str">
        <f>IFERROR(__xludf.DUMMYFUNCTION("""COMPUTED_VALUE"""),"[SEND THIS CARD TO THE DISCARD PILE] Negate all [Stay] and [Standby] effects that prohibit your in-play Zatch Bell MAMODO card and Kiyo Takamine (or Piyo Takamine) PARTNER card from playing SPELL cards with Zatch Bell as their MAMODO name and/or applying "&amp;"their card effects (any other cards remain as targets for these effects).")</f>
        <v>[SEND THIS CARD TO THE DISCARD PILE] Negate all [Stay] and [Standby] effects that prohibit your in-play Zatch Bell MAMODO card and Kiyo Takamine (or Piyo Takamine) PARTNER card from playing SPELL cards with Zatch Bell as their MAMODO name and/or applying their card effects (any other cards remain as targets for these effects).</v>
      </c>
      <c r="J955" s="42" t="str">
        <f>IFERROR(__xludf.DUMMYFUNCTION("""COMPUTED_VALUE"""),"-")</f>
        <v>-</v>
      </c>
      <c r="K955" s="42" t="str">
        <f>IFERROR(__xludf.DUMMYFUNCTION("""COMPUTED_VALUE"""),"-")</f>
        <v>-</v>
      </c>
      <c r="L955" s="42" t="str">
        <f>IFERROR(__xludf.DUMMYFUNCTION("""COMPUTED_VALUE"""),"-")</f>
        <v>-</v>
      </c>
      <c r="M955" s="42" t="str">
        <f>IFERROR(__xludf.DUMMYFUNCTION("""COMPUTED_VALUE"""),"[U]")</f>
        <v>[U]</v>
      </c>
      <c r="N955" s="42" t="str">
        <f>IFERROR(__xludf.DUMMYFUNCTION("""COMPUTED_VALUE"""),"""If any mamodo deserves to be king, it's Zatch!""")</f>
        <v>"If any mamodo deserves to be king, it's Zatch!"</v>
      </c>
      <c r="O955" s="42"/>
      <c r="P955" s="42"/>
      <c r="Q955" s="42"/>
      <c r="R955" s="42"/>
      <c r="S955" s="42"/>
      <c r="T955" s="42"/>
      <c r="U955" s="42"/>
      <c r="V955" s="42"/>
      <c r="W955" s="42"/>
      <c r="X955" s="42"/>
      <c r="Y955" s="42"/>
      <c r="Z955" s="42"/>
    </row>
    <row r="956">
      <c r="A956" s="41" t="str">
        <f>IFERROR(__xludf.DUMMYFUNCTION("""COMPUTED_VALUE"""),"P-082")</f>
        <v>P-082</v>
      </c>
      <c r="B956" s="42" t="str">
        <f>IFERROR(__xludf.DUMMYFUNCTION("""COMPUTED_VALUE"""),"Partner")</f>
        <v>Partner</v>
      </c>
      <c r="C956" s="42" t="str">
        <f>IFERROR(__xludf.DUMMYFUNCTION("""COMPUTED_VALUE"""),"Kotoha")</f>
        <v>Kotoha</v>
      </c>
      <c r="D956" s="42" t="str">
        <f>IFERROR(__xludf.DUMMYFUNCTION("""COMPUTED_VALUE"""),"Wiseman")</f>
        <v>Wiseman</v>
      </c>
      <c r="E956" s="42" t="str">
        <f>IFERROR(__xludf.DUMMYFUNCTION("""COMPUTED_VALUE"""),"-")</f>
        <v>-</v>
      </c>
      <c r="F956" s="42" t="str">
        <f>IFERROR(__xludf.DUMMYFUNCTION("""COMPUTED_VALUE"""),"-")</f>
        <v>-</v>
      </c>
      <c r="G956" s="42" t="str">
        <f>IFERROR(__xludf.DUMMYFUNCTION("""COMPUTED_VALUE"""),"None")</f>
        <v>None</v>
      </c>
      <c r="H956" s="42" t="str">
        <f>IFERROR(__xludf.DUMMYFUNCTION("""COMPUTED_VALUE"""),"A Fateful Encounter")</f>
        <v>A Fateful Encounter</v>
      </c>
      <c r="I956" s="43" t="str">
        <f>IFERROR(__xludf.DUMMYFUNCTION("""COMPUTED_VALUE"""),"[IN PLAY] Get 1 MP during your END PHASE. ※ With 1 Action, you can send this card to the Discard Pile at any time.")</f>
        <v>[IN PLAY] Get 1 MP during your END PHASE. ※ With 1 Action, you can send this card to the Discard Pile at any time.</v>
      </c>
      <c r="J956" s="42" t="str">
        <f>IFERROR(__xludf.DUMMYFUNCTION("""COMPUTED_VALUE"""),"-")</f>
        <v>-</v>
      </c>
      <c r="K956" s="42" t="str">
        <f>IFERROR(__xludf.DUMMYFUNCTION("""COMPUTED_VALUE"""),"-")</f>
        <v>-</v>
      </c>
      <c r="L956" s="42" t="str">
        <f>IFERROR(__xludf.DUMMYFUNCTION("""COMPUTED_VALUE"""),"-")</f>
        <v>-</v>
      </c>
      <c r="M956" s="42" t="str">
        <f>IFERROR(__xludf.DUMMYFUNCTION("""COMPUTED_VALUE"""),"[U]")</f>
        <v>[U]</v>
      </c>
      <c r="N956" s="42" t="str">
        <f>IFERROR(__xludf.DUMMYFUNCTION("""COMPUTED_VALUE"""),"""A fateful encounter... Could this golden-haired boy really be my soulmate?!""")</f>
        <v>"A fateful encounter... Could this golden-haired boy really be my soulmate?!"</v>
      </c>
      <c r="O956" s="42"/>
      <c r="P956" s="42"/>
      <c r="Q956" s="42"/>
      <c r="R956" s="42"/>
      <c r="S956" s="42"/>
      <c r="T956" s="42"/>
      <c r="U956" s="42"/>
      <c r="V956" s="42"/>
      <c r="W956" s="42"/>
      <c r="X956" s="42"/>
      <c r="Y956" s="42"/>
      <c r="Z956" s="42"/>
    </row>
    <row r="957">
      <c r="A957" s="41" t="str">
        <f>IFERROR(__xludf.DUMMYFUNCTION("""COMPUTED_VALUE"""),"P-083")</f>
        <v>P-083</v>
      </c>
      <c r="B957" s="42" t="str">
        <f>IFERROR(__xludf.DUMMYFUNCTION("""COMPUTED_VALUE"""),"Partner")</f>
        <v>Partner</v>
      </c>
      <c r="C957" s="42" t="str">
        <f>IFERROR(__xludf.DUMMYFUNCTION("""COMPUTED_VALUE"""),"Mohawk Ace")</f>
        <v>Mohawk Ace</v>
      </c>
      <c r="D957" s="42" t="str">
        <f>IFERROR(__xludf.DUMMYFUNCTION("""COMPUTED_VALUE"""),"Victoream")</f>
        <v>Victoream</v>
      </c>
      <c r="E957" s="42" t="str">
        <f>IFERROR(__xludf.DUMMYFUNCTION("""COMPUTED_VALUE"""),"-")</f>
        <v>-</v>
      </c>
      <c r="F957" s="42" t="str">
        <f>IFERROR(__xludf.DUMMYFUNCTION("""COMPUTED_VALUE"""),"-")</f>
        <v>-</v>
      </c>
      <c r="G957" s="42" t="str">
        <f>IFERROR(__xludf.DUMMYFUNCTION("""COMPUTED_VALUE"""),"None")</f>
        <v>None</v>
      </c>
      <c r="H957" s="42" t="str">
        <f>IFERROR(__xludf.DUMMYFUNCTION("""COMPUTED_VALUE"""),"Protecting Victoream")</f>
        <v>Protecting Victoream</v>
      </c>
      <c r="I957" s="43" t="str">
        <f>IFERROR(__xludf.DUMMYFUNCTION("""COMPUTED_VALUE"""),"[SEND THIS CARD TO THE DISCARD PILE] [STAY] Your Victoream MAMODO card does not receive Damage or Injury, nor can it be sent to the Discard Pile, during this turn.")</f>
        <v>[SEND THIS CARD TO THE DISCARD PILE] [STAY] Your Victoream MAMODO card does not receive Damage or Injury, nor can it be sent to the Discard Pile, during this turn.</v>
      </c>
      <c r="J957" s="42" t="str">
        <f>IFERROR(__xludf.DUMMYFUNCTION("""COMPUTED_VALUE"""),"-")</f>
        <v>-</v>
      </c>
      <c r="K957" s="42" t="str">
        <f>IFERROR(__xludf.DUMMYFUNCTION("""COMPUTED_VALUE"""),"-")</f>
        <v>-</v>
      </c>
      <c r="L957" s="42" t="str">
        <f>IFERROR(__xludf.DUMMYFUNCTION("""COMPUTED_VALUE"""),"-")</f>
        <v>-</v>
      </c>
      <c r="M957" s="42" t="str">
        <f>IFERROR(__xludf.DUMMYFUNCTION("""COMPUTED_VALUE"""),"[C]")</f>
        <v>[C]</v>
      </c>
      <c r="N957" s="42" t="str">
        <f>IFERROR(__xludf.DUMMYFUNCTION("""COMPUTED_VALUE"""),"Fortunately, Mohawk Ace was safe.")</f>
        <v>Fortunately, Mohawk Ace was safe.</v>
      </c>
      <c r="O957" s="42"/>
      <c r="P957" s="42"/>
      <c r="Q957" s="42"/>
      <c r="R957" s="42"/>
      <c r="S957" s="42"/>
      <c r="T957" s="42"/>
      <c r="U957" s="42"/>
      <c r="V957" s="42"/>
      <c r="W957" s="42"/>
      <c r="X957" s="42"/>
      <c r="Y957" s="42"/>
      <c r="Z957" s="42"/>
    </row>
    <row r="958">
      <c r="A958" s="41" t="str">
        <f>IFERROR(__xludf.DUMMYFUNCTION("""COMPUTED_VALUE"""),"P-084")</f>
        <v>P-084</v>
      </c>
      <c r="B958" s="42" t="str">
        <f>IFERROR(__xludf.DUMMYFUNCTION("""COMPUTED_VALUE"""),"Partner")</f>
        <v>Partner</v>
      </c>
      <c r="C958" s="42" t="str">
        <f>IFERROR(__xludf.DUMMYFUNCTION("""COMPUTED_VALUE"""),"Albert")</f>
        <v>Albert</v>
      </c>
      <c r="D958" s="42" t="str">
        <f>IFERROR(__xludf.DUMMYFUNCTION("""COMPUTED_VALUE"""),"Laila")</f>
        <v>Laila</v>
      </c>
      <c r="E958" s="42" t="str">
        <f>IFERROR(__xludf.DUMMYFUNCTION("""COMPUTED_VALUE"""),"-")</f>
        <v>-</v>
      </c>
      <c r="F958" s="42" t="str">
        <f>IFERROR(__xludf.DUMMYFUNCTION("""COMPUTED_VALUE"""),"-")</f>
        <v>-</v>
      </c>
      <c r="G958" s="42" t="str">
        <f>IFERROR(__xludf.DUMMYFUNCTION("""COMPUTED_VALUE"""),"None")</f>
        <v>None</v>
      </c>
      <c r="H958" s="42" t="str">
        <f>IFERROR(__xludf.DUMMYFUNCTION("""COMPUTED_VALUE"""),"The Voice That Reached Him")</f>
        <v>The Voice That Reached Him</v>
      </c>
      <c r="I958" s="43" t="str">
        <f>IFERROR(__xludf.DUMMYFUNCTION("""COMPUTED_VALUE"""),"[IN PLAY] The text [Declare to use] for the effects of your opponent's MAMODO cards is considered to be [1 MP] instead. ※With 1 Action, you can send this card to the Discard Pile at any time.")</f>
        <v>[IN PLAY] The text [Declare to use] for the effects of your opponent's MAMODO cards is considered to be [1 MP] instead. ※With 1 Action, you can send this card to the Discard Pile at any time.</v>
      </c>
      <c r="J958" s="42" t="str">
        <f>IFERROR(__xludf.DUMMYFUNCTION("""COMPUTED_VALUE"""),"-")</f>
        <v>-</v>
      </c>
      <c r="K958" s="42" t="str">
        <f>IFERROR(__xludf.DUMMYFUNCTION("""COMPUTED_VALUE"""),"-")</f>
        <v>-</v>
      </c>
      <c r="L958" s="42" t="str">
        <f>IFERROR(__xludf.DUMMYFUNCTION("""COMPUTED_VALUE"""),"-")</f>
        <v>-</v>
      </c>
      <c r="M958" s="42" t="str">
        <f>IFERROR(__xludf.DUMMYFUNCTION("""COMPUTED_VALUE"""),"[U]")</f>
        <v>[U]</v>
      </c>
      <c r="N958" s="42" t="str">
        <f>IFERROR(__xludf.DUMMYFUNCTION("""COMPUTED_VALUE"""),"Albert has finally been liberated from Zofis' control and regained his free will...!")</f>
        <v>Albert has finally been liberated from Zofis' control and regained his free will...!</v>
      </c>
      <c r="O958" s="42"/>
      <c r="P958" s="42"/>
      <c r="Q958" s="42"/>
      <c r="R958" s="42"/>
      <c r="S958" s="42"/>
      <c r="T958" s="42"/>
      <c r="U958" s="42"/>
      <c r="V958" s="42"/>
      <c r="W958" s="42"/>
      <c r="X958" s="42"/>
      <c r="Y958" s="42"/>
      <c r="Z958" s="42"/>
    </row>
    <row r="959">
      <c r="A959" s="41" t="str">
        <f>IFERROR(__xludf.DUMMYFUNCTION("""COMPUTED_VALUE"""),"P-085")</f>
        <v>P-085</v>
      </c>
      <c r="B959" s="42" t="str">
        <f>IFERROR(__xludf.DUMMYFUNCTION("""COMPUTED_VALUE"""),"Partner")</f>
        <v>Partner</v>
      </c>
      <c r="C959" s="42" t="str">
        <f>IFERROR(__xludf.DUMMYFUNCTION("""COMPUTED_VALUE"""),"Elizabeth")</f>
        <v>Elizabeth</v>
      </c>
      <c r="D959" s="42" t="str">
        <f>IFERROR(__xludf.DUMMYFUNCTION("""COMPUTED_VALUE"""),"Dalmos")</f>
        <v>Dalmos</v>
      </c>
      <c r="E959" s="42" t="str">
        <f>IFERROR(__xludf.DUMMYFUNCTION("""COMPUTED_VALUE"""),"-")</f>
        <v>-</v>
      </c>
      <c r="F959" s="42" t="str">
        <f>IFERROR(__xludf.DUMMYFUNCTION("""COMPUTED_VALUE"""),"-")</f>
        <v>-</v>
      </c>
      <c r="G959" s="42" t="str">
        <f>IFERROR(__xludf.DUMMYFUNCTION("""COMPUTED_VALUE"""),"None")</f>
        <v>None</v>
      </c>
      <c r="H959" s="42" t="str">
        <f>IFERROR(__xludf.DUMMYFUNCTION("""COMPUTED_VALUE"""),"Dalmos' Puppet")</f>
        <v>Dalmos' Puppet</v>
      </c>
      <c r="I959" s="43" t="str">
        <f>IFERROR(__xludf.DUMMYFUNCTION("""COMPUTED_VALUE"""),"[SEND THIS CARD TO THE DISCARD PILE] [STAY] Your Dalmos MAMODO card's effects can be applied once again during this turn; the MP cost of the effects is considered to be 0. This effect can be applied only once per turn (per player).")</f>
        <v>[SEND THIS CARD TO THE DISCARD PILE] [STAY] Your Dalmos MAMODO card's effects can be applied once again during this turn; the MP cost of the effects is considered to be 0. This effect can be applied only once per turn (per player).</v>
      </c>
      <c r="J959" s="42" t="str">
        <f>IFERROR(__xludf.DUMMYFUNCTION("""COMPUTED_VALUE"""),"-")</f>
        <v>-</v>
      </c>
      <c r="K959" s="42" t="str">
        <f>IFERROR(__xludf.DUMMYFUNCTION("""COMPUTED_VALUE"""),"-")</f>
        <v>-</v>
      </c>
      <c r="L959" s="42" t="str">
        <f>IFERROR(__xludf.DUMMYFUNCTION("""COMPUTED_VALUE"""),"-")</f>
        <v>-</v>
      </c>
      <c r="M959" s="42" t="str">
        <f>IFERROR(__xludf.DUMMYFUNCTION("""COMPUTED_VALUE"""),"[C]")</f>
        <v>[C]</v>
      </c>
      <c r="N959" s="42" t="str">
        <f>IFERROR(__xludf.DUMMYFUNCTION("""COMPUTED_VALUE"""),"Her spell book was snatched away by the combined efforts of Ponygon and Sunbeam.")</f>
        <v>Her spell book was snatched away by the combined efforts of Ponygon and Sunbeam.</v>
      </c>
      <c r="O959" s="42"/>
      <c r="P959" s="42"/>
      <c r="Q959" s="42"/>
      <c r="R959" s="42"/>
      <c r="S959" s="42"/>
      <c r="T959" s="42"/>
      <c r="U959" s="42"/>
      <c r="V959" s="42"/>
      <c r="W959" s="42"/>
      <c r="X959" s="42"/>
      <c r="Y959" s="42"/>
      <c r="Z959" s="42"/>
    </row>
    <row r="960">
      <c r="A960" s="41" t="str">
        <f>IFERROR(__xludf.DUMMYFUNCTION("""COMPUTED_VALUE"""),"P-086")</f>
        <v>P-086</v>
      </c>
      <c r="B960" s="42" t="str">
        <f>IFERROR(__xludf.DUMMYFUNCTION("""COMPUTED_VALUE"""),"Partner")</f>
        <v>Partner</v>
      </c>
      <c r="C960" s="42" t="str">
        <f>IFERROR(__xludf.DUMMYFUNCTION("""COMPUTED_VALUE"""),"Megumi")</f>
        <v>Megumi</v>
      </c>
      <c r="D960" s="42" t="str">
        <f>IFERROR(__xludf.DUMMYFUNCTION("""COMPUTED_VALUE"""),"Tia")</f>
        <v>Tia</v>
      </c>
      <c r="E960" s="42" t="str">
        <f>IFERROR(__xludf.DUMMYFUNCTION("""COMPUTED_VALUE"""),"-")</f>
        <v>-</v>
      </c>
      <c r="F960" s="42" t="str">
        <f>IFERROR(__xludf.DUMMYFUNCTION("""COMPUTED_VALUE"""),"-")</f>
        <v>-</v>
      </c>
      <c r="G960" s="42" t="str">
        <f>IFERROR(__xludf.DUMMYFUNCTION("""COMPUTED_VALUE"""),"None")</f>
        <v>None</v>
      </c>
      <c r="H960" s="42" t="str">
        <f>IFERROR(__xludf.DUMMYFUNCTION("""COMPUTED_VALUE"""),"Prism Of Light")</f>
        <v>Prism Of Light</v>
      </c>
      <c r="I960" s="43" t="str">
        <f>IFERROR(__xludf.DUMMYFUNCTION("""COMPUTED_VALUE"""),"[SEND THIS CARD TO THE DISCARD PILE] [STAY] Select 1 of your opponent's in-play MAMODO cards. Your opponent cannot Attack with the selected MAMODO card during this turn.")</f>
        <v>[SEND THIS CARD TO THE DISCARD PILE] [STAY] Select 1 of your opponent's in-play MAMODO cards. Your opponent cannot Attack with the selected MAMODO card during this turn.</v>
      </c>
      <c r="J960" s="42" t="str">
        <f>IFERROR(__xludf.DUMMYFUNCTION("""COMPUTED_VALUE"""),"-")</f>
        <v>-</v>
      </c>
      <c r="K960" s="42" t="str">
        <f>IFERROR(__xludf.DUMMYFUNCTION("""COMPUTED_VALUE"""),"-")</f>
        <v>-</v>
      </c>
      <c r="L960" s="42" t="str">
        <f>IFERROR(__xludf.DUMMYFUNCTION("""COMPUTED_VALUE"""),"-")</f>
        <v>-</v>
      </c>
      <c r="M960" s="42" t="str">
        <f>IFERROR(__xludf.DUMMYFUNCTION("""COMPUTED_VALUE"""),"[R]")</f>
        <v>[R]</v>
      </c>
      <c r="N960" s="42" t="str">
        <f>IFERROR(__xludf.DUMMYFUNCTION("""COMPUTED_VALUE"""),"""Shalala~ I'm just a girl who is lost and alone~ I need a friend, I can't on my own~""")</f>
        <v>"Shalala~ I'm just a girl who is lost and alone~ I need a friend, I can't on my own~"</v>
      </c>
      <c r="O960" s="42"/>
      <c r="P960" s="42"/>
      <c r="Q960" s="42"/>
      <c r="R960" s="42"/>
      <c r="S960" s="42"/>
      <c r="T960" s="42"/>
      <c r="U960" s="42"/>
      <c r="V960" s="42"/>
      <c r="W960" s="42"/>
      <c r="X960" s="42"/>
      <c r="Y960" s="42"/>
      <c r="Z960" s="42"/>
    </row>
    <row r="961">
      <c r="A961" s="41" t="str">
        <f>IFERROR(__xludf.DUMMYFUNCTION("""COMPUTED_VALUE"""),"P-087")</f>
        <v>P-087</v>
      </c>
      <c r="B961" s="42" t="str">
        <f>IFERROR(__xludf.DUMMYFUNCTION("""COMPUTED_VALUE"""),"Partner")</f>
        <v>Partner</v>
      </c>
      <c r="C961" s="42" t="str">
        <f>IFERROR(__xludf.DUMMYFUNCTION("""COMPUTED_VALUE"""),"Maurice")</f>
        <v>Maurice</v>
      </c>
      <c r="D961" s="42" t="str">
        <f>IFERROR(__xludf.DUMMYFUNCTION("""COMPUTED_VALUE"""),"Goren")</f>
        <v>Goren</v>
      </c>
      <c r="E961" s="42" t="str">
        <f>IFERROR(__xludf.DUMMYFUNCTION("""COMPUTED_VALUE"""),"-")</f>
        <v>-</v>
      </c>
      <c r="F961" s="42" t="str">
        <f>IFERROR(__xludf.DUMMYFUNCTION("""COMPUTED_VALUE"""),"-")</f>
        <v>-</v>
      </c>
      <c r="G961" s="42" t="str">
        <f>IFERROR(__xludf.DUMMYFUNCTION("""COMPUTED_VALUE"""),"None")</f>
        <v>None</v>
      </c>
      <c r="H961" s="42" t="str">
        <f>IFERROR(__xludf.DUMMYFUNCTION("""COMPUTED_VALUE"""),"Cunning Liar")</f>
        <v>Cunning Liar</v>
      </c>
      <c r="I961" s="43" t="str">
        <f>IFERROR(__xludf.DUMMYFUNCTION("""COMPUTED_VALUE"""),"[SEND THIS CARD TO THE DISCARD PILE] [STAY] Select 1 of your opponent's in-play MAMODO cards. Your opponent can neither apply the effects of the selected MAMODO card, nor can they apply the effects of the attached PARTNER card, during this turn.")</f>
        <v>[SEND THIS CARD TO THE DISCARD PILE] [STAY] Select 1 of your opponent's in-play MAMODO cards. Your opponent can neither apply the effects of the selected MAMODO card, nor can they apply the effects of the attached PARTNER card, during this turn.</v>
      </c>
      <c r="J961" s="42" t="str">
        <f>IFERROR(__xludf.DUMMYFUNCTION("""COMPUTED_VALUE"""),"-")</f>
        <v>-</v>
      </c>
      <c r="K961" s="42" t="str">
        <f>IFERROR(__xludf.DUMMYFUNCTION("""COMPUTED_VALUE"""),"-")</f>
        <v>-</v>
      </c>
      <c r="L961" s="42" t="str">
        <f>IFERROR(__xludf.DUMMYFUNCTION("""COMPUTED_VALUE"""),"-")</f>
        <v>-</v>
      </c>
      <c r="M961" s="42" t="str">
        <f>IFERROR(__xludf.DUMMYFUNCTION("""COMPUTED_VALUE"""),"[R]")</f>
        <v>[R]</v>
      </c>
      <c r="N961" s="42" t="str">
        <f>IFERROR(__xludf.DUMMYFUNCTION("""COMPUTED_VALUE"""),"He has a sly penchant for devising schemes in order to deceive his good-natured adversaries.")</f>
        <v>He has a sly penchant for devising schemes in order to deceive his good-natured adversaries.</v>
      </c>
      <c r="O961" s="42"/>
      <c r="P961" s="42"/>
      <c r="Q961" s="42"/>
      <c r="R961" s="42"/>
      <c r="S961" s="42"/>
      <c r="T961" s="42"/>
      <c r="U961" s="42"/>
      <c r="V961" s="42"/>
      <c r="W961" s="42"/>
      <c r="X961" s="42"/>
      <c r="Y961" s="42"/>
      <c r="Z961" s="42"/>
    </row>
    <row r="962">
      <c r="A962" s="41" t="str">
        <f>IFERROR(__xludf.DUMMYFUNCTION("""COMPUTED_VALUE"""),"P-088")</f>
        <v>P-088</v>
      </c>
      <c r="B962" s="42" t="str">
        <f>IFERROR(__xludf.DUMMYFUNCTION("""COMPUTED_VALUE"""),"Partner")</f>
        <v>Partner</v>
      </c>
      <c r="C962" s="42" t="str">
        <f>IFERROR(__xludf.DUMMYFUNCTION("""COMPUTED_VALUE"""),"Uri")</f>
        <v>Uri</v>
      </c>
      <c r="D962" s="42" t="str">
        <f>IFERROR(__xludf.DUMMYFUNCTION("""COMPUTED_VALUE"""),"Penny")</f>
        <v>Penny</v>
      </c>
      <c r="E962" s="42" t="str">
        <f>IFERROR(__xludf.DUMMYFUNCTION("""COMPUTED_VALUE"""),"-")</f>
        <v>-</v>
      </c>
      <c r="F962" s="42" t="str">
        <f>IFERROR(__xludf.DUMMYFUNCTION("""COMPUTED_VALUE"""),"-")</f>
        <v>-</v>
      </c>
      <c r="G962" s="42" t="str">
        <f>IFERROR(__xludf.DUMMYFUNCTION("""COMPUTED_VALUE"""),"None")</f>
        <v>None</v>
      </c>
      <c r="H962" s="42" t="str">
        <f>IFERROR(__xludf.DUMMYFUNCTION("""COMPUTED_VALUE"""),"Hands Out in Front")</f>
        <v>Hands Out in Front</v>
      </c>
      <c r="I962" s="43" t="str">
        <f>IFERROR(__xludf.DUMMYFUNCTION("""COMPUTED_VALUE"""),"[IN PLAY] Your Penny MAMODO card's effects can be applied even when prohibited to do so. In addition, those effects cannot be negated by a cut-in effect.")</f>
        <v>[IN PLAY] Your Penny MAMODO card's effects can be applied even when prohibited to do so. In addition, those effects cannot be negated by a cut-in effect.</v>
      </c>
      <c r="J962" s="42" t="str">
        <f>IFERROR(__xludf.DUMMYFUNCTION("""COMPUTED_VALUE"""),"-")</f>
        <v>-</v>
      </c>
      <c r="K962" s="42" t="str">
        <f>IFERROR(__xludf.DUMMYFUNCTION("""COMPUTED_VALUE"""),"-")</f>
        <v>-</v>
      </c>
      <c r="L962" s="42" t="str">
        <f>IFERROR(__xludf.DUMMYFUNCTION("""COMPUTED_VALUE"""),"-")</f>
        <v>-</v>
      </c>
      <c r="M962" s="42" t="str">
        <f>IFERROR(__xludf.DUMMYFUNCTION("""COMPUTED_VALUE"""),"[C]")</f>
        <v>[C]</v>
      </c>
      <c r="N962" s="42" t="str">
        <f>IFERROR(__xludf.DUMMYFUNCTION("""COMPUTED_VALUE"""),"""Finally, Penny's doing something good... I can now be proud to be her partner.""")</f>
        <v>"Finally, Penny's doing something good... I can now be proud to be her partner."</v>
      </c>
      <c r="O962" s="42"/>
      <c r="P962" s="42"/>
      <c r="Q962" s="42"/>
      <c r="R962" s="42"/>
      <c r="S962" s="42"/>
      <c r="T962" s="42"/>
      <c r="U962" s="42"/>
      <c r="V962" s="42"/>
      <c r="W962" s="42"/>
      <c r="X962" s="42"/>
      <c r="Y962" s="42"/>
      <c r="Z962" s="42"/>
    </row>
    <row r="963">
      <c r="A963" s="41" t="str">
        <f>IFERROR(__xludf.DUMMYFUNCTION("""COMPUTED_VALUE"""),"P-089")</f>
        <v>P-089</v>
      </c>
      <c r="B963" s="42" t="str">
        <f>IFERROR(__xludf.DUMMYFUNCTION("""COMPUTED_VALUE"""),"Partner")</f>
        <v>Partner</v>
      </c>
      <c r="C963" s="42" t="str">
        <f>IFERROR(__xludf.DUMMYFUNCTION("""COMPUTED_VALUE"""),"Alvin")</f>
        <v>Alvin</v>
      </c>
      <c r="D963" s="42" t="str">
        <f>IFERROR(__xludf.DUMMYFUNCTION("""COMPUTED_VALUE"""),"Byonko")</f>
        <v>Byonko</v>
      </c>
      <c r="E963" s="42" t="str">
        <f>IFERROR(__xludf.DUMMYFUNCTION("""COMPUTED_VALUE"""),"-")</f>
        <v>-</v>
      </c>
      <c r="F963" s="42" t="str">
        <f>IFERROR(__xludf.DUMMYFUNCTION("""COMPUTED_VALUE"""),"-")</f>
        <v>-</v>
      </c>
      <c r="G963" s="42" t="str">
        <f>IFERROR(__xludf.DUMMYFUNCTION("""COMPUTED_VALUE"""),"None")</f>
        <v>None</v>
      </c>
      <c r="H963" s="42" t="str">
        <f>IFERROR(__xludf.DUMMYFUNCTION("""COMPUTED_VALUE"""),"Cool Alvin")</f>
        <v>Cool Alvin</v>
      </c>
      <c r="I963" s="43" t="str">
        <f>IFERROR(__xludf.DUMMYFUNCTION("""COMPUTED_VALUE"""),"[SEND THIS CARD TO THE DISCARD PILE] [STAY] The text [Send this card to the Discard Pile] for the effects of your Byonko MAMODO card is considered to be [Declare to use] during this turn.")</f>
        <v>[SEND THIS CARD TO THE DISCARD PILE] [STAY] The text [Send this card to the Discard Pile] for the effects of your Byonko MAMODO card is considered to be [Declare to use] during this turn.</v>
      </c>
      <c r="J963" s="42" t="str">
        <f>IFERROR(__xludf.DUMMYFUNCTION("""COMPUTED_VALUE"""),"-")</f>
        <v>-</v>
      </c>
      <c r="K963" s="42" t="str">
        <f>IFERROR(__xludf.DUMMYFUNCTION("""COMPUTED_VALUE"""),"-")</f>
        <v>-</v>
      </c>
      <c r="L963" s="42" t="str">
        <f>IFERROR(__xludf.DUMMYFUNCTION("""COMPUTED_VALUE"""),"-")</f>
        <v>-</v>
      </c>
      <c r="M963" s="42" t="str">
        <f>IFERROR(__xludf.DUMMYFUNCTION("""COMPUTED_VALUE"""),"[C]")</f>
        <v>[C]</v>
      </c>
      <c r="N963" s="42" t="str">
        <f>IFERROR(__xludf.DUMMYFUNCTION("""COMPUTED_VALUE"""),"""I was just waiting for you to go from uncool to super cool.""")</f>
        <v>"I was just waiting for you to go from uncool to super cool."</v>
      </c>
      <c r="O963" s="42"/>
      <c r="P963" s="42"/>
      <c r="Q963" s="42"/>
      <c r="R963" s="42"/>
      <c r="S963" s="42"/>
      <c r="T963" s="42"/>
      <c r="U963" s="42"/>
      <c r="V963" s="42"/>
      <c r="W963" s="42"/>
      <c r="X963" s="42"/>
      <c r="Y963" s="42"/>
      <c r="Z963" s="42"/>
    </row>
    <row r="964">
      <c r="A964" s="41" t="str">
        <f>IFERROR(__xludf.DUMMYFUNCTION("""COMPUTED_VALUE"""),"P-090")</f>
        <v>P-090</v>
      </c>
      <c r="B964" s="42" t="str">
        <f>IFERROR(__xludf.DUMMYFUNCTION("""COMPUTED_VALUE"""),"Partner")</f>
        <v>Partner</v>
      </c>
      <c r="C964" s="42" t="str">
        <f>IFERROR(__xludf.DUMMYFUNCTION("""COMPUTED_VALUE"""),"Albert")</f>
        <v>Albert</v>
      </c>
      <c r="D964" s="42" t="str">
        <f>IFERROR(__xludf.DUMMYFUNCTION("""COMPUTED_VALUE"""),"Laila")</f>
        <v>Laila</v>
      </c>
      <c r="E964" s="42" t="str">
        <f>IFERROR(__xludf.DUMMYFUNCTION("""COMPUTED_VALUE"""),"-")</f>
        <v>-</v>
      </c>
      <c r="F964" s="42" t="str">
        <f>IFERROR(__xludf.DUMMYFUNCTION("""COMPUTED_VALUE"""),"-")</f>
        <v>-</v>
      </c>
      <c r="G964" s="42" t="str">
        <f>IFERROR(__xludf.DUMMYFUNCTION("""COMPUTED_VALUE"""),"None")</f>
        <v>None</v>
      </c>
      <c r="H964" s="42" t="str">
        <f>IFERROR(__xludf.DUMMYFUNCTION("""COMPUTED_VALUE"""),"Let's Go, Laila")</f>
        <v>Let's Go, Laila</v>
      </c>
      <c r="I964" s="43" t="str">
        <f>IFERROR(__xludf.DUMMYFUNCTION("""COMPUTED_VALUE"""),"[IN PLAY] Your opponent cannot apply the effects of MAMODO cards during the same turn they are put in play.")</f>
        <v>[IN PLAY] Your opponent cannot apply the effects of MAMODO cards during the same turn they are put in play.</v>
      </c>
      <c r="J964" s="42" t="str">
        <f>IFERROR(__xludf.DUMMYFUNCTION("""COMPUTED_VALUE"""),"-")</f>
        <v>-</v>
      </c>
      <c r="K964" s="42" t="str">
        <f>IFERROR(__xludf.DUMMYFUNCTION("""COMPUTED_VALUE"""),"-")</f>
        <v>-</v>
      </c>
      <c r="L964" s="42" t="str">
        <f>IFERROR(__xludf.DUMMYFUNCTION("""COMPUTED_VALUE"""),"-")</f>
        <v>-</v>
      </c>
      <c r="M964" s="42" t="str">
        <f>IFERROR(__xludf.DUMMYFUNCTION("""COMPUTED_VALUE"""),"[U]")</f>
        <v>[U]</v>
      </c>
      <c r="N964" s="42" t="str">
        <f>IFERROR(__xludf.DUMMYFUNCTION("""COMPUTED_VALUE"""),"""Just leave this to us... Let's go, Laila.""")</f>
        <v>"Just leave this to us... Let's go, Laila."</v>
      </c>
      <c r="O964" s="42"/>
      <c r="P964" s="42"/>
      <c r="Q964" s="42"/>
      <c r="R964" s="42"/>
      <c r="S964" s="42"/>
      <c r="T964" s="42"/>
      <c r="U964" s="42"/>
      <c r="V964" s="42"/>
      <c r="W964" s="42"/>
      <c r="X964" s="42"/>
      <c r="Y964" s="42"/>
      <c r="Z964" s="42"/>
    </row>
    <row r="965">
      <c r="A965" s="41" t="str">
        <f>IFERROR(__xludf.DUMMYFUNCTION("""COMPUTED_VALUE"""),"P-091")</f>
        <v>P-091</v>
      </c>
      <c r="B965" s="42" t="str">
        <f>IFERROR(__xludf.DUMMYFUNCTION("""COMPUTED_VALUE"""),"Partner")</f>
        <v>Partner</v>
      </c>
      <c r="C965" s="42" t="str">
        <f>IFERROR(__xludf.DUMMYFUNCTION("""COMPUTED_VALUE"""),"Roberto Vile")</f>
        <v>Roberto Vile</v>
      </c>
      <c r="D965" s="42" t="str">
        <f>IFERROR(__xludf.DUMMYFUNCTION("""COMPUTED_VALUE"""),"Demolt")</f>
        <v>Demolt</v>
      </c>
      <c r="E965" s="42" t="str">
        <f>IFERROR(__xludf.DUMMYFUNCTION("""COMPUTED_VALUE"""),"-")</f>
        <v>-</v>
      </c>
      <c r="F965" s="42" t="str">
        <f>IFERROR(__xludf.DUMMYFUNCTION("""COMPUTED_VALUE"""),"-")</f>
        <v>-</v>
      </c>
      <c r="G965" s="42" t="str">
        <f>IFERROR(__xludf.DUMMYFUNCTION("""COMPUTED_VALUE"""),"None")</f>
        <v>None</v>
      </c>
      <c r="H965" s="42" t="str">
        <f>IFERROR(__xludf.DUMMYFUNCTION("""COMPUTED_VALUE"""),"The Stone of Moonlight")</f>
        <v>The Stone of Moonlight</v>
      </c>
      <c r="I965" s="43" t="str">
        <f>IFERROR(__xludf.DUMMYFUNCTION("""COMPUTED_VALUE"""),"[SEND THIS CARD TO THE DISCARD PILE] [STAY] Get 1 MP at the END PHASE of each of your turns during this game (this effect cannot be duplicated).")</f>
        <v>[SEND THIS CARD TO THE DISCARD PILE] [STAY] Get 1 MP at the END PHASE of each of your turns during this game (this effect cannot be duplicated).</v>
      </c>
      <c r="J965" s="42" t="str">
        <f>IFERROR(__xludf.DUMMYFUNCTION("""COMPUTED_VALUE"""),"-")</f>
        <v>-</v>
      </c>
      <c r="K965" s="42" t="str">
        <f>IFERROR(__xludf.DUMMYFUNCTION("""COMPUTED_VALUE"""),"-")</f>
        <v>-</v>
      </c>
      <c r="L965" s="42" t="str">
        <f>IFERROR(__xludf.DUMMYFUNCTION("""COMPUTED_VALUE"""),"-")</f>
        <v>-</v>
      </c>
      <c r="M965" s="42" t="str">
        <f>IFERROR(__xludf.DUMMYFUNCTION("""COMPUTED_VALUE"""),"[C]")</f>
        <v>[C]</v>
      </c>
      <c r="N965" s="42" t="str">
        <f>IFERROR(__xludf.DUMMYFUNCTION("""COMPUTED_VALUE"""),"""My name is Roberto Vile! I am the one who will succeed Zofis!""")</f>
        <v>"My name is Roberto Vile! I am the one who will succeed Zofis!"</v>
      </c>
      <c r="O965" s="42"/>
      <c r="P965" s="42"/>
      <c r="Q965" s="42"/>
      <c r="R965" s="42"/>
      <c r="S965" s="42"/>
      <c r="T965" s="42"/>
      <c r="U965" s="42"/>
      <c r="V965" s="42"/>
      <c r="W965" s="42"/>
      <c r="X965" s="42"/>
      <c r="Y965" s="42"/>
      <c r="Z965" s="42"/>
    </row>
    <row r="966">
      <c r="A966" s="41" t="str">
        <f>IFERROR(__xludf.DUMMYFUNCTION("""COMPUTED_VALUE"""),"P-092")</f>
        <v>P-092</v>
      </c>
      <c r="B966" s="42" t="str">
        <f>IFERROR(__xludf.DUMMYFUNCTION("""COMPUTED_VALUE"""),"Partner")</f>
        <v>Partner</v>
      </c>
      <c r="C966" s="42" t="str">
        <f>IFERROR(__xludf.DUMMYFUNCTION("""COMPUTED_VALUE"""),"Sherry")</f>
        <v>Sherry</v>
      </c>
      <c r="D966" s="42" t="str">
        <f>IFERROR(__xludf.DUMMYFUNCTION("""COMPUTED_VALUE"""),"Brago")</f>
        <v>Brago</v>
      </c>
      <c r="E966" s="42" t="str">
        <f>IFERROR(__xludf.DUMMYFUNCTION("""COMPUTED_VALUE"""),"-")</f>
        <v>-</v>
      </c>
      <c r="F966" s="42" t="str">
        <f>IFERROR(__xludf.DUMMYFUNCTION("""COMPUTED_VALUE"""),"-")</f>
        <v>-</v>
      </c>
      <c r="G966" s="42" t="str">
        <f>IFERROR(__xludf.DUMMYFUNCTION("""COMPUTED_VALUE"""),"None")</f>
        <v>None</v>
      </c>
      <c r="H966" s="42" t="str">
        <f>IFERROR(__xludf.DUMMYFUNCTION("""COMPUTED_VALUE"""),"Outcome of the Ordeal")</f>
        <v>Outcome of the Ordeal</v>
      </c>
      <c r="I966" s="43" t="str">
        <f>IFERROR(__xludf.DUMMYFUNCTION("""COMPUTED_VALUE"""),"[SEND THIS CARD TO THE DISCARD PILE] (Battle) Negate your opponent's Attack. Then, turn the MAMODO card that Attacked in the Battle to Injured Status (this is not considered to be inflicting Damage or Injury).")</f>
        <v>[SEND THIS CARD TO THE DISCARD PILE] (Battle) Negate your opponent's Attack. Then, turn the MAMODO card that Attacked in the Battle to Injured Status (this is not considered to be inflicting Damage or Injury).</v>
      </c>
      <c r="J966" s="42" t="str">
        <f>IFERROR(__xludf.DUMMYFUNCTION("""COMPUTED_VALUE"""),"-")</f>
        <v>-</v>
      </c>
      <c r="K966" s="42" t="str">
        <f>IFERROR(__xludf.DUMMYFUNCTION("""COMPUTED_VALUE"""),"-")</f>
        <v>-</v>
      </c>
      <c r="L966" s="42" t="str">
        <f>IFERROR(__xludf.DUMMYFUNCTION("""COMPUTED_VALUE"""),"-")</f>
        <v>-</v>
      </c>
      <c r="M966" s="42" t="str">
        <f>IFERROR(__xludf.DUMMYFUNCTION("""COMPUTED_VALUE"""),"[U]")</f>
        <v>[U]</v>
      </c>
      <c r="N966" s="42" t="str">
        <f>IFERROR(__xludf.DUMMYFUNCTION("""COMPUTED_VALUE"""),"""Sherry... you've done everything you could to prepare for this very moment.""")</f>
        <v>"Sherry... you've done everything you could to prepare for this very moment."</v>
      </c>
      <c r="O966" s="42"/>
      <c r="P966" s="42"/>
      <c r="Q966" s="42"/>
      <c r="R966" s="42"/>
      <c r="S966" s="42"/>
      <c r="T966" s="42"/>
      <c r="U966" s="42"/>
      <c r="V966" s="42"/>
      <c r="W966" s="42"/>
      <c r="X966" s="42"/>
      <c r="Y966" s="42"/>
      <c r="Z966" s="42"/>
    </row>
    <row r="967">
      <c r="A967" s="41" t="str">
        <f>IFERROR(__xludf.DUMMYFUNCTION("""COMPUTED_VALUE"""),"P-093")</f>
        <v>P-093</v>
      </c>
      <c r="B967" s="42" t="str">
        <f>IFERROR(__xludf.DUMMYFUNCTION("""COMPUTED_VALUE"""),"Partner")</f>
        <v>Partner</v>
      </c>
      <c r="C967" s="42" t="str">
        <f>IFERROR(__xludf.DUMMYFUNCTION("""COMPUTED_VALUE"""),"Koko")</f>
        <v>Koko</v>
      </c>
      <c r="D967" s="42" t="str">
        <f>IFERROR(__xludf.DUMMYFUNCTION("""COMPUTED_VALUE"""),"Zofis")</f>
        <v>Zofis</v>
      </c>
      <c r="E967" s="42" t="str">
        <f>IFERROR(__xludf.DUMMYFUNCTION("""COMPUTED_VALUE"""),"-")</f>
        <v>-</v>
      </c>
      <c r="F967" s="42" t="str">
        <f>IFERROR(__xludf.DUMMYFUNCTION("""COMPUTED_VALUE"""),"-")</f>
        <v>-</v>
      </c>
      <c r="G967" s="42" t="str">
        <f>IFERROR(__xludf.DUMMYFUNCTION("""COMPUTED_VALUE"""),"None")</f>
        <v>None</v>
      </c>
      <c r="H967" s="42" t="str">
        <f>IFERROR(__xludf.DUMMYFUNCTION("""COMPUTED_VALUE"""),"An Old Friend Crying Out")</f>
        <v>An Old Friend Crying Out</v>
      </c>
      <c r="I967" s="43" t="str">
        <f>IFERROR(__xludf.DUMMYFUNCTION("""COMPUTED_VALUE"""),"[SEND THIS CARD TO THE DISCARD PILE] Send 1 of your opponent's in-play PARTNER cards to the Discard Pile, even when you are prohibited to do so.")</f>
        <v>[SEND THIS CARD TO THE DISCARD PILE] Send 1 of your opponent's in-play PARTNER cards to the Discard Pile, even when you are prohibited to do so.</v>
      </c>
      <c r="J967" s="42" t="str">
        <f>IFERROR(__xludf.DUMMYFUNCTION("""COMPUTED_VALUE"""),"-")</f>
        <v>-</v>
      </c>
      <c r="K967" s="42" t="str">
        <f>IFERROR(__xludf.DUMMYFUNCTION("""COMPUTED_VALUE"""),"-")</f>
        <v>-</v>
      </c>
      <c r="L967" s="42" t="str">
        <f>IFERROR(__xludf.DUMMYFUNCTION("""COMPUTED_VALUE"""),"-")</f>
        <v>-</v>
      </c>
      <c r="M967" s="42" t="str">
        <f>IFERROR(__xludf.DUMMYFUNCTION("""COMPUTED_VALUE"""),"[U]")</f>
        <v>[U]</v>
      </c>
      <c r="N967" s="42" t="str">
        <f>IFERROR(__xludf.DUMMYFUNCTION("""COMPUTED_VALUE"""),"""Stop, Sherry! Don't take Zofis away from me!""")</f>
        <v>"Stop, Sherry! Don't take Zofis away from me!"</v>
      </c>
      <c r="O967" s="42"/>
      <c r="P967" s="42"/>
      <c r="Q967" s="42"/>
      <c r="R967" s="42"/>
      <c r="S967" s="42"/>
      <c r="T967" s="42"/>
      <c r="U967" s="42"/>
      <c r="V967" s="42"/>
      <c r="W967" s="42"/>
      <c r="X967" s="42"/>
      <c r="Y967" s="42"/>
      <c r="Z967" s="42"/>
    </row>
    <row r="968">
      <c r="A968" s="41" t="str">
        <f>IFERROR(__xludf.DUMMYFUNCTION("""COMPUTED_VALUE"""),"P-094")</f>
        <v>P-094</v>
      </c>
      <c r="B968" s="42" t="str">
        <f>IFERROR(__xludf.DUMMYFUNCTION("""COMPUTED_VALUE"""),"Partner")</f>
        <v>Partner</v>
      </c>
      <c r="C968" s="42" t="str">
        <f>IFERROR(__xludf.DUMMYFUNCTION("""COMPUTED_VALUE"""),"Kiyo Takamine")</f>
        <v>Kiyo Takamine</v>
      </c>
      <c r="D968" s="42" t="str">
        <f>IFERROR(__xludf.DUMMYFUNCTION("""COMPUTED_VALUE"""),"Zatch Bell")</f>
        <v>Zatch Bell</v>
      </c>
      <c r="E968" s="42" t="str">
        <f>IFERROR(__xludf.DUMMYFUNCTION("""COMPUTED_VALUE"""),"-")</f>
        <v>-</v>
      </c>
      <c r="F968" s="42" t="str">
        <f>IFERROR(__xludf.DUMMYFUNCTION("""COMPUTED_VALUE"""),"-")</f>
        <v>-</v>
      </c>
      <c r="G968" s="42" t="str">
        <f>IFERROR(__xludf.DUMMYFUNCTION("""COMPUTED_VALUE"""),"None")</f>
        <v>None</v>
      </c>
      <c r="H968" s="42" t="str">
        <f>IFERROR(__xludf.DUMMYFUNCTION("""COMPUTED_VALUE"""),"You Know Who's Got the Power")</f>
        <v>You Know Who's Got the Power</v>
      </c>
      <c r="I968" s="43" t="str">
        <f>IFERROR(__xludf.DUMMYFUNCTION("""COMPUTED_VALUE"""),"[IN PLAY] Your Zatch Bell MAMODO card cannot be sent to the Discard Pile by your opponent's card effects (except from Damage or Injury).")</f>
        <v>[IN PLAY] Your Zatch Bell MAMODO card cannot be sent to the Discard Pile by your opponent's card effects (except from Damage or Injury).</v>
      </c>
      <c r="J968" s="42" t="str">
        <f>IFERROR(__xludf.DUMMYFUNCTION("""COMPUTED_VALUE"""),"-")</f>
        <v>-</v>
      </c>
      <c r="K968" s="42" t="str">
        <f>IFERROR(__xludf.DUMMYFUNCTION("""COMPUTED_VALUE"""),"-")</f>
        <v>-</v>
      </c>
      <c r="L968" s="42" t="str">
        <f>IFERROR(__xludf.DUMMYFUNCTION("""COMPUTED_VALUE"""),"-")</f>
        <v>-</v>
      </c>
      <c r="M968" s="42" t="str">
        <f>IFERROR(__xludf.DUMMYFUNCTION("""COMPUTED_VALUE"""),"[C]")</f>
        <v>[C]</v>
      </c>
      <c r="N968" s="42" t="str">
        <f>IFERROR(__xludf.DUMMYFUNCTION("""COMPUTED_VALUE"""),"""Ready? Zaker!""")</f>
        <v>"Ready? Zaker!"</v>
      </c>
      <c r="O968" s="42"/>
      <c r="P968" s="42"/>
      <c r="Q968" s="42"/>
      <c r="R968" s="42"/>
      <c r="S968" s="42"/>
      <c r="T968" s="42"/>
      <c r="U968" s="42"/>
      <c r="V968" s="42"/>
      <c r="W968" s="42"/>
      <c r="X968" s="42"/>
      <c r="Y968" s="42"/>
      <c r="Z968" s="42"/>
    </row>
    <row r="969">
      <c r="A969" s="41" t="str">
        <f>IFERROR(__xludf.DUMMYFUNCTION("""COMPUTED_VALUE"""),"P-095")</f>
        <v>P-095</v>
      </c>
      <c r="B969" s="42" t="str">
        <f>IFERROR(__xludf.DUMMYFUNCTION("""COMPUTED_VALUE"""),"Partner")</f>
        <v>Partner</v>
      </c>
      <c r="C969" s="42" t="str">
        <f>IFERROR(__xludf.DUMMYFUNCTION("""COMPUTED_VALUE"""),"Megumi")</f>
        <v>Megumi</v>
      </c>
      <c r="D969" s="42" t="str">
        <f>IFERROR(__xludf.DUMMYFUNCTION("""COMPUTED_VALUE"""),"Tia")</f>
        <v>Tia</v>
      </c>
      <c r="E969" s="42" t="str">
        <f>IFERROR(__xludf.DUMMYFUNCTION("""COMPUTED_VALUE"""),"-")</f>
        <v>-</v>
      </c>
      <c r="F969" s="42" t="str">
        <f>IFERROR(__xludf.DUMMYFUNCTION("""COMPUTED_VALUE"""),"-")</f>
        <v>-</v>
      </c>
      <c r="G969" s="42" t="str">
        <f>IFERROR(__xludf.DUMMYFUNCTION("""COMPUTED_VALUE"""),"None")</f>
        <v>None</v>
      </c>
      <c r="H969" s="42" t="str">
        <f>IFERROR(__xludf.DUMMYFUNCTION("""COMPUTED_VALUE"""),"Happy Tomorrow")</f>
        <v>Happy Tomorrow</v>
      </c>
      <c r="I969" s="43" t="str">
        <f>IFERROR(__xludf.DUMMYFUNCTION("""COMPUTED_VALUE"""),"[IN PLAY] Get 1 MP at the END PHASE of your turn. ※ With 1 Action, you can send this card to the Discard Pile at any time.")</f>
        <v>[IN PLAY] Get 1 MP at the END PHASE of your turn. ※ With 1 Action, you can send this card to the Discard Pile at any time.</v>
      </c>
      <c r="J969" s="42" t="str">
        <f>IFERROR(__xludf.DUMMYFUNCTION("""COMPUTED_VALUE"""),"-")</f>
        <v>-</v>
      </c>
      <c r="K969" s="42" t="str">
        <f>IFERROR(__xludf.DUMMYFUNCTION("""COMPUTED_VALUE"""),"-")</f>
        <v>-</v>
      </c>
      <c r="L969" s="42" t="str">
        <f>IFERROR(__xludf.DUMMYFUNCTION("""COMPUTED_VALUE"""),"-")</f>
        <v>-</v>
      </c>
      <c r="M969" s="42" t="str">
        <f>IFERROR(__xludf.DUMMYFUNCTION("""COMPUTED_VALUE"""),"[C]")</f>
        <v>[C]</v>
      </c>
      <c r="N969" s="42" t="str">
        <f>IFERROR(__xludf.DUMMYFUNCTION("""COMPUTED_VALUE"""),"""When tomorrow comes, we'll tell everyone... Yes we did it all. We did it together!""")</f>
        <v>"When tomorrow comes, we'll tell everyone... Yes we did it all. We did it together!"</v>
      </c>
      <c r="O969" s="42"/>
      <c r="P969" s="42"/>
      <c r="Q969" s="42"/>
      <c r="R969" s="42"/>
      <c r="S969" s="42"/>
      <c r="T969" s="42"/>
      <c r="U969" s="42"/>
      <c r="V969" s="42"/>
      <c r="W969" s="42"/>
      <c r="X969" s="42"/>
      <c r="Y969" s="42"/>
      <c r="Z969" s="42"/>
    </row>
    <row r="970">
      <c r="A970" s="41" t="str">
        <f>IFERROR(__xludf.DUMMYFUNCTION("""COMPUTED_VALUE"""),"P-096")</f>
        <v>P-096</v>
      </c>
      <c r="B970" s="42" t="str">
        <f>IFERROR(__xludf.DUMMYFUNCTION("""COMPUTED_VALUE"""),"Partner")</f>
        <v>Partner</v>
      </c>
      <c r="C970" s="42" t="str">
        <f>IFERROR(__xludf.DUMMYFUNCTION("""COMPUTED_VALUE"""),"Parco Folgore")</f>
        <v>Parco Folgore</v>
      </c>
      <c r="D970" s="42" t="str">
        <f>IFERROR(__xludf.DUMMYFUNCTION("""COMPUTED_VALUE"""),"Kanchomé")</f>
        <v>Kanchomé</v>
      </c>
      <c r="E970" s="42" t="str">
        <f>IFERROR(__xludf.DUMMYFUNCTION("""COMPUTED_VALUE"""),"-")</f>
        <v>-</v>
      </c>
      <c r="F970" s="42" t="str">
        <f>IFERROR(__xludf.DUMMYFUNCTION("""COMPUTED_VALUE"""),"-")</f>
        <v>-</v>
      </c>
      <c r="G970" s="42" t="str">
        <f>IFERROR(__xludf.DUMMYFUNCTION("""COMPUTED_VALUE"""),"None")</f>
        <v>None</v>
      </c>
      <c r="H970" s="42" t="str">
        <f>IFERROR(__xludf.DUMMYFUNCTION("""COMPUTED_VALUE"""),"The Man Called Invincible")</f>
        <v>The Man Called Invincible</v>
      </c>
      <c r="I970" s="43" t="str">
        <f>IFERROR(__xludf.DUMMYFUNCTION("""COMPUTED_VALUE"""),"[IN PLAY] Apply the following effect when sent to the Discard Pile. [STANDBY] At the END PHASE of this turn, move 1 Kanchomé MAMODO card and 1 Parco Folgore PARTNER card (other than P-096 Parco Folgore) from your Discard Pile into play.")</f>
        <v>[IN PLAY] Apply the following effect when sent to the Discard Pile. [STANDBY] At the END PHASE of this turn, move 1 Kanchomé MAMODO card and 1 Parco Folgore PARTNER card (other than P-096 Parco Folgore) from your Discard Pile into play.</v>
      </c>
      <c r="J970" s="42" t="str">
        <f>IFERROR(__xludf.DUMMYFUNCTION("""COMPUTED_VALUE"""),"-")</f>
        <v>-</v>
      </c>
      <c r="K970" s="42" t="str">
        <f>IFERROR(__xludf.DUMMYFUNCTION("""COMPUTED_VALUE"""),"-")</f>
        <v>-</v>
      </c>
      <c r="L970" s="42" t="str">
        <f>IFERROR(__xludf.DUMMYFUNCTION("""COMPUTED_VALUE"""),"-")</f>
        <v>-</v>
      </c>
      <c r="M970" s="42" t="str">
        <f>IFERROR(__xludf.DUMMYFUNCTION("""COMPUTED_VALUE"""),"[C]")</f>
        <v>[C]</v>
      </c>
      <c r="N970" s="42" t="str">
        <f>IFERROR(__xludf.DUMMYFUNCTION("""COMPUTED_VALUE"""),"""If you'd ever seen even one of my movies, you'd know it takes a lot more than this to stop me... the invincible Parco Folgore!""")</f>
        <v>"If you'd ever seen even one of my movies, you'd know it takes a lot more than this to stop me... the invincible Parco Folgore!"</v>
      </c>
      <c r="O970" s="42"/>
      <c r="P970" s="42"/>
      <c r="Q970" s="42"/>
      <c r="R970" s="42"/>
      <c r="S970" s="42"/>
      <c r="T970" s="42"/>
      <c r="U970" s="42"/>
      <c r="V970" s="42"/>
      <c r="W970" s="42"/>
      <c r="X970" s="42"/>
      <c r="Y970" s="42"/>
      <c r="Z970" s="42"/>
    </row>
    <row r="971">
      <c r="A971" s="41" t="str">
        <f>IFERROR(__xludf.DUMMYFUNCTION("""COMPUTED_VALUE"""),"P-097")</f>
        <v>P-097</v>
      </c>
      <c r="B971" s="42" t="str">
        <f>IFERROR(__xludf.DUMMYFUNCTION("""COMPUTED_VALUE"""),"Partner")</f>
        <v>Partner</v>
      </c>
      <c r="C971" s="42" t="str">
        <f>IFERROR(__xludf.DUMMYFUNCTION("""COMPUTED_VALUE"""),"Koko")</f>
        <v>Koko</v>
      </c>
      <c r="D971" s="42" t="str">
        <f>IFERROR(__xludf.DUMMYFUNCTION("""COMPUTED_VALUE"""),"Zofis")</f>
        <v>Zofis</v>
      </c>
      <c r="E971" s="42" t="str">
        <f>IFERROR(__xludf.DUMMYFUNCTION("""COMPUTED_VALUE"""),"-")</f>
        <v>-</v>
      </c>
      <c r="F971" s="42" t="str">
        <f>IFERROR(__xludf.DUMMYFUNCTION("""COMPUTED_VALUE"""),"-")</f>
        <v>-</v>
      </c>
      <c r="G971" s="42" t="str">
        <f>IFERROR(__xludf.DUMMYFUNCTION("""COMPUTED_VALUE"""),"None")</f>
        <v>None</v>
      </c>
      <c r="H971" s="42" t="str">
        <f>IFERROR(__xludf.DUMMYFUNCTION("""COMPUTED_VALUE"""),"My True Self")</f>
        <v>My True Self</v>
      </c>
      <c r="I971" s="43" t="str">
        <f>IFERROR(__xludf.DUMMYFUNCTION("""COMPUTED_VALUE"""),"[IN PLAY] Get 2 MP when any of your in-play MAMODO cards are sent to the Discard Pile.")</f>
        <v>[IN PLAY] Get 2 MP when any of your in-play MAMODO cards are sent to the Discard Pile.</v>
      </c>
      <c r="J971" s="42" t="str">
        <f>IFERROR(__xludf.DUMMYFUNCTION("""COMPUTED_VALUE"""),"-")</f>
        <v>-</v>
      </c>
      <c r="K971" s="42" t="str">
        <f>IFERROR(__xludf.DUMMYFUNCTION("""COMPUTED_VALUE"""),"-")</f>
        <v>-</v>
      </c>
      <c r="L971" s="42" t="str">
        <f>IFERROR(__xludf.DUMMYFUNCTION("""COMPUTED_VALUE"""),"-")</f>
        <v>-</v>
      </c>
      <c r="M971" s="42" t="str">
        <f>IFERROR(__xludf.DUMMYFUNCTION("""COMPUTED_VALUE"""),"[C]")</f>
        <v>[C]</v>
      </c>
      <c r="N971" s="42" t="str">
        <f>IFERROR(__xludf.DUMMYFUNCTION("""COMPUTED_VALUE"""),"""This is who I really am.""")</f>
        <v>"This is who I really am."</v>
      </c>
      <c r="O971" s="42"/>
      <c r="P971" s="42"/>
      <c r="Q971" s="42"/>
      <c r="R971" s="42"/>
      <c r="S971" s="42"/>
      <c r="T971" s="42"/>
      <c r="U971" s="42"/>
      <c r="V971" s="42"/>
      <c r="W971" s="42"/>
      <c r="X971" s="42"/>
      <c r="Y971" s="42"/>
      <c r="Z971" s="42"/>
    </row>
    <row r="972">
      <c r="A972" s="41" t="str">
        <f>IFERROR(__xludf.DUMMYFUNCTION("""COMPUTED_VALUE"""),"P-098")</f>
        <v>P-098</v>
      </c>
      <c r="B972" s="42" t="str">
        <f>IFERROR(__xludf.DUMMYFUNCTION("""COMPUTED_VALUE"""),"Partner")</f>
        <v>Partner</v>
      </c>
      <c r="C972" s="42" t="str">
        <f>IFERROR(__xludf.DUMMYFUNCTION("""COMPUTED_VALUE"""),"Mohawk Ace")</f>
        <v>Mohawk Ace</v>
      </c>
      <c r="D972" s="42" t="str">
        <f>IFERROR(__xludf.DUMMYFUNCTION("""COMPUTED_VALUE"""),"-")</f>
        <v>-</v>
      </c>
      <c r="E972" s="42" t="str">
        <f>IFERROR(__xludf.DUMMYFUNCTION("""COMPUTED_VALUE"""),"-")</f>
        <v>-</v>
      </c>
      <c r="F972" s="42" t="str">
        <f>IFERROR(__xludf.DUMMYFUNCTION("""COMPUTED_VALUE"""),"-")</f>
        <v>-</v>
      </c>
      <c r="G972" s="42" t="str">
        <f>IFERROR(__xludf.DUMMYFUNCTION("""COMPUTED_VALUE"""),"None")</f>
        <v>None</v>
      </c>
      <c r="H972" s="42" t="str">
        <f>IFERROR(__xludf.DUMMYFUNCTION("""COMPUTED_VALUE"""),"Number One")</f>
        <v>Number One</v>
      </c>
      <c r="I972" s="43" t="str">
        <f>IFERROR(__xludf.DUMMYFUNCTION("""COMPUTED_VALUE"""),"[IN PLAY] Apply the following effect when this card is sent to the Discard Pile. [STANDBY] At the END PHASE of this turn, move 1 Victoream MAMODO card and 1 Mohawk Ace PARTNER card (other than P-098 Mohawk Ace) from your Discard Pile into play. Mamodo : V"&amp;"ictoream")</f>
        <v>[IN PLAY] Apply the following effect when this card is sent to the Discard Pile. [STANDBY] At the END PHASE of this turn, move 1 Victoream MAMODO card and 1 Mohawk Ace PARTNER card (other than P-098 Mohawk Ace) from your Discard Pile into play. Mamodo : Victoream</v>
      </c>
      <c r="J972" s="42" t="str">
        <f>IFERROR(__xludf.DUMMYFUNCTION("""COMPUTED_VALUE"""),"-")</f>
        <v>-</v>
      </c>
      <c r="K972" s="42" t="str">
        <f>IFERROR(__xludf.DUMMYFUNCTION("""COMPUTED_VALUE"""),"-")</f>
        <v>-</v>
      </c>
      <c r="L972" s="42" t="str">
        <f>IFERROR(__xludf.DUMMYFUNCTION("""COMPUTED_VALUE"""),"-")</f>
        <v>-</v>
      </c>
      <c r="M972" s="42" t="str">
        <f>IFERROR(__xludf.DUMMYFUNCTION("""COMPUTED_VALUE"""),"[C]")</f>
        <v>[C]</v>
      </c>
      <c r="N972" s="42" t="str">
        <f>IFERROR(__xludf.DUMMYFUNCTION("""COMPUTED_VALUE"""),"The number 1 tattooed on his forehead and chest is actually handwritten with magic marker...")</f>
        <v>The number 1 tattooed on his forehead and chest is actually handwritten with magic marker...</v>
      </c>
      <c r="O972" s="42"/>
      <c r="P972" s="42"/>
      <c r="Q972" s="42"/>
      <c r="R972" s="42"/>
      <c r="S972" s="42"/>
      <c r="T972" s="42"/>
      <c r="U972" s="42"/>
      <c r="V972" s="42"/>
      <c r="W972" s="42"/>
      <c r="X972" s="42"/>
      <c r="Y972" s="42"/>
      <c r="Z972" s="42"/>
    </row>
    <row r="973">
      <c r="A973" s="41" t="str">
        <f>IFERROR(__xludf.DUMMYFUNCTION("""COMPUTED_VALUE"""),"P-099")</f>
        <v>P-099</v>
      </c>
      <c r="B973" s="42" t="str">
        <f>IFERROR(__xludf.DUMMYFUNCTION("""COMPUTED_VALUE"""),"Partner")</f>
        <v>Partner</v>
      </c>
      <c r="C973" s="42" t="str">
        <f>IFERROR(__xludf.DUMMYFUNCTION("""COMPUTED_VALUE"""),"Albert")</f>
        <v>Albert</v>
      </c>
      <c r="D973" s="42" t="str">
        <f>IFERROR(__xludf.DUMMYFUNCTION("""COMPUTED_VALUE"""),"Laila")</f>
        <v>Laila</v>
      </c>
      <c r="E973" s="42" t="str">
        <f>IFERROR(__xludf.DUMMYFUNCTION("""COMPUTED_VALUE"""),"-")</f>
        <v>-</v>
      </c>
      <c r="F973" s="42" t="str">
        <f>IFERROR(__xludf.DUMMYFUNCTION("""COMPUTED_VALUE"""),"-")</f>
        <v>-</v>
      </c>
      <c r="G973" s="42" t="str">
        <f>IFERROR(__xludf.DUMMYFUNCTION("""COMPUTED_VALUE"""),"None")</f>
        <v>None</v>
      </c>
      <c r="H973" s="42" t="str">
        <f>IFERROR(__xludf.DUMMYFUNCTION("""COMPUTED_VALUE"""),"Awakened Heart")</f>
        <v>Awakened Heart</v>
      </c>
      <c r="I973" s="43" t="str">
        <f>IFERROR(__xludf.DUMMYFUNCTION("""COMPUTED_VALUE"""),"[IN PLAY] Your opponent can apply the effects of only 1 MAMODO card per turn (except MAMODO cards with [In Play]).")</f>
        <v>[IN PLAY] Your opponent can apply the effects of only 1 MAMODO card per turn (except MAMODO cards with [In Play]).</v>
      </c>
      <c r="J973" s="42" t="str">
        <f>IFERROR(__xludf.DUMMYFUNCTION("""COMPUTED_VALUE"""),"-")</f>
        <v>-</v>
      </c>
      <c r="K973" s="42" t="str">
        <f>IFERROR(__xludf.DUMMYFUNCTION("""COMPUTED_VALUE"""),"-")</f>
        <v>-</v>
      </c>
      <c r="L973" s="42" t="str">
        <f>IFERROR(__xludf.DUMMYFUNCTION("""COMPUTED_VALUE"""),"-")</f>
        <v>-</v>
      </c>
      <c r="M973" s="42" t="str">
        <f>IFERROR(__xludf.DUMMYFUNCTION("""COMPUTED_VALUE"""),"[C]")</f>
        <v>[C]</v>
      </c>
      <c r="N973" s="42" t="str">
        <f>IFERROR(__xludf.DUMMYFUNCTION("""COMPUTED_VALUE"""),"""I can finally lend you my strength.""")</f>
        <v>"I can finally lend you my strength."</v>
      </c>
      <c r="O973" s="42"/>
      <c r="P973" s="42"/>
      <c r="Q973" s="42"/>
      <c r="R973" s="42"/>
      <c r="S973" s="42"/>
      <c r="T973" s="42"/>
      <c r="U973" s="42"/>
      <c r="V973" s="42"/>
      <c r="W973" s="42"/>
      <c r="X973" s="42"/>
      <c r="Y973" s="42"/>
      <c r="Z973" s="42"/>
    </row>
    <row r="974">
      <c r="A974" s="41" t="str">
        <f>IFERROR(__xludf.DUMMYFUNCTION("""COMPUTED_VALUE"""),"P-100")</f>
        <v>P-100</v>
      </c>
      <c r="B974" s="42" t="str">
        <f>IFERROR(__xludf.DUMMYFUNCTION("""COMPUTED_VALUE"""),"Partner")</f>
        <v>Partner</v>
      </c>
      <c r="C974" s="42" t="str">
        <f>IFERROR(__xludf.DUMMYFUNCTION("""COMPUTED_VALUE"""),"Kafk Sunbeam")</f>
        <v>Kafk Sunbeam</v>
      </c>
      <c r="D974" s="42" t="str">
        <f>IFERROR(__xludf.DUMMYFUNCTION("""COMPUTED_VALUE"""),"Ponygon")</f>
        <v>Ponygon</v>
      </c>
      <c r="E974" s="42" t="str">
        <f>IFERROR(__xludf.DUMMYFUNCTION("""COMPUTED_VALUE"""),"-")</f>
        <v>-</v>
      </c>
      <c r="F974" s="42" t="str">
        <f>IFERROR(__xludf.DUMMYFUNCTION("""COMPUTED_VALUE"""),"-")</f>
        <v>-</v>
      </c>
      <c r="G974" s="42" t="str">
        <f>IFERROR(__xludf.DUMMYFUNCTION("""COMPUTED_VALUE"""),"None")</f>
        <v>None</v>
      </c>
      <c r="H974" s="42" t="str">
        <f>IFERROR(__xludf.DUMMYFUNCTION("""COMPUTED_VALUE"""),"Combination")</f>
        <v>Combination</v>
      </c>
      <c r="I974" s="43" t="str">
        <f>IFERROR(__xludf.DUMMYFUNCTION("""COMPUTED_VALUE"""),"[IN PLAY] Add the text below to your in-play Ponygon MAMODO card: ● (Attack) [1 MP] This card may Attack without using a SPELL card (Total Power=7000, Damage=1).")</f>
        <v>[IN PLAY] Add the text below to your in-play Ponygon MAMODO card: ● (Attack) [1 MP] This card may Attack without using a SPELL card (Total Power=7000, Damage=1).</v>
      </c>
      <c r="J974" s="42" t="str">
        <f>IFERROR(__xludf.DUMMYFUNCTION("""COMPUTED_VALUE"""),"-")</f>
        <v>-</v>
      </c>
      <c r="K974" s="42" t="str">
        <f>IFERROR(__xludf.DUMMYFUNCTION("""COMPUTED_VALUE"""),"-")</f>
        <v>-</v>
      </c>
      <c r="L974" s="42" t="str">
        <f>IFERROR(__xludf.DUMMYFUNCTION("""COMPUTED_VALUE"""),"-")</f>
        <v>-</v>
      </c>
      <c r="M974" s="42" t="str">
        <f>IFERROR(__xludf.DUMMYFUNCTION("""COMPUTED_VALUE"""),"[U]")</f>
        <v>[U]</v>
      </c>
      <c r="N974" s="42" t="str">
        <f>IFERROR(__xludf.DUMMYFUNCTION("""COMPUTED_VALUE"""),"""Don't underestimate our combination technique.""")</f>
        <v>"Don't underestimate our combination technique."</v>
      </c>
      <c r="O974" s="42"/>
      <c r="P974" s="42"/>
      <c r="Q974" s="42"/>
      <c r="R974" s="42"/>
      <c r="S974" s="42"/>
      <c r="T974" s="42"/>
      <c r="U974" s="42"/>
      <c r="V974" s="42"/>
      <c r="W974" s="42"/>
      <c r="X974" s="42"/>
      <c r="Y974" s="42"/>
      <c r="Z974" s="42"/>
    </row>
    <row r="975">
      <c r="A975" s="41" t="str">
        <f>IFERROR(__xludf.DUMMYFUNCTION("""COMPUTED_VALUE"""),"P-101")</f>
        <v>P-101</v>
      </c>
      <c r="B975" s="42" t="str">
        <f>IFERROR(__xludf.DUMMYFUNCTION("""COMPUTED_VALUE"""),"Partner")</f>
        <v>Partner</v>
      </c>
      <c r="C975" s="42" t="str">
        <f>IFERROR(__xludf.DUMMYFUNCTION("""COMPUTED_VALUE"""),"Dr. Riddles")</f>
        <v>Dr. Riddles</v>
      </c>
      <c r="D975" s="42" t="str">
        <f>IFERROR(__xludf.DUMMYFUNCTION("""COMPUTED_VALUE"""),"Kido")</f>
        <v>Kido</v>
      </c>
      <c r="E975" s="42" t="str">
        <f>IFERROR(__xludf.DUMMYFUNCTION("""COMPUTED_VALUE"""),"-")</f>
        <v>-</v>
      </c>
      <c r="F975" s="42" t="str">
        <f>IFERROR(__xludf.DUMMYFUNCTION("""COMPUTED_VALUE"""),"-")</f>
        <v>-</v>
      </c>
      <c r="G975" s="42" t="str">
        <f>IFERROR(__xludf.DUMMYFUNCTION("""COMPUTED_VALUE"""),"None")</f>
        <v>None</v>
      </c>
      <c r="H975" s="42" t="str">
        <f>IFERROR(__xludf.DUMMYFUNCTION("""COMPUTED_VALUE"""),"Kido's Homeworld")</f>
        <v>Kido's Homeworld</v>
      </c>
      <c r="I975" s="43" t="str">
        <f>IFERROR(__xludf.DUMMYFUNCTION("""COMPUTED_VALUE"""),"[IN PLAY] Your Kido MAMODO card can neither be sent to the Discard Pile by your opponent's card effects, nor can your Kido MAMODO card's effects be negated by cut-in effects.")</f>
        <v>[IN PLAY] Your Kido MAMODO card can neither be sent to the Discard Pile by your opponent's card effects, nor can your Kido MAMODO card's effects be negated by cut-in effects.</v>
      </c>
      <c r="J975" s="42" t="str">
        <f>IFERROR(__xludf.DUMMYFUNCTION("""COMPUTED_VALUE"""),"-")</f>
        <v>-</v>
      </c>
      <c r="K975" s="42" t="str">
        <f>IFERROR(__xludf.DUMMYFUNCTION("""COMPUTED_VALUE"""),"-")</f>
        <v>-</v>
      </c>
      <c r="L975" s="42" t="str">
        <f>IFERROR(__xludf.DUMMYFUNCTION("""COMPUTED_VALUE"""),"-")</f>
        <v>-</v>
      </c>
      <c r="M975" s="42" t="str">
        <f>IFERROR(__xludf.DUMMYFUNCTION("""COMPUTED_VALUE"""),"[U]")</f>
        <v>[U]</v>
      </c>
      <c r="N975" s="42" t="str">
        <f>IFERROR(__xludf.DUMMYFUNCTION("""COMPUTED_VALUE"""),"“All I see is Kido’s world, which dazzles with light!”")</f>
        <v>“All I see is Kido’s world, which dazzles with light!”</v>
      </c>
      <c r="O975" s="42"/>
      <c r="P975" s="42"/>
      <c r="Q975" s="42"/>
      <c r="R975" s="42"/>
      <c r="S975" s="42"/>
      <c r="T975" s="42"/>
      <c r="U975" s="42"/>
      <c r="V975" s="42"/>
      <c r="W975" s="42"/>
      <c r="X975" s="42"/>
      <c r="Y975" s="42"/>
      <c r="Z975" s="42"/>
    </row>
    <row r="976">
      <c r="A976" s="41" t="str">
        <f>IFERROR(__xludf.DUMMYFUNCTION("""COMPUTED_VALUE"""),"P-102")</f>
        <v>P-102</v>
      </c>
      <c r="B976" s="42" t="str">
        <f>IFERROR(__xludf.DUMMYFUNCTION("""COMPUTED_VALUE"""),"Partner")</f>
        <v>Partner</v>
      </c>
      <c r="C976" s="42" t="str">
        <f>IFERROR(__xludf.DUMMYFUNCTION("""COMPUTED_VALUE"""),"Lyon")</f>
        <v>Lyon</v>
      </c>
      <c r="D976" s="42" t="str">
        <f>IFERROR(__xludf.DUMMYFUNCTION("""COMPUTED_VALUE"""),"Kamack")</f>
        <v>Kamack</v>
      </c>
      <c r="E976" s="42" t="str">
        <f>IFERROR(__xludf.DUMMYFUNCTION("""COMPUTED_VALUE"""),"-")</f>
        <v>-</v>
      </c>
      <c r="F976" s="42" t="str">
        <f>IFERROR(__xludf.DUMMYFUNCTION("""COMPUTED_VALUE"""),"-")</f>
        <v>-</v>
      </c>
      <c r="G976" s="42" t="str">
        <f>IFERROR(__xludf.DUMMYFUNCTION("""COMPUTED_VALUE"""),"None")</f>
        <v>None</v>
      </c>
      <c r="H976" s="42" t="str">
        <f>IFERROR(__xludf.DUMMYFUNCTION("""COMPUTED_VALUE"""),"Patrol")</f>
        <v>Patrol</v>
      </c>
      <c r="I976" s="43" t="str">
        <f>IFERROR(__xludf.DUMMYFUNCTION("""COMPUTED_VALUE"""),"[IN PLAY] The effects of your Kamack MAMODO card with ""When you have 3 Stone Tablet MAMODO cards in play"" can also be applied when you have 1 Stone Tablet MAMODO card in play.")</f>
        <v>[IN PLAY] The effects of your Kamack MAMODO card with "When you have 3 Stone Tablet MAMODO cards in play" can also be applied when you have 1 Stone Tablet MAMODO card in play.</v>
      </c>
      <c r="J976" s="42" t="str">
        <f>IFERROR(__xludf.DUMMYFUNCTION("""COMPUTED_VALUE"""),"-")</f>
        <v>-</v>
      </c>
      <c r="K976" s="42" t="str">
        <f>IFERROR(__xludf.DUMMYFUNCTION("""COMPUTED_VALUE"""),"-")</f>
        <v>-</v>
      </c>
      <c r="L976" s="42" t="str">
        <f>IFERROR(__xludf.DUMMYFUNCTION("""COMPUTED_VALUE"""),"-")</f>
        <v>-</v>
      </c>
      <c r="M976" s="42" t="str">
        <f>IFERROR(__xludf.DUMMYFUNCTION("""COMPUTED_VALUE"""),"[C]")</f>
        <v>[C]</v>
      </c>
      <c r="N976" s="42" t="str">
        <f>IFERROR(__xludf.DUMMYFUNCTION("""COMPUTED_VALUE"""),"His heart and mind are being manipulated, which enables him to cast any spell that Kamack is thinking of at the time.")</f>
        <v>His heart and mind are being manipulated, which enables him to cast any spell that Kamack is thinking of at the time.</v>
      </c>
      <c r="O976" s="42"/>
      <c r="P976" s="42"/>
      <c r="Q976" s="42"/>
      <c r="R976" s="42"/>
      <c r="S976" s="42"/>
      <c r="T976" s="42"/>
      <c r="U976" s="42"/>
      <c r="V976" s="42"/>
      <c r="W976" s="42"/>
      <c r="X976" s="42"/>
      <c r="Y976" s="42"/>
      <c r="Z976" s="42"/>
    </row>
    <row r="977">
      <c r="A977" s="41" t="str">
        <f>IFERROR(__xludf.DUMMYFUNCTION("""COMPUTED_VALUE"""),"P-103")</f>
        <v>P-103</v>
      </c>
      <c r="B977" s="42" t="str">
        <f>IFERROR(__xludf.DUMMYFUNCTION("""COMPUTED_VALUE"""),"Partner")</f>
        <v>Partner</v>
      </c>
      <c r="C977" s="42" t="str">
        <f>IFERROR(__xludf.DUMMYFUNCTION("""COMPUTED_VALUE"""),"Grubb")</f>
        <v>Grubb</v>
      </c>
      <c r="D977" s="42" t="str">
        <f>IFERROR(__xludf.DUMMYFUNCTION("""COMPUTED_VALUE"""),"Koral Q")</f>
        <v>Koral Q</v>
      </c>
      <c r="E977" s="42" t="str">
        <f>IFERROR(__xludf.DUMMYFUNCTION("""COMPUTED_VALUE"""),"-")</f>
        <v>-</v>
      </c>
      <c r="F977" s="42" t="str">
        <f>IFERROR(__xludf.DUMMYFUNCTION("""COMPUTED_VALUE"""),"-")</f>
        <v>-</v>
      </c>
      <c r="G977" s="42" t="str">
        <f>IFERROR(__xludf.DUMMYFUNCTION("""COMPUTED_VALUE"""),"None")</f>
        <v>None</v>
      </c>
      <c r="H977" s="42" t="str">
        <f>IFERROR(__xludf.DUMMYFUNCTION("""COMPUTED_VALUE"""),"Transform!")</f>
        <v>Transform!</v>
      </c>
      <c r="I977" s="43" t="str">
        <f>IFERROR(__xludf.DUMMYFUNCTION("""COMPUTED_VALUE"""),"[SEND THIS CARD TO THE DISCARD PILE] [STANDBY] After applying this effect, only once during this turn (per player), you can play 1 SPELL card with Koral Q as its MAMODO name from any page of your Spell Book.")</f>
        <v>[SEND THIS CARD TO THE DISCARD PILE] [STANDBY] After applying this effect, only once during this turn (per player), you can play 1 SPELL card with Koral Q as its MAMODO name from any page of your Spell Book.</v>
      </c>
      <c r="J977" s="42" t="str">
        <f>IFERROR(__xludf.DUMMYFUNCTION("""COMPUTED_VALUE"""),"-")</f>
        <v>-</v>
      </c>
      <c r="K977" s="42" t="str">
        <f>IFERROR(__xludf.DUMMYFUNCTION("""COMPUTED_VALUE"""),"-")</f>
        <v>-</v>
      </c>
      <c r="L977" s="42" t="str">
        <f>IFERROR(__xludf.DUMMYFUNCTION("""COMPUTED_VALUE"""),"-")</f>
        <v>-</v>
      </c>
      <c r="M977" s="42" t="str">
        <f>IFERROR(__xludf.DUMMYFUNCTION("""COMPUTED_VALUE"""),"[C]")</f>
        <v>[C]</v>
      </c>
      <c r="N977" s="42" t="str">
        <f>IFERROR(__xludf.DUMMYFUNCTION("""COMPUTED_VALUE"""),"""Koral Q, it's time to transform!""")</f>
        <v>"Koral Q, it's time to transform!"</v>
      </c>
      <c r="O977" s="42"/>
      <c r="P977" s="42"/>
      <c r="Q977" s="42"/>
      <c r="R977" s="42"/>
      <c r="S977" s="42"/>
      <c r="T977" s="42"/>
      <c r="U977" s="42"/>
      <c r="V977" s="42"/>
      <c r="W977" s="42"/>
      <c r="X977" s="42"/>
      <c r="Y977" s="42"/>
      <c r="Z977" s="42"/>
    </row>
    <row r="978">
      <c r="A978" s="41" t="str">
        <f>IFERROR(__xludf.DUMMYFUNCTION("""COMPUTED_VALUE"""),"P-104")</f>
        <v>P-104</v>
      </c>
      <c r="B978" s="42" t="str">
        <f>IFERROR(__xludf.DUMMYFUNCTION("""COMPUTED_VALUE"""),"Partner")</f>
        <v>Partner</v>
      </c>
      <c r="C978" s="42" t="str">
        <f>IFERROR(__xludf.DUMMYFUNCTION("""COMPUTED_VALUE"""),"Jido")</f>
        <v>Jido</v>
      </c>
      <c r="D978" s="42" t="str">
        <f>IFERROR(__xludf.DUMMYFUNCTION("""COMPUTED_VALUE"""),"Ted")</f>
        <v>Ted</v>
      </c>
      <c r="E978" s="42" t="str">
        <f>IFERROR(__xludf.DUMMYFUNCTION("""COMPUTED_VALUE"""),"-")</f>
        <v>-</v>
      </c>
      <c r="F978" s="42" t="str">
        <f>IFERROR(__xludf.DUMMYFUNCTION("""COMPUTED_VALUE"""),"-")</f>
        <v>-</v>
      </c>
      <c r="G978" s="42" t="str">
        <f>IFERROR(__xludf.DUMMYFUNCTION("""COMPUTED_VALUE"""),"None")</f>
        <v>None</v>
      </c>
      <c r="H978" s="42" t="str">
        <f>IFERROR(__xludf.DUMMYFUNCTION("""COMPUTED_VALUE"""),"A Biker's True Spirit")</f>
        <v>A Biker's True Spirit</v>
      </c>
      <c r="I978" s="43" t="str">
        <f>IFERROR(__xludf.DUMMYFUNCTION("""COMPUTED_VALUE"""),"[SEND THIS CARD TO THE DISCARD PILE] [STANDBY] After applying this effect, only once during this turn (per player), you can play 1 SPELL card with Ted as its MAMODO name from any page of your Spell Book.")</f>
        <v>[SEND THIS CARD TO THE DISCARD PILE] [STANDBY] After applying this effect, only once during this turn (per player), you can play 1 SPELL card with Ted as its MAMODO name from any page of your Spell Book.</v>
      </c>
      <c r="J978" s="42" t="str">
        <f>IFERROR(__xludf.DUMMYFUNCTION("""COMPUTED_VALUE"""),"-")</f>
        <v>-</v>
      </c>
      <c r="K978" s="42" t="str">
        <f>IFERROR(__xludf.DUMMYFUNCTION("""COMPUTED_VALUE"""),"-")</f>
        <v>-</v>
      </c>
      <c r="L978" s="42" t="str">
        <f>IFERROR(__xludf.DUMMYFUNCTION("""COMPUTED_VALUE"""),"-")</f>
        <v>-</v>
      </c>
      <c r="M978" s="42" t="str">
        <f>IFERROR(__xludf.DUMMYFUNCTION("""COMPUTED_VALUE"""),"[R]")</f>
        <v>[R]</v>
      </c>
      <c r="N978" s="42" t="str">
        <f>IFERROR(__xludf.DUMMYFUNCTION("""COMPUTED_VALUE"""),"""You're not nearly good enough to talk to the wind like I can.""")</f>
        <v>"You're not nearly good enough to talk to the wind like I can."</v>
      </c>
      <c r="O978" s="42"/>
      <c r="P978" s="42"/>
      <c r="Q978" s="42"/>
      <c r="R978" s="42"/>
      <c r="S978" s="42"/>
      <c r="T978" s="42"/>
      <c r="U978" s="42"/>
      <c r="V978" s="42"/>
      <c r="W978" s="42"/>
      <c r="X978" s="42"/>
      <c r="Y978" s="42"/>
      <c r="Z978" s="42"/>
    </row>
    <row r="979">
      <c r="A979" s="41" t="str">
        <f>IFERROR(__xludf.DUMMYFUNCTION("""COMPUTED_VALUE"""),"P-105")</f>
        <v>P-105</v>
      </c>
      <c r="B979" s="42" t="str">
        <f>IFERROR(__xludf.DUMMYFUNCTION("""COMPUTED_VALUE"""),"Partner")</f>
        <v>Partner</v>
      </c>
      <c r="C979" s="42" t="str">
        <f>IFERROR(__xludf.DUMMYFUNCTION("""COMPUTED_VALUE"""),"Ellie")</f>
        <v>Ellie</v>
      </c>
      <c r="D979" s="42" t="str">
        <f>IFERROR(__xludf.DUMMYFUNCTION("""COMPUTED_VALUE"""),"Arth")</f>
        <v>Arth</v>
      </c>
      <c r="E979" s="42" t="str">
        <f>IFERROR(__xludf.DUMMYFUNCTION("""COMPUTED_VALUE"""),"-")</f>
        <v>-</v>
      </c>
      <c r="F979" s="42" t="str">
        <f>IFERROR(__xludf.DUMMYFUNCTION("""COMPUTED_VALUE"""),"-")</f>
        <v>-</v>
      </c>
      <c r="G979" s="42" t="str">
        <f>IFERROR(__xludf.DUMMYFUNCTION("""COMPUTED_VALUE"""),"None")</f>
        <v>None</v>
      </c>
      <c r="H979" s="42" t="str">
        <f>IFERROR(__xludf.DUMMYFUNCTION("""COMPUTED_VALUE"""),"I'm Sorry")</f>
        <v>I'm Sorry</v>
      </c>
      <c r="I979" s="43" t="str">
        <f>IFERROR(__xludf.DUMMYFUNCTION("""COMPUTED_VALUE"""),"[SEND THIS CARD TO THE DISCARD PILE] [STANDBY] After applying this effect, only once during this turn (per player), you can play 1 SPELL card with Arth as its MAMODO name from any page of your Spell Book.")</f>
        <v>[SEND THIS CARD TO THE DISCARD PILE] [STANDBY] After applying this effect, only once during this turn (per player), you can play 1 SPELL card with Arth as its MAMODO name from any page of your Spell Book.</v>
      </c>
      <c r="J979" s="42" t="str">
        <f>IFERROR(__xludf.DUMMYFUNCTION("""COMPUTED_VALUE"""),"-")</f>
        <v>-</v>
      </c>
      <c r="K979" s="42" t="str">
        <f>IFERROR(__xludf.DUMMYFUNCTION("""COMPUTED_VALUE"""),"-")</f>
        <v>-</v>
      </c>
      <c r="L979" s="42" t="str">
        <f>IFERROR(__xludf.DUMMYFUNCTION("""COMPUTED_VALUE"""),"-")</f>
        <v>-</v>
      </c>
      <c r="M979" s="42" t="str">
        <f>IFERROR(__xludf.DUMMYFUNCTION("""COMPUTED_VALUE"""),"[R]")</f>
        <v>[R]</v>
      </c>
      <c r="N979" s="42" t="str">
        <f>IFERROR(__xludf.DUMMYFUNCTION("""COMPUTED_VALUE"""),"“I’m sorry. Because I underestimated them, it’s my fault you got hurt.”")</f>
        <v>“I’m sorry. Because I underestimated them, it’s my fault you got hurt.”</v>
      </c>
      <c r="O979" s="42"/>
      <c r="P979" s="42"/>
      <c r="Q979" s="42"/>
      <c r="R979" s="42"/>
      <c r="S979" s="42"/>
      <c r="T979" s="42"/>
      <c r="U979" s="42"/>
      <c r="V979" s="42"/>
      <c r="W979" s="42"/>
      <c r="X979" s="42"/>
      <c r="Y979" s="42"/>
      <c r="Z979" s="42"/>
    </row>
    <row r="980">
      <c r="A980" s="41" t="str">
        <f>IFERROR(__xludf.DUMMYFUNCTION("""COMPUTED_VALUE"""),"P-106")</f>
        <v>P-106</v>
      </c>
      <c r="B980" s="42" t="str">
        <f>IFERROR(__xludf.DUMMYFUNCTION("""COMPUTED_VALUE"""),"Partner")</f>
        <v>Partner</v>
      </c>
      <c r="C980" s="42" t="str">
        <f>IFERROR(__xludf.DUMMYFUNCTION("""COMPUTED_VALUE"""),"Jido")</f>
        <v>Jido</v>
      </c>
      <c r="D980" s="42" t="str">
        <f>IFERROR(__xludf.DUMMYFUNCTION("""COMPUTED_VALUE"""),"Ted")</f>
        <v>Ted</v>
      </c>
      <c r="E980" s="42" t="str">
        <f>IFERROR(__xludf.DUMMYFUNCTION("""COMPUTED_VALUE"""),"-")</f>
        <v>-</v>
      </c>
      <c r="F980" s="42" t="str">
        <f>IFERROR(__xludf.DUMMYFUNCTION("""COMPUTED_VALUE"""),"-")</f>
        <v>-</v>
      </c>
      <c r="G980" s="42" t="str">
        <f>IFERROR(__xludf.DUMMYFUNCTION("""COMPUTED_VALUE"""),"None")</f>
        <v>None</v>
      </c>
      <c r="H980" s="42" t="str">
        <f>IFERROR(__xludf.DUMMYFUNCTION("""COMPUTED_VALUE"""),"Secon Nagur")</f>
        <v>Secon Nagur</v>
      </c>
      <c r="I980" s="43" t="str">
        <f>IFERROR(__xludf.DUMMYFUNCTION("""COMPUTED_VALUE"""),"[SEND THIS CARD TO THE DISCARD PILE] A Secon Nagur SPELL card is considered to have been played during this game. Then, adjust the number of MP counters on your Ted MAMODO card until there are 2 MP counters.")</f>
        <v>[SEND THIS CARD TO THE DISCARD PILE] A Secon Nagur SPELL card is considered to have been played during this game. Then, adjust the number of MP counters on your Ted MAMODO card until there are 2 MP counters.</v>
      </c>
      <c r="J980" s="42" t="str">
        <f>IFERROR(__xludf.DUMMYFUNCTION("""COMPUTED_VALUE"""),"-")</f>
        <v>-</v>
      </c>
      <c r="K980" s="42" t="str">
        <f>IFERROR(__xludf.DUMMYFUNCTION("""COMPUTED_VALUE"""),"-")</f>
        <v>-</v>
      </c>
      <c r="L980" s="42" t="str">
        <f>IFERROR(__xludf.DUMMYFUNCTION("""COMPUTED_VALUE"""),"-")</f>
        <v>-</v>
      </c>
      <c r="M980" s="42" t="str">
        <f>IFERROR(__xludf.DUMMYFUNCTION("""COMPUTED_VALUE"""),"[C]")</f>
        <v>[C]</v>
      </c>
      <c r="N980" s="42" t="str">
        <f>IFERROR(__xludf.DUMMYFUNCTION("""COMPUTED_VALUE"""),"""I suppose, just maybe, that's why I go along with him.""")</f>
        <v>"I suppose, just maybe, that's why I go along with him."</v>
      </c>
      <c r="O980" s="42"/>
      <c r="P980" s="42"/>
      <c r="Q980" s="42"/>
      <c r="R980" s="42"/>
      <c r="S980" s="42"/>
      <c r="T980" s="42"/>
      <c r="U980" s="42"/>
      <c r="V980" s="42"/>
      <c r="W980" s="42"/>
      <c r="X980" s="42"/>
      <c r="Y980" s="42"/>
      <c r="Z980" s="42"/>
    </row>
    <row r="981">
      <c r="A981" s="41" t="str">
        <f>IFERROR(__xludf.DUMMYFUNCTION("""COMPUTED_VALUE"""),"P-107")</f>
        <v>P-107</v>
      </c>
      <c r="B981" s="42" t="str">
        <f>IFERROR(__xludf.DUMMYFUNCTION("""COMPUTED_VALUE"""),"Partner")</f>
        <v>Partner</v>
      </c>
      <c r="C981" s="42" t="str">
        <f>IFERROR(__xludf.DUMMYFUNCTION("""COMPUTED_VALUE"""),"Ellie")</f>
        <v>Ellie</v>
      </c>
      <c r="D981" s="42" t="str">
        <f>IFERROR(__xludf.DUMMYFUNCTION("""COMPUTED_VALUE"""),"Arth")</f>
        <v>Arth</v>
      </c>
      <c r="E981" s="42" t="str">
        <f>IFERROR(__xludf.DUMMYFUNCTION("""COMPUTED_VALUE"""),"-")</f>
        <v>-</v>
      </c>
      <c r="F981" s="42" t="str">
        <f>IFERROR(__xludf.DUMMYFUNCTION("""COMPUTED_VALUE"""),"-")</f>
        <v>-</v>
      </c>
      <c r="G981" s="42" t="str">
        <f>IFERROR(__xludf.DUMMYFUNCTION("""COMPUTED_VALUE"""),"None")</f>
        <v>None</v>
      </c>
      <c r="H981" s="42" t="str">
        <f>IFERROR(__xludf.DUMMYFUNCTION("""COMPUTED_VALUE"""),"Brilliant")</f>
        <v>Brilliant</v>
      </c>
      <c r="I981" s="43" t="str">
        <f>IFERROR(__xludf.DUMMYFUNCTION("""COMPUTED_VALUE"""),"[IN PLAY] Each time your Arth MAMODO card inflicts Damage or Injury by playing a SPELL card or by Attacking without using a SPELL card, reduce your opponent's MP by 1 to get 1 MP.")</f>
        <v>[IN PLAY] Each time your Arth MAMODO card inflicts Damage or Injury by playing a SPELL card or by Attacking without using a SPELL card, reduce your opponent's MP by 1 to get 1 MP.</v>
      </c>
      <c r="J981" s="42" t="str">
        <f>IFERROR(__xludf.DUMMYFUNCTION("""COMPUTED_VALUE"""),"-")</f>
        <v>-</v>
      </c>
      <c r="K981" s="42" t="str">
        <f>IFERROR(__xludf.DUMMYFUNCTION("""COMPUTED_VALUE"""),"-")</f>
        <v>-</v>
      </c>
      <c r="L981" s="42" t="str">
        <f>IFERROR(__xludf.DUMMYFUNCTION("""COMPUTED_VALUE"""),"-")</f>
        <v>-</v>
      </c>
      <c r="M981" s="42" t="str">
        <f>IFERROR(__xludf.DUMMYFUNCTION("""COMPUTED_VALUE"""),"[C]")</f>
        <v>[C]</v>
      </c>
      <c r="N981" s="42" t="str">
        <f>IFERROR(__xludf.DUMMYFUNCTION("""COMPUTED_VALUE"""),"""Brilliant swordmanship, Arth. Finish them with the next strike.""")</f>
        <v>"Brilliant swordmanship, Arth. Finish them with the next strike."</v>
      </c>
      <c r="O981" s="42"/>
      <c r="P981" s="42"/>
      <c r="Q981" s="42"/>
      <c r="R981" s="42"/>
      <c r="S981" s="42"/>
      <c r="T981" s="42"/>
      <c r="U981" s="42"/>
      <c r="V981" s="42"/>
      <c r="W981" s="42"/>
      <c r="X981" s="42"/>
      <c r="Y981" s="42"/>
      <c r="Z981" s="42"/>
    </row>
    <row r="982">
      <c r="A982" s="41" t="str">
        <f>IFERROR(__xludf.DUMMYFUNCTION("""COMPUTED_VALUE"""),"P-108")</f>
        <v>P-108</v>
      </c>
      <c r="B982" s="42" t="str">
        <f>IFERROR(__xludf.DUMMYFUNCTION("""COMPUTED_VALUE"""),"Partner")</f>
        <v>Partner</v>
      </c>
      <c r="C982" s="42" t="str">
        <f>IFERROR(__xludf.DUMMYFUNCTION("""COMPUTED_VALUE"""),"Megumi")</f>
        <v>Megumi</v>
      </c>
      <c r="D982" s="42" t="str">
        <f>IFERROR(__xludf.DUMMYFUNCTION("""COMPUTED_VALUE"""),"Tia")</f>
        <v>Tia</v>
      </c>
      <c r="E982" s="42" t="str">
        <f>IFERROR(__xludf.DUMMYFUNCTION("""COMPUTED_VALUE"""),"-")</f>
        <v>-</v>
      </c>
      <c r="F982" s="42" t="str">
        <f>IFERROR(__xludf.DUMMYFUNCTION("""COMPUTED_VALUE"""),"-")</f>
        <v>-</v>
      </c>
      <c r="G982" s="42" t="str">
        <f>IFERROR(__xludf.DUMMYFUNCTION("""COMPUTED_VALUE"""),"None")</f>
        <v>None</v>
      </c>
      <c r="H982" s="42" t="str">
        <f>IFERROR(__xludf.DUMMYFUNCTION("""COMPUTED_VALUE"""),"A Secret With Kiyo")</f>
        <v>A Secret With Kiyo</v>
      </c>
      <c r="I982" s="43" t="str">
        <f>IFERROR(__xludf.DUMMYFUNCTION("""COMPUTED_VALUE"""),"[SEND THIS CARD TO THE DISCARD PILE] Select 1 Kiyo Takamine and 1 Megumi PARTNER card (except P-108 Megumi) from any page of your Spell Book or your Discard Pile and put them in play.")</f>
        <v>[SEND THIS CARD TO THE DISCARD PILE] Select 1 Kiyo Takamine and 1 Megumi PARTNER card (except P-108 Megumi) from any page of your Spell Book or your Discard Pile and put them in play.</v>
      </c>
      <c r="J982" s="42" t="str">
        <f>IFERROR(__xludf.DUMMYFUNCTION("""COMPUTED_VALUE"""),"-")</f>
        <v>-</v>
      </c>
      <c r="K982" s="42" t="str">
        <f>IFERROR(__xludf.DUMMYFUNCTION("""COMPUTED_VALUE"""),"-")</f>
        <v>-</v>
      </c>
      <c r="L982" s="42" t="str">
        <f>IFERROR(__xludf.DUMMYFUNCTION("""COMPUTED_VALUE"""),"-")</f>
        <v>-</v>
      </c>
      <c r="M982" s="42" t="str">
        <f>IFERROR(__xludf.DUMMYFUNCTION("""COMPUTED_VALUE"""),"[R]")</f>
        <v>[R]</v>
      </c>
      <c r="N982" s="42" t="str">
        <f>IFERROR(__xludf.DUMMYFUNCTION("""COMPUTED_VALUE"""),"""Do Kiyo and I share the same secret?""")</f>
        <v>"Do Kiyo and I share the same secret?"</v>
      </c>
      <c r="O982" s="42"/>
      <c r="P982" s="42"/>
      <c r="Q982" s="42"/>
      <c r="R982" s="42"/>
      <c r="S982" s="42"/>
      <c r="T982" s="42"/>
      <c r="U982" s="42"/>
      <c r="V982" s="42"/>
      <c r="W982" s="42"/>
      <c r="X982" s="42"/>
      <c r="Y982" s="42"/>
      <c r="Z982" s="42"/>
    </row>
    <row r="983">
      <c r="A983" s="41" t="str">
        <f>IFERROR(__xludf.DUMMYFUNCTION("""COMPUTED_VALUE"""),"P-109")</f>
        <v>P-109</v>
      </c>
      <c r="B983" s="42" t="str">
        <f>IFERROR(__xludf.DUMMYFUNCTION("""COMPUTED_VALUE"""),"Partner")</f>
        <v>Partner</v>
      </c>
      <c r="C983" s="42" t="str">
        <f>IFERROR(__xludf.DUMMYFUNCTION("""COMPUTED_VALUE"""),"Gensou")</f>
        <v>Gensou</v>
      </c>
      <c r="D983" s="42" t="str">
        <f>IFERROR(__xludf.DUMMYFUNCTION("""COMPUTED_VALUE"""),"Tsao-lon")</f>
        <v>Tsao-lon</v>
      </c>
      <c r="E983" s="42" t="str">
        <f>IFERROR(__xludf.DUMMYFUNCTION("""COMPUTED_VALUE"""),"-")</f>
        <v>-</v>
      </c>
      <c r="F983" s="42" t="str">
        <f>IFERROR(__xludf.DUMMYFUNCTION("""COMPUTED_VALUE"""),"-")</f>
        <v>-</v>
      </c>
      <c r="G983" s="42" t="str">
        <f>IFERROR(__xludf.DUMMYFUNCTION("""COMPUTED_VALUE"""),"None")</f>
        <v>None</v>
      </c>
      <c r="H983" s="42" t="str">
        <f>IFERROR(__xludf.DUMMYFUNCTION("""COMPUTED_VALUE"""),"Close Combat")</f>
        <v>Close Combat</v>
      </c>
      <c r="I983" s="43" t="str">
        <f>IFERROR(__xludf.DUMMYFUNCTION("""COMPUTED_VALUE"""),"[SEND THIS CARD TO THE DISCARD PILE] (Attack) This card may Attack without using a SPELL card (Total Power=6000, Injure 1 of your opponent's MAMODO cards).")</f>
        <v>[SEND THIS CARD TO THE DISCARD PILE] (Attack) This card may Attack without using a SPELL card (Total Power=6000, Injure 1 of your opponent's MAMODO cards).</v>
      </c>
      <c r="J983" s="42" t="str">
        <f>IFERROR(__xludf.DUMMYFUNCTION("""COMPUTED_VALUE"""),"-")</f>
        <v>-</v>
      </c>
      <c r="K983" s="42" t="str">
        <f>IFERROR(__xludf.DUMMYFUNCTION("""COMPUTED_VALUE"""),"-")</f>
        <v>-</v>
      </c>
      <c r="L983" s="42" t="str">
        <f>IFERROR(__xludf.DUMMYFUNCTION("""COMPUTED_VALUE"""),"-")</f>
        <v>-</v>
      </c>
      <c r="M983" s="42" t="str">
        <f>IFERROR(__xludf.DUMMYFUNCTION("""COMPUTED_VALUE"""),"[R]")</f>
        <v>[R]</v>
      </c>
      <c r="N983" s="42" t="str">
        <f>IFERROR(__xludf.DUMMYFUNCTION("""COMPUTED_VALUE"""),"“Interesting, I know those eyes. They’re saying that, even if I destroy you, you’re determined to defeat us...”")</f>
        <v>“Interesting, I know those eyes. They’re saying that, even if I destroy you, you’re determined to defeat us...”</v>
      </c>
      <c r="O983" s="42"/>
      <c r="P983" s="42"/>
      <c r="Q983" s="42"/>
      <c r="R983" s="42"/>
      <c r="S983" s="42"/>
      <c r="T983" s="42"/>
      <c r="U983" s="42"/>
      <c r="V983" s="42"/>
      <c r="W983" s="42"/>
      <c r="X983" s="42"/>
      <c r="Y983" s="42"/>
      <c r="Z983" s="42"/>
    </row>
    <row r="984">
      <c r="A984" s="41" t="str">
        <f>IFERROR(__xludf.DUMMYFUNCTION("""COMPUTED_VALUE"""),"P-110")</f>
        <v>P-110</v>
      </c>
      <c r="B984" s="42" t="str">
        <f>IFERROR(__xludf.DUMMYFUNCTION("""COMPUTED_VALUE"""),"Partner")</f>
        <v>Partner</v>
      </c>
      <c r="C984" s="42" t="str">
        <f>IFERROR(__xludf.DUMMYFUNCTION("""COMPUTED_VALUE"""),"Dalia Ange")</f>
        <v>Dalia Ange</v>
      </c>
      <c r="D984" s="42" t="str">
        <f>IFERROR(__xludf.DUMMYFUNCTION("""COMPUTED_VALUE"""),"Belgim E.O.")</f>
        <v>Belgim E.O.</v>
      </c>
      <c r="E984" s="42" t="str">
        <f>IFERROR(__xludf.DUMMYFUNCTION("""COMPUTED_VALUE"""),"-")</f>
        <v>-</v>
      </c>
      <c r="F984" s="42" t="str">
        <f>IFERROR(__xludf.DUMMYFUNCTION("""COMPUTED_VALUE"""),"-")</f>
        <v>-</v>
      </c>
      <c r="G984" s="42" t="str">
        <f>IFERROR(__xludf.DUMMYFUNCTION("""COMPUTED_VALUE"""),"None")</f>
        <v>None</v>
      </c>
      <c r="H984" s="42" t="str">
        <f>IFERROR(__xludf.DUMMYFUNCTION("""COMPUTED_VALUE"""),"The Red Dress")</f>
        <v>The Red Dress</v>
      </c>
      <c r="I984" s="43" t="str">
        <f>IFERROR(__xludf.DUMMYFUNCTION("""COMPUTED_VALUE"""),"[IN PLAY] Each time either player gets tails on a coin flip, get 1 MP.")</f>
        <v>[IN PLAY] Each time either player gets tails on a coin flip, get 1 MP.</v>
      </c>
      <c r="J984" s="42" t="str">
        <f>IFERROR(__xludf.DUMMYFUNCTION("""COMPUTED_VALUE"""),"-")</f>
        <v>-</v>
      </c>
      <c r="K984" s="42" t="str">
        <f>IFERROR(__xludf.DUMMYFUNCTION("""COMPUTED_VALUE"""),"-")</f>
        <v>-</v>
      </c>
      <c r="L984" s="42" t="str">
        <f>IFERROR(__xludf.DUMMYFUNCTION("""COMPUTED_VALUE"""),"-")</f>
        <v>-</v>
      </c>
      <c r="M984" s="42" t="str">
        <f>IFERROR(__xludf.DUMMYFUNCTION("""COMPUTED_VALUE"""),"[R]")</f>
        <v>[R]</v>
      </c>
      <c r="N984" s="42" t="str">
        <f>IFERROR(__xludf.DUMMYFUNCTION("""COMPUTED_VALUE"""),"“Mwa ha ha ha~~,” is the only thing she ever says.")</f>
        <v>“Mwa ha ha ha~~,” is the only thing she ever says.</v>
      </c>
      <c r="O984" s="42"/>
      <c r="P984" s="42"/>
      <c r="Q984" s="42"/>
      <c r="R984" s="42"/>
      <c r="S984" s="42"/>
      <c r="T984" s="42"/>
      <c r="U984" s="42"/>
      <c r="V984" s="42"/>
      <c r="W984" s="42"/>
      <c r="X984" s="42"/>
      <c r="Y984" s="42"/>
      <c r="Z984" s="42"/>
    </row>
    <row r="985">
      <c r="A985" s="41" t="str">
        <f>IFERROR(__xludf.DUMMYFUNCTION("""COMPUTED_VALUE"""),"P-111")</f>
        <v>P-111</v>
      </c>
      <c r="B985" s="42" t="str">
        <f>IFERROR(__xludf.DUMMYFUNCTION("""COMPUTED_VALUE"""),"Partner")</f>
        <v>Partner</v>
      </c>
      <c r="C985" s="42" t="str">
        <f>IFERROR(__xludf.DUMMYFUNCTION("""COMPUTED_VALUE"""),"Shelby")</f>
        <v>Shelby</v>
      </c>
      <c r="D985" s="42" t="str">
        <f>IFERROR(__xludf.DUMMYFUNCTION("""COMPUTED_VALUE"""),"Pamoon")</f>
        <v>Pamoon</v>
      </c>
      <c r="E985" s="42" t="str">
        <f>IFERROR(__xludf.DUMMYFUNCTION("""COMPUTED_VALUE"""),"-")</f>
        <v>-</v>
      </c>
      <c r="F985" s="42" t="str">
        <f>IFERROR(__xludf.DUMMYFUNCTION("""COMPUTED_VALUE"""),"-")</f>
        <v>-</v>
      </c>
      <c r="G985" s="42" t="str">
        <f>IFERROR(__xludf.DUMMYFUNCTION("""COMPUTED_VALUE"""),"None")</f>
        <v>None</v>
      </c>
      <c r="H985" s="42" t="str">
        <f>IFERROR(__xludf.DUMMYFUNCTION("""COMPUTED_VALUE"""),"Veteran Knight")</f>
        <v>Veteran Knight</v>
      </c>
      <c r="I985" s="43" t="str">
        <f>IFERROR(__xludf.DUMMYFUNCTION("""COMPUTED_VALUE"""),"This PARTNER card can be attached to a Pamoon MAMODO card. [SEND THIS CARD TO THE DISCARD PILE] Place 1 MP counter on your Pamoon MAMODO card. This effect can be applied only once per turn (per player).")</f>
        <v>This PARTNER card can be attached to a Pamoon MAMODO card. [SEND THIS CARD TO THE DISCARD PILE] Place 1 MP counter on your Pamoon MAMODO card. This effect can be applied only once per turn (per player).</v>
      </c>
      <c r="J985" s="42" t="str">
        <f>IFERROR(__xludf.DUMMYFUNCTION("""COMPUTED_VALUE"""),"-")</f>
        <v>-</v>
      </c>
      <c r="K985" s="42" t="str">
        <f>IFERROR(__xludf.DUMMYFUNCTION("""COMPUTED_VALUE"""),"-")</f>
        <v>-</v>
      </c>
      <c r="L985" s="42" t="str">
        <f>IFERROR(__xludf.DUMMYFUNCTION("""COMPUTED_VALUE"""),"-")</f>
        <v>-</v>
      </c>
      <c r="M985" s="42" t="str">
        <f>IFERROR(__xludf.DUMMYFUNCTION("""COMPUTED_VALUE"""),"[R]")</f>
        <v>[R]</v>
      </c>
      <c r="N985" s="42" t="str">
        <f>IFERROR(__xludf.DUMMYFUNCTION("""COMPUTED_VALUE"""),"Pamoon's original human partner from a thousand years ago.")</f>
        <v>Pamoon's original human partner from a thousand years ago.</v>
      </c>
      <c r="O985" s="42"/>
      <c r="P985" s="42"/>
      <c r="Q985" s="42"/>
      <c r="R985" s="42"/>
      <c r="S985" s="42"/>
      <c r="T985" s="42"/>
      <c r="U985" s="42"/>
      <c r="V985" s="42"/>
      <c r="W985" s="42"/>
      <c r="X985" s="42"/>
      <c r="Y985" s="42"/>
      <c r="Z985" s="42"/>
    </row>
    <row r="986">
      <c r="A986" s="41" t="str">
        <f>IFERROR(__xludf.DUMMYFUNCTION("""COMPUTED_VALUE"""),"P-112")</f>
        <v>P-112</v>
      </c>
      <c r="B986" s="42" t="str">
        <f>IFERROR(__xludf.DUMMYFUNCTION("""COMPUTED_VALUE"""),"Partner")</f>
        <v>Partner</v>
      </c>
      <c r="C986" s="42" t="str">
        <f>IFERROR(__xludf.DUMMYFUNCTION("""COMPUTED_VALUE"""),"Roberto Vile")</f>
        <v>Roberto Vile</v>
      </c>
      <c r="D986" s="42" t="str">
        <f>IFERROR(__xludf.DUMMYFUNCTION("""COMPUTED_VALUE"""),"Demolt")</f>
        <v>Demolt</v>
      </c>
      <c r="E986" s="42" t="str">
        <f>IFERROR(__xludf.DUMMYFUNCTION("""COMPUTED_VALUE"""),"-")</f>
        <v>-</v>
      </c>
      <c r="F986" s="42" t="str">
        <f>IFERROR(__xludf.DUMMYFUNCTION("""COMPUTED_VALUE"""),"-")</f>
        <v>-</v>
      </c>
      <c r="G986" s="42" t="str">
        <f>IFERROR(__xludf.DUMMYFUNCTION("""COMPUTED_VALUE"""),"None")</f>
        <v>None</v>
      </c>
      <c r="H986" s="42" t="str">
        <f>IFERROR(__xludf.DUMMYFUNCTION("""COMPUTED_VALUE"""),"Shattered Ambitions")</f>
        <v>Shattered Ambitions</v>
      </c>
      <c r="I986" s="43" t="str">
        <f>IFERROR(__xludf.DUMMYFUNCTION("""COMPUTED_VALUE"""),"[SEND THIS CARD TO THE DISCARD PILE] If your opponent has a [Stay] or [Standby] effect that remains active for the duration of the game, turn 1 page of your opponent's Spell Book. This effect can be applied only once per turn (per player).")</f>
        <v>[SEND THIS CARD TO THE DISCARD PILE] If your opponent has a [Stay] or [Standby] effect that remains active for the duration of the game, turn 1 page of your opponent's Spell Book. This effect can be applied only once per turn (per player).</v>
      </c>
      <c r="J986" s="42" t="str">
        <f>IFERROR(__xludf.DUMMYFUNCTION("""COMPUTED_VALUE"""),"-")</f>
        <v>-</v>
      </c>
      <c r="K986" s="42" t="str">
        <f>IFERROR(__xludf.DUMMYFUNCTION("""COMPUTED_VALUE"""),"-")</f>
        <v>-</v>
      </c>
      <c r="L986" s="42" t="str">
        <f>IFERROR(__xludf.DUMMYFUNCTION("""COMPUTED_VALUE"""),"-")</f>
        <v>-</v>
      </c>
      <c r="M986" s="42" t="str">
        <f>IFERROR(__xludf.DUMMYFUNCTION("""COMPUTED_VALUE"""),"[R]")</f>
        <v>[R]</v>
      </c>
      <c r="N986" s="42" t="str">
        <f>IFERROR(__xludf.DUMMYFUNCTION("""COMPUTED_VALUE"""),"""What... have... what have you... done?""")</f>
        <v>"What... have... what have you... done?"</v>
      </c>
      <c r="O986" s="42"/>
      <c r="P986" s="42"/>
      <c r="Q986" s="42"/>
      <c r="R986" s="42"/>
      <c r="S986" s="42"/>
      <c r="T986" s="42"/>
      <c r="U986" s="42"/>
      <c r="V986" s="42"/>
      <c r="W986" s="42"/>
      <c r="X986" s="42"/>
      <c r="Y986" s="42"/>
      <c r="Z986" s="42"/>
    </row>
    <row r="987">
      <c r="A987" s="41" t="str">
        <f>IFERROR(__xludf.DUMMYFUNCTION("""COMPUTED_VALUE"""),"P-113")</f>
        <v>P-113</v>
      </c>
      <c r="B987" s="42" t="str">
        <f>IFERROR(__xludf.DUMMYFUNCTION("""COMPUTED_VALUE"""),"Partner")</f>
        <v>Partner</v>
      </c>
      <c r="C987" s="42" t="str">
        <f>IFERROR(__xludf.DUMMYFUNCTION("""COMPUTED_VALUE"""),"Kafk Sunbeam")</f>
        <v>Kafk Sunbeam</v>
      </c>
      <c r="D987" s="42" t="str">
        <f>IFERROR(__xludf.DUMMYFUNCTION("""COMPUTED_VALUE"""),"Ponygon")</f>
        <v>Ponygon</v>
      </c>
      <c r="E987" s="42" t="str">
        <f>IFERROR(__xludf.DUMMYFUNCTION("""COMPUTED_VALUE"""),"-")</f>
        <v>-</v>
      </c>
      <c r="F987" s="42" t="str">
        <f>IFERROR(__xludf.DUMMYFUNCTION("""COMPUTED_VALUE"""),"-")</f>
        <v>-</v>
      </c>
      <c r="G987" s="42" t="str">
        <f>IFERROR(__xludf.DUMMYFUNCTION("""COMPUTED_VALUE"""),"None")</f>
        <v>None</v>
      </c>
      <c r="H987" s="42" t="str">
        <f>IFERROR(__xludf.DUMMYFUNCTION("""COMPUTED_VALUE"""),"Upright Ponygon")</f>
        <v>Upright Ponygon</v>
      </c>
      <c r="I987" s="43" t="str">
        <f>IFERROR(__xludf.DUMMYFUNCTION("""COMPUTED_VALUE"""),"[SEND THIS CARD TO THE DISCARD PILE] [STANDBY] Only once during this turn (per player), the MP cost of a Ponygon EVENT card or a Ponygon MAMODO card's effect is considered to be 0 (and the text [Send this card to the Discard Pile] is considered to be [Dec"&amp;"lare to use]).")</f>
        <v>[SEND THIS CARD TO THE DISCARD PILE] [STANDBY] Only once during this turn (per player), the MP cost of a Ponygon EVENT card or a Ponygon MAMODO card's effect is considered to be 0 (and the text [Send this card to the Discard Pile] is considered to be [Declare to use]).</v>
      </c>
      <c r="J987" s="42" t="str">
        <f>IFERROR(__xludf.DUMMYFUNCTION("""COMPUTED_VALUE"""),"-")</f>
        <v>-</v>
      </c>
      <c r="K987" s="42" t="str">
        <f>IFERROR(__xludf.DUMMYFUNCTION("""COMPUTED_VALUE"""),"-")</f>
        <v>-</v>
      </c>
      <c r="L987" s="42" t="str">
        <f>IFERROR(__xludf.DUMMYFUNCTION("""COMPUTED_VALUE"""),"-")</f>
        <v>-</v>
      </c>
      <c r="M987" s="42" t="str">
        <f>IFERROR(__xludf.DUMMYFUNCTION("""COMPUTED_VALUE"""),"[C]")</f>
        <v>[C]</v>
      </c>
      <c r="N987" s="42" t="str">
        <f>IFERROR(__xludf.DUMMYFUNCTION("""COMPUTED_VALUE"""),"""Ponygon is a fine, upright name! Don't make fun of the name his parents gave him!""")</f>
        <v>"Ponygon is a fine, upright name! Don't make fun of the name his parents gave him!"</v>
      </c>
      <c r="O987" s="42"/>
      <c r="P987" s="42"/>
      <c r="Q987" s="42"/>
      <c r="R987" s="42"/>
      <c r="S987" s="42"/>
      <c r="T987" s="42"/>
      <c r="U987" s="42"/>
      <c r="V987" s="42"/>
      <c r="W987" s="42"/>
      <c r="X987" s="42"/>
      <c r="Y987" s="42"/>
      <c r="Z987" s="42"/>
    </row>
    <row r="988">
      <c r="A988" s="41" t="str">
        <f>IFERROR(__xludf.DUMMYFUNCTION("""COMPUTED_VALUE"""),"P-114")</f>
        <v>P-114</v>
      </c>
      <c r="B988" s="42" t="str">
        <f>IFERROR(__xludf.DUMMYFUNCTION("""COMPUTED_VALUE"""),"Partner")</f>
        <v>Partner</v>
      </c>
      <c r="C988" s="42" t="str">
        <f>IFERROR(__xludf.DUMMYFUNCTION("""COMPUTED_VALUE"""),"Grubb")</f>
        <v>Grubb</v>
      </c>
      <c r="D988" s="42" t="str">
        <f>IFERROR(__xludf.DUMMYFUNCTION("""COMPUTED_VALUE"""),"Koral Q")</f>
        <v>Koral Q</v>
      </c>
      <c r="E988" s="42" t="str">
        <f>IFERROR(__xludf.DUMMYFUNCTION("""COMPUTED_VALUE"""),"-")</f>
        <v>-</v>
      </c>
      <c r="F988" s="42" t="str">
        <f>IFERROR(__xludf.DUMMYFUNCTION("""COMPUTED_VALUE"""),"-")</f>
        <v>-</v>
      </c>
      <c r="G988" s="42" t="str">
        <f>IFERROR(__xludf.DUMMYFUNCTION("""COMPUTED_VALUE"""),"None")</f>
        <v>None</v>
      </c>
      <c r="H988" s="42" t="str">
        <f>IFERROR(__xludf.DUMMYFUNCTION("""COMPUTED_VALUE"""),"Scientific Student")</f>
        <v>Scientific Student</v>
      </c>
      <c r="I988" s="43" t="str">
        <f>IFERROR(__xludf.DUMMYFUNCTION("""COMPUTED_VALUE"""),"[IN PLAY] Your opponent cannot play SPELL cards in pages that are not the currently open pages of their Spell Book.")</f>
        <v>[IN PLAY] Your opponent cannot play SPELL cards in pages that are not the currently open pages of their Spell Book.</v>
      </c>
      <c r="J988" s="42" t="str">
        <f>IFERROR(__xludf.DUMMYFUNCTION("""COMPUTED_VALUE"""),"-")</f>
        <v>-</v>
      </c>
      <c r="K988" s="42" t="str">
        <f>IFERROR(__xludf.DUMMYFUNCTION("""COMPUTED_VALUE"""),"-")</f>
        <v>-</v>
      </c>
      <c r="L988" s="42" t="str">
        <f>IFERROR(__xludf.DUMMYFUNCTION("""COMPUTED_VALUE"""),"-")</f>
        <v>-</v>
      </c>
      <c r="M988" s="42" t="str">
        <f>IFERROR(__xludf.DUMMYFUNCTION("""COMPUTED_VALUE"""),"[C]")</f>
        <v>[C]</v>
      </c>
      <c r="N988" s="42" t="str">
        <f>IFERROR(__xludf.DUMMYFUNCTION("""COMPUTED_VALUE"""),"""Heh heh heh, don't be too harsh, Koral Q... I mean, that's the only spell left for them.""")</f>
        <v>"Heh heh heh, don't be too harsh, Koral Q... I mean, that's the only spell left for them."</v>
      </c>
      <c r="O988" s="42"/>
      <c r="P988" s="42"/>
      <c r="Q988" s="42"/>
      <c r="R988" s="42"/>
      <c r="S988" s="42"/>
      <c r="T988" s="42"/>
      <c r="U988" s="42"/>
      <c r="V988" s="42"/>
      <c r="W988" s="42"/>
      <c r="X988" s="42"/>
      <c r="Y988" s="42"/>
      <c r="Z988" s="42"/>
    </row>
    <row r="989">
      <c r="A989" s="41" t="str">
        <f>IFERROR(__xludf.DUMMYFUNCTION("""COMPUTED_VALUE"""),"P-115")</f>
        <v>P-115</v>
      </c>
      <c r="B989" s="42" t="str">
        <f>IFERROR(__xludf.DUMMYFUNCTION("""COMPUTED_VALUE"""),"Partner")</f>
        <v>Partner</v>
      </c>
      <c r="C989" s="42" t="str">
        <f>IFERROR(__xludf.DUMMYFUNCTION("""COMPUTED_VALUE"""),"Sauza")</f>
        <v>Sauza</v>
      </c>
      <c r="D989" s="42" t="str">
        <f>IFERROR(__xludf.DUMMYFUNCTION("""COMPUTED_VALUE"""),"Karudio")</f>
        <v>Karudio</v>
      </c>
      <c r="E989" s="42" t="str">
        <f>IFERROR(__xludf.DUMMYFUNCTION("""COMPUTED_VALUE"""),"-")</f>
        <v>-</v>
      </c>
      <c r="F989" s="42" t="str">
        <f>IFERROR(__xludf.DUMMYFUNCTION("""COMPUTED_VALUE"""),"-")</f>
        <v>-</v>
      </c>
      <c r="G989" s="42" t="str">
        <f>IFERROR(__xludf.DUMMYFUNCTION("""COMPUTED_VALUE"""),"None")</f>
        <v>None</v>
      </c>
      <c r="H989" s="42" t="str">
        <f>IFERROR(__xludf.DUMMYFUNCTION("""COMPUTED_VALUE"""),"Lone Wolf")</f>
        <v>Lone Wolf</v>
      </c>
      <c r="I989" s="43" t="str">
        <f>IFERROR(__xludf.DUMMYFUNCTION("""COMPUTED_VALUE"""),"[SEND THIS CARD TO THE DISCARD PILE] If you only have 1 MAMODO card in play, and your opponent has 2 or more MAMODO cards in play, Injure 1 of your opponent's MAMODO cards.")</f>
        <v>[SEND THIS CARD TO THE DISCARD PILE] If you only have 1 MAMODO card in play, and your opponent has 2 or more MAMODO cards in play, Injure 1 of your opponent's MAMODO cards.</v>
      </c>
      <c r="J989" s="42" t="str">
        <f>IFERROR(__xludf.DUMMYFUNCTION("""COMPUTED_VALUE"""),"-")</f>
        <v>-</v>
      </c>
      <c r="K989" s="42" t="str">
        <f>IFERROR(__xludf.DUMMYFUNCTION("""COMPUTED_VALUE"""),"-")</f>
        <v>-</v>
      </c>
      <c r="L989" s="42" t="str">
        <f>IFERROR(__xludf.DUMMYFUNCTION("""COMPUTED_VALUE"""),"-")</f>
        <v>-</v>
      </c>
      <c r="M989" s="42" t="str">
        <f>IFERROR(__xludf.DUMMYFUNCTION("""COMPUTED_VALUE"""),"[C]")</f>
        <v>[C]</v>
      </c>
      <c r="N989" s="42" t="str">
        <f>IFERROR(__xludf.DUMMYFUNCTION("""COMPUTED_VALUE"""),"""You're a mamodo who can't fight when you're alone, eh? Karudio and I hate those kinds of mamodo...""")</f>
        <v>"You're a mamodo who can't fight when you're alone, eh? Karudio and I hate those kinds of mamodo..."</v>
      </c>
      <c r="O989" s="42"/>
      <c r="P989" s="42"/>
      <c r="Q989" s="42"/>
      <c r="R989" s="42"/>
      <c r="S989" s="42"/>
      <c r="T989" s="42"/>
      <c r="U989" s="42"/>
      <c r="V989" s="42"/>
      <c r="W989" s="42"/>
      <c r="X989" s="42"/>
      <c r="Y989" s="42"/>
      <c r="Z989" s="42"/>
    </row>
    <row r="990">
      <c r="A990" s="41" t="str">
        <f>IFERROR(__xludf.DUMMYFUNCTION("""COMPUTED_VALUE"""),"P-116")</f>
        <v>P-116</v>
      </c>
      <c r="B990" s="42" t="str">
        <f>IFERROR(__xludf.DUMMYFUNCTION("""COMPUTED_VALUE"""),"Partner")</f>
        <v>Partner</v>
      </c>
      <c r="C990" s="42" t="str">
        <f>IFERROR(__xludf.DUMMYFUNCTION("""COMPUTED_VALUE"""),"Kyle")</f>
        <v>Kyle</v>
      </c>
      <c r="D990" s="42" t="str">
        <f>IFERROR(__xludf.DUMMYFUNCTION("""COMPUTED_VALUE"""),"Rein")</f>
        <v>Rein</v>
      </c>
      <c r="E990" s="42" t="str">
        <f>IFERROR(__xludf.DUMMYFUNCTION("""COMPUTED_VALUE"""),"-")</f>
        <v>-</v>
      </c>
      <c r="F990" s="42" t="str">
        <f>IFERROR(__xludf.DUMMYFUNCTION("""COMPUTED_VALUE"""),"-")</f>
        <v>-</v>
      </c>
      <c r="G990" s="42" t="str">
        <f>IFERROR(__xludf.DUMMYFUNCTION("""COMPUTED_VALUE"""),"None")</f>
        <v>None</v>
      </c>
      <c r="H990" s="42" t="str">
        <f>IFERROR(__xludf.DUMMYFUNCTION("""COMPUTED_VALUE"""),"Mii")</f>
        <v>Mii</v>
      </c>
      <c r="I990" s="43" t="str">
        <f>IFERROR(__xludf.DUMMYFUNCTION("""COMPUTED_VALUE"""),"[SEND THIS CARD TO THE DISCARD PILE] [STAY] Reduce the Power of 1 of your in-play MAMODO cards by 2000 during this turn.")</f>
        <v>[SEND THIS CARD TO THE DISCARD PILE] [STAY] Reduce the Power of 1 of your in-play MAMODO cards by 2000 during this turn.</v>
      </c>
      <c r="J990" s="42" t="str">
        <f>IFERROR(__xludf.DUMMYFUNCTION("""COMPUTED_VALUE"""),"-")</f>
        <v>-</v>
      </c>
      <c r="K990" s="42" t="str">
        <f>IFERROR(__xludf.DUMMYFUNCTION("""COMPUTED_VALUE"""),"-")</f>
        <v>-</v>
      </c>
      <c r="L990" s="42" t="str">
        <f>IFERROR(__xludf.DUMMYFUNCTION("""COMPUTED_VALUE"""),"-")</f>
        <v>-</v>
      </c>
      <c r="M990" s="42" t="str">
        <f>IFERROR(__xludf.DUMMYFUNCTION("""COMPUTED_VALUE"""),"[C]")</f>
        <v>[C]</v>
      </c>
      <c r="N990" s="42" t="str">
        <f>IFERROR(__xludf.DUMMYFUNCTION("""COMPUTED_VALUE"""),"""Mii-miiii!!""")</f>
        <v>"Mii-miiii!!"</v>
      </c>
      <c r="O990" s="42"/>
      <c r="P990" s="42"/>
      <c r="Q990" s="42"/>
      <c r="R990" s="42"/>
      <c r="S990" s="42"/>
      <c r="T990" s="42"/>
      <c r="U990" s="42"/>
      <c r="V990" s="42"/>
      <c r="W990" s="42"/>
      <c r="X990" s="42"/>
      <c r="Y990" s="42"/>
      <c r="Z990" s="42"/>
    </row>
    <row r="991">
      <c r="A991" s="41" t="str">
        <f>IFERROR(__xludf.DUMMYFUNCTION("""COMPUTED_VALUE"""),"P-117")</f>
        <v>P-117</v>
      </c>
      <c r="B991" s="42" t="str">
        <f>IFERROR(__xludf.DUMMYFUNCTION("""COMPUTED_VALUE"""),"Partner")</f>
        <v>Partner</v>
      </c>
      <c r="C991" s="42" t="str">
        <f>IFERROR(__xludf.DUMMYFUNCTION("""COMPUTED_VALUE"""),"Lupa")</f>
        <v>Lupa</v>
      </c>
      <c r="D991" s="42" t="str">
        <f>IFERROR(__xludf.DUMMYFUNCTION("""COMPUTED_VALUE"""),"Purio")</f>
        <v>Purio</v>
      </c>
      <c r="E991" s="42" t="str">
        <f>IFERROR(__xludf.DUMMYFUNCTION("""COMPUTED_VALUE"""),"-")</f>
        <v>-</v>
      </c>
      <c r="F991" s="42" t="str">
        <f>IFERROR(__xludf.DUMMYFUNCTION("""COMPUTED_VALUE"""),"-")</f>
        <v>-</v>
      </c>
      <c r="G991" s="42" t="str">
        <f>IFERROR(__xludf.DUMMYFUNCTION("""COMPUTED_VALUE"""),"None")</f>
        <v>None</v>
      </c>
      <c r="H991" s="42" t="str">
        <f>IFERROR(__xludf.DUMMYFUNCTION("""COMPUTED_VALUE"""),"Love Song for Poory")</f>
        <v>Love Song for Poory</v>
      </c>
      <c r="I991" s="43" t="str">
        <f>IFERROR(__xludf.DUMMYFUNCTION("""COMPUTED_VALUE"""),"[IN PLAY] Increase the MP cost of your opponent's EVENT cards by 1.")</f>
        <v>[IN PLAY] Increase the MP cost of your opponent's EVENT cards by 1.</v>
      </c>
      <c r="J991" s="42" t="str">
        <f>IFERROR(__xludf.DUMMYFUNCTION("""COMPUTED_VALUE"""),"-")</f>
        <v>-</v>
      </c>
      <c r="K991" s="42" t="str">
        <f>IFERROR(__xludf.DUMMYFUNCTION("""COMPUTED_VALUE"""),"-")</f>
        <v>-</v>
      </c>
      <c r="L991" s="42" t="str">
        <f>IFERROR(__xludf.DUMMYFUNCTION("""COMPUTED_VALUE"""),"-")</f>
        <v>-</v>
      </c>
      <c r="M991" s="42" t="str">
        <f>IFERROR(__xludf.DUMMYFUNCTION("""COMPUTED_VALUE"""),"[U]")</f>
        <v>[U]</v>
      </c>
      <c r="N991" s="42" t="str">
        <f>IFERROR(__xludf.DUMMYFUNCTION("""COMPUTED_VALUE"""),"""What on earth are you singing about, Poory?""")</f>
        <v>"What on earth are you singing about, Poory?"</v>
      </c>
      <c r="O991" s="42"/>
      <c r="P991" s="42"/>
      <c r="Q991" s="42"/>
      <c r="R991" s="42"/>
      <c r="S991" s="42"/>
      <c r="T991" s="42"/>
      <c r="U991" s="42"/>
      <c r="V991" s="42"/>
      <c r="W991" s="42"/>
      <c r="X991" s="42"/>
      <c r="Y991" s="42"/>
      <c r="Z991" s="42"/>
    </row>
    <row r="992">
      <c r="A992" s="41" t="str">
        <f>IFERROR(__xludf.DUMMYFUNCTION("""COMPUTED_VALUE"""),"P-118")</f>
        <v>P-118</v>
      </c>
      <c r="B992" s="42" t="str">
        <f>IFERROR(__xludf.DUMMYFUNCTION("""COMPUTED_VALUE"""),"Partner")</f>
        <v>Partner</v>
      </c>
      <c r="C992" s="42" t="str">
        <f>IFERROR(__xludf.DUMMYFUNCTION("""COMPUTED_VALUE"""),"Nicholas")</f>
        <v>Nicholas</v>
      </c>
      <c r="D992" s="42" t="str">
        <f>IFERROR(__xludf.DUMMYFUNCTION("""COMPUTED_VALUE"""),"Majiro")</f>
        <v>Majiro</v>
      </c>
      <c r="E992" s="42" t="str">
        <f>IFERROR(__xludf.DUMMYFUNCTION("""COMPUTED_VALUE"""),"-")</f>
        <v>-</v>
      </c>
      <c r="F992" s="42" t="str">
        <f>IFERROR(__xludf.DUMMYFUNCTION("""COMPUTED_VALUE"""),"-")</f>
        <v>-</v>
      </c>
      <c r="G992" s="42" t="str">
        <f>IFERROR(__xludf.DUMMYFUNCTION("""COMPUTED_VALUE"""),"None")</f>
        <v>None</v>
      </c>
      <c r="H992" s="42" t="str">
        <f>IFERROR(__xludf.DUMMYFUNCTION("""COMPUTED_VALUE"""),"Bagpipes")</f>
        <v>Bagpipes</v>
      </c>
      <c r="I992" s="43" t="str">
        <f>IFERROR(__xludf.DUMMYFUNCTION("""COMPUTED_VALUE"""),"[IN PLAY] When your Majiro MAMODO card is sent to the Discard Pile, select 1 MAMODO card (except Majiro) from any page of your Spell Book and put it in play.")</f>
        <v>[IN PLAY] When your Majiro MAMODO card is sent to the Discard Pile, select 1 MAMODO card (except Majiro) from any page of your Spell Book and put it in play.</v>
      </c>
      <c r="J992" s="42" t="str">
        <f>IFERROR(__xludf.DUMMYFUNCTION("""COMPUTED_VALUE"""),"-")</f>
        <v>-</v>
      </c>
      <c r="K992" s="42" t="str">
        <f>IFERROR(__xludf.DUMMYFUNCTION("""COMPUTED_VALUE"""),"-")</f>
        <v>-</v>
      </c>
      <c r="L992" s="42" t="str">
        <f>IFERROR(__xludf.DUMMYFUNCTION("""COMPUTED_VALUE"""),"-")</f>
        <v>-</v>
      </c>
      <c r="M992" s="42" t="str">
        <f>IFERROR(__xludf.DUMMYFUNCTION("""COMPUTED_VALUE"""),"[C]")</f>
        <v>[C]</v>
      </c>
      <c r="N992" s="42" t="str">
        <f>IFERROR(__xludf.DUMMYFUNCTION("""COMPUTED_VALUE"""),"""I've been on a trip around the globe to spread the joy of bagpipes to the whole world.""")</f>
        <v>"I've been on a trip around the globe to spread the joy of bagpipes to the whole world."</v>
      </c>
      <c r="O992" s="42"/>
      <c r="P992" s="42"/>
      <c r="Q992" s="42"/>
      <c r="R992" s="42"/>
      <c r="S992" s="42"/>
      <c r="T992" s="42"/>
      <c r="U992" s="42"/>
      <c r="V992" s="42"/>
      <c r="W992" s="42"/>
      <c r="X992" s="42"/>
      <c r="Y992" s="42"/>
      <c r="Z992" s="42"/>
    </row>
    <row r="993">
      <c r="A993" s="41" t="str">
        <f>IFERROR(__xludf.DUMMYFUNCTION("""COMPUTED_VALUE"""),"P-119")</f>
        <v>P-119</v>
      </c>
      <c r="B993" s="42" t="str">
        <f>IFERROR(__xludf.DUMMYFUNCTION("""COMPUTED_VALUE"""),"Partner")</f>
        <v>Partner</v>
      </c>
      <c r="C993" s="42" t="str">
        <f>IFERROR(__xludf.DUMMYFUNCTION("""COMPUTED_VALUE"""),"Piyo Takamine")</f>
        <v>Piyo Takamine</v>
      </c>
      <c r="D993" s="42" t="str">
        <f>IFERROR(__xludf.DUMMYFUNCTION("""COMPUTED_VALUE"""),"Zatch Bell")</f>
        <v>Zatch Bell</v>
      </c>
      <c r="E993" s="42" t="str">
        <f>IFERROR(__xludf.DUMMYFUNCTION("""COMPUTED_VALUE"""),"-")</f>
        <v>-</v>
      </c>
      <c r="F993" s="42" t="str">
        <f>IFERROR(__xludf.DUMMYFUNCTION("""COMPUTED_VALUE"""),"-")</f>
        <v>-</v>
      </c>
      <c r="G993" s="42" t="str">
        <f>IFERROR(__xludf.DUMMYFUNCTION("""COMPUTED_VALUE"""),"None")</f>
        <v>None</v>
      </c>
      <c r="H993" s="42" t="str">
        <f>IFERROR(__xludf.DUMMYFUNCTION("""COMPUTED_VALUE"""),"Don't Call Me Piyo!")</f>
        <v>Don't Call Me Piyo!</v>
      </c>
      <c r="I993" s="43" t="str">
        <f>IFERROR(__xludf.DUMMYFUNCTION("""COMPUTED_VALUE"""),"This card can be attached to your Zatch Bell MAMODO card separately from your Kiyo Takamine PARTNER card. [SEND THIS CARD TO THE DISCARD PILE] (Cut-In) Negate the MAMODO effect your opponent just applied.")</f>
        <v>This card can be attached to your Zatch Bell MAMODO card separately from your Kiyo Takamine PARTNER card. [SEND THIS CARD TO THE DISCARD PILE] (Cut-In) Negate the MAMODO effect your opponent just applied.</v>
      </c>
      <c r="J993" s="42" t="str">
        <f>IFERROR(__xludf.DUMMYFUNCTION("""COMPUTED_VALUE"""),"-")</f>
        <v>-</v>
      </c>
      <c r="K993" s="42" t="str">
        <f>IFERROR(__xludf.DUMMYFUNCTION("""COMPUTED_VALUE"""),"-")</f>
        <v>-</v>
      </c>
      <c r="L993" s="42" t="str">
        <f>IFERROR(__xludf.DUMMYFUNCTION("""COMPUTED_VALUE"""),"-")</f>
        <v>-</v>
      </c>
      <c r="M993" s="42" t="str">
        <f>IFERROR(__xludf.DUMMYFUNCTION("""COMPUTED_VALUE"""),"[U]")</f>
        <v>[U]</v>
      </c>
      <c r="N993" s="42" t="str">
        <f>IFERROR(__xludf.DUMMYFUNCTION("""COMPUTED_VALUE"""),"""Stop calling me 'Piyo'!""")</f>
        <v>"Stop calling me 'Piyo'!"</v>
      </c>
      <c r="O993" s="42"/>
      <c r="P993" s="42"/>
      <c r="Q993" s="42"/>
      <c r="R993" s="42"/>
      <c r="S993" s="42"/>
      <c r="T993" s="42"/>
      <c r="U993" s="42"/>
      <c r="V993" s="42"/>
      <c r="W993" s="42"/>
      <c r="X993" s="42"/>
      <c r="Y993" s="42"/>
      <c r="Z993" s="42"/>
    </row>
    <row r="994">
      <c r="A994" s="41" t="str">
        <f>IFERROR(__xludf.DUMMYFUNCTION("""COMPUTED_VALUE"""),"P-120")</f>
        <v>P-120</v>
      </c>
      <c r="B994" s="42" t="str">
        <f>IFERROR(__xludf.DUMMYFUNCTION("""COMPUTED_VALUE"""),"Partner")</f>
        <v>Partner</v>
      </c>
      <c r="C994" s="42" t="str">
        <f>IFERROR(__xludf.DUMMYFUNCTION("""COMPUTED_VALUE"""),"Sherry")</f>
        <v>Sherry</v>
      </c>
      <c r="D994" s="42" t="str">
        <f>IFERROR(__xludf.DUMMYFUNCTION("""COMPUTED_VALUE"""),"Brago")</f>
        <v>Brago</v>
      </c>
      <c r="E994" s="42" t="str">
        <f>IFERROR(__xludf.DUMMYFUNCTION("""COMPUTED_VALUE"""),"-")</f>
        <v>-</v>
      </c>
      <c r="F994" s="42" t="str">
        <f>IFERROR(__xludf.DUMMYFUNCTION("""COMPUTED_VALUE"""),"-")</f>
        <v>-</v>
      </c>
      <c r="G994" s="42" t="str">
        <f>IFERROR(__xludf.DUMMYFUNCTION("""COMPUTED_VALUE"""),"None")</f>
        <v>None</v>
      </c>
      <c r="H994" s="42" t="str">
        <f>IFERROR(__xludf.DUMMYFUNCTION("""COMPUTED_VALUE"""),"A Brief Farewell")</f>
        <v>A Brief Farewell</v>
      </c>
      <c r="I994" s="43" t="str">
        <f>IFERROR(__xludf.DUMMYFUNCTION("""COMPUTED_VALUE"""),"[SEND THIS CARD TO THE DISCARD PILE] Turn 1 page of your Spell Book. Effects that turn pages of your Spell Book can be applied only once per turn (per player).")</f>
        <v>[SEND THIS CARD TO THE DISCARD PILE] Turn 1 page of your Spell Book. Effects that turn pages of your Spell Book can be applied only once per turn (per player).</v>
      </c>
      <c r="J994" s="42" t="str">
        <f>IFERROR(__xludf.DUMMYFUNCTION("""COMPUTED_VALUE"""),"-")</f>
        <v>-</v>
      </c>
      <c r="K994" s="42" t="str">
        <f>IFERROR(__xludf.DUMMYFUNCTION("""COMPUTED_VALUE"""),"-")</f>
        <v>-</v>
      </c>
      <c r="L994" s="42" t="str">
        <f>IFERROR(__xludf.DUMMYFUNCTION("""COMPUTED_VALUE"""),"-")</f>
        <v>-</v>
      </c>
      <c r="M994" s="42" t="str">
        <f>IFERROR(__xludf.DUMMYFUNCTION("""COMPUTED_VALUE"""),"[U]")</f>
        <v>[U]</v>
      </c>
      <c r="N994" s="42" t="str">
        <f>IFERROR(__xludf.DUMMYFUNCTION("""COMPUTED_VALUE"""),"""I'll be looking forward to fighting against you soon, mamodo of the red book..""")</f>
        <v>"I'll be looking forward to fighting against you soon, mamodo of the red book.."</v>
      </c>
      <c r="O994" s="42"/>
      <c r="P994" s="42"/>
      <c r="Q994" s="42"/>
      <c r="R994" s="42"/>
      <c r="S994" s="42"/>
      <c r="T994" s="42"/>
      <c r="U994" s="42"/>
      <c r="V994" s="42"/>
      <c r="W994" s="42"/>
      <c r="X994" s="42"/>
      <c r="Y994" s="42"/>
      <c r="Z994" s="42"/>
    </row>
    <row r="995">
      <c r="A995" s="41" t="str">
        <f>IFERROR(__xludf.DUMMYFUNCTION("""COMPUTED_VALUE"""),"P-121")</f>
        <v>P-121</v>
      </c>
      <c r="B995" s="42" t="str">
        <f>IFERROR(__xludf.DUMMYFUNCTION("""COMPUTED_VALUE"""),"Partner")</f>
        <v>Partner</v>
      </c>
      <c r="C995" s="42" t="str">
        <f>IFERROR(__xludf.DUMMYFUNCTION("""COMPUTED_VALUE"""),"Kyle")</f>
        <v>Kyle</v>
      </c>
      <c r="D995" s="42" t="str">
        <f>IFERROR(__xludf.DUMMYFUNCTION("""COMPUTED_VALUE"""),"Rein")</f>
        <v>Rein</v>
      </c>
      <c r="E995" s="42" t="str">
        <f>IFERROR(__xludf.DUMMYFUNCTION("""COMPUTED_VALUE"""),"-")</f>
        <v>-</v>
      </c>
      <c r="F995" s="42" t="str">
        <f>IFERROR(__xludf.DUMMYFUNCTION("""COMPUTED_VALUE"""),"-")</f>
        <v>-</v>
      </c>
      <c r="G995" s="42" t="str">
        <f>IFERROR(__xludf.DUMMYFUNCTION("""COMPUTED_VALUE"""),"None")</f>
        <v>None</v>
      </c>
      <c r="H995" s="42" t="str">
        <f>IFERROR(__xludf.DUMMYFUNCTION("""COMPUTED_VALUE"""),"I'll Be Okay")</f>
        <v>I'll Be Okay</v>
      </c>
      <c r="I995" s="43" t="str">
        <f>IFERROR(__xludf.DUMMYFUNCTION("""COMPUTED_VALUE"""),"[IN PLAY] When you are on the 22nd page or higher of your Spell Book, SPELL cards can be played for your Rein MAMODO card, and the effects of both your Rein MAMODO and Kyle PARTNER cards can be applied, even when you are prohibited to do so.")</f>
        <v>[IN PLAY] When you are on the 22nd page or higher of your Spell Book, SPELL cards can be played for your Rein MAMODO card, and the effects of both your Rein MAMODO and Kyle PARTNER cards can be applied, even when you are prohibited to do so.</v>
      </c>
      <c r="J995" s="42" t="str">
        <f>IFERROR(__xludf.DUMMYFUNCTION("""COMPUTED_VALUE"""),"-")</f>
        <v>-</v>
      </c>
      <c r="K995" s="42" t="str">
        <f>IFERROR(__xludf.DUMMYFUNCTION("""COMPUTED_VALUE"""),"-")</f>
        <v>-</v>
      </c>
      <c r="L995" s="42" t="str">
        <f>IFERROR(__xludf.DUMMYFUNCTION("""COMPUTED_VALUE"""),"-")</f>
        <v>-</v>
      </c>
      <c r="M995" s="42" t="str">
        <f>IFERROR(__xludf.DUMMYFUNCTION("""COMPUTED_VALUE"""),"[C]")</f>
        <v>[C]</v>
      </c>
      <c r="N995" s="42" t="str">
        <f>IFERROR(__xludf.DUMMYFUNCTION("""COMPUTED_VALUE"""),"""You can stand on your own two feet now.""")</f>
        <v>"You can stand on your own two feet now."</v>
      </c>
      <c r="O995" s="42"/>
      <c r="P995" s="42"/>
      <c r="Q995" s="42"/>
      <c r="R995" s="42"/>
      <c r="S995" s="42"/>
      <c r="T995" s="42"/>
      <c r="U995" s="42"/>
      <c r="V995" s="42"/>
      <c r="W995" s="42"/>
      <c r="X995" s="42"/>
      <c r="Y995" s="42"/>
      <c r="Z995" s="42"/>
    </row>
    <row r="996">
      <c r="A996" s="41" t="str">
        <f>IFERROR(__xludf.DUMMYFUNCTION("""COMPUTED_VALUE"""),"P-122")</f>
        <v>P-122</v>
      </c>
      <c r="B996" s="42" t="str">
        <f>IFERROR(__xludf.DUMMYFUNCTION("""COMPUTED_VALUE"""),"Partner")</f>
        <v>Partner</v>
      </c>
      <c r="C996" s="42" t="str">
        <f>IFERROR(__xludf.DUMMYFUNCTION("""COMPUTED_VALUE"""),"Chita")</f>
        <v>Chita</v>
      </c>
      <c r="D996" s="42" t="str">
        <f>IFERROR(__xludf.DUMMYFUNCTION("""COMPUTED_VALUE"""),"Rodeaux")</f>
        <v>Rodeaux</v>
      </c>
      <c r="E996" s="42" t="str">
        <f>IFERROR(__xludf.DUMMYFUNCTION("""COMPUTED_VALUE"""),"-")</f>
        <v>-</v>
      </c>
      <c r="F996" s="42" t="str">
        <f>IFERROR(__xludf.DUMMYFUNCTION("""COMPUTED_VALUE"""),"-")</f>
        <v>-</v>
      </c>
      <c r="G996" s="42" t="str">
        <f>IFERROR(__xludf.DUMMYFUNCTION("""COMPUTED_VALUE"""),"None")</f>
        <v>None</v>
      </c>
      <c r="H996" s="42" t="str">
        <f>IFERROR(__xludf.DUMMYFUNCTION("""COMPUTED_VALUE"""),"Cost-Effective")</f>
        <v>Cost-Effective</v>
      </c>
      <c r="I996" s="43" t="str">
        <f>IFERROR(__xludf.DUMMYFUNCTION("""COMPUTED_VALUE"""),"[IN PLAY] When a SPELL card you played is negated by your opponent's card effects (including losing the Battle), the MP cost paid for that SPELL card is restored.")</f>
        <v>[IN PLAY] When a SPELL card you played is negated by your opponent's card effects (including losing the Battle), the MP cost paid for that SPELL card is restored.</v>
      </c>
      <c r="J996" s="42" t="str">
        <f>IFERROR(__xludf.DUMMYFUNCTION("""COMPUTED_VALUE"""),"-")</f>
        <v>-</v>
      </c>
      <c r="K996" s="42" t="str">
        <f>IFERROR(__xludf.DUMMYFUNCTION("""COMPUTED_VALUE"""),"-")</f>
        <v>-</v>
      </c>
      <c r="L996" s="42" t="str">
        <f>IFERROR(__xludf.DUMMYFUNCTION("""COMPUTED_VALUE"""),"-")</f>
        <v>-</v>
      </c>
      <c r="M996" s="42" t="str">
        <f>IFERROR(__xludf.DUMMYFUNCTION("""COMPUTED_VALUE"""),"[C]")</f>
        <v>[C]</v>
      </c>
      <c r="N996" s="42" t="str">
        <f>IFERROR(__xludf.DUMMYFUNCTION("""COMPUTED_VALUE"""),"""I knew I wouldn't have made it in time. We can't expend our spells recklessly.""")</f>
        <v>"I knew I wouldn't have made it in time. We can't expend our spells recklessly."</v>
      </c>
      <c r="O996" s="42"/>
      <c r="P996" s="42"/>
      <c r="Q996" s="42"/>
      <c r="R996" s="42"/>
      <c r="S996" s="42"/>
      <c r="T996" s="42"/>
      <c r="U996" s="42"/>
      <c r="V996" s="42"/>
      <c r="W996" s="42"/>
      <c r="X996" s="42"/>
      <c r="Y996" s="42"/>
      <c r="Z996" s="42"/>
    </row>
    <row r="997">
      <c r="A997" s="41" t="str">
        <f>IFERROR(__xludf.DUMMYFUNCTION("""COMPUTED_VALUE"""),"P-123")</f>
        <v>P-123</v>
      </c>
      <c r="B997" s="42" t="str">
        <f>IFERROR(__xludf.DUMMYFUNCTION("""COMPUTED_VALUE"""),"Partner")</f>
        <v>Partner</v>
      </c>
      <c r="C997" s="42" t="str">
        <f>IFERROR(__xludf.DUMMYFUNCTION("""COMPUTED_VALUE"""),"Elle Chivas")</f>
        <v>Elle Chivas</v>
      </c>
      <c r="D997" s="42" t="str">
        <f>IFERROR(__xludf.DUMMYFUNCTION("""COMPUTED_VALUE"""),"Momon")</f>
        <v>Momon</v>
      </c>
      <c r="E997" s="42" t="str">
        <f>IFERROR(__xludf.DUMMYFUNCTION("""COMPUTED_VALUE"""),"-")</f>
        <v>-</v>
      </c>
      <c r="F997" s="42" t="str">
        <f>IFERROR(__xludf.DUMMYFUNCTION("""COMPUTED_VALUE"""),"-")</f>
        <v>-</v>
      </c>
      <c r="G997" s="42" t="str">
        <f>IFERROR(__xludf.DUMMYFUNCTION("""COMPUTED_VALUE"""),"None")</f>
        <v>None</v>
      </c>
      <c r="H997" s="42" t="str">
        <f>IFERROR(__xludf.DUMMYFUNCTION("""COMPUTED_VALUE"""),"Oh My, Oh My!")</f>
        <v>Oh My, Oh My!</v>
      </c>
      <c r="I997" s="43" t="str">
        <f>IFERROR(__xludf.DUMMYFUNCTION("""COMPUTED_VALUE"""),"[SEND THIS CARD TO THE DISCARD PILE] If a Battle has already resolved during this turn, end this BATTLE PHASE. This effect cannot be negated by a cut-in effect.")</f>
        <v>[SEND THIS CARD TO THE DISCARD PILE] If a Battle has already resolved during this turn, end this BATTLE PHASE. This effect cannot be negated by a cut-in effect.</v>
      </c>
      <c r="J997" s="42" t="str">
        <f>IFERROR(__xludf.DUMMYFUNCTION("""COMPUTED_VALUE"""),"-")</f>
        <v>-</v>
      </c>
      <c r="K997" s="42" t="str">
        <f>IFERROR(__xludf.DUMMYFUNCTION("""COMPUTED_VALUE"""),"-")</f>
        <v>-</v>
      </c>
      <c r="L997" s="42" t="str">
        <f>IFERROR(__xludf.DUMMYFUNCTION("""COMPUTED_VALUE"""),"-")</f>
        <v>-</v>
      </c>
      <c r="M997" s="42" t="str">
        <f>IFERROR(__xludf.DUMMYFUNCTION("""COMPUTED_VALUE"""),"[U]")</f>
        <v>[U]</v>
      </c>
      <c r="N997" s="42" t="str">
        <f>IFERROR(__xludf.DUMMYFUNCTION("""COMPUTED_VALUE"""),"""Oh my... oh my... We have to put an end to this right away!""")</f>
        <v>"Oh my... oh my... We have to put an end to this right away!"</v>
      </c>
      <c r="O997" s="42"/>
      <c r="P997" s="42"/>
      <c r="Q997" s="42"/>
      <c r="R997" s="42"/>
      <c r="S997" s="42"/>
      <c r="T997" s="42"/>
      <c r="U997" s="42"/>
      <c r="V997" s="42"/>
      <c r="W997" s="42"/>
      <c r="X997" s="42"/>
      <c r="Y997" s="42"/>
      <c r="Z997" s="42"/>
    </row>
    <row r="998">
      <c r="A998" s="41" t="str">
        <f>IFERROR(__xludf.DUMMYFUNCTION("""COMPUTED_VALUE"""),"P-124")</f>
        <v>P-124</v>
      </c>
      <c r="B998" s="42" t="str">
        <f>IFERROR(__xludf.DUMMYFUNCTION("""COMPUTED_VALUE"""),"Partner")</f>
        <v>Partner</v>
      </c>
      <c r="C998" s="42" t="str">
        <f>IFERROR(__xludf.DUMMYFUNCTION("""COMPUTED_VALUE"""),"Kiyo Takamine")</f>
        <v>Kiyo Takamine</v>
      </c>
      <c r="D998" s="42" t="str">
        <f>IFERROR(__xludf.DUMMYFUNCTION("""COMPUTED_VALUE"""),"Zatch Bell")</f>
        <v>Zatch Bell</v>
      </c>
      <c r="E998" s="42" t="str">
        <f>IFERROR(__xludf.DUMMYFUNCTION("""COMPUTED_VALUE"""),"-")</f>
        <v>-</v>
      </c>
      <c r="F998" s="42" t="str">
        <f>IFERROR(__xludf.DUMMYFUNCTION("""COMPUTED_VALUE"""),"-")</f>
        <v>-</v>
      </c>
      <c r="G998" s="42" t="str">
        <f>IFERROR(__xludf.DUMMYFUNCTION("""COMPUTED_VALUE"""),"None")</f>
        <v>None</v>
      </c>
      <c r="H998" s="42" t="str">
        <f>IFERROR(__xludf.DUMMYFUNCTION("""COMPUTED_VALUE"""),"An Unexpected Strategy")</f>
        <v>An Unexpected Strategy</v>
      </c>
      <c r="I998" s="43" t="str">
        <f>IFERROR(__xludf.DUMMYFUNCTION("""COMPUTED_VALUE"""),"[IN PLAY] Your opponent can neither SACRIFICE nor PROTECT their Spell Book from the Damage of SPELL cards played for your Zatch Bell MAMODO card with their only effect being ""Damage your opponent's Spell Book when you win the Battle as an Attacker.""")</f>
        <v>[IN PLAY] Your opponent can neither SACRIFICE nor PROTECT their Spell Book from the Damage of SPELL cards played for your Zatch Bell MAMODO card with their only effect being "Damage your opponent's Spell Book when you win the Battle as an Attacker."</v>
      </c>
      <c r="J998" s="42" t="str">
        <f>IFERROR(__xludf.DUMMYFUNCTION("""COMPUTED_VALUE"""),"-")</f>
        <v>-</v>
      </c>
      <c r="K998" s="42" t="str">
        <f>IFERROR(__xludf.DUMMYFUNCTION("""COMPUTED_VALUE"""),"-")</f>
        <v>-</v>
      </c>
      <c r="L998" s="42" t="str">
        <f>IFERROR(__xludf.DUMMYFUNCTION("""COMPUTED_VALUE"""),"-")</f>
        <v>-</v>
      </c>
      <c r="M998" s="42" t="str">
        <f>IFERROR(__xludf.DUMMYFUNCTION("""COMPUTED_VALUE"""),"[U]")</f>
        <v>[U]</v>
      </c>
      <c r="N998" s="42" t="str">
        <f>IFERROR(__xludf.DUMMYFUNCTION("""COMPUTED_VALUE"""),"Kiyo's strategies push Zatch's potential past the 100% mark.")</f>
        <v>Kiyo's strategies push Zatch's potential past the 100% mark.</v>
      </c>
      <c r="O998" s="42"/>
      <c r="P998" s="42"/>
      <c r="Q998" s="42"/>
      <c r="R998" s="42"/>
      <c r="S998" s="42"/>
      <c r="T998" s="42"/>
      <c r="U998" s="42"/>
      <c r="V998" s="42"/>
      <c r="W998" s="42"/>
      <c r="X998" s="42"/>
      <c r="Y998" s="42"/>
      <c r="Z998" s="42"/>
    </row>
    <row r="999">
      <c r="A999" s="41" t="str">
        <f>IFERROR(__xludf.DUMMYFUNCTION("""COMPUTED_VALUE"""),"P-125")</f>
        <v>P-125</v>
      </c>
      <c r="B999" s="42" t="str">
        <f>IFERROR(__xludf.DUMMYFUNCTION("""COMPUTED_VALUE"""),"Partner")</f>
        <v>Partner</v>
      </c>
      <c r="C999" s="42" t="str">
        <f>IFERROR(__xludf.DUMMYFUNCTION("""COMPUTED_VALUE"""),"Kiyo Takamine")</f>
        <v>Kiyo Takamine</v>
      </c>
      <c r="D999" s="42" t="str">
        <f>IFERROR(__xludf.DUMMYFUNCTION("""COMPUTED_VALUE"""),"Zatch Bell")</f>
        <v>Zatch Bell</v>
      </c>
      <c r="E999" s="42" t="str">
        <f>IFERROR(__xludf.DUMMYFUNCTION("""COMPUTED_VALUE"""),"-")</f>
        <v>-</v>
      </c>
      <c r="F999" s="42" t="str">
        <f>IFERROR(__xludf.DUMMYFUNCTION("""COMPUTED_VALUE"""),"-")</f>
        <v>-</v>
      </c>
      <c r="G999" s="42" t="str">
        <f>IFERROR(__xludf.DUMMYFUNCTION("""COMPUTED_VALUE"""),"None")</f>
        <v>None</v>
      </c>
      <c r="H999" s="42" t="str">
        <f>IFERROR(__xludf.DUMMYFUNCTION("""COMPUTED_VALUE"""),"Eyes of a Genius")</f>
        <v>Eyes of a Genius</v>
      </c>
      <c r="I999" s="43" t="str">
        <f>IFERROR(__xludf.DUMMYFUNCTION("""COMPUTED_VALUE"""),"[IN PLAY] Your opponent cannot apply the effects of their MAMODO cards during the same turn they are put in play. ※ With 1 Action, you can send this card to the Discard Pile at any time.")</f>
        <v>[IN PLAY] Your opponent cannot apply the effects of their MAMODO cards during the same turn they are put in play. ※ With 1 Action, you can send this card to the Discard Pile at any time.</v>
      </c>
      <c r="J999" s="42" t="str">
        <f>IFERROR(__xludf.DUMMYFUNCTION("""COMPUTED_VALUE"""),"-")</f>
        <v>-</v>
      </c>
      <c r="K999" s="42" t="str">
        <f>IFERROR(__xludf.DUMMYFUNCTION("""COMPUTED_VALUE"""),"-")</f>
        <v>-</v>
      </c>
      <c r="L999" s="42" t="str">
        <f>IFERROR(__xludf.DUMMYFUNCTION("""COMPUTED_VALUE"""),"-")</f>
        <v>-</v>
      </c>
      <c r="M999" s="42" t="str">
        <f>IFERROR(__xludf.DUMMYFUNCTION("""COMPUTED_VALUE"""),"[C]")</f>
        <v>[C]</v>
      </c>
      <c r="N999" s="42" t="str">
        <f>IFERROR(__xludf.DUMMYFUNCTION("""COMPUTED_VALUE"""),"Kiyo's keen eye for observation has led Zatch to victory many times in the past.")</f>
        <v>Kiyo's keen eye for observation has led Zatch to victory many times in the past.</v>
      </c>
      <c r="O999" s="42"/>
      <c r="P999" s="42"/>
      <c r="Q999" s="42"/>
      <c r="R999" s="42"/>
      <c r="S999" s="42"/>
      <c r="T999" s="42"/>
      <c r="U999" s="42"/>
      <c r="V999" s="42"/>
      <c r="W999" s="42"/>
      <c r="X999" s="42"/>
      <c r="Y999" s="42"/>
      <c r="Z999" s="42"/>
    </row>
    <row r="1000">
      <c r="A1000" s="41" t="str">
        <f>IFERROR(__xludf.DUMMYFUNCTION("""COMPUTED_VALUE"""),"P-126")</f>
        <v>P-126</v>
      </c>
      <c r="B1000" s="42" t="str">
        <f>IFERROR(__xludf.DUMMYFUNCTION("""COMPUTED_VALUE"""),"Partner")</f>
        <v>Partner</v>
      </c>
      <c r="C1000" s="42" t="str">
        <f>IFERROR(__xludf.DUMMYFUNCTION("""COMPUTED_VALUE"""),"Parco Folgore")</f>
        <v>Parco Folgore</v>
      </c>
      <c r="D1000" s="42" t="str">
        <f>IFERROR(__xludf.DUMMYFUNCTION("""COMPUTED_VALUE"""),"Kanchome")</f>
        <v>Kanchome</v>
      </c>
      <c r="E1000" s="42" t="str">
        <f>IFERROR(__xludf.DUMMYFUNCTION("""COMPUTED_VALUE"""),"-")</f>
        <v>-</v>
      </c>
      <c r="F1000" s="42" t="str">
        <f>IFERROR(__xludf.DUMMYFUNCTION("""COMPUTED_VALUE"""),"-")</f>
        <v>-</v>
      </c>
      <c r="G1000" s="42" t="str">
        <f>IFERROR(__xludf.DUMMYFUNCTION("""COMPUTED_VALUE"""),"None")</f>
        <v>None</v>
      </c>
      <c r="H1000" s="42" t="str">
        <f>IFERROR(__xludf.DUMMYFUNCTION("""COMPUTED_VALUE"""),"Worldwide Superstar")</f>
        <v>Worldwide Superstar</v>
      </c>
      <c r="I1000" s="43" t="str">
        <f>IFERROR(__xludf.DUMMYFUNCTION("""COMPUTED_VALUE"""),"[IN PLAY] Your opponent cannot apply the effects of their cards during the same turn they are put in play.")</f>
        <v>[IN PLAY] Your opponent cannot apply the effects of their cards during the same turn they are put in play.</v>
      </c>
      <c r="J1000" s="42" t="str">
        <f>IFERROR(__xludf.DUMMYFUNCTION("""COMPUTED_VALUE"""),"-")</f>
        <v>-</v>
      </c>
      <c r="K1000" s="42" t="str">
        <f>IFERROR(__xludf.DUMMYFUNCTION("""COMPUTED_VALUE"""),"-")</f>
        <v>-</v>
      </c>
      <c r="L1000" s="42" t="str">
        <f>IFERROR(__xludf.DUMMYFUNCTION("""COMPUTED_VALUE"""),"-")</f>
        <v>-</v>
      </c>
      <c r="M1000" s="42" t="str">
        <f>IFERROR(__xludf.DUMMYFUNCTION("""COMPUTED_VALUE"""),"[C]")</f>
        <v>[C]</v>
      </c>
      <c r="N1000" s="42" t="str">
        <f>IFERROR(__xludf.DUMMYFUNCTION("""COMPUTED_VALUE"""),"Parco Folgore is a worldwide superstar. Even his soul is world-class.")</f>
        <v>Parco Folgore is a worldwide superstar. Even his soul is world-class.</v>
      </c>
      <c r="O1000" s="42"/>
      <c r="P1000" s="42"/>
      <c r="Q1000" s="42"/>
      <c r="R1000" s="42"/>
      <c r="S1000" s="42"/>
      <c r="T1000" s="42"/>
      <c r="U1000" s="42"/>
      <c r="V1000" s="42"/>
      <c r="W1000" s="42"/>
      <c r="X1000" s="42"/>
      <c r="Y1000" s="42"/>
      <c r="Z1000" s="42"/>
    </row>
    <row r="1001">
      <c r="A1001" s="41" t="str">
        <f>IFERROR(__xludf.DUMMYFUNCTION("""COMPUTED_VALUE"""),"P-127")</f>
        <v>P-127</v>
      </c>
      <c r="B1001" s="42" t="str">
        <f>IFERROR(__xludf.DUMMYFUNCTION("""COMPUTED_VALUE"""),"Partner")</f>
        <v>Partner</v>
      </c>
      <c r="C1001" s="42" t="str">
        <f>IFERROR(__xludf.DUMMYFUNCTION("""COMPUTED_VALUE"""),"Megumi")</f>
        <v>Megumi</v>
      </c>
      <c r="D1001" s="42" t="str">
        <f>IFERROR(__xludf.DUMMYFUNCTION("""COMPUTED_VALUE"""),"Tia")</f>
        <v>Tia</v>
      </c>
      <c r="E1001" s="42" t="str">
        <f>IFERROR(__xludf.DUMMYFUNCTION("""COMPUTED_VALUE"""),"-")</f>
        <v>-</v>
      </c>
      <c r="F1001" s="42" t="str">
        <f>IFERROR(__xludf.DUMMYFUNCTION("""COMPUTED_VALUE"""),"-")</f>
        <v>-</v>
      </c>
      <c r="G1001" s="42" t="str">
        <f>IFERROR(__xludf.DUMMYFUNCTION("""COMPUTED_VALUE"""),"None")</f>
        <v>None</v>
      </c>
      <c r="H1001" s="42" t="str">
        <f>IFERROR(__xludf.DUMMYFUNCTION("""COMPUTED_VALUE"""),"The Power of Kindness")</f>
        <v>The Power of Kindness</v>
      </c>
      <c r="I1001" s="43" t="str">
        <f>IFERROR(__xludf.DUMMYFUNCTION("""COMPUTED_VALUE"""),"[IN PLAY] Apply 1 of the following effects once per turn (per player): ● Reduce the Damage inflicted by your opponent by 1. ● Reduce the number of pages of your Spell Book turned by your opponent's card effects by 1.")</f>
        <v>[IN PLAY] Apply 1 of the following effects once per turn (per player): ● Reduce the Damage inflicted by your opponent by 1. ● Reduce the number of pages of your Spell Book turned by your opponent's card effects by 1.</v>
      </c>
      <c r="J1001" s="42" t="str">
        <f>IFERROR(__xludf.DUMMYFUNCTION("""COMPUTED_VALUE"""),"-")</f>
        <v>-</v>
      </c>
      <c r="K1001" s="42" t="str">
        <f>IFERROR(__xludf.DUMMYFUNCTION("""COMPUTED_VALUE"""),"-")</f>
        <v>-</v>
      </c>
      <c r="L1001" s="42" t="str">
        <f>IFERROR(__xludf.DUMMYFUNCTION("""COMPUTED_VALUE"""),"-")</f>
        <v>-</v>
      </c>
      <c r="M1001" s="42" t="str">
        <f>IFERROR(__xludf.DUMMYFUNCTION("""COMPUTED_VALUE"""),"[C]")</f>
        <v>[C]</v>
      </c>
      <c r="N1001" s="42" t="str">
        <f>IFERROR(__xludf.DUMMYFUNCTION("""COMPUTED_VALUE"""),"""Tia... we're gonna knock them out with this one attack!""")</f>
        <v>"Tia... we're gonna knock them out with this one attack!"</v>
      </c>
      <c r="O1001" s="42"/>
      <c r="P1001" s="42"/>
      <c r="Q1001" s="42"/>
      <c r="R1001" s="42"/>
      <c r="S1001" s="42"/>
      <c r="T1001" s="42"/>
      <c r="U1001" s="42"/>
      <c r="V1001" s="42"/>
      <c r="W1001" s="42"/>
      <c r="X1001" s="42"/>
      <c r="Y1001" s="42"/>
      <c r="Z1001" s="42"/>
    </row>
    <row r="1002">
      <c r="A1002" s="41" t="str">
        <f>IFERROR(__xludf.DUMMYFUNCTION("""COMPUTED_VALUE"""),"P-128")</f>
        <v>P-128</v>
      </c>
      <c r="B1002" s="42" t="str">
        <f>IFERROR(__xludf.DUMMYFUNCTION("""COMPUTED_VALUE"""),"Partner")</f>
        <v>Partner</v>
      </c>
      <c r="C1002" s="42" t="str">
        <f>IFERROR(__xludf.DUMMYFUNCTION("""COMPUTED_VALUE"""),"Kiyo Takamine")</f>
        <v>Kiyo Takamine</v>
      </c>
      <c r="D1002" s="42" t="str">
        <f>IFERROR(__xludf.DUMMYFUNCTION("""COMPUTED_VALUE"""),"Zatch Bell")</f>
        <v>Zatch Bell</v>
      </c>
      <c r="E1002" s="42" t="str">
        <f>IFERROR(__xludf.DUMMYFUNCTION("""COMPUTED_VALUE"""),"-")</f>
        <v>-</v>
      </c>
      <c r="F1002" s="42" t="str">
        <f>IFERROR(__xludf.DUMMYFUNCTION("""COMPUTED_VALUE"""),"-")</f>
        <v>-</v>
      </c>
      <c r="G1002" s="42" t="str">
        <f>IFERROR(__xludf.DUMMYFUNCTION("""COMPUTED_VALUE"""),"None")</f>
        <v>None</v>
      </c>
      <c r="H1002" s="42" t="str">
        <f>IFERROR(__xludf.DUMMYFUNCTION("""COMPUTED_VALUE"""),"Treasure Fighter")</f>
        <v>Treasure Fighter</v>
      </c>
      <c r="I1002" s="43" t="str">
        <f>IFERROR(__xludf.DUMMYFUNCTION("""COMPUTED_VALUE"""),"[SEND THIS CARD TO THE DISCARD PILE] [STAY] Flip a coin; if it's heads, increase the Damage of your SPELL cards with Zatch Bell as their MAMODO name by 1 during this turn. This effect does not duplicate with other effects that increase Damage.")</f>
        <v>[SEND THIS CARD TO THE DISCARD PILE] [STAY] Flip a coin; if it's heads, increase the Damage of your SPELL cards with Zatch Bell as their MAMODO name by 1 during this turn. This effect does not duplicate with other effects that increase Damage.</v>
      </c>
      <c r="J1002" s="42" t="str">
        <f>IFERROR(__xludf.DUMMYFUNCTION("""COMPUTED_VALUE"""),"-")</f>
        <v>-</v>
      </c>
      <c r="K1002" s="42" t="str">
        <f>IFERROR(__xludf.DUMMYFUNCTION("""COMPUTED_VALUE"""),"-")</f>
        <v>-</v>
      </c>
      <c r="L1002" s="42" t="str">
        <f>IFERROR(__xludf.DUMMYFUNCTION("""COMPUTED_VALUE"""),"-")</f>
        <v>-</v>
      </c>
      <c r="M1002" s="42" t="str">
        <f>IFERROR(__xludf.DUMMYFUNCTION("""COMPUTED_VALUE"""),"[R]")</f>
        <v>[R]</v>
      </c>
      <c r="N1002" s="42" t="str">
        <f>IFERROR(__xludf.DUMMYFUNCTION("""COMPUTED_VALUE"""),"Kiyo is forever grateful to Zatch for becoming the friend he needed in order to change his outlook on life.")</f>
        <v>Kiyo is forever grateful to Zatch for becoming the friend he needed in order to change his outlook on life.</v>
      </c>
      <c r="O1002" s="42"/>
      <c r="P1002" s="42"/>
      <c r="Q1002" s="42"/>
      <c r="R1002" s="42"/>
      <c r="S1002" s="42"/>
      <c r="T1002" s="42"/>
      <c r="U1002" s="42"/>
      <c r="V1002" s="42"/>
      <c r="W1002" s="42"/>
      <c r="X1002" s="42"/>
      <c r="Y1002" s="42"/>
      <c r="Z1002" s="42"/>
    </row>
    <row r="1003">
      <c r="A1003" s="41" t="str">
        <f>IFERROR(__xludf.DUMMYFUNCTION("""COMPUTED_VALUE"""),"P-129")</f>
        <v>P-129</v>
      </c>
      <c r="B1003" s="42" t="str">
        <f>IFERROR(__xludf.DUMMYFUNCTION("""COMPUTED_VALUE"""),"Partner")</f>
        <v>Partner</v>
      </c>
      <c r="C1003" s="42" t="str">
        <f>IFERROR(__xludf.DUMMYFUNCTION("""COMPUTED_VALUE"""),"Kafk Sunbeam")</f>
        <v>Kafk Sunbeam</v>
      </c>
      <c r="D1003" s="42" t="str">
        <f>IFERROR(__xludf.DUMMYFUNCTION("""COMPUTED_VALUE"""),"Ponygon")</f>
        <v>Ponygon</v>
      </c>
      <c r="E1003" s="42" t="str">
        <f>IFERROR(__xludf.DUMMYFUNCTION("""COMPUTED_VALUE"""),"-")</f>
        <v>-</v>
      </c>
      <c r="F1003" s="42" t="str">
        <f>IFERROR(__xludf.DUMMYFUNCTION("""COMPUTED_VALUE"""),"-")</f>
        <v>-</v>
      </c>
      <c r="G1003" s="42" t="str">
        <f>IFERROR(__xludf.DUMMYFUNCTION("""COMPUTED_VALUE"""),"None")</f>
        <v>None</v>
      </c>
      <c r="H1003" s="42" t="str">
        <f>IFERROR(__xludf.DUMMYFUNCTION("""COMPUTED_VALUE"""),"Dozing Off")</f>
        <v>Dozing Off</v>
      </c>
      <c r="I1003" s="43" t="str">
        <f>IFERROR(__xludf.DUMMYFUNCTION("""COMPUTED_VALUE"""),"[SEND THIS CARD TO THE DISCARD PILE] Send 1 of your opponent's in-play Ponygon cards to the Discard Pile. This effect cannot be negated by a cut-in effect.")</f>
        <v>[SEND THIS CARD TO THE DISCARD PILE] Send 1 of your opponent's in-play Ponygon cards to the Discard Pile. This effect cannot be negated by a cut-in effect.</v>
      </c>
      <c r="J1003" s="42" t="str">
        <f>IFERROR(__xludf.DUMMYFUNCTION("""COMPUTED_VALUE"""),"-")</f>
        <v>-</v>
      </c>
      <c r="K1003" s="42" t="str">
        <f>IFERROR(__xludf.DUMMYFUNCTION("""COMPUTED_VALUE"""),"-")</f>
        <v>-</v>
      </c>
      <c r="L1003" s="42" t="str">
        <f>IFERROR(__xludf.DUMMYFUNCTION("""COMPUTED_VALUE"""),"-")</f>
        <v>-</v>
      </c>
      <c r="M1003" s="42" t="str">
        <f>IFERROR(__xludf.DUMMYFUNCTION("""COMPUTED_VALUE"""),"[R]")</f>
        <v>[R]</v>
      </c>
      <c r="N1003" s="42" t="str">
        <f>IFERROR(__xludf.DUMMYFUNCTION("""COMPUTED_VALUE"""),"""Oh, sorry, Ponygon. I guess I'm pretty tired...""")</f>
        <v>"Oh, sorry, Ponygon. I guess I'm pretty tired..."</v>
      </c>
      <c r="O1003" s="42"/>
      <c r="P1003" s="42"/>
      <c r="Q1003" s="42"/>
      <c r="R1003" s="42"/>
      <c r="S1003" s="42"/>
      <c r="T1003" s="42"/>
      <c r="U1003" s="42"/>
      <c r="V1003" s="42"/>
      <c r="W1003" s="42"/>
      <c r="X1003" s="42"/>
      <c r="Y1003" s="42"/>
      <c r="Z1003" s="42"/>
    </row>
    <row r="1004">
      <c r="A1004" s="41" t="str">
        <f>IFERROR(__xludf.DUMMYFUNCTION("""COMPUTED_VALUE"""),"P-130")</f>
        <v>P-130</v>
      </c>
      <c r="B1004" s="42" t="str">
        <f>IFERROR(__xludf.DUMMYFUNCTION("""COMPUTED_VALUE"""),"Partner")</f>
        <v>Partner</v>
      </c>
      <c r="C1004" s="42" t="str">
        <f>IFERROR(__xludf.DUMMYFUNCTION("""COMPUTED_VALUE"""),"Parco Folgore")</f>
        <v>Parco Folgore</v>
      </c>
      <c r="D1004" s="42" t="str">
        <f>IFERROR(__xludf.DUMMYFUNCTION("""COMPUTED_VALUE"""),"Kanchomé")</f>
        <v>Kanchomé</v>
      </c>
      <c r="E1004" s="42" t="str">
        <f>IFERROR(__xludf.DUMMYFUNCTION("""COMPUTED_VALUE"""),"-")</f>
        <v>-</v>
      </c>
      <c r="F1004" s="42" t="str">
        <f>IFERROR(__xludf.DUMMYFUNCTION("""COMPUTED_VALUE"""),"-")</f>
        <v>-</v>
      </c>
      <c r="G1004" s="42" t="str">
        <f>IFERROR(__xludf.DUMMYFUNCTION("""COMPUTED_VALUE"""),"None")</f>
        <v>None</v>
      </c>
      <c r="H1004" s="42" t="str">
        <f>IFERROR(__xludf.DUMMYFUNCTION("""COMPUTED_VALUE"""),"Invincible Man")</f>
        <v>Invincible Man</v>
      </c>
      <c r="I1004" s="43" t="str">
        <f>IFERROR(__xludf.DUMMYFUNCTION("""COMPUTED_VALUE"""),"[IN PLAY] Your Kanchomé MAMODO card cannot be sent to the Discard Pile by your opponent's card effects, receive Damage or Injury (except by SACRIFICING or PROTECTING your Spell Book from Damage), and/or be Petrified.")</f>
        <v>[IN PLAY] Your Kanchomé MAMODO card cannot be sent to the Discard Pile by your opponent's card effects, receive Damage or Injury (except by SACRIFICING or PROTECTING your Spell Book from Damage), and/or be Petrified.</v>
      </c>
      <c r="J1004" s="42" t="str">
        <f>IFERROR(__xludf.DUMMYFUNCTION("""COMPUTED_VALUE"""),"-")</f>
        <v>-</v>
      </c>
      <c r="K1004" s="42" t="str">
        <f>IFERROR(__xludf.DUMMYFUNCTION("""COMPUTED_VALUE"""),"-")</f>
        <v>-</v>
      </c>
      <c r="L1004" s="42" t="str">
        <f>IFERROR(__xludf.DUMMYFUNCTION("""COMPUTED_VALUE"""),"-")</f>
        <v>-</v>
      </c>
      <c r="M1004" s="42" t="str">
        <f>IFERROR(__xludf.DUMMYFUNCTION("""COMPUTED_VALUE"""),"[U]")</f>
        <v>[U]</v>
      </c>
      <c r="N1004" s="42" t="str">
        <f>IFERROR(__xludf.DUMMYFUNCTION("""COMPUTED_VALUE"""),"""Have you forgotten you're dealing with the invincible man?""")</f>
        <v>"Have you forgotten you're dealing with the invincible man?"</v>
      </c>
      <c r="O1004" s="42"/>
      <c r="P1004" s="42"/>
      <c r="Q1004" s="42"/>
      <c r="R1004" s="42"/>
      <c r="S1004" s="42"/>
      <c r="T1004" s="42"/>
      <c r="U1004" s="42"/>
      <c r="V1004" s="42"/>
      <c r="W1004" s="42"/>
      <c r="X1004" s="42"/>
      <c r="Y1004" s="42"/>
      <c r="Z1004" s="42"/>
    </row>
    <row r="1005">
      <c r="A1005" s="41" t="str">
        <f>IFERROR(__xludf.DUMMYFUNCTION("""COMPUTED_VALUE"""),"P-131")</f>
        <v>P-131</v>
      </c>
      <c r="B1005" s="42" t="str">
        <f>IFERROR(__xludf.DUMMYFUNCTION("""COMPUTED_VALUE"""),"Partner")</f>
        <v>Partner</v>
      </c>
      <c r="C1005" s="42" t="str">
        <f>IFERROR(__xludf.DUMMYFUNCTION("""COMPUTED_VALUE"""),"Gustav")</f>
        <v>Gustav</v>
      </c>
      <c r="D1005" s="42" t="str">
        <f>IFERROR(__xludf.DUMMYFUNCTION("""COMPUTED_VALUE"""),"Bari")</f>
        <v>Bari</v>
      </c>
      <c r="E1005" s="42" t="str">
        <f>IFERROR(__xludf.DUMMYFUNCTION("""COMPUTED_VALUE"""),"-")</f>
        <v>-</v>
      </c>
      <c r="F1005" s="42" t="str">
        <f>IFERROR(__xludf.DUMMYFUNCTION("""COMPUTED_VALUE"""),"-")</f>
        <v>-</v>
      </c>
      <c r="G1005" s="42" t="str">
        <f>IFERROR(__xludf.DUMMYFUNCTION("""COMPUTED_VALUE"""),"None")</f>
        <v>None</v>
      </c>
      <c r="H1005" s="42" t="str">
        <f>IFERROR(__xludf.DUMMYFUNCTION("""COMPUTED_VALUE"""),"Crush Them!")</f>
        <v>Crush Them!</v>
      </c>
      <c r="I1005" s="43" t="str">
        <f>IFERROR(__xludf.DUMMYFUNCTION("""COMPUTED_VALUE"""),"[IN PLAY] During the Battle when your Bari MAMODO card Attacks, your opponent cannot apply card effects that reduce your MP, turn pages of your Spell Book, and/or send your in-play cards to the Discard Pile.")</f>
        <v>[IN PLAY] During the Battle when your Bari MAMODO card Attacks, your opponent cannot apply card effects that reduce your MP, turn pages of your Spell Book, and/or send your in-play cards to the Discard Pile.</v>
      </c>
      <c r="J1005" s="42" t="str">
        <f>IFERROR(__xludf.DUMMYFUNCTION("""COMPUTED_VALUE"""),"-")</f>
        <v>-</v>
      </c>
      <c r="K1005" s="42" t="str">
        <f>IFERROR(__xludf.DUMMYFUNCTION("""COMPUTED_VALUE"""),"-")</f>
        <v>-</v>
      </c>
      <c r="L1005" s="42" t="str">
        <f>IFERROR(__xludf.DUMMYFUNCTION("""COMPUTED_VALUE"""),"-")</f>
        <v>-</v>
      </c>
      <c r="M1005" s="42" t="str">
        <f>IFERROR(__xludf.DUMMYFUNCTION("""COMPUTED_VALUE"""),"[C]")</f>
        <v>[C]</v>
      </c>
      <c r="N1005" s="42" t="str">
        <f>IFERROR(__xludf.DUMMYFUNCTION("""COMPUTED_VALUE"""),"""Crush them into pieces, and prove to them how powerful you really are!""")</f>
        <v>"Crush them into pieces, and prove to them how powerful you really are!"</v>
      </c>
      <c r="O1005" s="42"/>
      <c r="P1005" s="42"/>
      <c r="Q1005" s="42"/>
      <c r="R1005" s="42"/>
      <c r="S1005" s="42"/>
      <c r="T1005" s="42"/>
      <c r="U1005" s="42"/>
      <c r="V1005" s="42"/>
      <c r="W1005" s="42"/>
      <c r="X1005" s="42"/>
      <c r="Y1005" s="42"/>
      <c r="Z1005" s="42"/>
    </row>
    <row r="1006">
      <c r="A1006" s="41" t="str">
        <f>IFERROR(__xludf.DUMMYFUNCTION("""COMPUTED_VALUE"""),"P-132")</f>
        <v>P-132</v>
      </c>
      <c r="B1006" s="42" t="str">
        <f>IFERROR(__xludf.DUMMYFUNCTION("""COMPUTED_VALUE"""),"Partner")</f>
        <v>Partner</v>
      </c>
      <c r="C1006" s="42" t="str">
        <f>IFERROR(__xludf.DUMMYFUNCTION("""COMPUTED_VALUE"""),"Dufort")</f>
        <v>Dufort</v>
      </c>
      <c r="D1006" s="42" t="str">
        <f>IFERROR(__xludf.DUMMYFUNCTION("""COMPUTED_VALUE"""),"Zeno")</f>
        <v>Zeno</v>
      </c>
      <c r="E1006" s="42" t="str">
        <f>IFERROR(__xludf.DUMMYFUNCTION("""COMPUTED_VALUE"""),"-")</f>
        <v>-</v>
      </c>
      <c r="F1006" s="42" t="str">
        <f>IFERROR(__xludf.DUMMYFUNCTION("""COMPUTED_VALUE"""),"-")</f>
        <v>-</v>
      </c>
      <c r="G1006" s="42" t="str">
        <f>IFERROR(__xludf.DUMMYFUNCTION("""COMPUTED_VALUE"""),"None")</f>
        <v>None</v>
      </c>
      <c r="H1006" s="42" t="str">
        <f>IFERROR(__xludf.DUMMYFUNCTION("""COMPUTED_VALUE"""),"A New Perspective")</f>
        <v>A New Perspective</v>
      </c>
      <c r="I1006" s="43" t="str">
        <f>IFERROR(__xludf.DUMMYFUNCTION("""COMPUTED_VALUE"""),"[SEND THIS CARD TO THE DISCARD PILE] Send 1 of your opponent's in-play cards (except MAMODO cards) to the Discard Pile.")</f>
        <v>[SEND THIS CARD TO THE DISCARD PILE] Send 1 of your opponent's in-play cards (except MAMODO cards) to the Discard Pile.</v>
      </c>
      <c r="J1006" s="42" t="str">
        <f>IFERROR(__xludf.DUMMYFUNCTION("""COMPUTED_VALUE"""),"-")</f>
        <v>-</v>
      </c>
      <c r="K1006" s="42" t="str">
        <f>IFERROR(__xludf.DUMMYFUNCTION("""COMPUTED_VALUE"""),"-")</f>
        <v>-</v>
      </c>
      <c r="L1006" s="42" t="str">
        <f>IFERROR(__xludf.DUMMYFUNCTION("""COMPUTED_VALUE"""),"-")</f>
        <v>-</v>
      </c>
      <c r="M1006" s="42" t="str">
        <f>IFERROR(__xludf.DUMMYFUNCTION("""COMPUTED_VALUE"""),"[U]")</f>
        <v>[U]</v>
      </c>
      <c r="N1006" s="42" t="str">
        <f>IFERROR(__xludf.DUMMYFUNCTION("""COMPUTED_VALUE"""),"""Will that power change the way I look at the world?""")</f>
        <v>"Will that power change the way I look at the world?"</v>
      </c>
      <c r="O1006" s="42"/>
      <c r="P1006" s="42"/>
      <c r="Q1006" s="42"/>
      <c r="R1006" s="42"/>
      <c r="S1006" s="42"/>
      <c r="T1006" s="42"/>
      <c r="U1006" s="42"/>
      <c r="V1006" s="42"/>
      <c r="W1006" s="42"/>
      <c r="X1006" s="42"/>
      <c r="Y1006" s="42"/>
      <c r="Z1006" s="42"/>
    </row>
    <row r="1007">
      <c r="A1007" s="41" t="str">
        <f>IFERROR(__xludf.DUMMYFUNCTION("""COMPUTED_VALUE"""),"P-133")</f>
        <v>P-133</v>
      </c>
      <c r="B1007" s="42" t="str">
        <f>IFERROR(__xludf.DUMMYFUNCTION("""COMPUTED_VALUE"""),"Partner")</f>
        <v>Partner</v>
      </c>
      <c r="C1007" s="42" t="str">
        <f>IFERROR(__xludf.DUMMYFUNCTION("""COMPUTED_VALUE"""),"Jido")</f>
        <v>Jido</v>
      </c>
      <c r="D1007" s="42" t="str">
        <f>IFERROR(__xludf.DUMMYFUNCTION("""COMPUTED_VALUE"""),"Ted")</f>
        <v>Ted</v>
      </c>
      <c r="E1007" s="42" t="str">
        <f>IFERROR(__xludf.DUMMYFUNCTION("""COMPUTED_VALUE"""),"-")</f>
        <v>-</v>
      </c>
      <c r="F1007" s="42" t="str">
        <f>IFERROR(__xludf.DUMMYFUNCTION("""COMPUTED_VALUE"""),"-")</f>
        <v>-</v>
      </c>
      <c r="G1007" s="42" t="str">
        <f>IFERROR(__xludf.DUMMYFUNCTION("""COMPUTED_VALUE"""),"None")</f>
        <v>None</v>
      </c>
      <c r="H1007" s="42" t="str">
        <f>IFERROR(__xludf.DUMMYFUNCTION("""COMPUTED_VALUE"""),"A Man's Fellowship")</f>
        <v>A Man's Fellowship</v>
      </c>
      <c r="I1007" s="43" t="str">
        <f>IFERROR(__xludf.DUMMYFUNCTION("""COMPUTED_VALUE"""),"[SEND THIS CARD TO THE DISCARD PILE] When the currently open pages of your Spell Book are empty, select 1 SPELL card with Ted as its MAMODO name from any page of your Spell Book or Discard Pile and move it to 1 of the empty pages.")</f>
        <v>[SEND THIS CARD TO THE DISCARD PILE] When the currently open pages of your Spell Book are empty, select 1 SPELL card with Ted as its MAMODO name from any page of your Spell Book or Discard Pile and move it to 1 of the empty pages.</v>
      </c>
      <c r="J1007" s="42" t="str">
        <f>IFERROR(__xludf.DUMMYFUNCTION("""COMPUTED_VALUE"""),"-")</f>
        <v>-</v>
      </c>
      <c r="K1007" s="42" t="str">
        <f>IFERROR(__xludf.DUMMYFUNCTION("""COMPUTED_VALUE"""),"-")</f>
        <v>-</v>
      </c>
      <c r="L1007" s="42" t="str">
        <f>IFERROR(__xludf.DUMMYFUNCTION("""COMPUTED_VALUE"""),"-")</f>
        <v>-</v>
      </c>
      <c r="M1007" s="42" t="str">
        <f>IFERROR(__xludf.DUMMYFUNCTION("""COMPUTED_VALUE"""),"[C]")</f>
        <v>[C]</v>
      </c>
      <c r="N1007" s="42" t="str">
        <f>IFERROR(__xludf.DUMMYFUNCTION("""COMPUTED_VALUE"""),"""You're on your own, kid. But you know, I'll help you with the book when the times comes.""")</f>
        <v>"You're on your own, kid. But you know, I'll help you with the book when the times comes."</v>
      </c>
      <c r="O1007" s="42"/>
      <c r="P1007" s="42"/>
      <c r="Q1007" s="42"/>
      <c r="R1007" s="42"/>
      <c r="S1007" s="42"/>
      <c r="T1007" s="42"/>
      <c r="U1007" s="42"/>
      <c r="V1007" s="42"/>
      <c r="W1007" s="42"/>
      <c r="X1007" s="42"/>
      <c r="Y1007" s="42"/>
      <c r="Z1007" s="42"/>
    </row>
    <row r="1008">
      <c r="A1008" s="41" t="str">
        <f>IFERROR(__xludf.DUMMYFUNCTION("""COMPUTED_VALUE"""),"P-134")</f>
        <v>P-134</v>
      </c>
      <c r="B1008" s="42" t="str">
        <f>IFERROR(__xludf.DUMMYFUNCTION("""COMPUTED_VALUE"""),"Partner")</f>
        <v>Partner</v>
      </c>
      <c r="C1008" s="42" t="str">
        <f>IFERROR(__xludf.DUMMYFUNCTION("""COMPUTED_VALUE"""),"Ellie")</f>
        <v>Ellie</v>
      </c>
      <c r="D1008" s="42" t="str">
        <f>IFERROR(__xludf.DUMMYFUNCTION("""COMPUTED_VALUE"""),"Arth")</f>
        <v>Arth</v>
      </c>
      <c r="E1008" s="42" t="str">
        <f>IFERROR(__xludf.DUMMYFUNCTION("""COMPUTED_VALUE"""),"-")</f>
        <v>-</v>
      </c>
      <c r="F1008" s="42" t="str">
        <f>IFERROR(__xludf.DUMMYFUNCTION("""COMPUTED_VALUE"""),"-")</f>
        <v>-</v>
      </c>
      <c r="G1008" s="42" t="str">
        <f>IFERROR(__xludf.DUMMYFUNCTION("""COMPUTED_VALUE"""),"None")</f>
        <v>None</v>
      </c>
      <c r="H1008" s="42" t="str">
        <f>IFERROR(__xludf.DUMMYFUNCTION("""COMPUTED_VALUE"""),"Ellie's Resolve")</f>
        <v>Ellie's Resolve</v>
      </c>
      <c r="I1008" s="43" t="str">
        <f>IFERROR(__xludf.DUMMYFUNCTION("""COMPUTED_VALUE"""),"[SEND THIS CARD TO THE DISCARD PILE] If at least 1 Battle that  Attacked in has been resolved during this turn, turn 1 page of  Spell Book. Effects that turn pages of your Spell Book can be applied only once per turn (per player).")</f>
        <v>[SEND THIS CARD TO THE DISCARD PILE] If at least 1 Battle that  Attacked in has been resolved during this turn, turn 1 page of  Spell Book. Effects that turn pages of your Spell Book can be applied only once per turn (per player).</v>
      </c>
      <c r="J1008" s="42" t="str">
        <f>IFERROR(__xludf.DUMMYFUNCTION("""COMPUTED_VALUE"""),"-")</f>
        <v>-</v>
      </c>
      <c r="K1008" s="42" t="str">
        <f>IFERROR(__xludf.DUMMYFUNCTION("""COMPUTED_VALUE"""),"-")</f>
        <v>-</v>
      </c>
      <c r="L1008" s="42" t="str">
        <f>IFERROR(__xludf.DUMMYFUNCTION("""COMPUTED_VALUE"""),"-")</f>
        <v>-</v>
      </c>
      <c r="M1008" s="42" t="str">
        <f>IFERROR(__xludf.DUMMYFUNCTION("""COMPUTED_VALUE"""),"[R]")</f>
        <v>[R]</v>
      </c>
      <c r="N1008" s="42" t="str">
        <f>IFERROR(__xludf.DUMMYFUNCTION("""COMPUTED_VALUE"""),"""We've gotta stop Faudo from coming to life, no matter what! We can't let them use our power for their evil plan.""")</f>
        <v>"We've gotta stop Faudo from coming to life, no matter what! We can't let them use our power for their evil plan."</v>
      </c>
      <c r="O1008" s="42"/>
      <c r="P1008" s="42"/>
      <c r="Q1008" s="42"/>
      <c r="R1008" s="42"/>
      <c r="S1008" s="42"/>
      <c r="T1008" s="42"/>
      <c r="U1008" s="42"/>
      <c r="V1008" s="42"/>
      <c r="W1008" s="42"/>
      <c r="X1008" s="42"/>
      <c r="Y1008" s="42"/>
      <c r="Z1008" s="42"/>
    </row>
    <row r="1009">
      <c r="A1009" s="41" t="str">
        <f>IFERROR(__xludf.DUMMYFUNCTION("""COMPUTED_VALUE"""),"P-134")</f>
        <v>P-134</v>
      </c>
      <c r="B1009" s="42" t="str">
        <f>IFERROR(__xludf.DUMMYFUNCTION("""COMPUTED_VALUE"""),"Partner")</f>
        <v>Partner</v>
      </c>
      <c r="C1009" s="42" t="str">
        <f>IFERROR(__xludf.DUMMYFUNCTION("""COMPUTED_VALUE"""),"Ellie")</f>
        <v>Ellie</v>
      </c>
      <c r="D1009" s="42" t="str">
        <f>IFERROR(__xludf.DUMMYFUNCTION("""COMPUTED_VALUE"""),"Arth")</f>
        <v>Arth</v>
      </c>
      <c r="E1009" s="42" t="str">
        <f>IFERROR(__xludf.DUMMYFUNCTION("""COMPUTED_VALUE"""),"-")</f>
        <v>-</v>
      </c>
      <c r="F1009" s="42" t="str">
        <f>IFERROR(__xludf.DUMMYFUNCTION("""COMPUTED_VALUE"""),"-")</f>
        <v>-</v>
      </c>
      <c r="G1009" s="42" t="str">
        <f>IFERROR(__xludf.DUMMYFUNCTION("""COMPUTED_VALUE"""),"None")</f>
        <v>None</v>
      </c>
      <c r="H1009" s="42" t="str">
        <f>IFERROR(__xludf.DUMMYFUNCTION("""COMPUTED_VALUE"""),"Ellie's Resolve")</f>
        <v>Ellie's Resolve</v>
      </c>
      <c r="I1009" s="43" t="str">
        <f>IFERROR(__xludf.DUMMYFUNCTION("""COMPUTED_VALUE"""),"[SEND THIS CARD TO THE DISCARD PILE] If at least 1 Battle that  Attacked in has been resolved during this turn, turn 1 page of  Spell Book. Effects that turn pages of your Spell Book can be applied only once per turn (per player).")</f>
        <v>[SEND THIS CARD TO THE DISCARD PILE] If at least 1 Battle that  Attacked in has been resolved during this turn, turn 1 page of  Spell Book. Effects that turn pages of your Spell Book can be applied only once per turn (per player).</v>
      </c>
      <c r="J1009" s="42" t="str">
        <f>IFERROR(__xludf.DUMMYFUNCTION("""COMPUTED_VALUE"""),"-")</f>
        <v>-</v>
      </c>
      <c r="K1009" s="42" t="str">
        <f>IFERROR(__xludf.DUMMYFUNCTION("""COMPUTED_VALUE"""),"-")</f>
        <v>-</v>
      </c>
      <c r="L1009" s="42" t="str">
        <f>IFERROR(__xludf.DUMMYFUNCTION("""COMPUTED_VALUE"""),"-")</f>
        <v>-</v>
      </c>
      <c r="M1009" s="42" t="str">
        <f>IFERROR(__xludf.DUMMYFUNCTION("""COMPUTED_VALUE"""),"[R]")</f>
        <v>[R]</v>
      </c>
      <c r="N1009" s="42" t="str">
        <f>IFERROR(__xludf.DUMMYFUNCTION("""COMPUTED_VALUE"""),"""We've gotta stop Faudo from coming to life, no matter what! We can't let them use our power for their evil plan.""")</f>
        <v>"We've gotta stop Faudo from coming to life, no matter what! We can't let them use our power for their evil plan."</v>
      </c>
      <c r="O1009" s="42"/>
      <c r="P1009" s="42"/>
      <c r="Q1009" s="42"/>
      <c r="R1009" s="42"/>
      <c r="S1009" s="42"/>
      <c r="T1009" s="42"/>
      <c r="U1009" s="42"/>
      <c r="V1009" s="42"/>
      <c r="W1009" s="42"/>
      <c r="X1009" s="42"/>
      <c r="Y1009" s="42"/>
      <c r="Z1009" s="42"/>
    </row>
    <row r="1010">
      <c r="A1010" s="41" t="str">
        <f>IFERROR(__xludf.DUMMYFUNCTION("""COMPUTED_VALUE"""),"P-135")</f>
        <v>P-135</v>
      </c>
      <c r="B1010" s="42" t="str">
        <f>IFERROR(__xludf.DUMMYFUNCTION("""COMPUTED_VALUE"""),"Partner")</f>
        <v>Partner</v>
      </c>
      <c r="C1010" s="42" t="str">
        <f>IFERROR(__xludf.DUMMYFUNCTION("""COMPUTED_VALUE"""),"Elle Chivas")</f>
        <v>Elle Chivas</v>
      </c>
      <c r="D1010" s="42" t="str">
        <f>IFERROR(__xludf.DUMMYFUNCTION("""COMPUTED_VALUE"""),"Momon")</f>
        <v>Momon</v>
      </c>
      <c r="E1010" s="42" t="str">
        <f>IFERROR(__xludf.DUMMYFUNCTION("""COMPUTED_VALUE"""),"-")</f>
        <v>-</v>
      </c>
      <c r="F1010" s="42" t="str">
        <f>IFERROR(__xludf.DUMMYFUNCTION("""COMPUTED_VALUE"""),"-")</f>
        <v>-</v>
      </c>
      <c r="G1010" s="42" t="str">
        <f>IFERROR(__xludf.DUMMYFUNCTION("""COMPUTED_VALUE"""),"None")</f>
        <v>None</v>
      </c>
      <c r="H1010" s="42" t="str">
        <f>IFERROR(__xludf.DUMMYFUNCTION("""COMPUTED_VALUE"""),"Faithful Devotion")</f>
        <v>Faithful Devotion</v>
      </c>
      <c r="I1010" s="43" t="str">
        <f>IFERROR(__xludf.DUMMYFUNCTION("""COMPUTED_VALUE"""),"[SEND THIS CARD TO THE DISCARD PILE] (Battle) Turn 1 page of your opponent's Spell Book during the Battle when your opponent Attacks (turning pages does not negate SPELL cards in the Battle).")</f>
        <v>[SEND THIS CARD TO THE DISCARD PILE] (Battle) Turn 1 page of your opponent's Spell Book during the Battle when your opponent Attacks (turning pages does not negate SPELL cards in the Battle).</v>
      </c>
      <c r="J1010" s="42" t="str">
        <f>IFERROR(__xludf.DUMMYFUNCTION("""COMPUTED_VALUE"""),"-")</f>
        <v>-</v>
      </c>
      <c r="K1010" s="42" t="str">
        <f>IFERROR(__xludf.DUMMYFUNCTION("""COMPUTED_VALUE"""),"-")</f>
        <v>-</v>
      </c>
      <c r="L1010" s="42" t="str">
        <f>IFERROR(__xludf.DUMMYFUNCTION("""COMPUTED_VALUE"""),"-")</f>
        <v>-</v>
      </c>
      <c r="M1010" s="42" t="str">
        <f>IFERROR(__xludf.DUMMYFUNCTION("""COMPUTED_VALUE"""),"[C]")</f>
        <v>[C]</v>
      </c>
      <c r="N1010" s="42" t="str">
        <f>IFERROR(__xludf.DUMMYFUNCTION("""COMPUTED_VALUE"""),"""God, please protect us!""")</f>
        <v>"God, please protect us!"</v>
      </c>
      <c r="O1010" s="42"/>
      <c r="P1010" s="42"/>
      <c r="Q1010" s="42"/>
      <c r="R1010" s="42"/>
      <c r="S1010" s="42"/>
      <c r="T1010" s="42"/>
      <c r="U1010" s="42"/>
      <c r="V1010" s="42"/>
      <c r="W1010" s="42"/>
      <c r="X1010" s="42"/>
      <c r="Y1010" s="42"/>
      <c r="Z1010" s="42"/>
    </row>
    <row r="1011">
      <c r="A1011" s="41" t="str">
        <f>IFERROR(__xludf.DUMMYFUNCTION("""COMPUTED_VALUE"""),"P-136")</f>
        <v>P-136</v>
      </c>
      <c r="B1011" s="42" t="str">
        <f>IFERROR(__xludf.DUMMYFUNCTION("""COMPUTED_VALUE"""),"Partner")</f>
        <v>Partner</v>
      </c>
      <c r="C1011" s="42" t="str">
        <f>IFERROR(__xludf.DUMMYFUNCTION("""COMPUTED_VALUE"""),"Kars")</f>
        <v>Kars</v>
      </c>
      <c r="D1011" s="42" t="str">
        <f>IFERROR(__xludf.DUMMYFUNCTION("""COMPUTED_VALUE"""),"Buzarai")</f>
        <v>Buzarai</v>
      </c>
      <c r="E1011" s="42" t="str">
        <f>IFERROR(__xludf.DUMMYFUNCTION("""COMPUTED_VALUE"""),"-")</f>
        <v>-</v>
      </c>
      <c r="F1011" s="42" t="str">
        <f>IFERROR(__xludf.DUMMYFUNCTION("""COMPUTED_VALUE"""),"-")</f>
        <v>-</v>
      </c>
      <c r="G1011" s="42" t="str">
        <f>IFERROR(__xludf.DUMMYFUNCTION("""COMPUTED_VALUE"""),"None")</f>
        <v>None</v>
      </c>
      <c r="H1011" s="42" t="str">
        <f>IFERROR(__xludf.DUMMYFUNCTION("""COMPUTED_VALUE"""),"Decisive Blow")</f>
        <v>Decisive Blow</v>
      </c>
      <c r="I1011" s="43" t="str">
        <f>IFERROR(__xludf.DUMMYFUNCTION("""COMPUTED_VALUE"""),"[SEND THIS CARD TO THE DISCARD PILE] [STANDBY] The MP cost of the next SPELL card you play for your Buzarai MAMODO card during this turn is considered to be 0.")</f>
        <v>[SEND THIS CARD TO THE DISCARD PILE] [STANDBY] The MP cost of the next SPELL card you play for your Buzarai MAMODO card during this turn is considered to be 0.</v>
      </c>
      <c r="J1011" s="42" t="str">
        <f>IFERROR(__xludf.DUMMYFUNCTION("""COMPUTED_VALUE"""),"-")</f>
        <v>-</v>
      </c>
      <c r="K1011" s="42" t="str">
        <f>IFERROR(__xludf.DUMMYFUNCTION("""COMPUTED_VALUE"""),"-")</f>
        <v>-</v>
      </c>
      <c r="L1011" s="42" t="str">
        <f>IFERROR(__xludf.DUMMYFUNCTION("""COMPUTED_VALUE"""),"-")</f>
        <v>-</v>
      </c>
      <c r="M1011" s="42" t="str">
        <f>IFERROR(__xludf.DUMMYFUNCTION("""COMPUTED_VALUE"""),"[C]")</f>
        <v>[C]</v>
      </c>
      <c r="N1011" s="42" t="str">
        <f>IFERROR(__xludf.DUMMYFUNCTION("""COMPUTED_VALUE"""),"""I'm gonna shoot them down...with one last Dioga spell!""")</f>
        <v>"I'm gonna shoot them down...with one last Dioga spell!"</v>
      </c>
      <c r="O1011" s="42"/>
      <c r="P1011" s="42"/>
      <c r="Q1011" s="42"/>
      <c r="R1011" s="42"/>
      <c r="S1011" s="42"/>
      <c r="T1011" s="42"/>
      <c r="U1011" s="42"/>
      <c r="V1011" s="42"/>
      <c r="W1011" s="42"/>
      <c r="X1011" s="42"/>
      <c r="Y1011" s="42"/>
      <c r="Z1011" s="42"/>
    </row>
    <row r="1012">
      <c r="A1012" s="41" t="str">
        <f>IFERROR(__xludf.DUMMYFUNCTION("""COMPUTED_VALUE"""),"P-137")</f>
        <v>P-137</v>
      </c>
      <c r="B1012" s="42" t="str">
        <f>IFERROR(__xludf.DUMMYFUNCTION("""COMPUTED_VALUE"""),"Partner")</f>
        <v>Partner</v>
      </c>
      <c r="C1012" s="42" t="str">
        <f>IFERROR(__xludf.DUMMYFUNCTION("""COMPUTED_VALUE"""),"Berun")</f>
        <v>Berun</v>
      </c>
      <c r="D1012" s="42" t="str">
        <f>IFERROR(__xludf.DUMMYFUNCTION("""COMPUTED_VALUE"""),"Keith")</f>
        <v>Keith</v>
      </c>
      <c r="E1012" s="42" t="str">
        <f>IFERROR(__xludf.DUMMYFUNCTION("""COMPUTED_VALUE"""),"-")</f>
        <v>-</v>
      </c>
      <c r="F1012" s="42" t="str">
        <f>IFERROR(__xludf.DUMMYFUNCTION("""COMPUTED_VALUE"""),"-")</f>
        <v>-</v>
      </c>
      <c r="G1012" s="42" t="str">
        <f>IFERROR(__xludf.DUMMYFUNCTION("""COMPUTED_VALUE"""),"None")</f>
        <v>None</v>
      </c>
      <c r="H1012" s="42" t="str">
        <f>IFERROR(__xludf.DUMMYFUNCTION("""COMPUTED_VALUE"""),"Film Director")</f>
        <v>Film Director</v>
      </c>
      <c r="I1012" s="43" t="str">
        <f>IFERROR(__xludf.DUMMYFUNCTION("""COMPUTED_VALUE"""),"[IN PLAY] Your opponent cannot move cards from their Discard Pile into play or into empty pages of their Spell Book.")</f>
        <v>[IN PLAY] Your opponent cannot move cards from their Discard Pile into play or into empty pages of their Spell Book.</v>
      </c>
      <c r="J1012" s="42" t="str">
        <f>IFERROR(__xludf.DUMMYFUNCTION("""COMPUTED_VALUE"""),"-")</f>
        <v>-</v>
      </c>
      <c r="K1012" s="42" t="str">
        <f>IFERROR(__xludf.DUMMYFUNCTION("""COMPUTED_VALUE"""),"-")</f>
        <v>-</v>
      </c>
      <c r="L1012" s="42" t="str">
        <f>IFERROR(__xludf.DUMMYFUNCTION("""COMPUTED_VALUE"""),"-")</f>
        <v>-</v>
      </c>
      <c r="M1012" s="42" t="str">
        <f>IFERROR(__xludf.DUMMYFUNCTION("""COMPUTED_VALUE"""),"[U]")</f>
        <v>[U]</v>
      </c>
      <c r="N1012" s="42" t="str">
        <f>IFERROR(__xludf.DUMMYFUNCTION("""COMPUTED_VALUE"""),"""Sorry, Keith...force of habit as a film director...""")</f>
        <v>"Sorry, Keith...force of habit as a film director..."</v>
      </c>
      <c r="O1012" s="42"/>
      <c r="P1012" s="42"/>
      <c r="Q1012" s="42"/>
      <c r="R1012" s="42"/>
      <c r="S1012" s="42"/>
      <c r="T1012" s="42"/>
      <c r="U1012" s="42"/>
      <c r="V1012" s="42"/>
      <c r="W1012" s="42"/>
      <c r="X1012" s="42"/>
      <c r="Y1012" s="42"/>
      <c r="Z1012" s="42"/>
    </row>
    <row r="1013">
      <c r="A1013" s="41" t="str">
        <f>IFERROR(__xludf.DUMMYFUNCTION("""COMPUTED_VALUE"""),"P-138")</f>
        <v>P-138</v>
      </c>
      <c r="B1013" s="42" t="str">
        <f>IFERROR(__xludf.DUMMYFUNCTION("""COMPUTED_VALUE"""),"Partner")</f>
        <v>Partner</v>
      </c>
      <c r="C1013" s="42" t="str">
        <f>IFERROR(__xludf.DUMMYFUNCTION("""COMPUTED_VALUE"""),"Nicole")</f>
        <v>Nicole</v>
      </c>
      <c r="D1013" s="42" t="str">
        <f>IFERROR(__xludf.DUMMYFUNCTION("""COMPUTED_VALUE"""),"Cherish")</f>
        <v>Cherish</v>
      </c>
      <c r="E1013" s="42" t="str">
        <f>IFERROR(__xludf.DUMMYFUNCTION("""COMPUTED_VALUE"""),"-")</f>
        <v>-</v>
      </c>
      <c r="F1013" s="42" t="str">
        <f>IFERROR(__xludf.DUMMYFUNCTION("""COMPUTED_VALUE"""),"-")</f>
        <v>-</v>
      </c>
      <c r="G1013" s="42" t="str">
        <f>IFERROR(__xludf.DUMMYFUNCTION("""COMPUTED_VALUE"""),"None")</f>
        <v>None</v>
      </c>
      <c r="H1013" s="42" t="str">
        <f>IFERROR(__xludf.DUMMYFUNCTION("""COMPUTED_VALUE"""),"On The Road to Despair")</f>
        <v>On The Road to Despair</v>
      </c>
      <c r="I1013" s="43" t="str">
        <f>IFERROR(__xludf.DUMMYFUNCTION("""COMPUTED_VALUE"""),"[SEND THIS CARD TO THE DISCARD PILE] Send as many of  in-play cards as you desire (except MAMODO cards) to the Discard Pile. Then, get MP equal to the number of cards sent to the Discard Pile by this effect (except this card) times 1.")</f>
        <v>[SEND THIS CARD TO THE DISCARD PILE] Send as many of  in-play cards as you desire (except MAMODO cards) to the Discard Pile. Then, get MP equal to the number of cards sent to the Discard Pile by this effect (except this card) times 1.</v>
      </c>
      <c r="J1013" s="42" t="str">
        <f>IFERROR(__xludf.DUMMYFUNCTION("""COMPUTED_VALUE"""),"-")</f>
        <v>-</v>
      </c>
      <c r="K1013" s="42" t="str">
        <f>IFERROR(__xludf.DUMMYFUNCTION("""COMPUTED_VALUE"""),"-")</f>
        <v>-</v>
      </c>
      <c r="L1013" s="42" t="str">
        <f>IFERROR(__xludf.DUMMYFUNCTION("""COMPUTED_VALUE"""),"-")</f>
        <v>-</v>
      </c>
      <c r="M1013" s="42" t="str">
        <f>IFERROR(__xludf.DUMMYFUNCTION("""COMPUTED_VALUE"""),"[R]")</f>
        <v>[R]</v>
      </c>
      <c r="N1013" s="42" t="str">
        <f>IFERROR(__xludf.DUMMYFUNCTION("""COMPUTED_VALUE"""),"""Even if we do break the seal now...we'll only be putting ourselves on the road to despair...""")</f>
        <v>"Even if we do break the seal now...we'll only be putting ourselves on the road to despair..."</v>
      </c>
      <c r="O1013" s="42"/>
      <c r="P1013" s="42"/>
      <c r="Q1013" s="42"/>
      <c r="R1013" s="42"/>
      <c r="S1013" s="42"/>
      <c r="T1013" s="42"/>
      <c r="U1013" s="42"/>
      <c r="V1013" s="42"/>
      <c r="W1013" s="42"/>
      <c r="X1013" s="42"/>
      <c r="Y1013" s="42"/>
      <c r="Z1013" s="42"/>
    </row>
    <row r="1014">
      <c r="A1014" s="41" t="str">
        <f>IFERROR(__xludf.DUMMYFUNCTION("""COMPUTED_VALUE"""),"P-138")</f>
        <v>P-138</v>
      </c>
      <c r="B1014" s="42" t="str">
        <f>IFERROR(__xludf.DUMMYFUNCTION("""COMPUTED_VALUE"""),"Partner")</f>
        <v>Partner</v>
      </c>
      <c r="C1014" s="42" t="str">
        <f>IFERROR(__xludf.DUMMYFUNCTION("""COMPUTED_VALUE"""),"Nicole")</f>
        <v>Nicole</v>
      </c>
      <c r="D1014" s="42" t="str">
        <f>IFERROR(__xludf.DUMMYFUNCTION("""COMPUTED_VALUE"""),"Cherish")</f>
        <v>Cherish</v>
      </c>
      <c r="E1014" s="42" t="str">
        <f>IFERROR(__xludf.DUMMYFUNCTION("""COMPUTED_VALUE"""),"-")</f>
        <v>-</v>
      </c>
      <c r="F1014" s="42" t="str">
        <f>IFERROR(__xludf.DUMMYFUNCTION("""COMPUTED_VALUE"""),"-")</f>
        <v>-</v>
      </c>
      <c r="G1014" s="42" t="str">
        <f>IFERROR(__xludf.DUMMYFUNCTION("""COMPUTED_VALUE"""),"None")</f>
        <v>None</v>
      </c>
      <c r="H1014" s="42" t="str">
        <f>IFERROR(__xludf.DUMMYFUNCTION("""COMPUTED_VALUE"""),"On The Road to Despair")</f>
        <v>On The Road to Despair</v>
      </c>
      <c r="I1014" s="43" t="str">
        <f>IFERROR(__xludf.DUMMYFUNCTION("""COMPUTED_VALUE"""),"[SEND THIS CARD TO THE DISCARD PILE] Send as many of  in-play cards as you desire (except MAMODO cards) to the Discard Pile. Then, get MP equal to the number of cards sent to the Discard Pile by this effect (except this card) times 1.")</f>
        <v>[SEND THIS CARD TO THE DISCARD PILE] Send as many of  in-play cards as you desire (except MAMODO cards) to the Discard Pile. Then, get MP equal to the number of cards sent to the Discard Pile by this effect (except this card) times 1.</v>
      </c>
      <c r="J1014" s="42" t="str">
        <f>IFERROR(__xludf.DUMMYFUNCTION("""COMPUTED_VALUE"""),"-")</f>
        <v>-</v>
      </c>
      <c r="K1014" s="42" t="str">
        <f>IFERROR(__xludf.DUMMYFUNCTION("""COMPUTED_VALUE"""),"-")</f>
        <v>-</v>
      </c>
      <c r="L1014" s="42" t="str">
        <f>IFERROR(__xludf.DUMMYFUNCTION("""COMPUTED_VALUE"""),"-")</f>
        <v>-</v>
      </c>
      <c r="M1014" s="42" t="str">
        <f>IFERROR(__xludf.DUMMYFUNCTION("""COMPUTED_VALUE"""),"[R]")</f>
        <v>[R]</v>
      </c>
      <c r="N1014" s="42" t="str">
        <f>IFERROR(__xludf.DUMMYFUNCTION("""COMPUTED_VALUE"""),"""Even if we do break the seal now...we'll only be putting ourselves on the road to despair...""")</f>
        <v>"Even if we do break the seal now...we'll only be putting ourselves on the road to despair..."</v>
      </c>
      <c r="O1014" s="42"/>
      <c r="P1014" s="42"/>
      <c r="Q1014" s="42"/>
      <c r="R1014" s="42"/>
      <c r="S1014" s="42"/>
      <c r="T1014" s="42"/>
      <c r="U1014" s="42"/>
      <c r="V1014" s="42"/>
      <c r="W1014" s="42"/>
      <c r="X1014" s="42"/>
      <c r="Y1014" s="42"/>
      <c r="Z1014" s="42"/>
    </row>
    <row r="1015">
      <c r="A1015" s="41" t="str">
        <f>IFERROR(__xludf.DUMMYFUNCTION("""COMPUTED_VALUE"""),"P-139")</f>
        <v>P-139</v>
      </c>
      <c r="B1015" s="42" t="str">
        <f>IFERROR(__xludf.DUMMYFUNCTION("""COMPUTED_VALUE"""),"Partner")</f>
        <v>Partner</v>
      </c>
      <c r="C1015" s="42" t="str">
        <f>IFERROR(__xludf.DUMMYFUNCTION("""COMPUTED_VALUE"""),"Li-en")</f>
        <v>Li-en</v>
      </c>
      <c r="D1015" s="42" t="str">
        <f>IFERROR(__xludf.DUMMYFUNCTION("""COMPUTED_VALUE"""),"Wonrei")</f>
        <v>Wonrei</v>
      </c>
      <c r="E1015" s="42" t="str">
        <f>IFERROR(__xludf.DUMMYFUNCTION("""COMPUTED_VALUE"""),"-")</f>
        <v>-</v>
      </c>
      <c r="F1015" s="42" t="str">
        <f>IFERROR(__xludf.DUMMYFUNCTION("""COMPUTED_VALUE"""),"-")</f>
        <v>-</v>
      </c>
      <c r="G1015" s="42" t="str">
        <f>IFERROR(__xludf.DUMMYFUNCTION("""COMPUTED_VALUE"""),"None")</f>
        <v>None</v>
      </c>
      <c r="H1015" s="42" t="str">
        <f>IFERROR(__xludf.DUMMYFUNCTION("""COMPUTED_VALUE"""),"On Her Sickbed")</f>
        <v>On Her Sickbed</v>
      </c>
      <c r="I1015" s="43" t="str">
        <f>IFERROR(__xludf.DUMMYFUNCTION("""COMPUTED_VALUE"""),"[IN PLAY] Your opponent cannot send  in-play MAMODO and PARTNER cards to the Discard Pile when they are attached to each other.")</f>
        <v>[IN PLAY] Your opponent cannot send  in-play MAMODO and PARTNER cards to the Discard Pile when they are attached to each other.</v>
      </c>
      <c r="J1015" s="42" t="str">
        <f>IFERROR(__xludf.DUMMYFUNCTION("""COMPUTED_VALUE"""),"-")</f>
        <v>-</v>
      </c>
      <c r="K1015" s="42" t="str">
        <f>IFERROR(__xludf.DUMMYFUNCTION("""COMPUTED_VALUE"""),"-")</f>
        <v>-</v>
      </c>
      <c r="L1015" s="42" t="str">
        <f>IFERROR(__xludf.DUMMYFUNCTION("""COMPUTED_VALUE"""),"-")</f>
        <v>-</v>
      </c>
      <c r="M1015" s="42" t="str">
        <f>IFERROR(__xludf.DUMMYFUNCTION("""COMPUTED_VALUE"""),"[R]")</f>
        <v>[R]</v>
      </c>
      <c r="N1015" s="42" t="str">
        <f>IFERROR(__xludf.DUMMYFUNCTION("""COMPUTED_VALUE"""),"""Don't do this, Wonrei. You can't follow their orders. If you do, something terrible will happen...""")</f>
        <v>"Don't do this, Wonrei. You can't follow their orders. If you do, something terrible will happen..."</v>
      </c>
      <c r="O1015" s="42"/>
      <c r="P1015" s="42"/>
      <c r="Q1015" s="42"/>
      <c r="R1015" s="42"/>
      <c r="S1015" s="42"/>
      <c r="T1015" s="42"/>
      <c r="U1015" s="42"/>
      <c r="V1015" s="42"/>
      <c r="W1015" s="42"/>
      <c r="X1015" s="42"/>
      <c r="Y1015" s="42"/>
      <c r="Z1015" s="42"/>
    </row>
    <row r="1016">
      <c r="A1016" s="41" t="str">
        <f>IFERROR(__xludf.DUMMYFUNCTION("""COMPUTED_VALUE"""),"P-139")</f>
        <v>P-139</v>
      </c>
      <c r="B1016" s="42" t="str">
        <f>IFERROR(__xludf.DUMMYFUNCTION("""COMPUTED_VALUE"""),"Partner")</f>
        <v>Partner</v>
      </c>
      <c r="C1016" s="42" t="str">
        <f>IFERROR(__xludf.DUMMYFUNCTION("""COMPUTED_VALUE"""),"Li-en")</f>
        <v>Li-en</v>
      </c>
      <c r="D1016" s="42" t="str">
        <f>IFERROR(__xludf.DUMMYFUNCTION("""COMPUTED_VALUE"""),"Wonrei")</f>
        <v>Wonrei</v>
      </c>
      <c r="E1016" s="42" t="str">
        <f>IFERROR(__xludf.DUMMYFUNCTION("""COMPUTED_VALUE"""),"-")</f>
        <v>-</v>
      </c>
      <c r="F1016" s="42" t="str">
        <f>IFERROR(__xludf.DUMMYFUNCTION("""COMPUTED_VALUE"""),"-")</f>
        <v>-</v>
      </c>
      <c r="G1016" s="42" t="str">
        <f>IFERROR(__xludf.DUMMYFUNCTION("""COMPUTED_VALUE"""),"None")</f>
        <v>None</v>
      </c>
      <c r="H1016" s="42" t="str">
        <f>IFERROR(__xludf.DUMMYFUNCTION("""COMPUTED_VALUE"""),"On Her Sickbed")</f>
        <v>On Her Sickbed</v>
      </c>
      <c r="I1016" s="43" t="str">
        <f>IFERROR(__xludf.DUMMYFUNCTION("""COMPUTED_VALUE"""),"[IN PLAY] Your opponent cannot send  in-play MAMODO and PARTNER cards to the Discard Pile when they are attached to each other.")</f>
        <v>[IN PLAY] Your opponent cannot send  in-play MAMODO and PARTNER cards to the Discard Pile when they are attached to each other.</v>
      </c>
      <c r="J1016" s="42" t="str">
        <f>IFERROR(__xludf.DUMMYFUNCTION("""COMPUTED_VALUE"""),"-")</f>
        <v>-</v>
      </c>
      <c r="K1016" s="42" t="str">
        <f>IFERROR(__xludf.DUMMYFUNCTION("""COMPUTED_VALUE"""),"-")</f>
        <v>-</v>
      </c>
      <c r="L1016" s="42" t="str">
        <f>IFERROR(__xludf.DUMMYFUNCTION("""COMPUTED_VALUE"""),"-")</f>
        <v>-</v>
      </c>
      <c r="M1016" s="42" t="str">
        <f>IFERROR(__xludf.DUMMYFUNCTION("""COMPUTED_VALUE"""),"[R]")</f>
        <v>[R]</v>
      </c>
      <c r="N1016" s="42" t="str">
        <f>IFERROR(__xludf.DUMMYFUNCTION("""COMPUTED_VALUE"""),"""Don't do this, Wonrei. You can't follow their orders. If you do, something terrible will happen...""")</f>
        <v>"Don't do this, Wonrei. You can't follow their orders. If you do, something terrible will happen..."</v>
      </c>
      <c r="O1016" s="42"/>
      <c r="P1016" s="42"/>
      <c r="Q1016" s="42"/>
      <c r="R1016" s="42"/>
      <c r="S1016" s="42"/>
      <c r="T1016" s="42"/>
      <c r="U1016" s="42"/>
      <c r="V1016" s="42"/>
      <c r="W1016" s="42"/>
      <c r="X1016" s="42"/>
      <c r="Y1016" s="42"/>
      <c r="Z1016" s="42"/>
    </row>
    <row r="1017">
      <c r="A1017" s="41" t="str">
        <f>IFERROR(__xludf.DUMMYFUNCTION("""COMPUTED_VALUE"""),"P-140")</f>
        <v>P-140</v>
      </c>
      <c r="B1017" s="42" t="str">
        <f>IFERROR(__xludf.DUMMYFUNCTION("""COMPUTED_VALUE"""),"Partner")</f>
        <v>Partner</v>
      </c>
      <c r="C1017" s="42" t="str">
        <f>IFERROR(__xludf.DUMMYFUNCTION("""COMPUTED_VALUE"""),"Alishie")</f>
        <v>Alishie</v>
      </c>
      <c r="D1017" s="42" t="str">
        <f>IFERROR(__xludf.DUMMYFUNCTION("""COMPUTED_VALUE"""),"Riya")</f>
        <v>Riya</v>
      </c>
      <c r="E1017" s="42" t="str">
        <f>IFERROR(__xludf.DUMMYFUNCTION("""COMPUTED_VALUE"""),"-")</f>
        <v>-</v>
      </c>
      <c r="F1017" s="42" t="str">
        <f>IFERROR(__xludf.DUMMYFUNCTION("""COMPUTED_VALUE"""),"-")</f>
        <v>-</v>
      </c>
      <c r="G1017" s="42" t="str">
        <f>IFERROR(__xludf.DUMMYFUNCTION("""COMPUTED_VALUE"""),"None")</f>
        <v>None</v>
      </c>
      <c r="H1017" s="42" t="str">
        <f>IFERROR(__xludf.DUMMYFUNCTION("""COMPUTED_VALUE"""),"Prepared To Make A Choice")</f>
        <v>Prepared To Make A Choice</v>
      </c>
      <c r="I1017" s="43" t="str">
        <f>IFERROR(__xludf.DUMMYFUNCTION("""COMPUTED_VALUE"""),"[SEND THIS CARD TO THE DISCARD PILE] (Battle) Negate the SPELL card your opponent just played in the Battle. Then, reduce  MP by an amount equal to the MP cost of the SPELL card you negated.")</f>
        <v>[SEND THIS CARD TO THE DISCARD PILE] (Battle) Negate the SPELL card your opponent just played in the Battle. Then, reduce  MP by an amount equal to the MP cost of the SPELL card you negated.</v>
      </c>
      <c r="J1017" s="42" t="str">
        <f>IFERROR(__xludf.DUMMYFUNCTION("""COMPUTED_VALUE"""),"-")</f>
        <v>-</v>
      </c>
      <c r="K1017" s="42" t="str">
        <f>IFERROR(__xludf.DUMMYFUNCTION("""COMPUTED_VALUE"""),"-")</f>
        <v>-</v>
      </c>
      <c r="L1017" s="42" t="str">
        <f>IFERROR(__xludf.DUMMYFUNCTION("""COMPUTED_VALUE"""),"-")</f>
        <v>-</v>
      </c>
      <c r="M1017" s="42" t="str">
        <f>IFERROR(__xludf.DUMMYFUNCTION("""COMPUTED_VALUE"""),"[R]")</f>
        <v>[R]</v>
      </c>
      <c r="N1017" s="42" t="str">
        <f>IFERROR(__xludf.DUMMYFUNCTION("""COMPUTED_VALUE"""),"""Hmm... ""Not sure,"" did you say? Why don't you quit being so indecisive?""")</f>
        <v>"Hmm... "Not sure," did you say? Why don't you quit being so indecisive?"</v>
      </c>
      <c r="O1017" s="42"/>
      <c r="P1017" s="42"/>
      <c r="Q1017" s="42"/>
      <c r="R1017" s="42"/>
      <c r="S1017" s="42"/>
      <c r="T1017" s="42"/>
      <c r="U1017" s="42"/>
      <c r="V1017" s="42"/>
      <c r="W1017" s="42"/>
      <c r="X1017" s="42"/>
      <c r="Y1017" s="42"/>
      <c r="Z1017" s="42"/>
    </row>
    <row r="1018">
      <c r="A1018" s="41" t="str">
        <f>IFERROR(__xludf.DUMMYFUNCTION("""COMPUTED_VALUE"""),"P-140")</f>
        <v>P-140</v>
      </c>
      <c r="B1018" s="42" t="str">
        <f>IFERROR(__xludf.DUMMYFUNCTION("""COMPUTED_VALUE"""),"Partner")</f>
        <v>Partner</v>
      </c>
      <c r="C1018" s="42" t="str">
        <f>IFERROR(__xludf.DUMMYFUNCTION("""COMPUTED_VALUE"""),"Alishie")</f>
        <v>Alishie</v>
      </c>
      <c r="D1018" s="42" t="str">
        <f>IFERROR(__xludf.DUMMYFUNCTION("""COMPUTED_VALUE"""),"Riya")</f>
        <v>Riya</v>
      </c>
      <c r="E1018" s="42" t="str">
        <f>IFERROR(__xludf.DUMMYFUNCTION("""COMPUTED_VALUE"""),"-")</f>
        <v>-</v>
      </c>
      <c r="F1018" s="42" t="str">
        <f>IFERROR(__xludf.DUMMYFUNCTION("""COMPUTED_VALUE"""),"-")</f>
        <v>-</v>
      </c>
      <c r="G1018" s="42" t="str">
        <f>IFERROR(__xludf.DUMMYFUNCTION("""COMPUTED_VALUE"""),"None")</f>
        <v>None</v>
      </c>
      <c r="H1018" s="42" t="str">
        <f>IFERROR(__xludf.DUMMYFUNCTION("""COMPUTED_VALUE"""),"Prepared To Make A Choice")</f>
        <v>Prepared To Make A Choice</v>
      </c>
      <c r="I1018" s="43" t="str">
        <f>IFERROR(__xludf.DUMMYFUNCTION("""COMPUTED_VALUE"""),"[SEND THIS CARD TO THE DISCARD PILE] (Battle) Negate the SPELL card your opponent just played in the Battle. Then, reduce  MP by an amount equal to the MP cost of the SPELL card you negated.")</f>
        <v>[SEND THIS CARD TO THE DISCARD PILE] (Battle) Negate the SPELL card your opponent just played in the Battle. Then, reduce  MP by an amount equal to the MP cost of the SPELL card you negated.</v>
      </c>
      <c r="J1018" s="42" t="str">
        <f>IFERROR(__xludf.DUMMYFUNCTION("""COMPUTED_VALUE"""),"-")</f>
        <v>-</v>
      </c>
      <c r="K1018" s="42" t="str">
        <f>IFERROR(__xludf.DUMMYFUNCTION("""COMPUTED_VALUE"""),"-")</f>
        <v>-</v>
      </c>
      <c r="L1018" s="42" t="str">
        <f>IFERROR(__xludf.DUMMYFUNCTION("""COMPUTED_VALUE"""),"-")</f>
        <v>-</v>
      </c>
      <c r="M1018" s="42" t="str">
        <f>IFERROR(__xludf.DUMMYFUNCTION("""COMPUTED_VALUE"""),"[R]")</f>
        <v>[R]</v>
      </c>
      <c r="N1018" s="42" t="str">
        <f>IFERROR(__xludf.DUMMYFUNCTION("""COMPUTED_VALUE"""),"""Hmm... ""Not sure,"" did you say? Why don't you quit being so indecisive?""")</f>
        <v>"Hmm... "Not sure," did you say? Why don't you quit being so indecisive?"</v>
      </c>
      <c r="O1018" s="42"/>
      <c r="P1018" s="42"/>
      <c r="Q1018" s="42"/>
      <c r="R1018" s="42"/>
      <c r="S1018" s="42"/>
      <c r="T1018" s="42"/>
      <c r="U1018" s="42"/>
      <c r="V1018" s="42"/>
      <c r="W1018" s="42"/>
      <c r="X1018" s="42"/>
      <c r="Y1018" s="42"/>
      <c r="Z1018" s="42"/>
    </row>
    <row r="1019">
      <c r="A1019" s="41" t="str">
        <f>IFERROR(__xludf.DUMMYFUNCTION("""COMPUTED_VALUE"""),"P-141")</f>
        <v>P-141</v>
      </c>
      <c r="B1019" s="42" t="str">
        <f>IFERROR(__xludf.DUMMYFUNCTION("""COMPUTED_VALUE"""),"Partner")</f>
        <v>Partner</v>
      </c>
      <c r="C1019" s="42" t="str">
        <f>IFERROR(__xludf.DUMMYFUNCTION("""COMPUTED_VALUE"""),"Kiyo Takamine")</f>
        <v>Kiyo Takamine</v>
      </c>
      <c r="D1019" s="42" t="str">
        <f>IFERROR(__xludf.DUMMYFUNCTION("""COMPUTED_VALUE"""),"Zatch Bell")</f>
        <v>Zatch Bell</v>
      </c>
      <c r="E1019" s="42" t="str">
        <f>IFERROR(__xludf.DUMMYFUNCTION("""COMPUTED_VALUE"""),"-")</f>
        <v>-</v>
      </c>
      <c r="F1019" s="42" t="str">
        <f>IFERROR(__xludf.DUMMYFUNCTION("""COMPUTED_VALUE"""),"-")</f>
        <v>-</v>
      </c>
      <c r="G1019" s="42" t="str">
        <f>IFERROR(__xludf.DUMMYFUNCTION("""COMPUTED_VALUE"""),"None")</f>
        <v>None</v>
      </c>
      <c r="H1019" s="42" t="str">
        <f>IFERROR(__xludf.DUMMYFUNCTION("""COMPUTED_VALUE"""),"My Seaside Camp")</f>
        <v>My Seaside Camp</v>
      </c>
      <c r="I1019" s="43" t="str">
        <f>IFERROR(__xludf.DUMMYFUNCTION("""COMPUTED_VALUE"""),"[SEND THIS CARD TO THE DISCARD PILE] (Cut-In) Negate the EVENT card your opponent just played with an MP cost of 2 or less.")</f>
        <v>[SEND THIS CARD TO THE DISCARD PILE] (Cut-In) Negate the EVENT card your opponent just played with an MP cost of 2 or less.</v>
      </c>
      <c r="J1019" s="42" t="str">
        <f>IFERROR(__xludf.DUMMYFUNCTION("""COMPUTED_VALUE"""),"-")</f>
        <v>-</v>
      </c>
      <c r="K1019" s="42" t="str">
        <f>IFERROR(__xludf.DUMMYFUNCTION("""COMPUTED_VALUE"""),"-")</f>
        <v>-</v>
      </c>
      <c r="L1019" s="42" t="str">
        <f>IFERROR(__xludf.DUMMYFUNCTION("""COMPUTED_VALUE"""),"-")</f>
        <v>-</v>
      </c>
      <c r="M1019" s="42" t="str">
        <f>IFERROR(__xludf.DUMMYFUNCTION("""COMPUTED_VALUE"""),"[C]")</f>
        <v>[C]</v>
      </c>
      <c r="N1019" s="42" t="str">
        <f>IFERROR(__xludf.DUMMYFUNCTION("""COMPUTED_VALUE"""),"""Give me back my time with them! Give me back the springtime of my life!""")</f>
        <v>"Give me back my time with them! Give me back the springtime of my life!"</v>
      </c>
      <c r="O1019" s="42"/>
      <c r="P1019" s="42"/>
      <c r="Q1019" s="42"/>
      <c r="R1019" s="42"/>
      <c r="S1019" s="42"/>
      <c r="T1019" s="42"/>
      <c r="U1019" s="42"/>
      <c r="V1019" s="42"/>
      <c r="W1019" s="42"/>
      <c r="X1019" s="42"/>
      <c r="Y1019" s="42"/>
      <c r="Z1019" s="42"/>
    </row>
    <row r="1020">
      <c r="A1020" s="41" t="str">
        <f>IFERROR(__xludf.DUMMYFUNCTION("""COMPUTED_VALUE"""),"P-142")</f>
        <v>P-142</v>
      </c>
      <c r="B1020" s="42" t="str">
        <f>IFERROR(__xludf.DUMMYFUNCTION("""COMPUTED_VALUE"""),"Partner")</f>
        <v>Partner</v>
      </c>
      <c r="C1020" s="42" t="str">
        <f>IFERROR(__xludf.DUMMYFUNCTION("""COMPUTED_VALUE"""),"Parco Folgore")</f>
        <v>Parco Folgore</v>
      </c>
      <c r="D1020" s="42" t="str">
        <f>IFERROR(__xludf.DUMMYFUNCTION("""COMPUTED_VALUE"""),"Kanchomé")</f>
        <v>Kanchomé</v>
      </c>
      <c r="E1020" s="42" t="str">
        <f>IFERROR(__xludf.DUMMYFUNCTION("""COMPUTED_VALUE"""),"-")</f>
        <v>-</v>
      </c>
      <c r="F1020" s="42" t="str">
        <f>IFERROR(__xludf.DUMMYFUNCTION("""COMPUTED_VALUE"""),"-")</f>
        <v>-</v>
      </c>
      <c r="G1020" s="42" t="str">
        <f>IFERROR(__xludf.DUMMYFUNCTION("""COMPUTED_VALUE"""),"None")</f>
        <v>None</v>
      </c>
      <c r="H1020" s="42" t="str">
        <f>IFERROR(__xludf.DUMMYFUNCTION("""COMPUTED_VALUE"""),"Return Of The Hero")</f>
        <v>Return Of The Hero</v>
      </c>
      <c r="I1020" s="43" t="str">
        <f>IFERROR(__xludf.DUMMYFUNCTION("""COMPUTED_VALUE"""),"[SEND THIS CARD TO THE DISCARD PILE] [STAY] Your opponent cannot apply cut-in effects that negate the effects of MAMODO cards during this turn.")</f>
        <v>[SEND THIS CARD TO THE DISCARD PILE] [STAY] Your opponent cannot apply cut-in effects that negate the effects of MAMODO cards during this turn.</v>
      </c>
      <c r="J1020" s="42" t="str">
        <f>IFERROR(__xludf.DUMMYFUNCTION("""COMPUTED_VALUE"""),"-")</f>
        <v>-</v>
      </c>
      <c r="K1020" s="42" t="str">
        <f>IFERROR(__xludf.DUMMYFUNCTION("""COMPUTED_VALUE"""),"-")</f>
        <v>-</v>
      </c>
      <c r="L1020" s="42" t="str">
        <f>IFERROR(__xludf.DUMMYFUNCTION("""COMPUTED_VALUE"""),"-")</f>
        <v>-</v>
      </c>
      <c r="M1020" s="42" t="str">
        <f>IFERROR(__xludf.DUMMYFUNCTION("""COMPUTED_VALUE"""),"[C]")</f>
        <v>[C]</v>
      </c>
      <c r="N1020" s="42" t="str">
        <f>IFERROR(__xludf.DUMMYFUNCTION("""COMPUTED_VALUE"""),"""I can't just sit on the sidelines while you're out here fighting with everything you've got, Kanchomé!""")</f>
        <v>"I can't just sit on the sidelines while you're out here fighting with everything you've got, Kanchomé!"</v>
      </c>
      <c r="O1020" s="42"/>
      <c r="P1020" s="42"/>
      <c r="Q1020" s="42"/>
      <c r="R1020" s="42"/>
      <c r="S1020" s="42"/>
      <c r="T1020" s="42"/>
      <c r="U1020" s="42"/>
      <c r="V1020" s="42"/>
      <c r="W1020" s="42"/>
      <c r="X1020" s="42"/>
      <c r="Y1020" s="42"/>
      <c r="Z1020" s="42"/>
    </row>
    <row r="1021">
      <c r="A1021" s="41" t="str">
        <f>IFERROR(__xludf.DUMMYFUNCTION("""COMPUTED_VALUE"""),"P-143")</f>
        <v>P-143</v>
      </c>
      <c r="B1021" s="42" t="str">
        <f>IFERROR(__xludf.DUMMYFUNCTION("""COMPUTED_VALUE"""),"Partner")</f>
        <v>Partner</v>
      </c>
      <c r="C1021" s="42" t="str">
        <f>IFERROR(__xludf.DUMMYFUNCTION("""COMPUTED_VALUE"""),"Berun")</f>
        <v>Berun</v>
      </c>
      <c r="D1021" s="42" t="str">
        <f>IFERROR(__xludf.DUMMYFUNCTION("""COMPUTED_VALUE"""),"Keith")</f>
        <v>Keith</v>
      </c>
      <c r="E1021" s="42" t="str">
        <f>IFERROR(__xludf.DUMMYFUNCTION("""COMPUTED_VALUE"""),"-")</f>
        <v>-</v>
      </c>
      <c r="F1021" s="42" t="str">
        <f>IFERROR(__xludf.DUMMYFUNCTION("""COMPUTED_VALUE"""),"-")</f>
        <v>-</v>
      </c>
      <c r="G1021" s="42" t="str">
        <f>IFERROR(__xludf.DUMMYFUNCTION("""COMPUTED_VALUE"""),"None")</f>
        <v>None</v>
      </c>
      <c r="H1021" s="42" t="str">
        <f>IFERROR(__xludf.DUMMYFUNCTION("""COMPUTED_VALUE"""),"Craving Potato Tempura")</f>
        <v>Craving Potato Tempura</v>
      </c>
      <c r="I1021" s="43" t="str">
        <f>IFERROR(__xludf.DUMMYFUNCTION("""COMPUTED_VALUE"""),"[SEND THIS CARD TO THE DISCARD PILE] [STAY] When you have 0 MP, you can use your opponent's MP to pay the MP costs of your SPELL cards during this turn.")</f>
        <v>[SEND THIS CARD TO THE DISCARD PILE] [STAY] When you have 0 MP, you can use your opponent's MP to pay the MP costs of your SPELL cards during this turn.</v>
      </c>
      <c r="J1021" s="42" t="str">
        <f>IFERROR(__xludf.DUMMYFUNCTION("""COMPUTED_VALUE"""),"-")</f>
        <v>-</v>
      </c>
      <c r="K1021" s="42" t="str">
        <f>IFERROR(__xludf.DUMMYFUNCTION("""COMPUTED_VALUE"""),"-")</f>
        <v>-</v>
      </c>
      <c r="L1021" s="42" t="str">
        <f>IFERROR(__xludf.DUMMYFUNCTION("""COMPUTED_VALUE"""),"-")</f>
        <v>-</v>
      </c>
      <c r="M1021" s="42" t="str">
        <f>IFERROR(__xludf.DUMMYFUNCTION("""COMPUTED_VALUE"""),"[C]")</f>
        <v>[C]</v>
      </c>
      <c r="N1021" s="42" t="str">
        <f>IFERROR(__xludf.DUMMYFUNCTION("""COMPUTED_VALUE"""),"""Agh... I'm all out of strength from within!""")</f>
        <v>"Agh... I'm all out of strength from within!"</v>
      </c>
      <c r="O1021" s="42"/>
      <c r="P1021" s="42"/>
      <c r="Q1021" s="42"/>
      <c r="R1021" s="42"/>
      <c r="S1021" s="42"/>
      <c r="T1021" s="42"/>
      <c r="U1021" s="42"/>
      <c r="V1021" s="42"/>
      <c r="W1021" s="42"/>
      <c r="X1021" s="42"/>
      <c r="Y1021" s="42"/>
      <c r="Z1021" s="42"/>
    </row>
    <row r="1022">
      <c r="A1022" s="41" t="str">
        <f>IFERROR(__xludf.DUMMYFUNCTION("""COMPUTED_VALUE"""),"P-144")</f>
        <v>P-144</v>
      </c>
      <c r="B1022" s="42" t="str">
        <f>IFERROR(__xludf.DUMMYFUNCTION("""COMPUTED_VALUE"""),"Partner")</f>
        <v>Partner</v>
      </c>
      <c r="C1022" s="42" t="str">
        <f>IFERROR(__xludf.DUMMYFUNCTION("""COMPUTED_VALUE"""),"Kiyo Takamine")</f>
        <v>Kiyo Takamine</v>
      </c>
      <c r="D1022" s="42" t="str">
        <f>IFERROR(__xludf.DUMMYFUNCTION("""COMPUTED_VALUE"""),"Zatch Bell")</f>
        <v>Zatch Bell</v>
      </c>
      <c r="E1022" s="42" t="str">
        <f>IFERROR(__xludf.DUMMYFUNCTION("""COMPUTED_VALUE"""),"-")</f>
        <v>-</v>
      </c>
      <c r="F1022" s="42" t="str">
        <f>IFERROR(__xludf.DUMMYFUNCTION("""COMPUTED_VALUE"""),"-")</f>
        <v>-</v>
      </c>
      <c r="G1022" s="42" t="str">
        <f>IFERROR(__xludf.DUMMYFUNCTION("""COMPUTED_VALUE"""),"None")</f>
        <v>None</v>
      </c>
      <c r="H1022" s="42" t="str">
        <f>IFERROR(__xludf.DUMMYFUNCTION("""COMPUTED_VALUE"""),"We Have No Choice")</f>
        <v>We Have No Choice</v>
      </c>
      <c r="I1022" s="43" t="str">
        <f>IFERROR(__xludf.DUMMYFUNCTION("""COMPUTED_VALUE"""),"[SEND THIS CARD TO THE DISCARD PILE] Negate all [Stay] effects that are currently active during this turn.")</f>
        <v>[SEND THIS CARD TO THE DISCARD PILE] Negate all [Stay] effects that are currently active during this turn.</v>
      </c>
      <c r="J1022" s="42" t="str">
        <f>IFERROR(__xludf.DUMMYFUNCTION("""COMPUTED_VALUE"""),"-")</f>
        <v>-</v>
      </c>
      <c r="K1022" s="42" t="str">
        <f>IFERROR(__xludf.DUMMYFUNCTION("""COMPUTED_VALUE"""),"-")</f>
        <v>-</v>
      </c>
      <c r="L1022" s="42" t="str">
        <f>IFERROR(__xludf.DUMMYFUNCTION("""COMPUTED_VALUE"""),"-")</f>
        <v>-</v>
      </c>
      <c r="M1022" s="42" t="str">
        <f>IFERROR(__xludf.DUMMYFUNCTION("""COMPUTED_VALUE"""),"[C]")</f>
        <v>[C]</v>
      </c>
      <c r="N1022" s="42" t="str">
        <f>IFERROR(__xludf.DUMMYFUNCTION("""COMPUTED_VALUE"""),"""We might not have enough time... but we have no choice... I won't let any of them perish...""")</f>
        <v>"We might not have enough time... but we have no choice... I won't let any of them perish..."</v>
      </c>
      <c r="O1022" s="42"/>
      <c r="P1022" s="42"/>
      <c r="Q1022" s="42"/>
      <c r="R1022" s="42"/>
      <c r="S1022" s="42"/>
      <c r="T1022" s="42"/>
      <c r="U1022" s="42"/>
      <c r="V1022" s="42"/>
      <c r="W1022" s="42"/>
      <c r="X1022" s="42"/>
      <c r="Y1022" s="42"/>
      <c r="Z1022" s="42"/>
    </row>
    <row r="1023">
      <c r="A1023" s="42" t="str">
        <f>IFERROR(__xludf.DUMMYFUNCTION("""COMPUTED_VALUE"""),"P-145")</f>
        <v>P-145</v>
      </c>
      <c r="B1023" s="42" t="str">
        <f>IFERROR(__xludf.DUMMYFUNCTION("""COMPUTED_VALUE"""),"Partner")</f>
        <v>Partner</v>
      </c>
      <c r="C1023" s="42" t="str">
        <f>IFERROR(__xludf.DUMMYFUNCTION("""COMPUTED_VALUE"""),"Parco Folgore")</f>
        <v>Parco Folgore</v>
      </c>
      <c r="D1023" s="42" t="str">
        <f>IFERROR(__xludf.DUMMYFUNCTION("""COMPUTED_VALUE"""),"Kanchomé")</f>
        <v>Kanchomé</v>
      </c>
      <c r="E1023" s="42" t="str">
        <f>IFERROR(__xludf.DUMMYFUNCTION("""COMPUTED_VALUE"""),"-")</f>
        <v>-</v>
      </c>
      <c r="F1023" s="42" t="str">
        <f>IFERROR(__xludf.DUMMYFUNCTION("""COMPUTED_VALUE"""),"-")</f>
        <v>-</v>
      </c>
      <c r="G1023" s="42" t="str">
        <f>IFERROR(__xludf.DUMMYFUNCTION("""COMPUTED_VALUE"""),"None")</f>
        <v>None</v>
      </c>
      <c r="H1023" s="42" t="str">
        <f>IFERROR(__xludf.DUMMYFUNCTION("""COMPUTED_VALUE"""),"The Invincible Hero")</f>
        <v>The Invincible Hero</v>
      </c>
      <c r="I1023" s="43" t="str">
        <f>IFERROR(__xludf.DUMMYFUNCTION("""COMPUTED_VALUE"""),"[SEND THIS CARD TO THE DISCARD PILE] (Cut-In) Negate the PARTNER card effect your opponent just applied.")</f>
        <v>[SEND THIS CARD TO THE DISCARD PILE] (Cut-In) Negate the PARTNER card effect your opponent just applied.</v>
      </c>
      <c r="J1023" s="42" t="str">
        <f>IFERROR(__xludf.DUMMYFUNCTION("""COMPUTED_VALUE"""),"-")</f>
        <v>-</v>
      </c>
      <c r="K1023" s="42" t="str">
        <f>IFERROR(__xludf.DUMMYFUNCTION("""COMPUTED_VALUE"""),"-")</f>
        <v>-</v>
      </c>
      <c r="L1023" s="42" t="str">
        <f>IFERROR(__xludf.DUMMYFUNCTION("""COMPUTED_VALUE"""),"-")</f>
        <v>-</v>
      </c>
      <c r="M1023" s="42" t="str">
        <f>IFERROR(__xludf.DUMMYFUNCTION("""COMPUTED_VALUE"""),"[C]")</f>
        <v>[C]</v>
      </c>
      <c r="N1023" s="42" t="str">
        <f>IFERROR(__xludf.DUMMYFUNCTION("""COMPUTED_VALUE"""),"The hero of Italy known as the Iron Man Folgore has the star power to turn heads worldwide.")</f>
        <v>The hero of Italy known as the Iron Man Folgore has the star power to turn heads worldwide.</v>
      </c>
      <c r="O1023" s="42"/>
      <c r="P1023" s="42"/>
      <c r="Q1023" s="42"/>
      <c r="R1023" s="42"/>
      <c r="S1023" s="42"/>
      <c r="T1023" s="42"/>
      <c r="U1023" s="42"/>
      <c r="V1023" s="42"/>
      <c r="W1023" s="42"/>
      <c r="X1023" s="42"/>
      <c r="Y1023" s="42"/>
      <c r="Z1023" s="42"/>
    </row>
    <row r="1024">
      <c r="A1024" s="42" t="str">
        <f>IFERROR(__xludf.DUMMYFUNCTION("""COMPUTED_VALUE"""),"P-146")</f>
        <v>P-146</v>
      </c>
      <c r="B1024" s="42" t="str">
        <f>IFERROR(__xludf.DUMMYFUNCTION("""COMPUTED_VALUE"""),"Partner")</f>
        <v>Partner</v>
      </c>
      <c r="C1024" s="42" t="str">
        <f>IFERROR(__xludf.DUMMYFUNCTION("""COMPUTED_VALUE"""),"Megumi")</f>
        <v>Megumi</v>
      </c>
      <c r="D1024" s="42" t="str">
        <f>IFERROR(__xludf.DUMMYFUNCTION("""COMPUTED_VALUE"""),"Tia")</f>
        <v>Tia</v>
      </c>
      <c r="E1024" s="42" t="str">
        <f>IFERROR(__xludf.DUMMYFUNCTION("""COMPUTED_VALUE"""),"-")</f>
        <v>-</v>
      </c>
      <c r="F1024" s="42" t="str">
        <f>IFERROR(__xludf.DUMMYFUNCTION("""COMPUTED_VALUE"""),"-")</f>
        <v>-</v>
      </c>
      <c r="G1024" s="42" t="str">
        <f>IFERROR(__xludf.DUMMYFUNCTION("""COMPUTED_VALUE"""),"None")</f>
        <v>None</v>
      </c>
      <c r="H1024" s="42" t="str">
        <f>IFERROR(__xludf.DUMMYFUNCTION("""COMPUTED_VALUE"""),"Survival")</f>
        <v>Survival</v>
      </c>
      <c r="I1024" s="43" t="str">
        <f>IFERROR(__xludf.DUMMYFUNCTION("""COMPUTED_VALUE"""),"[SEND THIS CARD TO THE DISCARD PILE] (Battle) During the Battle, your Spell Book can only receive a maximum of 2 Damage in total (any more inflicted Damage is negated).")</f>
        <v>[SEND THIS CARD TO THE DISCARD PILE] (Battle) During the Battle, your Spell Book can only receive a maximum of 2 Damage in total (any more inflicted Damage is negated).</v>
      </c>
      <c r="J1024" s="42" t="str">
        <f>IFERROR(__xludf.DUMMYFUNCTION("""COMPUTED_VALUE"""),"-")</f>
        <v>-</v>
      </c>
      <c r="K1024" s="42" t="str">
        <f>IFERROR(__xludf.DUMMYFUNCTION("""COMPUTED_VALUE"""),"-")</f>
        <v>-</v>
      </c>
      <c r="L1024" s="42" t="str">
        <f>IFERROR(__xludf.DUMMYFUNCTION("""COMPUTED_VALUE"""),"-")</f>
        <v>-</v>
      </c>
      <c r="M1024" s="42" t="str">
        <f>IFERROR(__xludf.DUMMYFUNCTION("""COMPUTED_VALUE"""),"[C]")</f>
        <v>[C]</v>
      </c>
      <c r="N1024" s="42" t="str">
        <f>IFERROR(__xludf.DUMMYFUNCTION("""COMPUTED_VALUE"""),"""Whatever it takes, we're gonna support each other... and live through the next two minutes!""")</f>
        <v>"Whatever it takes, we're gonna support each other... and live through the next two minutes!"</v>
      </c>
      <c r="O1024" s="42"/>
      <c r="P1024" s="42"/>
      <c r="Q1024" s="42"/>
      <c r="R1024" s="42"/>
      <c r="S1024" s="42"/>
      <c r="T1024" s="42"/>
      <c r="U1024" s="42"/>
      <c r="V1024" s="42"/>
      <c r="W1024" s="42"/>
      <c r="X1024" s="42"/>
      <c r="Y1024" s="42"/>
      <c r="Z1024" s="42"/>
    </row>
    <row r="1025">
      <c r="A1025" s="42" t="str">
        <f>IFERROR(__xludf.DUMMYFUNCTION("""COMPUTED_VALUE"""),"P-147")</f>
        <v>P-147</v>
      </c>
      <c r="B1025" s="42" t="str">
        <f>IFERROR(__xludf.DUMMYFUNCTION("""COMPUTED_VALUE"""),"Partner")</f>
        <v>Partner</v>
      </c>
      <c r="C1025" s="42" t="str">
        <f>IFERROR(__xludf.DUMMYFUNCTION("""COMPUTED_VALUE"""),"Kafk Sunbeam")</f>
        <v>Kafk Sunbeam</v>
      </c>
      <c r="D1025" s="42" t="str">
        <f>IFERROR(__xludf.DUMMYFUNCTION("""COMPUTED_VALUE"""),"Ponygon")</f>
        <v>Ponygon</v>
      </c>
      <c r="E1025" s="42" t="str">
        <f>IFERROR(__xludf.DUMMYFUNCTION("""COMPUTED_VALUE"""),"-")</f>
        <v>-</v>
      </c>
      <c r="F1025" s="42" t="str">
        <f>IFERROR(__xludf.DUMMYFUNCTION("""COMPUTED_VALUE"""),"-")</f>
        <v>-</v>
      </c>
      <c r="G1025" s="42" t="str">
        <f>IFERROR(__xludf.DUMMYFUNCTION("""COMPUTED_VALUE"""),"None")</f>
        <v>None</v>
      </c>
      <c r="H1025" s="42" t="str">
        <f>IFERROR(__xludf.DUMMYFUNCTION("""COMPUTED_VALUE"""),"Gentleman")</f>
        <v>Gentleman</v>
      </c>
      <c r="I1025" s="43" t="str">
        <f>IFERROR(__xludf.DUMMYFUNCTION("""COMPUTED_VALUE"""),"[SEND THIS CARD TO THE DISCARD PILE] (Cut-In) Negate the effect your opponent just applied that would send any of your in-play cards to the Discard Pile (except from Damage or Injury).")</f>
        <v>[SEND THIS CARD TO THE DISCARD PILE] (Cut-In) Negate the effect your opponent just applied that would send any of your in-play cards to the Discard Pile (except from Damage or Injury).</v>
      </c>
      <c r="J1025" s="42" t="str">
        <f>IFERROR(__xludf.DUMMYFUNCTION("""COMPUTED_VALUE"""),"-")</f>
        <v>-</v>
      </c>
      <c r="K1025" s="42" t="str">
        <f>IFERROR(__xludf.DUMMYFUNCTION("""COMPUTED_VALUE"""),"-")</f>
        <v>-</v>
      </c>
      <c r="L1025" s="42" t="str">
        <f>IFERROR(__xludf.DUMMYFUNCTION("""COMPUTED_VALUE"""),"-")</f>
        <v>-</v>
      </c>
      <c r="M1025" s="42" t="str">
        <f>IFERROR(__xludf.DUMMYFUNCTION("""COMPUTED_VALUE"""),"[C]")</f>
        <v>[C]</v>
      </c>
      <c r="N1025" s="42" t="str">
        <f>IFERROR(__xludf.DUMMYFUNCTION("""COMPUTED_VALUE"""),"""Are you okay, Sister, Momon?""")</f>
        <v>"Are you okay, Sister, Momon?"</v>
      </c>
      <c r="O1025" s="42"/>
      <c r="P1025" s="42"/>
      <c r="Q1025" s="42"/>
      <c r="R1025" s="42"/>
      <c r="S1025" s="42"/>
      <c r="T1025" s="42"/>
      <c r="U1025" s="42"/>
      <c r="V1025" s="42"/>
      <c r="W1025" s="42"/>
      <c r="X1025" s="42"/>
      <c r="Y1025" s="42"/>
      <c r="Z1025" s="42"/>
    </row>
    <row r="1026">
      <c r="A1026" s="42" t="str">
        <f>IFERROR(__xludf.DUMMYFUNCTION("""COMPUTED_VALUE"""),"P-148")</f>
        <v>P-148</v>
      </c>
      <c r="B1026" s="42" t="str">
        <f>IFERROR(__xludf.DUMMYFUNCTION("""COMPUTED_VALUE"""),"Partner")</f>
        <v>Partner</v>
      </c>
      <c r="C1026" s="42" t="str">
        <f>IFERROR(__xludf.DUMMYFUNCTION("""COMPUTED_VALUE"""),"Li-en")</f>
        <v>Li-en</v>
      </c>
      <c r="D1026" s="42" t="str">
        <f>IFERROR(__xludf.DUMMYFUNCTION("""COMPUTED_VALUE"""),"Wonrei")</f>
        <v>Wonrei</v>
      </c>
      <c r="E1026" s="42" t="str">
        <f>IFERROR(__xludf.DUMMYFUNCTION("""COMPUTED_VALUE"""),"-")</f>
        <v>-</v>
      </c>
      <c r="F1026" s="42" t="str">
        <f>IFERROR(__xludf.DUMMYFUNCTION("""COMPUTED_VALUE"""),"-")</f>
        <v>-</v>
      </c>
      <c r="G1026" s="42" t="str">
        <f>IFERROR(__xludf.DUMMYFUNCTION("""COMPUTED_VALUE"""),"None")</f>
        <v>None</v>
      </c>
      <c r="H1026" s="42" t="str">
        <f>IFERROR(__xludf.DUMMYFUNCTION("""COMPUTED_VALUE"""),"Atonement")</f>
        <v>Atonement</v>
      </c>
      <c r="I1026" s="43" t="str">
        <f>IFERROR(__xludf.DUMMYFUNCTION("""COMPUTED_VALUE"""),"[SEND THIS CARD TO THE DISCARD PILE] Move 1 card (except a Li-en PARTNER card) from your Discard Pile to an empty page of your Spell Book.")</f>
        <v>[SEND THIS CARD TO THE DISCARD PILE] Move 1 card (except a Li-en PARTNER card) from your Discard Pile to an empty page of your Spell Book.</v>
      </c>
      <c r="J1026" s="42" t="str">
        <f>IFERROR(__xludf.DUMMYFUNCTION("""COMPUTED_VALUE"""),"-")</f>
        <v>-</v>
      </c>
      <c r="K1026" s="42" t="str">
        <f>IFERROR(__xludf.DUMMYFUNCTION("""COMPUTED_VALUE"""),"-")</f>
        <v>-</v>
      </c>
      <c r="L1026" s="42" t="str">
        <f>IFERROR(__xludf.DUMMYFUNCTION("""COMPUTED_VALUE"""),"-")</f>
        <v>-</v>
      </c>
      <c r="M1026" s="42" t="str">
        <f>IFERROR(__xludf.DUMMYFUNCTION("""COMPUTED_VALUE"""),"[U]")</f>
        <v>[U]</v>
      </c>
      <c r="N1026" s="42" t="str">
        <f>IFERROR(__xludf.DUMMYFUNCTION("""COMPUTED_VALUE"""),"Now that the curse has been broken, Li-en fights by Kiyo's side once again.")</f>
        <v>Now that the curse has been broken, Li-en fights by Kiyo's side once again.</v>
      </c>
      <c r="O1026" s="42"/>
      <c r="P1026" s="42"/>
      <c r="Q1026" s="42"/>
      <c r="R1026" s="42"/>
      <c r="S1026" s="42"/>
      <c r="T1026" s="42"/>
      <c r="U1026" s="42"/>
      <c r="V1026" s="42"/>
      <c r="W1026" s="42"/>
      <c r="X1026" s="42"/>
      <c r="Y1026" s="42"/>
      <c r="Z1026" s="42"/>
    </row>
    <row r="1027">
      <c r="A1027" s="42" t="str">
        <f>IFERROR(__xludf.DUMMYFUNCTION("""COMPUTED_VALUE"""),"P-149")</f>
        <v>P-149</v>
      </c>
      <c r="B1027" s="42" t="str">
        <f>IFERROR(__xludf.DUMMYFUNCTION("""COMPUTED_VALUE"""),"Partner")</f>
        <v>Partner</v>
      </c>
      <c r="C1027" s="42" t="str">
        <f>IFERROR(__xludf.DUMMYFUNCTION("""COMPUTED_VALUE"""),"Ellie")</f>
        <v>Ellie</v>
      </c>
      <c r="D1027" s="42" t="str">
        <f>IFERROR(__xludf.DUMMYFUNCTION("""COMPUTED_VALUE"""),"Arth")</f>
        <v>Arth</v>
      </c>
      <c r="E1027" s="42" t="str">
        <f>IFERROR(__xludf.DUMMYFUNCTION("""COMPUTED_VALUE"""),"-")</f>
        <v>-</v>
      </c>
      <c r="F1027" s="42" t="str">
        <f>IFERROR(__xludf.DUMMYFUNCTION("""COMPUTED_VALUE"""),"-")</f>
        <v>-</v>
      </c>
      <c r="G1027" s="42" t="str">
        <f>IFERROR(__xludf.DUMMYFUNCTION("""COMPUTED_VALUE"""),"None")</f>
        <v>None</v>
      </c>
      <c r="H1027" s="42" t="str">
        <f>IFERROR(__xludf.DUMMYFUNCTION("""COMPUTED_VALUE"""),"Shut... Up...")</f>
        <v>Shut... Up...</v>
      </c>
      <c r="I1027" s="43" t="str">
        <f>IFERROR(__xludf.DUMMYFUNCTION("""COMPUTED_VALUE"""),"[SEND THIS CARD TO THE DISCARD PILE] [STAY] Select 1 of your opponent's in-play MAMODO cards. Your opponent cannot apply the effects of the selected MAMODO card during this turn.")</f>
        <v>[SEND THIS CARD TO THE DISCARD PILE] [STAY] Select 1 of your opponent's in-play MAMODO cards. Your opponent cannot apply the effects of the selected MAMODO card during this turn.</v>
      </c>
      <c r="J1027" s="42" t="str">
        <f>IFERROR(__xludf.DUMMYFUNCTION("""COMPUTED_VALUE"""),"-")</f>
        <v>-</v>
      </c>
      <c r="K1027" s="42" t="str">
        <f>IFERROR(__xludf.DUMMYFUNCTION("""COMPUTED_VALUE"""),"-")</f>
        <v>-</v>
      </c>
      <c r="L1027" s="42" t="str">
        <f>IFERROR(__xludf.DUMMYFUNCTION("""COMPUTED_VALUE"""),"-")</f>
        <v>-</v>
      </c>
      <c r="M1027" s="42" t="str">
        <f>IFERROR(__xludf.DUMMYFUNCTION("""COMPUTED_VALUE"""),"[U]")</f>
        <v>[U]</v>
      </c>
      <c r="N1027" s="42" t="str">
        <f>IFERROR(__xludf.DUMMYFUNCTION("""COMPUTED_VALUE"""),"""The world... will be saved... My life is nothing... compared to the lives of all the people in the world...""")</f>
        <v>"The world... will be saved... My life is nothing... compared to the lives of all the people in the world..."</v>
      </c>
      <c r="O1027" s="42"/>
      <c r="P1027" s="42"/>
      <c r="Q1027" s="42"/>
      <c r="R1027" s="42"/>
      <c r="S1027" s="42"/>
      <c r="T1027" s="42"/>
      <c r="U1027" s="42"/>
      <c r="V1027" s="42"/>
      <c r="W1027" s="42"/>
      <c r="X1027" s="42"/>
      <c r="Y1027" s="42"/>
      <c r="Z1027" s="42"/>
    </row>
    <row r="1028">
      <c r="A1028" s="41" t="str">
        <f>IFERROR(__xludf.DUMMYFUNCTION("""COMPUTED_VALUE"""),"P-150")</f>
        <v>P-150</v>
      </c>
      <c r="B1028" s="42" t="str">
        <f>IFERROR(__xludf.DUMMYFUNCTION("""COMPUTED_VALUE"""),"Partner")</f>
        <v>Partner</v>
      </c>
      <c r="C1028" s="42" t="str">
        <f>IFERROR(__xludf.DUMMYFUNCTION("""COMPUTED_VALUE"""),"Sauza")</f>
        <v>Sauza</v>
      </c>
      <c r="D1028" s="42" t="str">
        <f>IFERROR(__xludf.DUMMYFUNCTION("""COMPUTED_VALUE"""),"Karudio")</f>
        <v>Karudio</v>
      </c>
      <c r="E1028" s="42" t="str">
        <f>IFERROR(__xludf.DUMMYFUNCTION("""COMPUTED_VALUE"""),"-")</f>
        <v>-</v>
      </c>
      <c r="F1028" s="42" t="str">
        <f>IFERROR(__xludf.DUMMYFUNCTION("""COMPUTED_VALUE"""),"-")</f>
        <v>-</v>
      </c>
      <c r="G1028" s="42" t="str">
        <f>IFERROR(__xludf.DUMMYFUNCTION("""COMPUTED_VALUE"""),"None")</f>
        <v>None</v>
      </c>
      <c r="H1028" s="42" t="str">
        <f>IFERROR(__xludf.DUMMYFUNCTION("""COMPUTED_VALUE"""),"A Short Truce")</f>
        <v>A Short Truce</v>
      </c>
      <c r="I1028" s="43" t="str">
        <f>IFERROR(__xludf.DUMMYFUNCTION("""COMPUTED_VALUE"""),"[SEND THIS CARD TO THE DISCARD PILE] [STAY] Neither player may declare an Attack until the END PHASE of the next turn.")</f>
        <v>[SEND THIS CARD TO THE DISCARD PILE] [STAY] Neither player may declare an Attack until the END PHASE of the next turn.</v>
      </c>
      <c r="J1028" s="42" t="str">
        <f>IFERROR(__xludf.DUMMYFUNCTION("""COMPUTED_VALUE"""),"-")</f>
        <v>-</v>
      </c>
      <c r="K1028" s="42" t="str">
        <f>IFERROR(__xludf.DUMMYFUNCTION("""COMPUTED_VALUE"""),"-")</f>
        <v>-</v>
      </c>
      <c r="L1028" s="42" t="str">
        <f>IFERROR(__xludf.DUMMYFUNCTION("""COMPUTED_VALUE"""),"-")</f>
        <v>-</v>
      </c>
      <c r="M1028" s="42" t="str">
        <f>IFERROR(__xludf.DUMMYFUNCTION("""COMPUTED_VALUE"""),"[U]")</f>
        <v>[U]</v>
      </c>
      <c r="N1028" s="42" t="str">
        <f>IFERROR(__xludf.DUMMYFUNCTION("""COMPUTED_VALUE"""),"""Hmph! I'll defeat you two as soon as we take care of Faudo! You'd better get ready!""")</f>
        <v>"Hmph! I'll defeat you two as soon as we take care of Faudo! You'd better get ready!"</v>
      </c>
      <c r="O1028" s="42"/>
      <c r="P1028" s="42"/>
      <c r="Q1028" s="42"/>
      <c r="R1028" s="42"/>
      <c r="S1028" s="42"/>
      <c r="T1028" s="42"/>
      <c r="U1028" s="42"/>
      <c r="V1028" s="42"/>
      <c r="W1028" s="42"/>
      <c r="X1028" s="42"/>
      <c r="Y1028" s="42"/>
      <c r="Z1028" s="42"/>
    </row>
    <row r="1029">
      <c r="A1029" s="41" t="str">
        <f>IFERROR(__xludf.DUMMYFUNCTION("""COMPUTED_VALUE"""),"P-151")</f>
        <v>P-151</v>
      </c>
      <c r="B1029" s="42" t="str">
        <f>IFERROR(__xludf.DUMMYFUNCTION("""COMPUTED_VALUE"""),"Partner")</f>
        <v>Partner</v>
      </c>
      <c r="C1029" s="42" t="str">
        <f>IFERROR(__xludf.DUMMYFUNCTION("""COMPUTED_VALUE"""),"Elle Chivas")</f>
        <v>Elle Chivas</v>
      </c>
      <c r="D1029" s="42" t="str">
        <f>IFERROR(__xludf.DUMMYFUNCTION("""COMPUTED_VALUE"""),"Momon")</f>
        <v>Momon</v>
      </c>
      <c r="E1029" s="42" t="str">
        <f>IFERROR(__xludf.DUMMYFUNCTION("""COMPUTED_VALUE"""),"-")</f>
        <v>-</v>
      </c>
      <c r="F1029" s="42" t="str">
        <f>IFERROR(__xludf.DUMMYFUNCTION("""COMPUTED_VALUE"""),"-")</f>
        <v>-</v>
      </c>
      <c r="G1029" s="42" t="str">
        <f>IFERROR(__xludf.DUMMYFUNCTION("""COMPUTED_VALUE"""),"None")</f>
        <v>None</v>
      </c>
      <c r="H1029" s="42" t="str">
        <f>IFERROR(__xludf.DUMMYFUNCTION("""COMPUTED_VALUE"""),"Love &amp; Peace")</f>
        <v>Love &amp; Peace</v>
      </c>
      <c r="I1029" s="43" t="str">
        <f>IFERROR(__xludf.DUMMYFUNCTION("""COMPUTED_VALUE"""),"[IN PLAY] Reduce the Damage of your opponent's Attacks by 1.")</f>
        <v>[IN PLAY] Reduce the Damage of your opponent's Attacks by 1.</v>
      </c>
      <c r="J1029" s="42" t="str">
        <f>IFERROR(__xludf.DUMMYFUNCTION("""COMPUTED_VALUE"""),"-")</f>
        <v>-</v>
      </c>
      <c r="K1029" s="42" t="str">
        <f>IFERROR(__xludf.DUMMYFUNCTION("""COMPUTED_VALUE"""),"-")</f>
        <v>-</v>
      </c>
      <c r="L1029" s="42" t="str">
        <f>IFERROR(__xludf.DUMMYFUNCTION("""COMPUTED_VALUE"""),"-")</f>
        <v>-</v>
      </c>
      <c r="M1029" s="42" t="str">
        <f>IFERROR(__xludf.DUMMYFUNCTION("""COMPUTED_VALUE"""),"[C]")</f>
        <v>[C]</v>
      </c>
      <c r="N1029" s="42" t="str">
        <f>IFERROR(__xludf.DUMMYFUNCTION("""COMPUTED_VALUE"""),"""P-Please wait. Let's talk about this...""")</f>
        <v>"P-Please wait. Let's talk about this..."</v>
      </c>
      <c r="O1029" s="42"/>
      <c r="P1029" s="42"/>
      <c r="Q1029" s="42"/>
      <c r="R1029" s="42"/>
      <c r="S1029" s="42"/>
      <c r="T1029" s="42"/>
      <c r="U1029" s="42"/>
      <c r="V1029" s="42"/>
      <c r="W1029" s="42"/>
      <c r="X1029" s="42"/>
      <c r="Y1029" s="42"/>
      <c r="Z1029" s="42"/>
    </row>
    <row r="1030">
      <c r="A1030" s="42" t="str">
        <f>IFERROR(__xludf.DUMMYFUNCTION("""COMPUTED_VALUE"""),"P-152")</f>
        <v>P-152</v>
      </c>
      <c r="B1030" s="42" t="str">
        <f>IFERROR(__xludf.DUMMYFUNCTION("""COMPUTED_VALUE"""),"Partner")</f>
        <v>Partner</v>
      </c>
      <c r="C1030" s="42" t="str">
        <f>IFERROR(__xludf.DUMMYFUNCTION("""COMPUTED_VALUE"""),"Alishie")</f>
        <v>Alishie</v>
      </c>
      <c r="D1030" s="42" t="str">
        <f>IFERROR(__xludf.DUMMYFUNCTION("""COMPUTED_VALUE"""),"Riya")</f>
        <v>Riya</v>
      </c>
      <c r="E1030" s="42" t="str">
        <f>IFERROR(__xludf.DUMMYFUNCTION("""COMPUTED_VALUE"""),"-")</f>
        <v>-</v>
      </c>
      <c r="F1030" s="42" t="str">
        <f>IFERROR(__xludf.DUMMYFUNCTION("""COMPUTED_VALUE"""),"-")</f>
        <v>-</v>
      </c>
      <c r="G1030" s="42" t="str">
        <f>IFERROR(__xludf.DUMMYFUNCTION("""COMPUTED_VALUE"""),"None")</f>
        <v>None</v>
      </c>
      <c r="H1030" s="42" t="str">
        <f>IFERROR(__xludf.DUMMYFUNCTION("""COMPUTED_VALUE"""),"A Real Man")</f>
        <v>A Real Man</v>
      </c>
      <c r="I1030" s="43" t="str">
        <f>IFERROR(__xludf.DUMMYFUNCTION("""COMPUTED_VALUE"""),"[SEND THIS CARD TO THE DISCARD PILE] [STAY] Select 1 of your opponent's in-play MAMODO cards. Your opponent can neither apply the effects of the selected MAMODO card, nor can they apply the effects of the attached PARTNER card, until the END PHASE of the "&amp;"next turn.")</f>
        <v>[SEND THIS CARD TO THE DISCARD PILE] [STAY] Select 1 of your opponent's in-play MAMODO cards. Your opponent can neither apply the effects of the selected MAMODO card, nor can they apply the effects of the attached PARTNER card, until the END PHASE of the next turn.</v>
      </c>
      <c r="J1030" s="42" t="str">
        <f>IFERROR(__xludf.DUMMYFUNCTION("""COMPUTED_VALUE"""),"-")</f>
        <v>-</v>
      </c>
      <c r="K1030" s="42" t="str">
        <f>IFERROR(__xludf.DUMMYFUNCTION("""COMPUTED_VALUE"""),"-")</f>
        <v>-</v>
      </c>
      <c r="L1030" s="42" t="str">
        <f>IFERROR(__xludf.DUMMYFUNCTION("""COMPUTED_VALUE"""),"-")</f>
        <v>-</v>
      </c>
      <c r="M1030" s="42" t="str">
        <f>IFERROR(__xludf.DUMMYFUNCTION("""COMPUTED_VALUE"""),"[U]")</f>
        <v>[U]</v>
      </c>
      <c r="N1030" s="42" t="str">
        <f>IFERROR(__xludf.DUMMYFUNCTION("""COMPUTED_VALUE"""),"""I won't let anyone's life be taken. That includes you too, Zatch and Kiyo.""")</f>
        <v>"I won't let anyone's life be taken. That includes you too, Zatch and Kiyo."</v>
      </c>
      <c r="O1030" s="42"/>
      <c r="P1030" s="42"/>
      <c r="Q1030" s="42"/>
      <c r="R1030" s="42"/>
      <c r="S1030" s="42"/>
      <c r="T1030" s="42"/>
      <c r="U1030" s="42"/>
      <c r="V1030" s="42"/>
      <c r="W1030" s="42"/>
      <c r="X1030" s="42"/>
      <c r="Y1030" s="42"/>
      <c r="Z1030" s="42"/>
    </row>
    <row r="1031">
      <c r="A1031" s="41" t="str">
        <f>IFERROR(__xludf.DUMMYFUNCTION("""COMPUTED_VALUE"""),"P-153")</f>
        <v>P-153</v>
      </c>
      <c r="B1031" s="42" t="str">
        <f>IFERROR(__xludf.DUMMYFUNCTION("""COMPUTED_VALUE"""),"Partner")</f>
        <v>Partner</v>
      </c>
      <c r="C1031" s="42" t="str">
        <f>IFERROR(__xludf.DUMMYFUNCTION("""COMPUTED_VALUE"""),"Chita")</f>
        <v>Chita</v>
      </c>
      <c r="D1031" s="42" t="str">
        <f>IFERROR(__xludf.DUMMYFUNCTION("""COMPUTED_VALUE"""),"Rodeaux")</f>
        <v>Rodeaux</v>
      </c>
      <c r="E1031" s="42" t="str">
        <f>IFERROR(__xludf.DUMMYFUNCTION("""COMPUTED_VALUE"""),"-")</f>
        <v>-</v>
      </c>
      <c r="F1031" s="42" t="str">
        <f>IFERROR(__xludf.DUMMYFUNCTION("""COMPUTED_VALUE"""),"-")</f>
        <v>-</v>
      </c>
      <c r="G1031" s="42" t="str">
        <f>IFERROR(__xludf.DUMMYFUNCTION("""COMPUTED_VALUE"""),"None")</f>
        <v>None</v>
      </c>
      <c r="H1031" s="42" t="str">
        <f>IFERROR(__xludf.DUMMYFUNCTION("""COMPUTED_VALUE"""),"Pacing")</f>
        <v>Pacing</v>
      </c>
      <c r="I1031" s="43" t="str">
        <f>IFERROR(__xludf.DUMMYFUNCTION("""COMPUTED_VALUE"""),"[IN PLAY] Get 2 MP at the END PHASE of your turn if you did not Attack during your BATTLE PHASE.")</f>
        <v>[IN PLAY] Get 2 MP at the END PHASE of your turn if you did not Attack during your BATTLE PHASE.</v>
      </c>
      <c r="J1031" s="42" t="str">
        <f>IFERROR(__xludf.DUMMYFUNCTION("""COMPUTED_VALUE"""),"-")</f>
        <v>-</v>
      </c>
      <c r="K1031" s="42" t="str">
        <f>IFERROR(__xludf.DUMMYFUNCTION("""COMPUTED_VALUE"""),"-")</f>
        <v>-</v>
      </c>
      <c r="L1031" s="42" t="str">
        <f>IFERROR(__xludf.DUMMYFUNCTION("""COMPUTED_VALUE"""),"-")</f>
        <v>-</v>
      </c>
      <c r="M1031" s="42" t="str">
        <f>IFERROR(__xludf.DUMMYFUNCTION("""COMPUTED_VALUE"""),"[U]")</f>
        <v>[U]</v>
      </c>
      <c r="N1031" s="42" t="str">
        <f>IFERROR(__xludf.DUMMYFUNCTION("""COMPUTED_VALUE"""),"""What do you think, Chita? Do you think you can use our most powerful spell now?""")</f>
        <v>"What do you think, Chita? Do you think you can use our most powerful spell now?"</v>
      </c>
      <c r="O1031" s="42"/>
      <c r="P1031" s="42"/>
      <c r="Q1031" s="42"/>
      <c r="R1031" s="42"/>
      <c r="S1031" s="42"/>
      <c r="T1031" s="42"/>
      <c r="U1031" s="42"/>
      <c r="V1031" s="42"/>
      <c r="W1031" s="42"/>
      <c r="X1031" s="42"/>
      <c r="Y1031" s="42"/>
      <c r="Z1031" s="42"/>
    </row>
    <row r="1032">
      <c r="A1032" s="41" t="str">
        <f>IFERROR(__xludf.DUMMYFUNCTION("""COMPUTED_VALUE"""),"P-154")</f>
        <v>P-154</v>
      </c>
      <c r="B1032" s="42" t="str">
        <f>IFERROR(__xludf.DUMMYFUNCTION("""COMPUTED_VALUE"""),"Partner")</f>
        <v>Partner</v>
      </c>
      <c r="C1032" s="42" t="str">
        <f>IFERROR(__xludf.DUMMYFUNCTION("""COMPUTED_VALUE"""),"Banikis Gigo")</f>
        <v>Banikis Gigo</v>
      </c>
      <c r="D1032" s="42" t="str">
        <f>IFERROR(__xludf.DUMMYFUNCTION("""COMPUTED_VALUE"""),"Riou")</f>
        <v>Riou</v>
      </c>
      <c r="E1032" s="42" t="str">
        <f>IFERROR(__xludf.DUMMYFUNCTION("""COMPUTED_VALUE"""),"-")</f>
        <v>-</v>
      </c>
      <c r="F1032" s="42" t="str">
        <f>IFERROR(__xludf.DUMMYFUNCTION("""COMPUTED_VALUE"""),"-")</f>
        <v>-</v>
      </c>
      <c r="G1032" s="42" t="str">
        <f>IFERROR(__xludf.DUMMYFUNCTION("""COMPUTED_VALUE"""),"None")</f>
        <v>None</v>
      </c>
      <c r="H1032" s="42" t="str">
        <f>IFERROR(__xludf.DUMMYFUNCTION("""COMPUTED_VALUE"""),"Hidden Within")</f>
        <v>Hidden Within</v>
      </c>
      <c r="I1032" s="43" t="str">
        <f>IFERROR(__xludf.DUMMYFUNCTION("""COMPUTED_VALUE"""),"[SEND THIS CARD TO THE DISCARD PILE] (Battle) [STAY] Increase the Damage of your SPELL cards with Riou as their MAMODO name by 1 during the Battle.")</f>
        <v>[SEND THIS CARD TO THE DISCARD PILE] (Battle) [STAY] Increase the Damage of your SPELL cards with Riou as their MAMODO name by 1 during the Battle.</v>
      </c>
      <c r="J1032" s="42" t="str">
        <f>IFERROR(__xludf.DUMMYFUNCTION("""COMPUTED_VALUE"""),"-")</f>
        <v>-</v>
      </c>
      <c r="K1032" s="42" t="str">
        <f>IFERROR(__xludf.DUMMYFUNCTION("""COMPUTED_VALUE"""),"-")</f>
        <v>-</v>
      </c>
      <c r="L1032" s="42" t="str">
        <f>IFERROR(__xludf.DUMMYFUNCTION("""COMPUTED_VALUE"""),"-")</f>
        <v>-</v>
      </c>
      <c r="M1032" s="42" t="str">
        <f>IFERROR(__xludf.DUMMYFUNCTION("""COMPUTED_VALUE"""),"[R]")</f>
        <v>[R]</v>
      </c>
      <c r="N1032" s="42" t="str">
        <f>IFERROR(__xludf.DUMMYFUNCTION("""COMPUTED_VALUE"""),"""You want me to come outside and fight? It looks like you found an enemy you really want to destroy.""")</f>
        <v>"You want me to come outside and fight? It looks like you found an enemy you really want to destroy."</v>
      </c>
      <c r="O1032" s="42"/>
      <c r="P1032" s="42"/>
      <c r="Q1032" s="42"/>
      <c r="R1032" s="42"/>
      <c r="S1032" s="42"/>
      <c r="T1032" s="42"/>
      <c r="U1032" s="42"/>
      <c r="V1032" s="42"/>
      <c r="W1032" s="42"/>
      <c r="X1032" s="42"/>
      <c r="Y1032" s="42"/>
      <c r="Z1032" s="42"/>
    </row>
    <row r="1033">
      <c r="A1033" s="41" t="str">
        <f>IFERROR(__xludf.DUMMYFUNCTION("""COMPUTED_VALUE"""),"P-155")</f>
        <v>P-155</v>
      </c>
      <c r="B1033" s="42" t="str">
        <f>IFERROR(__xludf.DUMMYFUNCTION("""COMPUTED_VALUE"""),"Partner")</f>
        <v>Partner</v>
      </c>
      <c r="C1033" s="42" t="str">
        <f>IFERROR(__xludf.DUMMYFUNCTION("""COMPUTED_VALUE"""),"Berun")</f>
        <v>Berun</v>
      </c>
      <c r="D1033" s="42" t="str">
        <f>IFERROR(__xludf.DUMMYFUNCTION("""COMPUTED_VALUE"""),"Keith")</f>
        <v>Keith</v>
      </c>
      <c r="E1033" s="42" t="str">
        <f>IFERROR(__xludf.DUMMYFUNCTION("""COMPUTED_VALUE"""),"-")</f>
        <v>-</v>
      </c>
      <c r="F1033" s="42" t="str">
        <f>IFERROR(__xludf.DUMMYFUNCTION("""COMPUTED_VALUE"""),"-")</f>
        <v>-</v>
      </c>
      <c r="G1033" s="42" t="str">
        <f>IFERROR(__xludf.DUMMYFUNCTION("""COMPUTED_VALUE"""),"None")</f>
        <v>None</v>
      </c>
      <c r="H1033" s="42" t="str">
        <f>IFERROR(__xludf.DUMMYFUNCTION("""COMPUTED_VALUE"""),"In Strong Agreement")</f>
        <v>In Strong Agreement</v>
      </c>
      <c r="I1033" s="43" t="str">
        <f>IFERROR(__xludf.DUMMYFUNCTION("""COMPUTED_VALUE"""),"[SEND THIS CARD TO THE DISCARD PILE] When your opponent applies an effect that turns pages of your Spell Book, turn pages of their Spell Book by an equal amount. When your opponent applies an effect that turns back pages of their Spell Book, turn back pag"&amp;"es of your own Spell Book by an equal amount.")</f>
        <v>[SEND THIS CARD TO THE DISCARD PILE] When your opponent applies an effect that turns pages of your Spell Book, turn pages of their Spell Book by an equal amount. When your opponent applies an effect that turns back pages of their Spell Book, turn back pages of your own Spell Book by an equal amount.</v>
      </c>
      <c r="J1033" s="42" t="str">
        <f>IFERROR(__xludf.DUMMYFUNCTION("""COMPUTED_VALUE"""),"-")</f>
        <v>-</v>
      </c>
      <c r="K1033" s="42" t="str">
        <f>IFERROR(__xludf.DUMMYFUNCTION("""COMPUTED_VALUE"""),"-")</f>
        <v>-</v>
      </c>
      <c r="L1033" s="42" t="str">
        <f>IFERROR(__xludf.DUMMYFUNCTION("""COMPUTED_VALUE"""),"-")</f>
        <v>-</v>
      </c>
      <c r="M1033" s="42" t="str">
        <f>IFERROR(__xludf.DUMMYFUNCTION("""COMPUTED_VALUE"""),"[U]")</f>
        <v>[U]</v>
      </c>
      <c r="N1033" s="42" t="str">
        <f>IFERROR(__xludf.DUMMYFUNCTION("""COMPUTED_VALUE"""),"""Yeah... That sounds great!""")</f>
        <v>"Yeah... That sounds great!"</v>
      </c>
      <c r="O1033" s="42"/>
      <c r="P1033" s="42"/>
      <c r="Q1033" s="42"/>
      <c r="R1033" s="42"/>
      <c r="S1033" s="42"/>
      <c r="T1033" s="42"/>
      <c r="U1033" s="42"/>
      <c r="V1033" s="42"/>
      <c r="W1033" s="42"/>
      <c r="X1033" s="42"/>
      <c r="Y1033" s="42"/>
      <c r="Z1033" s="42"/>
    </row>
    <row r="1034">
      <c r="A1034" s="41" t="str">
        <f>IFERROR(__xludf.DUMMYFUNCTION("""COMPUTED_VALUE"""),"P-156")</f>
        <v>P-156</v>
      </c>
      <c r="B1034" s="42" t="str">
        <f>IFERROR(__xludf.DUMMYFUNCTION("""COMPUTED_VALUE"""),"Partner")</f>
        <v>Partner</v>
      </c>
      <c r="C1034" s="42" t="str">
        <f>IFERROR(__xludf.DUMMYFUNCTION("""COMPUTED_VALUE"""),"Nicole")</f>
        <v>Nicole</v>
      </c>
      <c r="D1034" s="42" t="str">
        <f>IFERROR(__xludf.DUMMYFUNCTION("""COMPUTED_VALUE"""),"Cherish")</f>
        <v>Cherish</v>
      </c>
      <c r="E1034" s="42" t="str">
        <f>IFERROR(__xludf.DUMMYFUNCTION("""COMPUTED_VALUE"""),"-")</f>
        <v>-</v>
      </c>
      <c r="F1034" s="42" t="str">
        <f>IFERROR(__xludf.DUMMYFUNCTION("""COMPUTED_VALUE"""),"-")</f>
        <v>-</v>
      </c>
      <c r="G1034" s="42" t="str">
        <f>IFERROR(__xludf.DUMMYFUNCTION("""COMPUTED_VALUE"""),"None")</f>
        <v>None</v>
      </c>
      <c r="H1034" s="42" t="str">
        <f>IFERROR(__xludf.DUMMYFUNCTION("""COMPUTED_VALUE"""),"Despair")</f>
        <v>Despair</v>
      </c>
      <c r="I1034" s="43" t="str">
        <f>IFERROR(__xludf.DUMMYFUNCTION("""COMPUTED_VALUE"""),"[SEND THIS CARD TO THE DISCARD PILE] Reduce your MP by 3 (it cannot be reduced to less than 1 as a result of this effect) to reduce your opponent's MP by 3.")</f>
        <v>[SEND THIS CARD TO THE DISCARD PILE] Reduce your MP by 3 (it cannot be reduced to less than 1 as a result of this effect) to reduce your opponent's MP by 3.</v>
      </c>
      <c r="J1034" s="42" t="str">
        <f>IFERROR(__xludf.DUMMYFUNCTION("""COMPUTED_VALUE"""),"-")</f>
        <v>-</v>
      </c>
      <c r="K1034" s="42" t="str">
        <f>IFERROR(__xludf.DUMMYFUNCTION("""COMPUTED_VALUE"""),"-")</f>
        <v>-</v>
      </c>
      <c r="L1034" s="42" t="str">
        <f>IFERROR(__xludf.DUMMYFUNCTION("""COMPUTED_VALUE"""),"-")</f>
        <v>-</v>
      </c>
      <c r="M1034" s="42" t="str">
        <f>IFERROR(__xludf.DUMMYFUNCTION("""COMPUTED_VALUE"""),"[U]")</f>
        <v>[U]</v>
      </c>
      <c r="N1034" s="42" t="str">
        <f>IFERROR(__xludf.DUMMYFUNCTION("""COMPUTED_VALUE"""),"""You always cheer me up, Cherish...""")</f>
        <v>"You always cheer me up, Cherish..."</v>
      </c>
      <c r="O1034" s="42"/>
      <c r="P1034" s="42"/>
      <c r="Q1034" s="42"/>
      <c r="R1034" s="42"/>
      <c r="S1034" s="42"/>
      <c r="T1034" s="42"/>
      <c r="U1034" s="42"/>
      <c r="V1034" s="42"/>
      <c r="W1034" s="42"/>
      <c r="X1034" s="42"/>
      <c r="Y1034" s="42"/>
      <c r="Z1034" s="42"/>
    </row>
    <row r="1035">
      <c r="A1035" s="41" t="str">
        <f>IFERROR(__xludf.DUMMYFUNCTION("""COMPUTED_VALUE"""),"P-157")</f>
        <v>P-157</v>
      </c>
      <c r="B1035" s="42" t="str">
        <f>IFERROR(__xludf.DUMMYFUNCTION("""COMPUTED_VALUE"""),"Partner")</f>
        <v>Partner</v>
      </c>
      <c r="C1035" s="42" t="str">
        <f>IFERROR(__xludf.DUMMYFUNCTION("""COMPUTED_VALUE"""),"Raushin Mo")</f>
        <v>Raushin Mo</v>
      </c>
      <c r="D1035" s="42" t="str">
        <f>IFERROR(__xludf.DUMMYFUNCTION("""COMPUTED_VALUE"""),"Zaruchim")</f>
        <v>Zaruchim</v>
      </c>
      <c r="E1035" s="42" t="str">
        <f>IFERROR(__xludf.DUMMYFUNCTION("""COMPUTED_VALUE"""),"-")</f>
        <v>-</v>
      </c>
      <c r="F1035" s="42" t="str">
        <f>IFERROR(__xludf.DUMMYFUNCTION("""COMPUTED_VALUE"""),"-")</f>
        <v>-</v>
      </c>
      <c r="G1035" s="42" t="str">
        <f>IFERROR(__xludf.DUMMYFUNCTION("""COMPUTED_VALUE"""),"None")</f>
        <v>None</v>
      </c>
      <c r="H1035" s="42" t="str">
        <f>IFERROR(__xludf.DUMMYFUNCTION("""COMPUTED_VALUE"""),"Chrome Dome")</f>
        <v>Chrome Dome</v>
      </c>
      <c r="I1035" s="43" t="str">
        <f>IFERROR(__xludf.DUMMYFUNCTION("""COMPUTED_VALUE"""),"[SEND THIS CARD TO THE DISCARD PILE] (Cut-In) Negate the ""No Battle"" SPELL card your opponent just played.")</f>
        <v>[SEND THIS CARD TO THE DISCARD PILE] (Cut-In) Negate the "No Battle" SPELL card your opponent just played.</v>
      </c>
      <c r="J1035" s="42" t="str">
        <f>IFERROR(__xludf.DUMMYFUNCTION("""COMPUTED_VALUE"""),"-")</f>
        <v>-</v>
      </c>
      <c r="K1035" s="42" t="str">
        <f>IFERROR(__xludf.DUMMYFUNCTION("""COMPUTED_VALUE"""),"-")</f>
        <v>-</v>
      </c>
      <c r="L1035" s="42" t="str">
        <f>IFERROR(__xludf.DUMMYFUNCTION("""COMPUTED_VALUE"""),"-")</f>
        <v>-</v>
      </c>
      <c r="M1035" s="42" t="str">
        <f>IFERROR(__xludf.DUMMYFUNCTION("""COMPUTED_VALUE"""),"[U]")</f>
        <v>[U]</v>
      </c>
      <c r="N1035" s="42" t="str">
        <f>IFERROR(__xludf.DUMMYFUNCTION("""COMPUTED_VALUE"""),"A silent, bald-headed man who willingly does Zaruchim's bidding.")</f>
        <v>A silent, bald-headed man who willingly does Zaruchim's bidding.</v>
      </c>
      <c r="O1035" s="42"/>
      <c r="P1035" s="42"/>
      <c r="Q1035" s="42"/>
      <c r="R1035" s="42"/>
      <c r="S1035" s="42"/>
      <c r="T1035" s="42"/>
      <c r="U1035" s="42"/>
      <c r="V1035" s="42"/>
      <c r="W1035" s="42"/>
      <c r="X1035" s="42"/>
      <c r="Y1035" s="42"/>
      <c r="Z1035" s="42"/>
    </row>
    <row r="1036">
      <c r="A1036" s="41" t="str">
        <f>IFERROR(__xludf.DUMMYFUNCTION("""COMPUTED_VALUE"""),"P-158")</f>
        <v>P-158</v>
      </c>
      <c r="B1036" s="42" t="str">
        <f>IFERROR(__xludf.DUMMYFUNCTION("""COMPUTED_VALUE"""),"Partner")</f>
        <v>Partner</v>
      </c>
      <c r="C1036" s="42" t="str">
        <f>IFERROR(__xludf.DUMMYFUNCTION("""COMPUTED_VALUE"""),"Kiyo Takamine")</f>
        <v>Kiyo Takamine</v>
      </c>
      <c r="D1036" s="42" t="str">
        <f>IFERROR(__xludf.DUMMYFUNCTION("""COMPUTED_VALUE"""),"Zatch Bell")</f>
        <v>Zatch Bell</v>
      </c>
      <c r="E1036" s="42" t="str">
        <f>IFERROR(__xludf.DUMMYFUNCTION("""COMPUTED_VALUE"""),"-")</f>
        <v>-</v>
      </c>
      <c r="F1036" s="42" t="str">
        <f>IFERROR(__xludf.DUMMYFUNCTION("""COMPUTED_VALUE"""),"-")</f>
        <v>-</v>
      </c>
      <c r="G1036" s="42" t="str">
        <f>IFERROR(__xludf.DUMMYFUNCTION("""COMPUTED_VALUE"""),"None")</f>
        <v>None</v>
      </c>
      <c r="H1036" s="42" t="str">
        <f>IFERROR(__xludf.DUMMYFUNCTION("""COMPUTED_VALUE"""),"All of Our Power")</f>
        <v>All of Our Power</v>
      </c>
      <c r="I1036" s="43" t="str">
        <f>IFERROR(__xludf.DUMMYFUNCTION("""COMPUTED_VALUE"""),"[SEND THIS CARD TO THE DISCARD PILE] (Cut-In) Negate the EVENT card your opponent just played during your BATTLE PHASE.")</f>
        <v>[SEND THIS CARD TO THE DISCARD PILE] (Cut-In) Negate the EVENT card your opponent just played during your BATTLE PHASE.</v>
      </c>
      <c r="J1036" s="42" t="str">
        <f>IFERROR(__xludf.DUMMYFUNCTION("""COMPUTED_VALUE"""),"-")</f>
        <v>-</v>
      </c>
      <c r="K1036" s="42" t="str">
        <f>IFERROR(__xludf.DUMMYFUNCTION("""COMPUTED_VALUE"""),"-")</f>
        <v>-</v>
      </c>
      <c r="L1036" s="42" t="str">
        <f>IFERROR(__xludf.DUMMYFUNCTION("""COMPUTED_VALUE"""),"-")</f>
        <v>-</v>
      </c>
      <c r="M1036" s="42" t="str">
        <f>IFERROR(__xludf.DUMMYFUNCTION("""COMPUTED_VALUE"""),"[U]")</f>
        <v>[U]</v>
      </c>
      <c r="N1036" s="42" t="str">
        <f>IFERROR(__xludf.DUMMYFUNCTION("""COMPUTED_VALUE"""),"""Use all the power you've got!""")</f>
        <v>"Use all the power you've got!"</v>
      </c>
      <c r="O1036" s="42"/>
      <c r="P1036" s="42"/>
      <c r="Q1036" s="42"/>
      <c r="R1036" s="42"/>
      <c r="S1036" s="42"/>
      <c r="T1036" s="42"/>
      <c r="U1036" s="42"/>
      <c r="V1036" s="42"/>
      <c r="W1036" s="42"/>
      <c r="X1036" s="42"/>
      <c r="Y1036" s="42"/>
      <c r="Z1036" s="42"/>
    </row>
    <row r="1037">
      <c r="A1037" s="41" t="str">
        <f>IFERROR(__xludf.DUMMYFUNCTION("""COMPUTED_VALUE"""),"P-159")</f>
        <v>P-159</v>
      </c>
      <c r="B1037" s="42" t="str">
        <f>IFERROR(__xludf.DUMMYFUNCTION("""COMPUTED_VALUE"""),"Partner")</f>
        <v>Partner</v>
      </c>
      <c r="C1037" s="42" t="str">
        <f>IFERROR(__xludf.DUMMYFUNCTION("""COMPUTED_VALUE"""),"Banikis Gigo")</f>
        <v>Banikis Gigo</v>
      </c>
      <c r="D1037" s="42" t="str">
        <f>IFERROR(__xludf.DUMMYFUNCTION("""COMPUTED_VALUE"""),"Riou")</f>
        <v>Riou</v>
      </c>
      <c r="E1037" s="42" t="str">
        <f>IFERROR(__xludf.DUMMYFUNCTION("""COMPUTED_VALUE"""),"-")</f>
        <v>-</v>
      </c>
      <c r="F1037" s="42" t="str">
        <f>IFERROR(__xludf.DUMMYFUNCTION("""COMPUTED_VALUE"""),"-")</f>
        <v>-</v>
      </c>
      <c r="G1037" s="42" t="str">
        <f>IFERROR(__xludf.DUMMYFUNCTION("""COMPUTED_VALUE"""),"None")</f>
        <v>None</v>
      </c>
      <c r="H1037" s="42" t="str">
        <f>IFERROR(__xludf.DUMMYFUNCTION("""COMPUTED_VALUE"""),"Ridicule")</f>
        <v>Ridicule</v>
      </c>
      <c r="I1037" s="43" t="str">
        <f>IFERROR(__xludf.DUMMYFUNCTION("""COMPUTED_VALUE"""),"[SEND THIS CARD TO THE DISCARD PILE] Send 1 of your opponent's in-play PARTNER cards to the Discard Pile.")</f>
        <v>[SEND THIS CARD TO THE DISCARD PILE] Send 1 of your opponent's in-play PARTNER cards to the Discard Pile.</v>
      </c>
      <c r="J1037" s="42" t="str">
        <f>IFERROR(__xludf.DUMMYFUNCTION("""COMPUTED_VALUE"""),"-")</f>
        <v>-</v>
      </c>
      <c r="K1037" s="42" t="str">
        <f>IFERROR(__xludf.DUMMYFUNCTION("""COMPUTED_VALUE"""),"-")</f>
        <v>-</v>
      </c>
      <c r="L1037" s="42" t="str">
        <f>IFERROR(__xludf.DUMMYFUNCTION("""COMPUTED_VALUE"""),"-")</f>
        <v>-</v>
      </c>
      <c r="M1037" s="42" t="str">
        <f>IFERROR(__xludf.DUMMYFUNCTION("""COMPUTED_VALUE"""),"[U]")</f>
        <v>[U]</v>
      </c>
      <c r="N1037" s="42" t="str">
        <f>IFERROR(__xludf.DUMMYFUNCTION("""COMPUTED_VALUE"""),"Ha ha ha ha! Bull's eye! I don't think he's moving!""")</f>
        <v>Ha ha ha ha! Bull's eye! I don't think he's moving!"</v>
      </c>
      <c r="O1037" s="42"/>
      <c r="P1037" s="42"/>
      <c r="Q1037" s="42"/>
      <c r="R1037" s="42"/>
      <c r="S1037" s="42"/>
      <c r="T1037" s="42"/>
      <c r="U1037" s="42"/>
      <c r="V1037" s="42"/>
      <c r="W1037" s="42"/>
      <c r="X1037" s="42"/>
      <c r="Y1037" s="42"/>
      <c r="Z1037" s="42"/>
    </row>
    <row r="1038">
      <c r="A1038" s="42" t="str">
        <f>IFERROR(__xludf.DUMMYFUNCTION("""COMPUTED_VALUE"""),"P-160")</f>
        <v>P-160</v>
      </c>
      <c r="B1038" s="42" t="str">
        <f>IFERROR(__xludf.DUMMYFUNCTION("""COMPUTED_VALUE"""),"Partner")</f>
        <v>Partner</v>
      </c>
      <c r="C1038" s="42" t="str">
        <f>IFERROR(__xludf.DUMMYFUNCTION("""COMPUTED_VALUE"""),"Kiyo Takamine")</f>
        <v>Kiyo Takamine</v>
      </c>
      <c r="D1038" s="42" t="str">
        <f>IFERROR(__xludf.DUMMYFUNCTION("""COMPUTED_VALUE"""),"Zatch Bell")</f>
        <v>Zatch Bell</v>
      </c>
      <c r="E1038" s="42" t="str">
        <f>IFERROR(__xludf.DUMMYFUNCTION("""COMPUTED_VALUE"""),"-")</f>
        <v>-</v>
      </c>
      <c r="F1038" s="42" t="str">
        <f>IFERROR(__xludf.DUMMYFUNCTION("""COMPUTED_VALUE"""),"-")</f>
        <v>-</v>
      </c>
      <c r="G1038" s="42" t="str">
        <f>IFERROR(__xludf.DUMMYFUNCTION("""COMPUTED_VALUE"""),"None")</f>
        <v>None</v>
      </c>
      <c r="H1038" s="42" t="str">
        <f>IFERROR(__xludf.DUMMYFUNCTION("""COMPUTED_VALUE"""),"Become the King")</f>
        <v>Become the King</v>
      </c>
      <c r="I1038" s="43" t="str">
        <f>IFERROR(__xludf.DUMMYFUNCTION("""COMPUTED_VALUE"""),"[IN DISCARD PILE] When this card is in your Discard Pile and you do not have a Kiyo Takamine or Piyo Takamine PARTNER card in play, apply all of the following effects. Your opponent cannot do the following: ● Move cards from their Discard Pile into play. "&amp;"● Move cards from their Discard Pile into pages of their Spell Book. ● Apply the effects of cards in their Discard Pile.")</f>
        <v>[IN DISCARD PILE] When this card is in your Discard Pile and you do not have a Kiyo Takamine or Piyo Takamine PARTNER card in play, apply all of the following effects. Your opponent cannot do the following: ● Move cards from their Discard Pile into play. ● Move cards from their Discard Pile into pages of their Spell Book. ● Apply the effects of cards in their Discard Pile.</v>
      </c>
      <c r="J1038" s="42" t="str">
        <f>IFERROR(__xludf.DUMMYFUNCTION("""COMPUTED_VALUE"""),"-")</f>
        <v>-</v>
      </c>
      <c r="K1038" s="42" t="str">
        <f>IFERROR(__xludf.DUMMYFUNCTION("""COMPUTED_VALUE"""),"-")</f>
        <v>-</v>
      </c>
      <c r="L1038" s="42" t="str">
        <f>IFERROR(__xludf.DUMMYFUNCTION("""COMPUTED_VALUE"""),"-")</f>
        <v>-</v>
      </c>
      <c r="M1038" s="42" t="str">
        <f>IFERROR(__xludf.DUMMYFUNCTION("""COMPUTED_VALUE"""),"[U]")</f>
        <v>[U]</v>
      </c>
      <c r="N1038" s="42" t="str">
        <f>IFERROR(__xludf.DUMMYFUNCTION("""COMPUTED_VALUE"""),"""Become King, Zatch... Become the King with your new book owner!""")</f>
        <v>"Become King, Zatch... Become the King with your new book owner!"</v>
      </c>
      <c r="O1038" s="42"/>
      <c r="P1038" s="42"/>
      <c r="Q1038" s="42"/>
      <c r="R1038" s="42"/>
      <c r="S1038" s="42"/>
      <c r="T1038" s="42"/>
      <c r="U1038" s="42"/>
      <c r="V1038" s="42"/>
      <c r="W1038" s="42"/>
      <c r="X1038" s="42"/>
      <c r="Y1038" s="42"/>
      <c r="Z1038" s="42"/>
    </row>
    <row r="1039">
      <c r="A1039" s="42" t="str">
        <f>IFERROR(__xludf.DUMMYFUNCTION("""COMPUTED_VALUE"""),"P-161")</f>
        <v>P-161</v>
      </c>
      <c r="B1039" s="42" t="str">
        <f>IFERROR(__xludf.DUMMYFUNCTION("""COMPUTED_VALUE"""),"Partner")</f>
        <v>Partner</v>
      </c>
      <c r="C1039" s="42" t="str">
        <f>IFERROR(__xludf.DUMMYFUNCTION("""COMPUTED_VALUE"""),"Apollo")</f>
        <v>Apollo</v>
      </c>
      <c r="D1039" s="42" t="str">
        <f>IFERROR(__xludf.DUMMYFUNCTION("""COMPUTED_VALUE"""),"Rops")</f>
        <v>Rops</v>
      </c>
      <c r="E1039" s="42" t="str">
        <f>IFERROR(__xludf.DUMMYFUNCTION("""COMPUTED_VALUE"""),"-")</f>
        <v>-</v>
      </c>
      <c r="F1039" s="42" t="str">
        <f>IFERROR(__xludf.DUMMYFUNCTION("""COMPUTED_VALUE"""),"-")</f>
        <v>-</v>
      </c>
      <c r="G1039" s="42" t="str">
        <f>IFERROR(__xludf.DUMMYFUNCTION("""COMPUTED_VALUE"""),"None")</f>
        <v>None</v>
      </c>
      <c r="H1039" s="42" t="str">
        <f>IFERROR(__xludf.DUMMYFUNCTION("""COMPUTED_VALUE"""),"Collaborator")</f>
        <v>Collaborator</v>
      </c>
      <c r="I1039" s="43" t="str">
        <f>IFERROR(__xludf.DUMMYFUNCTION("""COMPUTED_VALUE"""),"[SEND THIS CARD TO THE DISCARD PILE] [STANDBY] Select 1 EVENT card from any page of your Spell Book. The selected EVENT card can be played with a cost of 1 MP higher than its original MP cost during this turn.")</f>
        <v>[SEND THIS CARD TO THE DISCARD PILE] [STANDBY] Select 1 EVENT card from any page of your Spell Book. The selected EVENT card can be played with a cost of 1 MP higher than its original MP cost during this turn.</v>
      </c>
      <c r="J1039" s="42" t="str">
        <f>IFERROR(__xludf.DUMMYFUNCTION("""COMPUTED_VALUE"""),"-")</f>
        <v>-</v>
      </c>
      <c r="K1039" s="42" t="str">
        <f>IFERROR(__xludf.DUMMYFUNCTION("""COMPUTED_VALUE"""),"-")</f>
        <v>-</v>
      </c>
      <c r="L1039" s="42" t="str">
        <f>IFERROR(__xludf.DUMMYFUNCTION("""COMPUTED_VALUE"""),"-")</f>
        <v>-</v>
      </c>
      <c r="M1039" s="42" t="str">
        <f>IFERROR(__xludf.DUMMYFUNCTION("""COMPUTED_VALUE"""),"[C]")</f>
        <v>[C]</v>
      </c>
      <c r="N1039" s="42" t="str">
        <f>IFERROR(__xludf.DUMMYFUNCTION("""COMPUTED_VALUE"""),"""Don't let a creep like that...become the king of the world where Rops is now!""")</f>
        <v>"Don't let a creep like that...become the king of the world where Rops is now!"</v>
      </c>
      <c r="O1039" s="42"/>
      <c r="P1039" s="42"/>
      <c r="Q1039" s="42"/>
      <c r="R1039" s="42"/>
      <c r="S1039" s="42"/>
      <c r="T1039" s="42"/>
      <c r="U1039" s="42"/>
      <c r="V1039" s="42"/>
      <c r="W1039" s="42"/>
      <c r="X1039" s="42"/>
      <c r="Y1039" s="42"/>
      <c r="Z1039" s="42"/>
    </row>
    <row r="1040">
      <c r="A1040" s="42" t="str">
        <f>IFERROR(__xludf.DUMMYFUNCTION("""COMPUTED_VALUE"""),"P-162")</f>
        <v>P-162</v>
      </c>
      <c r="B1040" s="42" t="str">
        <f>IFERROR(__xludf.DUMMYFUNCTION("""COMPUTED_VALUE"""),"Partner")</f>
        <v>Partner</v>
      </c>
      <c r="C1040" s="42" t="str">
        <f>IFERROR(__xludf.DUMMYFUNCTION("""COMPUTED_VALUE"""),"Li-en")</f>
        <v>Li-en</v>
      </c>
      <c r="D1040" s="42" t="str">
        <f>IFERROR(__xludf.DUMMYFUNCTION("""COMPUTED_VALUE"""),"Wonrei")</f>
        <v>Wonrei</v>
      </c>
      <c r="E1040" s="42" t="str">
        <f>IFERROR(__xludf.DUMMYFUNCTION("""COMPUTED_VALUE"""),"-")</f>
        <v>-</v>
      </c>
      <c r="F1040" s="42" t="str">
        <f>IFERROR(__xludf.DUMMYFUNCTION("""COMPUTED_VALUE"""),"-")</f>
        <v>-</v>
      </c>
      <c r="G1040" s="42" t="str">
        <f>IFERROR(__xludf.DUMMYFUNCTION("""COMPUTED_VALUE"""),"None")</f>
        <v>None</v>
      </c>
      <c r="H1040" s="42" t="str">
        <f>IFERROR(__xludf.DUMMYFUNCTION("""COMPUTED_VALUE"""),"Even through Closed Eyes")</f>
        <v>Even through Closed Eyes</v>
      </c>
      <c r="I1040" s="43" t="str">
        <f>IFERROR(__xludf.DUMMYFUNCTION("""COMPUTED_VALUE"""),"[IN PLAY] 1 SPELL card with Wonrei as its MAMODO name can be played from the previous page of your Spell Book once per turn (per player).")</f>
        <v>[IN PLAY] 1 SPELL card with Wonrei as its MAMODO name can be played from the previous page of your Spell Book once per turn (per player).</v>
      </c>
      <c r="J1040" s="42" t="str">
        <f>IFERROR(__xludf.DUMMYFUNCTION("""COMPUTED_VALUE"""),"-")</f>
        <v>-</v>
      </c>
      <c r="K1040" s="42" t="str">
        <f>IFERROR(__xludf.DUMMYFUNCTION("""COMPUTED_VALUE"""),"-")</f>
        <v>-</v>
      </c>
      <c r="L1040" s="42" t="str">
        <f>IFERROR(__xludf.DUMMYFUNCTION("""COMPUTED_VALUE"""),"-")</f>
        <v>-</v>
      </c>
      <c r="M1040" s="42" t="str">
        <f>IFERROR(__xludf.DUMMYFUNCTION("""COMPUTED_VALUE"""),"[C]")</f>
        <v>[C]</v>
      </c>
      <c r="N1040" s="42" t="str">
        <f>IFERROR(__xludf.DUMMYFUNCTION("""COMPUTED_VALUE"""),"""Even though my eyes are closed, I can see you clearly... I can see a true ""king who protects""...")</f>
        <v>"Even though my eyes are closed, I can see you clearly... I can see a true "king who protects"...</v>
      </c>
      <c r="O1040" s="42"/>
      <c r="P1040" s="42"/>
      <c r="Q1040" s="42"/>
      <c r="R1040" s="42"/>
      <c r="S1040" s="42"/>
      <c r="T1040" s="42"/>
      <c r="U1040" s="42"/>
      <c r="V1040" s="42"/>
      <c r="W1040" s="42"/>
      <c r="X1040" s="42"/>
      <c r="Y1040" s="42"/>
      <c r="Z1040" s="42"/>
    </row>
    <row r="1041">
      <c r="A1041" s="42" t="str">
        <f>IFERROR(__xludf.DUMMYFUNCTION("""COMPUTED_VALUE"""),"P-163")</f>
        <v>P-163</v>
      </c>
      <c r="B1041" s="42" t="str">
        <f>IFERROR(__xludf.DUMMYFUNCTION("""COMPUTED_VALUE"""),"Partner")</f>
        <v>Partner</v>
      </c>
      <c r="C1041" s="42" t="str">
        <f>IFERROR(__xludf.DUMMYFUNCTION("""COMPUTED_VALUE"""),"Banikis Gigo")</f>
        <v>Banikis Gigo</v>
      </c>
      <c r="D1041" s="42" t="str">
        <f>IFERROR(__xludf.DUMMYFUNCTION("""COMPUTED_VALUE"""),"Riou")</f>
        <v>Riou</v>
      </c>
      <c r="E1041" s="42" t="str">
        <f>IFERROR(__xludf.DUMMYFUNCTION("""COMPUTED_VALUE"""),"-")</f>
        <v>-</v>
      </c>
      <c r="F1041" s="42" t="str">
        <f>IFERROR(__xludf.DUMMYFUNCTION("""COMPUTED_VALUE"""),"-")</f>
        <v>-</v>
      </c>
      <c r="G1041" s="42" t="str">
        <f>IFERROR(__xludf.DUMMYFUNCTION("""COMPUTED_VALUE"""),"None")</f>
        <v>None</v>
      </c>
      <c r="H1041" s="42" t="str">
        <f>IFERROR(__xludf.DUMMYFUNCTION("""COMPUTED_VALUE"""),"Faudo's Nutrient Fluid")</f>
        <v>Faudo's Nutrient Fluid</v>
      </c>
      <c r="I1041" s="43" t="str">
        <f>IFERROR(__xludf.DUMMYFUNCTION("""COMPUTED_VALUE"""),"[SEND THIS CARD TO THE DISCARD PILE] Get 4 MP. This effect can be applied only once per turn (per player).")</f>
        <v>[SEND THIS CARD TO THE DISCARD PILE] Get 4 MP. This effect can be applied only once per turn (per player).</v>
      </c>
      <c r="J1041" s="42" t="str">
        <f>IFERROR(__xludf.DUMMYFUNCTION("""COMPUTED_VALUE"""),"-")</f>
        <v>-</v>
      </c>
      <c r="K1041" s="42" t="str">
        <f>IFERROR(__xludf.DUMMYFUNCTION("""COMPUTED_VALUE"""),"-")</f>
        <v>-</v>
      </c>
      <c r="L1041" s="42" t="str">
        <f>IFERROR(__xludf.DUMMYFUNCTION("""COMPUTED_VALUE"""),"-")</f>
        <v>-</v>
      </c>
      <c r="M1041" s="42" t="str">
        <f>IFERROR(__xludf.DUMMYFUNCTION("""COMPUTED_VALUE"""),"[C]")</f>
        <v>[C]</v>
      </c>
      <c r="N1041" s="42" t="str">
        <f>IFERROR(__xludf.DUMMYFUNCTION("""COMPUTED_VALUE"""),"""Not just your physical strength, but your power from within will quickly recover.""")</f>
        <v>"Not just your physical strength, but your power from within will quickly recover."</v>
      </c>
      <c r="O1041" s="42"/>
      <c r="P1041" s="42"/>
      <c r="Q1041" s="42"/>
      <c r="R1041" s="42"/>
      <c r="S1041" s="42"/>
      <c r="T1041" s="42"/>
      <c r="U1041" s="42"/>
      <c r="V1041" s="42"/>
      <c r="W1041" s="42"/>
      <c r="X1041" s="42"/>
      <c r="Y1041" s="42"/>
      <c r="Z1041" s="42"/>
    </row>
    <row r="1042">
      <c r="A1042" s="42" t="str">
        <f>IFERROR(__xludf.DUMMYFUNCTION("""COMPUTED_VALUE"""),"P-164")</f>
        <v>P-164</v>
      </c>
      <c r="B1042" s="42" t="str">
        <f>IFERROR(__xludf.DUMMYFUNCTION("""COMPUTED_VALUE"""),"Partner")</f>
        <v>Partner</v>
      </c>
      <c r="C1042" s="42" t="str">
        <f>IFERROR(__xludf.DUMMYFUNCTION("""COMPUTED_VALUE"""),"Dufort")</f>
        <v>Dufort</v>
      </c>
      <c r="D1042" s="42" t="str">
        <f>IFERROR(__xludf.DUMMYFUNCTION("""COMPUTED_VALUE"""),"Zeno")</f>
        <v>Zeno</v>
      </c>
      <c r="E1042" s="42" t="str">
        <f>IFERROR(__xludf.DUMMYFUNCTION("""COMPUTED_VALUE"""),"-")</f>
        <v>-</v>
      </c>
      <c r="F1042" s="42" t="str">
        <f>IFERROR(__xludf.DUMMYFUNCTION("""COMPUTED_VALUE"""),"-")</f>
        <v>-</v>
      </c>
      <c r="G1042" s="42" t="str">
        <f>IFERROR(__xludf.DUMMYFUNCTION("""COMPUTED_VALUE"""),"None")</f>
        <v>None</v>
      </c>
      <c r="H1042" s="42" t="str">
        <f>IFERROR(__xludf.DUMMYFUNCTION("""COMPUTED_VALUE"""),"Cold Outlook")</f>
        <v>Cold Outlook</v>
      </c>
      <c r="I1042" s="43" t="str">
        <f>IFERROR(__xludf.DUMMYFUNCTION("""COMPUTED_VALUE"""),"[IN PLAY] Your opponent cannot increase the Damage of their Attacks.")</f>
        <v>[IN PLAY] Your opponent cannot increase the Damage of their Attacks.</v>
      </c>
      <c r="J1042" s="42" t="str">
        <f>IFERROR(__xludf.DUMMYFUNCTION("""COMPUTED_VALUE"""),"-")</f>
        <v>-</v>
      </c>
      <c r="K1042" s="42" t="str">
        <f>IFERROR(__xludf.DUMMYFUNCTION("""COMPUTED_VALUE"""),"-")</f>
        <v>-</v>
      </c>
      <c r="L1042" s="42" t="str">
        <f>IFERROR(__xludf.DUMMYFUNCTION("""COMPUTED_VALUE"""),"-")</f>
        <v>-</v>
      </c>
      <c r="M1042" s="42" t="str">
        <f>IFERROR(__xludf.DUMMYFUNCTION("""COMPUTED_VALUE"""),"[C]")</f>
        <v>[C]</v>
      </c>
      <c r="N1042" s="42" t="str">
        <f>IFERROR(__xludf.DUMMYFUNCTION("""COMPUTED_VALUE"""),"""What an imbecile...""")</f>
        <v>"What an imbecile..."</v>
      </c>
      <c r="O1042" s="42"/>
      <c r="P1042" s="42"/>
      <c r="Q1042" s="42"/>
      <c r="R1042" s="42"/>
      <c r="S1042" s="42"/>
      <c r="T1042" s="42"/>
      <c r="U1042" s="42"/>
      <c r="V1042" s="42"/>
      <c r="W1042" s="42"/>
      <c r="X1042" s="42"/>
      <c r="Y1042" s="42"/>
      <c r="Z1042" s="42"/>
    </row>
    <row r="1043">
      <c r="A1043" s="42" t="str">
        <f>IFERROR(__xludf.DUMMYFUNCTION("""COMPUTED_VALUE"""),"P-165")</f>
        <v>P-165</v>
      </c>
      <c r="B1043" s="42" t="str">
        <f>IFERROR(__xludf.DUMMYFUNCTION("""COMPUTED_VALUE"""),"Partner")</f>
        <v>Partner</v>
      </c>
      <c r="C1043" s="42" t="str">
        <f>IFERROR(__xludf.DUMMYFUNCTION("""COMPUTED_VALUE"""),"Banikis Gigo")</f>
        <v>Banikis Gigo</v>
      </c>
      <c r="D1043" s="42" t="str">
        <f>IFERROR(__xludf.DUMMYFUNCTION("""COMPUTED_VALUE"""),"Riou")</f>
        <v>Riou</v>
      </c>
      <c r="E1043" s="42" t="str">
        <f>IFERROR(__xludf.DUMMYFUNCTION("""COMPUTED_VALUE"""),"-")</f>
        <v>-</v>
      </c>
      <c r="F1043" s="42" t="str">
        <f>IFERROR(__xludf.DUMMYFUNCTION("""COMPUTED_VALUE"""),"-")</f>
        <v>-</v>
      </c>
      <c r="G1043" s="42" t="str">
        <f>IFERROR(__xludf.DUMMYFUNCTION("""COMPUTED_VALUE"""),"None")</f>
        <v>None</v>
      </c>
      <c r="H1043" s="42" t="str">
        <f>IFERROR(__xludf.DUMMYFUNCTION("""COMPUTED_VALUE"""),"Concern")</f>
        <v>Concern</v>
      </c>
      <c r="I1043" s="43" t="str">
        <f>IFERROR(__xludf.DUMMYFUNCTION("""COMPUTED_VALUE"""),"[SEND THIS CARD TO THE DISCARD PILE] Negate 1 [Stay] effect that does not remain active for the duration of the game.")</f>
        <v>[SEND THIS CARD TO THE DISCARD PILE] Negate 1 [Stay] effect that does not remain active for the duration of the game.</v>
      </c>
      <c r="J1043" s="42" t="str">
        <f>IFERROR(__xludf.DUMMYFUNCTION("""COMPUTED_VALUE"""),"-")</f>
        <v>-</v>
      </c>
      <c r="K1043" s="42" t="str">
        <f>IFERROR(__xludf.DUMMYFUNCTION("""COMPUTED_VALUE"""),"-")</f>
        <v>-</v>
      </c>
      <c r="L1043" s="42" t="str">
        <f>IFERROR(__xludf.DUMMYFUNCTION("""COMPUTED_VALUE"""),"-")</f>
        <v>-</v>
      </c>
      <c r="M1043" s="42" t="str">
        <f>IFERROR(__xludf.DUMMYFUNCTION("""COMPUTED_VALUE"""),"[C]")</f>
        <v>[C]</v>
      </c>
      <c r="N1043" s="42" t="str">
        <f>IFERROR(__xludf.DUMMYFUNCTION("""COMPUTED_VALUE"""),"""R-Riou! Your face looks pale. The curse must be harming you...""")</f>
        <v>"R-Riou! Your face looks pale. The curse must be harming you..."</v>
      </c>
      <c r="O1043" s="42"/>
      <c r="P1043" s="42"/>
      <c r="Q1043" s="42"/>
      <c r="R1043" s="42"/>
      <c r="S1043" s="42"/>
      <c r="T1043" s="42"/>
      <c r="U1043" s="42"/>
      <c r="V1043" s="42"/>
      <c r="W1043" s="42"/>
      <c r="X1043" s="42"/>
      <c r="Y1043" s="42"/>
      <c r="Z1043" s="42"/>
    </row>
    <row r="1044">
      <c r="A1044" s="42" t="str">
        <f>IFERROR(__xludf.DUMMYFUNCTION("""COMPUTED_VALUE"""),"P-166")</f>
        <v>P-166</v>
      </c>
      <c r="B1044" s="42" t="str">
        <f>IFERROR(__xludf.DUMMYFUNCTION("""COMPUTED_VALUE"""),"Partner")</f>
        <v>Partner</v>
      </c>
      <c r="C1044" s="42" t="str">
        <f>IFERROR(__xludf.DUMMYFUNCTION("""COMPUTED_VALUE"""),"Dufort")</f>
        <v>Dufort</v>
      </c>
      <c r="D1044" s="42" t="str">
        <f>IFERROR(__xludf.DUMMYFUNCTION("""COMPUTED_VALUE"""),"Zeno")</f>
        <v>Zeno</v>
      </c>
      <c r="E1044" s="42" t="str">
        <f>IFERROR(__xludf.DUMMYFUNCTION("""COMPUTED_VALUE"""),"-")</f>
        <v>-</v>
      </c>
      <c r="F1044" s="42" t="str">
        <f>IFERROR(__xludf.DUMMYFUNCTION("""COMPUTED_VALUE"""),"-")</f>
        <v>-</v>
      </c>
      <c r="G1044" s="42" t="str">
        <f>IFERROR(__xludf.DUMMYFUNCTION("""COMPUTED_VALUE"""),"None")</f>
        <v>None</v>
      </c>
      <c r="H1044" s="42" t="str">
        <f>IFERROR(__xludf.DUMMYFUNCTION("""COMPUTED_VALUE"""),"Casual Perception")</f>
        <v>Casual Perception</v>
      </c>
      <c r="I1044" s="43" t="str">
        <f>IFERROR(__xludf.DUMMYFUNCTION("""COMPUTED_VALUE"""),"[SEND THIS CARD TO THE DISCARD PILE] (Cut-In) Negate the effect your opponent just applied (except [Stay] and/or [Standby] effects).")</f>
        <v>[SEND THIS CARD TO THE DISCARD PILE] (Cut-In) Negate the effect your opponent just applied (except [Stay] and/or [Standby] effects).</v>
      </c>
      <c r="J1044" s="42" t="str">
        <f>IFERROR(__xludf.DUMMYFUNCTION("""COMPUTED_VALUE"""),"-")</f>
        <v>-</v>
      </c>
      <c r="K1044" s="42" t="str">
        <f>IFERROR(__xludf.DUMMYFUNCTION("""COMPUTED_VALUE"""),"-")</f>
        <v>-</v>
      </c>
      <c r="L1044" s="42" t="str">
        <f>IFERROR(__xludf.DUMMYFUNCTION("""COMPUTED_VALUE"""),"-")</f>
        <v>-</v>
      </c>
      <c r="M1044" s="42" t="str">
        <f>IFERROR(__xludf.DUMMYFUNCTION("""COMPUTED_VALUE"""),"[U]")</f>
        <v>[U]</v>
      </c>
      <c r="N1044" s="42" t="str">
        <f>IFERROR(__xludf.DUMMYFUNCTION("""COMPUTED_VALUE"""),"""You're in such a good mood, Zeno. I haven't seen you really enjoy a battle in a while...""")</f>
        <v>"You're in such a good mood, Zeno. I haven't seen you really enjoy a battle in a while..."</v>
      </c>
      <c r="O1044" s="42"/>
      <c r="P1044" s="42"/>
      <c r="Q1044" s="42"/>
      <c r="R1044" s="42"/>
      <c r="S1044" s="42"/>
      <c r="T1044" s="42"/>
      <c r="U1044" s="42"/>
      <c r="V1044" s="42"/>
      <c r="W1044" s="42"/>
      <c r="X1044" s="42"/>
      <c r="Y1044" s="42"/>
      <c r="Z1044" s="42"/>
    </row>
    <row r="1045">
      <c r="A1045" s="42" t="str">
        <f>IFERROR(__xludf.DUMMYFUNCTION("""COMPUTED_VALUE"""),"P-167")</f>
        <v>P-167</v>
      </c>
      <c r="B1045" s="42" t="str">
        <f>IFERROR(__xludf.DUMMYFUNCTION("""COMPUTED_VALUE"""),"Partner")</f>
        <v>Partner</v>
      </c>
      <c r="C1045" s="42" t="str">
        <f>IFERROR(__xludf.DUMMYFUNCTION("""COMPUTED_VALUE"""),"Kafk Sunbeam")</f>
        <v>Kafk Sunbeam</v>
      </c>
      <c r="D1045" s="42" t="str">
        <f>IFERROR(__xludf.DUMMYFUNCTION("""COMPUTED_VALUE"""),"Ponygon")</f>
        <v>Ponygon</v>
      </c>
      <c r="E1045" s="42" t="str">
        <f>IFERROR(__xludf.DUMMYFUNCTION("""COMPUTED_VALUE"""),"-")</f>
        <v>-</v>
      </c>
      <c r="F1045" s="42" t="str">
        <f>IFERROR(__xludf.DUMMYFUNCTION("""COMPUTED_VALUE"""),"-")</f>
        <v>-</v>
      </c>
      <c r="G1045" s="42" t="str">
        <f>IFERROR(__xludf.DUMMYFUNCTION("""COMPUTED_VALUE"""),"None")</f>
        <v>None</v>
      </c>
      <c r="H1045" s="42" t="str">
        <f>IFERROR(__xludf.DUMMYFUNCTION("""COMPUTED_VALUE"""),"All We Need")</f>
        <v>All We Need</v>
      </c>
      <c r="I1045" s="43" t="str">
        <f>IFERROR(__xludf.DUMMYFUNCTION("""COMPUTED_VALUE"""),"[SEND THIS CARD TO THE DISCARD PILE] Turn 1 page of your opponent's Spell Book during your BATTLE PHASE. Effects that turn pages of your opponent's Spell Book can be applied only once per turn (per player).")</f>
        <v>[SEND THIS CARD TO THE DISCARD PILE] Turn 1 page of your opponent's Spell Book during your BATTLE PHASE. Effects that turn pages of your opponent's Spell Book can be applied only once per turn (per player).</v>
      </c>
      <c r="J1045" s="42" t="str">
        <f>IFERROR(__xludf.DUMMYFUNCTION("""COMPUTED_VALUE"""),"-")</f>
        <v>-</v>
      </c>
      <c r="K1045" s="42" t="str">
        <f>IFERROR(__xludf.DUMMYFUNCTION("""COMPUTED_VALUE"""),"-")</f>
        <v>-</v>
      </c>
      <c r="L1045" s="42" t="str">
        <f>IFERROR(__xludf.DUMMYFUNCTION("""COMPUTED_VALUE"""),"-")</f>
        <v>-</v>
      </c>
      <c r="M1045" s="42" t="str">
        <f>IFERROR(__xludf.DUMMYFUNCTION("""COMPUTED_VALUE"""),"[C]")</f>
        <v>[C]</v>
      </c>
      <c r="N1045" s="42" t="str">
        <f>IFERROR(__xludf.DUMMYFUNCTION("""COMPUTED_VALUE"""),"""I was only able to use my weakest spell, but... that's all we need to take down a human.""")</f>
        <v>"I was only able to use my weakest spell, but... that's all we need to take down a human."</v>
      </c>
      <c r="O1045" s="42"/>
      <c r="P1045" s="42"/>
      <c r="Q1045" s="42"/>
      <c r="R1045" s="42"/>
      <c r="S1045" s="42"/>
      <c r="T1045" s="42"/>
      <c r="U1045" s="42"/>
      <c r="V1045" s="42"/>
      <c r="W1045" s="42"/>
      <c r="X1045" s="42"/>
      <c r="Y1045" s="42"/>
      <c r="Z1045" s="42"/>
    </row>
    <row r="1046">
      <c r="A1046" s="42" t="str">
        <f>IFERROR(__xludf.DUMMYFUNCTION("""COMPUTED_VALUE"""),"P-168")</f>
        <v>P-168</v>
      </c>
      <c r="B1046" s="42" t="str">
        <f>IFERROR(__xludf.DUMMYFUNCTION("""COMPUTED_VALUE"""),"Partner")</f>
        <v>Partner</v>
      </c>
      <c r="C1046" s="42" t="str">
        <f>IFERROR(__xludf.DUMMYFUNCTION("""COMPUTED_VALUE"""),"Alishie")</f>
        <v>Alishie</v>
      </c>
      <c r="D1046" s="42" t="str">
        <f>IFERROR(__xludf.DUMMYFUNCTION("""COMPUTED_VALUE"""),"Riya")</f>
        <v>Riya</v>
      </c>
      <c r="E1046" s="42" t="str">
        <f>IFERROR(__xludf.DUMMYFUNCTION("""COMPUTED_VALUE"""),"-")</f>
        <v>-</v>
      </c>
      <c r="F1046" s="42" t="str">
        <f>IFERROR(__xludf.DUMMYFUNCTION("""COMPUTED_VALUE"""),"-")</f>
        <v>-</v>
      </c>
      <c r="G1046" s="42" t="str">
        <f>IFERROR(__xludf.DUMMYFUNCTION("""COMPUTED_VALUE"""),"Intermediate")</f>
        <v>Intermediate</v>
      </c>
      <c r="H1046" s="42" t="str">
        <f>IFERROR(__xludf.DUMMYFUNCTION("""COMPUTED_VALUE"""),"A True Warrior")</f>
        <v>A True Warrior</v>
      </c>
      <c r="I1046" s="43" t="str">
        <f>IFERROR(__xludf.DUMMYFUNCTION("""COMPUTED_VALUE"""),"This card is placed on a regular Alishie PARTNER card. (Attack) (Defend) [DECLARE TO USE] This card may Attack without using a SPELL card (Total Power=8000, Damage=2) OR, Defend without using a SPELL card (Total Power=8000).")</f>
        <v>This card is placed on a regular Alishie PARTNER card. (Attack) (Defend) [DECLARE TO USE] This card may Attack without using a SPELL card (Total Power=8000, Damage=2) OR, Defend without using a SPELL card (Total Power=8000).</v>
      </c>
      <c r="J1046" s="42" t="str">
        <f>IFERROR(__xludf.DUMMYFUNCTION("""COMPUTED_VALUE"""),"-")</f>
        <v>-</v>
      </c>
      <c r="K1046" s="42" t="str">
        <f>IFERROR(__xludf.DUMMYFUNCTION("""COMPUTED_VALUE"""),"-")</f>
        <v>-</v>
      </c>
      <c r="L1046" s="42" t="str">
        <f>IFERROR(__xludf.DUMMYFUNCTION("""COMPUTED_VALUE"""),"-")</f>
        <v>-</v>
      </c>
      <c r="M1046" s="42" t="str">
        <f>IFERROR(__xludf.DUMMYFUNCTION("""COMPUTED_VALUE"""),"[R]")</f>
        <v>[R]</v>
      </c>
      <c r="N1046" s="42" t="str">
        <f>IFERROR(__xludf.DUMMYFUNCTION("""COMPUTED_VALUE"""),"""Yes... I will abandon all weakness and become a true warrior.""")</f>
        <v>"Yes... I will abandon all weakness and become a true warrior."</v>
      </c>
      <c r="O1046" s="42"/>
      <c r="P1046" s="42"/>
      <c r="Q1046" s="42"/>
      <c r="R1046" s="42"/>
      <c r="S1046" s="42"/>
      <c r="T1046" s="42"/>
      <c r="U1046" s="42"/>
      <c r="V1046" s="42"/>
      <c r="W1046" s="42"/>
      <c r="X1046" s="42"/>
      <c r="Y1046" s="42"/>
      <c r="Z1046" s="42"/>
    </row>
    <row r="1047">
      <c r="A1047" s="42" t="str">
        <f>IFERROR(__xludf.DUMMYFUNCTION("""COMPUTED_VALUE"""),"P-169")</f>
        <v>P-169</v>
      </c>
      <c r="B1047" s="42" t="str">
        <f>IFERROR(__xludf.DUMMYFUNCTION("""COMPUTED_VALUE"""),"Partner")</f>
        <v>Partner</v>
      </c>
      <c r="C1047" s="42" t="str">
        <f>IFERROR(__xludf.DUMMYFUNCTION("""COMPUTED_VALUE"""),"Raushin Mo")</f>
        <v>Raushin Mo</v>
      </c>
      <c r="D1047" s="42" t="str">
        <f>IFERROR(__xludf.DUMMYFUNCTION("""COMPUTED_VALUE"""),"Zaruchim")</f>
        <v>Zaruchim</v>
      </c>
      <c r="E1047" s="42" t="str">
        <f>IFERROR(__xludf.DUMMYFUNCTION("""COMPUTED_VALUE"""),"-")</f>
        <v>-</v>
      </c>
      <c r="F1047" s="42" t="str">
        <f>IFERROR(__xludf.DUMMYFUNCTION("""COMPUTED_VALUE"""),"-")</f>
        <v>-</v>
      </c>
      <c r="G1047" s="42" t="str">
        <f>IFERROR(__xludf.DUMMYFUNCTION("""COMPUTED_VALUE"""),"None")</f>
        <v>None</v>
      </c>
      <c r="H1047" s="42" t="str">
        <f>IFERROR(__xludf.DUMMYFUNCTION("""COMPUTED_VALUE"""),"Holding Hostage")</f>
        <v>Holding Hostage</v>
      </c>
      <c r="I1047" s="43" t="str">
        <f>IFERROR(__xludf.DUMMYFUNCTION("""COMPUTED_VALUE"""),"[SEND THIS CARD TO THE DISCARD PILE] [STAY] Your opponent cannot apply card effects with [In Play] until the END PHASE of the next turn.")</f>
        <v>[SEND THIS CARD TO THE DISCARD PILE] [STAY] Your opponent cannot apply card effects with [In Play] until the END PHASE of the next turn.</v>
      </c>
      <c r="J1047" s="42" t="str">
        <f>IFERROR(__xludf.DUMMYFUNCTION("""COMPUTED_VALUE"""),"-")</f>
        <v>-</v>
      </c>
      <c r="K1047" s="42" t="str">
        <f>IFERROR(__xludf.DUMMYFUNCTION("""COMPUTED_VALUE"""),"-")</f>
        <v>-</v>
      </c>
      <c r="L1047" s="42" t="str">
        <f>IFERROR(__xludf.DUMMYFUNCTION("""COMPUTED_VALUE"""),"-")</f>
        <v>-</v>
      </c>
      <c r="M1047" s="42" t="str">
        <f>IFERROR(__xludf.DUMMYFUNCTION("""COMPUTED_VALUE"""),"[C]")</f>
        <v>[C]</v>
      </c>
      <c r="N1047" s="42" t="str">
        <f>IFERROR(__xludf.DUMMYFUNCTION("""COMPUTED_VALUE"""),"""I didn't think we'd have to use a hostage... Good thing we captured him just in case...""")</f>
        <v>"I didn't think we'd have to use a hostage... Good thing we captured him just in case..."</v>
      </c>
      <c r="O1047" s="42"/>
      <c r="P1047" s="42"/>
      <c r="Q1047" s="42"/>
      <c r="R1047" s="42"/>
      <c r="S1047" s="42"/>
      <c r="T1047" s="42"/>
      <c r="U1047" s="42"/>
      <c r="V1047" s="42"/>
      <c r="W1047" s="42"/>
      <c r="X1047" s="42"/>
      <c r="Y1047" s="42"/>
      <c r="Z1047" s="42"/>
    </row>
    <row r="1048">
      <c r="A1048" s="42" t="str">
        <f>IFERROR(__xludf.DUMMYFUNCTION("""COMPUTED_VALUE"""),"P-170")</f>
        <v>P-170</v>
      </c>
      <c r="B1048" s="42" t="str">
        <f>IFERROR(__xludf.DUMMYFUNCTION("""COMPUTED_VALUE"""),"Partner")</f>
        <v>Partner</v>
      </c>
      <c r="C1048" s="42" t="str">
        <f>IFERROR(__xludf.DUMMYFUNCTION("""COMPUTED_VALUE"""),"Adler")</f>
        <v>Adler</v>
      </c>
      <c r="D1048" s="42" t="str">
        <f>IFERROR(__xludf.DUMMYFUNCTION("""COMPUTED_VALUE"""),"Fango")</f>
        <v>Fango</v>
      </c>
      <c r="E1048" s="42" t="str">
        <f>IFERROR(__xludf.DUMMYFUNCTION("""COMPUTED_VALUE"""),"-")</f>
        <v>-</v>
      </c>
      <c r="F1048" s="42" t="str">
        <f>IFERROR(__xludf.DUMMYFUNCTION("""COMPUTED_VALUE"""),"-")</f>
        <v>-</v>
      </c>
      <c r="G1048" s="42" t="str">
        <f>IFERROR(__xludf.DUMMYFUNCTION("""COMPUTED_VALUE"""),"None")</f>
        <v>None</v>
      </c>
      <c r="H1048" s="42" t="str">
        <f>IFERROR(__xludf.DUMMYFUNCTION("""COMPUTED_VALUE"""),"Nutrient Fluid")</f>
        <v>Nutrient Fluid</v>
      </c>
      <c r="I1048" s="43" t="str">
        <f>IFERROR(__xludf.DUMMYFUNCTION("""COMPUTED_VALUE"""),"[SEND THIS CARD TO THE DISCARD PILE] Get 4 MP. This effect can be applied only once per turn (per player).")</f>
        <v>[SEND THIS CARD TO THE DISCARD PILE] Get 4 MP. This effect can be applied only once per turn (per player).</v>
      </c>
      <c r="J1048" s="42" t="str">
        <f>IFERROR(__xludf.DUMMYFUNCTION("""COMPUTED_VALUE"""),"-")</f>
        <v>-</v>
      </c>
      <c r="K1048" s="42" t="str">
        <f>IFERROR(__xludf.DUMMYFUNCTION("""COMPUTED_VALUE"""),"-")</f>
        <v>-</v>
      </c>
      <c r="L1048" s="42" t="str">
        <f>IFERROR(__xludf.DUMMYFUNCTION("""COMPUTED_VALUE"""),"-")</f>
        <v>-</v>
      </c>
      <c r="M1048" s="42" t="str">
        <f>IFERROR(__xludf.DUMMYFUNCTION("""COMPUTED_VALUE"""),"[C]")</f>
        <v>[C]</v>
      </c>
      <c r="N1048" s="42" t="str">
        <f>IFERROR(__xludf.DUMMYFUNCTION("""COMPUTED_VALUE"""),"""Adler, you've taken the nutrient fluid, right?""")</f>
        <v>"Adler, you've taken the nutrient fluid, right?"</v>
      </c>
      <c r="O1048" s="42"/>
      <c r="P1048" s="42"/>
      <c r="Q1048" s="42"/>
      <c r="R1048" s="42"/>
      <c r="S1048" s="42"/>
      <c r="T1048" s="42"/>
      <c r="U1048" s="42"/>
      <c r="V1048" s="42"/>
      <c r="W1048" s="42"/>
      <c r="X1048" s="42"/>
      <c r="Y1048" s="42"/>
      <c r="Z1048" s="42"/>
    </row>
    <row r="1049">
      <c r="A1049" s="42" t="str">
        <f>IFERROR(__xludf.DUMMYFUNCTION("""COMPUTED_VALUE"""),"P-171")</f>
        <v>P-171</v>
      </c>
      <c r="B1049" s="42" t="str">
        <f>IFERROR(__xludf.DUMMYFUNCTION("""COMPUTED_VALUE"""),"Partner")</f>
        <v>Partner</v>
      </c>
      <c r="C1049" s="42" t="str">
        <f>IFERROR(__xludf.DUMMYFUNCTION("""COMPUTED_VALUE"""),"Nicole")</f>
        <v>Nicole</v>
      </c>
      <c r="D1049" s="42" t="str">
        <f>IFERROR(__xludf.DUMMYFUNCTION("""COMPUTED_VALUE"""),"Cherish")</f>
        <v>Cherish</v>
      </c>
      <c r="E1049" s="42" t="str">
        <f>IFERROR(__xludf.DUMMYFUNCTION("""COMPUTED_VALUE"""),"-")</f>
        <v>-</v>
      </c>
      <c r="F1049" s="42" t="str">
        <f>IFERROR(__xludf.DUMMYFUNCTION("""COMPUTED_VALUE"""),"-")</f>
        <v>-</v>
      </c>
      <c r="G1049" s="42" t="str">
        <f>IFERROR(__xludf.DUMMYFUNCTION("""COMPUTED_VALUE"""),"None")</f>
        <v>None</v>
      </c>
      <c r="H1049" s="42" t="str">
        <f>IFERROR(__xludf.DUMMYFUNCTION("""COMPUTED_VALUE"""),"Male Disguise")</f>
        <v>Male Disguise</v>
      </c>
      <c r="I1049" s="43" t="str">
        <f>IFERROR(__xludf.DUMMYFUNCTION("""COMPUTED_VALUE"""),"[DECLARE TO USE] Select 1 PARTNER card from any page of your Spell Book and put it in play away face-down, away from your PARTNER card area. ● With 1 Action, you can flip the selected card face-up and put it in play. ● With 1 Action, you cna move the card"&amp;" to an empty page of your Book. ● Only 1 face-down PARTNER card can be in play at a time (per player). ● The selected card is not considered to be in play while it is face-down.")</f>
        <v>[DECLARE TO USE] Select 1 PARTNER card from any page of your Spell Book and put it in play away face-down, away from your PARTNER card area. ● With 1 Action, you can flip the selected card face-up and put it in play. ● With 1 Action, you cna move the card to an empty page of your Book. ● Only 1 face-down PARTNER card can be in play at a time (per player). ● The selected card is not considered to be in play while it is face-down.</v>
      </c>
      <c r="J1049" s="42" t="str">
        <f>IFERROR(__xludf.DUMMYFUNCTION("""COMPUTED_VALUE"""),"-")</f>
        <v>-</v>
      </c>
      <c r="K1049" s="42" t="str">
        <f>IFERROR(__xludf.DUMMYFUNCTION("""COMPUTED_VALUE"""),"-")</f>
        <v>-</v>
      </c>
      <c r="L1049" s="42" t="str">
        <f>IFERROR(__xludf.DUMMYFUNCTION("""COMPUTED_VALUE"""),"-")</f>
        <v>-</v>
      </c>
      <c r="M1049" s="42" t="str">
        <f>IFERROR(__xludf.DUMMYFUNCTION("""COMPUTED_VALUE"""),"[C]")</f>
        <v>[C]</v>
      </c>
      <c r="N1049" s="42" t="str">
        <f>IFERROR(__xludf.DUMMYFUNCTION("""COMPUTED_VALUE"""),"""You silly... Nicole is a girl.""")</f>
        <v>"You silly... Nicole is a girl."</v>
      </c>
      <c r="O1049" s="42"/>
      <c r="P1049" s="42"/>
      <c r="Q1049" s="42"/>
      <c r="R1049" s="42"/>
      <c r="S1049" s="42"/>
      <c r="T1049" s="42"/>
      <c r="U1049" s="42"/>
      <c r="V1049" s="42"/>
      <c r="W1049" s="42"/>
      <c r="X1049" s="42"/>
      <c r="Y1049" s="42"/>
      <c r="Z1049" s="42"/>
    </row>
    <row r="1050">
      <c r="A1050" s="41" t="str">
        <f>IFERROR(__xludf.DUMMYFUNCTION("""COMPUTED_VALUE"""),"PR-001")</f>
        <v>PR-001</v>
      </c>
      <c r="B1050" s="42" t="str">
        <f>IFERROR(__xludf.DUMMYFUNCTION("""COMPUTED_VALUE"""),"Mamodo")</f>
        <v>Mamodo</v>
      </c>
      <c r="C1050" s="42" t="str">
        <f>IFERROR(__xludf.DUMMYFUNCTION("""COMPUTED_VALUE"""),"Zatch Bell")</f>
        <v>Zatch Bell</v>
      </c>
      <c r="D1050" s="42" t="str">
        <f>IFERROR(__xludf.DUMMYFUNCTION("""COMPUTED_VALUE"""),"Zatch Bell")</f>
        <v>Zatch Bell</v>
      </c>
      <c r="E1050" s="42" t="str">
        <f>IFERROR(__xludf.DUMMYFUNCTION("""COMPUTED_VALUE"""),"-")</f>
        <v>-</v>
      </c>
      <c r="F1050" s="42" t="str">
        <f>IFERROR(__xludf.DUMMYFUNCTION("""COMPUTED_VALUE"""),"-")</f>
        <v>-</v>
      </c>
      <c r="G1050" s="42" t="str">
        <f>IFERROR(__xludf.DUMMYFUNCTION("""COMPUTED_VALUE"""),"None")</f>
        <v>None</v>
      </c>
      <c r="H1050" s="42" t="str">
        <f>IFERROR(__xludf.DUMMYFUNCTION("""COMPUTED_VALUE"""),"Majestic")</f>
        <v>Majestic</v>
      </c>
      <c r="I1050" s="43" t="str">
        <f>IFERROR(__xludf.DUMMYFUNCTION("""COMPUTED_VALUE"""),"[DECLARE TO USE] [STANDBY] The MP cost of a SPELL card played for this MAMODO card with an MP cost of 3 or less during this turn is considered to be 0. This effect can be applied only once per game (per player).")</f>
        <v>[DECLARE TO USE] [STANDBY] The MP cost of a SPELL card played for this MAMODO card with an MP cost of 3 or less during this turn is considered to be 0. This effect can be applied only once per game (per player).</v>
      </c>
      <c r="J1050" s="42">
        <f>IFERROR(__xludf.DUMMYFUNCTION("""COMPUTED_VALUE"""),4500.0)</f>
        <v>4500</v>
      </c>
      <c r="K1050" s="42" t="str">
        <f>IFERROR(__xludf.DUMMYFUNCTION("""COMPUTED_VALUE"""),"-")</f>
        <v>-</v>
      </c>
      <c r="L1050" s="42" t="str">
        <f>IFERROR(__xludf.DUMMYFUNCTION("""COMPUTED_VALUE"""),"Promo")</f>
        <v>Promo</v>
      </c>
      <c r="M1050" s="42" t="str">
        <f>IFERROR(__xludf.DUMMYFUNCTION("""COMPUTED_VALUE"""),"[R]")</f>
        <v>[R]</v>
      </c>
      <c r="N1050" s="42" t="str">
        <f>IFERROR(__xludf.DUMMYFUNCTION("""COMPUTED_VALUE"""),"""My name is Zatch Bell!""")</f>
        <v>"My name is Zatch Bell!"</v>
      </c>
      <c r="O1050" s="42"/>
      <c r="P1050" s="42"/>
      <c r="Q1050" s="42"/>
      <c r="R1050" s="42"/>
      <c r="S1050" s="42"/>
      <c r="T1050" s="42"/>
      <c r="U1050" s="42"/>
      <c r="V1050" s="42"/>
      <c r="W1050" s="42"/>
      <c r="X1050" s="42"/>
      <c r="Y1050" s="42"/>
      <c r="Z1050" s="42"/>
    </row>
    <row r="1051">
      <c r="A1051" s="41" t="str">
        <f>IFERROR(__xludf.DUMMYFUNCTION("""COMPUTED_VALUE"""),"PR-002")</f>
        <v>PR-002</v>
      </c>
      <c r="B1051" s="42" t="str">
        <f>IFERROR(__xludf.DUMMYFUNCTION("""COMPUTED_VALUE"""),"Mamodo")</f>
        <v>Mamodo</v>
      </c>
      <c r="C1051" s="42" t="str">
        <f>IFERROR(__xludf.DUMMYFUNCTION("""COMPUTED_VALUE"""),"Zatch Bell")</f>
        <v>Zatch Bell</v>
      </c>
      <c r="D1051" s="42" t="str">
        <f>IFERROR(__xludf.DUMMYFUNCTION("""COMPUTED_VALUE"""),"Zatch Bell")</f>
        <v>Zatch Bell</v>
      </c>
      <c r="E1051" s="42" t="str">
        <f>IFERROR(__xludf.DUMMYFUNCTION("""COMPUTED_VALUE"""),"-")</f>
        <v>-</v>
      </c>
      <c r="F1051" s="42" t="str">
        <f>IFERROR(__xludf.DUMMYFUNCTION("""COMPUTED_VALUE"""),"-")</f>
        <v>-</v>
      </c>
      <c r="G1051" s="42" t="str">
        <f>IFERROR(__xludf.DUMMYFUNCTION("""COMPUTED_VALUE"""),"None")</f>
        <v>None</v>
      </c>
      <c r="H1051" s="42" t="str">
        <f>IFERROR(__xludf.DUMMYFUNCTION("""COMPUTED_VALUE"""),"Best Friend")</f>
        <v>Best Friend</v>
      </c>
      <c r="I1051" s="43" t="str">
        <f>IFERROR(__xludf.DUMMYFUNCTION("""COMPUTED_VALUE"""),"[3 MP] [STAY] Add 2000 Power to this MAMODO card during this turn.")</f>
        <v>[3 MP] [STAY] Add 2000 Power to this MAMODO card during this turn.</v>
      </c>
      <c r="J1051" s="42">
        <f>IFERROR(__xludf.DUMMYFUNCTION("""COMPUTED_VALUE"""),4000.0)</f>
        <v>4000</v>
      </c>
      <c r="K1051" s="42" t="str">
        <f>IFERROR(__xludf.DUMMYFUNCTION("""COMPUTED_VALUE"""),"-")</f>
        <v>-</v>
      </c>
      <c r="L1051" s="42" t="str">
        <f>IFERROR(__xludf.DUMMYFUNCTION("""COMPUTED_VALUE"""),"Promo")</f>
        <v>Promo</v>
      </c>
      <c r="M1051" s="42" t="str">
        <f>IFERROR(__xludf.DUMMYFUNCTION("""COMPUTED_VALUE"""),"[R]")</f>
        <v>[R]</v>
      </c>
      <c r="N1051" s="42" t="str">
        <f>IFERROR(__xludf.DUMMYFUNCTION("""COMPUTED_VALUE"""),"""Zatch, you are my friend!""")</f>
        <v>"Zatch, you are my friend!"</v>
      </c>
      <c r="O1051" s="42"/>
      <c r="P1051" s="42"/>
      <c r="Q1051" s="42"/>
      <c r="R1051" s="42"/>
      <c r="S1051" s="42"/>
      <c r="T1051" s="42"/>
      <c r="U1051" s="42"/>
      <c r="V1051" s="42"/>
      <c r="W1051" s="42"/>
      <c r="X1051" s="42"/>
      <c r="Y1051" s="42"/>
      <c r="Z1051" s="42"/>
    </row>
    <row r="1052">
      <c r="A1052" s="41" t="str">
        <f>IFERROR(__xludf.DUMMYFUNCTION("""COMPUTED_VALUE"""),"PR-003")</f>
        <v>PR-003</v>
      </c>
      <c r="B1052" s="42" t="str">
        <f>IFERROR(__xludf.DUMMYFUNCTION("""COMPUTED_VALUE"""),"Mamodo")</f>
        <v>Mamodo</v>
      </c>
      <c r="C1052" s="42" t="str">
        <f>IFERROR(__xludf.DUMMYFUNCTION("""COMPUTED_VALUE"""),"Ponygon")</f>
        <v>Ponygon</v>
      </c>
      <c r="D1052" s="42" t="str">
        <f>IFERROR(__xludf.DUMMYFUNCTION("""COMPUTED_VALUE"""),"Ponygon")</f>
        <v>Ponygon</v>
      </c>
      <c r="E1052" s="42" t="str">
        <f>IFERROR(__xludf.DUMMYFUNCTION("""COMPUTED_VALUE"""),"-")</f>
        <v>-</v>
      </c>
      <c r="F1052" s="42" t="str">
        <f>IFERROR(__xludf.DUMMYFUNCTION("""COMPUTED_VALUE"""),"-")</f>
        <v>-</v>
      </c>
      <c r="G1052" s="42" t="str">
        <f>IFERROR(__xludf.DUMMYFUNCTION("""COMPUTED_VALUE"""),"None")</f>
        <v>None</v>
      </c>
      <c r="H1052" s="42" t="str">
        <f>IFERROR(__xludf.DUMMYFUNCTION("""COMPUTED_VALUE"""),"Run! Ponygon")</f>
        <v>Run! Ponygon</v>
      </c>
      <c r="I1052" s="43" t="str">
        <f>IFERROR(__xludf.DUMMYFUNCTION("""COMPUTED_VALUE"""),"[IN PLAY] Add 2000 Power to your in-play Zatch Bell MAMODO card.")</f>
        <v>[IN PLAY] Add 2000 Power to your in-play Zatch Bell MAMODO card.</v>
      </c>
      <c r="J1052" s="42">
        <f>IFERROR(__xludf.DUMMYFUNCTION("""COMPUTED_VALUE"""),1000.0)</f>
        <v>1000</v>
      </c>
      <c r="K1052" s="42" t="str">
        <f>IFERROR(__xludf.DUMMYFUNCTION("""COMPUTED_VALUE"""),"-")</f>
        <v>-</v>
      </c>
      <c r="L1052" s="42" t="str">
        <f>IFERROR(__xludf.DUMMYFUNCTION("""COMPUTED_VALUE"""),"Promo")</f>
        <v>Promo</v>
      </c>
      <c r="M1052" s="42" t="str">
        <f>IFERROR(__xludf.DUMMYFUNCTION("""COMPUTED_VALUE"""),"[R]")</f>
        <v>[R]</v>
      </c>
      <c r="N1052" s="42" t="str">
        <f>IFERROR(__xludf.DUMMYFUNCTION("""COMPUTED_VALUE"""),"""Go, Ponygon!"" ""Meru meru me~~""")</f>
        <v>"Go, Ponygon!" "Meru meru me~~"</v>
      </c>
      <c r="O1052" s="42"/>
      <c r="P1052" s="42"/>
      <c r="Q1052" s="42"/>
      <c r="R1052" s="42"/>
      <c r="S1052" s="42"/>
      <c r="T1052" s="42"/>
      <c r="U1052" s="42"/>
      <c r="V1052" s="42"/>
      <c r="W1052" s="42"/>
      <c r="X1052" s="42"/>
      <c r="Y1052" s="42"/>
      <c r="Z1052" s="42"/>
    </row>
    <row r="1053">
      <c r="A1053" s="41" t="str">
        <f>IFERROR(__xludf.DUMMYFUNCTION("""COMPUTED_VALUE"""),"PR-004")</f>
        <v>PR-004</v>
      </c>
      <c r="B1053" s="42" t="str">
        <f>IFERROR(__xludf.DUMMYFUNCTION("""COMPUTED_VALUE"""),"Mamodo")</f>
        <v>Mamodo</v>
      </c>
      <c r="C1053" s="42" t="str">
        <f>IFERROR(__xludf.DUMMYFUNCTION("""COMPUTED_VALUE"""),"Zatch Bell")</f>
        <v>Zatch Bell</v>
      </c>
      <c r="D1053" s="42" t="str">
        <f>IFERROR(__xludf.DUMMYFUNCTION("""COMPUTED_VALUE"""),"Zatch Bell")</f>
        <v>Zatch Bell</v>
      </c>
      <c r="E1053" s="42" t="str">
        <f>IFERROR(__xludf.DUMMYFUNCTION("""COMPUTED_VALUE"""),"-")</f>
        <v>-</v>
      </c>
      <c r="F1053" s="42" t="str">
        <f>IFERROR(__xludf.DUMMYFUNCTION("""COMPUTED_VALUE"""),"-")</f>
        <v>-</v>
      </c>
      <c r="G1053" s="42" t="str">
        <f>IFERROR(__xludf.DUMMYFUNCTION("""COMPUTED_VALUE"""),"None")</f>
        <v>None</v>
      </c>
      <c r="H1053" s="42" t="str">
        <f>IFERROR(__xludf.DUMMYFUNCTION("""COMPUTED_VALUE"""),"The Lightning Boy")</f>
        <v>The Lightning Boy</v>
      </c>
      <c r="I1053" s="43" t="str">
        <f>IFERROR(__xludf.DUMMYFUNCTION("""COMPUTED_VALUE"""),"[IN PLAY] Add 1000 Power to all of your Zaker SPELL cards with Zatch Bell as their MAMODO name.")</f>
        <v>[IN PLAY] Add 1000 Power to all of your Zaker SPELL cards with Zatch Bell as their MAMODO name.</v>
      </c>
      <c r="J1053" s="42">
        <f>IFERROR(__xludf.DUMMYFUNCTION("""COMPUTED_VALUE"""),4000.0)</f>
        <v>4000</v>
      </c>
      <c r="K1053" s="42" t="str">
        <f>IFERROR(__xludf.DUMMYFUNCTION("""COMPUTED_VALUE"""),"-")</f>
        <v>-</v>
      </c>
      <c r="L1053" s="42" t="str">
        <f>IFERROR(__xludf.DUMMYFUNCTION("""COMPUTED_VALUE"""),"Promo")</f>
        <v>Promo</v>
      </c>
      <c r="M1053" s="42" t="str">
        <f>IFERROR(__xludf.DUMMYFUNCTION("""COMPUTED_VALUE"""),"[R]")</f>
        <v>[R]</v>
      </c>
      <c r="N1053" s="42" t="str">
        <f>IFERROR(__xludf.DUMMYFUNCTION("""COMPUTED_VALUE"""),"""My name is Zatch Bell!""")</f>
        <v>"My name is Zatch Bell!"</v>
      </c>
      <c r="O1053" s="42"/>
      <c r="P1053" s="42"/>
      <c r="Q1053" s="42"/>
      <c r="R1053" s="42"/>
      <c r="S1053" s="42"/>
      <c r="T1053" s="42"/>
      <c r="U1053" s="42"/>
      <c r="V1053" s="42"/>
      <c r="W1053" s="42"/>
      <c r="X1053" s="42"/>
      <c r="Y1053" s="42"/>
      <c r="Z1053" s="42"/>
    </row>
    <row r="1054">
      <c r="A1054" s="41" t="str">
        <f>IFERROR(__xludf.DUMMYFUNCTION("""COMPUTED_VALUE"""),"PR-005")</f>
        <v>PR-005</v>
      </c>
      <c r="B1054" s="42" t="str">
        <f>IFERROR(__xludf.DUMMYFUNCTION("""COMPUTED_VALUE"""),"Event")</f>
        <v>Event</v>
      </c>
      <c r="C1054" s="42" t="str">
        <f>IFERROR(__xludf.DUMMYFUNCTION("""COMPUTED_VALUE"""),"A Period of Rest")</f>
        <v>A Period of Rest</v>
      </c>
      <c r="D1054" s="42" t="str">
        <f>IFERROR(__xludf.DUMMYFUNCTION("""COMPUTED_VALUE"""),"-")</f>
        <v>-</v>
      </c>
      <c r="E1054" s="42">
        <f>IFERROR(__xludf.DUMMYFUNCTION("""COMPUTED_VALUE"""),0.0)</f>
        <v>0</v>
      </c>
      <c r="F1054" s="42" t="str">
        <f>IFERROR(__xludf.DUMMYFUNCTION("""COMPUTED_VALUE"""),"A")</f>
        <v>A</v>
      </c>
      <c r="G1054" s="42" t="str">
        <f>IFERROR(__xludf.DUMMYFUNCTION("""COMPUTED_VALUE"""),"None")</f>
        <v>None</v>
      </c>
      <c r="H1054" s="42" t="str">
        <f>IFERROR(__xludf.DUMMYFUNCTION("""COMPUTED_VALUE"""),"-")</f>
        <v>-</v>
      </c>
      <c r="I1054" s="43" t="str">
        <f>IFERROR(__xludf.DUMMYFUNCTION("""COMPUTED_VALUE"""),"This card can be played only at the start of your BATTLE PHASE. Apply all of the following effects in any order: ● Turn all of your Injured MAMODO cards to Normal Status. ● Get 2 MP. ● [STAY] Neither player can apply the effects of their MAMODO cards, nor"&amp;" can they play SPELL cards, during this turn.")</f>
        <v>This card can be played only at the start of your BATTLE PHASE. Apply all of the following effects in any order: ● Turn all of your Injured MAMODO cards to Normal Status. ● Get 2 MP. ● [STAY] Neither player can apply the effects of their MAMODO cards, nor can they play SPELL cards, during this turn.</v>
      </c>
      <c r="J1054" s="42" t="str">
        <f>IFERROR(__xludf.DUMMYFUNCTION("""COMPUTED_VALUE"""),"-")</f>
        <v>-</v>
      </c>
      <c r="K1054" s="42" t="str">
        <f>IFERROR(__xludf.DUMMYFUNCTION("""COMPUTED_VALUE"""),"-")</f>
        <v>-</v>
      </c>
      <c r="L1054" s="42" t="str">
        <f>IFERROR(__xludf.DUMMYFUNCTION("""COMPUTED_VALUE"""),"Promo")</f>
        <v>Promo</v>
      </c>
      <c r="M1054" s="42" t="str">
        <f>IFERROR(__xludf.DUMMYFUNCTION("""COMPUTED_VALUE"""),"[R]")</f>
        <v>[R]</v>
      </c>
      <c r="N1054" s="42" t="str">
        <f>IFERROR(__xludf.DUMMYFUNCTION("""COMPUTED_VALUE"""),"In the midst of a brutal battle, fighting alongside friends makes up unstoppable.")</f>
        <v>In the midst of a brutal battle, fighting alongside friends makes up unstoppable.</v>
      </c>
      <c r="O1054" s="42"/>
      <c r="P1054" s="42"/>
      <c r="Q1054" s="42"/>
      <c r="R1054" s="42"/>
      <c r="S1054" s="42"/>
      <c r="T1054" s="42"/>
      <c r="U1054" s="42"/>
      <c r="V1054" s="42"/>
      <c r="W1054" s="42"/>
      <c r="X1054" s="42"/>
      <c r="Y1054" s="42"/>
      <c r="Z1054" s="42"/>
    </row>
    <row r="1055">
      <c r="A1055" s="41" t="str">
        <f>IFERROR(__xludf.DUMMYFUNCTION("""COMPUTED_VALUE"""),"PR-006")</f>
        <v>PR-006</v>
      </c>
      <c r="B1055" s="42" t="str">
        <f>IFERROR(__xludf.DUMMYFUNCTION("""COMPUTED_VALUE"""),"Spell")</f>
        <v>Spell</v>
      </c>
      <c r="C1055" s="42" t="str">
        <f>IFERROR(__xludf.DUMMYFUNCTION("""COMPUTED_VALUE"""),"Golden Supreme Spell")</f>
        <v>Golden Supreme Spell</v>
      </c>
      <c r="D1055" s="42" t="str">
        <f>IFERROR(__xludf.DUMMYFUNCTION("""COMPUTED_VALUE"""),"Command: All")</f>
        <v>Command: All</v>
      </c>
      <c r="E1055" s="42">
        <f>IFERROR(__xludf.DUMMYFUNCTION("""COMPUTED_VALUE"""),2.0)</f>
        <v>2</v>
      </c>
      <c r="F1055" s="42" t="str">
        <f>IFERROR(__xludf.DUMMYFUNCTION("""COMPUTED_VALUE"""),"A")</f>
        <v>A</v>
      </c>
      <c r="G1055" s="42" t="str">
        <f>IFERROR(__xludf.DUMMYFUNCTION("""COMPUTED_VALUE"""),"Intermediate")</f>
        <v>Intermediate</v>
      </c>
      <c r="H1055" s="42" t="str">
        <f>IFERROR(__xludf.DUMMYFUNCTION("""COMPUTED_VALUE"""),"-")</f>
        <v>-</v>
      </c>
      <c r="I1055" s="43" t="str">
        <f>IFERROR(__xludf.DUMMYFUNCTION("""COMPUTED_VALUE"""),"[STANDBY] During the next Battle this turn, you can play 1 SPELL card from any page of your Spell Book. Add 3000 Power and 1 Damage to that SPELL card when you play it during the Battle ([STAY]).")</f>
        <v>[STANDBY] During the next Battle this turn, you can play 1 SPELL card from any page of your Spell Book. Add 3000 Power and 1 Damage to that SPELL card when you play it during the Battle ([STAY]).</v>
      </c>
      <c r="J1055" s="42" t="str">
        <f>IFERROR(__xludf.DUMMYFUNCTION("""COMPUTED_VALUE"""),"Special")</f>
        <v>Special</v>
      </c>
      <c r="K1055" s="42" t="str">
        <f>IFERROR(__xludf.DUMMYFUNCTION("""COMPUTED_VALUE"""),"-")</f>
        <v>-</v>
      </c>
      <c r="L1055" s="42" t="str">
        <f>IFERROR(__xludf.DUMMYFUNCTION("""COMPUTED_VALUE"""),"Promo")</f>
        <v>Promo</v>
      </c>
      <c r="M1055" s="42" t="str">
        <f>IFERROR(__xludf.DUMMYFUNCTION("""COMPUTED_VALUE"""),"[R]")</f>
        <v>[R]</v>
      </c>
      <c r="N1055" s="42" t="str">
        <f>IFERROR(__xludf.DUMMYFUNCTION("""COMPUTED_VALUE"""),"""Bring all the power that you have!""")</f>
        <v>"Bring all the power that you have!"</v>
      </c>
      <c r="O1055" s="42"/>
      <c r="P1055" s="42"/>
      <c r="Q1055" s="42"/>
      <c r="R1055" s="42"/>
      <c r="S1055" s="42"/>
      <c r="T1055" s="42"/>
      <c r="U1055" s="42"/>
      <c r="V1055" s="42"/>
      <c r="W1055" s="42"/>
      <c r="X1055" s="42"/>
      <c r="Y1055" s="42"/>
      <c r="Z1055" s="42"/>
    </row>
    <row r="1056">
      <c r="A1056" s="41" t="str">
        <f>IFERROR(__xludf.DUMMYFUNCTION("""COMPUTED_VALUE"""),"PR-007")</f>
        <v>PR-007</v>
      </c>
      <c r="B1056" s="42" t="str">
        <f>IFERROR(__xludf.DUMMYFUNCTION("""COMPUTED_VALUE"""),"Event")</f>
        <v>Event</v>
      </c>
      <c r="C1056" s="42" t="str">
        <f>IFERROR(__xludf.DUMMYFUNCTION("""COMPUTED_VALUE"""),"Kind King")</f>
        <v>Kind King</v>
      </c>
      <c r="D1056" s="42" t="str">
        <f>IFERROR(__xludf.DUMMYFUNCTION("""COMPUTED_VALUE"""),"-")</f>
        <v>-</v>
      </c>
      <c r="E1056" s="42">
        <f>IFERROR(__xludf.DUMMYFUNCTION("""COMPUTED_VALUE"""),2.0)</f>
        <v>2</v>
      </c>
      <c r="F1056" s="42" t="str">
        <f>IFERROR(__xludf.DUMMYFUNCTION("""COMPUTED_VALUE"""),"A")</f>
        <v>A</v>
      </c>
      <c r="G1056" s="42" t="str">
        <f>IFERROR(__xludf.DUMMYFUNCTION("""COMPUTED_VALUE"""),"None")</f>
        <v>None</v>
      </c>
      <c r="H1056" s="42" t="str">
        <f>IFERROR(__xludf.DUMMYFUNCTION("""COMPUTED_VALUE"""),"-")</f>
        <v>-</v>
      </c>
      <c r="I1056" s="43" t="str">
        <f>IFERROR(__xludf.DUMMYFUNCTION("""COMPUTED_VALUE"""),"Send this EVENT card to the Discard Pile. Then, turn back 2 pages of your Spell Book. Effects that turn back pages of your Spell Book can be applied only once per turn (per player).")</f>
        <v>Send this EVENT card to the Discard Pile. Then, turn back 2 pages of your Spell Book. Effects that turn back pages of your Spell Book can be applied only once per turn (per player).</v>
      </c>
      <c r="J1056" s="42" t="str">
        <f>IFERROR(__xludf.DUMMYFUNCTION("""COMPUTED_VALUE"""),"-")</f>
        <v>-</v>
      </c>
      <c r="K1056" s="42" t="str">
        <f>IFERROR(__xludf.DUMMYFUNCTION("""COMPUTED_VALUE"""),"-")</f>
        <v>-</v>
      </c>
      <c r="L1056" s="42" t="str">
        <f>IFERROR(__xludf.DUMMYFUNCTION("""COMPUTED_VALUE"""),"Promo")</f>
        <v>Promo</v>
      </c>
      <c r="M1056" s="42" t="str">
        <f>IFERROR(__xludf.DUMMYFUNCTION("""COMPUTED_VALUE"""),"[R]")</f>
        <v>[R]</v>
      </c>
      <c r="N1056" s="42" t="str">
        <f>IFERROR(__xludf.DUMMYFUNCTION("""COMPUTED_VALUE"""),"Zatch keeps fighting with an oath to be a kind king.")</f>
        <v>Zatch keeps fighting with an oath to be a kind king.</v>
      </c>
      <c r="O1056" s="42"/>
      <c r="P1056" s="42"/>
      <c r="Q1056" s="42"/>
      <c r="R1056" s="42"/>
      <c r="S1056" s="42"/>
      <c r="T1056" s="42"/>
      <c r="U1056" s="42"/>
      <c r="V1056" s="42"/>
      <c r="W1056" s="42"/>
      <c r="X1056" s="42"/>
      <c r="Y1056" s="42"/>
      <c r="Z1056" s="42"/>
    </row>
    <row r="1057">
      <c r="A1057" s="41" t="str">
        <f>IFERROR(__xludf.DUMMYFUNCTION("""COMPUTED_VALUE"""),"PR-008")</f>
        <v>PR-008</v>
      </c>
      <c r="B1057" s="42" t="str">
        <f>IFERROR(__xludf.DUMMYFUNCTION("""COMPUTED_VALUE"""),"Mamodo")</f>
        <v>Mamodo</v>
      </c>
      <c r="C1057" s="42" t="str">
        <f>IFERROR(__xludf.DUMMYFUNCTION("""COMPUTED_VALUE"""),"Tia")</f>
        <v>Tia</v>
      </c>
      <c r="D1057" s="42" t="str">
        <f>IFERROR(__xludf.DUMMYFUNCTION("""COMPUTED_VALUE"""),"Tia")</f>
        <v>Tia</v>
      </c>
      <c r="E1057" s="42" t="str">
        <f>IFERROR(__xludf.DUMMYFUNCTION("""COMPUTED_VALUE"""),"-")</f>
        <v>-</v>
      </c>
      <c r="F1057" s="42" t="str">
        <f>IFERROR(__xludf.DUMMYFUNCTION("""COMPUTED_VALUE"""),"-")</f>
        <v>-</v>
      </c>
      <c r="G1057" s="42" t="str">
        <f>IFERROR(__xludf.DUMMYFUNCTION("""COMPUTED_VALUE"""),"None")</f>
        <v>None</v>
      </c>
      <c r="H1057" s="42" t="str">
        <f>IFERROR(__xludf.DUMMYFUNCTION("""COMPUTED_VALUE"""),"Cheerful!")</f>
        <v>Cheerful!</v>
      </c>
      <c r="I1057" s="43" t="str">
        <f>IFERROR(__xludf.DUMMYFUNCTION("""COMPUTED_VALUE"""),"[1 MP] Flip a coin; if it's heads, turn 1 of your Injured MAMODO cards to Normal Status.")</f>
        <v>[1 MP] Flip a coin; if it's heads, turn 1 of your Injured MAMODO cards to Normal Status.</v>
      </c>
      <c r="J1057" s="42">
        <f>IFERROR(__xludf.DUMMYFUNCTION("""COMPUTED_VALUE"""),3000.0)</f>
        <v>3000</v>
      </c>
      <c r="K1057" s="42" t="str">
        <f>IFERROR(__xludf.DUMMYFUNCTION("""COMPUTED_VALUE"""),"-")</f>
        <v>-</v>
      </c>
      <c r="L1057" s="42" t="str">
        <f>IFERROR(__xludf.DUMMYFUNCTION("""COMPUTED_VALUE"""),"Promo")</f>
        <v>Promo</v>
      </c>
      <c r="M1057" s="42" t="str">
        <f>IFERROR(__xludf.DUMMYFUNCTION("""COMPUTED_VALUE"""),"[R]")</f>
        <v>[R]</v>
      </c>
      <c r="N1057" s="42" t="str">
        <f>IFERROR(__xludf.DUMMYFUNCTION("""COMPUTED_VALUE"""),"""Let's go, Tia!"" ""OK!""")</f>
        <v>"Let's go, Tia!" "OK!"</v>
      </c>
      <c r="O1057" s="42"/>
      <c r="P1057" s="42"/>
      <c r="Q1057" s="42"/>
      <c r="R1057" s="42"/>
      <c r="S1057" s="42"/>
      <c r="T1057" s="42"/>
      <c r="U1057" s="42"/>
      <c r="V1057" s="42"/>
      <c r="W1057" s="42"/>
      <c r="X1057" s="42"/>
      <c r="Y1057" s="42"/>
      <c r="Z1057" s="42"/>
    </row>
    <row r="1058">
      <c r="A1058" s="41" t="str">
        <f>IFERROR(__xludf.DUMMYFUNCTION("""COMPUTED_VALUE"""),"PR-009e")</f>
        <v>PR-009e</v>
      </c>
      <c r="B1058" s="42" t="str">
        <f>IFERROR(__xludf.DUMMYFUNCTION("""COMPUTED_VALUE"""),"Spell")</f>
        <v>Spell</v>
      </c>
      <c r="C1058" s="42" t="str">
        <f>IFERROR(__xludf.DUMMYFUNCTION("""COMPUTED_VALUE"""),"Rauzaruk")</f>
        <v>Rauzaruk</v>
      </c>
      <c r="D1058" s="42" t="str">
        <f>IFERROR(__xludf.DUMMYFUNCTION("""COMPUTED_VALUE"""),"Zatch Bell")</f>
        <v>Zatch Bell</v>
      </c>
      <c r="E1058" s="42">
        <f>IFERROR(__xludf.DUMMYFUNCTION("""COMPUTED_VALUE"""),3.0)</f>
        <v>3</v>
      </c>
      <c r="F1058" s="42" t="str">
        <f>IFERROR(__xludf.DUMMYFUNCTION("""COMPUTED_VALUE"""),"AD")</f>
        <v>AD</v>
      </c>
      <c r="G1058" s="42" t="str">
        <f>IFERROR(__xludf.DUMMYFUNCTION("""COMPUTED_VALUE"""),"Intermediate")</f>
        <v>Intermediate</v>
      </c>
      <c r="H1058" s="42" t="str">
        <f>IFERROR(__xludf.DUMMYFUNCTION("""COMPUTED_VALUE"""),"-")</f>
        <v>-</v>
      </c>
      <c r="I1058" s="43" t="str">
        <f>IFERROR(__xludf.DUMMYFUNCTION("""COMPUTED_VALUE"""),"[STAY] Apply both of the following effects until the END PHASE of your next turn: ● No SPELL cards can be played for your Zatch Bell MAMODO card. ● Your Zatch Bell MAMODO card does not receive Damage or Injury.")</f>
        <v>[STAY] Apply both of the following effects until the END PHASE of your next turn: ● No SPELL cards can be played for your Zatch Bell MAMODO card. ● Your Zatch Bell MAMODO card does not receive Damage or Injury.</v>
      </c>
      <c r="J1058" s="42" t="str">
        <f>IFERROR(__xludf.DUMMYFUNCTION("""COMPUTED_VALUE"""),"Special")</f>
        <v>Special</v>
      </c>
      <c r="K1058" s="42" t="str">
        <f>IFERROR(__xludf.DUMMYFUNCTION("""COMPUTED_VALUE"""),"-")</f>
        <v>-</v>
      </c>
      <c r="L1058" s="42" t="str">
        <f>IFERROR(__xludf.DUMMYFUNCTION("""COMPUTED_VALUE"""),"Promo")</f>
        <v>Promo</v>
      </c>
      <c r="M1058" s="42" t="str">
        <f>IFERROR(__xludf.DUMMYFUNCTION("""COMPUTED_VALUE"""),"[R]")</f>
        <v>[R]</v>
      </c>
      <c r="N1058" s="42" t="str">
        <f>IFERROR(__xludf.DUMMYFUNCTION("""COMPUTED_VALUE"""),"Zatch's 6th spell. The power awakens when a mamodo has mentally grown.")</f>
        <v>Zatch's 6th spell. The power awakens when a mamodo has mentally grown.</v>
      </c>
      <c r="O1058" s="42"/>
      <c r="P1058" s="42"/>
      <c r="Q1058" s="42"/>
      <c r="R1058" s="42"/>
      <c r="S1058" s="42"/>
      <c r="T1058" s="42"/>
      <c r="U1058" s="42"/>
      <c r="V1058" s="42"/>
      <c r="W1058" s="42"/>
      <c r="X1058" s="42"/>
      <c r="Y1058" s="42"/>
      <c r="Z1058" s="42"/>
    </row>
    <row r="1059">
      <c r="A1059" s="41" t="str">
        <f>IFERROR(__xludf.DUMMYFUNCTION("""COMPUTED_VALUE"""),"PR-009j")</f>
        <v>PR-009j</v>
      </c>
      <c r="B1059" s="42" t="str">
        <f>IFERROR(__xludf.DUMMYFUNCTION("""COMPUTED_VALUE"""),"Spell")</f>
        <v>Spell</v>
      </c>
      <c r="C1059" s="42" t="str">
        <f>IFERROR(__xludf.DUMMYFUNCTION("""COMPUTED_VALUE"""),"Rauzaruk")</f>
        <v>Rauzaruk</v>
      </c>
      <c r="D1059" s="42" t="str">
        <f>IFERROR(__xludf.DUMMYFUNCTION("""COMPUTED_VALUE"""),"Zatch Bell")</f>
        <v>Zatch Bell</v>
      </c>
      <c r="E1059" s="42">
        <f>IFERROR(__xludf.DUMMYFUNCTION("""COMPUTED_VALUE"""),3.0)</f>
        <v>3</v>
      </c>
      <c r="F1059" s="42" t="str">
        <f>IFERROR(__xludf.DUMMYFUNCTION("""COMPUTED_VALUE"""),"AD")</f>
        <v>AD</v>
      </c>
      <c r="G1059" s="42" t="str">
        <f>IFERROR(__xludf.DUMMYFUNCTION("""COMPUTED_VALUE"""),"Intermediate")</f>
        <v>Intermediate</v>
      </c>
      <c r="H1059" s="42" t="str">
        <f>IFERROR(__xludf.DUMMYFUNCTION("""COMPUTED_VALUE"""),"-")</f>
        <v>-</v>
      </c>
      <c r="I1059" s="43" t="str">
        <f>IFERROR(__xludf.DUMMYFUNCTION("""COMPUTED_VALUE"""),"[STAY] Apply both of the following effects until the END PHASE of your next turn: ● No SPELL cards can be played for your Zatch Bell MAMODO card. ● Your Zatch Bell MAMODO card and your Spell Book do not receive Damage or Injury.")</f>
        <v>[STAY] Apply both of the following effects until the END PHASE of your next turn: ● No SPELL cards can be played for your Zatch Bell MAMODO card. ● Your Zatch Bell MAMODO card and your Spell Book do not receive Damage or Injury.</v>
      </c>
      <c r="J1059" s="42" t="str">
        <f>IFERROR(__xludf.DUMMYFUNCTION("""COMPUTED_VALUE"""),"Special")</f>
        <v>Special</v>
      </c>
      <c r="K1059" s="42" t="str">
        <f>IFERROR(__xludf.DUMMYFUNCTION("""COMPUTED_VALUE"""),"-")</f>
        <v>-</v>
      </c>
      <c r="L1059" s="42" t="str">
        <f>IFERROR(__xludf.DUMMYFUNCTION("""COMPUTED_VALUE"""),"Promo")</f>
        <v>Promo</v>
      </c>
      <c r="M1059" s="42" t="str">
        <f>IFERROR(__xludf.DUMMYFUNCTION("""COMPUTED_VALUE"""),"[R]")</f>
        <v>[R]</v>
      </c>
      <c r="N1059" s="42" t="str">
        <f>IFERROR(__xludf.DUMMYFUNCTION("""COMPUTED_VALUE"""),"Zatch's 6th spell. The power awakens when a mamodo has mentally grown.")</f>
        <v>Zatch's 6th spell. The power awakens when a mamodo has mentally grown.</v>
      </c>
      <c r="O1059" s="42"/>
      <c r="P1059" s="42"/>
      <c r="Q1059" s="42"/>
      <c r="R1059" s="42"/>
      <c r="S1059" s="42"/>
      <c r="T1059" s="42"/>
      <c r="U1059" s="42"/>
      <c r="V1059" s="42"/>
      <c r="W1059" s="42"/>
      <c r="X1059" s="42"/>
      <c r="Y1059" s="42"/>
      <c r="Z1059" s="42"/>
    </row>
    <row r="1060">
      <c r="A1060" s="41" t="str">
        <f>IFERROR(__xludf.DUMMYFUNCTION("""COMPUTED_VALUE"""),"PR-010e")</f>
        <v>PR-010e</v>
      </c>
      <c r="B1060" s="42" t="str">
        <f>IFERROR(__xludf.DUMMYFUNCTION("""COMPUTED_VALUE"""),"Event")</f>
        <v>Event</v>
      </c>
      <c r="C1060" s="42" t="str">
        <f>IFERROR(__xludf.DUMMYFUNCTION("""COMPUTED_VALUE"""),"Electric Arena!")</f>
        <v>Electric Arena!</v>
      </c>
      <c r="D1060" s="42" t="str">
        <f>IFERROR(__xludf.DUMMYFUNCTION("""COMPUTED_VALUE"""),"-")</f>
        <v>-</v>
      </c>
      <c r="E1060" s="42">
        <f>IFERROR(__xludf.DUMMYFUNCTION("""COMPUTED_VALUE"""),0.0)</f>
        <v>0</v>
      </c>
      <c r="F1060" s="42" t="str">
        <f>IFERROR(__xludf.DUMMYFUNCTION("""COMPUTED_VALUE"""),"A")</f>
        <v>A</v>
      </c>
      <c r="G1060" s="42" t="str">
        <f>IFERROR(__xludf.DUMMYFUNCTION("""COMPUTED_VALUE"""),"None")</f>
        <v>None</v>
      </c>
      <c r="H1060" s="42" t="str">
        <f>IFERROR(__xludf.DUMMYFUNCTION("""COMPUTED_VALUE"""),"-")</f>
        <v>-</v>
      </c>
      <c r="I1060" s="43" t="str">
        <f>IFERROR(__xludf.DUMMYFUNCTION("""COMPUTED_VALUE"""),"[STAY] Add 2000 Power to 1 Zaker SPELL card played for your Zatch Bell MAMODO card, and reduce its MP cost by 1.")</f>
        <v>[STAY] Add 2000 Power to 1 Zaker SPELL card played for your Zatch Bell MAMODO card, and reduce its MP cost by 1.</v>
      </c>
      <c r="J1060" s="42" t="str">
        <f>IFERROR(__xludf.DUMMYFUNCTION("""COMPUTED_VALUE"""),"-")</f>
        <v>-</v>
      </c>
      <c r="K1060" s="42" t="str">
        <f>IFERROR(__xludf.DUMMYFUNCTION("""COMPUTED_VALUE"""),"-")</f>
        <v>-</v>
      </c>
      <c r="L1060" s="42" t="str">
        <f>IFERROR(__xludf.DUMMYFUNCTION("""COMPUTED_VALUE"""),"Promo")</f>
        <v>Promo</v>
      </c>
      <c r="M1060" s="42" t="str">
        <f>IFERROR(__xludf.DUMMYFUNCTION("""COMPUTED_VALUE"""),"[R]")</f>
        <v>[R]</v>
      </c>
      <c r="N1060" s="42" t="str">
        <f>IFERROR(__xludf.DUMMYFUNCTION("""COMPUTED_VALUE"""),"-")</f>
        <v>-</v>
      </c>
      <c r="O1060" s="42"/>
      <c r="P1060" s="42"/>
      <c r="Q1060" s="42"/>
      <c r="R1060" s="42"/>
      <c r="S1060" s="42"/>
      <c r="T1060" s="42"/>
      <c r="U1060" s="42"/>
      <c r="V1060" s="42"/>
      <c r="W1060" s="42"/>
      <c r="X1060" s="42"/>
      <c r="Y1060" s="42"/>
      <c r="Z1060" s="42"/>
    </row>
    <row r="1061">
      <c r="A1061" s="41" t="str">
        <f>IFERROR(__xludf.DUMMYFUNCTION("""COMPUTED_VALUE"""),"PR-010j")</f>
        <v>PR-010j</v>
      </c>
      <c r="B1061" s="42" t="str">
        <f>IFERROR(__xludf.DUMMYFUNCTION("""COMPUTED_VALUE"""),"Event")</f>
        <v>Event</v>
      </c>
      <c r="C1061" s="42" t="str">
        <f>IFERROR(__xludf.DUMMYFUNCTION("""COMPUTED_VALUE"""),"Electric Arena!")</f>
        <v>Electric Arena!</v>
      </c>
      <c r="D1061" s="42" t="str">
        <f>IFERROR(__xludf.DUMMYFUNCTION("""COMPUTED_VALUE"""),"-")</f>
        <v>-</v>
      </c>
      <c r="E1061" s="42">
        <f>IFERROR(__xludf.DUMMYFUNCTION("""COMPUTED_VALUE"""),0.0)</f>
        <v>0</v>
      </c>
      <c r="F1061" s="42" t="str">
        <f>IFERROR(__xludf.DUMMYFUNCTION("""COMPUTED_VALUE"""),"A")</f>
        <v>A</v>
      </c>
      <c r="G1061" s="42" t="str">
        <f>IFERROR(__xludf.DUMMYFUNCTION("""COMPUTED_VALUE"""),"None")</f>
        <v>None</v>
      </c>
      <c r="H1061" s="42" t="str">
        <f>IFERROR(__xludf.DUMMYFUNCTION("""COMPUTED_VALUE"""),"-")</f>
        <v>-</v>
      </c>
      <c r="I1061" s="43" t="str">
        <f>IFERROR(__xludf.DUMMYFUNCTION("""COMPUTED_VALUE"""),"[STAY] During this turn, Add 2000 Power to all Zaker SPELL cards played for your Zatch Bell MAMODO card, and reduce their MP cost by 1.")</f>
        <v>[STAY] During this turn, Add 2000 Power to all Zaker SPELL cards played for your Zatch Bell MAMODO card, and reduce their MP cost by 1.</v>
      </c>
      <c r="J1061" s="42" t="str">
        <f>IFERROR(__xludf.DUMMYFUNCTION("""COMPUTED_VALUE"""),"-")</f>
        <v>-</v>
      </c>
      <c r="K1061" s="42" t="str">
        <f>IFERROR(__xludf.DUMMYFUNCTION("""COMPUTED_VALUE"""),"-")</f>
        <v>-</v>
      </c>
      <c r="L1061" s="42" t="str">
        <f>IFERROR(__xludf.DUMMYFUNCTION("""COMPUTED_VALUE"""),"Promo")</f>
        <v>Promo</v>
      </c>
      <c r="M1061" s="42" t="str">
        <f>IFERROR(__xludf.DUMMYFUNCTION("""COMPUTED_VALUE"""),"[R]")</f>
        <v>[R]</v>
      </c>
      <c r="N1061" s="42" t="str">
        <f>IFERROR(__xludf.DUMMYFUNCTION("""COMPUTED_VALUE"""),"-")</f>
        <v>-</v>
      </c>
      <c r="O1061" s="42"/>
      <c r="P1061" s="42"/>
      <c r="Q1061" s="42"/>
      <c r="R1061" s="42"/>
      <c r="S1061" s="42"/>
      <c r="T1061" s="42"/>
      <c r="U1061" s="42"/>
      <c r="V1061" s="42"/>
      <c r="W1061" s="42"/>
      <c r="X1061" s="42"/>
      <c r="Y1061" s="42"/>
      <c r="Z1061" s="42"/>
    </row>
    <row r="1062">
      <c r="A1062" s="41" t="str">
        <f>IFERROR(__xludf.DUMMYFUNCTION("""COMPUTED_VALUE"""),"PR-011")</f>
        <v>PR-011</v>
      </c>
      <c r="B1062" s="42" t="str">
        <f>IFERROR(__xludf.DUMMYFUNCTION("""COMPUTED_VALUE"""),"Mamodo")</f>
        <v>Mamodo</v>
      </c>
      <c r="C1062" s="42" t="str">
        <f>IFERROR(__xludf.DUMMYFUNCTION("""COMPUTED_VALUE"""),"Zatch Bell")</f>
        <v>Zatch Bell</v>
      </c>
      <c r="D1062" s="42" t="str">
        <f>IFERROR(__xludf.DUMMYFUNCTION("""COMPUTED_VALUE"""),"Zatch Bell")</f>
        <v>Zatch Bell</v>
      </c>
      <c r="E1062" s="42" t="str">
        <f>IFERROR(__xludf.DUMMYFUNCTION("""COMPUTED_VALUE"""),"-")</f>
        <v>-</v>
      </c>
      <c r="F1062" s="42" t="str">
        <f>IFERROR(__xludf.DUMMYFUNCTION("""COMPUTED_VALUE"""),"-")</f>
        <v>-</v>
      </c>
      <c r="G1062" s="42" t="str">
        <f>IFERROR(__xludf.DUMMYFUNCTION("""COMPUTED_VALUE"""),"None")</f>
        <v>None</v>
      </c>
      <c r="H1062" s="42" t="str">
        <f>IFERROR(__xludf.DUMMYFUNCTION("""COMPUTED_VALUE"""),"In High Spirits")</f>
        <v>In High Spirits</v>
      </c>
      <c r="I1062" s="43" t="str">
        <f>IFERROR(__xludf.DUMMYFUNCTION("""COMPUTED_VALUE"""),"[IN PLAY] If you have 1 MP or less at your END PHASE, get 2 MP.")</f>
        <v>[IN PLAY] If you have 1 MP or less at your END PHASE, get 2 MP.</v>
      </c>
      <c r="J1062" s="42">
        <f>IFERROR(__xludf.DUMMYFUNCTION("""COMPUTED_VALUE"""),4000.0)</f>
        <v>4000</v>
      </c>
      <c r="K1062" s="42" t="str">
        <f>IFERROR(__xludf.DUMMYFUNCTION("""COMPUTED_VALUE"""),"-")</f>
        <v>-</v>
      </c>
      <c r="L1062" s="42" t="str">
        <f>IFERROR(__xludf.DUMMYFUNCTION("""COMPUTED_VALUE"""),"Promo")</f>
        <v>Promo</v>
      </c>
      <c r="M1062" s="42" t="str">
        <f>IFERROR(__xludf.DUMMYFUNCTION("""COMPUTED_VALUE"""),"[R]")</f>
        <v>[R]</v>
      </c>
      <c r="N1062" s="42" t="str">
        <f>IFERROR(__xludf.DUMMYFUNCTION("""COMPUTED_VALUE"""),"""Let's play!!!""")</f>
        <v>"Let's play!!!"</v>
      </c>
      <c r="O1062" s="42"/>
      <c r="P1062" s="42"/>
      <c r="Q1062" s="42"/>
      <c r="R1062" s="42"/>
      <c r="S1062" s="42"/>
      <c r="T1062" s="42"/>
      <c r="U1062" s="42"/>
      <c r="V1062" s="42"/>
      <c r="W1062" s="42"/>
      <c r="X1062" s="42"/>
      <c r="Y1062" s="42"/>
      <c r="Z1062" s="42"/>
    </row>
    <row r="1063">
      <c r="A1063" s="41" t="str">
        <f>IFERROR(__xludf.DUMMYFUNCTION("""COMPUTED_VALUE"""),"PR-012")</f>
        <v>PR-012</v>
      </c>
      <c r="B1063" s="42" t="str">
        <f>IFERROR(__xludf.DUMMYFUNCTION("""COMPUTED_VALUE"""),"Mamodo")</f>
        <v>Mamodo</v>
      </c>
      <c r="C1063" s="42" t="str">
        <f>IFERROR(__xludf.DUMMYFUNCTION("""COMPUTED_VALUE"""),"Black Knight")</f>
        <v>Black Knight</v>
      </c>
      <c r="D1063" s="42" t="str">
        <f>IFERROR(__xludf.DUMMYFUNCTION("""COMPUTED_VALUE"""),"Black Knight")</f>
        <v>Black Knight</v>
      </c>
      <c r="E1063" s="42" t="str">
        <f>IFERROR(__xludf.DUMMYFUNCTION("""COMPUTED_VALUE"""),"-")</f>
        <v>-</v>
      </c>
      <c r="F1063" s="42" t="str">
        <f>IFERROR(__xludf.DUMMYFUNCTION("""COMPUTED_VALUE"""),"-")</f>
        <v>-</v>
      </c>
      <c r="G1063" s="42" t="str">
        <f>IFERROR(__xludf.DUMMYFUNCTION("""COMPUTED_VALUE"""),"None")</f>
        <v>None</v>
      </c>
      <c r="H1063" s="42" t="str">
        <f>IFERROR(__xludf.DUMMYFUNCTION("""COMPUTED_VALUE"""),"Guardian of the Book")</f>
        <v>Guardian of the Book</v>
      </c>
      <c r="I1063" s="43" t="str">
        <f>IFERROR(__xludf.DUMMYFUNCTION("""COMPUTED_VALUE"""),"[IN PLAY] Neither player can turn pages of their Spell Book during the BATTLE PHASE (except from Damage).")</f>
        <v>[IN PLAY] Neither player can turn pages of their Spell Book during the BATTLE PHASE (except from Damage).</v>
      </c>
      <c r="J1063" s="42">
        <f>IFERROR(__xludf.DUMMYFUNCTION("""COMPUTED_VALUE"""),7000.0)</f>
        <v>7000</v>
      </c>
      <c r="K1063" s="42" t="str">
        <f>IFERROR(__xludf.DUMMYFUNCTION("""COMPUTED_VALUE"""),"-")</f>
        <v>-</v>
      </c>
      <c r="L1063" s="42" t="str">
        <f>IFERROR(__xludf.DUMMYFUNCTION("""COMPUTED_VALUE"""),"-")</f>
        <v>-</v>
      </c>
      <c r="M1063" s="42" t="str">
        <f>IFERROR(__xludf.DUMMYFUNCTION("""COMPUTED_VALUE"""),"[R]")</f>
        <v>[R]</v>
      </c>
      <c r="N1063" s="42" t="str">
        <f>IFERROR(__xludf.DUMMYFUNCTION("""COMPUTED_VALUE"""),"He oversees the battle to decide the king from the mamodo world as it transpires in the human world.")</f>
        <v>He oversees the battle to decide the king from the mamodo world as it transpires in the human world.</v>
      </c>
      <c r="O1063" s="42"/>
      <c r="P1063" s="42"/>
      <c r="Q1063" s="42"/>
      <c r="R1063" s="42"/>
      <c r="S1063" s="42"/>
      <c r="T1063" s="42"/>
      <c r="U1063" s="42"/>
      <c r="V1063" s="42"/>
      <c r="W1063" s="42"/>
      <c r="X1063" s="42"/>
      <c r="Y1063" s="42"/>
      <c r="Z1063" s="42"/>
    </row>
    <row r="1064">
      <c r="A1064" s="41" t="str">
        <f>IFERROR(__xludf.DUMMYFUNCTION("""COMPUTED_VALUE"""),"PR-013")</f>
        <v>PR-013</v>
      </c>
      <c r="B1064" s="42" t="str">
        <f>IFERROR(__xludf.DUMMYFUNCTION("""COMPUTED_VALUE"""),"Event")</f>
        <v>Event</v>
      </c>
      <c r="C1064" s="42" t="str">
        <f>IFERROR(__xludf.DUMMYFUNCTION("""COMPUTED_VALUE"""),"The White 101st Spell Book")</f>
        <v>The White 101st Spell Book</v>
      </c>
      <c r="D1064" s="42" t="str">
        <f>IFERROR(__xludf.DUMMYFUNCTION("""COMPUTED_VALUE"""),"-")</f>
        <v>-</v>
      </c>
      <c r="E1064" s="42">
        <f>IFERROR(__xludf.DUMMYFUNCTION("""COMPUTED_VALUE"""),1.0)</f>
        <v>1</v>
      </c>
      <c r="F1064" s="42" t="str">
        <f>IFERROR(__xludf.DUMMYFUNCTION("""COMPUTED_VALUE"""),"A")</f>
        <v>A</v>
      </c>
      <c r="G1064" s="42" t="str">
        <f>IFERROR(__xludf.DUMMYFUNCTION("""COMPUTED_VALUE"""),"None")</f>
        <v>None</v>
      </c>
      <c r="H1064" s="42" t="str">
        <f>IFERROR(__xludf.DUMMYFUNCTION("""COMPUTED_VALUE"""),"-")</f>
        <v>-</v>
      </c>
      <c r="I1064" s="43" t="str">
        <f>IFERROR(__xludf.DUMMYFUNCTION("""COMPUTED_VALUE"""),"Your opponent looks at your Spell Book. Then, they select 1 EVENT card in a page immediately following the currently open pages and send it to the Discard Pile. Then, you look at your opponent's Spell Book. Select 1 EVENT card in a page immediately follow"&amp;"ing their currently open pages and send it to the Discard Pile.")</f>
        <v>Your opponent looks at your Spell Book. Then, they select 1 EVENT card in a page immediately following the currently open pages and send it to the Discard Pile. Then, you look at your opponent's Spell Book. Select 1 EVENT card in a page immediately following their currently open pages and send it to the Discard Pile.</v>
      </c>
      <c r="J1064" s="42" t="str">
        <f>IFERROR(__xludf.DUMMYFUNCTION("""COMPUTED_VALUE"""),"-")</f>
        <v>-</v>
      </c>
      <c r="K1064" s="42" t="str">
        <f>IFERROR(__xludf.DUMMYFUNCTION("""COMPUTED_VALUE"""),"-")</f>
        <v>-</v>
      </c>
      <c r="L1064" s="42" t="str">
        <f>IFERROR(__xludf.DUMMYFUNCTION("""COMPUTED_VALUE"""),"-")</f>
        <v>-</v>
      </c>
      <c r="M1064" s="42" t="str">
        <f>IFERROR(__xludf.DUMMYFUNCTION("""COMPUTED_VALUE"""),"[R]")</f>
        <v>[R]</v>
      </c>
      <c r="N1064" s="42" t="str">
        <f>IFERROR(__xludf.DUMMYFUNCTION("""COMPUTED_VALUE"""),"On the pages of the white spell book, accurate predictions continue to appear one after another.")</f>
        <v>On the pages of the white spell book, accurate predictions continue to appear one after another.</v>
      </c>
      <c r="O1064" s="42"/>
      <c r="P1064" s="42"/>
      <c r="Q1064" s="42"/>
      <c r="R1064" s="42"/>
      <c r="S1064" s="42"/>
      <c r="T1064" s="42"/>
      <c r="U1064" s="42"/>
      <c r="V1064" s="42"/>
      <c r="W1064" s="42"/>
      <c r="X1064" s="42"/>
      <c r="Y1064" s="42"/>
      <c r="Z1064" s="42"/>
    </row>
    <row r="1065">
      <c r="A1065" s="41" t="str">
        <f>IFERROR(__xludf.DUMMYFUNCTION("""COMPUTED_VALUE"""),"PR-014")</f>
        <v>PR-014</v>
      </c>
      <c r="B1065" s="42" t="str">
        <f>IFERROR(__xludf.DUMMYFUNCTION("""COMPUTED_VALUE"""),"Event")</f>
        <v>Event</v>
      </c>
      <c r="C1065" s="42" t="str">
        <f>IFERROR(__xludf.DUMMYFUNCTION("""COMPUTED_VALUE"""),"Mamodo Battles!")</f>
        <v>Mamodo Battles!</v>
      </c>
      <c r="D1065" s="42" t="str">
        <f>IFERROR(__xludf.DUMMYFUNCTION("""COMPUTED_VALUE"""),"-")</f>
        <v>-</v>
      </c>
      <c r="E1065" s="42">
        <f>IFERROR(__xludf.DUMMYFUNCTION("""COMPUTED_VALUE"""),1.0)</f>
        <v>1</v>
      </c>
      <c r="F1065" s="42" t="str">
        <f>IFERROR(__xludf.DUMMYFUNCTION("""COMPUTED_VALUE"""),"A")</f>
        <v>A</v>
      </c>
      <c r="G1065" s="42" t="str">
        <f>IFERROR(__xludf.DUMMYFUNCTION("""COMPUTED_VALUE"""),"None")</f>
        <v>None</v>
      </c>
      <c r="H1065" s="42" t="str">
        <f>IFERROR(__xludf.DUMMYFUNCTION("""COMPUTED_VALUE"""),"-")</f>
        <v>-</v>
      </c>
      <c r="I1065" s="43" t="str">
        <f>IFERROR(__xludf.DUMMYFUNCTION("""COMPUTED_VALUE"""),"[STAY] Select 1 of your in-play PARTNER cards. The selected PARTNER card cannot be sent to the Discard Pile by your opponent's card effects during this game.")</f>
        <v>[STAY] Select 1 of your in-play PARTNER cards. The selected PARTNER card cannot be sent to the Discard Pile by your opponent's card effects during this game.</v>
      </c>
      <c r="J1065" s="42" t="str">
        <f>IFERROR(__xludf.DUMMYFUNCTION("""COMPUTED_VALUE"""),"-")</f>
        <v>-</v>
      </c>
      <c r="K1065" s="42" t="str">
        <f>IFERROR(__xludf.DUMMYFUNCTION("""COMPUTED_VALUE"""),"-")</f>
        <v>-</v>
      </c>
      <c r="L1065" s="42" t="str">
        <f>IFERROR(__xludf.DUMMYFUNCTION("""COMPUTED_VALUE"""),"-")</f>
        <v>-</v>
      </c>
      <c r="M1065" s="42" t="str">
        <f>IFERROR(__xludf.DUMMYFUNCTION("""COMPUTED_VALUE"""),"[R]")</f>
        <v>[R]</v>
      </c>
      <c r="N1065" s="42" t="str">
        <f>IFERROR(__xludf.DUMMYFUNCTION("""COMPUTED_VALUE"""),"-")</f>
        <v>-</v>
      </c>
      <c r="O1065" s="42"/>
      <c r="P1065" s="42"/>
      <c r="Q1065" s="42"/>
      <c r="R1065" s="42"/>
      <c r="S1065" s="42"/>
      <c r="T1065" s="42"/>
      <c r="U1065" s="42"/>
      <c r="V1065" s="42"/>
      <c r="W1065" s="42"/>
      <c r="X1065" s="42"/>
      <c r="Y1065" s="42"/>
      <c r="Z1065" s="42"/>
    </row>
    <row r="1066">
      <c r="A1066" s="41" t="str">
        <f>IFERROR(__xludf.DUMMYFUNCTION("""COMPUTED_VALUE"""),"PR-015")</f>
        <v>PR-015</v>
      </c>
      <c r="B1066" s="42" t="str">
        <f>IFERROR(__xludf.DUMMYFUNCTION("""COMPUTED_VALUE"""),"Dual Mamodo")</f>
        <v>Dual Mamodo</v>
      </c>
      <c r="C1066" s="42" t="str">
        <f>IFERROR(__xludf.DUMMYFUNCTION("""COMPUTED_VALUE"""),"Zatch Bell &amp; Brago")</f>
        <v>Zatch Bell &amp; Brago</v>
      </c>
      <c r="D1066" s="42" t="str">
        <f>IFERROR(__xludf.DUMMYFUNCTION("""COMPUTED_VALUE"""),"Zatch Bell | Brago")</f>
        <v>Zatch Bell | Brago</v>
      </c>
      <c r="E1066" s="42" t="str">
        <f>IFERROR(__xludf.DUMMYFUNCTION("""COMPUTED_VALUE"""),"-")</f>
        <v>-</v>
      </c>
      <c r="F1066" s="42" t="str">
        <f>IFERROR(__xludf.DUMMYFUNCTION("""COMPUTED_VALUE"""),"-")</f>
        <v>-</v>
      </c>
      <c r="G1066" s="42" t="str">
        <f>IFERROR(__xludf.DUMMYFUNCTION("""COMPUTED_VALUE"""),"None")</f>
        <v>None</v>
      </c>
      <c r="H1066" s="42" t="str">
        <f>IFERROR(__xludf.DUMMYFUNCTION("""COMPUTED_VALUE"""),"Red and Black")</f>
        <v>Red and Black</v>
      </c>
      <c r="I1066" s="43" t="str">
        <f>IFERROR(__xludf.DUMMYFUNCTION("""COMPUTED_VALUE"""),"Send your in-play Zatch Bell or Brago MAMODO card to the Discard Pile to put this MAMODO card in play. [IN PLAY] Reduce the MP cost of all SPELL cards with Zatch Bell or Brago as their MAMODO name by 1 when used for Attacking.")</f>
        <v>Send your in-play Zatch Bell or Brago MAMODO card to the Discard Pile to put this MAMODO card in play. [IN PLAY] Reduce the MP cost of all SPELL cards with Zatch Bell or Brago as their MAMODO name by 1 when used for Attacking.</v>
      </c>
      <c r="J1066" s="42">
        <f>IFERROR(__xludf.DUMMYFUNCTION("""COMPUTED_VALUE"""),4000.0)</f>
        <v>4000</v>
      </c>
      <c r="K1066" s="42" t="str">
        <f>IFERROR(__xludf.DUMMYFUNCTION("""COMPUTED_VALUE"""),"-")</f>
        <v>-</v>
      </c>
      <c r="L1066" s="42" t="str">
        <f>IFERROR(__xludf.DUMMYFUNCTION("""COMPUTED_VALUE"""),"-")</f>
        <v>-</v>
      </c>
      <c r="M1066" s="42" t="str">
        <f>IFERROR(__xludf.DUMMYFUNCTION("""COMPUTED_VALUE"""),"[R]")</f>
        <v>[R]</v>
      </c>
      <c r="N1066" s="42" t="str">
        <f>IFERROR(__xludf.DUMMYFUNCTION("""COMPUTED_VALUE"""),"The children of the red and black spell books are destined to meet.")</f>
        <v>The children of the red and black spell books are destined to meet.</v>
      </c>
      <c r="O1066" s="42"/>
      <c r="P1066" s="42"/>
      <c r="Q1066" s="42"/>
      <c r="R1066" s="42"/>
      <c r="S1066" s="42"/>
      <c r="T1066" s="42"/>
      <c r="U1066" s="42"/>
      <c r="V1066" s="42"/>
      <c r="W1066" s="42"/>
      <c r="X1066" s="42"/>
      <c r="Y1066" s="42"/>
      <c r="Z1066" s="42"/>
    </row>
    <row r="1067">
      <c r="A1067" s="41" t="str">
        <f>IFERROR(__xludf.DUMMYFUNCTION("""COMPUTED_VALUE"""),"PR-016")</f>
        <v>PR-016</v>
      </c>
      <c r="B1067" s="42" t="str">
        <f>IFERROR(__xludf.DUMMYFUNCTION("""COMPUTED_VALUE"""),"Event")</f>
        <v>Event</v>
      </c>
      <c r="C1067" s="42" t="str">
        <f>IFERROR(__xludf.DUMMYFUNCTION("""COMPUTED_VALUE"""),"The 6 Hopes")</f>
        <v>The 6 Hopes</v>
      </c>
      <c r="D1067" s="42" t="str">
        <f>IFERROR(__xludf.DUMMYFUNCTION("""COMPUTED_VALUE"""),"-")</f>
        <v>-</v>
      </c>
      <c r="E1067" s="42">
        <f>IFERROR(__xludf.DUMMYFUNCTION("""COMPUTED_VALUE"""),0.0)</f>
        <v>0</v>
      </c>
      <c r="F1067" s="42" t="str">
        <f>IFERROR(__xludf.DUMMYFUNCTION("""COMPUTED_VALUE"""),"A")</f>
        <v>A</v>
      </c>
      <c r="G1067" s="42" t="str">
        <f>IFERROR(__xludf.DUMMYFUNCTION("""COMPUTED_VALUE"""),"None")</f>
        <v>None</v>
      </c>
      <c r="H1067" s="42" t="str">
        <f>IFERROR(__xludf.DUMMYFUNCTION("""COMPUTED_VALUE"""),"-")</f>
        <v>-</v>
      </c>
      <c r="I1067" s="43" t="str">
        <f>IFERROR(__xludf.DUMMYFUNCTION("""COMPUTED_VALUE"""),"Apply both of the following effects in order: ● Select 1 of your in-play MAMODO cards and move it to an empty page of your Spell Book.● Select 1 MAMODO card from any page of your Spell Book and put it in play.")</f>
        <v>Apply both of the following effects in order: ● Select 1 of your in-play MAMODO cards and move it to an empty page of your Spell Book.● Select 1 MAMODO card from any page of your Spell Book and put it in play.</v>
      </c>
      <c r="J1067" s="42" t="str">
        <f>IFERROR(__xludf.DUMMYFUNCTION("""COMPUTED_VALUE"""),"-")</f>
        <v>-</v>
      </c>
      <c r="K1067" s="42" t="str">
        <f>IFERROR(__xludf.DUMMYFUNCTION("""COMPUTED_VALUE"""),"-")</f>
        <v>-</v>
      </c>
      <c r="L1067" s="42" t="str">
        <f>IFERROR(__xludf.DUMMYFUNCTION("""COMPUTED_VALUE"""),"-")</f>
        <v>-</v>
      </c>
      <c r="M1067" s="42" t="str">
        <f>IFERROR(__xludf.DUMMYFUNCTION("""COMPUTED_VALUE"""),"[R]")</f>
        <v>[R]</v>
      </c>
      <c r="N1067" s="42" t="str">
        <f>IFERROR(__xludf.DUMMYFUNCTION("""COMPUTED_VALUE"""),"-")</f>
        <v>-</v>
      </c>
      <c r="O1067" s="42"/>
      <c r="P1067" s="42"/>
      <c r="Q1067" s="42"/>
      <c r="R1067" s="42"/>
      <c r="S1067" s="42"/>
      <c r="T1067" s="42"/>
      <c r="U1067" s="42"/>
      <c r="V1067" s="42"/>
      <c r="W1067" s="42"/>
      <c r="X1067" s="42"/>
      <c r="Y1067" s="42"/>
      <c r="Z1067" s="42"/>
    </row>
    <row r="1068">
      <c r="A1068" s="41" t="str">
        <f>IFERROR(__xludf.DUMMYFUNCTION("""COMPUTED_VALUE"""),"PR-017")</f>
        <v>PR-017</v>
      </c>
      <c r="B1068" s="42" t="str">
        <f>IFERROR(__xludf.DUMMYFUNCTION("""COMPUTED_VALUE"""),"Mamodo")</f>
        <v>Mamodo</v>
      </c>
      <c r="C1068" s="42" t="str">
        <f>IFERROR(__xludf.DUMMYFUNCTION("""COMPUTED_VALUE"""),"Brago")</f>
        <v>Brago</v>
      </c>
      <c r="D1068" s="42" t="str">
        <f>IFERROR(__xludf.DUMMYFUNCTION("""COMPUTED_VALUE"""),"Brago")</f>
        <v>Brago</v>
      </c>
      <c r="E1068" s="42" t="str">
        <f>IFERROR(__xludf.DUMMYFUNCTION("""COMPUTED_VALUE"""),"-")</f>
        <v>-</v>
      </c>
      <c r="F1068" s="42" t="str">
        <f>IFERROR(__xludf.DUMMYFUNCTION("""COMPUTED_VALUE"""),"-")</f>
        <v>-</v>
      </c>
      <c r="G1068" s="42" t="str">
        <f>IFERROR(__xludf.DUMMYFUNCTION("""COMPUTED_VALUE"""),"None")</f>
        <v>None</v>
      </c>
      <c r="H1068" s="42" t="str">
        <f>IFERROR(__xludf.DUMMYFUNCTION("""COMPUTED_VALUE"""),"Rhapsody of Life")</f>
        <v>Rhapsody of Life</v>
      </c>
      <c r="I1068" s="43" t="str">
        <f>IFERROR(__xludf.DUMMYFUNCTION("""COMPUTED_VALUE"""),"[2 MP] Send the MAMODO card that SACRIFICED or PROTECTED their Spell Book from the Damage of this MAMODO card's Attack to the Discard Pile. This effect can be applied only when a Sherry PARTNER card is attached to this MAMODO card.")</f>
        <v>[2 MP] Send the MAMODO card that SACRIFICED or PROTECTED their Spell Book from the Damage of this MAMODO card's Attack to the Discard Pile. This effect can be applied only when a Sherry PARTNER card is attached to this MAMODO card.</v>
      </c>
      <c r="J1068" s="42">
        <f>IFERROR(__xludf.DUMMYFUNCTION("""COMPUTED_VALUE"""),5000.0)</f>
        <v>5000</v>
      </c>
      <c r="K1068" s="42" t="str">
        <f>IFERROR(__xludf.DUMMYFUNCTION("""COMPUTED_VALUE"""),"-")</f>
        <v>-</v>
      </c>
      <c r="L1068" s="42" t="str">
        <f>IFERROR(__xludf.DUMMYFUNCTION("""COMPUTED_VALUE"""),"-")</f>
        <v>-</v>
      </c>
      <c r="M1068" s="42" t="str">
        <f>IFERROR(__xludf.DUMMYFUNCTION("""COMPUTED_VALUE"""),"[R]")</f>
        <v>[R]</v>
      </c>
      <c r="N1068" s="42" t="str">
        <f>IFERROR(__xludf.DUMMYFUNCTION("""COMPUTED_VALUE"""),"Their destinies changed when Brago and Sherry met.")</f>
        <v>Their destinies changed when Brago and Sherry met.</v>
      </c>
      <c r="O1068" s="42"/>
      <c r="P1068" s="42"/>
      <c r="Q1068" s="42"/>
      <c r="R1068" s="42"/>
      <c r="S1068" s="42"/>
      <c r="T1068" s="42"/>
      <c r="U1068" s="42"/>
      <c r="V1068" s="42"/>
      <c r="W1068" s="42"/>
      <c r="X1068" s="42"/>
      <c r="Y1068" s="42"/>
      <c r="Z1068" s="42"/>
    </row>
    <row r="1069">
      <c r="A1069" s="41" t="str">
        <f>IFERROR(__xludf.DUMMYFUNCTION("""COMPUTED_VALUE"""),"PR-018")</f>
        <v>PR-018</v>
      </c>
      <c r="B1069" s="42" t="str">
        <f>IFERROR(__xludf.DUMMYFUNCTION("""COMPUTED_VALUE"""),"Mamodo")</f>
        <v>Mamodo</v>
      </c>
      <c r="C1069" s="42" t="str">
        <f>IFERROR(__xludf.DUMMYFUNCTION("""COMPUTED_VALUE"""),"Kanchome")</f>
        <v>Kanchome</v>
      </c>
      <c r="D1069" s="42" t="str">
        <f>IFERROR(__xludf.DUMMYFUNCTION("""COMPUTED_VALUE"""),"Kanchome")</f>
        <v>Kanchome</v>
      </c>
      <c r="E1069" s="42" t="str">
        <f>IFERROR(__xludf.DUMMYFUNCTION("""COMPUTED_VALUE"""),"-")</f>
        <v>-</v>
      </c>
      <c r="F1069" s="42" t="str">
        <f>IFERROR(__xludf.DUMMYFUNCTION("""COMPUTED_VALUE"""),"-")</f>
        <v>-</v>
      </c>
      <c r="G1069" s="42" t="str">
        <f>IFERROR(__xludf.DUMMYFUNCTION("""COMPUTED_VALUE"""),"None")</f>
        <v>None</v>
      </c>
      <c r="H1069" s="42" t="str">
        <f>IFERROR(__xludf.DUMMYFUNCTION("""COMPUTED_VALUE"""),"Strange Operation")</f>
        <v>Strange Operation</v>
      </c>
      <c r="I1069" s="43" t="str">
        <f>IFERROR(__xludf.DUMMYFUNCTION("""COMPUTED_VALUE"""),"(Cut-In) [DECLARE TO USE] Flip a coin; if it's heads, negate the effect of a MAMODO card your opponent just applied.")</f>
        <v>(Cut-In) [DECLARE TO USE] Flip a coin; if it's heads, negate the effect of a MAMODO card your opponent just applied.</v>
      </c>
      <c r="J1069" s="42">
        <f>IFERROR(__xludf.DUMMYFUNCTION("""COMPUTED_VALUE"""),3000.0)</f>
        <v>3000</v>
      </c>
      <c r="K1069" s="42" t="str">
        <f>IFERROR(__xludf.DUMMYFUNCTION("""COMPUTED_VALUE"""),"-")</f>
        <v>-</v>
      </c>
      <c r="L1069" s="42" t="str">
        <f>IFERROR(__xludf.DUMMYFUNCTION("""COMPUTED_VALUE"""),"Promo")</f>
        <v>Promo</v>
      </c>
      <c r="M1069" s="42" t="str">
        <f>IFERROR(__xludf.DUMMYFUNCTION("""COMPUTED_VALUE"""),"[R]")</f>
        <v>[R]</v>
      </c>
      <c r="N1069" s="42" t="str">
        <f>IFERROR(__xludf.DUMMYFUNCTION("""COMPUTED_VALUE"""),"""It's a big mistake if you think I'm strong!!!""")</f>
        <v>"It's a big mistake if you think I'm strong!!!"</v>
      </c>
      <c r="O1069" s="42"/>
      <c r="P1069" s="42"/>
      <c r="Q1069" s="42"/>
      <c r="R1069" s="42"/>
      <c r="S1069" s="42"/>
      <c r="T1069" s="42"/>
      <c r="U1069" s="42"/>
      <c r="V1069" s="42"/>
      <c r="W1069" s="42"/>
      <c r="X1069" s="42"/>
      <c r="Y1069" s="42"/>
      <c r="Z1069" s="42"/>
    </row>
    <row r="1070">
      <c r="A1070" s="41" t="str">
        <f>IFERROR(__xludf.DUMMYFUNCTION("""COMPUTED_VALUE"""),"PR-019")</f>
        <v>PR-019</v>
      </c>
      <c r="B1070" s="42" t="str">
        <f>IFERROR(__xludf.DUMMYFUNCTION("""COMPUTED_VALUE"""),"Event")</f>
        <v>Event</v>
      </c>
      <c r="C1070" s="42" t="str">
        <f>IFERROR(__xludf.DUMMYFUNCTION("""COMPUTED_VALUE"""),"Bookmarks of the Mamodo World")</f>
        <v>Bookmarks of the Mamodo World</v>
      </c>
      <c r="D1070" s="42" t="str">
        <f>IFERROR(__xludf.DUMMYFUNCTION("""COMPUTED_VALUE"""),"-")</f>
        <v>-</v>
      </c>
      <c r="E1070" s="42">
        <f>IFERROR(__xludf.DUMMYFUNCTION("""COMPUTED_VALUE"""),1.0)</f>
        <v>1</v>
      </c>
      <c r="F1070" s="42" t="str">
        <f>IFERROR(__xludf.DUMMYFUNCTION("""COMPUTED_VALUE"""),"AD")</f>
        <v>AD</v>
      </c>
      <c r="G1070" s="42" t="str">
        <f>IFERROR(__xludf.DUMMYFUNCTION("""COMPUTED_VALUE"""),"None")</f>
        <v>None</v>
      </c>
      <c r="H1070" s="42" t="str">
        <f>IFERROR(__xludf.DUMMYFUNCTION("""COMPUTED_VALUE"""),"-")</f>
        <v>-</v>
      </c>
      <c r="I1070" s="43" t="str">
        <f>IFERROR(__xludf.DUMMYFUNCTION("""COMPUTED_VALUE"""),"[STANDBY] Select 1 SPELL or EVENT card in the currently open pages of your Spell Book (except this card) and show it to your opponent. After applying this effect, only once during this game (per player), you can play the selected card when it is not in yo"&amp;"ur currently open pages of your Spell Book.")</f>
        <v>[STANDBY] Select 1 SPELL or EVENT card in the currently open pages of your Spell Book (except this card) and show it to your opponent. After applying this effect, only once during this game (per player), you can play the selected card when it is not in your currently open pages of your Spell Book.</v>
      </c>
      <c r="J1070" s="42" t="str">
        <f>IFERROR(__xludf.DUMMYFUNCTION("""COMPUTED_VALUE"""),"-")</f>
        <v>-</v>
      </c>
      <c r="K1070" s="42" t="str">
        <f>IFERROR(__xludf.DUMMYFUNCTION("""COMPUTED_VALUE"""),"-")</f>
        <v>-</v>
      </c>
      <c r="L1070" s="42" t="str">
        <f>IFERROR(__xludf.DUMMYFUNCTION("""COMPUTED_VALUE"""),"-")</f>
        <v>-</v>
      </c>
      <c r="M1070" s="42" t="str">
        <f>IFERROR(__xludf.DUMMYFUNCTION("""COMPUTED_VALUE"""),"[R]")</f>
        <v>[R]</v>
      </c>
      <c r="N1070" s="42" t="str">
        <f>IFERROR(__xludf.DUMMYFUNCTION("""COMPUTED_VALUE"""),"These mysterious bookmarks were created by the fortune teller known as Cocomero.")</f>
        <v>These mysterious bookmarks were created by the fortune teller known as Cocomero.</v>
      </c>
      <c r="O1070" s="42"/>
      <c r="P1070" s="42"/>
      <c r="Q1070" s="42"/>
      <c r="R1070" s="42"/>
      <c r="S1070" s="42"/>
      <c r="T1070" s="42"/>
      <c r="U1070" s="42"/>
      <c r="V1070" s="42"/>
      <c r="W1070" s="42"/>
      <c r="X1070" s="42"/>
      <c r="Y1070" s="42"/>
      <c r="Z1070" s="42"/>
    </row>
    <row r="1071">
      <c r="A1071" s="41" t="str">
        <f>IFERROR(__xludf.DUMMYFUNCTION("""COMPUTED_VALUE"""),"PR-020")</f>
        <v>PR-020</v>
      </c>
      <c r="B1071" s="42" t="str">
        <f>IFERROR(__xludf.DUMMYFUNCTION("""COMPUTED_VALUE"""),"Event")</f>
        <v>Event</v>
      </c>
      <c r="C1071" s="42" t="str">
        <f>IFERROR(__xludf.DUMMYFUNCTION("""COMPUTED_VALUE"""),"Heading into Battle")</f>
        <v>Heading into Battle</v>
      </c>
      <c r="D1071" s="42" t="str">
        <f>IFERROR(__xludf.DUMMYFUNCTION("""COMPUTED_VALUE"""),"-")</f>
        <v>-</v>
      </c>
      <c r="E1071" s="42">
        <f>IFERROR(__xludf.DUMMYFUNCTION("""COMPUTED_VALUE"""),1.0)</f>
        <v>1</v>
      </c>
      <c r="F1071" s="42" t="str">
        <f>IFERROR(__xludf.DUMMYFUNCTION("""COMPUTED_VALUE"""),"A")</f>
        <v>A</v>
      </c>
      <c r="G1071" s="42" t="str">
        <f>IFERROR(__xludf.DUMMYFUNCTION("""COMPUTED_VALUE"""),"None")</f>
        <v>None</v>
      </c>
      <c r="H1071" s="42" t="str">
        <f>IFERROR(__xludf.DUMMYFUNCTION("""COMPUTED_VALUE"""),"-")</f>
        <v>-</v>
      </c>
      <c r="I1071" s="43" t="str">
        <f>IFERROR(__xludf.DUMMYFUNCTION("""COMPUTED_VALUE"""),"Select 1 MAMODO card and 1 of its PARTNER cards from any page of your Spell Book and put them in play (both must be selected).")</f>
        <v>Select 1 MAMODO card and 1 of its PARTNER cards from any page of your Spell Book and put them in play (both must be selected).</v>
      </c>
      <c r="J1071" s="42" t="str">
        <f>IFERROR(__xludf.DUMMYFUNCTION("""COMPUTED_VALUE"""),"-")</f>
        <v>-</v>
      </c>
      <c r="K1071" s="42" t="str">
        <f>IFERROR(__xludf.DUMMYFUNCTION("""COMPUTED_VALUE"""),"-")</f>
        <v>-</v>
      </c>
      <c r="L1071" s="42" t="str">
        <f>IFERROR(__xludf.DUMMYFUNCTION("""COMPUTED_VALUE"""),"-")</f>
        <v>-</v>
      </c>
      <c r="M1071" s="42" t="str">
        <f>IFERROR(__xludf.DUMMYFUNCTION("""COMPUTED_VALUE"""),"[R]")</f>
        <v>[R]</v>
      </c>
      <c r="N1071" s="42" t="str">
        <f>IFERROR(__xludf.DUMMYFUNCTION("""COMPUTED_VALUE"""),"""Let's go, Zatch!"" ""Yeah!""")</f>
        <v>"Let's go, Zatch!" "Yeah!"</v>
      </c>
      <c r="O1071" s="42"/>
      <c r="P1071" s="42"/>
      <c r="Q1071" s="42"/>
      <c r="R1071" s="42"/>
      <c r="S1071" s="42"/>
      <c r="T1071" s="42"/>
      <c r="U1071" s="42"/>
      <c r="V1071" s="42"/>
      <c r="W1071" s="42"/>
      <c r="X1071" s="42"/>
      <c r="Y1071" s="42"/>
      <c r="Z1071" s="42"/>
    </row>
    <row r="1072">
      <c r="A1072" s="41" t="str">
        <f>IFERROR(__xludf.DUMMYFUNCTION("""COMPUTED_VALUE"""),"PR-021")</f>
        <v>PR-021</v>
      </c>
      <c r="B1072" s="42" t="str">
        <f>IFERROR(__xludf.DUMMYFUNCTION("""COMPUTED_VALUE"""),"Event")</f>
        <v>Event</v>
      </c>
      <c r="C1072" s="42" t="str">
        <f>IFERROR(__xludf.DUMMYFUNCTION("""COMPUTED_VALUE"""),"The Thousand-Year Struggle")</f>
        <v>The Thousand-Year Struggle</v>
      </c>
      <c r="D1072" s="42" t="str">
        <f>IFERROR(__xludf.DUMMYFUNCTION("""COMPUTED_VALUE"""),"-")</f>
        <v>-</v>
      </c>
      <c r="E1072" s="42">
        <f>IFERROR(__xludf.DUMMYFUNCTION("""COMPUTED_VALUE"""),3.0)</f>
        <v>3</v>
      </c>
      <c r="F1072" s="42" t="str">
        <f>IFERROR(__xludf.DUMMYFUNCTION("""COMPUTED_VALUE"""),"A")</f>
        <v>A</v>
      </c>
      <c r="G1072" s="42" t="str">
        <f>IFERROR(__xludf.DUMMYFUNCTION("""COMPUTED_VALUE"""),"None")</f>
        <v>None</v>
      </c>
      <c r="H1072" s="42" t="str">
        <f>IFERROR(__xludf.DUMMYFUNCTION("""COMPUTED_VALUE"""),"-")</f>
        <v>-</v>
      </c>
      <c r="I1072" s="43" t="str">
        <f>IFERROR(__xludf.DUMMYFUNCTION("""COMPUTED_VALUE"""),"Send 1 of either player's in-play Stone Tablet MAMODO cards to the Discard Pile.")</f>
        <v>Send 1 of either player's in-play Stone Tablet MAMODO cards to the Discard Pile.</v>
      </c>
      <c r="J1072" s="42" t="str">
        <f>IFERROR(__xludf.DUMMYFUNCTION("""COMPUTED_VALUE"""),"-")</f>
        <v>-</v>
      </c>
      <c r="K1072" s="42" t="str">
        <f>IFERROR(__xludf.DUMMYFUNCTION("""COMPUTED_VALUE"""),"-")</f>
        <v>-</v>
      </c>
      <c r="L1072" s="42" t="str">
        <f>IFERROR(__xludf.DUMMYFUNCTION("""COMPUTED_VALUE"""),"-")</f>
        <v>-</v>
      </c>
      <c r="M1072" s="42" t="str">
        <f>IFERROR(__xludf.DUMMYFUNCTION("""COMPUTED_VALUE"""),"[R]")</f>
        <v>[R]</v>
      </c>
      <c r="N1072" s="42" t="str">
        <f>IFERROR(__xludf.DUMMYFUNCTION("""COMPUTED_VALUE"""),"The mamodo from a thousand years ago have been subjected to a nightmare from which they can never awaken.")</f>
        <v>The mamodo from a thousand years ago have been subjected to a nightmare from which they can never awaken.</v>
      </c>
      <c r="O1072" s="42"/>
      <c r="P1072" s="42"/>
      <c r="Q1072" s="42"/>
      <c r="R1072" s="42"/>
      <c r="S1072" s="42"/>
      <c r="T1072" s="42"/>
      <c r="U1072" s="42"/>
      <c r="V1072" s="42"/>
      <c r="W1072" s="42"/>
      <c r="X1072" s="42"/>
      <c r="Y1072" s="42"/>
      <c r="Z1072" s="42"/>
    </row>
    <row r="1073">
      <c r="A1073" s="41" t="str">
        <f>IFERROR(__xludf.DUMMYFUNCTION("""COMPUTED_VALUE"""),"PR-022")</f>
        <v>PR-022</v>
      </c>
      <c r="B1073" s="42" t="str">
        <f>IFERROR(__xludf.DUMMYFUNCTION("""COMPUTED_VALUE"""),"Event")</f>
        <v>Event</v>
      </c>
      <c r="C1073" s="42" t="str">
        <f>IFERROR(__xludf.DUMMYFUNCTION("""COMPUTED_VALUE"""),"V")</f>
        <v>V</v>
      </c>
      <c r="D1073" s="42" t="str">
        <f>IFERROR(__xludf.DUMMYFUNCTION("""COMPUTED_VALUE"""),"-")</f>
        <v>-</v>
      </c>
      <c r="E1073" s="42">
        <f>IFERROR(__xludf.DUMMYFUNCTION("""COMPUTED_VALUE"""),2.0)</f>
        <v>2</v>
      </c>
      <c r="F1073" s="42" t="str">
        <f>IFERROR(__xludf.DUMMYFUNCTION("""COMPUTED_VALUE"""),"A")</f>
        <v>A</v>
      </c>
      <c r="G1073" s="42" t="str">
        <f>IFERROR(__xludf.DUMMYFUNCTION("""COMPUTED_VALUE"""),"Superior")</f>
        <v>Superior</v>
      </c>
      <c r="H1073" s="42" t="str">
        <f>IFERROR(__xludf.DUMMYFUNCTION("""COMPUTED_VALUE"""),"-")</f>
        <v>-</v>
      </c>
      <c r="I1073" s="43" t="str">
        <f>IFERROR(__xludf.DUMMYFUNCTION("""COMPUTED_VALUE"""),"Inflict 5 Damage on your opponent (your opponent can SACRIFICE or PROTECT their Spell Book from this Damage). This effect can be applied only once per game (per player).")</f>
        <v>Inflict 5 Damage on your opponent (your opponent can SACRIFICE or PROTECT their Spell Book from this Damage). This effect can be applied only once per game (per player).</v>
      </c>
      <c r="J1073" s="42" t="str">
        <f>IFERROR(__xludf.DUMMYFUNCTION("""COMPUTED_VALUE"""),"-")</f>
        <v>-</v>
      </c>
      <c r="K1073" s="42" t="str">
        <f>IFERROR(__xludf.DUMMYFUNCTION("""COMPUTED_VALUE"""),"-")</f>
        <v>-</v>
      </c>
      <c r="L1073" s="42" t="str">
        <f>IFERROR(__xludf.DUMMYFUNCTION("""COMPUTED_VALUE"""),"-")</f>
        <v>-</v>
      </c>
      <c r="M1073" s="42" t="str">
        <f>IFERROR(__xludf.DUMMYFUNCTION("""COMPUTED_VALUE"""),"[R]")</f>
        <v>[R]</v>
      </c>
      <c r="N1073" s="42" t="str">
        <f>IFERROR(__xludf.DUMMYFUNCTION("""COMPUTED_VALUE"""),"""My beautiful V-power will rise to the top!""")</f>
        <v>"My beautiful V-power will rise to the top!"</v>
      </c>
      <c r="O1073" s="42"/>
      <c r="P1073" s="42"/>
      <c r="Q1073" s="42"/>
      <c r="R1073" s="42"/>
      <c r="S1073" s="42"/>
      <c r="T1073" s="42"/>
      <c r="U1073" s="42"/>
      <c r="V1073" s="42"/>
      <c r="W1073" s="42"/>
      <c r="X1073" s="42"/>
      <c r="Y1073" s="42"/>
      <c r="Z1073" s="42"/>
    </row>
    <row r="1074">
      <c r="A1074" s="41" t="str">
        <f>IFERROR(__xludf.DUMMYFUNCTION("""COMPUTED_VALUE"""),"PR-023")</f>
        <v>PR-023</v>
      </c>
      <c r="B1074" s="42" t="str">
        <f>IFERROR(__xludf.DUMMYFUNCTION("""COMPUTED_VALUE"""),"Spell")</f>
        <v>Spell</v>
      </c>
      <c r="C1074" s="42" t="str">
        <f>IFERROR(__xludf.DUMMYFUNCTION("""COMPUTED_VALUE"""),"Zagurzem")</f>
        <v>Zagurzem</v>
      </c>
      <c r="D1074" s="42" t="str">
        <f>IFERROR(__xludf.DUMMYFUNCTION("""COMPUTED_VALUE"""),"Zatch Bell")</f>
        <v>Zatch Bell</v>
      </c>
      <c r="E1074" s="42">
        <f>IFERROR(__xludf.DUMMYFUNCTION("""COMPUTED_VALUE"""),1.0)</f>
        <v>1</v>
      </c>
      <c r="F1074" s="42" t="str">
        <f>IFERROR(__xludf.DUMMYFUNCTION("""COMPUTED_VALUE"""),"-")</f>
        <v>-</v>
      </c>
      <c r="G1074" s="42" t="str">
        <f>IFERROR(__xludf.DUMMYFUNCTION("""COMPUTED_VALUE"""),"Intermediate")</f>
        <v>Intermediate</v>
      </c>
      <c r="H1074" s="42" t="str">
        <f>IFERROR(__xludf.DUMMYFUNCTION("""COMPUTED_VALUE"""),"Thunder")</f>
        <v>Thunder</v>
      </c>
      <c r="I1074" s="43" t="str">
        <f>IFERROR(__xludf.DUMMYFUNCTION("""COMPUTED_VALUE"""),"[STANDBY] When you win the Battle as an Attacker, the next time you Damage your opponent’s Spell Book with a “Thunder” Attribute SPELL card during this game, turn 2 pages of your opponent’s Spell Book (this effect can be duplicated).")</f>
        <v>[STANDBY] When you win the Battle as an Attacker, the next time you Damage your opponent’s Spell Book with a “Thunder” Attribute SPELL card during this game, turn 2 pages of your opponent’s Spell Book (this effect can be duplicated).</v>
      </c>
      <c r="J1074" s="42" t="str">
        <f>IFERROR(__xludf.DUMMYFUNCTION("""COMPUTED_VALUE"""),"+3000")</f>
        <v>+3000</v>
      </c>
      <c r="K1074" s="42" t="str">
        <f>IFERROR(__xludf.DUMMYFUNCTION("""COMPUTED_VALUE"""),"-")</f>
        <v>-</v>
      </c>
      <c r="L1074" s="42" t="str">
        <f>IFERROR(__xludf.DUMMYFUNCTION("""COMPUTED_VALUE"""),"-")</f>
        <v>-</v>
      </c>
      <c r="M1074" s="42" t="str">
        <f>IFERROR(__xludf.DUMMYFUNCTION("""COMPUTED_VALUE"""),"[R]")</f>
        <v>[R]</v>
      </c>
      <c r="N1074" s="42" t="str">
        <f>IFERROR(__xludf.DUMMYFUNCTION("""COMPUTED_VALUE"""),"Zatch's 7th spell. A ball of light that stores up accumulative energy in whatever it hits.")</f>
        <v>Zatch's 7th spell. A ball of light that stores up accumulative energy in whatever it hits.</v>
      </c>
      <c r="O1074" s="42"/>
      <c r="P1074" s="42"/>
      <c r="Q1074" s="42"/>
      <c r="R1074" s="42"/>
      <c r="S1074" s="42"/>
      <c r="T1074" s="42"/>
      <c r="U1074" s="42"/>
      <c r="V1074" s="42"/>
      <c r="W1074" s="42"/>
      <c r="X1074" s="42"/>
      <c r="Y1074" s="42"/>
      <c r="Z1074" s="42"/>
    </row>
    <row r="1075">
      <c r="A1075" s="41" t="str">
        <f>IFERROR(__xludf.DUMMYFUNCTION("""COMPUTED_VALUE"""),"PR-024")</f>
        <v>PR-024</v>
      </c>
      <c r="B1075" s="42" t="str">
        <f>IFERROR(__xludf.DUMMYFUNCTION("""COMPUTED_VALUE"""),"Spell")</f>
        <v>Spell</v>
      </c>
      <c r="C1075" s="42" t="str">
        <f>IFERROR(__xludf.DUMMYFUNCTION("""COMPUTED_VALUE"""),"Zagurzem")</f>
        <v>Zagurzem</v>
      </c>
      <c r="D1075" s="42" t="str">
        <f>IFERROR(__xludf.DUMMYFUNCTION("""COMPUTED_VALUE"""),"Zatch Bell")</f>
        <v>Zatch Bell</v>
      </c>
      <c r="E1075" s="42">
        <f>IFERROR(__xludf.DUMMYFUNCTION("""COMPUTED_VALUE"""),1.0)</f>
        <v>1</v>
      </c>
      <c r="F1075" s="42" t="str">
        <f>IFERROR(__xludf.DUMMYFUNCTION("""COMPUTED_VALUE"""),"-")</f>
        <v>-</v>
      </c>
      <c r="G1075" s="42" t="str">
        <f>IFERROR(__xludf.DUMMYFUNCTION("""COMPUTED_VALUE"""),"Intermediate")</f>
        <v>Intermediate</v>
      </c>
      <c r="H1075" s="42" t="str">
        <f>IFERROR(__xludf.DUMMYFUNCTION("""COMPUTED_VALUE"""),"Thunder")</f>
        <v>Thunder</v>
      </c>
      <c r="I1075" s="43" t="str">
        <f>IFERROR(__xludf.DUMMYFUNCTION("""COMPUTED_VALUE"""),"[STANDBY] When you win the Battle as an Attacker, the next time you Damage your opponent’s Spell Book with a “Thunder” Attribute SPELL card during this game, turn 2 pages of your opponent’s Spell Book (this effect can be duplicated).")</f>
        <v>[STANDBY] When you win the Battle as an Attacker, the next time you Damage your opponent’s Spell Book with a “Thunder” Attribute SPELL card during this game, turn 2 pages of your opponent’s Spell Book (this effect can be duplicated).</v>
      </c>
      <c r="J1075" s="42" t="str">
        <f>IFERROR(__xludf.DUMMYFUNCTION("""COMPUTED_VALUE"""),"+3000")</f>
        <v>+3000</v>
      </c>
      <c r="K1075" s="42" t="str">
        <f>IFERROR(__xludf.DUMMYFUNCTION("""COMPUTED_VALUE"""),"-")</f>
        <v>-</v>
      </c>
      <c r="L1075" s="42" t="str">
        <f>IFERROR(__xludf.DUMMYFUNCTION("""COMPUTED_VALUE"""),"-")</f>
        <v>-</v>
      </c>
      <c r="M1075" s="42" t="str">
        <f>IFERROR(__xludf.DUMMYFUNCTION("""COMPUTED_VALUE"""),"[R]")</f>
        <v>[R]</v>
      </c>
      <c r="N1075" s="42" t="str">
        <f>IFERROR(__xludf.DUMMYFUNCTION("""COMPUTED_VALUE"""),"Zatch's 7th spell. Zagurzem's energy explodes on contact when detonated by an electric blast.")</f>
        <v>Zatch's 7th spell. Zagurzem's energy explodes on contact when detonated by an electric blast.</v>
      </c>
      <c r="O1075" s="42"/>
      <c r="P1075" s="42"/>
      <c r="Q1075" s="42"/>
      <c r="R1075" s="42"/>
      <c r="S1075" s="42"/>
      <c r="T1075" s="42"/>
      <c r="U1075" s="42"/>
      <c r="V1075" s="42"/>
      <c r="W1075" s="42"/>
      <c r="X1075" s="42"/>
      <c r="Y1075" s="42"/>
      <c r="Z1075" s="42"/>
    </row>
    <row r="1076">
      <c r="A1076" s="41" t="str">
        <f>IFERROR(__xludf.DUMMYFUNCTION("""COMPUTED_VALUE"""),"PR-025")</f>
        <v>PR-025</v>
      </c>
      <c r="B1076" s="42" t="str">
        <f>IFERROR(__xludf.DUMMYFUNCTION("""COMPUTED_VALUE"""),"Mamodo")</f>
        <v>Mamodo</v>
      </c>
      <c r="C1076" s="42" t="str">
        <f>IFERROR(__xludf.DUMMYFUNCTION("""COMPUTED_VALUE"""),"Wiseman")</f>
        <v>Wiseman</v>
      </c>
      <c r="D1076" s="42" t="str">
        <f>IFERROR(__xludf.DUMMYFUNCTION("""COMPUTED_VALUE"""),"Wiseman")</f>
        <v>Wiseman</v>
      </c>
      <c r="E1076" s="42" t="str">
        <f>IFERROR(__xludf.DUMMYFUNCTION("""COMPUTED_VALUE"""),"-")</f>
        <v>-</v>
      </c>
      <c r="F1076" s="42" t="str">
        <f>IFERROR(__xludf.DUMMYFUNCTION("""COMPUTED_VALUE"""),"-")</f>
        <v>-</v>
      </c>
      <c r="G1076" s="42" t="str">
        <f>IFERROR(__xludf.DUMMYFUNCTION("""COMPUTED_VALUE"""),"None")</f>
        <v>None</v>
      </c>
      <c r="H1076" s="42" t="str">
        <f>IFERROR(__xludf.DUMMYFUNCTION("""COMPUTED_VALUE"""),"Prodigy")</f>
        <v>Prodigy</v>
      </c>
      <c r="I1076" s="43" t="str">
        <f>IFERROR(__xludf.DUMMYFUNCTION("""COMPUTED_VALUE"""),"[2 MP] [STANDBY] After applying this effect, only once during this turn (per player), you can play any 1 SPELL card for this MAMODO card from the currently open pages of your Spell Book (except SPELL cards with Wiseman as their MAMODO name).")</f>
        <v>[2 MP] [STANDBY] After applying this effect, only once during this turn (per player), you can play any 1 SPELL card for this MAMODO card from the currently open pages of your Spell Book (except SPELL cards with Wiseman as their MAMODO name).</v>
      </c>
      <c r="J1076" s="42">
        <f>IFERROR(__xludf.DUMMYFUNCTION("""COMPUTED_VALUE"""),4000.0)</f>
        <v>4000</v>
      </c>
      <c r="K1076" s="42" t="str">
        <f>IFERROR(__xludf.DUMMYFUNCTION("""COMPUTED_VALUE"""),"-")</f>
        <v>-</v>
      </c>
      <c r="L1076" s="42" t="str">
        <f>IFERROR(__xludf.DUMMYFUNCTION("""COMPUTED_VALUE"""),"-")</f>
        <v>-</v>
      </c>
      <c r="M1076" s="42" t="str">
        <f>IFERROR(__xludf.DUMMYFUNCTION("""COMPUTED_VALUE"""),"[R]")</f>
        <v>[R]</v>
      </c>
      <c r="N1076" s="42" t="str">
        <f>IFERROR(__xludf.DUMMYFUNCTION("""COMPUTED_VALUE"""),"A young genius of the mamodo world school who was barred from participating in the battle to decide the next mamodo king.")</f>
        <v>A young genius of the mamodo world school who was barred from participating in the battle to decide the next mamodo king.</v>
      </c>
      <c r="O1076" s="42"/>
      <c r="P1076" s="42"/>
      <c r="Q1076" s="42"/>
      <c r="R1076" s="42"/>
      <c r="S1076" s="42"/>
      <c r="T1076" s="42"/>
      <c r="U1076" s="42"/>
      <c r="V1076" s="42"/>
      <c r="W1076" s="42"/>
      <c r="X1076" s="42"/>
      <c r="Y1076" s="42"/>
      <c r="Z1076" s="42"/>
    </row>
    <row r="1077">
      <c r="A1077" s="41" t="str">
        <f>IFERROR(__xludf.DUMMYFUNCTION("""COMPUTED_VALUE"""),"PR-026")</f>
        <v>PR-026</v>
      </c>
      <c r="B1077" s="42" t="str">
        <f>IFERROR(__xludf.DUMMYFUNCTION("""COMPUTED_VALUE"""),"Spell")</f>
        <v>Spell</v>
      </c>
      <c r="C1077" s="42" t="str">
        <f>IFERROR(__xludf.DUMMYFUNCTION("""COMPUTED_VALUE"""),"Barudo Fours")</f>
        <v>Barudo Fours</v>
      </c>
      <c r="D1077" s="42" t="str">
        <f>IFERROR(__xludf.DUMMYFUNCTION("""COMPUTED_VALUE"""),"Zatch Bell | Tia")</f>
        <v>Zatch Bell | Tia</v>
      </c>
      <c r="E1077" s="42">
        <f>IFERROR(__xludf.DUMMYFUNCTION("""COMPUTED_VALUE"""),1.0)</f>
        <v>1</v>
      </c>
      <c r="F1077" s="42" t="str">
        <f>IFERROR(__xludf.DUMMYFUNCTION("""COMPUTED_VALUE"""),"A")</f>
        <v>A</v>
      </c>
      <c r="G1077" s="42" t="str">
        <f>IFERROR(__xludf.DUMMYFUNCTION("""COMPUTED_VALUE"""),"Superior")</f>
        <v>Superior</v>
      </c>
      <c r="H1077" s="42" t="str">
        <f>IFERROR(__xludf.DUMMYFUNCTION("""COMPUTED_VALUE"""),"-")</f>
        <v>-</v>
      </c>
      <c r="I1077" s="43" t="str">
        <f>IFERROR(__xludf.DUMMYFUNCTION("""COMPUTED_VALUE"""),"This SPELL card can be played up to twice per turn (per player) if you have Zatch Bell and Tia MAMODO cards in play. Apply 1 of the following effects when you declare the play of this SPELL card: ● [STANDBY] Select 1 Barudo Fours SPELL card from any page "&amp;"of your Spell Book. During the next Battle this turn, add 3000 Power and 2 Damage to the selected card (this effect can be duplicated and is treated as ""No Battle""). ● Damage your opponent's Spell Book when you win the Battle as an Attacker. This effect"&amp;" can be applied only once per turn (per player).")</f>
        <v>This SPELL card can be played up to twice per turn (per player) if you have Zatch Bell and Tia MAMODO cards in play. Apply 1 of the following effects when you declare the play of this SPELL card: ● [STANDBY] Select 1 Barudo Fours SPELL card from any page of your Spell Book. During the next Battle this turn, add 3000 Power and 2 Damage to the selected card (this effect can be duplicated and is treated as "No Battle"). ● Damage your opponent's Spell Book when you win the Battle as an Attacker. This effect can be applied only once per turn (per player).</v>
      </c>
      <c r="J1077" s="42" t="str">
        <f>IFERROR(__xludf.DUMMYFUNCTION("""COMPUTED_VALUE"""),"+3000")</f>
        <v>+3000</v>
      </c>
      <c r="K1077" s="42">
        <f>IFERROR(__xludf.DUMMYFUNCTION("""COMPUTED_VALUE"""),2.0)</f>
        <v>2</v>
      </c>
      <c r="L1077" s="42" t="str">
        <f>IFERROR(__xludf.DUMMYFUNCTION("""COMPUTED_VALUE"""),"-")</f>
        <v>-</v>
      </c>
      <c r="M1077" s="42" t="str">
        <f>IFERROR(__xludf.DUMMYFUNCTION("""COMPUTED_VALUE"""),"[R]")</f>
        <v>[R]</v>
      </c>
      <c r="N1077" s="42" t="str">
        <f>IFERROR(__xludf.DUMMYFUNCTION("""COMPUTED_VALUE"""),"""If you feel the same way I do... then lend me your power!""")</f>
        <v>"If you feel the same way I do... then lend me your power!"</v>
      </c>
      <c r="O1077" s="42"/>
      <c r="P1077" s="42"/>
      <c r="Q1077" s="42"/>
      <c r="R1077" s="42"/>
      <c r="S1077" s="42"/>
      <c r="T1077" s="42"/>
      <c r="U1077" s="42"/>
      <c r="V1077" s="42"/>
      <c r="W1077" s="42"/>
      <c r="X1077" s="42"/>
      <c r="Y1077" s="42"/>
      <c r="Z1077" s="42"/>
    </row>
    <row r="1078">
      <c r="A1078" s="41" t="str">
        <f>IFERROR(__xludf.DUMMYFUNCTION("""COMPUTED_VALUE"""),"PR-027")</f>
        <v>PR-027</v>
      </c>
      <c r="B1078" s="42" t="str">
        <f>IFERROR(__xludf.DUMMYFUNCTION("""COMPUTED_VALUE"""),"Spell")</f>
        <v>Spell</v>
      </c>
      <c r="C1078" s="42" t="str">
        <f>IFERROR(__xludf.DUMMYFUNCTION("""COMPUTED_VALUE"""),"Barudo Fours")</f>
        <v>Barudo Fours</v>
      </c>
      <c r="D1078" s="42" t="str">
        <f>IFERROR(__xludf.DUMMYFUNCTION("""COMPUTED_VALUE"""),"Zatch Bell | Kanchomé | Ponygon")</f>
        <v>Zatch Bell | Kanchomé | Ponygon</v>
      </c>
      <c r="E1078" s="42">
        <f>IFERROR(__xludf.DUMMYFUNCTION("""COMPUTED_VALUE"""),1.0)</f>
        <v>1</v>
      </c>
      <c r="F1078" s="42" t="str">
        <f>IFERROR(__xludf.DUMMYFUNCTION("""COMPUTED_VALUE"""),"A")</f>
        <v>A</v>
      </c>
      <c r="G1078" s="42" t="str">
        <f>IFERROR(__xludf.DUMMYFUNCTION("""COMPUTED_VALUE"""),"Superior")</f>
        <v>Superior</v>
      </c>
      <c r="H1078" s="42" t="str">
        <f>IFERROR(__xludf.DUMMYFUNCTION("""COMPUTED_VALUE"""),"-")</f>
        <v>-</v>
      </c>
      <c r="I1078" s="43" t="str">
        <f>IFERROR(__xludf.DUMMYFUNCTION("""COMPUTED_VALUE"""),"This SPELL card can be played up to twice per turn (per player) if you have Kanchomé and Ponygon MAMODO cards in play. Apply 1 of the following effects when you declare the play of this SPELL card: ● [STANDBY] Select 1 Barudo Fours SPELL card from any pag"&amp;"e of your Spell Book. During the next Battle this turn, add 3000 Power and 2 Damage to the selected SPELL card (this effect can be duplicated). When applying this effect, this SPELL card is ""No Battle"". ● Damage your opponent's Spell Book when you win t"&amp;"he Battle as an Attacker. This effect can be applied only once per turn (per player).")</f>
        <v>This SPELL card can be played up to twice per turn (per player) if you have Kanchomé and Ponygon MAMODO cards in play. Apply 1 of the following effects when you declare the play of this SPELL card: ● [STANDBY] Select 1 Barudo Fours SPELL card from any page of your Spell Book. During the next Battle this turn, add 3000 Power and 2 Damage to the selected SPELL card (this effect can be duplicated). When applying this effect, this SPELL card is "No Battle". ● Damage your opponent's Spell Book when you win the Battle as an Attacker. This effect can be applied only once per turn (per player).</v>
      </c>
      <c r="J1078" s="42" t="str">
        <f>IFERROR(__xludf.DUMMYFUNCTION("""COMPUTED_VALUE"""),"+3000")</f>
        <v>+3000</v>
      </c>
      <c r="K1078" s="42">
        <f>IFERROR(__xludf.DUMMYFUNCTION("""COMPUTED_VALUE"""),2.0)</f>
        <v>2</v>
      </c>
      <c r="L1078" s="42" t="str">
        <f>IFERROR(__xludf.DUMMYFUNCTION("""COMPUTED_VALUE"""),"-")</f>
        <v>-</v>
      </c>
      <c r="M1078" s="42" t="str">
        <f>IFERROR(__xludf.DUMMYFUNCTION("""COMPUTED_VALUE"""),"[R]")</f>
        <v>[R]</v>
      </c>
      <c r="N1078" s="42" t="str">
        <f>IFERROR(__xludf.DUMMYFUNCTION("""COMPUTED_VALUE"""),"""Let our thoughts reach through!"" ""Barudo Fours!""")</f>
        <v>"Let our thoughts reach through!" "Barudo Fours!"</v>
      </c>
      <c r="O1078" s="42"/>
      <c r="P1078" s="42"/>
      <c r="Q1078" s="42"/>
      <c r="R1078" s="42"/>
      <c r="S1078" s="42"/>
      <c r="T1078" s="42"/>
      <c r="U1078" s="42"/>
      <c r="V1078" s="42"/>
      <c r="W1078" s="42"/>
      <c r="X1078" s="42"/>
      <c r="Y1078" s="42"/>
      <c r="Z1078" s="42"/>
    </row>
    <row r="1079">
      <c r="A1079" s="41" t="str">
        <f>IFERROR(__xludf.DUMMYFUNCTION("""COMPUTED_VALUE"""),"PR-028")</f>
        <v>PR-028</v>
      </c>
      <c r="B1079" s="42" t="str">
        <f>IFERROR(__xludf.DUMMYFUNCTION("""COMPUTED_VALUE"""),"Mamodo")</f>
        <v>Mamodo</v>
      </c>
      <c r="C1079" s="42" t="str">
        <f>IFERROR(__xludf.DUMMYFUNCTION("""COMPUTED_VALUE"""),"Wiseman (Complete)")</f>
        <v>Wiseman (Complete)</v>
      </c>
      <c r="D1079" s="42" t="str">
        <f>IFERROR(__xludf.DUMMYFUNCTION("""COMPUTED_VALUE"""),"Wiseman")</f>
        <v>Wiseman</v>
      </c>
      <c r="E1079" s="42" t="str">
        <f>IFERROR(__xludf.DUMMYFUNCTION("""COMPUTED_VALUE"""),"-")</f>
        <v>-</v>
      </c>
      <c r="F1079" s="42" t="str">
        <f>IFERROR(__xludf.DUMMYFUNCTION("""COMPUTED_VALUE"""),"-")</f>
        <v>-</v>
      </c>
      <c r="G1079" s="42" t="str">
        <f>IFERROR(__xludf.DUMMYFUNCTION("""COMPUTED_VALUE"""),"None")</f>
        <v>None</v>
      </c>
      <c r="H1079" s="42" t="str">
        <f>IFERROR(__xludf.DUMMYFUNCTION("""COMPUTED_VALUE"""),"The White Spell Book")</f>
        <v>The White Spell Book</v>
      </c>
      <c r="I1079" s="43" t="str">
        <f>IFERROR(__xludf.DUMMYFUNCTION("""COMPUTED_VALUE"""),"Send your in-play Wiseman MAMODO card and Kotoha PARTNER card to the Discard Pile to put this MAMODO card in play. [2 MP] [STAY] Select 1 SPELL card your opponent already played during this turn. Your opponent cannot play any SPELL cards with the same car"&amp;"d name as the selected SPELL card during this game.")</f>
        <v>Send your in-play Wiseman MAMODO card and Kotoha PARTNER card to the Discard Pile to put this MAMODO card in play. [2 MP] [STAY] Select 1 SPELL card your opponent already played during this turn. Your opponent cannot play any SPELL cards with the same card name as the selected SPELL card during this game.</v>
      </c>
      <c r="J1079" s="42">
        <f>IFERROR(__xludf.DUMMYFUNCTION("""COMPUTED_VALUE"""),6000.0)</f>
        <v>6000</v>
      </c>
      <c r="K1079" s="42" t="str">
        <f>IFERROR(__xludf.DUMMYFUNCTION("""COMPUTED_VALUE"""),"-")</f>
        <v>-</v>
      </c>
      <c r="L1079" s="42" t="str">
        <f>IFERROR(__xludf.DUMMYFUNCTION("""COMPUTED_VALUE"""),"-")</f>
        <v>-</v>
      </c>
      <c r="M1079" s="42" t="str">
        <f>IFERROR(__xludf.DUMMYFUNCTION("""COMPUTED_VALUE"""),"[R]")</f>
        <v>[R]</v>
      </c>
      <c r="N1079" s="42" t="str">
        <f>IFERROR(__xludf.DUMMYFUNCTION("""COMPUTED_VALUE"""),"Kotoha's heart had completely vanished, which resulted in Wiseman becoming the perfect mamodo.")</f>
        <v>Kotoha's heart had completely vanished, which resulted in Wiseman becoming the perfect mamodo.</v>
      </c>
      <c r="O1079" s="42"/>
      <c r="P1079" s="42"/>
      <c r="Q1079" s="42"/>
      <c r="R1079" s="42"/>
      <c r="S1079" s="42"/>
      <c r="T1079" s="42"/>
      <c r="U1079" s="42"/>
      <c r="V1079" s="42"/>
      <c r="W1079" s="42"/>
      <c r="X1079" s="42"/>
      <c r="Y1079" s="42"/>
      <c r="Z1079" s="42"/>
    </row>
    <row r="1080">
      <c r="A1080" s="41" t="str">
        <f>IFERROR(__xludf.DUMMYFUNCTION("""COMPUTED_VALUE"""),"PR-029")</f>
        <v>PR-029</v>
      </c>
      <c r="B1080" s="42" t="str">
        <f>IFERROR(__xludf.DUMMYFUNCTION("""COMPUTED_VALUE"""),"Mamodo")</f>
        <v>Mamodo</v>
      </c>
      <c r="C1080" s="42" t="str">
        <f>IFERROR(__xludf.DUMMYFUNCTION("""COMPUTED_VALUE"""),"Ponygon")</f>
        <v>Ponygon</v>
      </c>
      <c r="D1080" s="42" t="str">
        <f>IFERROR(__xludf.DUMMYFUNCTION("""COMPUTED_VALUE"""),"Ponygon")</f>
        <v>Ponygon</v>
      </c>
      <c r="E1080" s="42" t="str">
        <f>IFERROR(__xludf.DUMMYFUNCTION("""COMPUTED_VALUE"""),"-")</f>
        <v>-</v>
      </c>
      <c r="F1080" s="42" t="str">
        <f>IFERROR(__xludf.DUMMYFUNCTION("""COMPUTED_VALUE"""),"-")</f>
        <v>-</v>
      </c>
      <c r="G1080" s="42" t="str">
        <f>IFERROR(__xludf.DUMMYFUNCTION("""COMPUTED_VALUE"""),"None")</f>
        <v>None</v>
      </c>
      <c r="H1080" s="42" t="str">
        <f>IFERROR(__xludf.DUMMYFUNCTION("""COMPUTED_VALUE"""),"Burning Ponygon")</f>
        <v>Burning Ponygon</v>
      </c>
      <c r="I1080" s="43" t="str">
        <f>IFERROR(__xludf.DUMMYFUNCTION("""COMPUTED_VALUE"""),"(Attack) [DECLARE TO USE] This card may Attack without using a SPELL card (Total Power=4000, Damage=1). This effect can be applied only when a Kafk Sunbeam PARTNER card is attached to this MAMODO card.")</f>
        <v>(Attack) [DECLARE TO USE] This card may Attack without using a SPELL card (Total Power=4000, Damage=1). This effect can be applied only when a Kafk Sunbeam PARTNER card is attached to this MAMODO card.</v>
      </c>
      <c r="J1080" s="42">
        <f>IFERROR(__xludf.DUMMYFUNCTION("""COMPUTED_VALUE"""),2000.0)</f>
        <v>2000</v>
      </c>
      <c r="K1080" s="42" t="str">
        <f>IFERROR(__xludf.DUMMYFUNCTION("""COMPUTED_VALUE"""),"-")</f>
        <v>-</v>
      </c>
      <c r="L1080" s="42" t="str">
        <f>IFERROR(__xludf.DUMMYFUNCTION("""COMPUTED_VALUE"""),"-")</f>
        <v>-</v>
      </c>
      <c r="M1080" s="42" t="str">
        <f>IFERROR(__xludf.DUMMYFUNCTION("""COMPUTED_VALUE"""),"[R]")</f>
        <v>[R]</v>
      </c>
      <c r="N1080" s="42" t="str">
        <f>IFERROR(__xludf.DUMMYFUNCTION("""COMPUTED_VALUE"""),"""You must decide for yourself whether you will fight or not.""")</f>
        <v>"You must decide for yourself whether you will fight or not."</v>
      </c>
      <c r="O1080" s="42"/>
      <c r="P1080" s="42"/>
      <c r="Q1080" s="42"/>
      <c r="R1080" s="42"/>
      <c r="S1080" s="42"/>
      <c r="T1080" s="42"/>
      <c r="U1080" s="42"/>
      <c r="V1080" s="42"/>
      <c r="W1080" s="42"/>
      <c r="X1080" s="42"/>
      <c r="Y1080" s="42"/>
      <c r="Z1080" s="42"/>
    </row>
    <row r="1081">
      <c r="A1081" s="41" t="str">
        <f>IFERROR(__xludf.DUMMYFUNCTION("""COMPUTED_VALUE"""),"PR-030")</f>
        <v>PR-030</v>
      </c>
      <c r="B1081" s="42" t="str">
        <f>IFERROR(__xludf.DUMMYFUNCTION("""COMPUTED_VALUE"""),"Stone Tablet Mamodo")</f>
        <v>Stone Tablet Mamodo</v>
      </c>
      <c r="C1081" s="42" t="str">
        <f>IFERROR(__xludf.DUMMYFUNCTION("""COMPUTED_VALUE"""),"Victoream")</f>
        <v>Victoream</v>
      </c>
      <c r="D1081" s="42" t="str">
        <f>IFERROR(__xludf.DUMMYFUNCTION("""COMPUTED_VALUE"""),"Victoream")</f>
        <v>Victoream</v>
      </c>
      <c r="E1081" s="42" t="str">
        <f>IFERROR(__xludf.DUMMYFUNCTION("""COMPUTED_VALUE"""),"-")</f>
        <v>-</v>
      </c>
      <c r="F1081" s="42" t="str">
        <f>IFERROR(__xludf.DUMMYFUNCTION("""COMPUTED_VALUE"""),"-")</f>
        <v>-</v>
      </c>
      <c r="G1081" s="42" t="str">
        <f>IFERROR(__xludf.DUMMYFUNCTION("""COMPUTED_VALUE"""),"None")</f>
        <v>None</v>
      </c>
      <c r="H1081" s="42" t="str">
        <f>IFERROR(__xludf.DUMMYFUNCTION("""COMPUTED_VALUE"""),"Full Power!")</f>
        <v>Full Power!</v>
      </c>
      <c r="I1081" s="43" t="str">
        <f>IFERROR(__xludf.DUMMYFUNCTION("""COMPUTED_VALUE"""),"[IN PLAY] When your MP is reduced to 0 by your opponent's card effects, adjust your MP until you have 5 MP.")</f>
        <v>[IN PLAY] When your MP is reduced to 0 by your opponent's card effects, adjust your MP until you have 5 MP.</v>
      </c>
      <c r="J1081" s="42">
        <f>IFERROR(__xludf.DUMMYFUNCTION("""COMPUTED_VALUE"""),5000.0)</f>
        <v>5000</v>
      </c>
      <c r="K1081" s="42" t="str">
        <f>IFERROR(__xludf.DUMMYFUNCTION("""COMPUTED_VALUE"""),"-")</f>
        <v>-</v>
      </c>
      <c r="L1081" s="42" t="str">
        <f>IFERROR(__xludf.DUMMYFUNCTION("""COMPUTED_VALUE"""),"-")</f>
        <v>-</v>
      </c>
      <c r="M1081" s="42" t="str">
        <f>IFERROR(__xludf.DUMMYFUNCTION("""COMPUTED_VALUE"""),"[R]")</f>
        <v>[R]</v>
      </c>
      <c r="N1081" s="42" t="str">
        <f>IFERROR(__xludf.DUMMYFUNCTION("""COMPUTED_VALUE"""),"""My beautiful V-power will rise to the top!""")</f>
        <v>"My beautiful V-power will rise to the top!"</v>
      </c>
      <c r="O1081" s="42"/>
      <c r="P1081" s="42"/>
      <c r="Q1081" s="42"/>
      <c r="R1081" s="42"/>
      <c r="S1081" s="42"/>
      <c r="T1081" s="42"/>
      <c r="U1081" s="42"/>
      <c r="V1081" s="42"/>
      <c r="W1081" s="42"/>
      <c r="X1081" s="42"/>
      <c r="Y1081" s="42"/>
      <c r="Z1081" s="42"/>
    </row>
    <row r="1082">
      <c r="A1082" s="41" t="str">
        <f>IFERROR(__xludf.DUMMYFUNCTION("""COMPUTED_VALUE"""),"PR-031")</f>
        <v>PR-031</v>
      </c>
      <c r="B1082" s="42" t="str">
        <f>IFERROR(__xludf.DUMMYFUNCTION("""COMPUTED_VALUE"""),"Event")</f>
        <v>Event</v>
      </c>
      <c r="C1082" s="42" t="str">
        <f>IFERROR(__xludf.DUMMYFUNCTION("""COMPUTED_VALUE"""),"Electric Arena 2!")</f>
        <v>Electric Arena 2!</v>
      </c>
      <c r="D1082" s="42" t="str">
        <f>IFERROR(__xludf.DUMMYFUNCTION("""COMPUTED_VALUE"""),"-")</f>
        <v>-</v>
      </c>
      <c r="E1082" s="42">
        <f>IFERROR(__xludf.DUMMYFUNCTION("""COMPUTED_VALUE"""),1.0)</f>
        <v>1</v>
      </c>
      <c r="F1082" s="42" t="str">
        <f>IFERROR(__xludf.DUMMYFUNCTION("""COMPUTED_VALUE"""),"A")</f>
        <v>A</v>
      </c>
      <c r="G1082" s="42" t="str">
        <f>IFERROR(__xludf.DUMMYFUNCTION("""COMPUTED_VALUE"""),"None")</f>
        <v>None</v>
      </c>
      <c r="H1082" s="42" t="str">
        <f>IFERROR(__xludf.DUMMYFUNCTION("""COMPUTED_VALUE"""),"-")</f>
        <v>-</v>
      </c>
      <c r="I1082" s="43" t="str">
        <f>IFERROR(__xludf.DUMMYFUNCTION("""COMPUTED_VALUE"""),"This effect can be applied only once per game (per player). Apply both of the following effects in order: ● Turn 1 page of your Spell Book if there are 2 Zaker SPELL cards in the pages immediately following the currently open pages. ● [STAY] Your opponent"&amp;" can neither SACRIFICE nor PROTECT their Spell Book from the Damage of any Zaker SPELL cards during this turn.")</f>
        <v>This effect can be applied only once per game (per player). Apply both of the following effects in order: ● Turn 1 page of your Spell Book if there are 2 Zaker SPELL cards in the pages immediately following the currently open pages. ● [STAY] Your opponent can neither SACRIFICE nor PROTECT their Spell Book from the Damage of any Zaker SPELL cards during this turn.</v>
      </c>
      <c r="J1082" s="42" t="str">
        <f>IFERROR(__xludf.DUMMYFUNCTION("""COMPUTED_VALUE"""),"-")</f>
        <v>-</v>
      </c>
      <c r="K1082" s="42" t="str">
        <f>IFERROR(__xludf.DUMMYFUNCTION("""COMPUTED_VALUE"""),"-")</f>
        <v>-</v>
      </c>
      <c r="L1082" s="42" t="str">
        <f>IFERROR(__xludf.DUMMYFUNCTION("""COMPUTED_VALUE"""),"-")</f>
        <v>-</v>
      </c>
      <c r="M1082" s="42" t="str">
        <f>IFERROR(__xludf.DUMMYFUNCTION("""COMPUTED_VALUE"""),"[R]")</f>
        <v>[R]</v>
      </c>
      <c r="N1082" s="42" t="str">
        <f>IFERROR(__xludf.DUMMYFUNCTION("""COMPUTED_VALUE"""),"-")</f>
        <v>-</v>
      </c>
      <c r="O1082" s="42"/>
      <c r="P1082" s="42"/>
      <c r="Q1082" s="42"/>
      <c r="R1082" s="42"/>
      <c r="S1082" s="42"/>
      <c r="T1082" s="42"/>
      <c r="U1082" s="42"/>
      <c r="V1082" s="42"/>
      <c r="W1082" s="42"/>
      <c r="X1082" s="42"/>
      <c r="Y1082" s="42"/>
      <c r="Z1082" s="42"/>
    </row>
    <row r="1083">
      <c r="A1083" s="41" t="str">
        <f>IFERROR(__xludf.DUMMYFUNCTION("""COMPUTED_VALUE"""),"PR-032")</f>
        <v>PR-032</v>
      </c>
      <c r="B1083" s="42" t="str">
        <f>IFERROR(__xludf.DUMMYFUNCTION("""COMPUTED_VALUE"""),"Event")</f>
        <v>Event</v>
      </c>
      <c r="C1083" s="42" t="str">
        <f>IFERROR(__xludf.DUMMYFUNCTION("""COMPUTED_VALUE"""),"Mamodo Fury!")</f>
        <v>Mamodo Fury!</v>
      </c>
      <c r="D1083" s="42" t="str">
        <f>IFERROR(__xludf.DUMMYFUNCTION("""COMPUTED_VALUE"""),"-")</f>
        <v>-</v>
      </c>
      <c r="E1083" s="42">
        <f>IFERROR(__xludf.DUMMYFUNCTION("""COMPUTED_VALUE"""),0.0)</f>
        <v>0</v>
      </c>
      <c r="F1083" s="42" t="str">
        <f>IFERROR(__xludf.DUMMYFUNCTION("""COMPUTED_VALUE"""),"AD")</f>
        <v>AD</v>
      </c>
      <c r="G1083" s="42" t="str">
        <f>IFERROR(__xludf.DUMMYFUNCTION("""COMPUTED_VALUE"""),"None")</f>
        <v>None</v>
      </c>
      <c r="H1083" s="42" t="str">
        <f>IFERROR(__xludf.DUMMYFUNCTION("""COMPUTED_VALUE"""),"-")</f>
        <v>-</v>
      </c>
      <c r="I1083" s="43" t="str">
        <f>IFERROR(__xludf.DUMMYFUNCTION("""COMPUTED_VALUE"""),"[STAY] Your opponent cannot send your MAMODO cards with an attached PARTNER card to the Discard Pile with their card effects during this game (except from Damage or Injury).")</f>
        <v>[STAY] Your opponent cannot send your MAMODO cards with an attached PARTNER card to the Discard Pile with their card effects during this game (except from Damage or Injury).</v>
      </c>
      <c r="J1083" s="42" t="str">
        <f>IFERROR(__xludf.DUMMYFUNCTION("""COMPUTED_VALUE"""),"-")</f>
        <v>-</v>
      </c>
      <c r="K1083" s="42" t="str">
        <f>IFERROR(__xludf.DUMMYFUNCTION("""COMPUTED_VALUE"""),"-")</f>
        <v>-</v>
      </c>
      <c r="L1083" s="42" t="str">
        <f>IFERROR(__xludf.DUMMYFUNCTION("""COMPUTED_VALUE"""),"-")</f>
        <v>-</v>
      </c>
      <c r="M1083" s="42" t="str">
        <f>IFERROR(__xludf.DUMMYFUNCTION("""COMPUTED_VALUE"""),"[R]")</f>
        <v>[R]</v>
      </c>
      <c r="N1083" s="42" t="str">
        <f>IFERROR(__xludf.DUMMYFUNCTION("""COMPUTED_VALUE"""),"-")</f>
        <v>-</v>
      </c>
      <c r="O1083" s="42"/>
      <c r="P1083" s="42"/>
      <c r="Q1083" s="42"/>
      <c r="R1083" s="42"/>
      <c r="S1083" s="42"/>
      <c r="T1083" s="42"/>
      <c r="U1083" s="42"/>
      <c r="V1083" s="42"/>
      <c r="W1083" s="42"/>
      <c r="X1083" s="42"/>
      <c r="Y1083" s="42"/>
      <c r="Z1083" s="42"/>
    </row>
    <row r="1084">
      <c r="A1084" s="41" t="str">
        <f>IFERROR(__xludf.DUMMYFUNCTION("""COMPUTED_VALUE"""),"PR-033")</f>
        <v>PR-033</v>
      </c>
      <c r="B1084" s="42" t="str">
        <f>IFERROR(__xludf.DUMMYFUNCTION("""COMPUTED_VALUE"""),"Mamodo")</f>
        <v>Mamodo</v>
      </c>
      <c r="C1084" s="42" t="str">
        <f>IFERROR(__xludf.DUMMYFUNCTION("""COMPUTED_VALUE"""),"Ted")</f>
        <v>Ted</v>
      </c>
      <c r="D1084" s="42" t="str">
        <f>IFERROR(__xludf.DUMMYFUNCTION("""COMPUTED_VALUE"""),"Ted")</f>
        <v>Ted</v>
      </c>
      <c r="E1084" s="42" t="str">
        <f>IFERROR(__xludf.DUMMYFUNCTION("""COMPUTED_VALUE"""),"-")</f>
        <v>-</v>
      </c>
      <c r="F1084" s="42" t="str">
        <f>IFERROR(__xludf.DUMMYFUNCTION("""COMPUTED_VALUE"""),"-")</f>
        <v>-</v>
      </c>
      <c r="G1084" s="42" t="str">
        <f>IFERROR(__xludf.DUMMYFUNCTION("""COMPUTED_VALUE"""),"None")</f>
        <v>None</v>
      </c>
      <c r="H1084" s="42" t="str">
        <f>IFERROR(__xludf.DUMMYFUNCTION("""COMPUTED_VALUE"""),"Fighting Pose")</f>
        <v>Fighting Pose</v>
      </c>
      <c r="I1084" s="43" t="str">
        <f>IFERROR(__xludf.DUMMYFUNCTION("""COMPUTED_VALUE"""),"[IN PLAY] When you put this MAMODO card in play during the PREPARATION PHASE of the game, apply both of the following effects in order: ● You have the first turn (skip the coin toss to determine who goes first). ● [STAY] Neither player can apply the effec"&amp;"ts of their MAMODO cards during the first turn.")</f>
        <v>[IN PLAY] When you put this MAMODO card in play during the PREPARATION PHASE of the game, apply both of the following effects in order: ● You have the first turn (skip the coin toss to determine who goes first). ● [STAY] Neither player can apply the effects of their MAMODO cards during the first turn.</v>
      </c>
      <c r="J1084" s="42">
        <f>IFERROR(__xludf.DUMMYFUNCTION("""COMPUTED_VALUE"""),4000.0)</f>
        <v>4000</v>
      </c>
      <c r="K1084" s="42" t="str">
        <f>IFERROR(__xludf.DUMMYFUNCTION("""COMPUTED_VALUE"""),"-")</f>
        <v>-</v>
      </c>
      <c r="L1084" s="42" t="str">
        <f>IFERROR(__xludf.DUMMYFUNCTION("""COMPUTED_VALUE"""),"-")</f>
        <v>-</v>
      </c>
      <c r="M1084" s="42" t="str">
        <f>IFERROR(__xludf.DUMMYFUNCTION("""COMPUTED_VALUE"""),"[R]")</f>
        <v>[R]</v>
      </c>
      <c r="N1084" s="42" t="str">
        <f>IFERROR(__xludf.DUMMYFUNCTION("""COMPUTED_VALUE"""),"""Just leave this to me.""")</f>
        <v>"Just leave this to me."</v>
      </c>
      <c r="O1084" s="42"/>
      <c r="P1084" s="42"/>
      <c r="Q1084" s="42"/>
      <c r="R1084" s="42"/>
      <c r="S1084" s="42"/>
      <c r="T1084" s="42"/>
      <c r="U1084" s="42"/>
      <c r="V1084" s="42"/>
      <c r="W1084" s="42"/>
      <c r="X1084" s="42"/>
      <c r="Y1084" s="42"/>
      <c r="Z1084" s="42"/>
    </row>
    <row r="1085">
      <c r="A1085" s="41" t="str">
        <f>IFERROR(__xludf.DUMMYFUNCTION("""COMPUTED_VALUE"""),"PR-034")</f>
        <v>PR-034</v>
      </c>
      <c r="B1085" s="42" t="str">
        <f>IFERROR(__xludf.DUMMYFUNCTION("""COMPUTED_VALUE"""),"Mamodo")</f>
        <v>Mamodo</v>
      </c>
      <c r="C1085" s="42" t="str">
        <f>IFERROR(__xludf.DUMMYFUNCTION("""COMPUTED_VALUE"""),"Arth")</f>
        <v>Arth</v>
      </c>
      <c r="D1085" s="42" t="str">
        <f>IFERROR(__xludf.DUMMYFUNCTION("""COMPUTED_VALUE"""),"Arth")</f>
        <v>Arth</v>
      </c>
      <c r="E1085" s="42" t="str">
        <f>IFERROR(__xludf.DUMMYFUNCTION("""COMPUTED_VALUE"""),"-")</f>
        <v>-</v>
      </c>
      <c r="F1085" s="42" t="str">
        <f>IFERROR(__xludf.DUMMYFUNCTION("""COMPUTED_VALUE"""),"-")</f>
        <v>-</v>
      </c>
      <c r="G1085" s="42" t="str">
        <f>IFERROR(__xludf.DUMMYFUNCTION("""COMPUTED_VALUE"""),"None")</f>
        <v>None</v>
      </c>
      <c r="H1085" s="42" t="str">
        <f>IFERROR(__xludf.DUMMYFUNCTION("""COMPUTED_VALUE"""),"Late Night Challenger")</f>
        <v>Late Night Challenger</v>
      </c>
      <c r="I1085" s="43" t="str">
        <f>IFERROR(__xludf.DUMMYFUNCTION("""COMPUTED_VALUE"""),"[IN PLAY] When you put this MAMODO card in play during the PREPARATION PHASE of the game, apply the following effect: [STAY] Your opponent can only put up to 2 cards in play during the BATTLE PHASE of the first turn.")</f>
        <v>[IN PLAY] When you put this MAMODO card in play during the PREPARATION PHASE of the game, apply the following effect: [STAY] Your opponent can only put up to 2 cards in play during the BATTLE PHASE of the first turn.</v>
      </c>
      <c r="J1085" s="42">
        <f>IFERROR(__xludf.DUMMYFUNCTION("""COMPUTED_VALUE"""),5000.0)</f>
        <v>5000</v>
      </c>
      <c r="K1085" s="42" t="str">
        <f>IFERROR(__xludf.DUMMYFUNCTION("""COMPUTED_VALUE"""),"-")</f>
        <v>-</v>
      </c>
      <c r="L1085" s="42" t="str">
        <f>IFERROR(__xludf.DUMMYFUNCTION("""COMPUTED_VALUE"""),"-")</f>
        <v>-</v>
      </c>
      <c r="M1085" s="42" t="str">
        <f>IFERROR(__xludf.DUMMYFUNCTION("""COMPUTED_VALUE"""),"[R]")</f>
        <v>[R]</v>
      </c>
      <c r="N1085" s="42" t="str">
        <f>IFERROR(__xludf.DUMMYFUNCTION("""COMPUTED_VALUE"""),"""My name is Arth. Proceed to an area where we can fight.""")</f>
        <v>"My name is Arth. Proceed to an area where we can fight."</v>
      </c>
      <c r="O1085" s="42"/>
      <c r="P1085" s="42"/>
      <c r="Q1085" s="42"/>
      <c r="R1085" s="42"/>
      <c r="S1085" s="42"/>
      <c r="T1085" s="42"/>
      <c r="U1085" s="42"/>
      <c r="V1085" s="42"/>
      <c r="W1085" s="42"/>
      <c r="X1085" s="42"/>
      <c r="Y1085" s="42"/>
      <c r="Z1085" s="42"/>
    </row>
    <row r="1086">
      <c r="A1086" s="41" t="str">
        <f>IFERROR(__xludf.DUMMYFUNCTION("""COMPUTED_VALUE"""),"PR-035")</f>
        <v>PR-035</v>
      </c>
      <c r="B1086" s="42" t="str">
        <f>IFERROR(__xludf.DUMMYFUNCTION("""COMPUTED_VALUE"""),"S Mamodo")</f>
        <v>S Mamodo</v>
      </c>
      <c r="C1086" s="42" t="str">
        <f>IFERROR(__xludf.DUMMYFUNCTION("""COMPUTED_VALUE"""),"Zatch Bell")</f>
        <v>Zatch Bell</v>
      </c>
      <c r="D1086" s="42" t="str">
        <f>IFERROR(__xludf.DUMMYFUNCTION("""COMPUTED_VALUE"""),"Zatch Bell")</f>
        <v>Zatch Bell</v>
      </c>
      <c r="E1086" s="42" t="str">
        <f>IFERROR(__xludf.DUMMYFUNCTION("""COMPUTED_VALUE"""),"-")</f>
        <v>-</v>
      </c>
      <c r="F1086" s="42" t="str">
        <f>IFERROR(__xludf.DUMMYFUNCTION("""COMPUTED_VALUE"""),"-")</f>
        <v>-</v>
      </c>
      <c r="G1086" s="42" t="str">
        <f>IFERROR(__xludf.DUMMYFUNCTION("""COMPUTED_VALUE"""),"Intermediate")</f>
        <v>Intermediate</v>
      </c>
      <c r="H1086" s="42" t="str">
        <f>IFERROR(__xludf.DUMMYFUNCTION("""COMPUTED_VALUE"""),"Awakened Power")</f>
        <v>Awakened Power</v>
      </c>
      <c r="I1086" s="43" t="str">
        <f>IFERROR(__xludf.DUMMYFUNCTION("""COMPUTED_VALUE"""),"This card is placed on a regular Zatch Bell MAMODO card. [IN PLAY] This MAMODO card does not receive Damage or Injury from an infliction of 3 Damage or less.")</f>
        <v>This card is placed on a regular Zatch Bell MAMODO card. [IN PLAY] This MAMODO card does not receive Damage or Injury from an infliction of 3 Damage or less.</v>
      </c>
      <c r="J1086" s="42">
        <f>IFERROR(__xludf.DUMMYFUNCTION("""COMPUTED_VALUE"""),5000.0)</f>
        <v>5000</v>
      </c>
      <c r="K1086" s="42" t="str">
        <f>IFERROR(__xludf.DUMMYFUNCTION("""COMPUTED_VALUE"""),"-")</f>
        <v>-</v>
      </c>
      <c r="L1086" s="42" t="str">
        <f>IFERROR(__xludf.DUMMYFUNCTION("""COMPUTED_VALUE"""),"-")</f>
        <v>-</v>
      </c>
      <c r="M1086" s="42" t="str">
        <f>IFERROR(__xludf.DUMMYFUNCTION("""COMPUTED_VALUE"""),"[R]")</f>
        <v>[R]</v>
      </c>
      <c r="N1086" s="42" t="str">
        <f>IFERROR(__xludf.DUMMYFUNCTION("""COMPUTED_VALUE"""),"As the battle intensifies, the experience Zatch gains begins to awaken.")</f>
        <v>As the battle intensifies, the experience Zatch gains begins to awaken.</v>
      </c>
      <c r="O1086" s="42"/>
      <c r="P1086" s="42"/>
      <c r="Q1086" s="42"/>
      <c r="R1086" s="42"/>
      <c r="S1086" s="42"/>
      <c r="T1086" s="42"/>
      <c r="U1086" s="42"/>
      <c r="V1086" s="42"/>
      <c r="W1086" s="42"/>
      <c r="X1086" s="42"/>
      <c r="Y1086" s="42"/>
      <c r="Z1086" s="42"/>
    </row>
    <row r="1087">
      <c r="A1087" s="41" t="str">
        <f>IFERROR(__xludf.DUMMYFUNCTION("""COMPUTED_VALUE"""),"PR-036")</f>
        <v>PR-036</v>
      </c>
      <c r="B1087" s="42" t="str">
        <f>IFERROR(__xludf.DUMMYFUNCTION("""COMPUTED_VALUE"""),"Mamodo")</f>
        <v>Mamodo</v>
      </c>
      <c r="C1087" s="42" t="str">
        <f>IFERROR(__xludf.DUMMYFUNCTION("""COMPUTED_VALUE"""),"Keith")</f>
        <v>Keith</v>
      </c>
      <c r="D1087" s="42" t="str">
        <f>IFERROR(__xludf.DUMMYFUNCTION("""COMPUTED_VALUE"""),"Keith")</f>
        <v>Keith</v>
      </c>
      <c r="E1087" s="42" t="str">
        <f>IFERROR(__xludf.DUMMYFUNCTION("""COMPUTED_VALUE"""),"-")</f>
        <v>-</v>
      </c>
      <c r="F1087" s="42" t="str">
        <f>IFERROR(__xludf.DUMMYFUNCTION("""COMPUTED_VALUE"""),"-")</f>
        <v>-</v>
      </c>
      <c r="G1087" s="42" t="str">
        <f>IFERROR(__xludf.DUMMYFUNCTION("""COMPUTED_VALUE"""),"None")</f>
        <v>None</v>
      </c>
      <c r="H1087" s="42" t="str">
        <f>IFERROR(__xludf.DUMMYFUNCTION("""COMPUTED_VALUE"""),"Ode to Joy")</f>
        <v>Ode to Joy</v>
      </c>
      <c r="I1087" s="43" t="str">
        <f>IFERROR(__xludf.DUMMYFUNCTION("""COMPUTED_VALUE"""),"[IN PLAY] When you put this MAMODO card in play during the PREPARATION PHASE of the game, apply the following effect: [STAY] During the BATTLE PHASE of each player's first turn, the only Action that either player can take is to put cards in play from thei"&amp;"r respective Spell Books.")</f>
        <v>[IN PLAY] When you put this MAMODO card in play during the PREPARATION PHASE of the game, apply the following effect: [STAY] During the BATTLE PHASE of each player's first turn, the only Action that either player can take is to put cards in play from their respective Spell Books.</v>
      </c>
      <c r="J1087" s="42">
        <f>IFERROR(__xludf.DUMMYFUNCTION("""COMPUTED_VALUE"""),5000.0)</f>
        <v>5000</v>
      </c>
      <c r="K1087" s="42" t="str">
        <f>IFERROR(__xludf.DUMMYFUNCTION("""COMPUTED_VALUE"""),"-")</f>
        <v>-</v>
      </c>
      <c r="L1087" s="42" t="str">
        <f>IFERROR(__xludf.DUMMYFUNCTION("""COMPUTED_VALUE"""),"-")</f>
        <v>-</v>
      </c>
      <c r="M1087" s="42" t="str">
        <f>IFERROR(__xludf.DUMMYFUNCTION("""COMPUTED_VALUE"""),"[R]")</f>
        <v>[R]</v>
      </c>
      <c r="N1087" s="42" t="str">
        <f>IFERROR(__xludf.DUMMYFUNCTION("""COMPUTED_VALUE"""),"""How dare you interrupt my song!""")</f>
        <v>"How dare you interrupt my song!"</v>
      </c>
      <c r="O1087" s="42"/>
      <c r="P1087" s="42"/>
      <c r="Q1087" s="42"/>
      <c r="R1087" s="42"/>
      <c r="S1087" s="42"/>
      <c r="T1087" s="42"/>
      <c r="U1087" s="42"/>
      <c r="V1087" s="42"/>
      <c r="W1087" s="42"/>
      <c r="X1087" s="42"/>
      <c r="Y1087" s="42"/>
      <c r="Z1087" s="42"/>
    </row>
    <row r="1088">
      <c r="A1088" s="41" t="str">
        <f>IFERROR(__xludf.DUMMYFUNCTION("""COMPUTED_VALUE"""),"PR-037")</f>
        <v>PR-037</v>
      </c>
      <c r="B1088" s="42" t="str">
        <f>IFERROR(__xludf.DUMMYFUNCTION("""COMPUTED_VALUE"""),"Mamodo")</f>
        <v>Mamodo</v>
      </c>
      <c r="C1088" s="42" t="str">
        <f>IFERROR(__xludf.DUMMYFUNCTION("""COMPUTED_VALUE"""),"Zatch Bell")</f>
        <v>Zatch Bell</v>
      </c>
      <c r="D1088" s="42" t="str">
        <f>IFERROR(__xludf.DUMMYFUNCTION("""COMPUTED_VALUE"""),"Zatch Bell")</f>
        <v>Zatch Bell</v>
      </c>
      <c r="E1088" s="42" t="str">
        <f>IFERROR(__xludf.DUMMYFUNCTION("""COMPUTED_VALUE"""),"-")</f>
        <v>-</v>
      </c>
      <c r="F1088" s="42" t="str">
        <f>IFERROR(__xludf.DUMMYFUNCTION("""COMPUTED_VALUE"""),"-")</f>
        <v>-</v>
      </c>
      <c r="G1088" s="42" t="str">
        <f>IFERROR(__xludf.DUMMYFUNCTION("""COMPUTED_VALUE"""),"None")</f>
        <v>None</v>
      </c>
      <c r="H1088" s="42" t="str">
        <f>IFERROR(__xludf.DUMMYFUNCTION("""COMPUTED_VALUE"""),"Let's Battle!")</f>
        <v>Let's Battle!</v>
      </c>
      <c r="I1088" s="43" t="str">
        <f>IFERROR(__xludf.DUMMYFUNCTION("""COMPUTED_VALUE"""),"[DECLARE TO USE] [STANDBY] After applying this effect, only once during this turn (per player), 1 SPELL card with Zatch Bell as its MAMODO name can be played from any page of your Spell Book. This effect can be applied only once per game (per player).")</f>
        <v>[DECLARE TO USE] [STANDBY] After applying this effect, only once during this turn (per player), 1 SPELL card with Zatch Bell as its MAMODO name can be played from any page of your Spell Book. This effect can be applied only once per game (per player).</v>
      </c>
      <c r="J1088" s="42">
        <f>IFERROR(__xludf.DUMMYFUNCTION("""COMPUTED_VALUE"""),4500.0)</f>
        <v>4500</v>
      </c>
      <c r="K1088" s="42" t="str">
        <f>IFERROR(__xludf.DUMMYFUNCTION("""COMPUTED_VALUE"""),"-")</f>
        <v>-</v>
      </c>
      <c r="L1088" s="42" t="str">
        <f>IFERROR(__xludf.DUMMYFUNCTION("""COMPUTED_VALUE"""),"-")</f>
        <v>-</v>
      </c>
      <c r="M1088" s="42" t="str">
        <f>IFERROR(__xludf.DUMMYFUNCTION("""COMPUTED_VALUE"""),"[R]")</f>
        <v>[R]</v>
      </c>
      <c r="N1088" s="42" t="str">
        <f>IFERROR(__xludf.DUMMYFUNCTION("""COMPUTED_VALUE"""),"[DECLARE TO USE] Begin the Card Battle with your opponent.")</f>
        <v>[DECLARE TO USE] Begin the Card Battle with your opponent.</v>
      </c>
      <c r="O1088" s="42"/>
      <c r="P1088" s="42"/>
      <c r="Q1088" s="42"/>
      <c r="R1088" s="42"/>
      <c r="S1088" s="42"/>
      <c r="T1088" s="42"/>
      <c r="U1088" s="42"/>
      <c r="V1088" s="42"/>
      <c r="W1088" s="42"/>
      <c r="X1088" s="42"/>
      <c r="Y1088" s="42"/>
      <c r="Z1088" s="42"/>
    </row>
    <row r="1089">
      <c r="A1089" s="41" t="str">
        <f>IFERROR(__xludf.DUMMYFUNCTION("""COMPUTED_VALUE"""),"PR-038")</f>
        <v>PR-038</v>
      </c>
      <c r="B1089" s="42" t="str">
        <f>IFERROR(__xludf.DUMMYFUNCTION("""COMPUTED_VALUE"""),"Event")</f>
        <v>Event</v>
      </c>
      <c r="C1089" s="42" t="str">
        <f>IFERROR(__xludf.DUMMYFUNCTION("""COMPUTED_VALUE"""),"Our Hearts United")</f>
        <v>Our Hearts United</v>
      </c>
      <c r="D1089" s="42" t="str">
        <f>IFERROR(__xludf.DUMMYFUNCTION("""COMPUTED_VALUE"""),"-")</f>
        <v>-</v>
      </c>
      <c r="E1089" s="42">
        <f>IFERROR(__xludf.DUMMYFUNCTION("""COMPUTED_VALUE"""),1.0)</f>
        <v>1</v>
      </c>
      <c r="F1089" s="42" t="str">
        <f>IFERROR(__xludf.DUMMYFUNCTION("""COMPUTED_VALUE"""),"AD")</f>
        <v>AD</v>
      </c>
      <c r="G1089" s="42" t="str">
        <f>IFERROR(__xludf.DUMMYFUNCTION("""COMPUTED_VALUE"""),"None")</f>
        <v>None</v>
      </c>
      <c r="H1089" s="42" t="str">
        <f>IFERROR(__xludf.DUMMYFUNCTION("""COMPUTED_VALUE"""),"-")</f>
        <v>-</v>
      </c>
      <c r="I1089" s="43" t="str">
        <f>IFERROR(__xludf.DUMMYFUNCTION("""COMPUTED_VALUE"""),"[STAY] During this game, when you have 3 or more MAMODO cards in play, your opponent cannot play cards or apply effects that do the following: ● Reduce your MP. ● Turn pages of your Spell Book (except from Damage). ● Petrify any of your MAMODO cards.")</f>
        <v>[STAY] During this game, when you have 3 or more MAMODO cards in play, your opponent cannot play cards or apply effects that do the following: ● Reduce your MP. ● Turn pages of your Spell Book (except from Damage). ● Petrify any of your MAMODO cards.</v>
      </c>
      <c r="J1089" s="42" t="str">
        <f>IFERROR(__xludf.DUMMYFUNCTION("""COMPUTED_VALUE"""),"-")</f>
        <v>-</v>
      </c>
      <c r="K1089" s="42" t="str">
        <f>IFERROR(__xludf.DUMMYFUNCTION("""COMPUTED_VALUE"""),"-")</f>
        <v>-</v>
      </c>
      <c r="L1089" s="42" t="str">
        <f>IFERROR(__xludf.DUMMYFUNCTION("""COMPUTED_VALUE"""),"-")</f>
        <v>-</v>
      </c>
      <c r="M1089" s="42" t="str">
        <f>IFERROR(__xludf.DUMMYFUNCTION("""COMPUTED_VALUE"""),"[R]")</f>
        <v>[R]</v>
      </c>
      <c r="N1089" s="42" t="str">
        <f>IFERROR(__xludf.DUMMYFUNCTION("""COMPUTED_VALUE"""),"When strong feelings become one, a powerful enemy can become a reliable ally.")</f>
        <v>When strong feelings become one, a powerful enemy can become a reliable ally.</v>
      </c>
      <c r="O1089" s="42"/>
      <c r="P1089" s="42"/>
      <c r="Q1089" s="42"/>
      <c r="R1089" s="42"/>
      <c r="S1089" s="42"/>
      <c r="T1089" s="42"/>
      <c r="U1089" s="42"/>
      <c r="V1089" s="42"/>
      <c r="W1089" s="42"/>
      <c r="X1089" s="42"/>
      <c r="Y1089" s="42"/>
      <c r="Z1089" s="42"/>
    </row>
    <row r="1090">
      <c r="A1090" s="41" t="str">
        <f>IFERROR(__xludf.DUMMYFUNCTION("""COMPUTED_VALUE"""),"PR-039")</f>
        <v>PR-039</v>
      </c>
      <c r="B1090" s="42" t="str">
        <f>IFERROR(__xludf.DUMMYFUNCTION("""COMPUTED_VALUE"""),"Event")</f>
        <v>Event</v>
      </c>
      <c r="C1090" s="42" t="str">
        <f>IFERROR(__xludf.DUMMYFUNCTION("""COMPUTED_VALUE"""),"Succession of the Golden Power")</f>
        <v>Succession of the Golden Power</v>
      </c>
      <c r="D1090" s="42" t="str">
        <f>IFERROR(__xludf.DUMMYFUNCTION("""COMPUTED_VALUE"""),"-")</f>
        <v>-</v>
      </c>
      <c r="E1090" s="42">
        <f>IFERROR(__xludf.DUMMYFUNCTION("""COMPUTED_VALUE"""),0.0)</f>
        <v>0</v>
      </c>
      <c r="F1090" s="42" t="str">
        <f>IFERROR(__xludf.DUMMYFUNCTION("""COMPUTED_VALUE"""),"AD")</f>
        <v>AD</v>
      </c>
      <c r="G1090" s="42" t="str">
        <f>IFERROR(__xludf.DUMMYFUNCTION("""COMPUTED_VALUE"""),"Intermediate")</f>
        <v>Intermediate</v>
      </c>
      <c r="H1090" s="42" t="str">
        <f>IFERROR(__xludf.DUMMYFUNCTION("""COMPUTED_VALUE"""),"-")</f>
        <v>-</v>
      </c>
      <c r="I1090" s="43" t="str">
        <f>IFERROR(__xludf.DUMMYFUNCTION("""COMPUTED_VALUE"""),"[STANDBY] After applying this effect, only once during this game (per player), reduce the MP cost of a ""Superior"" Class SPELL card you declare the play of by 5. This effect can be applied only once per game (per player).")</f>
        <v>[STANDBY] After applying this effect, only once during this game (per player), reduce the MP cost of a "Superior" Class SPELL card you declare the play of by 5. This effect can be applied only once per game (per player).</v>
      </c>
      <c r="J1090" s="42" t="str">
        <f>IFERROR(__xludf.DUMMYFUNCTION("""COMPUTED_VALUE"""),"-")</f>
        <v>-</v>
      </c>
      <c r="K1090" s="42" t="str">
        <f>IFERROR(__xludf.DUMMYFUNCTION("""COMPUTED_VALUE"""),"-")</f>
        <v>-</v>
      </c>
      <c r="L1090" s="42" t="str">
        <f>IFERROR(__xludf.DUMMYFUNCTION("""COMPUTED_VALUE"""),"-")</f>
        <v>-</v>
      </c>
      <c r="M1090" s="42" t="str">
        <f>IFERROR(__xludf.DUMMYFUNCTION("""COMPUTED_VALUE"""),"[R]")</f>
        <v>[R]</v>
      </c>
      <c r="N1090" s="42" t="str">
        <f>IFERROR(__xludf.DUMMYFUNCTION("""COMPUTED_VALUE"""),"It is said that Zatch is ""the one who has inherited Bao."" Just what exactly is Bao...?")</f>
        <v>It is said that Zatch is "the one who has inherited Bao." Just what exactly is Bao...?</v>
      </c>
      <c r="O1090" s="42"/>
      <c r="P1090" s="42"/>
      <c r="Q1090" s="42"/>
      <c r="R1090" s="42"/>
      <c r="S1090" s="42"/>
      <c r="T1090" s="42"/>
      <c r="U1090" s="42"/>
      <c r="V1090" s="42"/>
      <c r="W1090" s="42"/>
      <c r="X1090" s="42"/>
      <c r="Y1090" s="42"/>
      <c r="Z1090" s="42"/>
    </row>
    <row r="1091">
      <c r="A1091" s="41" t="str">
        <f>IFERROR(__xludf.DUMMYFUNCTION("""COMPUTED_VALUE"""),"PR-040")</f>
        <v>PR-040</v>
      </c>
      <c r="B1091" s="42" t="str">
        <f>IFERROR(__xludf.DUMMYFUNCTION("""COMPUTED_VALUE"""),"Event")</f>
        <v>Event</v>
      </c>
      <c r="C1091" s="42" t="str">
        <f>IFERROR(__xludf.DUMMYFUNCTION("""COMPUTED_VALUE"""),"The Conqueror's Tactics")</f>
        <v>The Conqueror's Tactics</v>
      </c>
      <c r="D1091" s="42" t="str">
        <f>IFERROR(__xludf.DUMMYFUNCTION("""COMPUTED_VALUE"""),"-")</f>
        <v>-</v>
      </c>
      <c r="E1091" s="42">
        <f>IFERROR(__xludf.DUMMYFUNCTION("""COMPUTED_VALUE"""),0.0)</f>
        <v>0</v>
      </c>
      <c r="F1091" s="42" t="str">
        <f>IFERROR(__xludf.DUMMYFUNCTION("""COMPUTED_VALUE"""),"AD")</f>
        <v>AD</v>
      </c>
      <c r="G1091" s="42" t="str">
        <f>IFERROR(__xludf.DUMMYFUNCTION("""COMPUTED_VALUE"""),"Superior")</f>
        <v>Superior</v>
      </c>
      <c r="H1091" s="42" t="str">
        <f>IFERROR(__xludf.DUMMYFUNCTION("""COMPUTED_VALUE"""),"-")</f>
        <v>-</v>
      </c>
      <c r="I1091" s="43" t="str">
        <f>IFERROR(__xludf.DUMMYFUNCTION("""COMPUTED_VALUE"""),"At the end of the turn you play this card on, you lose the game. Turn 2 pages of your opponent's Spell Book.")</f>
        <v>At the end of the turn you play this card on, you lose the game. Turn 2 pages of your opponent's Spell Book.</v>
      </c>
      <c r="J1091" s="42" t="str">
        <f>IFERROR(__xludf.DUMMYFUNCTION("""COMPUTED_VALUE"""),"-")</f>
        <v>-</v>
      </c>
      <c r="K1091" s="42" t="str">
        <f>IFERROR(__xludf.DUMMYFUNCTION("""COMPUTED_VALUE"""),"-")</f>
        <v>-</v>
      </c>
      <c r="L1091" s="42" t="str">
        <f>IFERROR(__xludf.DUMMYFUNCTION("""COMPUTED_VALUE"""),"-")</f>
        <v>-</v>
      </c>
      <c r="M1091" s="42" t="str">
        <f>IFERROR(__xludf.DUMMYFUNCTION("""COMPUTED_VALUE"""),"[R]")</f>
        <v>[R]</v>
      </c>
      <c r="N1091" s="42" t="str">
        <f>IFERROR(__xludf.DUMMYFUNCTION("""COMPUTED_VALUE"""),"""I don't know who's behind this, but what they're doing is very amusing indeed...""")</f>
        <v>"I don't know who's behind this, but what they're doing is very amusing indeed..."</v>
      </c>
      <c r="O1091" s="42"/>
      <c r="P1091" s="42"/>
      <c r="Q1091" s="42"/>
      <c r="R1091" s="42"/>
      <c r="S1091" s="42"/>
      <c r="T1091" s="42"/>
      <c r="U1091" s="42"/>
      <c r="V1091" s="42"/>
      <c r="W1091" s="42"/>
      <c r="X1091" s="42"/>
      <c r="Y1091" s="42"/>
      <c r="Z1091" s="42"/>
    </row>
    <row r="1092">
      <c r="A1092" s="41" t="str">
        <f>IFERROR(__xludf.DUMMYFUNCTION("""COMPUTED_VALUE"""),"PR-041")</f>
        <v>PR-041</v>
      </c>
      <c r="B1092" s="42" t="str">
        <f>IFERROR(__xludf.DUMMYFUNCTION("""COMPUTED_VALUE"""),"Event")</f>
        <v>Event</v>
      </c>
      <c r="C1092" s="42" t="str">
        <f>IFERROR(__xludf.DUMMYFUNCTION("""COMPUTED_VALUE"""),"Mamodo Battles 2!")</f>
        <v>Mamodo Battles 2!</v>
      </c>
      <c r="D1092" s="42" t="str">
        <f>IFERROR(__xludf.DUMMYFUNCTION("""COMPUTED_VALUE"""),"-")</f>
        <v>-</v>
      </c>
      <c r="E1092" s="42">
        <f>IFERROR(__xludf.DUMMYFUNCTION("""COMPUTED_VALUE"""),0.0)</f>
        <v>0</v>
      </c>
      <c r="F1092" s="42" t="str">
        <f>IFERROR(__xludf.DUMMYFUNCTION("""COMPUTED_VALUE"""),"AD")</f>
        <v>AD</v>
      </c>
      <c r="G1092" s="42" t="str">
        <f>IFERROR(__xludf.DUMMYFUNCTION("""COMPUTED_VALUE"""),"None")</f>
        <v>None</v>
      </c>
      <c r="H1092" s="42" t="str">
        <f>IFERROR(__xludf.DUMMYFUNCTION("""COMPUTED_VALUE"""),"-")</f>
        <v>-</v>
      </c>
      <c r="I1092" s="43" t="str">
        <f>IFERROR(__xludf.DUMMYFUNCTION("""COMPUTED_VALUE"""),"[STAY] Add 2000 Power and Flight Status to all of your in-play MAMODO cards during this turn.")</f>
        <v>[STAY] Add 2000 Power and Flight Status to all of your in-play MAMODO cards during this turn.</v>
      </c>
      <c r="J1092" s="42" t="str">
        <f>IFERROR(__xludf.DUMMYFUNCTION("""COMPUTED_VALUE"""),"-")</f>
        <v>-</v>
      </c>
      <c r="K1092" s="42" t="str">
        <f>IFERROR(__xludf.DUMMYFUNCTION("""COMPUTED_VALUE"""),"-")</f>
        <v>-</v>
      </c>
      <c r="L1092" s="42" t="str">
        <f>IFERROR(__xludf.DUMMYFUNCTION("""COMPUTED_VALUE"""),"-")</f>
        <v>-</v>
      </c>
      <c r="M1092" s="42" t="str">
        <f>IFERROR(__xludf.DUMMYFUNCTION("""COMPUTED_VALUE"""),"[R]")</f>
        <v>[R]</v>
      </c>
      <c r="N1092" s="42" t="str">
        <f>IFERROR(__xludf.DUMMYFUNCTION("""COMPUTED_VALUE"""),"-")</f>
        <v>-</v>
      </c>
      <c r="O1092" s="42"/>
      <c r="P1092" s="42"/>
      <c r="Q1092" s="42"/>
      <c r="R1092" s="42"/>
      <c r="S1092" s="42"/>
      <c r="T1092" s="42"/>
      <c r="U1092" s="42"/>
      <c r="V1092" s="42"/>
      <c r="W1092" s="42"/>
      <c r="X1092" s="42"/>
      <c r="Y1092" s="42"/>
      <c r="Z1092" s="42"/>
    </row>
    <row r="1093">
      <c r="A1093" s="41" t="str">
        <f>IFERROR(__xludf.DUMMYFUNCTION("""COMPUTED_VALUE"""),"PR-042")</f>
        <v>PR-042</v>
      </c>
      <c r="B1093" s="42" t="str">
        <f>IFERROR(__xludf.DUMMYFUNCTION("""COMPUTED_VALUE"""),"Mamodo")</f>
        <v>Mamodo</v>
      </c>
      <c r="C1093" s="42" t="str">
        <f>IFERROR(__xludf.DUMMYFUNCTION("""COMPUTED_VALUE"""),"Zatch Bell (Powered-Up)")</f>
        <v>Zatch Bell (Powered-Up)</v>
      </c>
      <c r="D1093" s="42" t="str">
        <f>IFERROR(__xludf.DUMMYFUNCTION("""COMPUTED_VALUE"""),"Zatch Bell")</f>
        <v>Zatch Bell</v>
      </c>
      <c r="E1093" s="42" t="str">
        <f>IFERROR(__xludf.DUMMYFUNCTION("""COMPUTED_VALUE"""),"-")</f>
        <v>-</v>
      </c>
      <c r="F1093" s="42" t="str">
        <f>IFERROR(__xludf.DUMMYFUNCTION("""COMPUTED_VALUE"""),"-")</f>
        <v>-</v>
      </c>
      <c r="G1093" s="42" t="str">
        <f>IFERROR(__xludf.DUMMYFUNCTION("""COMPUTED_VALUE"""),"None")</f>
        <v>None</v>
      </c>
      <c r="H1093" s="42" t="str">
        <f>IFERROR(__xludf.DUMMYFUNCTION("""COMPUTED_VALUE"""),"Burning Golden")</f>
        <v>Burning Golden</v>
      </c>
      <c r="I1093" s="43" t="str">
        <f>IFERROR(__xludf.DUMMYFUNCTION("""COMPUTED_VALUE"""),"-")</f>
        <v>-</v>
      </c>
      <c r="J1093" s="42">
        <f>IFERROR(__xludf.DUMMYFUNCTION("""COMPUTED_VALUE"""),6000.0)</f>
        <v>6000</v>
      </c>
      <c r="K1093" s="42" t="str">
        <f>IFERROR(__xludf.DUMMYFUNCTION("""COMPUTED_VALUE"""),"-")</f>
        <v>-</v>
      </c>
      <c r="L1093" s="42" t="str">
        <f>IFERROR(__xludf.DUMMYFUNCTION("""COMPUTED_VALUE"""),"-")</f>
        <v>-</v>
      </c>
      <c r="M1093" s="42" t="str">
        <f>IFERROR(__xludf.DUMMYFUNCTION("""COMPUTED_VALUE"""),"[R]")</f>
        <v>[R]</v>
      </c>
      <c r="N1093" s="42" t="str">
        <f>IFERROR(__xludf.DUMMYFUNCTION("""COMPUTED_VALUE"""),"""Let your inner power burn! Burn it golden!""")</f>
        <v>"Let your inner power burn! Burn it golden!"</v>
      </c>
      <c r="O1093" s="42"/>
      <c r="P1093" s="42"/>
      <c r="Q1093" s="42"/>
      <c r="R1093" s="42"/>
      <c r="S1093" s="42"/>
      <c r="T1093" s="42"/>
      <c r="U1093" s="42"/>
      <c r="V1093" s="42"/>
      <c r="W1093" s="42"/>
      <c r="X1093" s="42"/>
      <c r="Y1093" s="42"/>
      <c r="Z1093" s="42"/>
    </row>
    <row r="1094">
      <c r="A1094" s="41" t="str">
        <f>IFERROR(__xludf.DUMMYFUNCTION("""COMPUTED_VALUE"""),"PR-043")</f>
        <v>PR-043</v>
      </c>
      <c r="B1094" s="42" t="str">
        <f>IFERROR(__xludf.DUMMYFUNCTION("""COMPUTED_VALUE"""),"Event")</f>
        <v>Event</v>
      </c>
      <c r="C1094" s="42" t="str">
        <f>IFERROR(__xludf.DUMMYFUNCTION("""COMPUTED_VALUE"""),"Attack of MechaVolcan")</f>
        <v>Attack of MechaVolcan</v>
      </c>
      <c r="D1094" s="42" t="str">
        <f>IFERROR(__xludf.DUMMYFUNCTION("""COMPUTED_VALUE"""),"-")</f>
        <v>-</v>
      </c>
      <c r="E1094" s="42" t="str">
        <f>IFERROR(__xludf.DUMMYFUNCTION("""COMPUTED_VALUE"""),"-")</f>
        <v>-</v>
      </c>
      <c r="F1094" s="42" t="str">
        <f>IFERROR(__xludf.DUMMYFUNCTION("""COMPUTED_VALUE"""),"AD")</f>
        <v>AD</v>
      </c>
      <c r="G1094" s="42" t="str">
        <f>IFERROR(__xludf.DUMMYFUNCTION("""COMPUTED_VALUE"""),"None")</f>
        <v>None</v>
      </c>
      <c r="H1094" s="42" t="str">
        <f>IFERROR(__xludf.DUMMYFUNCTION("""COMPUTED_VALUE"""),"-")</f>
        <v>-</v>
      </c>
      <c r="I1094" s="43" t="str">
        <f>IFERROR(__xludf.DUMMYFUNCTION("""COMPUTED_VALUE"""),"[STAY] All MAMODO cards you have in play that have their Power increased by the effects of EVENT cards containing ""Volcan"" in their card names do not recieve Damage or Injury during this game.")</f>
        <v>[STAY] All MAMODO cards you have in play that have their Power increased by the effects of EVENT cards containing "Volcan" in their card names do not recieve Damage or Injury during this game.</v>
      </c>
      <c r="J1094" s="42" t="str">
        <f>IFERROR(__xludf.DUMMYFUNCTION("""COMPUTED_VALUE"""),"-")</f>
        <v>-</v>
      </c>
      <c r="K1094" s="42" t="str">
        <f>IFERROR(__xludf.DUMMYFUNCTION("""COMPUTED_VALUE"""),"-")</f>
        <v>-</v>
      </c>
      <c r="L1094" s="42" t="str">
        <f>IFERROR(__xludf.DUMMYFUNCTION("""COMPUTED_VALUE"""),"-")</f>
        <v>-</v>
      </c>
      <c r="M1094" s="42" t="str">
        <f>IFERROR(__xludf.DUMMYFUNCTION("""COMPUTED_VALUE"""),"[R]")</f>
        <v>[R]</v>
      </c>
      <c r="N1094" s="42" t="str">
        <f>IFERROR(__xludf.DUMMYFUNCTION("""COMPUTED_VALUE"""),"-")</f>
        <v>-</v>
      </c>
      <c r="O1094" s="42"/>
      <c r="P1094" s="42"/>
      <c r="Q1094" s="42"/>
      <c r="R1094" s="42"/>
      <c r="S1094" s="42"/>
      <c r="T1094" s="42"/>
      <c r="U1094" s="42"/>
      <c r="V1094" s="42"/>
      <c r="W1094" s="42"/>
      <c r="X1094" s="42"/>
      <c r="Y1094" s="42"/>
      <c r="Z1094" s="42"/>
    </row>
    <row r="1095">
      <c r="A1095" s="41" t="str">
        <f>IFERROR(__xludf.DUMMYFUNCTION("""COMPUTED_VALUE"""),"PR-044")</f>
        <v>PR-044</v>
      </c>
      <c r="B1095" s="42" t="str">
        <f>IFERROR(__xludf.DUMMYFUNCTION("""COMPUTED_VALUE"""),"Volcan")</f>
        <v>Volcan</v>
      </c>
      <c r="C1095" s="42" t="str">
        <f>IFERROR(__xludf.DUMMYFUNCTION("""COMPUTED_VALUE"""),"Volcan IV")</f>
        <v>Volcan IV</v>
      </c>
      <c r="D1095" s="42" t="str">
        <f>IFERROR(__xludf.DUMMYFUNCTION("""COMPUTED_VALUE"""),"-")</f>
        <v>-</v>
      </c>
      <c r="E1095" s="42" t="str">
        <f>IFERROR(__xludf.DUMMYFUNCTION("""COMPUTED_VALUE"""),"-")</f>
        <v>-</v>
      </c>
      <c r="F1095" s="42" t="str">
        <f>IFERROR(__xludf.DUMMYFUNCTION("""COMPUTED_VALUE"""),"-")</f>
        <v>-</v>
      </c>
      <c r="G1095" s="42" t="str">
        <f>IFERROR(__xludf.DUMMYFUNCTION("""COMPUTED_VALUE"""),"None")</f>
        <v>None</v>
      </c>
      <c r="H1095" s="42" t="str">
        <f>IFERROR(__xludf.DUMMYFUNCTION("""COMPUTED_VALUE"""),"-")</f>
        <v>-</v>
      </c>
      <c r="I1095" s="43" t="str">
        <f>IFERROR(__xludf.DUMMYFUNCTION("""COMPUTED_VALUE"""),"This card is put in play separate from MAMODO cards. (Attack) [1 MP] This card may Attack without using a SPELL card (Total Power=7000, Damage=2).")</f>
        <v>This card is put in play separate from MAMODO cards. (Attack) [1 MP] This card may Attack without using a SPELL card (Total Power=7000, Damage=2).</v>
      </c>
      <c r="J1095" s="42" t="str">
        <f>IFERROR(__xludf.DUMMYFUNCTION("""COMPUTED_VALUE"""),"-")</f>
        <v>-</v>
      </c>
      <c r="K1095" s="42" t="str">
        <f>IFERROR(__xludf.DUMMYFUNCTION("""COMPUTED_VALUE"""),"-")</f>
        <v>-</v>
      </c>
      <c r="L1095" s="42" t="str">
        <f>IFERROR(__xludf.DUMMYFUNCTION("""COMPUTED_VALUE"""),"-")</f>
        <v>-</v>
      </c>
      <c r="M1095" s="42" t="str">
        <f>IFERROR(__xludf.DUMMYFUNCTION("""COMPUTED_VALUE"""),"[R]")</f>
        <v>[R]</v>
      </c>
      <c r="N1095" s="42" t="str">
        <f>IFERROR(__xludf.DUMMYFUNCTION("""COMPUTED_VALUE"""),"A giant robot in Volcan's likeness that suddenly appeared. He was affectionately given the name ""Volcan IV"" by Zatch.")</f>
        <v>A giant robot in Volcan's likeness that suddenly appeared. He was affectionately given the name "Volcan IV" by Zatch.</v>
      </c>
      <c r="O1095" s="42"/>
      <c r="P1095" s="42"/>
      <c r="Q1095" s="42"/>
      <c r="R1095" s="42"/>
      <c r="S1095" s="42"/>
      <c r="T1095" s="42"/>
      <c r="U1095" s="42"/>
      <c r="V1095" s="42"/>
      <c r="W1095" s="42"/>
      <c r="X1095" s="42"/>
      <c r="Y1095" s="42"/>
      <c r="Z1095" s="42"/>
    </row>
    <row r="1096">
      <c r="A1096" s="41" t="str">
        <f>IFERROR(__xludf.DUMMYFUNCTION("""COMPUTED_VALUE"""),"PR-045")</f>
        <v>PR-045</v>
      </c>
      <c r="B1096" s="42" t="str">
        <f>IFERROR(__xludf.DUMMYFUNCTION("""COMPUTED_VALUE"""),"Event")</f>
        <v>Event</v>
      </c>
      <c r="C1096" s="42" t="str">
        <f>IFERROR(__xludf.DUMMYFUNCTION("""COMPUTED_VALUE"""),"The Card Battle for GBA")</f>
        <v>The Card Battle for GBA</v>
      </c>
      <c r="D1096" s="42" t="str">
        <f>IFERROR(__xludf.DUMMYFUNCTION("""COMPUTED_VALUE"""),"-")</f>
        <v>-</v>
      </c>
      <c r="E1096" s="42">
        <f>IFERROR(__xludf.DUMMYFUNCTION("""COMPUTED_VALUE"""),0.0)</f>
        <v>0</v>
      </c>
      <c r="F1096" s="42" t="str">
        <f>IFERROR(__xludf.DUMMYFUNCTION("""COMPUTED_VALUE"""),"AD")</f>
        <v>AD</v>
      </c>
      <c r="G1096" s="42" t="str">
        <f>IFERROR(__xludf.DUMMYFUNCTION("""COMPUTED_VALUE"""),"None")</f>
        <v>None</v>
      </c>
      <c r="H1096" s="42" t="str">
        <f>IFERROR(__xludf.DUMMYFUNCTION("""COMPUTED_VALUE"""),"-")</f>
        <v>-</v>
      </c>
      <c r="I1096" s="43" t="str">
        <f>IFERROR(__xludf.DUMMYFUNCTION("""COMPUTED_VALUE"""),"&lt;RED TEXT : This card can be played only while your Spell Book is having its pages turned as a result of your opponent's card effects (including from Damage).&gt; Stop turning pages of your Spell Book. This effect cannot be negated by a cut-in effect. This e"&amp;"ffect can be applied only once per game (per player).")</f>
        <v>&lt;RED TEXT : This card can be played only while your Spell Book is having its pages turned as a result of your opponent's card effects (including from Damage).&gt; Stop turning pages of your Spell Book. This effect cannot be negated by a cut-in effect. This effect can be applied only once per game (per player).</v>
      </c>
      <c r="J1096" s="42" t="str">
        <f>IFERROR(__xludf.DUMMYFUNCTION("""COMPUTED_VALUE"""),"-")</f>
        <v>-</v>
      </c>
      <c r="K1096" s="42" t="str">
        <f>IFERROR(__xludf.DUMMYFUNCTION("""COMPUTED_VALUE"""),"-")</f>
        <v>-</v>
      </c>
      <c r="L1096" s="42" t="str">
        <f>IFERROR(__xludf.DUMMYFUNCTION("""COMPUTED_VALUE"""),"-")</f>
        <v>-</v>
      </c>
      <c r="M1096" s="42" t="str">
        <f>IFERROR(__xludf.DUMMYFUNCTION("""COMPUTED_VALUE"""),"[R]")</f>
        <v>[R]</v>
      </c>
      <c r="N1096" s="42" t="str">
        <f>IFERROR(__xludf.DUMMYFUNCTION("""COMPUTED_VALUE"""),"-")</f>
        <v>-</v>
      </c>
      <c r="O1096" s="42"/>
      <c r="P1096" s="42"/>
      <c r="Q1096" s="42"/>
      <c r="R1096" s="42"/>
      <c r="S1096" s="42"/>
      <c r="T1096" s="42"/>
      <c r="U1096" s="42"/>
      <c r="V1096" s="42"/>
      <c r="W1096" s="42"/>
      <c r="X1096" s="42"/>
      <c r="Y1096" s="42"/>
      <c r="Z1096" s="42"/>
    </row>
    <row r="1097">
      <c r="A1097" s="41" t="str">
        <f>IFERROR(__xludf.DUMMYFUNCTION("""COMPUTED_VALUE"""),"PR-046")</f>
        <v>PR-046</v>
      </c>
      <c r="B1097" s="42" t="str">
        <f>IFERROR(__xludf.DUMMYFUNCTION("""COMPUTED_VALUE"""),"Mamodo")</f>
        <v>Mamodo</v>
      </c>
      <c r="C1097" s="42" t="str">
        <f>IFERROR(__xludf.DUMMYFUNCTION("""COMPUTED_VALUE"""),"Ted")</f>
        <v>Ted</v>
      </c>
      <c r="D1097" s="42" t="str">
        <f>IFERROR(__xludf.DUMMYFUNCTION("""COMPUTED_VALUE"""),"Ted")</f>
        <v>Ted</v>
      </c>
      <c r="E1097" s="42" t="str">
        <f>IFERROR(__xludf.DUMMYFUNCTION("""COMPUTED_VALUE"""),"-")</f>
        <v>-</v>
      </c>
      <c r="F1097" s="42" t="str">
        <f>IFERROR(__xludf.DUMMYFUNCTION("""COMPUTED_VALUE"""),"-")</f>
        <v>-</v>
      </c>
      <c r="G1097" s="42" t="str">
        <f>IFERROR(__xludf.DUMMYFUNCTION("""COMPUTED_VALUE"""),"None")</f>
        <v>None</v>
      </c>
      <c r="H1097" s="42" t="str">
        <f>IFERROR(__xludf.DUMMYFUNCTION("""COMPUTED_VALUE"""),"Like a Hurricane")</f>
        <v>Like a Hurricane</v>
      </c>
      <c r="I1097" s="43" t="str">
        <f>IFERROR(__xludf.DUMMYFUNCTION("""COMPUTED_VALUE"""),"[IN PLAY] When you put this MAMODO card in play during the PREPARATION PHASE of the game, apply the following effect: [STAY] Your Spell Book can receive Damage only once per turn (per player) during this game.")</f>
        <v>[IN PLAY] When you put this MAMODO card in play during the PREPARATION PHASE of the game, apply the following effect: [STAY] Your Spell Book can receive Damage only once per turn (per player) during this game.</v>
      </c>
      <c r="J1097" s="42">
        <f>IFERROR(__xludf.DUMMYFUNCTION("""COMPUTED_VALUE"""),4500.0)</f>
        <v>4500</v>
      </c>
      <c r="K1097" s="42" t="str">
        <f>IFERROR(__xludf.DUMMYFUNCTION("""COMPUTED_VALUE"""),"-")</f>
        <v>-</v>
      </c>
      <c r="L1097" s="42" t="str">
        <f>IFERROR(__xludf.DUMMYFUNCTION("""COMPUTED_VALUE"""),"-")</f>
        <v>-</v>
      </c>
      <c r="M1097" s="42" t="str">
        <f>IFERROR(__xludf.DUMMYFUNCTION("""COMPUTED_VALUE"""),"[R]")</f>
        <v>[R]</v>
      </c>
      <c r="N1097" s="42" t="str">
        <f>IFERROR(__xludf.DUMMYFUNCTION("""COMPUTED_VALUE"""),"""You're not fast enough to do any damage to me!""")</f>
        <v>"You're not fast enough to do any damage to me!"</v>
      </c>
      <c r="O1097" s="42"/>
      <c r="P1097" s="42"/>
      <c r="Q1097" s="42"/>
      <c r="R1097" s="42"/>
      <c r="S1097" s="42"/>
      <c r="T1097" s="42"/>
      <c r="U1097" s="42"/>
      <c r="V1097" s="42"/>
      <c r="W1097" s="42"/>
      <c r="X1097" s="42"/>
      <c r="Y1097" s="42"/>
      <c r="Z1097" s="42"/>
    </row>
    <row r="1098">
      <c r="A1098" s="41" t="str">
        <f>IFERROR(__xludf.DUMMYFUNCTION("""COMPUTED_VALUE"""),"PR-047")</f>
        <v>PR-047</v>
      </c>
      <c r="B1098" s="42" t="str">
        <f>IFERROR(__xludf.DUMMYFUNCTION("""COMPUTED_VALUE"""),"Event")</f>
        <v>Event</v>
      </c>
      <c r="C1098" s="42" t="str">
        <f>IFERROR(__xludf.DUMMYFUNCTION("""COMPUTED_VALUE"""),"The Red Spell Book")</f>
        <v>The Red Spell Book</v>
      </c>
      <c r="D1098" s="42" t="str">
        <f>IFERROR(__xludf.DUMMYFUNCTION("""COMPUTED_VALUE"""),"-")</f>
        <v>-</v>
      </c>
      <c r="E1098" s="42">
        <f>IFERROR(__xludf.DUMMYFUNCTION("""COMPUTED_VALUE"""),0.0)</f>
        <v>0</v>
      </c>
      <c r="F1098" s="42" t="str">
        <f>IFERROR(__xludf.DUMMYFUNCTION("""COMPUTED_VALUE"""),"AD")</f>
        <v>AD</v>
      </c>
      <c r="G1098" s="42" t="str">
        <f>IFERROR(__xludf.DUMMYFUNCTION("""COMPUTED_VALUE"""),"None")</f>
        <v>None</v>
      </c>
      <c r="H1098" s="42" t="str">
        <f>IFERROR(__xludf.DUMMYFUNCTION("""COMPUTED_VALUE"""),"-")</f>
        <v>-</v>
      </c>
      <c r="I1098" s="43" t="str">
        <f>IFERROR(__xludf.DUMMYFUNCTION("""COMPUTED_VALUE"""),"&lt;RED TEXT:This card can be played from any page of your Spell Book.&gt; Negate the effect your opponent just applied that would reduce your MP. Then, get 2 MP.")</f>
        <v>&lt;RED TEXT:This card can be played from any page of your Spell Book.&gt; Negate the effect your opponent just applied that would reduce your MP. Then, get 2 MP.</v>
      </c>
      <c r="J1098" s="42" t="str">
        <f>IFERROR(__xludf.DUMMYFUNCTION("""COMPUTED_VALUE"""),"-")</f>
        <v>-</v>
      </c>
      <c r="K1098" s="42" t="str">
        <f>IFERROR(__xludf.DUMMYFUNCTION("""COMPUTED_VALUE"""),"-")</f>
        <v>-</v>
      </c>
      <c r="L1098" s="42" t="str">
        <f>IFERROR(__xludf.DUMMYFUNCTION("""COMPUTED_VALUE"""),"-")</f>
        <v>-</v>
      </c>
      <c r="M1098" s="42" t="str">
        <f>IFERROR(__xludf.DUMMYFUNCTION("""COMPUTED_VALUE"""),"[R]")</f>
        <v>[R]</v>
      </c>
      <c r="N1098" s="42" t="str">
        <f>IFERROR(__xludf.DUMMYFUNCTION("""COMPUTED_VALUE"""),"""The spell book... it converts strength from within into energy for a mamodo to use their spells!""")</f>
        <v>"The spell book... it converts strength from within into energy for a mamodo to use their spells!"</v>
      </c>
      <c r="O1098" s="42"/>
      <c r="P1098" s="42"/>
      <c r="Q1098" s="42"/>
      <c r="R1098" s="42"/>
      <c r="S1098" s="42"/>
      <c r="T1098" s="42"/>
      <c r="U1098" s="42"/>
      <c r="V1098" s="42"/>
      <c r="W1098" s="42"/>
      <c r="X1098" s="42"/>
      <c r="Y1098" s="42"/>
      <c r="Z1098" s="42"/>
    </row>
    <row r="1099">
      <c r="A1099" s="41" t="str">
        <f>IFERROR(__xludf.DUMMYFUNCTION("""COMPUTED_VALUE"""),"PR-048")</f>
        <v>PR-048</v>
      </c>
      <c r="B1099" s="42" t="str">
        <f>IFERROR(__xludf.DUMMYFUNCTION("""COMPUTED_VALUE"""),"Spell")</f>
        <v>Spell</v>
      </c>
      <c r="C1099" s="42" t="str">
        <f>IFERROR(__xludf.DUMMYFUNCTION("""COMPUTED_VALUE"""),"Bao Zakeruga of Friendship")</f>
        <v>Bao Zakeruga of Friendship</v>
      </c>
      <c r="D1099" s="42" t="str">
        <f>IFERROR(__xludf.DUMMYFUNCTION("""COMPUTED_VALUE"""),"Zatch Bell")</f>
        <v>Zatch Bell</v>
      </c>
      <c r="E1099" s="42">
        <f>IFERROR(__xludf.DUMMYFUNCTION("""COMPUTED_VALUE"""),4.0)</f>
        <v>4</v>
      </c>
      <c r="F1099" s="42" t="str">
        <f>IFERROR(__xludf.DUMMYFUNCTION("""COMPUTED_VALUE"""),"A")</f>
        <v>A</v>
      </c>
      <c r="G1099" s="42" t="str">
        <f>IFERROR(__xludf.DUMMYFUNCTION("""COMPUTED_VALUE"""),"Superior")</f>
        <v>Superior</v>
      </c>
      <c r="H1099" s="42" t="str">
        <f>IFERROR(__xludf.DUMMYFUNCTION("""COMPUTED_VALUE"""),"Thunder")</f>
        <v>Thunder</v>
      </c>
      <c r="I1099" s="43" t="str">
        <f>IFERROR(__xludf.DUMMYFUNCTION("""COMPUTED_VALUE"""),"Damage your opponent's Spell Book when you win the Battle as an Attacker. Reduce the MP cost of this SPELL card by the number of Kanchomé, Tia, and Ponygon MAMODO cards you have in play times 1.")</f>
        <v>Damage your opponent's Spell Book when you win the Battle as an Attacker. Reduce the MP cost of this SPELL card by the number of Kanchomé, Tia, and Ponygon MAMODO cards you have in play times 1.</v>
      </c>
      <c r="J1099" s="42" t="str">
        <f>IFERROR(__xludf.DUMMYFUNCTION("""COMPUTED_VALUE"""),"+6000")</f>
        <v>+6000</v>
      </c>
      <c r="K1099" s="42">
        <f>IFERROR(__xludf.DUMMYFUNCTION("""COMPUTED_VALUE"""),2.0)</f>
        <v>2</v>
      </c>
      <c r="L1099" s="42" t="str">
        <f>IFERROR(__xludf.DUMMYFUNCTION("""COMPUTED_VALUE"""),"-")</f>
        <v>-</v>
      </c>
      <c r="M1099" s="42" t="str">
        <f>IFERROR(__xludf.DUMMYFUNCTION("""COMPUTED_VALUE"""),"[R]")</f>
        <v>[R]</v>
      </c>
      <c r="N1099" s="42" t="str">
        <f>IFERROR(__xludf.DUMMYFUNCTION("""COMPUTED_VALUE"""),"""Tia, Megumi! Lend me your power!""")</f>
        <v>"Tia, Megumi! Lend me your power!"</v>
      </c>
      <c r="O1099" s="42"/>
      <c r="P1099" s="42"/>
      <c r="Q1099" s="42"/>
      <c r="R1099" s="42"/>
      <c r="S1099" s="42"/>
      <c r="T1099" s="42"/>
      <c r="U1099" s="42"/>
      <c r="V1099" s="42"/>
      <c r="W1099" s="42"/>
      <c r="X1099" s="42"/>
      <c r="Y1099" s="42"/>
      <c r="Z1099" s="42"/>
    </row>
    <row r="1100">
      <c r="A1100" s="41" t="str">
        <f>IFERROR(__xludf.DUMMYFUNCTION("""COMPUTED_VALUE"""),"PR-049")</f>
        <v>PR-049</v>
      </c>
      <c r="B1100" s="42" t="str">
        <f>IFERROR(__xludf.DUMMYFUNCTION("""COMPUTED_VALUE"""),"Spell")</f>
        <v>Spell</v>
      </c>
      <c r="C1100" s="42" t="str">
        <f>IFERROR(__xludf.DUMMYFUNCTION("""COMPUTED_VALUE"""),"Bao Zakeruga of Friendship")</f>
        <v>Bao Zakeruga of Friendship</v>
      </c>
      <c r="D1100" s="42" t="str">
        <f>IFERROR(__xludf.DUMMYFUNCTION("""COMPUTED_VALUE"""),"Zatch Bell")</f>
        <v>Zatch Bell</v>
      </c>
      <c r="E1100" s="42">
        <f>IFERROR(__xludf.DUMMYFUNCTION("""COMPUTED_VALUE"""),4.0)</f>
        <v>4</v>
      </c>
      <c r="F1100" s="42" t="str">
        <f>IFERROR(__xludf.DUMMYFUNCTION("""COMPUTED_VALUE"""),"A")</f>
        <v>A</v>
      </c>
      <c r="G1100" s="42" t="str">
        <f>IFERROR(__xludf.DUMMYFUNCTION("""COMPUTED_VALUE"""),"Superior")</f>
        <v>Superior</v>
      </c>
      <c r="H1100" s="42" t="str">
        <f>IFERROR(__xludf.DUMMYFUNCTION("""COMPUTED_VALUE"""),"Thunder")</f>
        <v>Thunder</v>
      </c>
      <c r="I1100" s="43" t="str">
        <f>IFERROR(__xludf.DUMMYFUNCTION("""COMPUTED_VALUE"""),"Damage your opponent's Spell Book when you win the Battle as an Attacker. Increase the Damage of this SPELL card by the number of Kanchomé, Tia, and Ponygon MAMODO cards you have in play times 1.")</f>
        <v>Damage your opponent's Spell Book when you win the Battle as an Attacker. Increase the Damage of this SPELL card by the number of Kanchomé, Tia, and Ponygon MAMODO cards you have in play times 1.</v>
      </c>
      <c r="J1100" s="42" t="str">
        <f>IFERROR(__xludf.DUMMYFUNCTION("""COMPUTED_VALUE"""),"+6000")</f>
        <v>+6000</v>
      </c>
      <c r="K1100" s="42">
        <f>IFERROR(__xludf.DUMMYFUNCTION("""COMPUTED_VALUE"""),2.0)</f>
        <v>2</v>
      </c>
      <c r="L1100" s="42" t="str">
        <f>IFERROR(__xludf.DUMMYFUNCTION("""COMPUTED_VALUE"""),"-")</f>
        <v>-</v>
      </c>
      <c r="M1100" s="42" t="str">
        <f>IFERROR(__xludf.DUMMYFUNCTION("""COMPUTED_VALUE"""),"[R]")</f>
        <v>[R]</v>
      </c>
      <c r="N1100" s="42" t="str">
        <f>IFERROR(__xludf.DUMMYFUNCTION("""COMPUTED_VALUE"""),"""ZATCH... SHOOT... FRIEND... SHIP...""")</f>
        <v>"ZATCH... SHOOT... FRIEND... SHIP..."</v>
      </c>
      <c r="O1100" s="42"/>
      <c r="P1100" s="42"/>
      <c r="Q1100" s="42"/>
      <c r="R1100" s="42"/>
      <c r="S1100" s="42"/>
      <c r="T1100" s="42"/>
      <c r="U1100" s="42"/>
      <c r="V1100" s="42"/>
      <c r="W1100" s="42"/>
      <c r="X1100" s="42"/>
      <c r="Y1100" s="42"/>
      <c r="Z1100" s="42"/>
    </row>
    <row r="1101">
      <c r="A1101" s="41" t="str">
        <f>IFERROR(__xludf.DUMMYFUNCTION("""COMPUTED_VALUE"""),"PR-050")</f>
        <v>PR-050</v>
      </c>
      <c r="B1101" s="42" t="str">
        <f>IFERROR(__xludf.DUMMYFUNCTION("""COMPUTED_VALUE"""),"Mamodo")</f>
        <v>Mamodo</v>
      </c>
      <c r="C1101" s="42" t="str">
        <f>IFERROR(__xludf.DUMMYFUNCTION("""COMPUTED_VALUE"""),"Zatch Bell &amp; Toy Volcan")</f>
        <v>Zatch Bell &amp; Toy Volcan</v>
      </c>
      <c r="D1101" s="42" t="str">
        <f>IFERROR(__xludf.DUMMYFUNCTION("""COMPUTED_VALUE"""),"Zatch Bell | Toy Volcan")</f>
        <v>Zatch Bell | Toy Volcan</v>
      </c>
      <c r="E1101" s="42" t="str">
        <f>IFERROR(__xludf.DUMMYFUNCTION("""COMPUTED_VALUE"""),"-")</f>
        <v>-</v>
      </c>
      <c r="F1101" s="42" t="str">
        <f>IFERROR(__xludf.DUMMYFUNCTION("""COMPUTED_VALUE"""),"-")</f>
        <v>-</v>
      </c>
      <c r="G1101" s="42" t="str">
        <f>IFERROR(__xludf.DUMMYFUNCTION("""COMPUTED_VALUE"""),"None")</f>
        <v>None</v>
      </c>
      <c r="H1101" s="42" t="str">
        <f>IFERROR(__xludf.DUMMYFUNCTION("""COMPUTED_VALUE"""),"Volcan and Me")</f>
        <v>Volcan and Me</v>
      </c>
      <c r="I1101" s="43" t="str">
        <f>IFERROR(__xludf.DUMMYFUNCTION("""COMPUTED_VALUE"""),"Send your in-play Zatch Bell MAMODO card OR 1 of your in-play VOLCAN cards to the Discard Pile to put this MAMODO in play. [1 MP] Select 1 VOLCAN card from any page of your Spell Book and put it in play.")</f>
        <v>Send your in-play Zatch Bell MAMODO card OR 1 of your in-play VOLCAN cards to the Discard Pile to put this MAMODO in play. [1 MP] Select 1 VOLCAN card from any page of your Spell Book and put it in play.</v>
      </c>
      <c r="J1101" s="42">
        <f>IFERROR(__xludf.DUMMYFUNCTION("""COMPUTED_VALUE"""),4500.0)</f>
        <v>4500</v>
      </c>
      <c r="K1101" s="42" t="str">
        <f>IFERROR(__xludf.DUMMYFUNCTION("""COMPUTED_VALUE"""),"-")</f>
        <v>-</v>
      </c>
      <c r="L1101" s="42" t="str">
        <f>IFERROR(__xludf.DUMMYFUNCTION("""COMPUTED_VALUE"""),"-")</f>
        <v>-</v>
      </c>
      <c r="M1101" s="42" t="str">
        <f>IFERROR(__xludf.DUMMYFUNCTION("""COMPUTED_VALUE"""),"[R]")</f>
        <v>[R]</v>
      </c>
      <c r="N1101" s="42" t="str">
        <f>IFERROR(__xludf.DUMMYFUNCTION("""COMPUTED_VALUE"""),"""Thank you for coming to see the movie starring Volcan and me!""")</f>
        <v>"Thank you for coming to see the movie starring Volcan and me!"</v>
      </c>
      <c r="O1101" s="42"/>
      <c r="P1101" s="42"/>
      <c r="Q1101" s="42"/>
      <c r="R1101" s="42"/>
      <c r="S1101" s="42"/>
      <c r="T1101" s="42"/>
      <c r="U1101" s="42"/>
      <c r="V1101" s="42"/>
      <c r="W1101" s="42"/>
      <c r="X1101" s="42"/>
      <c r="Y1101" s="42"/>
      <c r="Z1101" s="42"/>
    </row>
    <row r="1102">
      <c r="A1102" s="41" t="str">
        <f>IFERROR(__xludf.DUMMYFUNCTION("""COMPUTED_VALUE"""),"PR-051")</f>
        <v>PR-051</v>
      </c>
      <c r="B1102" s="42" t="str">
        <f>IFERROR(__xludf.DUMMYFUNCTION("""COMPUTED_VALUE"""),"Mamodo")</f>
        <v>Mamodo</v>
      </c>
      <c r="C1102" s="42" t="str">
        <f>IFERROR(__xludf.DUMMYFUNCTION("""COMPUTED_VALUE"""),"Zatch Bell VS Giant MechaVolcan")</f>
        <v>Zatch Bell VS Giant MechaVolcan</v>
      </c>
      <c r="D1102" s="42" t="str">
        <f>IFERROR(__xludf.DUMMYFUNCTION("""COMPUTED_VALUE"""),"Zatch Bell | Giant MechaVolcan")</f>
        <v>Zatch Bell | Giant MechaVolcan</v>
      </c>
      <c r="E1102" s="42" t="str">
        <f>IFERROR(__xludf.DUMMYFUNCTION("""COMPUTED_VALUE"""),"-")</f>
        <v>-</v>
      </c>
      <c r="F1102" s="42" t="str">
        <f>IFERROR(__xludf.DUMMYFUNCTION("""COMPUTED_VALUE"""),"-")</f>
        <v>-</v>
      </c>
      <c r="G1102" s="42" t="str">
        <f>IFERROR(__xludf.DUMMYFUNCTION("""COMPUTED_VALUE"""),"None")</f>
        <v>None</v>
      </c>
      <c r="H1102" s="42" t="str">
        <f>IFERROR(__xludf.DUMMYFUNCTION("""COMPUTED_VALUE"""),"Friend")</f>
        <v>Friend</v>
      </c>
      <c r="I1102" s="43" t="str">
        <f>IFERROR(__xludf.DUMMYFUNCTION("""COMPUTED_VALUE"""),"Send either player's in-play Zatch Bell MAMODO card OR 1 of either player's in-play VOLCAN cards to the Discard Pile to put this MAMODO card in play. [DECLARE TO USE] Send all of your opponent's in-play VOLCAN cards to the Discard Pile. If any cards are s"&amp;"ent to the Discard Pile by this effect, select 1 VOLCAN card from any page of your Spell Book and put it in play.")</f>
        <v>Send either player's in-play Zatch Bell MAMODO card OR 1 of either player's in-play VOLCAN cards to the Discard Pile to put this MAMODO card in play. [DECLARE TO USE] Send all of your opponent's in-play VOLCAN cards to the Discard Pile. If any cards are sent to the Discard Pile by this effect, select 1 VOLCAN card from any page of your Spell Book and put it in play.</v>
      </c>
      <c r="J1102" s="42">
        <f>IFERROR(__xludf.DUMMYFUNCTION("""COMPUTED_VALUE"""),5000.0)</f>
        <v>5000</v>
      </c>
      <c r="K1102" s="42" t="str">
        <f>IFERROR(__xludf.DUMMYFUNCTION("""COMPUTED_VALUE"""),"-")</f>
        <v>-</v>
      </c>
      <c r="L1102" s="42" t="str">
        <f>IFERROR(__xludf.DUMMYFUNCTION("""COMPUTED_VALUE"""),"-")</f>
        <v>-</v>
      </c>
      <c r="M1102" s="42" t="str">
        <f>IFERROR(__xludf.DUMMYFUNCTION("""COMPUTED_VALUE"""),"[R]")</f>
        <v>[R]</v>
      </c>
      <c r="N1102" s="42" t="str">
        <f>IFERROR(__xludf.DUMMYFUNCTION("""COMPUTED_VALUE"""),"""Volcan the 4th and all the other Volcans... are as much my precious friends as anyone else.""")</f>
        <v>"Volcan the 4th and all the other Volcans... are as much my precious friends as anyone else."</v>
      </c>
      <c r="O1102" s="42"/>
      <c r="P1102" s="42"/>
      <c r="Q1102" s="42"/>
      <c r="R1102" s="42"/>
      <c r="S1102" s="42"/>
      <c r="T1102" s="42"/>
      <c r="U1102" s="42"/>
      <c r="V1102" s="42"/>
      <c r="W1102" s="42"/>
      <c r="X1102" s="42"/>
      <c r="Y1102" s="42"/>
      <c r="Z1102" s="42"/>
    </row>
    <row r="1103">
      <c r="A1103" s="41" t="str">
        <f>IFERROR(__xludf.DUMMYFUNCTION("""COMPUTED_VALUE"""),"PR-052")</f>
        <v>PR-052</v>
      </c>
      <c r="B1103" s="42" t="str">
        <f>IFERROR(__xludf.DUMMYFUNCTION("""COMPUTED_VALUE"""),"Mamodo")</f>
        <v>Mamodo</v>
      </c>
      <c r="C1103" s="42" t="str">
        <f>IFERROR(__xludf.DUMMYFUNCTION("""COMPUTED_VALUE"""),"Keith")</f>
        <v>Keith</v>
      </c>
      <c r="D1103" s="42" t="str">
        <f>IFERROR(__xludf.DUMMYFUNCTION("""COMPUTED_VALUE"""),"Keith")</f>
        <v>Keith</v>
      </c>
      <c r="E1103" s="42" t="str">
        <f>IFERROR(__xludf.DUMMYFUNCTION("""COMPUTED_VALUE"""),"-")</f>
        <v>-</v>
      </c>
      <c r="F1103" s="42" t="str">
        <f>IFERROR(__xludf.DUMMYFUNCTION("""COMPUTED_VALUE"""),"-")</f>
        <v>-</v>
      </c>
      <c r="G1103" s="42" t="str">
        <f>IFERROR(__xludf.DUMMYFUNCTION("""COMPUTED_VALUE"""),"None")</f>
        <v>None</v>
      </c>
      <c r="H1103" s="42" t="str">
        <f>IFERROR(__xludf.DUMMYFUNCTION("""COMPUTED_VALUE"""),"Unrelenting")</f>
        <v>Unrelenting</v>
      </c>
      <c r="I1103" s="43" t="str">
        <f>IFERROR(__xludf.DUMMYFUNCTION("""COMPUTED_VALUE"""),"[IN PLAY] When you put this MAMODO card in play during the PREPARATION PHASE of the game, apply the following effect: [STAY] Your opponent can apply the effects of their PARTNER cards (except any with [In Play]) only once per turn (per player) during this"&amp;" game.")</f>
        <v>[IN PLAY] When you put this MAMODO card in play during the PREPARATION PHASE of the game, apply the following effect: [STAY] Your opponent can apply the effects of their PARTNER cards (except any with [In Play]) only once per turn (per player) during this game.</v>
      </c>
      <c r="J1103" s="42">
        <f>IFERROR(__xludf.DUMMYFUNCTION("""COMPUTED_VALUE"""),5000.0)</f>
        <v>5000</v>
      </c>
      <c r="K1103" s="42" t="str">
        <f>IFERROR(__xludf.DUMMYFUNCTION("""COMPUTED_VALUE"""),"-")</f>
        <v>-</v>
      </c>
      <c r="L1103" s="42" t="str">
        <f>IFERROR(__xludf.DUMMYFUNCTION("""COMPUTED_VALUE"""),"-")</f>
        <v>-</v>
      </c>
      <c r="M1103" s="42" t="str">
        <f>IFERROR(__xludf.DUMMYFUNCTION("""COMPUTED_VALUE"""),"[R]")</f>
        <v>[R]</v>
      </c>
      <c r="N1103" s="42" t="str">
        <f>IFERROR(__xludf.DUMMYFUNCTION("""COMPUTED_VALUE"""),"""You lowly worms! You won't get away with this!""")</f>
        <v>"You lowly worms! You won't get away with this!"</v>
      </c>
      <c r="O1103" s="42"/>
      <c r="P1103" s="42"/>
      <c r="Q1103" s="42"/>
      <c r="R1103" s="42"/>
      <c r="S1103" s="42"/>
      <c r="T1103" s="42"/>
      <c r="U1103" s="42"/>
      <c r="V1103" s="42"/>
      <c r="W1103" s="42"/>
      <c r="X1103" s="42"/>
      <c r="Y1103" s="42"/>
      <c r="Z1103" s="42"/>
    </row>
    <row r="1104">
      <c r="A1104" s="41" t="str">
        <f>IFERROR(__xludf.DUMMYFUNCTION("""COMPUTED_VALUE"""),"PR-053")</f>
        <v>PR-053</v>
      </c>
      <c r="B1104" s="42" t="str">
        <f>IFERROR(__xludf.DUMMYFUNCTION("""COMPUTED_VALUE"""),"Event")</f>
        <v>Event</v>
      </c>
      <c r="C1104" s="42" t="str">
        <f>IFERROR(__xludf.DUMMYFUNCTION("""COMPUTED_VALUE"""),"Zatch's Summer Vacation")</f>
        <v>Zatch's Summer Vacation</v>
      </c>
      <c r="D1104" s="42" t="str">
        <f>IFERROR(__xludf.DUMMYFUNCTION("""COMPUTED_VALUE"""),"-")</f>
        <v>-</v>
      </c>
      <c r="E1104" s="42">
        <f>IFERROR(__xludf.DUMMYFUNCTION("""COMPUTED_VALUE"""),4.0)</f>
        <v>4</v>
      </c>
      <c r="F1104" s="42" t="str">
        <f>IFERROR(__xludf.DUMMYFUNCTION("""COMPUTED_VALUE"""),"A")</f>
        <v>A</v>
      </c>
      <c r="G1104" s="42" t="str">
        <f>IFERROR(__xludf.DUMMYFUNCTION("""COMPUTED_VALUE"""),"Intermediate")</f>
        <v>Intermediate</v>
      </c>
      <c r="H1104" s="42" t="str">
        <f>IFERROR(__xludf.DUMMYFUNCTION("""COMPUTED_VALUE"""),"-")</f>
        <v>-</v>
      </c>
      <c r="I1104" s="43" t="str">
        <f>IFERROR(__xludf.DUMMYFUNCTION("""COMPUTED_VALUE"""),"[STANDBY] After applying this effect, only once during this game (per player), you can play up to 2 EVENT cards for 1 turn. This effect can be applied only once per game (per player).")</f>
        <v>[STANDBY] After applying this effect, only once during this game (per player), you can play up to 2 EVENT cards for 1 turn. This effect can be applied only once per game (per player).</v>
      </c>
      <c r="J1104" s="42" t="str">
        <f>IFERROR(__xludf.DUMMYFUNCTION("""COMPUTED_VALUE"""),"-")</f>
        <v>-</v>
      </c>
      <c r="K1104" s="42" t="str">
        <f>IFERROR(__xludf.DUMMYFUNCTION("""COMPUTED_VALUE"""),"-")</f>
        <v>-</v>
      </c>
      <c r="L1104" s="42" t="str">
        <f>IFERROR(__xludf.DUMMYFUNCTION("""COMPUTED_VALUE"""),"-")</f>
        <v>-</v>
      </c>
      <c r="M1104" s="42" t="str">
        <f>IFERROR(__xludf.DUMMYFUNCTION("""COMPUTED_VALUE"""),"[R]")</f>
        <v>[R]</v>
      </c>
      <c r="N1104" s="42" t="str">
        <f>IFERROR(__xludf.DUMMYFUNCTION("""COMPUTED_VALUE"""),"""Let's make some fun memories of our summer vacation with Zatch!""")</f>
        <v>"Let's make some fun memories of our summer vacation with Zatch!"</v>
      </c>
      <c r="O1104" s="42"/>
      <c r="P1104" s="42"/>
      <c r="Q1104" s="42"/>
      <c r="R1104" s="42"/>
      <c r="S1104" s="42"/>
      <c r="T1104" s="42"/>
      <c r="U1104" s="42"/>
      <c r="V1104" s="42"/>
      <c r="W1104" s="42"/>
      <c r="X1104" s="42"/>
      <c r="Y1104" s="42"/>
      <c r="Z1104" s="42"/>
    </row>
    <row r="1105">
      <c r="A1105" s="41" t="str">
        <f>IFERROR(__xludf.DUMMYFUNCTION("""COMPUTED_VALUE"""),"PR-054")</f>
        <v>PR-054</v>
      </c>
      <c r="B1105" s="42" t="str">
        <f>IFERROR(__xludf.DUMMYFUNCTION("""COMPUTED_VALUE"""),"Event")</f>
        <v>Event</v>
      </c>
      <c r="C1105" s="42" t="str">
        <f>IFERROR(__xludf.DUMMYFUNCTION("""COMPUTED_VALUE"""),"Golden Magic")</f>
        <v>Golden Magic</v>
      </c>
      <c r="D1105" s="42" t="str">
        <f>IFERROR(__xludf.DUMMYFUNCTION("""COMPUTED_VALUE"""),"-")</f>
        <v>-</v>
      </c>
      <c r="E1105" s="42">
        <f>IFERROR(__xludf.DUMMYFUNCTION("""COMPUTED_VALUE"""),2.0)</f>
        <v>2</v>
      </c>
      <c r="F1105" s="42" t="str">
        <f>IFERROR(__xludf.DUMMYFUNCTION("""COMPUTED_VALUE"""),"AD")</f>
        <v>AD</v>
      </c>
      <c r="G1105" s="42" t="str">
        <f>IFERROR(__xludf.DUMMYFUNCTION("""COMPUTED_VALUE"""),"None")</f>
        <v>None</v>
      </c>
      <c r="H1105" s="42" t="str">
        <f>IFERROR(__xludf.DUMMYFUNCTION("""COMPUTED_VALUE"""),"-")</f>
        <v>-</v>
      </c>
      <c r="I1105" s="43" t="str">
        <f>IFERROR(__xludf.DUMMYFUNCTION("""COMPUTED_VALUE"""),"Look at your opponent's Spell Book. Select 1 Promo card (any card that has a card number beginning with ""PR"") from any of the pages and send it to the Discard Pile.")</f>
        <v>Look at your opponent's Spell Book. Select 1 Promo card (any card that has a card number beginning with "PR") from any of the pages and send it to the Discard Pile.</v>
      </c>
      <c r="J1105" s="42" t="str">
        <f>IFERROR(__xludf.DUMMYFUNCTION("""COMPUTED_VALUE"""),"-")</f>
        <v>-</v>
      </c>
      <c r="K1105" s="42" t="str">
        <f>IFERROR(__xludf.DUMMYFUNCTION("""COMPUTED_VALUE"""),"-")</f>
        <v>-</v>
      </c>
      <c r="L1105" s="42" t="str">
        <f>IFERROR(__xludf.DUMMYFUNCTION("""COMPUTED_VALUE"""),"-")</f>
        <v>-</v>
      </c>
      <c r="M1105" s="42" t="str">
        <f>IFERROR(__xludf.DUMMYFUNCTION("""COMPUTED_VALUE"""),"[R]")</f>
        <v>[R]</v>
      </c>
      <c r="N1105" s="42" t="str">
        <f>IFERROR(__xludf.DUMMYFUNCTION("""COMPUTED_VALUE"""),"Zatch goes to Faudo in order to save Li-en and the world.")</f>
        <v>Zatch goes to Faudo in order to save Li-en and the world.</v>
      </c>
      <c r="O1105" s="42"/>
      <c r="P1105" s="42"/>
      <c r="Q1105" s="42"/>
      <c r="R1105" s="42"/>
      <c r="S1105" s="42"/>
      <c r="T1105" s="42"/>
      <c r="U1105" s="42"/>
      <c r="V1105" s="42"/>
      <c r="W1105" s="42"/>
      <c r="X1105" s="42"/>
      <c r="Y1105" s="42"/>
      <c r="Z1105" s="42"/>
    </row>
    <row r="1106">
      <c r="A1106" s="41" t="str">
        <f>IFERROR(__xludf.DUMMYFUNCTION("""COMPUTED_VALUE"""),"PR-055")</f>
        <v>PR-055</v>
      </c>
      <c r="B1106" s="42" t="str">
        <f>IFERROR(__xludf.DUMMYFUNCTION("""COMPUTED_VALUE"""),"Event")</f>
        <v>Event</v>
      </c>
      <c r="C1106" s="42" t="str">
        <f>IFERROR(__xludf.DUMMYFUNCTION("""COMPUTED_VALUE"""),"The Lineage of V")</f>
        <v>The Lineage of V</v>
      </c>
      <c r="D1106" s="42" t="str">
        <f>IFERROR(__xludf.DUMMYFUNCTION("""COMPUTED_VALUE"""),"-")</f>
        <v>-</v>
      </c>
      <c r="E1106" s="42">
        <f>IFERROR(__xludf.DUMMYFUNCTION("""COMPUTED_VALUE"""),0.0)</f>
        <v>0</v>
      </c>
      <c r="F1106" s="42" t="str">
        <f>IFERROR(__xludf.DUMMYFUNCTION("""COMPUTED_VALUE"""),"A")</f>
        <v>A</v>
      </c>
      <c r="G1106" s="42" t="str">
        <f>IFERROR(__xludf.DUMMYFUNCTION("""COMPUTED_VALUE"""),"None")</f>
        <v>None</v>
      </c>
      <c r="H1106" s="42" t="str">
        <f>IFERROR(__xludf.DUMMYFUNCTION("""COMPUTED_VALUE"""),"-")</f>
        <v>-</v>
      </c>
      <c r="I1106" s="43" t="str">
        <f>IFERROR(__xludf.DUMMYFUNCTION("""COMPUTED_VALUE"""),"[STAY] Increase the Damage of all Attacks declared by your in-play MAMODO cards that have their Power increased by the effects of EVENT cards containing ""Volcan"" in their card names by 1 during this game (this effect cannot be duplicated).")</f>
        <v>[STAY] Increase the Damage of all Attacks declared by your in-play MAMODO cards that have their Power increased by the effects of EVENT cards containing "Volcan" in their card names by 1 during this game (this effect cannot be duplicated).</v>
      </c>
      <c r="J1106" s="42" t="str">
        <f>IFERROR(__xludf.DUMMYFUNCTION("""COMPUTED_VALUE"""),"-")</f>
        <v>-</v>
      </c>
      <c r="K1106" s="42" t="str">
        <f>IFERROR(__xludf.DUMMYFUNCTION("""COMPUTED_VALUE"""),"-")</f>
        <v>-</v>
      </c>
      <c r="L1106" s="42" t="str">
        <f>IFERROR(__xludf.DUMMYFUNCTION("""COMPUTED_VALUE"""),"-")</f>
        <v>-</v>
      </c>
      <c r="M1106" s="42" t="str">
        <f>IFERROR(__xludf.DUMMYFUNCTION("""COMPUTED_VALUE"""),"[R]")</f>
        <v>[R]</v>
      </c>
      <c r="N1106" s="42" t="str">
        <f>IFERROR(__xludf.DUMMYFUNCTION("""COMPUTED_VALUE"""),"The first, second, and third generations of Volcan, as well as Volunlun, were all created by Kiyo.")</f>
        <v>The first, second, and third generations of Volcan, as well as Volunlun, were all created by Kiyo.</v>
      </c>
      <c r="O1106" s="42"/>
      <c r="P1106" s="42"/>
      <c r="Q1106" s="42"/>
      <c r="R1106" s="42"/>
      <c r="S1106" s="42"/>
      <c r="T1106" s="42"/>
      <c r="U1106" s="42"/>
      <c r="V1106" s="42"/>
      <c r="W1106" s="42"/>
      <c r="X1106" s="42"/>
      <c r="Y1106" s="42"/>
      <c r="Z1106" s="42"/>
    </row>
    <row r="1107">
      <c r="A1107" s="41" t="str">
        <f>IFERROR(__xludf.DUMMYFUNCTION("""COMPUTED_VALUE"""),"PR-056")</f>
        <v>PR-056</v>
      </c>
      <c r="B1107" s="42" t="str">
        <f>IFERROR(__xludf.DUMMYFUNCTION("""COMPUTED_VALUE"""),"Mamodo")</f>
        <v>Mamodo</v>
      </c>
      <c r="C1107" s="42" t="str">
        <f>IFERROR(__xludf.DUMMYFUNCTION("""COMPUTED_VALUE"""),"Zatch Bell")</f>
        <v>Zatch Bell</v>
      </c>
      <c r="D1107" s="42" t="str">
        <f>IFERROR(__xludf.DUMMYFUNCTION("""COMPUTED_VALUE"""),"Zatch Bell")</f>
        <v>Zatch Bell</v>
      </c>
      <c r="E1107" s="42" t="str">
        <f>IFERROR(__xludf.DUMMYFUNCTION("""COMPUTED_VALUE"""),"-")</f>
        <v>-</v>
      </c>
      <c r="F1107" s="42" t="str">
        <f>IFERROR(__xludf.DUMMYFUNCTION("""COMPUTED_VALUE"""),"-")</f>
        <v>-</v>
      </c>
      <c r="G1107" s="42" t="str">
        <f>IFERROR(__xludf.DUMMYFUNCTION("""COMPUTED_VALUE"""),"None")</f>
        <v>None</v>
      </c>
      <c r="H1107" s="42" t="str">
        <f>IFERROR(__xludf.DUMMYFUNCTION("""COMPUTED_VALUE"""),"A New Battle")</f>
        <v>A New Battle</v>
      </c>
      <c r="I1107" s="43" t="str">
        <f>IFERROR(__xludf.DUMMYFUNCTION("""COMPUTED_VALUE"""),"(Battle) (Cut-In) [1 MP] Negate the card effect your opponent just applied (except SPELL card effects) during a Battle that would negate your Attack or Defense.")</f>
        <v>(Battle) (Cut-In) [1 MP] Negate the card effect your opponent just applied (except SPELL card effects) during a Battle that would negate your Attack or Defense.</v>
      </c>
      <c r="J1107" s="42">
        <f>IFERROR(__xludf.DUMMYFUNCTION("""COMPUTED_VALUE"""),5000.0)</f>
        <v>5000</v>
      </c>
      <c r="K1107" s="42" t="str">
        <f>IFERROR(__xludf.DUMMYFUNCTION("""COMPUTED_VALUE"""),"-")</f>
        <v>-</v>
      </c>
      <c r="L1107" s="42" t="str">
        <f>IFERROR(__xludf.DUMMYFUNCTION("""COMPUTED_VALUE"""),"-")</f>
        <v>-</v>
      </c>
      <c r="M1107" s="42" t="str">
        <f>IFERROR(__xludf.DUMMYFUNCTION("""COMPUTED_VALUE"""),"[R]")</f>
        <v>[R]</v>
      </c>
      <c r="N1107" s="42" t="str">
        <f>IFERROR(__xludf.DUMMYFUNCTION("""COMPUTED_VALUE"""),"""It's gonna be so much fun to battle with these new and improved rules!""")</f>
        <v>"It's gonna be so much fun to battle with these new and improved rules!"</v>
      </c>
      <c r="O1107" s="42"/>
      <c r="P1107" s="42"/>
      <c r="Q1107" s="42"/>
      <c r="R1107" s="42"/>
      <c r="S1107" s="42"/>
      <c r="T1107" s="42"/>
      <c r="U1107" s="42"/>
      <c r="V1107" s="42"/>
      <c r="W1107" s="42"/>
      <c r="X1107" s="42"/>
      <c r="Y1107" s="42"/>
      <c r="Z1107" s="42"/>
    </row>
    <row r="1108">
      <c r="A1108" s="41" t="str">
        <f>IFERROR(__xludf.DUMMYFUNCTION("""COMPUTED_VALUE"""),"PR-057")</f>
        <v>PR-057</v>
      </c>
      <c r="B1108" s="42" t="str">
        <f>IFERROR(__xludf.DUMMYFUNCTION("""COMPUTED_VALUE"""),"Event")</f>
        <v>Event</v>
      </c>
      <c r="C1108" s="42" t="str">
        <f>IFERROR(__xludf.DUMMYFUNCTION("""COMPUTED_VALUE"""),"Go! Go! Mamodo Fight!")</f>
        <v>Go! Go! Mamodo Fight!</v>
      </c>
      <c r="D1108" s="42" t="str">
        <f>IFERROR(__xludf.DUMMYFUNCTION("""COMPUTED_VALUE"""),"-")</f>
        <v>-</v>
      </c>
      <c r="E1108" s="42">
        <f>IFERROR(__xludf.DUMMYFUNCTION("""COMPUTED_VALUE"""),1.0)</f>
        <v>1</v>
      </c>
      <c r="F1108" s="42" t="str">
        <f>IFERROR(__xludf.DUMMYFUNCTION("""COMPUTED_VALUE"""),"A")</f>
        <v>A</v>
      </c>
      <c r="G1108" s="42" t="str">
        <f>IFERROR(__xludf.DUMMYFUNCTION("""COMPUTED_VALUE"""),"None")</f>
        <v>None</v>
      </c>
      <c r="H1108" s="42" t="str">
        <f>IFERROR(__xludf.DUMMYFUNCTION("""COMPUTED_VALUE"""),"-")</f>
        <v>-</v>
      </c>
      <c r="I1108" s="43" t="str">
        <f>IFERROR(__xludf.DUMMYFUNCTION("""COMPUTED_VALUE"""),"This EVENT card can be played only when MAMODO cards are the only cards you have in play. [STANDBY] Select 1 SPELL card from the previous page of your Spell Book. The selected SPELL card can be played with a 0 MP cost only once during this turn. This effe"&amp;"ct can be applied only once per game (per player).")</f>
        <v>This EVENT card can be played only when MAMODO cards are the only cards you have in play. [STANDBY] Select 1 SPELL card from the previous page of your Spell Book. The selected SPELL card can be played with a 0 MP cost only once during this turn. This effect can be applied only once per game (per player).</v>
      </c>
      <c r="J1108" s="42" t="str">
        <f>IFERROR(__xludf.DUMMYFUNCTION("""COMPUTED_VALUE"""),"-")</f>
        <v>-</v>
      </c>
      <c r="K1108" s="42" t="str">
        <f>IFERROR(__xludf.DUMMYFUNCTION("""COMPUTED_VALUE"""),"-")</f>
        <v>-</v>
      </c>
      <c r="L1108" s="42" t="str">
        <f>IFERROR(__xludf.DUMMYFUNCTION("""COMPUTED_VALUE"""),"-")</f>
        <v>-</v>
      </c>
      <c r="M1108" s="42" t="str">
        <f>IFERROR(__xludf.DUMMYFUNCTION("""COMPUTED_VALUE"""),"[R]")</f>
        <v>[R]</v>
      </c>
      <c r="N1108" s="42" t="str">
        <f>IFERROR(__xludf.DUMMYFUNCTION("""COMPUTED_VALUE"""),"-")</f>
        <v>-</v>
      </c>
      <c r="O1108" s="42"/>
      <c r="P1108" s="42"/>
      <c r="Q1108" s="42"/>
      <c r="R1108" s="42"/>
      <c r="S1108" s="42"/>
      <c r="T1108" s="42"/>
      <c r="U1108" s="42"/>
      <c r="V1108" s="42"/>
      <c r="W1108" s="42"/>
      <c r="X1108" s="42"/>
      <c r="Y1108" s="42"/>
      <c r="Z1108" s="42"/>
    </row>
    <row r="1109">
      <c r="A1109" s="41" t="str">
        <f>IFERROR(__xludf.DUMMYFUNCTION("""COMPUTED_VALUE"""),"PR-058")</f>
        <v>PR-058</v>
      </c>
      <c r="B1109" s="42" t="str">
        <f>IFERROR(__xludf.DUMMYFUNCTION("""COMPUTED_VALUE"""),"Mamodo")</f>
        <v>Mamodo</v>
      </c>
      <c r="C1109" s="42" t="str">
        <f>IFERROR(__xludf.DUMMYFUNCTION("""COMPUTED_VALUE"""),"Zatch Bell")</f>
        <v>Zatch Bell</v>
      </c>
      <c r="D1109" s="42" t="str">
        <f>IFERROR(__xludf.DUMMYFUNCTION("""COMPUTED_VALUE"""),"Zatch Bell")</f>
        <v>Zatch Bell</v>
      </c>
      <c r="E1109" s="42" t="str">
        <f>IFERROR(__xludf.DUMMYFUNCTION("""COMPUTED_VALUE"""),"-")</f>
        <v>-</v>
      </c>
      <c r="F1109" s="42" t="str">
        <f>IFERROR(__xludf.DUMMYFUNCTION("""COMPUTED_VALUE"""),"-")</f>
        <v>-</v>
      </c>
      <c r="G1109" s="42" t="str">
        <f>IFERROR(__xludf.DUMMYFUNCTION("""COMPUTED_VALUE"""),"None")</f>
        <v>None</v>
      </c>
      <c r="H1109" s="42" t="str">
        <f>IFERROR(__xludf.DUMMYFUNCTION("""COMPUTED_VALUE"""),"No Holding Back")</f>
        <v>No Holding Back</v>
      </c>
      <c r="I1109" s="43" t="str">
        <f>IFERROR(__xludf.DUMMYFUNCTION("""COMPUTED_VALUE"""),"(Battle) [1 MP] [STANDBY] Increase the Total Power of this MAMODO card by 2000 when it Attacks or Defends (this effect can be duplicated). This effect can be applied as many times as you desire per turn.")</f>
        <v>(Battle) [1 MP] [STANDBY] Increase the Total Power of this MAMODO card by 2000 when it Attacks or Defends (this effect can be duplicated). This effect can be applied as many times as you desire per turn.</v>
      </c>
      <c r="J1109" s="42">
        <f>IFERROR(__xludf.DUMMYFUNCTION("""COMPUTED_VALUE"""),4000.0)</f>
        <v>4000</v>
      </c>
      <c r="K1109" s="42" t="str">
        <f>IFERROR(__xludf.DUMMYFUNCTION("""COMPUTED_VALUE"""),"-")</f>
        <v>-</v>
      </c>
      <c r="L1109" s="42" t="str">
        <f>IFERROR(__xludf.DUMMYFUNCTION("""COMPUTED_VALUE"""),"-")</f>
        <v>-</v>
      </c>
      <c r="M1109" s="42" t="str">
        <f>IFERROR(__xludf.DUMMYFUNCTION("""COMPUTED_VALUE"""),"[R]")</f>
        <v>[R]</v>
      </c>
      <c r="N1109" s="42" t="str">
        <f>IFERROR(__xludf.DUMMYFUNCTION("""COMPUTED_VALUE"""),"""Use every ounce of power you have!""")</f>
        <v>"Use every ounce of power you have!"</v>
      </c>
      <c r="O1109" s="42"/>
      <c r="P1109" s="42"/>
      <c r="Q1109" s="42"/>
      <c r="R1109" s="42"/>
      <c r="S1109" s="42"/>
      <c r="T1109" s="42"/>
      <c r="U1109" s="42"/>
      <c r="V1109" s="42"/>
      <c r="W1109" s="42"/>
      <c r="X1109" s="42"/>
      <c r="Y1109" s="42"/>
      <c r="Z1109" s="42"/>
    </row>
    <row r="1110">
      <c r="A1110" s="41" t="str">
        <f>IFERROR(__xludf.DUMMYFUNCTION("""COMPUTED_VALUE"""),"PR-059")</f>
        <v>PR-059</v>
      </c>
      <c r="B1110" s="42" t="str">
        <f>IFERROR(__xludf.DUMMYFUNCTION("""COMPUTED_VALUE"""),"S Mamodo")</f>
        <v>S Mamodo</v>
      </c>
      <c r="C1110" s="42" t="str">
        <f>IFERROR(__xludf.DUMMYFUNCTION("""COMPUTED_VALUE"""),"Zeno")</f>
        <v>Zeno</v>
      </c>
      <c r="D1110" s="42" t="str">
        <f>IFERROR(__xludf.DUMMYFUNCTION("""COMPUTED_VALUE"""),"Zeno")</f>
        <v>Zeno</v>
      </c>
      <c r="E1110" s="42" t="str">
        <f>IFERROR(__xludf.DUMMYFUNCTION("""COMPUTED_VALUE"""),"-")</f>
        <v>-</v>
      </c>
      <c r="F1110" s="42" t="str">
        <f>IFERROR(__xludf.DUMMYFUNCTION("""COMPUTED_VALUE"""),"-")</f>
        <v>-</v>
      </c>
      <c r="G1110" s="42" t="str">
        <f>IFERROR(__xludf.DUMMYFUNCTION("""COMPUTED_VALUE"""),"Intermediate")</f>
        <v>Intermediate</v>
      </c>
      <c r="H1110" s="42" t="str">
        <f>IFERROR(__xludf.DUMMYFUNCTION("""COMPUTED_VALUE"""),"Overwhelming Power")</f>
        <v>Overwhelming Power</v>
      </c>
      <c r="I1110" s="43" t="str">
        <f>IFERROR(__xludf.DUMMYFUNCTION("""COMPUTED_VALUE"""),"This card is placed on a regular Zeno MAMODO card. [IN PLAY] Increase the Damage of SPELL cards played for this MAMODO card by 1.")</f>
        <v>This card is placed on a regular Zeno MAMODO card. [IN PLAY] Increase the Damage of SPELL cards played for this MAMODO card by 1.</v>
      </c>
      <c r="J1110" s="42">
        <f>IFERROR(__xludf.DUMMYFUNCTION("""COMPUTED_VALUE"""),7000.0)</f>
        <v>7000</v>
      </c>
      <c r="K1110" s="42" t="str">
        <f>IFERROR(__xludf.DUMMYFUNCTION("""COMPUTED_VALUE"""),"-")</f>
        <v>-</v>
      </c>
      <c r="L1110" s="42" t="str">
        <f>IFERROR(__xludf.DUMMYFUNCTION("""COMPUTED_VALUE"""),"-")</f>
        <v>-</v>
      </c>
      <c r="M1110" s="42" t="str">
        <f>IFERROR(__xludf.DUMMYFUNCTION("""COMPUTED_VALUE"""),"[R]")</f>
        <v>[R]</v>
      </c>
      <c r="N1110" s="42" t="str">
        <f>IFERROR(__xludf.DUMMYFUNCTION("""COMPUTED_VALUE"""),"""When you say powerful... do you mean something like this?!""")</f>
        <v>"When you say powerful... do you mean something like this?!"</v>
      </c>
      <c r="O1110" s="42"/>
      <c r="P1110" s="42"/>
      <c r="Q1110" s="42"/>
      <c r="R1110" s="42"/>
      <c r="S1110" s="42"/>
      <c r="T1110" s="42"/>
      <c r="U1110" s="42"/>
      <c r="V1110" s="42"/>
      <c r="W1110" s="42"/>
      <c r="X1110" s="42"/>
      <c r="Y1110" s="42"/>
      <c r="Z1110" s="42"/>
    </row>
    <row r="1111">
      <c r="A1111" s="41" t="str">
        <f>IFERROR(__xludf.DUMMYFUNCTION("""COMPUTED_VALUE"""),"PR-060")</f>
        <v>PR-060</v>
      </c>
      <c r="B1111" s="42" t="str">
        <f>IFERROR(__xludf.DUMMYFUNCTION("""COMPUTED_VALUE"""),"Mamodo")</f>
        <v>Mamodo</v>
      </c>
      <c r="C1111" s="42" t="str">
        <f>IFERROR(__xludf.DUMMYFUNCTION("""COMPUTED_VALUE"""),"Zeno")</f>
        <v>Zeno</v>
      </c>
      <c r="D1111" s="42" t="str">
        <f>IFERROR(__xludf.DUMMYFUNCTION("""COMPUTED_VALUE"""),"Zeno")</f>
        <v>Zeno</v>
      </c>
      <c r="E1111" s="42" t="str">
        <f>IFERROR(__xludf.DUMMYFUNCTION("""COMPUTED_VALUE"""),"-")</f>
        <v>-</v>
      </c>
      <c r="F1111" s="42" t="str">
        <f>IFERROR(__xludf.DUMMYFUNCTION("""COMPUTED_VALUE"""),"-")</f>
        <v>-</v>
      </c>
      <c r="G1111" s="42" t="str">
        <f>IFERROR(__xludf.DUMMYFUNCTION("""COMPUTED_VALUE"""),"None")</f>
        <v>None</v>
      </c>
      <c r="H1111" s="42" t="str">
        <f>IFERROR(__xludf.DUMMYFUNCTION("""COMPUTED_VALUE"""),"Judgment")</f>
        <v>Judgment</v>
      </c>
      <c r="I1111" s="43" t="str">
        <f>IFERROR(__xludf.DUMMYFUNCTION("""COMPUTED_VALUE"""),"[DECLARE TO USE] Select 1 MAMODO card that your opponent Attacked with during this turn. [STANDBY] Send the selected MAMODO card to the Discard Pile at the END PHASE of this turn. This effect can be applied only once per game (per player).")</f>
        <v>[DECLARE TO USE] Select 1 MAMODO card that your opponent Attacked with during this turn. [STANDBY] Send the selected MAMODO card to the Discard Pile at the END PHASE of this turn. This effect can be applied only once per game (per player).</v>
      </c>
      <c r="J1111" s="42">
        <f>IFERROR(__xludf.DUMMYFUNCTION("""COMPUTED_VALUE"""),6000.0)</f>
        <v>6000</v>
      </c>
      <c r="K1111" s="42" t="str">
        <f>IFERROR(__xludf.DUMMYFUNCTION("""COMPUTED_VALUE"""),"-")</f>
        <v>-</v>
      </c>
      <c r="L1111" s="42" t="str">
        <f>IFERROR(__xludf.DUMMYFUNCTION("""COMPUTED_VALUE"""),"-")</f>
        <v>-</v>
      </c>
      <c r="M1111" s="42" t="str">
        <f>IFERROR(__xludf.DUMMYFUNCTION("""COMPUTED_VALUE"""),"[R]")</f>
        <v>[R]</v>
      </c>
      <c r="N1111" s="42" t="str">
        <f>IFERROR(__xludf.DUMMYFUNCTION("""COMPUTED_VALUE"""),"""Hah... You're such a fool, it's hilarious... Riou... what makes you think you'll last 30 seconds?""")</f>
        <v>"Hah... You're such a fool, it's hilarious... Riou... what makes you think you'll last 30 seconds?"</v>
      </c>
      <c r="O1111" s="42"/>
      <c r="P1111" s="42"/>
      <c r="Q1111" s="42"/>
      <c r="R1111" s="42"/>
      <c r="S1111" s="42"/>
      <c r="T1111" s="42"/>
      <c r="U1111" s="42"/>
      <c r="V1111" s="42"/>
      <c r="W1111" s="42"/>
      <c r="X1111" s="42"/>
      <c r="Y1111" s="42"/>
      <c r="Z1111" s="42"/>
    </row>
    <row r="1112">
      <c r="A1112" s="41" t="str">
        <f>IFERROR(__xludf.DUMMYFUNCTION("""COMPUTED_VALUE"""),"PR-061")</f>
        <v>PR-061</v>
      </c>
      <c r="B1112" s="42" t="str">
        <f>IFERROR(__xludf.DUMMYFUNCTION("""COMPUTED_VALUE"""),"Partner")</f>
        <v>Partner</v>
      </c>
      <c r="C1112" s="42" t="str">
        <f>IFERROR(__xludf.DUMMYFUNCTION("""COMPUTED_VALUE"""),"Dufort")</f>
        <v>Dufort</v>
      </c>
      <c r="D1112" s="42" t="str">
        <f>IFERROR(__xludf.DUMMYFUNCTION("""COMPUTED_VALUE"""),"Zeno")</f>
        <v>Zeno</v>
      </c>
      <c r="E1112" s="42" t="str">
        <f>IFERROR(__xludf.DUMMYFUNCTION("""COMPUTED_VALUE"""),"-")</f>
        <v>-</v>
      </c>
      <c r="F1112" s="42" t="str">
        <f>IFERROR(__xludf.DUMMYFUNCTION("""COMPUTED_VALUE"""),"-")</f>
        <v>-</v>
      </c>
      <c r="G1112" s="42" t="str">
        <f>IFERROR(__xludf.DUMMYFUNCTION("""COMPUTED_VALUE"""),"None")</f>
        <v>None</v>
      </c>
      <c r="H1112" s="42" t="str">
        <f>IFERROR(__xludf.DUMMYFUNCTION("""COMPUTED_VALUE"""),"Spectator")</f>
        <v>Spectator</v>
      </c>
      <c r="I1112" s="43" t="str">
        <f>IFERROR(__xludf.DUMMYFUNCTION("""COMPUTED_VALUE"""),"(Battle) (Cut-In) [SEND THIS CARD TO THE DISCARD PILE] Negate the card effect your opponent just applied during the Battle (except SPELL card effects).")</f>
        <v>(Battle) (Cut-In) [SEND THIS CARD TO THE DISCARD PILE] Negate the card effect your opponent just applied during the Battle (except SPELL card effects).</v>
      </c>
      <c r="J1112" s="42" t="str">
        <f>IFERROR(__xludf.DUMMYFUNCTION("""COMPUTED_VALUE"""),"-")</f>
        <v>-</v>
      </c>
      <c r="K1112" s="42" t="str">
        <f>IFERROR(__xludf.DUMMYFUNCTION("""COMPUTED_VALUE"""),"-")</f>
        <v>-</v>
      </c>
      <c r="L1112" s="42" t="str">
        <f>IFERROR(__xludf.DUMMYFUNCTION("""COMPUTED_VALUE"""),"-")</f>
        <v>-</v>
      </c>
      <c r="M1112" s="42" t="str">
        <f>IFERROR(__xludf.DUMMYFUNCTION("""COMPUTED_VALUE"""),"[R]")</f>
        <v>[R]</v>
      </c>
      <c r="N1112" s="42" t="str">
        <f>IFERROR(__xludf.DUMMYFUNCTION("""COMPUTED_VALUE"""),"""You're in such a good mood, Zeno. I haven't seen you really enjoy a battle in a while...""")</f>
        <v>"You're in such a good mood, Zeno. I haven't seen you really enjoy a battle in a while..."</v>
      </c>
      <c r="O1112" s="42"/>
      <c r="P1112" s="42"/>
      <c r="Q1112" s="42"/>
      <c r="R1112" s="42"/>
      <c r="S1112" s="42"/>
      <c r="T1112" s="42"/>
      <c r="U1112" s="42"/>
      <c r="V1112" s="42"/>
      <c r="W1112" s="42"/>
      <c r="X1112" s="42"/>
      <c r="Y1112" s="42"/>
      <c r="Z1112" s="42"/>
    </row>
    <row r="1113">
      <c r="A1113" s="42" t="str">
        <f>IFERROR(__xludf.DUMMYFUNCTION("""COMPUTED_VALUE"""),"PR-062")</f>
        <v>PR-062</v>
      </c>
      <c r="B1113" s="42" t="str">
        <f>IFERROR(__xludf.DUMMYFUNCTION("""COMPUTED_VALUE"""),"Spell")</f>
        <v>Spell</v>
      </c>
      <c r="C1113" s="42" t="str">
        <f>IFERROR(__xludf.DUMMYFUNCTION("""COMPUTED_VALUE"""),"Jauro Zakeruga")</f>
        <v>Jauro Zakeruga</v>
      </c>
      <c r="D1113" s="42" t="str">
        <f>IFERROR(__xludf.DUMMYFUNCTION("""COMPUTED_VALUE"""),"Zeno")</f>
        <v>Zeno</v>
      </c>
      <c r="E1113" s="42">
        <f>IFERROR(__xludf.DUMMYFUNCTION("""COMPUTED_VALUE"""),3.0)</f>
        <v>3</v>
      </c>
      <c r="F1113" s="42" t="str">
        <f>IFERROR(__xludf.DUMMYFUNCTION("""COMPUTED_VALUE"""),"AD")</f>
        <v>AD</v>
      </c>
      <c r="G1113" s="42" t="str">
        <f>IFERROR(__xludf.DUMMYFUNCTION("""COMPUTED_VALUE"""),"None")</f>
        <v>None</v>
      </c>
      <c r="H1113" s="42" t="str">
        <f>IFERROR(__xludf.DUMMYFUNCTION("""COMPUTED_VALUE"""),"Thunder")</f>
        <v>Thunder</v>
      </c>
      <c r="I1113" s="43" t="str">
        <f>IFERROR(__xludf.DUMMYFUNCTION("""COMPUTED_VALUE"""),"[COUNTER] Damage your opponent's Spell Book when you win the Battle as an Attacker or as a Defender.")</f>
        <v>[COUNTER] Damage your opponent's Spell Book when you win the Battle as an Attacker or as a Defender.</v>
      </c>
      <c r="J1113" s="42" t="str">
        <f>IFERROR(__xludf.DUMMYFUNCTION("""COMPUTED_VALUE"""),"+3000")</f>
        <v>+3000</v>
      </c>
      <c r="K1113" s="42">
        <f>IFERROR(__xludf.DUMMYFUNCTION("""COMPUTED_VALUE"""),2.0)</f>
        <v>2</v>
      </c>
      <c r="L1113" s="42" t="str">
        <f>IFERROR(__xludf.DUMMYFUNCTION("""COMPUTED_VALUE"""),"-")</f>
        <v>-</v>
      </c>
      <c r="M1113" s="42" t="str">
        <f>IFERROR(__xludf.DUMMYFUNCTION("""COMPUTED_VALUE"""),"[R]")</f>
        <v>[R]</v>
      </c>
      <c r="N1113" s="42" t="str">
        <f>IFERROR(__xludf.DUMMYFUNCTION("""COMPUTED_VALUE"""),"Zeno's 4th spell. Riou's strongest spell, Fanon Riou Diou, was stopped by one shot of Jauro Zakeruga.")</f>
        <v>Zeno's 4th spell. Riou's strongest spell, Fanon Riou Diou, was stopped by one shot of Jauro Zakeruga.</v>
      </c>
      <c r="O1113" s="42"/>
      <c r="P1113" s="42"/>
      <c r="Q1113" s="42"/>
      <c r="R1113" s="42"/>
      <c r="S1113" s="42"/>
      <c r="T1113" s="42"/>
      <c r="U1113" s="42"/>
      <c r="V1113" s="42"/>
      <c r="W1113" s="42"/>
      <c r="X1113" s="42"/>
      <c r="Y1113" s="42"/>
      <c r="Z1113" s="42"/>
    </row>
    <row r="1114">
      <c r="A1114" s="42" t="str">
        <f>IFERROR(__xludf.DUMMYFUNCTION("""COMPUTED_VALUE"""),"PR-063")</f>
        <v>PR-063</v>
      </c>
      <c r="B1114" s="42" t="str">
        <f>IFERROR(__xludf.DUMMYFUNCTION("""COMPUTED_VALUE"""),"Event")</f>
        <v>Event</v>
      </c>
      <c r="C1114" s="42" t="str">
        <f>IFERROR(__xludf.DUMMYFUNCTION("""COMPUTED_VALUE"""),"An Inevitable Battle!")</f>
        <v>An Inevitable Battle!</v>
      </c>
      <c r="D1114" s="42" t="str">
        <f>IFERROR(__xludf.DUMMYFUNCTION("""COMPUTED_VALUE"""),"-")</f>
        <v>-</v>
      </c>
      <c r="E1114" s="42">
        <f>IFERROR(__xludf.DUMMYFUNCTION("""COMPUTED_VALUE"""),1.0)</f>
        <v>1</v>
      </c>
      <c r="F1114" s="42" t="str">
        <f>IFERROR(__xludf.DUMMYFUNCTION("""COMPUTED_VALUE"""),"A")</f>
        <v>A</v>
      </c>
      <c r="G1114" s="42" t="str">
        <f>IFERROR(__xludf.DUMMYFUNCTION("""COMPUTED_VALUE"""),"None")</f>
        <v>None</v>
      </c>
      <c r="H1114" s="42" t="str">
        <f>IFERROR(__xludf.DUMMYFUNCTION("""COMPUTED_VALUE"""),"-")</f>
        <v>-</v>
      </c>
      <c r="I1114" s="43" t="str">
        <f>IFERROR(__xludf.DUMMYFUNCTION("""COMPUTED_VALUE"""),"[STAY] You can Attack even when prohibited to do so by your opponent's card effects during this game.")</f>
        <v>[STAY] You can Attack even when prohibited to do so by your opponent's card effects during this game.</v>
      </c>
      <c r="J1114" s="42" t="str">
        <f>IFERROR(__xludf.DUMMYFUNCTION("""COMPUTED_VALUE"""),"-")</f>
        <v>-</v>
      </c>
      <c r="K1114" s="42" t="str">
        <f>IFERROR(__xludf.DUMMYFUNCTION("""COMPUTED_VALUE"""),"-")</f>
        <v>-</v>
      </c>
      <c r="L1114" s="42" t="str">
        <f>IFERROR(__xludf.DUMMYFUNCTION("""COMPUTED_VALUE"""),"-")</f>
        <v>-</v>
      </c>
      <c r="M1114" s="42" t="str">
        <f>IFERROR(__xludf.DUMMYFUNCTION("""COMPUTED_VALUE"""),"[R]")</f>
        <v>[R]</v>
      </c>
      <c r="N1114" s="42" t="str">
        <f>IFERROR(__xludf.DUMMYFUNCTION("""COMPUTED_VALUE"""),"""Zeno VS Zatch, fateful nemeses locked in a destined battle!""")</f>
        <v>"Zeno VS Zatch, fateful nemeses locked in a destined battle!"</v>
      </c>
      <c r="O1114" s="42"/>
      <c r="P1114" s="42"/>
      <c r="Q1114" s="42"/>
      <c r="R1114" s="42"/>
      <c r="S1114" s="42"/>
      <c r="T1114" s="42"/>
      <c r="U1114" s="42"/>
      <c r="V1114" s="42"/>
      <c r="W1114" s="42"/>
      <c r="X1114" s="42"/>
      <c r="Y1114" s="42"/>
      <c r="Z1114" s="42"/>
    </row>
    <row r="1115">
      <c r="A1115" s="42" t="str">
        <f>IFERROR(__xludf.DUMMYFUNCTION("""COMPUTED_VALUE"""),"PR-064")</f>
        <v>PR-064</v>
      </c>
      <c r="B1115" s="42" t="str">
        <f>IFERROR(__xludf.DUMMYFUNCTION("""COMPUTED_VALUE"""),"Event")</f>
        <v>Event</v>
      </c>
      <c r="C1115" s="42" t="str">
        <f>IFERROR(__xludf.DUMMYFUNCTION("""COMPUTED_VALUE"""),"Congratulations!")</f>
        <v>Congratulations!</v>
      </c>
      <c r="D1115" s="42" t="str">
        <f>IFERROR(__xludf.DUMMYFUNCTION("""COMPUTED_VALUE"""),"-")</f>
        <v>-</v>
      </c>
      <c r="E1115" s="42">
        <f>IFERROR(__xludf.DUMMYFUNCTION("""COMPUTED_VALUE"""),0.0)</f>
        <v>0</v>
      </c>
      <c r="F1115" s="42" t="str">
        <f>IFERROR(__xludf.DUMMYFUNCTION("""COMPUTED_VALUE"""),"A")</f>
        <v>A</v>
      </c>
      <c r="G1115" s="42" t="str">
        <f>IFERROR(__xludf.DUMMYFUNCTION("""COMPUTED_VALUE"""),"Intermediate")</f>
        <v>Intermediate</v>
      </c>
      <c r="H1115" s="42" t="str">
        <f>IFERROR(__xludf.DUMMYFUNCTION("""COMPUTED_VALUE"""),"-")</f>
        <v>-</v>
      </c>
      <c r="I1115" s="43" t="str">
        <f>IFERROR(__xludf.DUMMYFUNCTION("""COMPUTED_VALUE"""),"This card can be played only if you inflicted Damage or Injury during this turn. Get 4 MP.")</f>
        <v>This card can be played only if you inflicted Damage or Injury during this turn. Get 4 MP.</v>
      </c>
      <c r="J1115" s="42" t="str">
        <f>IFERROR(__xludf.DUMMYFUNCTION("""COMPUTED_VALUE"""),"-")</f>
        <v>-</v>
      </c>
      <c r="K1115" s="42" t="str">
        <f>IFERROR(__xludf.DUMMYFUNCTION("""COMPUTED_VALUE"""),"-")</f>
        <v>-</v>
      </c>
      <c r="L1115" s="42" t="str">
        <f>IFERROR(__xludf.DUMMYFUNCTION("""COMPUTED_VALUE"""),"-")</f>
        <v>-</v>
      </c>
      <c r="M1115" s="42" t="str">
        <f>IFERROR(__xludf.DUMMYFUNCTION("""COMPUTED_VALUE"""),"[R]")</f>
        <v>[R]</v>
      </c>
      <c r="N1115" s="42" t="str">
        <f>IFERROR(__xludf.DUMMYFUNCTION("""COMPUTED_VALUE"""),"Congratulations on entering the tournament and winning the battle!")</f>
        <v>Congratulations on entering the tournament and winning the battle!</v>
      </c>
      <c r="O1115" s="42"/>
      <c r="P1115" s="42"/>
      <c r="Q1115" s="42"/>
      <c r="R1115" s="42"/>
      <c r="S1115" s="42"/>
      <c r="T1115" s="42"/>
      <c r="U1115" s="42"/>
      <c r="V1115" s="42"/>
      <c r="W1115" s="42"/>
      <c r="X1115" s="42"/>
      <c r="Y1115" s="42"/>
      <c r="Z1115" s="42"/>
    </row>
    <row r="1116">
      <c r="A1116" s="42" t="str">
        <f>IFERROR(__xludf.DUMMYFUNCTION("""COMPUTED_VALUE"""),"PR-065")</f>
        <v>PR-065</v>
      </c>
      <c r="B1116" s="42" t="str">
        <f>IFERROR(__xludf.DUMMYFUNCTION("""COMPUTED_VALUE"""),"Event")</f>
        <v>Event</v>
      </c>
      <c r="C1116" s="42" t="str">
        <f>IFERROR(__xludf.DUMMYFUNCTION("""COMPUTED_VALUE"""),"Battle Royale")</f>
        <v>Battle Royale</v>
      </c>
      <c r="D1116" s="42" t="str">
        <f>IFERROR(__xludf.DUMMYFUNCTION("""COMPUTED_VALUE"""),"-")</f>
        <v>-</v>
      </c>
      <c r="E1116" s="42">
        <f>IFERROR(__xludf.DUMMYFUNCTION("""COMPUTED_VALUE"""),1.0)</f>
        <v>1</v>
      </c>
      <c r="F1116" s="42" t="str">
        <f>IFERROR(__xludf.DUMMYFUNCTION("""COMPUTED_VALUE"""),"A")</f>
        <v>A</v>
      </c>
      <c r="G1116" s="42" t="str">
        <f>IFERROR(__xludf.DUMMYFUNCTION("""COMPUTED_VALUE"""),"Intermediate")</f>
        <v>Intermediate</v>
      </c>
      <c r="H1116" s="42" t="str">
        <f>IFERROR(__xludf.DUMMYFUNCTION("""COMPUTED_VALUE"""),"-")</f>
        <v>-</v>
      </c>
      <c r="I1116" s="43" t="str">
        <f>IFERROR(__xludf.DUMMYFUNCTION("""COMPUTED_VALUE"""),"Apply both of the following effects in order: ● Negate all active card effects that prohibit a player from sending cards to the Discard Pile. ● [STAY] Neither player can apply card effects that prohibit a player from sending cards to the Discard Pile duri"&amp;"ng this game.")</f>
        <v>Apply both of the following effects in order: ● Negate all active card effects that prohibit a player from sending cards to the Discard Pile. ● [STAY] Neither player can apply card effects that prohibit a player from sending cards to the Discard Pile during this game.</v>
      </c>
      <c r="J1116" s="42" t="str">
        <f>IFERROR(__xludf.DUMMYFUNCTION("""COMPUTED_VALUE"""),"-")</f>
        <v>-</v>
      </c>
      <c r="K1116" s="42" t="str">
        <f>IFERROR(__xludf.DUMMYFUNCTION("""COMPUTED_VALUE"""),"-")</f>
        <v>-</v>
      </c>
      <c r="L1116" s="42" t="str">
        <f>IFERROR(__xludf.DUMMYFUNCTION("""COMPUTED_VALUE"""),"-")</f>
        <v>-</v>
      </c>
      <c r="M1116" s="42" t="str">
        <f>IFERROR(__xludf.DUMMYFUNCTION("""COMPUTED_VALUE"""),"[R]")</f>
        <v>[R]</v>
      </c>
      <c r="N1116" s="42" t="str">
        <f>IFERROR(__xludf.DUMMYFUNCTION("""COMPUTED_VALUE"""),"Faudo's controller, Faudo's thieves, and those trying to return Faudo to the mamodo world. The battle is just beginning.")</f>
        <v>Faudo's controller, Faudo's thieves, and those trying to return Faudo to the mamodo world. The battle is just beginning.</v>
      </c>
      <c r="O1116" s="42"/>
      <c r="P1116" s="42"/>
      <c r="Q1116" s="42"/>
      <c r="R1116" s="42"/>
      <c r="S1116" s="42"/>
      <c r="T1116" s="42"/>
      <c r="U1116" s="42"/>
      <c r="V1116" s="42"/>
      <c r="W1116" s="42"/>
      <c r="X1116" s="42"/>
      <c r="Y1116" s="42"/>
      <c r="Z1116" s="42"/>
    </row>
    <row r="1117">
      <c r="A1117" s="42" t="str">
        <f>IFERROR(__xludf.DUMMYFUNCTION("""COMPUTED_VALUE"""),"PR-066")</f>
        <v>PR-066</v>
      </c>
      <c r="B1117" s="42" t="str">
        <f>IFERROR(__xludf.DUMMYFUNCTION("""COMPUTED_VALUE"""),"Event")</f>
        <v>Event</v>
      </c>
      <c r="C1117" s="42" t="str">
        <f>IFERROR(__xludf.DUMMYFUNCTION("""COMPUTED_VALUE"""),"The King of Thunder's Violet Lightning")</f>
        <v>The King of Thunder's Violet Lightning</v>
      </c>
      <c r="D1117" s="42" t="str">
        <f>IFERROR(__xludf.DUMMYFUNCTION("""COMPUTED_VALUE"""),"-")</f>
        <v>-</v>
      </c>
      <c r="E1117" s="42">
        <f>IFERROR(__xludf.DUMMYFUNCTION("""COMPUTED_VALUE"""),4.0)</f>
        <v>4</v>
      </c>
      <c r="F1117" s="42" t="str">
        <f>IFERROR(__xludf.DUMMYFUNCTION("""COMPUTED_VALUE"""),"A")</f>
        <v>A</v>
      </c>
      <c r="G1117" s="42" t="str">
        <f>IFERROR(__xludf.DUMMYFUNCTION("""COMPUTED_VALUE"""),"Intermediate")</f>
        <v>Intermediate</v>
      </c>
      <c r="H1117" s="42" t="str">
        <f>IFERROR(__xludf.DUMMYFUNCTION("""COMPUTED_VALUE"""),"-")</f>
        <v>-</v>
      </c>
      <c r="I1117" s="43" t="str">
        <f>IFERROR(__xludf.DUMMYFUNCTION("""COMPUTED_VALUE"""),"Apply both of the following effects in order (both must be applied). These effects can be applied only once per game (per player): ● Send 1 of your opponent's in-play MAMODO cards to the Discard Pile. ● Select 1 MAMODO card from any page of your Spell Boo"&amp;"k and put it in play.")</f>
        <v>Apply both of the following effects in order (both must be applied). These effects can be applied only once per game (per player): ● Send 1 of your opponent's in-play MAMODO cards to the Discard Pile. ● Select 1 MAMODO card from any page of your Spell Book and put it in play.</v>
      </c>
      <c r="J1117" s="42" t="str">
        <f>IFERROR(__xludf.DUMMYFUNCTION("""COMPUTED_VALUE"""),"-")</f>
        <v>-</v>
      </c>
      <c r="K1117" s="42" t="str">
        <f>IFERROR(__xludf.DUMMYFUNCTION("""COMPUTED_VALUE"""),"-")</f>
        <v>-</v>
      </c>
      <c r="L1117" s="42" t="str">
        <f>IFERROR(__xludf.DUMMYFUNCTION("""COMPUTED_VALUE"""),"-")</f>
        <v>-</v>
      </c>
      <c r="M1117" s="42" t="str">
        <f>IFERROR(__xludf.DUMMYFUNCTION("""COMPUTED_VALUE"""),"[R]")</f>
        <v>[R]</v>
      </c>
      <c r="N1117" s="42" t="str">
        <f>IFERROR(__xludf.DUMMYFUNCTION("""COMPUTED_VALUE"""),"""Purple eyes and silver hair... Impossible... You're the heir of the mamodo royal family.. Zeno, the King of Thunder!""")</f>
        <v>"Purple eyes and silver hair... Impossible... You're the heir of the mamodo royal family.. Zeno, the King of Thunder!"</v>
      </c>
      <c r="O1117" s="42"/>
      <c r="P1117" s="42"/>
      <c r="Q1117" s="42"/>
      <c r="R1117" s="42"/>
      <c r="S1117" s="42"/>
      <c r="T1117" s="42"/>
      <c r="U1117" s="42"/>
      <c r="V1117" s="42"/>
      <c r="W1117" s="42"/>
      <c r="X1117" s="42"/>
      <c r="Y1117" s="42"/>
      <c r="Z1117" s="42"/>
    </row>
    <row r="1118">
      <c r="A1118" s="42" t="str">
        <f>IFERROR(__xludf.DUMMYFUNCTION("""COMPUTED_VALUE"""),"PR-067")</f>
        <v>PR-067</v>
      </c>
      <c r="B1118" s="42" t="str">
        <f>IFERROR(__xludf.DUMMYFUNCTION("""COMPUTED_VALUE"""),"Event")</f>
        <v>Event</v>
      </c>
      <c r="C1118" s="42" t="str">
        <f>IFERROR(__xludf.DUMMYFUNCTION("""COMPUTED_VALUE"""),"Become King!")</f>
        <v>Become King!</v>
      </c>
      <c r="D1118" s="42" t="str">
        <f>IFERROR(__xludf.DUMMYFUNCTION("""COMPUTED_VALUE"""),"-")</f>
        <v>-</v>
      </c>
      <c r="E1118" s="42">
        <f>IFERROR(__xludf.DUMMYFUNCTION("""COMPUTED_VALUE"""),4.0)</f>
        <v>4</v>
      </c>
      <c r="F1118" s="42" t="str">
        <f>IFERROR(__xludf.DUMMYFUNCTION("""COMPUTED_VALUE"""),"AD")</f>
        <v>AD</v>
      </c>
      <c r="G1118" s="42" t="str">
        <f>IFERROR(__xludf.DUMMYFUNCTION("""COMPUTED_VALUE"""),"Superior")</f>
        <v>Superior</v>
      </c>
      <c r="H1118" s="42" t="str">
        <f>IFERROR(__xludf.DUMMYFUNCTION("""COMPUTED_VALUE"""),"-")</f>
        <v>-</v>
      </c>
      <c r="I1118" s="43" t="str">
        <f>IFERROR(__xludf.DUMMYFUNCTION("""COMPUTED_VALUE"""),"Get 6 MP. This effect can be applied only once per game (per player).")</f>
        <v>Get 6 MP. This effect can be applied only once per game (per player).</v>
      </c>
      <c r="J1118" s="42" t="str">
        <f>IFERROR(__xludf.DUMMYFUNCTION("""COMPUTED_VALUE"""),"-")</f>
        <v>-</v>
      </c>
      <c r="K1118" s="42" t="str">
        <f>IFERROR(__xludf.DUMMYFUNCTION("""COMPUTED_VALUE"""),"-")</f>
        <v>-</v>
      </c>
      <c r="L1118" s="42" t="str">
        <f>IFERROR(__xludf.DUMMYFUNCTION("""COMPUTED_VALUE"""),"-")</f>
        <v>-</v>
      </c>
      <c r="M1118" s="42" t="str">
        <f>IFERROR(__xludf.DUMMYFUNCTION("""COMPUTED_VALUE"""),"[R]")</f>
        <v>[R]</v>
      </c>
      <c r="N1118" s="42" t="str">
        <f>IFERROR(__xludf.DUMMYFUNCTION("""COMPUTED_VALUE"""),"""Become the king, Zatch. Become the king with your new book owner!""")</f>
        <v>"Become the king, Zatch. Become the king with your new book owner!"</v>
      </c>
      <c r="O1118" s="42"/>
      <c r="P1118" s="42"/>
      <c r="Q1118" s="42"/>
      <c r="R1118" s="42"/>
      <c r="S1118" s="42"/>
      <c r="T1118" s="42"/>
      <c r="U1118" s="42"/>
      <c r="V1118" s="42"/>
      <c r="W1118" s="42"/>
      <c r="X1118" s="42"/>
      <c r="Y1118" s="42"/>
      <c r="Z1118" s="42"/>
    </row>
    <row r="1119">
      <c r="A1119" s="42" t="str">
        <f>IFERROR(__xludf.DUMMYFUNCTION("""COMPUTED_VALUE"""),"PR-068")</f>
        <v>PR-068</v>
      </c>
      <c r="B1119" s="42" t="str">
        <f>IFERROR(__xludf.DUMMYFUNCTION("""COMPUTED_VALUE"""),"Event")</f>
        <v>Event</v>
      </c>
      <c r="C1119" s="42" t="str">
        <f>IFERROR(__xludf.DUMMYFUNCTION("""COMPUTED_VALUE"""),"A Goal to Strive Toward")</f>
        <v>A Goal to Strive Toward</v>
      </c>
      <c r="D1119" s="42" t="str">
        <f>IFERROR(__xludf.DUMMYFUNCTION("""COMPUTED_VALUE"""),"-")</f>
        <v>-</v>
      </c>
      <c r="E1119" s="42">
        <f>IFERROR(__xludf.DUMMYFUNCTION("""COMPUTED_VALUE"""),2.0)</f>
        <v>2</v>
      </c>
      <c r="F1119" s="42" t="str">
        <f>IFERROR(__xludf.DUMMYFUNCTION("""COMPUTED_VALUE"""),"AD")</f>
        <v>AD</v>
      </c>
      <c r="G1119" s="42" t="str">
        <f>IFERROR(__xludf.DUMMYFUNCTION("""COMPUTED_VALUE"""),"None")</f>
        <v>None</v>
      </c>
      <c r="H1119" s="42" t="str">
        <f>IFERROR(__xludf.DUMMYFUNCTION("""COMPUTED_VALUE"""),"-")</f>
        <v>-</v>
      </c>
      <c r="I1119" s="43" t="str">
        <f>IFERROR(__xludf.DUMMYFUNCTION("""COMPUTED_VALUE"""),"Select 1 ""Superior"" Class SPELL card from any page of your Spell Book. [STANDBY] Starting next turn, when you Attack with the selected SPELL card, apply 1 of the following effects. This effect can be applied only once per game (per player): ● Reduce the"&amp;" MP cost of the selected SPELL card by 4. ● The selected card can be played even when prohibited to do so by your opponent. ● Your opponent cannot SACRIFICE or PROTECT their Spell Book from Damage.")</f>
        <v>Select 1 "Superior" Class SPELL card from any page of your Spell Book. [STANDBY] Starting next turn, when you Attack with the selected SPELL card, apply 1 of the following effects. This effect can be applied only once per game (per player): ● Reduce the MP cost of the selected SPELL card by 4. ● The selected card can be played even when prohibited to do so by your opponent. ● Your opponent cannot SACRIFICE or PROTECT their Spell Book from Damage.</v>
      </c>
      <c r="J1119" s="42" t="str">
        <f>IFERROR(__xludf.DUMMYFUNCTION("""COMPUTED_VALUE"""),"-")</f>
        <v>-</v>
      </c>
      <c r="K1119" s="42" t="str">
        <f>IFERROR(__xludf.DUMMYFUNCTION("""COMPUTED_VALUE"""),"-")</f>
        <v>-</v>
      </c>
      <c r="L1119" s="42" t="str">
        <f>IFERROR(__xludf.DUMMYFUNCTION("""COMPUTED_VALUE"""),"-")</f>
        <v>-</v>
      </c>
      <c r="M1119" s="42" t="str">
        <f>IFERROR(__xludf.DUMMYFUNCTION("""COMPUTED_VALUE"""),"[R]")</f>
        <v>[R]</v>
      </c>
      <c r="N1119" s="42" t="str">
        <f>IFERROR(__xludf.DUMMYFUNCTION("""COMPUTED_VALUE"""),"""A fight is not just for the sake of winning. There needs to be a purpose.""")</f>
        <v>"A fight is not just for the sake of winning. There needs to be a purpose."</v>
      </c>
      <c r="O1119" s="42"/>
      <c r="P1119" s="42"/>
      <c r="Q1119" s="42"/>
      <c r="R1119" s="42"/>
      <c r="S1119" s="42"/>
      <c r="T1119" s="42"/>
      <c r="U1119" s="42"/>
      <c r="V1119" s="42"/>
      <c r="W1119" s="42"/>
      <c r="X1119" s="42"/>
      <c r="Y1119" s="42"/>
      <c r="Z1119" s="42"/>
    </row>
    <row r="1120">
      <c r="A1120" s="42" t="str">
        <f>IFERROR(__xludf.DUMMYFUNCTION("""COMPUTED_VALUE"""),"PR-069")</f>
        <v>PR-069</v>
      </c>
      <c r="B1120" s="42" t="str">
        <f>IFERROR(__xludf.DUMMYFUNCTION("""COMPUTED_VALUE"""),"Triple Mamodo")</f>
        <v>Triple Mamodo</v>
      </c>
      <c r="C1120" s="42" t="str">
        <f>IFERROR(__xludf.DUMMYFUNCTION("""COMPUTED_VALUE"""),"Zatch Bell &amp; Kanchomé &amp; Tia")</f>
        <v>Zatch Bell &amp; Kanchomé &amp; Tia</v>
      </c>
      <c r="D1120" s="42" t="str">
        <f>IFERROR(__xludf.DUMMYFUNCTION("""COMPUTED_VALUE"""),"Zatch Bell | Kanchomé | Tia")</f>
        <v>Zatch Bell | Kanchomé | Tia</v>
      </c>
      <c r="E1120" s="42" t="str">
        <f>IFERROR(__xludf.DUMMYFUNCTION("""COMPUTED_VALUE"""),"-")</f>
        <v>-</v>
      </c>
      <c r="F1120" s="42" t="str">
        <f>IFERROR(__xludf.DUMMYFUNCTION("""COMPUTED_VALUE"""),"-")</f>
        <v>-</v>
      </c>
      <c r="G1120" s="42" t="str">
        <f>IFERROR(__xludf.DUMMYFUNCTION("""COMPUTED_VALUE"""),"Intermediate")</f>
        <v>Intermediate</v>
      </c>
      <c r="H1120" s="42" t="str">
        <f>IFERROR(__xludf.DUMMYFUNCTION("""COMPUTED_VALUE"""),"We Won't Lose")</f>
        <v>We Won't Lose</v>
      </c>
      <c r="I1120" s="43" t="str">
        <f>IFERROR(__xludf.DUMMYFUNCTION("""COMPUTED_VALUE"""),"TRIPLE MAMODO : Send 2 of any combination of your in-play Zatch Bell, Tia, and Kanchomé DUAL MAMODO cards and/or regular MAMODO cards to the Discard Pile to put this MAMODO card in play. [IN PLAY] SPELL cards can be played for this MAMODO card even when y"&amp;"ou are prohibited to do so.")</f>
        <v>TRIPLE MAMODO : Send 2 of any combination of your in-play Zatch Bell, Tia, and Kanchomé DUAL MAMODO cards and/or regular MAMODO cards to the Discard Pile to put this MAMODO card in play. [IN PLAY] SPELL cards can be played for this MAMODO card even when you are prohibited to do so.</v>
      </c>
      <c r="J1120" s="42">
        <f>IFERROR(__xludf.DUMMYFUNCTION("""COMPUTED_VALUE"""),5500.0)</f>
        <v>5500</v>
      </c>
      <c r="K1120" s="42" t="str">
        <f>IFERROR(__xludf.DUMMYFUNCTION("""COMPUTED_VALUE"""),"-")</f>
        <v>-</v>
      </c>
      <c r="L1120" s="42" t="str">
        <f>IFERROR(__xludf.DUMMYFUNCTION("""COMPUTED_VALUE"""),"-")</f>
        <v>-</v>
      </c>
      <c r="M1120" s="42" t="str">
        <f>IFERROR(__xludf.DUMMYFUNCTION("""COMPUTED_VALUE"""),"[R]")</f>
        <v>[R]</v>
      </c>
      <c r="N1120" s="42" t="str">
        <f>IFERROR(__xludf.DUMMYFUNCTION("""COMPUTED_VALUE"""),"""We won't let ourselves get beaten by evil morons like you... We will not let you destroy Japan!!!""")</f>
        <v>"We won't let ourselves get beaten by evil morons like you... We will not let you destroy Japan!!!"</v>
      </c>
      <c r="O1120" s="42"/>
      <c r="P1120" s="42"/>
      <c r="Q1120" s="42"/>
      <c r="R1120" s="42"/>
      <c r="S1120" s="42"/>
      <c r="T1120" s="42"/>
      <c r="U1120" s="42"/>
      <c r="V1120" s="42"/>
      <c r="W1120" s="42"/>
      <c r="X1120" s="42"/>
      <c r="Y1120" s="42"/>
      <c r="Z1120" s="42"/>
    </row>
    <row r="1121">
      <c r="A1121" s="42" t="str">
        <f>IFERROR(__xludf.DUMMYFUNCTION("""COMPUTED_VALUE"""),"RIC-001")</f>
        <v>RIC-001</v>
      </c>
      <c r="B1121" s="42" t="str">
        <f>IFERROR(__xludf.DUMMYFUNCTION("""COMPUTED_VALUE"""),"Creator")</f>
        <v>Creator</v>
      </c>
      <c r="C1121" s="42" t="str">
        <f>IFERROR(__xludf.DUMMYFUNCTION("""COMPUTED_VALUE"""),"Makoto Raiku")</f>
        <v>Makoto Raiku</v>
      </c>
      <c r="D1121" s="42" t="str">
        <f>IFERROR(__xludf.DUMMYFUNCTION("""COMPUTED_VALUE"""),"-")</f>
        <v>-</v>
      </c>
      <c r="E1121" s="42" t="str">
        <f>IFERROR(__xludf.DUMMYFUNCTION("""COMPUTED_VALUE"""),"-")</f>
        <v>-</v>
      </c>
      <c r="F1121" s="42" t="str">
        <f>IFERROR(__xludf.DUMMYFUNCTION("""COMPUTED_VALUE"""),"-")</f>
        <v>-</v>
      </c>
      <c r="G1121" s="42" t="str">
        <f>IFERROR(__xludf.DUMMYFUNCTION("""COMPUTED_VALUE"""),"Superior")</f>
        <v>Superior</v>
      </c>
      <c r="H1121" s="42" t="str">
        <f>IFERROR(__xludf.DUMMYFUNCTION("""COMPUTED_VALUE"""),"-")</f>
        <v>-</v>
      </c>
      <c r="I1121" s="43" t="str">
        <f>IFERROR(__xludf.DUMMYFUNCTION("""COMPUTED_VALUE"""),"A CREATOR card can be put in play only during your BATTLE PHASE. The effects of a CREATOR card can be applied during the BATTLE PHASE of either player's turn. [DECLARE TO USE] [STANDBY] Win the game at the END PHASE of this turn. This effect can be applie"&amp;"d only once per game (per player).")</f>
        <v>A CREATOR card can be put in play only during your BATTLE PHASE. The effects of a CREATOR card can be applied during the BATTLE PHASE of either player's turn. [DECLARE TO USE] [STANDBY] Win the game at the END PHASE of this turn. This effect can be applied only once per game (per player).</v>
      </c>
      <c r="J1121" s="42" t="str">
        <f>IFERROR(__xludf.DUMMYFUNCTION("""COMPUTED_VALUE"""),"-")</f>
        <v>-</v>
      </c>
      <c r="K1121" s="42" t="str">
        <f>IFERROR(__xludf.DUMMYFUNCTION("""COMPUTED_VALUE"""),"-")</f>
        <v>-</v>
      </c>
      <c r="L1121" s="42" t="str">
        <f>IFERROR(__xludf.DUMMYFUNCTION("""COMPUTED_VALUE"""),"-")</f>
        <v>-</v>
      </c>
      <c r="M1121" s="42" t="str">
        <f>IFERROR(__xludf.DUMMYFUNCTION("""COMPUTED_VALUE"""),"[R]")</f>
        <v>[R]</v>
      </c>
      <c r="N1121" s="42" t="str">
        <f>IFERROR(__xludf.DUMMYFUNCTION("""COMPUTED_VALUE"""),"""I'll be borrowing this card to use in my 'tropical hammock' dream.""")</f>
        <v>"I'll be borrowing this card to use in my 'tropical hammock' dream."</v>
      </c>
      <c r="O1121" s="42"/>
      <c r="P1121" s="42"/>
      <c r="Q1121" s="42"/>
      <c r="R1121" s="42"/>
      <c r="S1121" s="42"/>
      <c r="T1121" s="42"/>
      <c r="U1121" s="42"/>
      <c r="V1121" s="42"/>
      <c r="W1121" s="42"/>
      <c r="X1121" s="42"/>
      <c r="Y1121" s="42"/>
      <c r="Z1121" s="42"/>
    </row>
    <row r="1122">
      <c r="A1122" s="41" t="str">
        <f>IFERROR(__xludf.DUMMYFUNCTION("""COMPUTED_VALUE"""),"S-001")</f>
        <v>S-001</v>
      </c>
      <c r="B1122" s="42" t="str">
        <f>IFERROR(__xludf.DUMMYFUNCTION("""COMPUTED_VALUE"""),"Spell")</f>
        <v>Spell</v>
      </c>
      <c r="C1122" s="42" t="str">
        <f>IFERROR(__xludf.DUMMYFUNCTION("""COMPUTED_VALUE"""),"Zaker")</f>
        <v>Zaker</v>
      </c>
      <c r="D1122" s="42" t="str">
        <f>IFERROR(__xludf.DUMMYFUNCTION("""COMPUTED_VALUE"""),"Zatch Bell")</f>
        <v>Zatch Bell</v>
      </c>
      <c r="E1122" s="42">
        <f>IFERROR(__xludf.DUMMYFUNCTION("""COMPUTED_VALUE"""),1.0)</f>
        <v>1</v>
      </c>
      <c r="F1122" s="42" t="str">
        <f>IFERROR(__xludf.DUMMYFUNCTION("""COMPUTED_VALUE"""),"AD")</f>
        <v>AD</v>
      </c>
      <c r="G1122" s="42" t="str">
        <f>IFERROR(__xludf.DUMMYFUNCTION("""COMPUTED_VALUE"""),"None")</f>
        <v>None</v>
      </c>
      <c r="H1122" s="42" t="str">
        <f>IFERROR(__xludf.DUMMYFUNCTION("""COMPUTED_VALUE"""),"Thunder")</f>
        <v>Thunder</v>
      </c>
      <c r="I1122" s="43" t="str">
        <f>IFERROR(__xludf.DUMMYFUNCTION("""COMPUTED_VALUE"""),"Damage your opponent's Spell Book when you win the Battle as an Attacker.")</f>
        <v>Damage your opponent's Spell Book when you win the Battle as an Attacker.</v>
      </c>
      <c r="J1122" s="42" t="str">
        <f>IFERROR(__xludf.DUMMYFUNCTION("""COMPUTED_VALUE"""),"+2000")</f>
        <v>+2000</v>
      </c>
      <c r="K1122" s="42">
        <f>IFERROR(__xludf.DUMMYFUNCTION("""COMPUTED_VALUE"""),1.0)</f>
        <v>1</v>
      </c>
      <c r="L1122" s="42" t="str">
        <f>IFERROR(__xludf.DUMMYFUNCTION("""COMPUTED_VALUE"""),"Series 1, Level 1")</f>
        <v>Series 1, Level 1</v>
      </c>
      <c r="M1122" s="42" t="str">
        <f>IFERROR(__xludf.DUMMYFUNCTION("""COMPUTED_VALUE"""),"[C]")</f>
        <v>[C]</v>
      </c>
      <c r="N1122" s="42" t="str">
        <f>IFERROR(__xludf.DUMMYFUNCTION("""COMPUTED_VALUE"""),"Zatch's 1st spell. An electric spell that makes Zatch shoot lightning form his mouth.")</f>
        <v>Zatch's 1st spell. An electric spell that makes Zatch shoot lightning form his mouth.</v>
      </c>
      <c r="O1122" s="42"/>
      <c r="P1122" s="42"/>
      <c r="Q1122" s="42"/>
      <c r="R1122" s="42"/>
      <c r="S1122" s="42"/>
      <c r="T1122" s="42"/>
      <c r="U1122" s="42"/>
      <c r="V1122" s="42"/>
      <c r="W1122" s="42"/>
      <c r="X1122" s="42"/>
      <c r="Y1122" s="42"/>
      <c r="Z1122" s="42"/>
    </row>
    <row r="1123">
      <c r="A1123" s="41" t="str">
        <f>IFERROR(__xludf.DUMMYFUNCTION("""COMPUTED_VALUE"""),"S-002")</f>
        <v>S-002</v>
      </c>
      <c r="B1123" s="42" t="str">
        <f>IFERROR(__xludf.DUMMYFUNCTION("""COMPUTED_VALUE"""),"Spell")</f>
        <v>Spell</v>
      </c>
      <c r="C1123" s="42" t="str">
        <f>IFERROR(__xludf.DUMMYFUNCTION("""COMPUTED_VALUE"""),"Zaker")</f>
        <v>Zaker</v>
      </c>
      <c r="D1123" s="42" t="str">
        <f>IFERROR(__xludf.DUMMYFUNCTION("""COMPUTED_VALUE"""),"Zatch Bell")</f>
        <v>Zatch Bell</v>
      </c>
      <c r="E1123" s="42">
        <f>IFERROR(__xludf.DUMMYFUNCTION("""COMPUTED_VALUE"""),2.0)</f>
        <v>2</v>
      </c>
      <c r="F1123" s="42" t="str">
        <f>IFERROR(__xludf.DUMMYFUNCTION("""COMPUTED_VALUE"""),"AD")</f>
        <v>AD</v>
      </c>
      <c r="G1123" s="42" t="str">
        <f>IFERROR(__xludf.DUMMYFUNCTION("""COMPUTED_VALUE"""),"None")</f>
        <v>None</v>
      </c>
      <c r="H1123" s="42" t="str">
        <f>IFERROR(__xludf.DUMMYFUNCTION("""COMPUTED_VALUE"""),"Thunder")</f>
        <v>Thunder</v>
      </c>
      <c r="I1123" s="43" t="str">
        <f>IFERROR(__xludf.DUMMYFUNCTION("""COMPUTED_VALUE"""),"Damage your opponent's Spell Book when you win the Battle as an Attacker.")</f>
        <v>Damage your opponent's Spell Book when you win the Battle as an Attacker.</v>
      </c>
      <c r="J1123" s="42" t="str">
        <f>IFERROR(__xludf.DUMMYFUNCTION("""COMPUTED_VALUE"""),"+2000")</f>
        <v>+2000</v>
      </c>
      <c r="K1123" s="42">
        <f>IFERROR(__xludf.DUMMYFUNCTION("""COMPUTED_VALUE"""),2.0)</f>
        <v>2</v>
      </c>
      <c r="L1123" s="42" t="str">
        <f>IFERROR(__xludf.DUMMYFUNCTION("""COMPUTED_VALUE"""),"Series 1, Level 1, The Best Booster 1, File 1: Zatch Bell &amp; Ponygon")</f>
        <v>Series 1, Level 1, The Best Booster 1, File 1: Zatch Bell &amp; Ponygon</v>
      </c>
      <c r="M1123" s="42" t="str">
        <f>IFERROR(__xludf.DUMMYFUNCTION("""COMPUTED_VALUE"""),"[C]")</f>
        <v>[C]</v>
      </c>
      <c r="N1123" s="42" t="str">
        <f>IFERROR(__xludf.DUMMYFUNCTION("""COMPUTED_VALUE"""),"Zatch's 1st spell. Depending on the degree of power from within, the strength of the spell changes.")</f>
        <v>Zatch's 1st spell. Depending on the degree of power from within, the strength of the spell changes.</v>
      </c>
      <c r="O1123" s="42"/>
      <c r="P1123" s="42"/>
      <c r="Q1123" s="42"/>
      <c r="R1123" s="42"/>
      <c r="S1123" s="42"/>
      <c r="T1123" s="42"/>
      <c r="U1123" s="42"/>
      <c r="V1123" s="42"/>
      <c r="W1123" s="42"/>
      <c r="X1123" s="42"/>
      <c r="Y1123" s="42"/>
      <c r="Z1123" s="42"/>
    </row>
    <row r="1124">
      <c r="A1124" s="41" t="str">
        <f>IFERROR(__xludf.DUMMYFUNCTION("""COMPUTED_VALUE"""),"S-003")</f>
        <v>S-003</v>
      </c>
      <c r="B1124" s="42" t="str">
        <f>IFERROR(__xludf.DUMMYFUNCTION("""COMPUTED_VALUE"""),"Spell")</f>
        <v>Spell</v>
      </c>
      <c r="C1124" s="42" t="str">
        <f>IFERROR(__xludf.DUMMYFUNCTION("""COMPUTED_VALUE"""),"Rashield")</f>
        <v>Rashield</v>
      </c>
      <c r="D1124" s="42" t="str">
        <f>IFERROR(__xludf.DUMMYFUNCTION("""COMPUTED_VALUE"""),"Zatch Bell")</f>
        <v>Zatch Bell</v>
      </c>
      <c r="E1124" s="42">
        <f>IFERROR(__xludf.DUMMYFUNCTION("""COMPUTED_VALUE"""),1.0)</f>
        <v>1</v>
      </c>
      <c r="F1124" s="42" t="str">
        <f>IFERROR(__xludf.DUMMYFUNCTION("""COMPUTED_VALUE"""),"D")</f>
        <v>D</v>
      </c>
      <c r="G1124" s="42" t="str">
        <f>IFERROR(__xludf.DUMMYFUNCTION("""COMPUTED_VALUE"""),"None")</f>
        <v>None</v>
      </c>
      <c r="H1124" s="42" t="str">
        <f>IFERROR(__xludf.DUMMYFUNCTION("""COMPUTED_VALUE"""),"Thunder")</f>
        <v>Thunder</v>
      </c>
      <c r="I1124" s="43" t="str">
        <f>IFERROR(__xludf.DUMMYFUNCTION("""COMPUTED_VALUE"""),"Damage your opponent's Spell Book when you win the Battle as a Defender.")</f>
        <v>Damage your opponent's Spell Book when you win the Battle as a Defender.</v>
      </c>
      <c r="J1124" s="42" t="str">
        <f>IFERROR(__xludf.DUMMYFUNCTION("""COMPUTED_VALUE"""),"+4000")</f>
        <v>+4000</v>
      </c>
      <c r="K1124" s="42">
        <f>IFERROR(__xludf.DUMMYFUNCTION("""COMPUTED_VALUE"""),1.0)</f>
        <v>1</v>
      </c>
      <c r="L1124" s="42" t="str">
        <f>IFERROR(__xludf.DUMMYFUNCTION("""COMPUTED_VALUE"""),"Series 1, Level 1, The Best Booster 2")</f>
        <v>Series 1, Level 1, The Best Booster 2</v>
      </c>
      <c r="M1124" s="42" t="str">
        <f>IFERROR(__xludf.DUMMYFUNCTION("""COMPUTED_VALUE"""),"[U]")</f>
        <v>[U]</v>
      </c>
      <c r="N1124" s="42" t="str">
        <f>IFERROR(__xludf.DUMMYFUNCTION("""COMPUTED_VALUE"""),"Zatch's 2nd spell. With an electric shock, it bounces back an opponent's attack.")</f>
        <v>Zatch's 2nd spell. With an electric shock, it bounces back an opponent's attack.</v>
      </c>
      <c r="O1124" s="42"/>
      <c r="P1124" s="42"/>
      <c r="Q1124" s="42"/>
      <c r="R1124" s="42"/>
      <c r="S1124" s="42"/>
      <c r="T1124" s="42"/>
      <c r="U1124" s="42"/>
      <c r="V1124" s="42"/>
      <c r="W1124" s="42"/>
      <c r="X1124" s="42"/>
      <c r="Y1124" s="42"/>
      <c r="Z1124" s="42"/>
    </row>
    <row r="1125">
      <c r="A1125" s="41" t="str">
        <f>IFERROR(__xludf.DUMMYFUNCTION("""COMPUTED_VALUE"""),"S-004")</f>
        <v>S-004</v>
      </c>
      <c r="B1125" s="42" t="str">
        <f>IFERROR(__xludf.DUMMYFUNCTION("""COMPUTED_VALUE"""),"Spell")</f>
        <v>Spell</v>
      </c>
      <c r="C1125" s="42" t="str">
        <f>IFERROR(__xludf.DUMMYFUNCTION("""COMPUTED_VALUE"""),"Jikerdor")</f>
        <v>Jikerdor</v>
      </c>
      <c r="D1125" s="42" t="str">
        <f>IFERROR(__xludf.DUMMYFUNCTION("""COMPUTED_VALUE"""),"Zatch Bell")</f>
        <v>Zatch Bell</v>
      </c>
      <c r="E1125" s="42">
        <f>IFERROR(__xludf.DUMMYFUNCTION("""COMPUTED_VALUE"""),1.0)</f>
        <v>1</v>
      </c>
      <c r="F1125" s="42" t="str">
        <f>IFERROR(__xludf.DUMMYFUNCTION("""COMPUTED_VALUE"""),"A")</f>
        <v>A</v>
      </c>
      <c r="G1125" s="42" t="str">
        <f>IFERROR(__xludf.DUMMYFUNCTION("""COMPUTED_VALUE"""),"None")</f>
        <v>None</v>
      </c>
      <c r="H1125" s="42" t="str">
        <f>IFERROR(__xludf.DUMMYFUNCTION("""COMPUTED_VALUE"""),"Thunder")</f>
        <v>Thunder</v>
      </c>
      <c r="I1125" s="43" t="str">
        <f>IFERROR(__xludf.DUMMYFUNCTION("""COMPUTED_VALUE"""),"Damage your opponent's Spell Book when you win the Battle as an Attacker. When you inflict Damage or Injury, flip a coin; if it's heads, your opponent cannot play SPELL cards until the END PHASE of the next turn ([STAY]).")</f>
        <v>Damage your opponent's Spell Book when you win the Battle as an Attacker. When you inflict Damage or Injury, flip a coin; if it's heads, your opponent cannot play SPELL cards until the END PHASE of the next turn ([STAY]).</v>
      </c>
      <c r="J1125" s="42" t="str">
        <f>IFERROR(__xludf.DUMMYFUNCTION("""COMPUTED_VALUE"""),"+2000")</f>
        <v>+2000</v>
      </c>
      <c r="K1125" s="42">
        <f>IFERROR(__xludf.DUMMYFUNCTION("""COMPUTED_VALUE"""),1.0)</f>
        <v>1</v>
      </c>
      <c r="L1125" s="42" t="str">
        <f>IFERROR(__xludf.DUMMYFUNCTION("""COMPUTED_VALUE"""),"Series 1, Level 1, File 1: Zatch Bell &amp; Ponygon")</f>
        <v>Series 1, Level 1, File 1: Zatch Bell &amp; Ponygon</v>
      </c>
      <c r="M1125" s="42" t="str">
        <f>IFERROR(__xludf.DUMMYFUNCTION("""COMPUTED_VALUE"""),"[C]")</f>
        <v>[C]</v>
      </c>
      <c r="N1125" s="42" t="str">
        <f>IFERROR(__xludf.DUMMYFUNCTION("""COMPUTED_VALUE"""),"Zatch's 3rd spell. A spell with a strong magnetic force that wraps around the opponent.")</f>
        <v>Zatch's 3rd spell. A spell with a strong magnetic force that wraps around the opponent.</v>
      </c>
      <c r="O1125" s="42"/>
      <c r="P1125" s="42"/>
      <c r="Q1125" s="42"/>
      <c r="R1125" s="42"/>
      <c r="S1125" s="42"/>
      <c r="T1125" s="42"/>
      <c r="U1125" s="42"/>
      <c r="V1125" s="42"/>
      <c r="W1125" s="42"/>
      <c r="X1125" s="42"/>
      <c r="Y1125" s="42"/>
      <c r="Z1125" s="42"/>
    </row>
    <row r="1126">
      <c r="A1126" s="41" t="str">
        <f>IFERROR(__xludf.DUMMYFUNCTION("""COMPUTED_VALUE"""),"S-005")</f>
        <v>S-005</v>
      </c>
      <c r="B1126" s="42" t="str">
        <f>IFERROR(__xludf.DUMMYFUNCTION("""COMPUTED_VALUE"""),"Spell")</f>
        <v>Spell</v>
      </c>
      <c r="C1126" s="42" t="str">
        <f>IFERROR(__xludf.DUMMYFUNCTION("""COMPUTED_VALUE"""),"Bao Zakeruga")</f>
        <v>Bao Zakeruga</v>
      </c>
      <c r="D1126" s="42" t="str">
        <f>IFERROR(__xludf.DUMMYFUNCTION("""COMPUTED_VALUE"""),"Zatch Bell")</f>
        <v>Zatch Bell</v>
      </c>
      <c r="E1126" s="42">
        <f>IFERROR(__xludf.DUMMYFUNCTION("""COMPUTED_VALUE"""),6.0)</f>
        <v>6</v>
      </c>
      <c r="F1126" s="42" t="str">
        <f>IFERROR(__xludf.DUMMYFUNCTION("""COMPUTED_VALUE"""),"AD")</f>
        <v>AD</v>
      </c>
      <c r="G1126" s="42" t="str">
        <f>IFERROR(__xludf.DUMMYFUNCTION("""COMPUTED_VALUE"""),"Superior")</f>
        <v>Superior</v>
      </c>
      <c r="H1126" s="42" t="str">
        <f>IFERROR(__xludf.DUMMYFUNCTION("""COMPUTED_VALUE"""),"Thunder")</f>
        <v>Thunder</v>
      </c>
      <c r="I1126" s="43" t="str">
        <f>IFERROR(__xludf.DUMMYFUNCTION("""COMPUTED_VALUE"""),"Damage your opponent's Spell Book when you win the Battle as an Attacker.")</f>
        <v>Damage your opponent's Spell Book when you win the Battle as an Attacker.</v>
      </c>
      <c r="J1126" s="42" t="str">
        <f>IFERROR(__xludf.DUMMYFUNCTION("""COMPUTED_VALUE"""),"+6000")</f>
        <v>+6000</v>
      </c>
      <c r="K1126" s="42">
        <f>IFERROR(__xludf.DUMMYFUNCTION("""COMPUTED_VALUE"""),3.0)</f>
        <v>3</v>
      </c>
      <c r="L1126" s="42" t="str">
        <f>IFERROR(__xludf.DUMMYFUNCTION("""COMPUTED_VALUE"""),"Series 1, Level 1")</f>
        <v>Series 1, Level 1</v>
      </c>
      <c r="M1126" s="42" t="str">
        <f>IFERROR(__xludf.DUMMYFUNCTION("""COMPUTED_VALUE"""),"[SR]")</f>
        <v>[SR]</v>
      </c>
      <c r="N1126" s="42" t="str">
        <f>IFERROR(__xludf.DUMMYFUNCTION("""COMPUTED_VALUE"""),"Zatch's 4th spell. It summons a gigantic dragon-shaped lightning.")</f>
        <v>Zatch's 4th spell. It summons a gigantic dragon-shaped lightning.</v>
      </c>
      <c r="O1126" s="42"/>
      <c r="P1126" s="42"/>
      <c r="Q1126" s="42"/>
      <c r="R1126" s="42"/>
      <c r="S1126" s="42"/>
      <c r="T1126" s="42"/>
      <c r="U1126" s="42"/>
      <c r="V1126" s="42"/>
      <c r="W1126" s="42"/>
      <c r="X1126" s="42"/>
      <c r="Y1126" s="42"/>
      <c r="Z1126" s="42"/>
    </row>
    <row r="1127">
      <c r="A1127" s="41" t="str">
        <f>IFERROR(__xludf.DUMMYFUNCTION("""COMPUTED_VALUE"""),"S-006")</f>
        <v>S-006</v>
      </c>
      <c r="B1127" s="42" t="str">
        <f>IFERROR(__xludf.DUMMYFUNCTION("""COMPUTED_VALUE"""),"Spell")</f>
        <v>Spell</v>
      </c>
      <c r="C1127" s="42" t="str">
        <f>IFERROR(__xludf.DUMMYFUNCTION("""COMPUTED_VALUE"""),"Gikor")</f>
        <v>Gikor</v>
      </c>
      <c r="D1127" s="42" t="str">
        <f>IFERROR(__xludf.DUMMYFUNCTION("""COMPUTED_VALUE"""),"Reycom")</f>
        <v>Reycom</v>
      </c>
      <c r="E1127" s="42">
        <f>IFERROR(__xludf.DUMMYFUNCTION("""COMPUTED_VALUE"""),1.0)</f>
        <v>1</v>
      </c>
      <c r="F1127" s="42" t="str">
        <f>IFERROR(__xludf.DUMMYFUNCTION("""COMPUTED_VALUE"""),"AD")</f>
        <v>AD</v>
      </c>
      <c r="G1127" s="42" t="str">
        <f>IFERROR(__xludf.DUMMYFUNCTION("""COMPUTED_VALUE"""),"None")</f>
        <v>None</v>
      </c>
      <c r="H1127" s="42" t="str">
        <f>IFERROR(__xludf.DUMMYFUNCTION("""COMPUTED_VALUE"""),"Ice")</f>
        <v>Ice</v>
      </c>
      <c r="I1127" s="43" t="str">
        <f>IFERROR(__xludf.DUMMYFUNCTION("""COMPUTED_VALUE"""),"Damage your opponent's Spell Book when you win the Battle as an Attacker.")</f>
        <v>Damage your opponent's Spell Book when you win the Battle as an Attacker.</v>
      </c>
      <c r="J1127" s="42" t="str">
        <f>IFERROR(__xludf.DUMMYFUNCTION("""COMPUTED_VALUE"""),"+2000")</f>
        <v>+2000</v>
      </c>
      <c r="K1127" s="42">
        <f>IFERROR(__xludf.DUMMYFUNCTION("""COMPUTED_VALUE"""),1.0)</f>
        <v>1</v>
      </c>
      <c r="L1127" s="42" t="str">
        <f>IFERROR(__xludf.DUMMYFUNCTION("""COMPUTED_VALUE"""),"Series 1, Level 1")</f>
        <v>Series 1, Level 1</v>
      </c>
      <c r="M1127" s="42" t="str">
        <f>IFERROR(__xludf.DUMMYFUNCTION("""COMPUTED_VALUE"""),"[C]")</f>
        <v>[C]</v>
      </c>
      <c r="N1127" s="42" t="str">
        <f>IFERROR(__xludf.DUMMYFUNCTION("""COMPUTED_VALUE"""),"Reycom's 1st spell. It fires pieces of ice against opponents.")</f>
        <v>Reycom's 1st spell. It fires pieces of ice against opponents.</v>
      </c>
      <c r="O1127" s="42"/>
      <c r="P1127" s="42"/>
      <c r="Q1127" s="42"/>
      <c r="R1127" s="42"/>
      <c r="S1127" s="42"/>
      <c r="T1127" s="42"/>
      <c r="U1127" s="42"/>
      <c r="V1127" s="42"/>
      <c r="W1127" s="42"/>
      <c r="X1127" s="42"/>
      <c r="Y1127" s="42"/>
      <c r="Z1127" s="42"/>
    </row>
    <row r="1128">
      <c r="A1128" s="41" t="str">
        <f>IFERROR(__xludf.DUMMYFUNCTION("""COMPUTED_VALUE"""),"S-007")</f>
        <v>S-007</v>
      </c>
      <c r="B1128" s="42" t="str">
        <f>IFERROR(__xludf.DUMMYFUNCTION("""COMPUTED_VALUE"""),"Spell")</f>
        <v>Spell</v>
      </c>
      <c r="C1128" s="42" t="str">
        <f>IFERROR(__xludf.DUMMYFUNCTION("""COMPUTED_VALUE"""),"Freezudo")</f>
        <v>Freezudo</v>
      </c>
      <c r="D1128" s="42" t="str">
        <f>IFERROR(__xludf.DUMMYFUNCTION("""COMPUTED_VALUE"""),"Reycom")</f>
        <v>Reycom</v>
      </c>
      <c r="E1128" s="42">
        <f>IFERROR(__xludf.DUMMYFUNCTION("""COMPUTED_VALUE"""),2.0)</f>
        <v>2</v>
      </c>
      <c r="F1128" s="42" t="str">
        <f>IFERROR(__xludf.DUMMYFUNCTION("""COMPUTED_VALUE"""),"AD")</f>
        <v>AD</v>
      </c>
      <c r="G1128" s="42" t="str">
        <f>IFERROR(__xludf.DUMMYFUNCTION("""COMPUTED_VALUE"""),"None")</f>
        <v>None</v>
      </c>
      <c r="H1128" s="42" t="str">
        <f>IFERROR(__xludf.DUMMYFUNCTION("""COMPUTED_VALUE"""),"Ice")</f>
        <v>Ice</v>
      </c>
      <c r="I1128" s="43" t="str">
        <f>IFERROR(__xludf.DUMMYFUNCTION("""COMPUTED_VALUE"""),"Damage your opponent's Spell Book when you win the Battle as an Attacker. When you inflict Damage or Injury, your opponent cannot apply the effects of their PARTNER cards until the END PHASE of their next turn ([STAY]).")</f>
        <v>Damage your opponent's Spell Book when you win the Battle as an Attacker. When you inflict Damage or Injury, your opponent cannot apply the effects of their PARTNER cards until the END PHASE of their next turn ([STAY]).</v>
      </c>
      <c r="J1128" s="42" t="str">
        <f>IFERROR(__xludf.DUMMYFUNCTION("""COMPUTED_VALUE"""),"+2000")</f>
        <v>+2000</v>
      </c>
      <c r="K1128" s="42">
        <f>IFERROR(__xludf.DUMMYFUNCTION("""COMPUTED_VALUE"""),1.0)</f>
        <v>1</v>
      </c>
      <c r="L1128" s="42" t="str">
        <f>IFERROR(__xludf.DUMMYFUNCTION("""COMPUTED_VALUE"""),"Series 1, Level 1")</f>
        <v>Series 1, Level 1</v>
      </c>
      <c r="M1128" s="42" t="str">
        <f>IFERROR(__xludf.DUMMYFUNCTION("""COMPUTED_VALUE"""),"[U]")</f>
        <v>[U]</v>
      </c>
      <c r="N1128" s="42" t="str">
        <f>IFERROR(__xludf.DUMMYFUNCTION("""COMPUTED_VALUE"""),"Reycom's 2nd spell. It freezes opponents so that they can't move.")</f>
        <v>Reycom's 2nd spell. It freezes opponents so that they can't move.</v>
      </c>
      <c r="O1128" s="42"/>
      <c r="P1128" s="42"/>
      <c r="Q1128" s="42"/>
      <c r="R1128" s="42"/>
      <c r="S1128" s="42"/>
      <c r="T1128" s="42"/>
      <c r="U1128" s="42"/>
      <c r="V1128" s="42"/>
      <c r="W1128" s="42"/>
      <c r="X1128" s="42"/>
      <c r="Y1128" s="42"/>
      <c r="Z1128" s="42"/>
    </row>
    <row r="1129">
      <c r="A1129" s="41" t="str">
        <f>IFERROR(__xludf.DUMMYFUNCTION("""COMPUTED_VALUE"""),"S-008")</f>
        <v>S-008</v>
      </c>
      <c r="B1129" s="42" t="str">
        <f>IFERROR(__xludf.DUMMYFUNCTION("""COMPUTED_VALUE"""),"Spell")</f>
        <v>Spell</v>
      </c>
      <c r="C1129" s="42" t="str">
        <f>IFERROR(__xludf.DUMMYFUNCTION("""COMPUTED_VALUE"""),"Reis")</f>
        <v>Reis</v>
      </c>
      <c r="D1129" s="42" t="str">
        <f>IFERROR(__xludf.DUMMYFUNCTION("""COMPUTED_VALUE"""),"Brago")</f>
        <v>Brago</v>
      </c>
      <c r="E1129" s="42">
        <f>IFERROR(__xludf.DUMMYFUNCTION("""COMPUTED_VALUE"""),2.0)</f>
        <v>2</v>
      </c>
      <c r="F1129" s="42" t="str">
        <f>IFERROR(__xludf.DUMMYFUNCTION("""COMPUTED_VALUE"""),"AD")</f>
        <v>AD</v>
      </c>
      <c r="G1129" s="42" t="str">
        <f>IFERROR(__xludf.DUMMYFUNCTION("""COMPUTED_VALUE"""),"None")</f>
        <v>None</v>
      </c>
      <c r="H1129" s="42" t="str">
        <f>IFERROR(__xludf.DUMMYFUNCTION("""COMPUTED_VALUE"""),"Down Force")</f>
        <v>Down Force</v>
      </c>
      <c r="I1129" s="43" t="str">
        <f>IFERROR(__xludf.DUMMYFUNCTION("""COMPUTED_VALUE"""),"Damage your opponent's Spell Book when you win the Battle as an Attacker.")</f>
        <v>Damage your opponent's Spell Book when you win the Battle as an Attacker.</v>
      </c>
      <c r="J1129" s="42" t="str">
        <f>IFERROR(__xludf.DUMMYFUNCTION("""COMPUTED_VALUE"""),"+2000")</f>
        <v>+2000</v>
      </c>
      <c r="K1129" s="42">
        <f>IFERROR(__xludf.DUMMYFUNCTION("""COMPUTED_VALUE"""),2.0)</f>
        <v>2</v>
      </c>
      <c r="L1129" s="42" t="str">
        <f>IFERROR(__xludf.DUMMYFUNCTION("""COMPUTED_VALUE"""),"Series 1, Level 1")</f>
        <v>Series 1, Level 1</v>
      </c>
      <c r="M1129" s="42" t="str">
        <f>IFERROR(__xludf.DUMMYFUNCTION("""COMPUTED_VALUE"""),"[C]")</f>
        <v>[C]</v>
      </c>
      <c r="N1129" s="42" t="str">
        <f>IFERROR(__xludf.DUMMYFUNCTION("""COMPUTED_VALUE"""),"Brago's 1st spell. It throws waves of gravity at an opponent.")</f>
        <v>Brago's 1st spell. It throws waves of gravity at an opponent.</v>
      </c>
      <c r="O1129" s="42"/>
      <c r="P1129" s="42"/>
      <c r="Q1129" s="42"/>
      <c r="R1129" s="42"/>
      <c r="S1129" s="42"/>
      <c r="T1129" s="42"/>
      <c r="U1129" s="42"/>
      <c r="V1129" s="42"/>
      <c r="W1129" s="42"/>
      <c r="X1129" s="42"/>
      <c r="Y1129" s="42"/>
      <c r="Z1129" s="42"/>
    </row>
    <row r="1130">
      <c r="A1130" s="41" t="str">
        <f>IFERROR(__xludf.DUMMYFUNCTION("""COMPUTED_VALUE"""),"S-009")</f>
        <v>S-009</v>
      </c>
      <c r="B1130" s="42" t="str">
        <f>IFERROR(__xludf.DUMMYFUNCTION("""COMPUTED_VALUE"""),"Spell")</f>
        <v>Spell</v>
      </c>
      <c r="C1130" s="42" t="str">
        <f>IFERROR(__xludf.DUMMYFUNCTION("""COMPUTED_VALUE"""),"Gravirei")</f>
        <v>Gravirei</v>
      </c>
      <c r="D1130" s="42" t="str">
        <f>IFERROR(__xludf.DUMMYFUNCTION("""COMPUTED_VALUE"""),"Brago")</f>
        <v>Brago</v>
      </c>
      <c r="E1130" s="42">
        <f>IFERROR(__xludf.DUMMYFUNCTION("""COMPUTED_VALUE"""),2.0)</f>
        <v>2</v>
      </c>
      <c r="F1130" s="42" t="str">
        <f>IFERROR(__xludf.DUMMYFUNCTION("""COMPUTED_VALUE"""),"A")</f>
        <v>A</v>
      </c>
      <c r="G1130" s="42" t="str">
        <f>IFERROR(__xludf.DUMMYFUNCTION("""COMPUTED_VALUE"""),"None")</f>
        <v>None</v>
      </c>
      <c r="H1130" s="42" t="str">
        <f>IFERROR(__xludf.DUMMYFUNCTION("""COMPUTED_VALUE"""),"Down Force")</f>
        <v>Down Force</v>
      </c>
      <c r="I1130" s="43" t="str">
        <f>IFERROR(__xludf.DUMMYFUNCTION("""COMPUTED_VALUE"""),"Damage your opponent's Spell Book when you win the Battle as an Attacker. When you inflict Damage or Injury, your opponent cannot play SPELL cards until the END PHASE of their next turn ([STAY]).")</f>
        <v>Damage your opponent's Spell Book when you win the Battle as an Attacker. When you inflict Damage or Injury, your opponent cannot play SPELL cards until the END PHASE of their next turn ([STAY]).</v>
      </c>
      <c r="J1130" s="42" t="str">
        <f>IFERROR(__xludf.DUMMYFUNCTION("""COMPUTED_VALUE"""),"+2000")</f>
        <v>+2000</v>
      </c>
      <c r="K1130" s="42">
        <f>IFERROR(__xludf.DUMMYFUNCTION("""COMPUTED_VALUE"""),1.0)</f>
        <v>1</v>
      </c>
      <c r="L1130" s="42" t="str">
        <f>IFERROR(__xludf.DUMMYFUNCTION("""COMPUTED_VALUE"""),"Series 1, Level 1")</f>
        <v>Series 1, Level 1</v>
      </c>
      <c r="M1130" s="42" t="str">
        <f>IFERROR(__xludf.DUMMYFUNCTION("""COMPUTED_VALUE"""),"[C]")</f>
        <v>[C]</v>
      </c>
      <c r="N1130" s="42" t="str">
        <f>IFERROR(__xludf.DUMMYFUNCTION("""COMPUTED_VALUE"""),"Brago's 2nd spell. It pins opponents down with a strong gravitational pull.")</f>
        <v>Brago's 2nd spell. It pins opponents down with a strong gravitational pull.</v>
      </c>
      <c r="O1130" s="42"/>
      <c r="P1130" s="42"/>
      <c r="Q1130" s="42"/>
      <c r="R1130" s="42"/>
      <c r="S1130" s="42"/>
      <c r="T1130" s="42"/>
      <c r="U1130" s="42"/>
      <c r="V1130" s="42"/>
      <c r="W1130" s="42"/>
      <c r="X1130" s="42"/>
      <c r="Y1130" s="42"/>
      <c r="Z1130" s="42"/>
    </row>
    <row r="1131">
      <c r="A1131" s="41" t="str">
        <f>IFERROR(__xludf.DUMMYFUNCTION("""COMPUTED_VALUE"""),"S-010")</f>
        <v>S-010</v>
      </c>
      <c r="B1131" s="42" t="str">
        <f>IFERROR(__xludf.DUMMYFUNCTION("""COMPUTED_VALUE"""),"Spell")</f>
        <v>Spell</v>
      </c>
      <c r="C1131" s="42" t="str">
        <f>IFERROR(__xludf.DUMMYFUNCTION("""COMPUTED_VALUE"""),"Giganoreis")</f>
        <v>Giganoreis</v>
      </c>
      <c r="D1131" s="42" t="str">
        <f>IFERROR(__xludf.DUMMYFUNCTION("""COMPUTED_VALUE"""),"Brago")</f>
        <v>Brago</v>
      </c>
      <c r="E1131" s="42">
        <f>IFERROR(__xludf.DUMMYFUNCTION("""COMPUTED_VALUE"""),3.0)</f>
        <v>3</v>
      </c>
      <c r="F1131" s="42" t="str">
        <f>IFERROR(__xludf.DUMMYFUNCTION("""COMPUTED_VALUE"""),"AD")</f>
        <v>AD</v>
      </c>
      <c r="G1131" s="42" t="str">
        <f>IFERROR(__xludf.DUMMYFUNCTION("""COMPUTED_VALUE"""),"None")</f>
        <v>None</v>
      </c>
      <c r="H1131" s="42" t="str">
        <f>IFERROR(__xludf.DUMMYFUNCTION("""COMPUTED_VALUE"""),"Down Force")</f>
        <v>Down Force</v>
      </c>
      <c r="I1131" s="43" t="str">
        <f>IFERROR(__xludf.DUMMYFUNCTION("""COMPUTED_VALUE"""),"Damage your opponent's Spell Book when you win the Battle as an Attacker.")</f>
        <v>Damage your opponent's Spell Book when you win the Battle as an Attacker.</v>
      </c>
      <c r="J1131" s="42" t="str">
        <f>IFERROR(__xludf.DUMMYFUNCTION("""COMPUTED_VALUE"""),"+3000")</f>
        <v>+3000</v>
      </c>
      <c r="K1131" s="42">
        <f>IFERROR(__xludf.DUMMYFUNCTION("""COMPUTED_VALUE"""),2.0)</f>
        <v>2</v>
      </c>
      <c r="L1131" s="42" t="str">
        <f>IFERROR(__xludf.DUMMYFUNCTION("""COMPUTED_VALUE"""),"Series 1, Level 1")</f>
        <v>Series 1, Level 1</v>
      </c>
      <c r="M1131" s="42" t="str">
        <f>IFERROR(__xludf.DUMMYFUNCTION("""COMPUTED_VALUE"""),"-")</f>
        <v>-</v>
      </c>
      <c r="N1131" s="42" t="str">
        <f>IFERROR(__xludf.DUMMYFUNCTION("""COMPUTED_VALUE"""),"Brago's 3rd spell. A stronger form of Reis, it hits opponents with an energy cluster.")</f>
        <v>Brago's 3rd spell. A stronger form of Reis, it hits opponents with an energy cluster.</v>
      </c>
      <c r="O1131" s="42"/>
      <c r="P1131" s="42"/>
      <c r="Q1131" s="42"/>
      <c r="R1131" s="42"/>
      <c r="S1131" s="42"/>
      <c r="T1131" s="42"/>
      <c r="U1131" s="42"/>
      <c r="V1131" s="42"/>
      <c r="W1131" s="42"/>
      <c r="X1131" s="42"/>
      <c r="Y1131" s="42"/>
      <c r="Z1131" s="42"/>
    </row>
    <row r="1132">
      <c r="A1132" s="41" t="str">
        <f>IFERROR(__xludf.DUMMYFUNCTION("""COMPUTED_VALUE"""),"S-011")</f>
        <v>S-011</v>
      </c>
      <c r="B1132" s="42" t="str">
        <f>IFERROR(__xludf.DUMMYFUNCTION("""COMPUTED_VALUE"""),"Spell")</f>
        <v>Spell</v>
      </c>
      <c r="C1132" s="42" t="str">
        <f>IFERROR(__xludf.DUMMYFUNCTION("""COMPUTED_VALUE"""),"Ion Gravirei")</f>
        <v>Ion Gravirei</v>
      </c>
      <c r="D1132" s="42" t="str">
        <f>IFERROR(__xludf.DUMMYFUNCTION("""COMPUTED_VALUE"""),"Brago")</f>
        <v>Brago</v>
      </c>
      <c r="E1132" s="42">
        <f>IFERROR(__xludf.DUMMYFUNCTION("""COMPUTED_VALUE"""),4.0)</f>
        <v>4</v>
      </c>
      <c r="F1132" s="42" t="str">
        <f>IFERROR(__xludf.DUMMYFUNCTION("""COMPUTED_VALUE"""),"A")</f>
        <v>A</v>
      </c>
      <c r="G1132" s="42" t="str">
        <f>IFERROR(__xludf.DUMMYFUNCTION("""COMPUTED_VALUE"""),"Intermediate")</f>
        <v>Intermediate</v>
      </c>
      <c r="H1132" s="42" t="str">
        <f>IFERROR(__xludf.DUMMYFUNCTION("""COMPUTED_VALUE"""),"Down Force")</f>
        <v>Down Force</v>
      </c>
      <c r="I1132" s="43" t="str">
        <f>IFERROR(__xludf.DUMMYFUNCTION("""COMPUTED_VALUE"""),"Damage your opponent's Spell Book when you win the Battle as an Attacker. When you inflict Damage or Injury, your opponent cannot play SPELL cards until the END PHASE of their next turn ([STAY]).")</f>
        <v>Damage your opponent's Spell Book when you win the Battle as an Attacker. When you inflict Damage or Injury, your opponent cannot play SPELL cards until the END PHASE of their next turn ([STAY]).</v>
      </c>
      <c r="J1132" s="42" t="str">
        <f>IFERROR(__xludf.DUMMYFUNCTION("""COMPUTED_VALUE"""),"+4000")</f>
        <v>+4000</v>
      </c>
      <c r="K1132" s="42">
        <f>IFERROR(__xludf.DUMMYFUNCTION("""COMPUTED_VALUE"""),3.0)</f>
        <v>3</v>
      </c>
      <c r="L1132" s="42" t="str">
        <f>IFERROR(__xludf.DUMMYFUNCTION("""COMPUTED_VALUE"""),"Series 1, Level 1, The Best Booster 1")</f>
        <v>Series 1, Level 1, The Best Booster 1</v>
      </c>
      <c r="M1132" s="42" t="str">
        <f>IFERROR(__xludf.DUMMYFUNCTION("""COMPUTED_VALUE"""),"-")</f>
        <v>-</v>
      </c>
      <c r="N1132" s="42" t="str">
        <f>IFERROR(__xludf.DUMMYFUNCTION("""COMPUTED_VALUE"""),"Brago's 4th spell. Its uncomparible gravity pull is even stronger than Gravirei.")</f>
        <v>Brago's 4th spell. Its uncomparible gravity pull is even stronger than Gravirei.</v>
      </c>
      <c r="O1132" s="42"/>
      <c r="P1132" s="42"/>
      <c r="Q1132" s="42"/>
      <c r="R1132" s="42"/>
      <c r="S1132" s="42"/>
      <c r="T1132" s="42"/>
      <c r="U1132" s="42"/>
      <c r="V1132" s="42"/>
      <c r="W1132" s="42"/>
      <c r="X1132" s="42"/>
      <c r="Y1132" s="42"/>
      <c r="Z1132" s="42"/>
    </row>
    <row r="1133">
      <c r="A1133" s="41" t="str">
        <f>IFERROR(__xludf.DUMMYFUNCTION("""COMPUTED_VALUE"""),"S-012")</f>
        <v>S-012</v>
      </c>
      <c r="B1133" s="42" t="str">
        <f>IFERROR(__xludf.DUMMYFUNCTION("""COMPUTED_VALUE"""),"Spell")</f>
        <v>Spell</v>
      </c>
      <c r="C1133" s="42" t="str">
        <f>IFERROR(__xludf.DUMMYFUNCTION("""COMPUTED_VALUE"""),"Doruk")</f>
        <v>Doruk</v>
      </c>
      <c r="D1133" s="42" t="str">
        <f>IFERROR(__xludf.DUMMYFUNCTION("""COMPUTED_VALUE"""),"Gofure")</f>
        <v>Gofure</v>
      </c>
      <c r="E1133" s="42">
        <f>IFERROR(__xludf.DUMMYFUNCTION("""COMPUTED_VALUE"""),1.0)</f>
        <v>1</v>
      </c>
      <c r="F1133" s="42" t="str">
        <f>IFERROR(__xludf.DUMMYFUNCTION("""COMPUTED_VALUE"""),"A")</f>
        <v>A</v>
      </c>
      <c r="G1133" s="42" t="str">
        <f>IFERROR(__xludf.DUMMYFUNCTION("""COMPUTED_VALUE"""),"None")</f>
        <v>None</v>
      </c>
      <c r="H1133" s="42" t="str">
        <f>IFERROR(__xludf.DUMMYFUNCTION("""COMPUTED_VALUE"""),"-")</f>
        <v>-</v>
      </c>
      <c r="I1133" s="43" t="str">
        <f>IFERROR(__xludf.DUMMYFUNCTION("""COMPUTED_VALUE"""),"Damage your opponent's Spell Book when you win the Battle as an Attacker.")</f>
        <v>Damage your opponent's Spell Book when you win the Battle as an Attacker.</v>
      </c>
      <c r="J1133" s="42" t="str">
        <f>IFERROR(__xludf.DUMMYFUNCTION("""COMPUTED_VALUE"""),"+3000")</f>
        <v>+3000</v>
      </c>
      <c r="K1133" s="42">
        <f>IFERROR(__xludf.DUMMYFUNCTION("""COMPUTED_VALUE"""),1.0)</f>
        <v>1</v>
      </c>
      <c r="L1133" s="42" t="str">
        <f>IFERROR(__xludf.DUMMYFUNCTION("""COMPUTED_VALUE"""),"Series 1, Level 1")</f>
        <v>Series 1, Level 1</v>
      </c>
      <c r="M1133" s="42" t="str">
        <f>IFERROR(__xludf.DUMMYFUNCTION("""COMPUTED_VALUE"""),"[C]")</f>
        <v>[C]</v>
      </c>
      <c r="N1133" s="42" t="str">
        <f>IFERROR(__xludf.DUMMYFUNCTION("""COMPUTED_VALUE"""),"Gofure's 1st spell. He transforms into a beast to attack opponents.")</f>
        <v>Gofure's 1st spell. He transforms into a beast to attack opponents.</v>
      </c>
      <c r="O1133" s="42"/>
      <c r="P1133" s="42"/>
      <c r="Q1133" s="42"/>
      <c r="R1133" s="42"/>
      <c r="S1133" s="42"/>
      <c r="T1133" s="42"/>
      <c r="U1133" s="42"/>
      <c r="V1133" s="42"/>
      <c r="W1133" s="42"/>
      <c r="X1133" s="42"/>
      <c r="Y1133" s="42"/>
      <c r="Z1133" s="42"/>
    </row>
    <row r="1134">
      <c r="A1134" s="41" t="str">
        <f>IFERROR(__xludf.DUMMYFUNCTION("""COMPUTED_VALUE"""),"S-013")</f>
        <v>S-013</v>
      </c>
      <c r="B1134" s="42" t="str">
        <f>IFERROR(__xludf.DUMMYFUNCTION("""COMPUTED_VALUE"""),"Spell")</f>
        <v>Spell</v>
      </c>
      <c r="C1134" s="42" t="str">
        <f>IFERROR(__xludf.DUMMYFUNCTION("""COMPUTED_VALUE"""),"Dorsen")</f>
        <v>Dorsen</v>
      </c>
      <c r="D1134" s="42" t="str">
        <f>IFERROR(__xludf.DUMMYFUNCTION("""COMPUTED_VALUE"""),"Gofure")</f>
        <v>Gofure</v>
      </c>
      <c r="E1134" s="42">
        <f>IFERROR(__xludf.DUMMYFUNCTION("""COMPUTED_VALUE"""),2.0)</f>
        <v>2</v>
      </c>
      <c r="F1134" s="42" t="str">
        <f>IFERROR(__xludf.DUMMYFUNCTION("""COMPUTED_VALUE"""),"A")</f>
        <v>A</v>
      </c>
      <c r="G1134" s="42" t="str">
        <f>IFERROR(__xludf.DUMMYFUNCTION("""COMPUTED_VALUE"""),"None")</f>
        <v>None</v>
      </c>
      <c r="H1134" s="42" t="str">
        <f>IFERROR(__xludf.DUMMYFUNCTION("""COMPUTED_VALUE"""),"-")</f>
        <v>-</v>
      </c>
      <c r="I1134" s="43" t="str">
        <f>IFERROR(__xludf.DUMMYFUNCTION("""COMPUTED_VALUE"""),"Damage your opponent's Spell Book when you win the Battle as an Attacker.")</f>
        <v>Damage your opponent's Spell Book when you win the Battle as an Attacker.</v>
      </c>
      <c r="J1134" s="42" t="str">
        <f>IFERROR(__xludf.DUMMYFUNCTION("""COMPUTED_VALUE"""),"+3000")</f>
        <v>+3000</v>
      </c>
      <c r="K1134" s="42">
        <f>IFERROR(__xludf.DUMMYFUNCTION("""COMPUTED_VALUE"""),2.0)</f>
        <v>2</v>
      </c>
      <c r="L1134" s="42" t="str">
        <f>IFERROR(__xludf.DUMMYFUNCTION("""COMPUTED_VALUE"""),"Series 1, Level 1")</f>
        <v>Series 1, Level 1</v>
      </c>
      <c r="M1134" s="42" t="str">
        <f>IFERROR(__xludf.DUMMYFUNCTION("""COMPUTED_VALUE"""),"[U]")</f>
        <v>[U]</v>
      </c>
      <c r="N1134" s="42" t="str">
        <f>IFERROR(__xludf.DUMMYFUNCTION("""COMPUTED_VALUE"""),"Gofure's 2nd spell. His tail turns to rock and shoots rock spikes at opponents.")</f>
        <v>Gofure's 2nd spell. His tail turns to rock and shoots rock spikes at opponents.</v>
      </c>
      <c r="O1134" s="42"/>
      <c r="P1134" s="42"/>
      <c r="Q1134" s="42"/>
      <c r="R1134" s="42"/>
      <c r="S1134" s="42"/>
      <c r="T1134" s="42"/>
      <c r="U1134" s="42"/>
      <c r="V1134" s="42"/>
      <c r="W1134" s="42"/>
      <c r="X1134" s="42"/>
      <c r="Y1134" s="42"/>
      <c r="Z1134" s="42"/>
    </row>
    <row r="1135">
      <c r="A1135" s="41" t="str">
        <f>IFERROR(__xludf.DUMMYFUNCTION("""COMPUTED_VALUE"""),"S-014")</f>
        <v>S-014</v>
      </c>
      <c r="B1135" s="42" t="str">
        <f>IFERROR(__xludf.DUMMYFUNCTION("""COMPUTED_VALUE"""),"Spell")</f>
        <v>Spell</v>
      </c>
      <c r="C1135" s="42" t="str">
        <f>IFERROR(__xludf.DUMMYFUNCTION("""COMPUTED_VALUE"""),"Juron")</f>
        <v>Juron</v>
      </c>
      <c r="D1135" s="42" t="str">
        <f>IFERROR(__xludf.DUMMYFUNCTION("""COMPUTED_VALUE"""),"Sugino")</f>
        <v>Sugino</v>
      </c>
      <c r="E1135" s="42">
        <f>IFERROR(__xludf.DUMMYFUNCTION("""COMPUTED_VALUE"""),2.0)</f>
        <v>2</v>
      </c>
      <c r="F1135" s="42" t="str">
        <f>IFERROR(__xludf.DUMMYFUNCTION("""COMPUTED_VALUE"""),"AD")</f>
        <v>AD</v>
      </c>
      <c r="G1135" s="42" t="str">
        <f>IFERROR(__xludf.DUMMYFUNCTION("""COMPUTED_VALUE"""),"None")</f>
        <v>None</v>
      </c>
      <c r="H1135" s="42" t="str">
        <f>IFERROR(__xludf.DUMMYFUNCTION("""COMPUTED_VALUE"""),"Wood")</f>
        <v>Wood</v>
      </c>
      <c r="I1135" s="43" t="str">
        <f>IFERROR(__xludf.DUMMYFUNCTION("""COMPUTED_VALUE"""),"Damage your opponent's Spell Book when you win the Battle as an Attacker. When you inflict Damage or Injury, flip a coin; if it's heads, your opponent cannot play SPELL cards until the END PHASE of the next turn ([STAY]).")</f>
        <v>Damage your opponent's Spell Book when you win the Battle as an Attacker. When you inflict Damage or Injury, flip a coin; if it's heads, your opponent cannot play SPELL cards until the END PHASE of the next turn ([STAY]).</v>
      </c>
      <c r="J1135" s="42" t="str">
        <f>IFERROR(__xludf.DUMMYFUNCTION("""COMPUTED_VALUE"""),"+2000")</f>
        <v>+2000</v>
      </c>
      <c r="K1135" s="42">
        <f>IFERROR(__xludf.DUMMYFUNCTION("""COMPUTED_VALUE"""),1.0)</f>
        <v>1</v>
      </c>
      <c r="L1135" s="42" t="str">
        <f>IFERROR(__xludf.DUMMYFUNCTION("""COMPUTED_VALUE"""),"Series 1, Level 1")</f>
        <v>Series 1, Level 1</v>
      </c>
      <c r="M1135" s="42" t="str">
        <f>IFERROR(__xludf.DUMMYFUNCTION("""COMPUTED_VALUE"""),"[C]")</f>
        <v>[C]</v>
      </c>
      <c r="N1135" s="42" t="str">
        <f>IFERROR(__xludf.DUMMYFUNCTION("""COMPUTED_VALUE"""),"Sugino's 1st spell. It halts an opponent's movement by controlling plants.")</f>
        <v>Sugino's 1st spell. It halts an opponent's movement by controlling plants.</v>
      </c>
      <c r="O1135" s="42"/>
      <c r="P1135" s="42"/>
      <c r="Q1135" s="42"/>
      <c r="R1135" s="42"/>
      <c r="S1135" s="42"/>
      <c r="T1135" s="42"/>
      <c r="U1135" s="42"/>
      <c r="V1135" s="42"/>
      <c r="W1135" s="42"/>
      <c r="X1135" s="42"/>
      <c r="Y1135" s="42"/>
      <c r="Z1135" s="42"/>
    </row>
    <row r="1136">
      <c r="A1136" s="41" t="str">
        <f>IFERROR(__xludf.DUMMYFUNCTION("""COMPUTED_VALUE"""),"S-015")</f>
        <v>S-015</v>
      </c>
      <c r="B1136" s="42" t="str">
        <f>IFERROR(__xludf.DUMMYFUNCTION("""COMPUTED_VALUE"""),"Spell")</f>
        <v>Spell</v>
      </c>
      <c r="C1136" s="42" t="str">
        <f>IFERROR(__xludf.DUMMYFUNCTION("""COMPUTED_VALUE"""),"Raja Jugaro")</f>
        <v>Raja Jugaro</v>
      </c>
      <c r="D1136" s="42" t="str">
        <f>IFERROR(__xludf.DUMMYFUNCTION("""COMPUTED_VALUE"""),"Sugino")</f>
        <v>Sugino</v>
      </c>
      <c r="E1136" s="42">
        <f>IFERROR(__xludf.DUMMYFUNCTION("""COMPUTED_VALUE"""),4.0)</f>
        <v>4</v>
      </c>
      <c r="F1136" s="42" t="str">
        <f>IFERROR(__xludf.DUMMYFUNCTION("""COMPUTED_VALUE"""),"AD")</f>
        <v>AD</v>
      </c>
      <c r="G1136" s="42" t="str">
        <f>IFERROR(__xludf.DUMMYFUNCTION("""COMPUTED_VALUE"""),"None")</f>
        <v>None</v>
      </c>
      <c r="H1136" s="42" t="str">
        <f>IFERROR(__xludf.DUMMYFUNCTION("""COMPUTED_VALUE"""),"Wood")</f>
        <v>Wood</v>
      </c>
      <c r="I1136" s="43" t="str">
        <f>IFERROR(__xludf.DUMMYFUNCTION("""COMPUTED_VALUE"""),"Damage your opponent’s Spell Book when you win the Battle as an Attacker.")</f>
        <v>Damage your opponent’s Spell Book when you win the Battle as an Attacker.</v>
      </c>
      <c r="J1136" s="42" t="str">
        <f>IFERROR(__xludf.DUMMYFUNCTION("""COMPUTED_VALUE"""),"+4000")</f>
        <v>+4000</v>
      </c>
      <c r="K1136" s="42">
        <f>IFERROR(__xludf.DUMMYFUNCTION("""COMPUTED_VALUE"""),3.0)</f>
        <v>3</v>
      </c>
      <c r="L1136" s="42" t="str">
        <f>IFERROR(__xludf.DUMMYFUNCTION("""COMPUTED_VALUE"""),"Series 1, Level 1")</f>
        <v>Series 1, Level 1</v>
      </c>
      <c r="M1136" s="42" t="str">
        <f>IFERROR(__xludf.DUMMYFUNCTION("""COMPUTED_VALUE"""),"[U]")</f>
        <v>[U]</v>
      </c>
      <c r="N1136" s="42" t="str">
        <f>IFERROR(__xludf.DUMMYFUNCTION("""COMPUTED_VALUE"""),"Sugino's 2nd spell. It summons a gigantic plant that shoots seeds.")</f>
        <v>Sugino's 2nd spell. It summons a gigantic plant that shoots seeds.</v>
      </c>
      <c r="O1136" s="42"/>
      <c r="P1136" s="42"/>
      <c r="Q1136" s="42"/>
      <c r="R1136" s="42"/>
      <c r="S1136" s="42"/>
      <c r="T1136" s="42"/>
      <c r="U1136" s="42"/>
      <c r="V1136" s="42"/>
      <c r="W1136" s="42"/>
      <c r="X1136" s="42"/>
      <c r="Y1136" s="42"/>
      <c r="Z1136" s="42"/>
    </row>
    <row r="1137">
      <c r="A1137" s="41" t="str">
        <f>IFERROR(__xludf.DUMMYFUNCTION("""COMPUTED_VALUE"""),"S-016")</f>
        <v>S-016</v>
      </c>
      <c r="B1137" s="42" t="str">
        <f>IFERROR(__xludf.DUMMYFUNCTION("""COMPUTED_VALUE"""),"Spell")</f>
        <v>Spell</v>
      </c>
      <c r="C1137" s="42" t="str">
        <f>IFERROR(__xludf.DUMMYFUNCTION("""COMPUTED_VALUE"""),"Zeruk")</f>
        <v>Zeruk</v>
      </c>
      <c r="D1137" s="42" t="str">
        <f>IFERROR(__xludf.DUMMYFUNCTION("""COMPUTED_VALUE"""),"Kolulu")</f>
        <v>Kolulu</v>
      </c>
      <c r="E1137" s="42">
        <f>IFERROR(__xludf.DUMMYFUNCTION("""COMPUTED_VALUE"""),1.0)</f>
        <v>1</v>
      </c>
      <c r="F1137" s="42" t="str">
        <f>IFERROR(__xludf.DUMMYFUNCTION("""COMPUTED_VALUE"""),"AD")</f>
        <v>AD</v>
      </c>
      <c r="G1137" s="42" t="str">
        <f>IFERROR(__xludf.DUMMYFUNCTION("""COMPUTED_VALUE"""),"None")</f>
        <v>None</v>
      </c>
      <c r="H1137" s="42" t="str">
        <f>IFERROR(__xludf.DUMMYFUNCTION("""COMPUTED_VALUE"""),"-")</f>
        <v>-</v>
      </c>
      <c r="I1137" s="43" t="str">
        <f>IFERROR(__xludf.DUMMYFUNCTION("""COMPUTED_VALUE"""),"Damage your opponent’s Spell Book when you win the Battle as an Attacker. When Defending, add 1000 Power to this SPELL card.   ")</f>
        <v>Damage your opponent’s Spell Book when you win the Battle as an Attacker. When Defending, add 1000 Power to this SPELL card.   </v>
      </c>
      <c r="J1137" s="42" t="str">
        <f>IFERROR(__xludf.DUMMYFUNCTION("""COMPUTED_VALUE"""),"+2000")</f>
        <v>+2000</v>
      </c>
      <c r="K1137" s="42">
        <f>IFERROR(__xludf.DUMMYFUNCTION("""COMPUTED_VALUE"""),1.0)</f>
        <v>1</v>
      </c>
      <c r="L1137" s="42" t="str">
        <f>IFERROR(__xludf.DUMMYFUNCTION("""COMPUTED_VALUE"""),"Series 1, Level 1")</f>
        <v>Series 1, Level 1</v>
      </c>
      <c r="M1137" s="42" t="str">
        <f>IFERROR(__xludf.DUMMYFUNCTION("""COMPUTED_VALUE"""),"[C]")</f>
        <v>[C]</v>
      </c>
      <c r="N1137" s="42" t="str">
        <f>IFERROR(__xludf.DUMMYFUNCTION("""COMPUTED_VALUE"""),"Kolulu's 1st spell. She transforms into a fierce figure whose sharp claws destroy everything.")</f>
        <v>Kolulu's 1st spell. She transforms into a fierce figure whose sharp claws destroy everything.</v>
      </c>
      <c r="O1137" s="42"/>
      <c r="P1137" s="42"/>
      <c r="Q1137" s="42"/>
      <c r="R1137" s="42"/>
      <c r="S1137" s="42"/>
      <c r="T1137" s="42"/>
      <c r="U1137" s="42"/>
      <c r="V1137" s="42"/>
      <c r="W1137" s="42"/>
      <c r="X1137" s="42"/>
      <c r="Y1137" s="42"/>
      <c r="Z1137" s="42"/>
    </row>
    <row r="1138">
      <c r="A1138" s="41" t="str">
        <f>IFERROR(__xludf.DUMMYFUNCTION("""COMPUTED_VALUE"""),"S-017")</f>
        <v>S-017</v>
      </c>
      <c r="B1138" s="42" t="str">
        <f>IFERROR(__xludf.DUMMYFUNCTION("""COMPUTED_VALUE"""),"Spell")</f>
        <v>Spell</v>
      </c>
      <c r="C1138" s="42" t="str">
        <f>IFERROR(__xludf.DUMMYFUNCTION("""COMPUTED_VALUE"""),"Zerusen")</f>
        <v>Zerusen</v>
      </c>
      <c r="D1138" s="42" t="str">
        <f>IFERROR(__xludf.DUMMYFUNCTION("""COMPUTED_VALUE"""),"Kolulu")</f>
        <v>Kolulu</v>
      </c>
      <c r="E1138" s="42">
        <f>IFERROR(__xludf.DUMMYFUNCTION("""COMPUTED_VALUE"""),4.0)</f>
        <v>4</v>
      </c>
      <c r="F1138" s="42" t="str">
        <f>IFERROR(__xludf.DUMMYFUNCTION("""COMPUTED_VALUE"""),"AD")</f>
        <v>AD</v>
      </c>
      <c r="G1138" s="42" t="str">
        <f>IFERROR(__xludf.DUMMYFUNCTION("""COMPUTED_VALUE"""),"None")</f>
        <v>None</v>
      </c>
      <c r="H1138" s="42" t="str">
        <f>IFERROR(__xludf.DUMMYFUNCTION("""COMPUTED_VALUE"""),"-")</f>
        <v>-</v>
      </c>
      <c r="I1138" s="43" t="str">
        <f>IFERROR(__xludf.DUMMYFUNCTION("""COMPUTED_VALUE"""),"Damage your opponent’s Spell Book when you win the Battle as an Attacker. When Defending, add 2000 Power to this SPELL card.   ")</f>
        <v>Damage your opponent’s Spell Book when you win the Battle as an Attacker. When Defending, add 2000 Power to this SPELL card.   </v>
      </c>
      <c r="J1138" s="42" t="str">
        <f>IFERROR(__xludf.DUMMYFUNCTION("""COMPUTED_VALUE"""),"+3000")</f>
        <v>+3000</v>
      </c>
      <c r="K1138" s="42">
        <f>IFERROR(__xludf.DUMMYFUNCTION("""COMPUTED_VALUE"""),2.0)</f>
        <v>2</v>
      </c>
      <c r="L1138" s="42" t="str">
        <f>IFERROR(__xludf.DUMMYFUNCTION("""COMPUTED_VALUE"""),"Series 1, Level 1")</f>
        <v>Series 1, Level 1</v>
      </c>
      <c r="M1138" s="42" t="str">
        <f>IFERROR(__xludf.DUMMYFUNCTION("""COMPUTED_VALUE"""),"[U]")</f>
        <v>[U]</v>
      </c>
      <c r="N1138" s="42" t="str">
        <f>IFERROR(__xludf.DUMMYFUNCTION("""COMPUTED_VALUE"""),"Kolulu's 2nd spell. Her punch penetrates opponents like a rocket.")</f>
        <v>Kolulu's 2nd spell. Her punch penetrates opponents like a rocket.</v>
      </c>
      <c r="O1138" s="42"/>
      <c r="P1138" s="42"/>
      <c r="Q1138" s="42"/>
      <c r="R1138" s="42"/>
      <c r="S1138" s="42"/>
      <c r="T1138" s="42"/>
      <c r="U1138" s="42"/>
      <c r="V1138" s="42"/>
      <c r="W1138" s="42"/>
      <c r="X1138" s="42"/>
      <c r="Y1138" s="42"/>
      <c r="Z1138" s="42"/>
    </row>
    <row r="1139">
      <c r="A1139" s="41" t="str">
        <f>IFERROR(__xludf.DUMMYFUNCTION("""COMPUTED_VALUE"""),"S-018")</f>
        <v>S-018</v>
      </c>
      <c r="B1139" s="42" t="str">
        <f>IFERROR(__xludf.DUMMYFUNCTION("""COMPUTED_VALUE"""),"Spell")</f>
        <v>Spell</v>
      </c>
      <c r="C1139" s="42" t="str">
        <f>IFERROR(__xludf.DUMMYFUNCTION("""COMPUTED_VALUE"""),"Wigar")</f>
        <v>Wigar</v>
      </c>
      <c r="D1139" s="42" t="str">
        <f>IFERROR(__xludf.DUMMYFUNCTION("""COMPUTED_VALUE"""),"Fein")</f>
        <v>Fein</v>
      </c>
      <c r="E1139" s="42">
        <f>IFERROR(__xludf.DUMMYFUNCTION("""COMPUTED_VALUE"""),2.0)</f>
        <v>2</v>
      </c>
      <c r="F1139" s="42" t="str">
        <f>IFERROR(__xludf.DUMMYFUNCTION("""COMPUTED_VALUE"""),"A")</f>
        <v>A</v>
      </c>
      <c r="G1139" s="42" t="str">
        <f>IFERROR(__xludf.DUMMYFUNCTION("""COMPUTED_VALUE"""),"None")</f>
        <v>None</v>
      </c>
      <c r="H1139" s="42" t="str">
        <f>IFERROR(__xludf.DUMMYFUNCTION("""COMPUTED_VALUE"""),"-")</f>
        <v>-</v>
      </c>
      <c r="I1139" s="43" t="str">
        <f>IFERROR(__xludf.DUMMYFUNCTION("""COMPUTED_VALUE"""),"Damage your opponent’s Spell Book when you win the Battle as an Attacker.")</f>
        <v>Damage your opponent’s Spell Book when you win the Battle as an Attacker.</v>
      </c>
      <c r="J1139" s="42" t="str">
        <f>IFERROR(__xludf.DUMMYFUNCTION("""COMPUTED_VALUE"""),"+2000")</f>
        <v>+2000</v>
      </c>
      <c r="K1139" s="42">
        <f>IFERROR(__xludf.DUMMYFUNCTION("""COMPUTED_VALUE"""),2.0)</f>
        <v>2</v>
      </c>
      <c r="L1139" s="42" t="str">
        <f>IFERROR(__xludf.DUMMYFUNCTION("""COMPUTED_VALUE"""),"Series 1, Level 1")</f>
        <v>Series 1, Level 1</v>
      </c>
      <c r="M1139" s="42" t="str">
        <f>IFERROR(__xludf.DUMMYFUNCTION("""COMPUTED_VALUE"""),"[C]")</f>
        <v>[C]</v>
      </c>
      <c r="N1139" s="42" t="str">
        <f>IFERROR(__xludf.DUMMYFUNCTION("""COMPUTED_VALUE"""),"Fein's 1st spell. It attacks opponents with a shock wave.")</f>
        <v>Fein's 1st spell. It attacks opponents with a shock wave.</v>
      </c>
      <c r="O1139" s="42"/>
      <c r="P1139" s="42"/>
      <c r="Q1139" s="42"/>
      <c r="R1139" s="42"/>
      <c r="S1139" s="42"/>
      <c r="T1139" s="42"/>
      <c r="U1139" s="42"/>
      <c r="V1139" s="42"/>
      <c r="W1139" s="42"/>
      <c r="X1139" s="42"/>
      <c r="Y1139" s="42"/>
      <c r="Z1139" s="42"/>
    </row>
    <row r="1140">
      <c r="A1140" s="41" t="str">
        <f>IFERROR(__xludf.DUMMYFUNCTION("""COMPUTED_VALUE"""),"S-019e")</f>
        <v>S-019e</v>
      </c>
      <c r="B1140" s="42" t="str">
        <f>IFERROR(__xludf.DUMMYFUNCTION("""COMPUTED_VALUE"""),"Spell")</f>
        <v>Spell</v>
      </c>
      <c r="C1140" s="42" t="str">
        <f>IFERROR(__xludf.DUMMYFUNCTION("""COMPUTED_VALUE"""),"Yuruk")</f>
        <v>Yuruk</v>
      </c>
      <c r="D1140" s="42" t="str">
        <f>IFERROR(__xludf.DUMMYFUNCTION("""COMPUTED_VALUE"""),"Fein")</f>
        <v>Fein</v>
      </c>
      <c r="E1140" s="42">
        <f>IFERROR(__xludf.DUMMYFUNCTION("""COMPUTED_VALUE"""),1.0)</f>
        <v>1</v>
      </c>
      <c r="F1140" s="42" t="str">
        <f>IFERROR(__xludf.DUMMYFUNCTION("""COMPUTED_VALUE"""),"AD")</f>
        <v>AD</v>
      </c>
      <c r="G1140" s="42" t="str">
        <f>IFERROR(__xludf.DUMMYFUNCTION("""COMPUTED_VALUE"""),"None")</f>
        <v>None</v>
      </c>
      <c r="H1140" s="42" t="str">
        <f>IFERROR(__xludf.DUMMYFUNCTION("""COMPUTED_VALUE"""),"-")</f>
        <v>-</v>
      </c>
      <c r="I1140" s="43" t="str">
        <f>IFERROR(__xludf.DUMMYFUNCTION("""COMPUTED_VALUE"""),"[STANDBY] When you win the Battle as an Attacker, the next SPELL card you play this turn cannot be Defended.")</f>
        <v>[STANDBY] When you win the Battle as an Attacker, the next SPELL card you play this turn cannot be Defended.</v>
      </c>
      <c r="J1140" s="42" t="str">
        <f>IFERROR(__xludf.DUMMYFUNCTION("""COMPUTED_VALUE"""),"+3000")</f>
        <v>+3000</v>
      </c>
      <c r="K1140" s="42">
        <f>IFERROR(__xludf.DUMMYFUNCTION("""COMPUTED_VALUE"""),0.0)</f>
        <v>0</v>
      </c>
      <c r="L1140" s="42" t="str">
        <f>IFERROR(__xludf.DUMMYFUNCTION("""COMPUTED_VALUE"""),"Series 1, Level 1")</f>
        <v>Series 1, Level 1</v>
      </c>
      <c r="M1140" s="42" t="str">
        <f>IFERROR(__xludf.DUMMYFUNCTION("""COMPUTED_VALUE"""),"[U]")</f>
        <v>[U]</v>
      </c>
      <c r="N1140" s="42" t="str">
        <f>IFERROR(__xludf.DUMMYFUNCTION("""COMPUTED_VALUE"""),"Fein's 2nd spell. It gives Fein the power to move so quickly that he seems to teleport.")</f>
        <v>Fein's 2nd spell. It gives Fein the power to move so quickly that he seems to teleport.</v>
      </c>
      <c r="O1140" s="42"/>
      <c r="P1140" s="42"/>
      <c r="Q1140" s="42"/>
      <c r="R1140" s="42"/>
      <c r="S1140" s="42"/>
      <c r="T1140" s="42"/>
      <c r="U1140" s="42"/>
      <c r="V1140" s="42"/>
      <c r="W1140" s="42"/>
      <c r="X1140" s="42"/>
      <c r="Y1140" s="42"/>
      <c r="Z1140" s="42"/>
    </row>
    <row r="1141">
      <c r="A1141" s="41" t="str">
        <f>IFERROR(__xludf.DUMMYFUNCTION("""COMPUTED_VALUE"""),"S-019j")</f>
        <v>S-019j</v>
      </c>
      <c r="B1141" s="42" t="str">
        <f>IFERROR(__xludf.DUMMYFUNCTION("""COMPUTED_VALUE"""),"Spell")</f>
        <v>Spell</v>
      </c>
      <c r="C1141" s="42" t="str">
        <f>IFERROR(__xludf.DUMMYFUNCTION("""COMPUTED_VALUE"""),"Yuruk")</f>
        <v>Yuruk</v>
      </c>
      <c r="D1141" s="42" t="str">
        <f>IFERROR(__xludf.DUMMYFUNCTION("""COMPUTED_VALUE"""),"Fein")</f>
        <v>Fein</v>
      </c>
      <c r="E1141" s="42">
        <f>IFERROR(__xludf.DUMMYFUNCTION("""COMPUTED_VALUE"""),1.0)</f>
        <v>1</v>
      </c>
      <c r="F1141" s="42" t="str">
        <f>IFERROR(__xludf.DUMMYFUNCTION("""COMPUTED_VALUE"""),"AD")</f>
        <v>AD</v>
      </c>
      <c r="G1141" s="42" t="str">
        <f>IFERROR(__xludf.DUMMYFUNCTION("""COMPUTED_VALUE"""),"None")</f>
        <v>None</v>
      </c>
      <c r="H1141" s="42" t="str">
        <f>IFERROR(__xludf.DUMMYFUNCTION("""COMPUTED_VALUE"""),"-")</f>
        <v>-</v>
      </c>
      <c r="I1141" s="43" t="str">
        <f>IFERROR(__xludf.DUMMYFUNCTION("""COMPUTED_VALUE"""),"[STANDBY] When you win the Battle as an Attacker, the next Attack you declare this turn cannot be Defended. ")</f>
        <v>[STANDBY] When you win the Battle as an Attacker, the next Attack you declare this turn cannot be Defended. </v>
      </c>
      <c r="J1141" s="42" t="str">
        <f>IFERROR(__xludf.DUMMYFUNCTION("""COMPUTED_VALUE"""),"+3000")</f>
        <v>+3000</v>
      </c>
      <c r="K1141" s="42">
        <f>IFERROR(__xludf.DUMMYFUNCTION("""COMPUTED_VALUE"""),0.0)</f>
        <v>0</v>
      </c>
      <c r="L1141" s="42" t="str">
        <f>IFERROR(__xludf.DUMMYFUNCTION("""COMPUTED_VALUE"""),"Series 1, Level 1")</f>
        <v>Series 1, Level 1</v>
      </c>
      <c r="M1141" s="42" t="str">
        <f>IFERROR(__xludf.DUMMYFUNCTION("""COMPUTED_VALUE"""),"[U]")</f>
        <v>[U]</v>
      </c>
      <c r="N1141" s="42" t="str">
        <f>IFERROR(__xludf.DUMMYFUNCTION("""COMPUTED_VALUE"""),"Fein's 2nd spell. It gives Fein the power to move so quickly that he seems to teleport.")</f>
        <v>Fein's 2nd spell. It gives Fein the power to move so quickly that he seems to teleport.</v>
      </c>
      <c r="O1141" s="42"/>
      <c r="P1141" s="42"/>
      <c r="Q1141" s="42"/>
      <c r="R1141" s="42"/>
      <c r="S1141" s="42"/>
      <c r="T1141" s="42"/>
      <c r="U1141" s="42"/>
      <c r="V1141" s="42"/>
      <c r="W1141" s="42"/>
      <c r="X1141" s="42"/>
      <c r="Y1141" s="42"/>
      <c r="Z1141" s="42"/>
    </row>
    <row r="1142">
      <c r="A1142" s="41" t="str">
        <f>IFERROR(__xludf.DUMMYFUNCTION("""COMPUTED_VALUE"""),"S-020")</f>
        <v>S-020</v>
      </c>
      <c r="B1142" s="42" t="str">
        <f>IFERROR(__xludf.DUMMYFUNCTION("""COMPUTED_VALUE"""),"Spell")</f>
        <v>Spell</v>
      </c>
      <c r="C1142" s="42" t="str">
        <f>IFERROR(__xludf.DUMMYFUNCTION("""COMPUTED_VALUE"""),"Poruk")</f>
        <v>Poruk</v>
      </c>
      <c r="D1142" s="42" t="str">
        <f>IFERROR(__xludf.DUMMYFUNCTION("""COMPUTED_VALUE"""),"Kanchome")</f>
        <v>Kanchome</v>
      </c>
      <c r="E1142" s="42">
        <f>IFERROR(__xludf.DUMMYFUNCTION("""COMPUTED_VALUE"""),1.0)</f>
        <v>1</v>
      </c>
      <c r="F1142" s="42" t="str">
        <f>IFERROR(__xludf.DUMMYFUNCTION("""COMPUTED_VALUE"""),"A")</f>
        <v>A</v>
      </c>
      <c r="G1142" s="42" t="str">
        <f>IFERROR(__xludf.DUMMYFUNCTION("""COMPUTED_VALUE"""),"None")</f>
        <v>None</v>
      </c>
      <c r="H1142" s="42" t="str">
        <f>IFERROR(__xludf.DUMMYFUNCTION("""COMPUTED_VALUE"""),"-")</f>
        <v>-</v>
      </c>
      <c r="I1142" s="43" t="str">
        <f>IFERROR(__xludf.DUMMYFUNCTION("""COMPUTED_VALUE"""),"Reduce your opponent’s MP by 3 when you win the Battle as an Attacker.   ")</f>
        <v>Reduce your opponent’s MP by 3 when you win the Battle as an Attacker.   </v>
      </c>
      <c r="J1142" s="42" t="str">
        <f>IFERROR(__xludf.DUMMYFUNCTION("""COMPUTED_VALUE"""),"+2000")</f>
        <v>+2000</v>
      </c>
      <c r="K1142" s="42" t="str">
        <f>IFERROR(__xludf.DUMMYFUNCTION("""COMPUTED_VALUE"""),"-")</f>
        <v>-</v>
      </c>
      <c r="L1142" s="42" t="str">
        <f>IFERROR(__xludf.DUMMYFUNCTION("""COMPUTED_VALUE"""),"Series 1, Level 1")</f>
        <v>Series 1, Level 1</v>
      </c>
      <c r="M1142" s="42" t="str">
        <f>IFERROR(__xludf.DUMMYFUNCTION("""COMPUTED_VALUE"""),"[C]")</f>
        <v>[C]</v>
      </c>
      <c r="N1142" s="42" t="str">
        <f>IFERROR(__xludf.DUMMYFUNCTION("""COMPUTED_VALUE"""),"Kanchome's 1st spell. He can transform into anything he desires.")</f>
        <v>Kanchome's 1st spell. He can transform into anything he desires.</v>
      </c>
      <c r="O1142" s="42"/>
      <c r="P1142" s="42"/>
      <c r="Q1142" s="42"/>
      <c r="R1142" s="42"/>
      <c r="S1142" s="42"/>
      <c r="T1142" s="42"/>
      <c r="U1142" s="42"/>
      <c r="V1142" s="42"/>
      <c r="W1142" s="42"/>
      <c r="X1142" s="42"/>
      <c r="Y1142" s="42"/>
      <c r="Z1142" s="42"/>
    </row>
    <row r="1143">
      <c r="A1143" s="41" t="str">
        <f>IFERROR(__xludf.DUMMYFUNCTION("""COMPUTED_VALUE"""),"S-021")</f>
        <v>S-021</v>
      </c>
      <c r="B1143" s="42" t="str">
        <f>IFERROR(__xludf.DUMMYFUNCTION("""COMPUTED_VALUE"""),"Spell")</f>
        <v>Spell</v>
      </c>
      <c r="C1143" s="42" t="str">
        <f>IFERROR(__xludf.DUMMYFUNCTION("""COMPUTED_VALUE"""),"Koporuk")</f>
        <v>Koporuk</v>
      </c>
      <c r="D1143" s="42" t="str">
        <f>IFERROR(__xludf.DUMMYFUNCTION("""COMPUTED_VALUE"""),"Kanchome")</f>
        <v>Kanchome</v>
      </c>
      <c r="E1143" s="42">
        <f>IFERROR(__xludf.DUMMYFUNCTION("""COMPUTED_VALUE"""),2.0)</f>
        <v>2</v>
      </c>
      <c r="F1143" s="42" t="str">
        <f>IFERROR(__xludf.DUMMYFUNCTION("""COMPUTED_VALUE"""),"D")</f>
        <v>D</v>
      </c>
      <c r="G1143" s="42" t="str">
        <f>IFERROR(__xludf.DUMMYFUNCTION("""COMPUTED_VALUE"""),"None")</f>
        <v>None</v>
      </c>
      <c r="H1143" s="42" t="str">
        <f>IFERROR(__xludf.DUMMYFUNCTION("""COMPUTED_VALUE"""),"-")</f>
        <v>-</v>
      </c>
      <c r="I1143" s="43" t="str">
        <f>IFERROR(__xludf.DUMMYFUNCTION("""COMPUTED_VALUE"""),"Flip a coin twice; if you get heads at least once, negate your opponent's Attack regardless of their Power.")</f>
        <v>Flip a coin twice; if you get heads at least once, negate your opponent's Attack regardless of their Power.</v>
      </c>
      <c r="J1143" s="42" t="str">
        <f>IFERROR(__xludf.DUMMYFUNCTION("""COMPUTED_VALUE"""),"Special")</f>
        <v>Special</v>
      </c>
      <c r="K1143" s="42" t="str">
        <f>IFERROR(__xludf.DUMMYFUNCTION("""COMPUTED_VALUE"""),"-")</f>
        <v>-</v>
      </c>
      <c r="L1143" s="42" t="str">
        <f>IFERROR(__xludf.DUMMYFUNCTION("""COMPUTED_VALUE"""),"Series 1, Level 1, The Best Booster 2, Revised Edition")</f>
        <v>Series 1, Level 1, The Best Booster 2, Revised Edition</v>
      </c>
      <c r="M1143" s="42" t="str">
        <f>IFERROR(__xludf.DUMMYFUNCTION("""COMPUTED_VALUE"""),"[C]")</f>
        <v>[C]</v>
      </c>
      <c r="N1143" s="42" t="str">
        <f>IFERROR(__xludf.DUMMYFUNCTION("""COMPUTED_VALUE"""),"Kanchome's 2nd spell. A shrinking spell that makes him weaker.")</f>
        <v>Kanchome's 2nd spell. A shrinking spell that makes him weaker.</v>
      </c>
      <c r="O1143" s="42"/>
      <c r="P1143" s="42"/>
      <c r="Q1143" s="42"/>
      <c r="R1143" s="42"/>
      <c r="S1143" s="42"/>
      <c r="T1143" s="42"/>
      <c r="U1143" s="42"/>
      <c r="V1143" s="42"/>
      <c r="W1143" s="42"/>
      <c r="X1143" s="42"/>
      <c r="Y1143" s="42"/>
      <c r="Z1143" s="42"/>
    </row>
    <row r="1144">
      <c r="A1144" s="41" t="str">
        <f>IFERROR(__xludf.DUMMYFUNCTION("""COMPUTED_VALUE"""),"S-022")</f>
        <v>S-022</v>
      </c>
      <c r="B1144" s="42" t="str">
        <f>IFERROR(__xludf.DUMMYFUNCTION("""COMPUTED_VALUE"""),"Spell")</f>
        <v>Spell</v>
      </c>
      <c r="C1144" s="42" t="str">
        <f>IFERROR(__xludf.DUMMYFUNCTION("""COMPUTED_VALUE"""),"Seoshi")</f>
        <v>Seoshi</v>
      </c>
      <c r="D1144" s="42" t="str">
        <f>IFERROR(__xludf.DUMMYFUNCTION("""COMPUTED_VALUE"""),"Tia")</f>
        <v>Tia</v>
      </c>
      <c r="E1144" s="42">
        <f>IFERROR(__xludf.DUMMYFUNCTION("""COMPUTED_VALUE"""),1.0)</f>
        <v>1</v>
      </c>
      <c r="F1144" s="42" t="str">
        <f>IFERROR(__xludf.DUMMYFUNCTION("""COMPUTED_VALUE"""),"D")</f>
        <v>D</v>
      </c>
      <c r="G1144" s="42" t="str">
        <f>IFERROR(__xludf.DUMMYFUNCTION("""COMPUTED_VALUE"""),"None")</f>
        <v>None</v>
      </c>
      <c r="H1144" s="42" t="str">
        <f>IFERROR(__xludf.DUMMYFUNCTION("""COMPUTED_VALUE"""),"-")</f>
        <v>-</v>
      </c>
      <c r="I1144" s="43" t="str">
        <f>IFERROR(__xludf.DUMMYFUNCTION("""COMPUTED_VALUE"""),"Negate your opponent’s Attack when you win the Battle as a Defender.   ")</f>
        <v>Negate your opponent’s Attack when you win the Battle as a Defender.   </v>
      </c>
      <c r="J1144" s="42" t="str">
        <f>IFERROR(__xludf.DUMMYFUNCTION("""COMPUTED_VALUE"""),"+4000")</f>
        <v>+4000</v>
      </c>
      <c r="K1144" s="42" t="str">
        <f>IFERROR(__xludf.DUMMYFUNCTION("""COMPUTED_VALUE"""),"-")</f>
        <v>-</v>
      </c>
      <c r="L1144" s="42" t="str">
        <f>IFERROR(__xludf.DUMMYFUNCTION("""COMPUTED_VALUE"""),"Series 1, Level 1")</f>
        <v>Series 1, Level 1</v>
      </c>
      <c r="M1144" s="42" t="str">
        <f>IFERROR(__xludf.DUMMYFUNCTION("""COMPUTED_VALUE"""),"[C]")</f>
        <v>[C]</v>
      </c>
      <c r="N1144" s="42" t="str">
        <f>IFERROR(__xludf.DUMMYFUNCTION("""COMPUTED_VALUE"""),"Tia's 1st spell. It protects against all attacks except those that come from the ground.")</f>
        <v>Tia's 1st spell. It protects against all attacks except those that come from the ground.</v>
      </c>
      <c r="O1144" s="42"/>
      <c r="P1144" s="42"/>
      <c r="Q1144" s="42"/>
      <c r="R1144" s="42"/>
      <c r="S1144" s="42"/>
      <c r="T1144" s="42"/>
      <c r="U1144" s="42"/>
      <c r="V1144" s="42"/>
      <c r="W1144" s="42"/>
      <c r="X1144" s="42"/>
      <c r="Y1144" s="42"/>
      <c r="Z1144" s="42"/>
    </row>
    <row r="1145">
      <c r="A1145" s="41" t="str">
        <f>IFERROR(__xludf.DUMMYFUNCTION("""COMPUTED_VALUE"""),"S-023")</f>
        <v>S-023</v>
      </c>
      <c r="B1145" s="42" t="str">
        <f>IFERROR(__xludf.DUMMYFUNCTION("""COMPUTED_VALUE"""),"Spell")</f>
        <v>Spell</v>
      </c>
      <c r="C1145" s="42" t="str">
        <f>IFERROR(__xludf.DUMMYFUNCTION("""COMPUTED_VALUE"""),"Saisu")</f>
        <v>Saisu</v>
      </c>
      <c r="D1145" s="42" t="str">
        <f>IFERROR(__xludf.DUMMYFUNCTION("""COMPUTED_VALUE"""),"Tia")</f>
        <v>Tia</v>
      </c>
      <c r="E1145" s="42">
        <f>IFERROR(__xludf.DUMMYFUNCTION("""COMPUTED_VALUE"""),1.0)</f>
        <v>1</v>
      </c>
      <c r="F1145" s="42" t="str">
        <f>IFERROR(__xludf.DUMMYFUNCTION("""COMPUTED_VALUE"""),"A")</f>
        <v>A</v>
      </c>
      <c r="G1145" s="42" t="str">
        <f>IFERROR(__xludf.DUMMYFUNCTION("""COMPUTED_VALUE"""),"None")</f>
        <v>None</v>
      </c>
      <c r="H1145" s="42" t="str">
        <f>IFERROR(__xludf.DUMMYFUNCTION("""COMPUTED_VALUE"""),"-")</f>
        <v>-</v>
      </c>
      <c r="I1145" s="43" t="str">
        <f>IFERROR(__xludf.DUMMYFUNCTION("""COMPUTED_VALUE"""),"Damage your opponent’s Spell Book when you win the Battle as an Attacker.")</f>
        <v>Damage your opponent’s Spell Book when you win the Battle as an Attacker.</v>
      </c>
      <c r="J1145" s="42" t="str">
        <f>IFERROR(__xludf.DUMMYFUNCTION("""COMPUTED_VALUE"""),"+1000")</f>
        <v>+1000</v>
      </c>
      <c r="K1145" s="42">
        <f>IFERROR(__xludf.DUMMYFUNCTION("""COMPUTED_VALUE"""),1.0)</f>
        <v>1</v>
      </c>
      <c r="L1145" s="42" t="str">
        <f>IFERROR(__xludf.DUMMYFUNCTION("""COMPUTED_VALUE"""),"Series 1, Level 1")</f>
        <v>Series 1, Level 1</v>
      </c>
      <c r="M1145" s="42" t="str">
        <f>IFERROR(__xludf.DUMMYFUNCTION("""COMPUTED_VALUE"""),"[C]")</f>
        <v>[C]</v>
      </c>
      <c r="N1145" s="42" t="str">
        <f>IFERROR(__xludf.DUMMYFUNCTION("""COMPUTED_VALUE"""),"Tia's 2nd spell. Wind blades slash opponents.")</f>
        <v>Tia's 2nd spell. Wind blades slash opponents.</v>
      </c>
      <c r="O1145" s="42"/>
      <c r="P1145" s="42"/>
      <c r="Q1145" s="42"/>
      <c r="R1145" s="42"/>
      <c r="S1145" s="42"/>
      <c r="T1145" s="42"/>
      <c r="U1145" s="42"/>
      <c r="V1145" s="42"/>
      <c r="W1145" s="42"/>
      <c r="X1145" s="42"/>
      <c r="Y1145" s="42"/>
      <c r="Z1145" s="42"/>
    </row>
    <row r="1146">
      <c r="A1146" s="41" t="str">
        <f>IFERROR(__xludf.DUMMYFUNCTION("""COMPUTED_VALUE"""),"S-024")</f>
        <v>S-024</v>
      </c>
      <c r="B1146" s="42" t="str">
        <f>IFERROR(__xludf.DUMMYFUNCTION("""COMPUTED_VALUE"""),"Spell")</f>
        <v>Spell</v>
      </c>
      <c r="C1146" s="42" t="str">
        <f>IFERROR(__xludf.DUMMYFUNCTION("""COMPUTED_VALUE"""),"Ma Seshield")</f>
        <v>Ma Seshield</v>
      </c>
      <c r="D1146" s="42" t="str">
        <f>IFERROR(__xludf.DUMMYFUNCTION("""COMPUTED_VALUE"""),"Tia")</f>
        <v>Tia</v>
      </c>
      <c r="E1146" s="42">
        <f>IFERROR(__xludf.DUMMYFUNCTION("""COMPUTED_VALUE"""),3.0)</f>
        <v>3</v>
      </c>
      <c r="F1146" s="42" t="str">
        <f>IFERROR(__xludf.DUMMYFUNCTION("""COMPUTED_VALUE"""),"D")</f>
        <v>D</v>
      </c>
      <c r="G1146" s="42" t="str">
        <f>IFERROR(__xludf.DUMMYFUNCTION("""COMPUTED_VALUE"""),"None")</f>
        <v>None</v>
      </c>
      <c r="H1146" s="42" t="str">
        <f>IFERROR(__xludf.DUMMYFUNCTION("""COMPUTED_VALUE"""),"-")</f>
        <v>-</v>
      </c>
      <c r="I1146" s="43" t="str">
        <f>IFERROR(__xludf.DUMMYFUNCTION("""COMPUTED_VALUE"""),"Negate your opponent’s Attack when you win the Battle as a Defender.    ")</f>
        <v>Negate your opponent’s Attack when you win the Battle as a Defender.    </v>
      </c>
      <c r="J1146" s="42" t="str">
        <f>IFERROR(__xludf.DUMMYFUNCTION("""COMPUTED_VALUE"""),"+8000")</f>
        <v>+8000</v>
      </c>
      <c r="K1146" s="42" t="str">
        <f>IFERROR(__xludf.DUMMYFUNCTION("""COMPUTED_VALUE"""),"-")</f>
        <v>-</v>
      </c>
      <c r="L1146" s="42" t="str">
        <f>IFERROR(__xludf.DUMMYFUNCTION("""COMPUTED_VALUE"""),"Series 1, Level 1")</f>
        <v>Series 1, Level 1</v>
      </c>
      <c r="M1146" s="42" t="str">
        <f>IFERROR(__xludf.DUMMYFUNCTION("""COMPUTED_VALUE"""),"[SR]")</f>
        <v>[SR]</v>
      </c>
      <c r="N1146" s="42" t="str">
        <f>IFERROR(__xludf.DUMMYFUNCTION("""COMPUTED_VALUE"""),"Tia's 3rd spell. It is one of the most powerful shields against a frontal attack.")</f>
        <v>Tia's 3rd spell. It is one of the most powerful shields against a frontal attack.</v>
      </c>
      <c r="O1146" s="42"/>
      <c r="P1146" s="42"/>
      <c r="Q1146" s="42"/>
      <c r="R1146" s="42"/>
      <c r="S1146" s="42"/>
      <c r="T1146" s="42"/>
      <c r="U1146" s="42"/>
      <c r="V1146" s="42"/>
      <c r="W1146" s="42"/>
      <c r="X1146" s="42"/>
      <c r="Y1146" s="42"/>
      <c r="Z1146" s="42"/>
    </row>
    <row r="1147">
      <c r="A1147" s="41" t="str">
        <f>IFERROR(__xludf.DUMMYFUNCTION("""COMPUTED_VALUE"""),"S-025e")</f>
        <v>S-025e</v>
      </c>
      <c r="B1147" s="42" t="str">
        <f>IFERROR(__xludf.DUMMYFUNCTION("""COMPUTED_VALUE"""),"Spell")</f>
        <v>Spell</v>
      </c>
      <c r="C1147" s="42" t="str">
        <f>IFERROR(__xludf.DUMMYFUNCTION("""COMPUTED_VALUE"""),"Let's Get Out of Here!")</f>
        <v>Let's Get Out of Here!</v>
      </c>
      <c r="D1147" s="42" t="str">
        <f>IFERROR(__xludf.DUMMYFUNCTION("""COMPUTED_VALUE"""),"Command: All")</f>
        <v>Command: All</v>
      </c>
      <c r="E1147" s="42">
        <f>IFERROR(__xludf.DUMMYFUNCTION("""COMPUTED_VALUE"""),0.0)</f>
        <v>0</v>
      </c>
      <c r="F1147" s="42" t="str">
        <f>IFERROR(__xludf.DUMMYFUNCTION("""COMPUTED_VALUE"""),"D")</f>
        <v>D</v>
      </c>
      <c r="G1147" s="42" t="str">
        <f>IFERROR(__xludf.DUMMYFUNCTION("""COMPUTED_VALUE"""),"None")</f>
        <v>None</v>
      </c>
      <c r="H1147" s="42" t="str">
        <f>IFERROR(__xludf.DUMMYFUNCTION("""COMPUTED_VALUE"""),"-")</f>
        <v>-</v>
      </c>
      <c r="I1147" s="43" t="str">
        <f>IFERROR(__xludf.DUMMYFUNCTION("""COMPUTED_VALUE"""),"Flip a coin twice; if it's heads at least once, negate your opponent's Attack regardless of their Power.")</f>
        <v>Flip a coin twice; if it's heads at least once, negate your opponent's Attack regardless of their Power.</v>
      </c>
      <c r="J1147" s="42" t="str">
        <f>IFERROR(__xludf.DUMMYFUNCTION("""COMPUTED_VALUE"""),"Special")</f>
        <v>Special</v>
      </c>
      <c r="K1147" s="42" t="str">
        <f>IFERROR(__xludf.DUMMYFUNCTION("""COMPUTED_VALUE"""),"-")</f>
        <v>-</v>
      </c>
      <c r="L1147" s="42" t="str">
        <f>IFERROR(__xludf.DUMMYFUNCTION("""COMPUTED_VALUE"""),"Series 1, Level 1, The Best Booster 2")</f>
        <v>Series 1, Level 1, The Best Booster 2</v>
      </c>
      <c r="M1147" s="42" t="str">
        <f>IFERROR(__xludf.DUMMYFUNCTION("""COMPUTED_VALUE"""),"[U]")</f>
        <v>[U]</v>
      </c>
      <c r="N1147" s="42" t="str">
        <f>IFERROR(__xludf.DUMMYFUNCTION("""COMPUTED_VALUE"""),"Escape is sometimes the best tactic.")</f>
        <v>Escape is sometimes the best tactic.</v>
      </c>
      <c r="O1147" s="42"/>
      <c r="P1147" s="42"/>
      <c r="Q1147" s="42"/>
      <c r="R1147" s="42"/>
      <c r="S1147" s="42"/>
      <c r="T1147" s="42"/>
      <c r="U1147" s="42"/>
      <c r="V1147" s="42"/>
      <c r="W1147" s="42"/>
      <c r="X1147" s="42"/>
      <c r="Y1147" s="42"/>
      <c r="Z1147" s="42"/>
    </row>
    <row r="1148">
      <c r="A1148" s="41" t="str">
        <f>IFERROR(__xludf.DUMMYFUNCTION("""COMPUTED_VALUE"""),"S-025j")</f>
        <v>S-025j</v>
      </c>
      <c r="B1148" s="42" t="str">
        <f>IFERROR(__xludf.DUMMYFUNCTION("""COMPUTED_VALUE"""),"Spell")</f>
        <v>Spell</v>
      </c>
      <c r="C1148" s="42" t="str">
        <f>IFERROR(__xludf.DUMMYFUNCTION("""COMPUTED_VALUE"""),"Let's Get Out of Here!")</f>
        <v>Let's Get Out of Here!</v>
      </c>
      <c r="D1148" s="42" t="str">
        <f>IFERROR(__xludf.DUMMYFUNCTION("""COMPUTED_VALUE"""),"Command: All")</f>
        <v>Command: All</v>
      </c>
      <c r="E1148" s="42">
        <f>IFERROR(__xludf.DUMMYFUNCTION("""COMPUTED_VALUE"""),0.0)</f>
        <v>0</v>
      </c>
      <c r="F1148" s="42" t="str">
        <f>IFERROR(__xludf.DUMMYFUNCTION("""COMPUTED_VALUE"""),"D")</f>
        <v>D</v>
      </c>
      <c r="G1148" s="42" t="str">
        <f>IFERROR(__xludf.DUMMYFUNCTION("""COMPUTED_VALUE"""),"None")</f>
        <v>None</v>
      </c>
      <c r="H1148" s="42" t="str">
        <f>IFERROR(__xludf.DUMMYFUNCTION("""COMPUTED_VALUE"""),"-")</f>
        <v>-</v>
      </c>
      <c r="I1148" s="43" t="str">
        <f>IFERROR(__xludf.DUMMYFUNCTION("""COMPUTED_VALUE"""),"Flip a coin; if you get heads, negate your opponent’s Attack.    ")</f>
        <v>Flip a coin; if you get heads, negate your opponent’s Attack.    </v>
      </c>
      <c r="J1148" s="42" t="str">
        <f>IFERROR(__xludf.DUMMYFUNCTION("""COMPUTED_VALUE"""),"Special")</f>
        <v>Special</v>
      </c>
      <c r="K1148" s="42" t="str">
        <f>IFERROR(__xludf.DUMMYFUNCTION("""COMPUTED_VALUE"""),"-")</f>
        <v>-</v>
      </c>
      <c r="L1148" s="42" t="str">
        <f>IFERROR(__xludf.DUMMYFUNCTION("""COMPUTED_VALUE"""),"Series 1, Level 1, The Best Booster 2")</f>
        <v>Series 1, Level 1, The Best Booster 2</v>
      </c>
      <c r="M1148" s="42" t="str">
        <f>IFERROR(__xludf.DUMMYFUNCTION("""COMPUTED_VALUE"""),"[U]")</f>
        <v>[U]</v>
      </c>
      <c r="N1148" s="42" t="str">
        <f>IFERROR(__xludf.DUMMYFUNCTION("""COMPUTED_VALUE"""),"Escape is sometimes the best tactic.")</f>
        <v>Escape is sometimes the best tactic.</v>
      </c>
      <c r="O1148" s="42"/>
      <c r="P1148" s="42"/>
      <c r="Q1148" s="42"/>
      <c r="R1148" s="42"/>
      <c r="S1148" s="42"/>
      <c r="T1148" s="42"/>
      <c r="U1148" s="42"/>
      <c r="V1148" s="42"/>
      <c r="W1148" s="42"/>
      <c r="X1148" s="42"/>
      <c r="Y1148" s="42"/>
      <c r="Z1148" s="42"/>
    </row>
    <row r="1149">
      <c r="A1149" s="41" t="str">
        <f>IFERROR(__xludf.DUMMYFUNCTION("""COMPUTED_VALUE"""),"S-026e")</f>
        <v>S-026e</v>
      </c>
      <c r="B1149" s="42" t="str">
        <f>IFERROR(__xludf.DUMMYFUNCTION("""COMPUTED_VALUE"""),"Spell")</f>
        <v>Spell</v>
      </c>
      <c r="C1149" s="42" t="str">
        <f>IFERROR(__xludf.DUMMYFUNCTION("""COMPUTED_VALUE"""),"Ready!")</f>
        <v>Ready!</v>
      </c>
      <c r="D1149" s="42" t="str">
        <f>IFERROR(__xludf.DUMMYFUNCTION("""COMPUTED_VALUE"""),"Command: All")</f>
        <v>Command: All</v>
      </c>
      <c r="E1149" s="42">
        <f>IFERROR(__xludf.DUMMYFUNCTION("""COMPUTED_VALUE"""),0.0)</f>
        <v>0</v>
      </c>
      <c r="F1149" s="42" t="str">
        <f>IFERROR(__xludf.DUMMYFUNCTION("""COMPUTED_VALUE"""),"A")</f>
        <v>A</v>
      </c>
      <c r="G1149" s="42" t="str">
        <f>IFERROR(__xludf.DUMMYFUNCTION("""COMPUTED_VALUE"""),"None")</f>
        <v>None</v>
      </c>
      <c r="H1149" s="42" t="str">
        <f>IFERROR(__xludf.DUMMYFUNCTION("""COMPUTED_VALUE"""),"-")</f>
        <v>-</v>
      </c>
      <c r="I1149" s="43" t="str">
        <f>IFERROR(__xludf.DUMMYFUNCTION("""COMPUTED_VALUE"""),"Flip a coin; if it's heads, apply the following effect: [STANDBY] Your opponent cannot Defend against the next SPELL card you play during this turn.")</f>
        <v>Flip a coin; if it's heads, apply the following effect: [STANDBY] Your opponent cannot Defend against the next SPELL card you play during this turn.</v>
      </c>
      <c r="J1149" s="42" t="str">
        <f>IFERROR(__xludf.DUMMYFUNCTION("""COMPUTED_VALUE"""),"Special")</f>
        <v>Special</v>
      </c>
      <c r="K1149" s="42" t="str">
        <f>IFERROR(__xludf.DUMMYFUNCTION("""COMPUTED_VALUE"""),"-")</f>
        <v>-</v>
      </c>
      <c r="L1149" s="42" t="str">
        <f>IFERROR(__xludf.DUMMYFUNCTION("""COMPUTED_VALUE"""),"Series 1, Level 1")</f>
        <v>Series 1, Level 1</v>
      </c>
      <c r="M1149" s="42" t="str">
        <f>IFERROR(__xludf.DUMMYFUNCTION("""COMPUTED_VALUE"""),"[R]")</f>
        <v>[R]</v>
      </c>
      <c r="N1149" s="42" t="str">
        <f>IFERROR(__xludf.DUMMYFUNCTION("""COMPUTED_VALUE"""),"""Keep looking at my right hand, OK?""")</f>
        <v>"Keep looking at my right hand, OK?"</v>
      </c>
      <c r="O1149" s="42"/>
      <c r="P1149" s="42"/>
      <c r="Q1149" s="42"/>
      <c r="R1149" s="42"/>
      <c r="S1149" s="42"/>
      <c r="T1149" s="42"/>
      <c r="U1149" s="42"/>
      <c r="V1149" s="42"/>
      <c r="W1149" s="42"/>
      <c r="X1149" s="42"/>
      <c r="Y1149" s="42"/>
      <c r="Z1149" s="42"/>
    </row>
    <row r="1150">
      <c r="A1150" s="41" t="str">
        <f>IFERROR(__xludf.DUMMYFUNCTION("""COMPUTED_VALUE"""),"S-026j")</f>
        <v>S-026j</v>
      </c>
      <c r="B1150" s="42" t="str">
        <f>IFERROR(__xludf.DUMMYFUNCTION("""COMPUTED_VALUE"""),"Spell")</f>
        <v>Spell</v>
      </c>
      <c r="C1150" s="42" t="str">
        <f>IFERROR(__xludf.DUMMYFUNCTION("""COMPUTED_VALUE"""),"Ready!")</f>
        <v>Ready!</v>
      </c>
      <c r="D1150" s="42" t="str">
        <f>IFERROR(__xludf.DUMMYFUNCTION("""COMPUTED_VALUE"""),"Command: All")</f>
        <v>Command: All</v>
      </c>
      <c r="E1150" s="42">
        <f>IFERROR(__xludf.DUMMYFUNCTION("""COMPUTED_VALUE"""),0.0)</f>
        <v>0</v>
      </c>
      <c r="F1150" s="42" t="str">
        <f>IFERROR(__xludf.DUMMYFUNCTION("""COMPUTED_VALUE"""),"A")</f>
        <v>A</v>
      </c>
      <c r="G1150" s="42" t="str">
        <f>IFERROR(__xludf.DUMMYFUNCTION("""COMPUTED_VALUE"""),"None")</f>
        <v>None</v>
      </c>
      <c r="H1150" s="42" t="str">
        <f>IFERROR(__xludf.DUMMYFUNCTION("""COMPUTED_VALUE"""),"-")</f>
        <v>-</v>
      </c>
      <c r="I1150" s="43" t="str">
        <f>IFERROR(__xludf.DUMMYFUNCTION("""COMPUTED_VALUE"""),"Flip a coin; if it's heads, apply the following effect: [STANDBY] Your opponent cannot Defend in the next Battle during this turn.")</f>
        <v>Flip a coin; if it's heads, apply the following effect: [STANDBY] Your opponent cannot Defend in the next Battle during this turn.</v>
      </c>
      <c r="J1150" s="42" t="str">
        <f>IFERROR(__xludf.DUMMYFUNCTION("""COMPUTED_VALUE"""),"Special")</f>
        <v>Special</v>
      </c>
      <c r="K1150" s="42" t="str">
        <f>IFERROR(__xludf.DUMMYFUNCTION("""COMPUTED_VALUE"""),"-")</f>
        <v>-</v>
      </c>
      <c r="L1150" s="42" t="str">
        <f>IFERROR(__xludf.DUMMYFUNCTION("""COMPUTED_VALUE"""),"Series 1, Level 1")</f>
        <v>Series 1, Level 1</v>
      </c>
      <c r="M1150" s="42" t="str">
        <f>IFERROR(__xludf.DUMMYFUNCTION("""COMPUTED_VALUE"""),"[R]")</f>
        <v>[R]</v>
      </c>
      <c r="N1150" s="42" t="str">
        <f>IFERROR(__xludf.DUMMYFUNCTION("""COMPUTED_VALUE"""),"""Keep looking at my right hand, OK?""")</f>
        <v>"Keep looking at my right hand, OK?"</v>
      </c>
      <c r="O1150" s="42"/>
      <c r="P1150" s="42"/>
      <c r="Q1150" s="42"/>
      <c r="R1150" s="42"/>
      <c r="S1150" s="42"/>
      <c r="T1150" s="42"/>
      <c r="U1150" s="42"/>
      <c r="V1150" s="42"/>
      <c r="W1150" s="42"/>
      <c r="X1150" s="42"/>
      <c r="Y1150" s="42"/>
      <c r="Z1150" s="42"/>
    </row>
    <row r="1151">
      <c r="A1151" s="41" t="str">
        <f>IFERROR(__xludf.DUMMYFUNCTION("""COMPUTED_VALUE"""),"S-027")</f>
        <v>S-027</v>
      </c>
      <c r="B1151" s="42" t="str">
        <f>IFERROR(__xludf.DUMMYFUNCTION("""COMPUTED_VALUE"""),"Spell")</f>
        <v>Spell</v>
      </c>
      <c r="C1151" s="42" t="str">
        <f>IFERROR(__xludf.DUMMYFUNCTION("""COMPUTED_VALUE"""),"Hold On!")</f>
        <v>Hold On!</v>
      </c>
      <c r="D1151" s="42" t="str">
        <f>IFERROR(__xludf.DUMMYFUNCTION("""COMPUTED_VALUE"""),"Command: All")</f>
        <v>Command: All</v>
      </c>
      <c r="E1151" s="42">
        <f>IFERROR(__xludf.DUMMYFUNCTION("""COMPUTED_VALUE"""),0.0)</f>
        <v>0</v>
      </c>
      <c r="F1151" s="42" t="str">
        <f>IFERROR(__xludf.DUMMYFUNCTION("""COMPUTED_VALUE"""),"D")</f>
        <v>D</v>
      </c>
      <c r="G1151" s="42" t="str">
        <f>IFERROR(__xludf.DUMMYFUNCTION("""COMPUTED_VALUE"""),"None")</f>
        <v>None</v>
      </c>
      <c r="H1151" s="42" t="str">
        <f>IFERROR(__xludf.DUMMYFUNCTION("""COMPUTED_VALUE"""),"-")</f>
        <v>-</v>
      </c>
      <c r="I1151" s="43" t="str">
        <f>IFERROR(__xludf.DUMMYFUNCTION("""COMPUTED_VALUE"""),"Flip a coin twice; if you get heads at least once, reduce the Damage of your opponent's Attack by 1.")</f>
        <v>Flip a coin twice; if you get heads at least once, reduce the Damage of your opponent's Attack by 1.</v>
      </c>
      <c r="J1151" s="42" t="str">
        <f>IFERROR(__xludf.DUMMYFUNCTION("""COMPUTED_VALUE"""),"Special")</f>
        <v>Special</v>
      </c>
      <c r="K1151" s="42" t="str">
        <f>IFERROR(__xludf.DUMMYFUNCTION("""COMPUTED_VALUE"""),"-")</f>
        <v>-</v>
      </c>
      <c r="L1151" s="42" t="str">
        <f>IFERROR(__xludf.DUMMYFUNCTION("""COMPUTED_VALUE"""),"Series 1, Level 1")</f>
        <v>Series 1, Level 1</v>
      </c>
      <c r="M1151" s="42" t="str">
        <f>IFERROR(__xludf.DUMMYFUNCTION("""COMPUTED_VALUE"""),"[C]")</f>
        <v>[C]</v>
      </c>
      <c r="N1151" s="42" t="str">
        <f>IFERROR(__xludf.DUMMYFUNCTION("""COMPUTED_VALUE"""),"""No way - I won't let anybody pass through here.""")</f>
        <v>"No way - I won't let anybody pass through here."</v>
      </c>
      <c r="O1151" s="42"/>
      <c r="P1151" s="42"/>
      <c r="Q1151" s="42"/>
      <c r="R1151" s="42"/>
      <c r="S1151" s="42"/>
      <c r="T1151" s="42"/>
      <c r="U1151" s="42"/>
      <c r="V1151" s="42"/>
      <c r="W1151" s="42"/>
      <c r="X1151" s="42"/>
      <c r="Y1151" s="42"/>
      <c r="Z1151" s="42"/>
    </row>
    <row r="1152">
      <c r="A1152" s="41" t="str">
        <f>IFERROR(__xludf.DUMMYFUNCTION("""COMPUTED_VALUE"""),"S-028")</f>
        <v>S-028</v>
      </c>
      <c r="B1152" s="42" t="str">
        <f>IFERROR(__xludf.DUMMYFUNCTION("""COMPUTED_VALUE"""),"Spell")</f>
        <v>Spell</v>
      </c>
      <c r="C1152" s="42" t="str">
        <f>IFERROR(__xludf.DUMMYFUNCTION("""COMPUTED_VALUE"""),"Watch Out!")</f>
        <v>Watch Out!</v>
      </c>
      <c r="D1152" s="42" t="str">
        <f>IFERROR(__xludf.DUMMYFUNCTION("""COMPUTED_VALUE"""),"Command: All")</f>
        <v>Command: All</v>
      </c>
      <c r="E1152" s="42">
        <f>IFERROR(__xludf.DUMMYFUNCTION("""COMPUTED_VALUE"""),0.0)</f>
        <v>0</v>
      </c>
      <c r="F1152" s="42" t="str">
        <f>IFERROR(__xludf.DUMMYFUNCTION("""COMPUTED_VALUE"""),"D")</f>
        <v>D</v>
      </c>
      <c r="G1152" s="42" t="str">
        <f>IFERROR(__xludf.DUMMYFUNCTION("""COMPUTED_VALUE"""),"None")</f>
        <v>None</v>
      </c>
      <c r="H1152" s="42" t="str">
        <f>IFERROR(__xludf.DUMMYFUNCTION("""COMPUTED_VALUE"""),"-")</f>
        <v>-</v>
      </c>
      <c r="I1152" s="43" t="str">
        <f>IFERROR(__xludf.DUMMYFUNCTION("""COMPUTED_VALUE"""),"Negate your opponent’s Attack when you win the Battle as a Defender.    ")</f>
        <v>Negate your opponent’s Attack when you win the Battle as a Defender.    </v>
      </c>
      <c r="J1152" s="42" t="str">
        <f>IFERROR(__xludf.DUMMYFUNCTION("""COMPUTED_VALUE"""),"+1000")</f>
        <v>+1000</v>
      </c>
      <c r="K1152" s="42" t="str">
        <f>IFERROR(__xludf.DUMMYFUNCTION("""COMPUTED_VALUE"""),"-")</f>
        <v>-</v>
      </c>
      <c r="L1152" s="42" t="str">
        <f>IFERROR(__xludf.DUMMYFUNCTION("""COMPUTED_VALUE"""),"Series 1, Level 1")</f>
        <v>Series 1, Level 1</v>
      </c>
      <c r="M1152" s="42" t="str">
        <f>IFERROR(__xludf.DUMMYFUNCTION("""COMPUTED_VALUE"""),"[C]")</f>
        <v>[C]</v>
      </c>
      <c r="N1152" s="42" t="str">
        <f>IFERROR(__xludf.DUMMYFUNCTION("""COMPUTED_VALUE"""),"""Lay down, Zatch, something is coming!")</f>
        <v>"Lay down, Zatch, something is coming!</v>
      </c>
      <c r="O1152" s="42"/>
      <c r="P1152" s="42"/>
      <c r="Q1152" s="42"/>
      <c r="R1152" s="42"/>
      <c r="S1152" s="42"/>
      <c r="T1152" s="42"/>
      <c r="U1152" s="42"/>
      <c r="V1152" s="42"/>
      <c r="W1152" s="42"/>
      <c r="X1152" s="42"/>
      <c r="Y1152" s="42"/>
      <c r="Z1152" s="42"/>
    </row>
    <row r="1153">
      <c r="A1153" s="41" t="str">
        <f>IFERROR(__xludf.DUMMYFUNCTION("""COMPUTED_VALUE"""),"S-029")</f>
        <v>S-029</v>
      </c>
      <c r="B1153" s="42" t="str">
        <f>IFERROR(__xludf.DUMMYFUNCTION("""COMPUTED_VALUE"""),"Spell")</f>
        <v>Spell</v>
      </c>
      <c r="C1153" s="42" t="str">
        <f>IFERROR(__xludf.DUMMYFUNCTION("""COMPUTED_VALUE"""),"Zaker")</f>
        <v>Zaker</v>
      </c>
      <c r="D1153" s="42" t="str">
        <f>IFERROR(__xludf.DUMMYFUNCTION("""COMPUTED_VALUE"""),"Zatch Bell")</f>
        <v>Zatch Bell</v>
      </c>
      <c r="E1153" s="42">
        <f>IFERROR(__xludf.DUMMYFUNCTION("""COMPUTED_VALUE"""),3.0)</f>
        <v>3</v>
      </c>
      <c r="F1153" s="42" t="str">
        <f>IFERROR(__xludf.DUMMYFUNCTION("""COMPUTED_VALUE"""),"AD")</f>
        <v>AD</v>
      </c>
      <c r="G1153" s="42" t="str">
        <f>IFERROR(__xludf.DUMMYFUNCTION("""COMPUTED_VALUE"""),"None")</f>
        <v>None</v>
      </c>
      <c r="H1153" s="42" t="str">
        <f>IFERROR(__xludf.DUMMYFUNCTION("""COMPUTED_VALUE"""),"Thunder")</f>
        <v>Thunder</v>
      </c>
      <c r="I1153" s="43" t="str">
        <f>IFERROR(__xludf.DUMMYFUNCTION("""COMPUTED_VALUE"""),"Damage your opponent’s Spell Book when you win the Battle as an Attacker.")</f>
        <v>Damage your opponent’s Spell Book when you win the Battle as an Attacker.</v>
      </c>
      <c r="J1153" s="42" t="str">
        <f>IFERROR(__xludf.DUMMYFUNCTION("""COMPUTED_VALUE"""),"+3000")</f>
        <v>+3000</v>
      </c>
      <c r="K1153" s="42">
        <f>IFERROR(__xludf.DUMMYFUNCTION("""COMPUTED_VALUE"""),2.0)</f>
        <v>2</v>
      </c>
      <c r="L1153" s="42" t="str">
        <f>IFERROR(__xludf.DUMMYFUNCTION("""COMPUTED_VALUE"""),"Series 1, Level 2")</f>
        <v>Series 1, Level 2</v>
      </c>
      <c r="M1153" s="42" t="str">
        <f>IFERROR(__xludf.DUMMYFUNCTION("""COMPUTED_VALUE"""),"[U]")</f>
        <v>[U]</v>
      </c>
      <c r="N1153" s="42" t="str">
        <f>IFERROR(__xludf.DUMMYFUNCTION("""COMPUTED_VALUE"""),"Zatch's 1st spell. ""Gather up your inner power!""")</f>
        <v>Zatch's 1st spell. "Gather up your inner power!"</v>
      </c>
      <c r="O1153" s="42"/>
      <c r="P1153" s="42"/>
      <c r="Q1153" s="42"/>
      <c r="R1153" s="42"/>
      <c r="S1153" s="42"/>
      <c r="T1153" s="42"/>
      <c r="U1153" s="42"/>
      <c r="V1153" s="42"/>
      <c r="W1153" s="42"/>
      <c r="X1153" s="42"/>
      <c r="Y1153" s="42"/>
      <c r="Z1153" s="42"/>
    </row>
    <row r="1154">
      <c r="A1154" s="41" t="str">
        <f>IFERROR(__xludf.DUMMYFUNCTION("""COMPUTED_VALUE"""),"S-030")</f>
        <v>S-030</v>
      </c>
      <c r="B1154" s="42" t="str">
        <f>IFERROR(__xludf.DUMMYFUNCTION("""COMPUTED_VALUE"""),"Spell")</f>
        <v>Spell</v>
      </c>
      <c r="C1154" s="42" t="str">
        <f>IFERROR(__xludf.DUMMYFUNCTION("""COMPUTED_VALUE"""),"Rashield")</f>
        <v>Rashield</v>
      </c>
      <c r="D1154" s="42" t="str">
        <f>IFERROR(__xludf.DUMMYFUNCTION("""COMPUTED_VALUE"""),"Zatch Bell")</f>
        <v>Zatch Bell</v>
      </c>
      <c r="E1154" s="42">
        <f>IFERROR(__xludf.DUMMYFUNCTION("""COMPUTED_VALUE"""),2.0)</f>
        <v>2</v>
      </c>
      <c r="F1154" s="42" t="str">
        <f>IFERROR(__xludf.DUMMYFUNCTION("""COMPUTED_VALUE"""),"D")</f>
        <v>D</v>
      </c>
      <c r="G1154" s="42" t="str">
        <f>IFERROR(__xludf.DUMMYFUNCTION("""COMPUTED_VALUE"""),"None")</f>
        <v>None</v>
      </c>
      <c r="H1154" s="42" t="str">
        <f>IFERROR(__xludf.DUMMYFUNCTION("""COMPUTED_VALUE"""),"Thunder")</f>
        <v>Thunder</v>
      </c>
      <c r="I1154" s="43" t="str">
        <f>IFERROR(__xludf.DUMMYFUNCTION("""COMPUTED_VALUE"""),"Damage your opponent’s Spell Book when you win the Battle as a Defender.    ")</f>
        <v>Damage your opponent’s Spell Book when you win the Battle as a Defender.    </v>
      </c>
      <c r="J1154" s="42" t="str">
        <f>IFERROR(__xludf.DUMMYFUNCTION("""COMPUTED_VALUE"""),"+5000")</f>
        <v>+5000</v>
      </c>
      <c r="K1154" s="42">
        <f>IFERROR(__xludf.DUMMYFUNCTION("""COMPUTED_VALUE"""),1.0)</f>
        <v>1</v>
      </c>
      <c r="L1154" s="42" t="str">
        <f>IFERROR(__xludf.DUMMYFUNCTION("""COMPUTED_VALUE"""),"Series 1, Level 2")</f>
        <v>Series 1, Level 2</v>
      </c>
      <c r="M1154" s="42" t="str">
        <f>IFERROR(__xludf.DUMMYFUNCTION("""COMPUTED_VALUE"""),"[U]")</f>
        <v>[U]</v>
      </c>
      <c r="N1154" s="42" t="str">
        <f>IFERROR(__xludf.DUMMYFUNCTION("""COMPUTED_VALUE"""),"Zatch's 2nd spell. With an electric shock, this huge shield bounces back an opponent's attack.")</f>
        <v>Zatch's 2nd spell. With an electric shock, this huge shield bounces back an opponent's attack.</v>
      </c>
      <c r="O1154" s="42"/>
      <c r="P1154" s="42"/>
      <c r="Q1154" s="42"/>
      <c r="R1154" s="42"/>
      <c r="S1154" s="42"/>
      <c r="T1154" s="42"/>
      <c r="U1154" s="42"/>
      <c r="V1154" s="42"/>
      <c r="W1154" s="42"/>
      <c r="X1154" s="42"/>
      <c r="Y1154" s="42"/>
      <c r="Z1154" s="42"/>
    </row>
    <row r="1155">
      <c r="A1155" s="41" t="str">
        <f>IFERROR(__xludf.DUMMYFUNCTION("""COMPUTED_VALUE"""),"S-031")</f>
        <v>S-031</v>
      </c>
      <c r="B1155" s="42" t="str">
        <f>IFERROR(__xludf.DUMMYFUNCTION("""COMPUTED_VALUE"""),"Spell")</f>
        <v>Spell</v>
      </c>
      <c r="C1155" s="42" t="str">
        <f>IFERROR(__xludf.DUMMYFUNCTION("""COMPUTED_VALUE"""),"Bao Zakeruga")</f>
        <v>Bao Zakeruga</v>
      </c>
      <c r="D1155" s="42" t="str">
        <f>IFERROR(__xludf.DUMMYFUNCTION("""COMPUTED_VALUE"""),"Zatch Bell")</f>
        <v>Zatch Bell</v>
      </c>
      <c r="E1155" s="42">
        <f>IFERROR(__xludf.DUMMYFUNCTION("""COMPUTED_VALUE"""),7.0)</f>
        <v>7</v>
      </c>
      <c r="F1155" s="42" t="str">
        <f>IFERROR(__xludf.DUMMYFUNCTION("""COMPUTED_VALUE"""),"AD")</f>
        <v>AD</v>
      </c>
      <c r="G1155" s="42" t="str">
        <f>IFERROR(__xludf.DUMMYFUNCTION("""COMPUTED_VALUE"""),"Superior")</f>
        <v>Superior</v>
      </c>
      <c r="H1155" s="42" t="str">
        <f>IFERROR(__xludf.DUMMYFUNCTION("""COMPUTED_VALUE"""),"Thunder")</f>
        <v>Thunder</v>
      </c>
      <c r="I1155" s="43" t="str">
        <f>IFERROR(__xludf.DUMMYFUNCTION("""COMPUTED_VALUE"""),"Damage your opponent’s Spell Book when you win the Battle as an Attacker. A MAMODO card that is Injured by this SPELL card is sent to the Discard Pile.    ")</f>
        <v>Damage your opponent’s Spell Book when you win the Battle as an Attacker. A MAMODO card that is Injured by this SPELL card is sent to the Discard Pile.    </v>
      </c>
      <c r="J1155" s="42" t="str">
        <f>IFERROR(__xludf.DUMMYFUNCTION("""COMPUTED_VALUE"""),"+6000")</f>
        <v>+6000</v>
      </c>
      <c r="K1155" s="42">
        <f>IFERROR(__xludf.DUMMYFUNCTION("""COMPUTED_VALUE"""),3.0)</f>
        <v>3</v>
      </c>
      <c r="L1155" s="42" t="str">
        <f>IFERROR(__xludf.DUMMYFUNCTION("""COMPUTED_VALUE"""),"Series 1, Level 2, The Best Booster 1")</f>
        <v>Series 1, Level 2, The Best Booster 1</v>
      </c>
      <c r="M1155" s="42" t="str">
        <f>IFERROR(__xludf.DUMMYFUNCTION("""COMPUTED_VALUE"""),"[SR]")</f>
        <v>[SR]</v>
      </c>
      <c r="N1155" s="42" t="str">
        <f>IFERROR(__xludf.DUMMYFUNCTION("""COMPUTED_VALUE"""),"Zatch's 4th spell. ""BAOOOOOOOOO!""")</f>
        <v>Zatch's 4th spell. "BAOOOOOOOOO!"</v>
      </c>
      <c r="O1155" s="42"/>
      <c r="P1155" s="42"/>
      <c r="Q1155" s="42"/>
      <c r="R1155" s="42"/>
      <c r="S1155" s="42"/>
      <c r="T1155" s="42"/>
      <c r="U1155" s="42"/>
      <c r="V1155" s="42"/>
      <c r="W1155" s="42"/>
      <c r="X1155" s="42"/>
      <c r="Y1155" s="42"/>
      <c r="Z1155" s="42"/>
    </row>
    <row r="1156">
      <c r="A1156" s="41" t="str">
        <f>IFERROR(__xludf.DUMMYFUNCTION("""COMPUTED_VALUE"""),"S-032")</f>
        <v>S-032</v>
      </c>
      <c r="B1156" s="42" t="str">
        <f>IFERROR(__xludf.DUMMYFUNCTION("""COMPUTED_VALUE"""),"Spell")</f>
        <v>Spell</v>
      </c>
      <c r="C1156" s="42" t="str">
        <f>IFERROR(__xludf.DUMMYFUNCTION("""COMPUTED_VALUE"""),"Reis")</f>
        <v>Reis</v>
      </c>
      <c r="D1156" s="42" t="str">
        <f>IFERROR(__xludf.DUMMYFUNCTION("""COMPUTED_VALUE"""),"Brago")</f>
        <v>Brago</v>
      </c>
      <c r="E1156" s="42">
        <f>IFERROR(__xludf.DUMMYFUNCTION("""COMPUTED_VALUE"""),2.0)</f>
        <v>2</v>
      </c>
      <c r="F1156" s="42" t="str">
        <f>IFERROR(__xludf.DUMMYFUNCTION("""COMPUTED_VALUE"""),"AD")</f>
        <v>AD</v>
      </c>
      <c r="G1156" s="42" t="str">
        <f>IFERROR(__xludf.DUMMYFUNCTION("""COMPUTED_VALUE"""),"None")</f>
        <v>None</v>
      </c>
      <c r="H1156" s="42" t="str">
        <f>IFERROR(__xludf.DUMMYFUNCTION("""COMPUTED_VALUE"""),"Down Force")</f>
        <v>Down Force</v>
      </c>
      <c r="I1156" s="43" t="str">
        <f>IFERROR(__xludf.DUMMYFUNCTION("""COMPUTED_VALUE"""),"Damage your opponent’s Spell Book when you win the Battle as an Attacker. This SPELL card’s Damage cannot be greater than 3 Damage.    ")</f>
        <v>Damage your opponent’s Spell Book when you win the Battle as an Attacker. This SPELL card’s Damage cannot be greater than 3 Damage.    </v>
      </c>
      <c r="J1156" s="42" t="str">
        <f>IFERROR(__xludf.DUMMYFUNCTION("""COMPUTED_VALUE"""),"+3000")</f>
        <v>+3000</v>
      </c>
      <c r="K1156" s="42">
        <f>IFERROR(__xludf.DUMMYFUNCTION("""COMPUTED_VALUE"""),2.0)</f>
        <v>2</v>
      </c>
      <c r="L1156" s="42" t="str">
        <f>IFERROR(__xludf.DUMMYFUNCTION("""COMPUTED_VALUE"""),"Series 1, Level 2")</f>
        <v>Series 1, Level 2</v>
      </c>
      <c r="M1156" s="42" t="str">
        <f>IFERROR(__xludf.DUMMYFUNCTION("""COMPUTED_VALUE"""),"[C]")</f>
        <v>[C]</v>
      </c>
      <c r="N1156" s="42" t="str">
        <f>IFERROR(__xludf.DUMMYFUNCTION("""COMPUTED_VALUE"""),"Brago's 1st spell. A gravity cluster fired from his hand strikes opponents!")</f>
        <v>Brago's 1st spell. A gravity cluster fired from his hand strikes opponents!</v>
      </c>
      <c r="O1156" s="42"/>
      <c r="P1156" s="42"/>
      <c r="Q1156" s="42"/>
      <c r="R1156" s="42"/>
      <c r="S1156" s="42"/>
      <c r="T1156" s="42"/>
      <c r="U1156" s="42"/>
      <c r="V1156" s="42"/>
      <c r="W1156" s="42"/>
      <c r="X1156" s="42"/>
      <c r="Y1156" s="42"/>
      <c r="Z1156" s="42"/>
    </row>
    <row r="1157">
      <c r="A1157" s="41" t="str">
        <f>IFERROR(__xludf.DUMMYFUNCTION("""COMPUTED_VALUE"""),"S-033")</f>
        <v>S-033</v>
      </c>
      <c r="B1157" s="42" t="str">
        <f>IFERROR(__xludf.DUMMYFUNCTION("""COMPUTED_VALUE"""),"Spell")</f>
        <v>Spell</v>
      </c>
      <c r="C1157" s="42" t="str">
        <f>IFERROR(__xludf.DUMMYFUNCTION("""COMPUTED_VALUE"""),"Gravirei")</f>
        <v>Gravirei</v>
      </c>
      <c r="D1157" s="42" t="str">
        <f>IFERROR(__xludf.DUMMYFUNCTION("""COMPUTED_VALUE"""),"Brago")</f>
        <v>Brago</v>
      </c>
      <c r="E1157" s="42">
        <f>IFERROR(__xludf.DUMMYFUNCTION("""COMPUTED_VALUE"""),3.0)</f>
        <v>3</v>
      </c>
      <c r="F1157" s="42" t="str">
        <f>IFERROR(__xludf.DUMMYFUNCTION("""COMPUTED_VALUE"""),"AD")</f>
        <v>AD</v>
      </c>
      <c r="G1157" s="42" t="str">
        <f>IFERROR(__xludf.DUMMYFUNCTION("""COMPUTED_VALUE"""),"None")</f>
        <v>None</v>
      </c>
      <c r="H1157" s="42" t="str">
        <f>IFERROR(__xludf.DUMMYFUNCTION("""COMPUTED_VALUE"""),"Down Force")</f>
        <v>Down Force</v>
      </c>
      <c r="I1157" s="43" t="str">
        <f>IFERROR(__xludf.DUMMYFUNCTION("""COMPUTED_VALUE"""),"Damage your opponent’s Spell Book when you win the Battle as an Attacker. [STAY] When you inflict Damage or Injury, reduce the Power of all of your opponent’s in-play MAMODO cards by 2000 until your opponent’s next END PHASE (it cannot be less than 0 by t"&amp;"his effect).    ")</f>
        <v>Damage your opponent’s Spell Book when you win the Battle as an Attacker. [STAY] When you inflict Damage or Injury, reduce the Power of all of your opponent’s in-play MAMODO cards by 2000 until your opponent’s next END PHASE (it cannot be less than 0 by this effect).    </v>
      </c>
      <c r="J1157" s="42" t="str">
        <f>IFERROR(__xludf.DUMMYFUNCTION("""COMPUTED_VALUE"""),"+3000")</f>
        <v>+3000</v>
      </c>
      <c r="K1157" s="42">
        <f>IFERROR(__xludf.DUMMYFUNCTION("""COMPUTED_VALUE"""),2.0)</f>
        <v>2</v>
      </c>
      <c r="L1157" s="42" t="str">
        <f>IFERROR(__xludf.DUMMYFUNCTION("""COMPUTED_VALUE"""),"Series 1, Level 2")</f>
        <v>Series 1, Level 2</v>
      </c>
      <c r="M1157" s="42" t="str">
        <f>IFERROR(__xludf.DUMMYFUNCTION("""COMPUTED_VALUE"""),"[C]")</f>
        <v>[C]</v>
      </c>
      <c r="N1157" s="42" t="str">
        <f>IFERROR(__xludf.DUMMYFUNCTION("""COMPUTED_VALUE"""),"Brago's 2nd spell. Pressure from above smashes the opponent's body.")</f>
        <v>Brago's 2nd spell. Pressure from above smashes the opponent's body.</v>
      </c>
      <c r="O1157" s="42"/>
      <c r="P1157" s="42"/>
      <c r="Q1157" s="42"/>
      <c r="R1157" s="42"/>
      <c r="S1157" s="42"/>
      <c r="T1157" s="42"/>
      <c r="U1157" s="42"/>
      <c r="V1157" s="42"/>
      <c r="W1157" s="42"/>
      <c r="X1157" s="42"/>
      <c r="Y1157" s="42"/>
      <c r="Z1157" s="42"/>
    </row>
    <row r="1158">
      <c r="A1158" s="41" t="str">
        <f>IFERROR(__xludf.DUMMYFUNCTION("""COMPUTED_VALUE"""),"S-034")</f>
        <v>S-034</v>
      </c>
      <c r="B1158" s="42" t="str">
        <f>IFERROR(__xludf.DUMMYFUNCTION("""COMPUTED_VALUE"""),"Spell")</f>
        <v>Spell</v>
      </c>
      <c r="C1158" s="42" t="str">
        <f>IFERROR(__xludf.DUMMYFUNCTION("""COMPUTED_VALUE"""),"Giganoreis")</f>
        <v>Giganoreis</v>
      </c>
      <c r="D1158" s="42" t="str">
        <f>IFERROR(__xludf.DUMMYFUNCTION("""COMPUTED_VALUE"""),"Brago")</f>
        <v>Brago</v>
      </c>
      <c r="E1158" s="42">
        <f>IFERROR(__xludf.DUMMYFUNCTION("""COMPUTED_VALUE"""),3.0)</f>
        <v>3</v>
      </c>
      <c r="F1158" s="42" t="str">
        <f>IFERROR(__xludf.DUMMYFUNCTION("""COMPUTED_VALUE"""),"AD")</f>
        <v>AD</v>
      </c>
      <c r="G1158" s="42" t="str">
        <f>IFERROR(__xludf.DUMMYFUNCTION("""COMPUTED_VALUE"""),"None")</f>
        <v>None</v>
      </c>
      <c r="H1158" s="42" t="str">
        <f>IFERROR(__xludf.DUMMYFUNCTION("""COMPUTED_VALUE"""),"Down Force")</f>
        <v>Down Force</v>
      </c>
      <c r="I1158" s="43" t="str">
        <f>IFERROR(__xludf.DUMMYFUNCTION("""COMPUTED_VALUE"""),"Damage your opponent’s Spell Book when you win the Battle as an Attacker. This SPELL card’s Damage cannot be greater than 4 Damage.    ")</f>
        <v>Damage your opponent’s Spell Book when you win the Battle as an Attacker. This SPELL card’s Damage cannot be greater than 4 Damage.    </v>
      </c>
      <c r="J1158" s="42" t="str">
        <f>IFERROR(__xludf.DUMMYFUNCTION("""COMPUTED_VALUE"""),"+4000")</f>
        <v>+4000</v>
      </c>
      <c r="K1158" s="42">
        <f>IFERROR(__xludf.DUMMYFUNCTION("""COMPUTED_VALUE"""),2.0)</f>
        <v>2</v>
      </c>
      <c r="L1158" s="42" t="str">
        <f>IFERROR(__xludf.DUMMYFUNCTION("""COMPUTED_VALUE"""),"Series 1, Level 2")</f>
        <v>Series 1, Level 2</v>
      </c>
      <c r="M1158" s="42" t="str">
        <f>IFERROR(__xludf.DUMMYFUNCTION("""COMPUTED_VALUE"""),"[U]")</f>
        <v>[U]</v>
      </c>
      <c r="N1158" s="42" t="str">
        <f>IFERROR(__xludf.DUMMYFUNCTION("""COMPUTED_VALUE"""),"Brago's 3rd spell. A compressed energy bullet that's stronger than Reis.")</f>
        <v>Brago's 3rd spell. A compressed energy bullet that's stronger than Reis.</v>
      </c>
      <c r="O1158" s="42"/>
      <c r="P1158" s="42"/>
      <c r="Q1158" s="42"/>
      <c r="R1158" s="42"/>
      <c r="S1158" s="42"/>
      <c r="T1158" s="42"/>
      <c r="U1158" s="42"/>
      <c r="V1158" s="42"/>
      <c r="W1158" s="42"/>
      <c r="X1158" s="42"/>
      <c r="Y1158" s="42"/>
      <c r="Z1158" s="42"/>
    </row>
    <row r="1159">
      <c r="A1159" s="41" t="str">
        <f>IFERROR(__xludf.DUMMYFUNCTION("""COMPUTED_VALUE"""),"S-035")</f>
        <v>S-035</v>
      </c>
      <c r="B1159" s="42" t="str">
        <f>IFERROR(__xludf.DUMMYFUNCTION("""COMPUTED_VALUE"""),"Spell")</f>
        <v>Spell</v>
      </c>
      <c r="C1159" s="42" t="str">
        <f>IFERROR(__xludf.DUMMYFUNCTION("""COMPUTED_VALUE"""),"Ion Gravirei")</f>
        <v>Ion Gravirei</v>
      </c>
      <c r="D1159" s="42" t="str">
        <f>IFERROR(__xludf.DUMMYFUNCTION("""COMPUTED_VALUE"""),"Brago")</f>
        <v>Brago</v>
      </c>
      <c r="E1159" s="42">
        <f>IFERROR(__xludf.DUMMYFUNCTION("""COMPUTED_VALUE"""),5.0)</f>
        <v>5</v>
      </c>
      <c r="F1159" s="42" t="str">
        <f>IFERROR(__xludf.DUMMYFUNCTION("""COMPUTED_VALUE"""),"A")</f>
        <v>A</v>
      </c>
      <c r="G1159" s="42" t="str">
        <f>IFERROR(__xludf.DUMMYFUNCTION("""COMPUTED_VALUE"""),"Intermediate")</f>
        <v>Intermediate</v>
      </c>
      <c r="H1159" s="42" t="str">
        <f>IFERROR(__xludf.DUMMYFUNCTION("""COMPUTED_VALUE"""),"Down Force")</f>
        <v>Down Force</v>
      </c>
      <c r="I1159" s="43" t="str">
        <f>IFERROR(__xludf.DUMMYFUNCTION("""COMPUTED_VALUE"""),"Damage your opponent’s Spell Book when you win the Battle as an Attacker. Flip a coin twice; if you get heads twice, your opponent can neither SACRIFICE nor PROTECT their Spell Book from Damage.    ")</f>
        <v>Damage your opponent’s Spell Book when you win the Battle as an Attacker. Flip a coin twice; if you get heads twice, your opponent can neither SACRIFICE nor PROTECT their Spell Book from Damage.    </v>
      </c>
      <c r="J1159" s="42" t="str">
        <f>IFERROR(__xludf.DUMMYFUNCTION("""COMPUTED_VALUE"""),"+4000")</f>
        <v>+4000</v>
      </c>
      <c r="K1159" s="42">
        <f>IFERROR(__xludf.DUMMYFUNCTION("""COMPUTED_VALUE"""),3.0)</f>
        <v>3</v>
      </c>
      <c r="L1159" s="42" t="str">
        <f>IFERROR(__xludf.DUMMYFUNCTION("""COMPUTED_VALUE"""),"Series 1, Level 2")</f>
        <v>Series 1, Level 2</v>
      </c>
      <c r="M1159" s="42" t="str">
        <f>IFERROR(__xludf.DUMMYFUNCTION("""COMPUTED_VALUE"""),"[U]")</f>
        <v>[U]</v>
      </c>
      <c r="N1159" s="42" t="str">
        <f>IFERROR(__xludf.DUMMYFUNCTION("""COMPUTED_VALUE"""),"Brago's 4th spell. A powerful spell that sweeps away everything in sight.")</f>
        <v>Brago's 4th spell. A powerful spell that sweeps away everything in sight.</v>
      </c>
      <c r="O1159" s="42"/>
      <c r="P1159" s="42"/>
      <c r="Q1159" s="42"/>
      <c r="R1159" s="42"/>
      <c r="S1159" s="42"/>
      <c r="T1159" s="42"/>
      <c r="U1159" s="42"/>
      <c r="V1159" s="42"/>
      <c r="W1159" s="42"/>
      <c r="X1159" s="42"/>
      <c r="Y1159" s="42"/>
      <c r="Z1159" s="42"/>
    </row>
    <row r="1160">
      <c r="A1160" s="41" t="str">
        <f>IFERROR(__xludf.DUMMYFUNCTION("""COMPUTED_VALUE"""),"S-036")</f>
        <v>S-036</v>
      </c>
      <c r="B1160" s="42" t="str">
        <f>IFERROR(__xludf.DUMMYFUNCTION("""COMPUTED_VALUE"""),"Spell")</f>
        <v>Spell</v>
      </c>
      <c r="C1160" s="42" t="str">
        <f>IFERROR(__xludf.DUMMYFUNCTION("""COMPUTED_VALUE"""),"Dioga Gravidon")</f>
        <v>Dioga Gravidon</v>
      </c>
      <c r="D1160" s="42" t="str">
        <f>IFERROR(__xludf.DUMMYFUNCTION("""COMPUTED_VALUE"""),"Brago")</f>
        <v>Brago</v>
      </c>
      <c r="E1160" s="42">
        <f>IFERROR(__xludf.DUMMYFUNCTION("""COMPUTED_VALUE"""),10.0)</f>
        <v>10</v>
      </c>
      <c r="F1160" s="42" t="str">
        <f>IFERROR(__xludf.DUMMYFUNCTION("""COMPUTED_VALUE"""),"AD")</f>
        <v>AD</v>
      </c>
      <c r="G1160" s="42" t="str">
        <f>IFERROR(__xludf.DUMMYFUNCTION("""COMPUTED_VALUE"""),"Superior")</f>
        <v>Superior</v>
      </c>
      <c r="H1160" s="42" t="str">
        <f>IFERROR(__xludf.DUMMYFUNCTION("""COMPUTED_VALUE"""),"Down Force")</f>
        <v>Down Force</v>
      </c>
      <c r="I1160" s="43" t="str">
        <f>IFERROR(__xludf.DUMMYFUNCTION("""COMPUTED_VALUE"""),"Damage your opponent's Spell Book and Injure all of your opponent's MAMODO cards when you win the Battle as an Attacker.")</f>
        <v>Damage your opponent's Spell Book and Injure all of your opponent's MAMODO cards when you win the Battle as an Attacker.</v>
      </c>
      <c r="J1160" s="42" t="str">
        <f>IFERROR(__xludf.DUMMYFUNCTION("""COMPUTED_VALUE"""),"+6000")</f>
        <v>+6000</v>
      </c>
      <c r="K1160" s="42">
        <f>IFERROR(__xludf.DUMMYFUNCTION("""COMPUTED_VALUE"""),3.0)</f>
        <v>3</v>
      </c>
      <c r="L1160" s="42" t="str">
        <f>IFERROR(__xludf.DUMMYFUNCTION("""COMPUTED_VALUE"""),"Supreme Power of the Golden Spell, Series 2, Level 2")</f>
        <v>Supreme Power of the Golden Spell, Series 2, Level 2</v>
      </c>
      <c r="M1160" s="42" t="str">
        <f>IFERROR(__xludf.DUMMYFUNCTION("""COMPUTED_VALUE"""),"[SR]")</f>
        <v>[SR]</v>
      </c>
      <c r="N1160" s="42" t="str">
        <f>IFERROR(__xludf.DUMMYFUNCTION("""COMPUTED_VALUE"""),"Brago's 5th spell. ""Tap into your anger to bring out the powers hidden inside the book!""")</f>
        <v>Brago's 5th spell. "Tap into your anger to bring out the powers hidden inside the book!"</v>
      </c>
      <c r="O1160" s="42"/>
      <c r="P1160" s="42"/>
      <c r="Q1160" s="42"/>
      <c r="R1160" s="42"/>
      <c r="S1160" s="42"/>
      <c r="T1160" s="42"/>
      <c r="U1160" s="42"/>
      <c r="V1160" s="42"/>
      <c r="W1160" s="42"/>
      <c r="X1160" s="42"/>
      <c r="Y1160" s="42"/>
      <c r="Z1160" s="42"/>
    </row>
    <row r="1161">
      <c r="A1161" s="41" t="str">
        <f>IFERROR(__xludf.DUMMYFUNCTION("""COMPUTED_VALUE"""),"S-037")</f>
        <v>S-037</v>
      </c>
      <c r="B1161" s="42" t="str">
        <f>IFERROR(__xludf.DUMMYFUNCTION("""COMPUTED_VALUE"""),"Spell")</f>
        <v>Spell</v>
      </c>
      <c r="C1161" s="42" t="str">
        <f>IFERROR(__xludf.DUMMYFUNCTION("""COMPUTED_VALUE"""),"Jikir")</f>
        <v>Jikir</v>
      </c>
      <c r="D1161" s="42" t="str">
        <f>IFERROR(__xludf.DUMMYFUNCTION("""COMPUTED_VALUE"""),"Hyde")</f>
        <v>Hyde</v>
      </c>
      <c r="E1161" s="42">
        <f>IFERROR(__xludf.DUMMYFUNCTION("""COMPUTED_VALUE"""),1.0)</f>
        <v>1</v>
      </c>
      <c r="F1161" s="42" t="str">
        <f>IFERROR(__xludf.DUMMYFUNCTION("""COMPUTED_VALUE"""),"AD")</f>
        <v>AD</v>
      </c>
      <c r="G1161" s="42" t="str">
        <f>IFERROR(__xludf.DUMMYFUNCTION("""COMPUTED_VALUE"""),"None")</f>
        <v>None</v>
      </c>
      <c r="H1161" s="42" t="str">
        <f>IFERROR(__xludf.DUMMYFUNCTION("""COMPUTED_VALUE"""),"Wind")</f>
        <v>Wind</v>
      </c>
      <c r="I1161" s="43" t="str">
        <f>IFERROR(__xludf.DUMMYFUNCTION("""COMPUTED_VALUE"""),"Damage your opponent’s Spell Book when you win the Battle as an Attacker. [STAY] When you inflict Damage or Injury, flip a coin; if it’s heads, your Spell Book and all of your MAMODO cards cannot receive Damage or Injury until your opponent’s next END PHA"&amp;"SE.      ")</f>
        <v>Damage your opponent’s Spell Book when you win the Battle as an Attacker. [STAY] When you inflict Damage or Injury, flip a coin; if it’s heads, your Spell Book and all of your MAMODO cards cannot receive Damage or Injury until your opponent’s next END PHASE.      </v>
      </c>
      <c r="J1161" s="42" t="str">
        <f>IFERROR(__xludf.DUMMYFUNCTION("""COMPUTED_VALUE"""),"+3000")</f>
        <v>+3000</v>
      </c>
      <c r="K1161" s="42">
        <f>IFERROR(__xludf.DUMMYFUNCTION("""COMPUTED_VALUE"""),1.0)</f>
        <v>1</v>
      </c>
      <c r="L1161" s="42" t="str">
        <f>IFERROR(__xludf.DUMMYFUNCTION("""COMPUTED_VALUE"""),"Series 1, Level 2")</f>
        <v>Series 1, Level 2</v>
      </c>
      <c r="M1161" s="42" t="str">
        <f>IFERROR(__xludf.DUMMYFUNCTION("""COMPUTED_VALUE"""),"[C]")</f>
        <v>[C]</v>
      </c>
      <c r="N1161" s="42" t="str">
        <f>IFERROR(__xludf.DUMMYFUNCTION("""COMPUTED_VALUE"""),"Hyde's 1st spell. A sudden and powerful wind force emits from his palm!")</f>
        <v>Hyde's 1st spell. A sudden and powerful wind force emits from his palm!</v>
      </c>
      <c r="O1161" s="42"/>
      <c r="P1161" s="42"/>
      <c r="Q1161" s="42"/>
      <c r="R1161" s="42"/>
      <c r="S1161" s="42"/>
      <c r="T1161" s="42"/>
      <c r="U1161" s="42"/>
      <c r="V1161" s="42"/>
      <c r="W1161" s="42"/>
      <c r="X1161" s="42"/>
      <c r="Y1161" s="42"/>
      <c r="Z1161" s="42"/>
    </row>
    <row r="1162">
      <c r="A1162" s="41" t="str">
        <f>IFERROR(__xludf.DUMMYFUNCTION("""COMPUTED_VALUE"""),"S-038")</f>
        <v>S-038</v>
      </c>
      <c r="B1162" s="42" t="str">
        <f>IFERROR(__xludf.DUMMYFUNCTION("""COMPUTED_VALUE"""),"Spell")</f>
        <v>Spell</v>
      </c>
      <c r="C1162" s="42" t="str">
        <f>IFERROR(__xludf.DUMMYFUNCTION("""COMPUTED_VALUE"""),"Jikirga")</f>
        <v>Jikirga</v>
      </c>
      <c r="D1162" s="42" t="str">
        <f>IFERROR(__xludf.DUMMYFUNCTION("""COMPUTED_VALUE"""),"Hyde")</f>
        <v>Hyde</v>
      </c>
      <c r="E1162" s="42">
        <f>IFERROR(__xludf.DUMMYFUNCTION("""COMPUTED_VALUE"""),3.0)</f>
        <v>3</v>
      </c>
      <c r="F1162" s="42" t="str">
        <f>IFERROR(__xludf.DUMMYFUNCTION("""COMPUTED_VALUE"""),"AD")</f>
        <v>AD</v>
      </c>
      <c r="G1162" s="42" t="str">
        <f>IFERROR(__xludf.DUMMYFUNCTION("""COMPUTED_VALUE"""),"None")</f>
        <v>None</v>
      </c>
      <c r="H1162" s="42" t="str">
        <f>IFERROR(__xludf.DUMMYFUNCTION("""COMPUTED_VALUE"""),"Wind")</f>
        <v>Wind</v>
      </c>
      <c r="I1162" s="43" t="str">
        <f>IFERROR(__xludf.DUMMYFUNCTION("""COMPUTED_VALUE"""),"Damage your opponent’s Spell Book when you win the Battle as an Attacker. [STAY] When you inflict Damage or Injury, your Spell Book and all of your MAMODO cards cannot receive Damage or Injury until your opponent’s next END PHASE.      ")</f>
        <v>Damage your opponent’s Spell Book when you win the Battle as an Attacker. [STAY] When you inflict Damage or Injury, your Spell Book and all of your MAMODO cards cannot receive Damage or Injury until your opponent’s next END PHASE.      </v>
      </c>
      <c r="J1162" s="42" t="str">
        <f>IFERROR(__xludf.DUMMYFUNCTION("""COMPUTED_VALUE"""),"+3000")</f>
        <v>+3000</v>
      </c>
      <c r="K1162" s="42">
        <f>IFERROR(__xludf.DUMMYFUNCTION("""COMPUTED_VALUE"""),2.0)</f>
        <v>2</v>
      </c>
      <c r="L1162" s="42" t="str">
        <f>IFERROR(__xludf.DUMMYFUNCTION("""COMPUTED_VALUE"""),"Series 1, Level 2")</f>
        <v>Series 1, Level 2</v>
      </c>
      <c r="M1162" s="42" t="str">
        <f>IFERROR(__xludf.DUMMYFUNCTION("""COMPUTED_VALUE"""),"[C]")</f>
        <v>[C]</v>
      </c>
      <c r="N1162" s="42" t="str">
        <f>IFERROR(__xludf.DUMMYFUNCTION("""COMPUTED_VALUE"""),"Hyde's 2nd spell. His strongest offensive espell, it attacks with violent wind pressure.")</f>
        <v>Hyde's 2nd spell. His strongest offensive espell, it attacks with violent wind pressure.</v>
      </c>
      <c r="O1162" s="42"/>
      <c r="P1162" s="42"/>
      <c r="Q1162" s="42"/>
      <c r="R1162" s="42"/>
      <c r="S1162" s="42"/>
      <c r="T1162" s="42"/>
      <c r="U1162" s="42"/>
      <c r="V1162" s="42"/>
      <c r="W1162" s="42"/>
      <c r="X1162" s="42"/>
      <c r="Y1162" s="42"/>
      <c r="Z1162" s="42"/>
    </row>
    <row r="1163">
      <c r="A1163" s="41" t="str">
        <f>IFERROR(__xludf.DUMMYFUNCTION("""COMPUTED_VALUE"""),"S-039")</f>
        <v>S-039</v>
      </c>
      <c r="B1163" s="42" t="str">
        <f>IFERROR(__xludf.DUMMYFUNCTION("""COMPUTED_VALUE"""),"Spell")</f>
        <v>Spell</v>
      </c>
      <c r="C1163" s="42" t="str">
        <f>IFERROR(__xludf.DUMMYFUNCTION("""COMPUTED_VALUE"""),"Radom")</f>
        <v>Radom</v>
      </c>
      <c r="D1163" s="42" t="str">
        <f>IFERROR(__xludf.DUMMYFUNCTION("""COMPUTED_VALUE"""),"Zofis")</f>
        <v>Zofis</v>
      </c>
      <c r="E1163" s="42">
        <f>IFERROR(__xludf.DUMMYFUNCTION("""COMPUTED_VALUE"""),3.0)</f>
        <v>3</v>
      </c>
      <c r="F1163" s="42" t="str">
        <f>IFERROR(__xludf.DUMMYFUNCTION("""COMPUTED_VALUE"""),"AD")</f>
        <v>AD</v>
      </c>
      <c r="G1163" s="42" t="str">
        <f>IFERROR(__xludf.DUMMYFUNCTION("""COMPUTED_VALUE"""),"None")</f>
        <v>None</v>
      </c>
      <c r="H1163" s="42" t="str">
        <f>IFERROR(__xludf.DUMMYFUNCTION("""COMPUTED_VALUE"""),"-")</f>
        <v>-</v>
      </c>
      <c r="I1163" s="43" t="str">
        <f>IFERROR(__xludf.DUMMYFUNCTION("""COMPUTED_VALUE"""),"Damage your opponent’s Spell Book when you win the Battle as an Attacker. When you inflict Damage or Injury, send 1 of your opponent’s in-play PARTNER cards to the Discard Pile.      ")</f>
        <v>Damage your opponent’s Spell Book when you win the Battle as an Attacker. When you inflict Damage or Injury, send 1 of your opponent’s in-play PARTNER cards to the Discard Pile.      </v>
      </c>
      <c r="J1163" s="42" t="str">
        <f>IFERROR(__xludf.DUMMYFUNCTION("""COMPUTED_VALUE"""),"+4000")</f>
        <v>+4000</v>
      </c>
      <c r="K1163" s="42">
        <f>IFERROR(__xludf.DUMMYFUNCTION("""COMPUTED_VALUE"""),2.0)</f>
        <v>2</v>
      </c>
      <c r="L1163" s="42" t="str">
        <f>IFERROR(__xludf.DUMMYFUNCTION("""COMPUTED_VALUE"""),"Series 1, Level 2")</f>
        <v>Series 1, Level 2</v>
      </c>
      <c r="M1163" s="42" t="str">
        <f>IFERROR(__xludf.DUMMYFUNCTION("""COMPUTED_VALUE"""),"[SR]")</f>
        <v>[SR]</v>
      </c>
      <c r="N1163" s="42" t="str">
        <f>IFERROR(__xludf.DUMMYFUNCTION("""COMPUTED_VALUE"""),"Zofis' 1st spell. A violent blaze that instantly blazes the opponent.")</f>
        <v>Zofis' 1st spell. A violent blaze that instantly blazes the opponent.</v>
      </c>
      <c r="O1163" s="42"/>
      <c r="P1163" s="42"/>
      <c r="Q1163" s="42"/>
      <c r="R1163" s="42"/>
      <c r="S1163" s="42"/>
      <c r="T1163" s="42"/>
      <c r="U1163" s="42"/>
      <c r="V1163" s="42"/>
      <c r="W1163" s="42"/>
      <c r="X1163" s="42"/>
      <c r="Y1163" s="42"/>
      <c r="Z1163" s="42"/>
    </row>
    <row r="1164">
      <c r="A1164" s="41" t="str">
        <f>IFERROR(__xludf.DUMMYFUNCTION("""COMPUTED_VALUE"""),"S-040")</f>
        <v>S-040</v>
      </c>
      <c r="B1164" s="42" t="str">
        <f>IFERROR(__xludf.DUMMYFUNCTION("""COMPUTED_VALUE"""),"Spell")</f>
        <v>Spell</v>
      </c>
      <c r="C1164" s="42" t="str">
        <f>IFERROR(__xludf.DUMMYFUNCTION("""COMPUTED_VALUE"""),"Barjuron")</f>
        <v>Barjuron</v>
      </c>
      <c r="D1164" s="42" t="str">
        <f>IFERROR(__xludf.DUMMYFUNCTION("""COMPUTED_VALUE"""),"Pokkerio")</f>
        <v>Pokkerio</v>
      </c>
      <c r="E1164" s="42">
        <f>IFERROR(__xludf.DUMMYFUNCTION("""COMPUTED_VALUE"""),2.0)</f>
        <v>2</v>
      </c>
      <c r="F1164" s="42" t="str">
        <f>IFERROR(__xludf.DUMMYFUNCTION("""COMPUTED_VALUE"""),"AD")</f>
        <v>AD</v>
      </c>
      <c r="G1164" s="42" t="str">
        <f>IFERROR(__xludf.DUMMYFUNCTION("""COMPUTED_VALUE"""),"None")</f>
        <v>None</v>
      </c>
      <c r="H1164" s="42" t="str">
        <f>IFERROR(__xludf.DUMMYFUNCTION("""COMPUTED_VALUE"""),"Wood")</f>
        <v>Wood</v>
      </c>
      <c r="I1164" s="43" t="str">
        <f>IFERROR(__xludf.DUMMYFUNCTION("""COMPUTED_VALUE"""),"Damage your opponent’s Spell Book when you win the Battle as an Attacker. Flip a coin 3 times; the Power of this SPELL card is equal to the number of heads you get times 2000.      ")</f>
        <v>Damage your opponent’s Spell Book when you win the Battle as an Attacker. Flip a coin 3 times; the Power of this SPELL card is equal to the number of heads you get times 2000.      </v>
      </c>
      <c r="J1164" s="42" t="str">
        <f>IFERROR(__xludf.DUMMYFUNCTION("""COMPUTED_VALUE"""),"x2000")</f>
        <v>x2000</v>
      </c>
      <c r="K1164" s="42">
        <f>IFERROR(__xludf.DUMMYFUNCTION("""COMPUTED_VALUE"""),1.0)</f>
        <v>1</v>
      </c>
      <c r="L1164" s="42" t="str">
        <f>IFERROR(__xludf.DUMMYFUNCTION("""COMPUTED_VALUE"""),"Series 1, Level 2")</f>
        <v>Series 1, Level 2</v>
      </c>
      <c r="M1164" s="42" t="str">
        <f>IFERROR(__xludf.DUMMYFUNCTION("""COMPUTED_VALUE"""),"[C]")</f>
        <v>[C]</v>
      </c>
      <c r="N1164" s="42" t="str">
        <f>IFERROR(__xludf.DUMMYFUNCTION("""COMPUTED_VALUE"""),"Pokkerio's 2nd spell. It makes many tree warriors appear.")</f>
        <v>Pokkerio's 2nd spell. It makes many tree warriors appear.</v>
      </c>
      <c r="O1164" s="42"/>
      <c r="P1164" s="42"/>
      <c r="Q1164" s="42"/>
      <c r="R1164" s="42"/>
      <c r="S1164" s="42"/>
      <c r="T1164" s="42"/>
      <c r="U1164" s="42"/>
      <c r="V1164" s="42"/>
      <c r="W1164" s="42"/>
      <c r="X1164" s="42"/>
      <c r="Y1164" s="42"/>
      <c r="Z1164" s="42"/>
    </row>
    <row r="1165">
      <c r="A1165" s="41" t="str">
        <f>IFERROR(__xludf.DUMMYFUNCTION("""COMPUTED_VALUE"""),"S-041")</f>
        <v>S-041</v>
      </c>
      <c r="B1165" s="42" t="str">
        <f>IFERROR(__xludf.DUMMYFUNCTION("""COMPUTED_VALUE"""),"Spell")</f>
        <v>Spell</v>
      </c>
      <c r="C1165" s="42" t="str">
        <f>IFERROR(__xludf.DUMMYFUNCTION("""COMPUTED_VALUE"""),"Juruk")</f>
        <v>Juruk</v>
      </c>
      <c r="D1165" s="42" t="str">
        <f>IFERROR(__xludf.DUMMYFUNCTION("""COMPUTED_VALUE"""),"Pokkerio")</f>
        <v>Pokkerio</v>
      </c>
      <c r="E1165" s="42">
        <f>IFERROR(__xludf.DUMMYFUNCTION("""COMPUTED_VALUE"""),1.0)</f>
        <v>1</v>
      </c>
      <c r="F1165" s="42" t="str">
        <f>IFERROR(__xludf.DUMMYFUNCTION("""COMPUTED_VALUE"""),"A")</f>
        <v>A</v>
      </c>
      <c r="G1165" s="42" t="str">
        <f>IFERROR(__xludf.DUMMYFUNCTION("""COMPUTED_VALUE"""),"None")</f>
        <v>None</v>
      </c>
      <c r="H1165" s="42" t="str">
        <f>IFERROR(__xludf.DUMMYFUNCTION("""COMPUTED_VALUE"""),"Wood")</f>
        <v>Wood</v>
      </c>
      <c r="I1165" s="43" t="str">
        <f>IFERROR(__xludf.DUMMYFUNCTION("""COMPUTED_VALUE"""),"[STAY] Flip a coin; if it’s heads, your Spell Book and all of your MAMODO cards cannot receive Damage or Injury until your opponent’s next END PHASE. This SPELL card cannot be defended.      ")</f>
        <v>[STAY] Flip a coin; if it’s heads, your Spell Book and all of your MAMODO cards cannot receive Damage or Injury until your opponent’s next END PHASE. This SPELL card cannot be defended.      </v>
      </c>
      <c r="J1165" s="42" t="str">
        <f>IFERROR(__xludf.DUMMYFUNCTION("""COMPUTED_VALUE"""),"Special")</f>
        <v>Special</v>
      </c>
      <c r="K1165" s="42" t="str">
        <f>IFERROR(__xludf.DUMMYFUNCTION("""COMPUTED_VALUE"""),"-")</f>
        <v>-</v>
      </c>
      <c r="L1165" s="42" t="str">
        <f>IFERROR(__xludf.DUMMYFUNCTION("""COMPUTED_VALUE"""),"Series 1, Level 2")</f>
        <v>Series 1, Level 2</v>
      </c>
      <c r="M1165" s="42" t="str">
        <f>IFERROR(__xludf.DUMMYFUNCTION("""COMPUTED_VALUE"""),"[C]")</f>
        <v>[C]</v>
      </c>
      <c r="N1165" s="42" t="str">
        <f>IFERROR(__xludf.DUMMYFUNCTION("""COMPUTED_VALUE"""),"Pokkerio's 3rd spell. It makes the trees protect him and his partner.")</f>
        <v>Pokkerio's 3rd spell. It makes the trees protect him and his partner.</v>
      </c>
      <c r="O1165" s="42"/>
      <c r="P1165" s="42"/>
      <c r="Q1165" s="42"/>
      <c r="R1165" s="42"/>
      <c r="S1165" s="42"/>
      <c r="T1165" s="42"/>
      <c r="U1165" s="42"/>
      <c r="V1165" s="42"/>
      <c r="W1165" s="42"/>
      <c r="X1165" s="42"/>
      <c r="Y1165" s="42"/>
      <c r="Z1165" s="42"/>
    </row>
    <row r="1166">
      <c r="A1166" s="41" t="str">
        <f>IFERROR(__xludf.DUMMYFUNCTION("""COMPUTED_VALUE"""),"S-042e")</f>
        <v>S-042e</v>
      </c>
      <c r="B1166" s="42" t="str">
        <f>IFERROR(__xludf.DUMMYFUNCTION("""COMPUTED_VALUE"""),"Spell")</f>
        <v>Spell</v>
      </c>
      <c r="C1166" s="42" t="str">
        <f>IFERROR(__xludf.DUMMYFUNCTION("""COMPUTED_VALUE"""),"Biraitsu")</f>
        <v>Biraitsu</v>
      </c>
      <c r="D1166" s="42" t="str">
        <f>IFERROR(__xludf.DUMMYFUNCTION("""COMPUTED_VALUE"""),"Robnos")</f>
        <v>Robnos</v>
      </c>
      <c r="E1166" s="42">
        <f>IFERROR(__xludf.DUMMYFUNCTION("""COMPUTED_VALUE"""),2.0)</f>
        <v>2</v>
      </c>
      <c r="F1166" s="42" t="str">
        <f>IFERROR(__xludf.DUMMYFUNCTION("""COMPUTED_VALUE"""),"AD")</f>
        <v>AD</v>
      </c>
      <c r="G1166" s="42" t="str">
        <f>IFERROR(__xludf.DUMMYFUNCTION("""COMPUTED_VALUE"""),"None")</f>
        <v>None</v>
      </c>
      <c r="H1166" s="42" t="str">
        <f>IFERROR(__xludf.DUMMYFUNCTION("""COMPUTED_VALUE"""),"-")</f>
        <v>-</v>
      </c>
      <c r="I1166" s="43" t="str">
        <f>IFERROR(__xludf.DUMMYFUNCTION("""COMPUTED_VALUE"""),"Damage your opponent's Spell Book when you win the Battle as an Attacker. When Attacking, if the Total Power of this SPELL card is more than 8000, increase the Damage of this SPELL card by 2.")</f>
        <v>Damage your opponent's Spell Book when you win the Battle as an Attacker. When Attacking, if the Total Power of this SPELL card is more than 8000, increase the Damage of this SPELL card by 2.</v>
      </c>
      <c r="J1166" s="42" t="str">
        <f>IFERROR(__xludf.DUMMYFUNCTION("""COMPUTED_VALUE"""),"+3000")</f>
        <v>+3000</v>
      </c>
      <c r="K1166" s="42">
        <f>IFERROR(__xludf.DUMMYFUNCTION("""COMPUTED_VALUE"""),1.0)</f>
        <v>1</v>
      </c>
      <c r="L1166" s="42" t="str">
        <f>IFERROR(__xludf.DUMMYFUNCTION("""COMPUTED_VALUE"""),"-")</f>
        <v>-</v>
      </c>
      <c r="M1166" s="42" t="str">
        <f>IFERROR(__xludf.DUMMYFUNCTION("""COMPUTED_VALUE"""),"[C]")</f>
        <v>[C]</v>
      </c>
      <c r="N1166" s="42" t="str">
        <f>IFERROR(__xludf.DUMMYFUNCTION("""COMPUTED_VALUE"""),"Robnos' 1st spell. A hyperspeed beam that slashes at an opponent.")</f>
        <v>Robnos' 1st spell. A hyperspeed beam that slashes at an opponent.</v>
      </c>
      <c r="O1166" s="42"/>
      <c r="P1166" s="42"/>
      <c r="Q1166" s="42"/>
      <c r="R1166" s="42"/>
      <c r="S1166" s="42"/>
      <c r="T1166" s="42"/>
      <c r="U1166" s="42"/>
      <c r="V1166" s="42"/>
      <c r="W1166" s="42"/>
      <c r="X1166" s="42"/>
      <c r="Y1166" s="42"/>
      <c r="Z1166" s="42"/>
    </row>
    <row r="1167">
      <c r="A1167" s="41" t="str">
        <f>IFERROR(__xludf.DUMMYFUNCTION("""COMPUTED_VALUE"""),"S-042j")</f>
        <v>S-042j</v>
      </c>
      <c r="B1167" s="42" t="str">
        <f>IFERROR(__xludf.DUMMYFUNCTION("""COMPUTED_VALUE"""),"Spell")</f>
        <v>Spell</v>
      </c>
      <c r="C1167" s="42" t="str">
        <f>IFERROR(__xludf.DUMMYFUNCTION("""COMPUTED_VALUE"""),"Biraitsu")</f>
        <v>Biraitsu</v>
      </c>
      <c r="D1167" s="42" t="str">
        <f>IFERROR(__xludf.DUMMYFUNCTION("""COMPUTED_VALUE"""),"Robnos")</f>
        <v>Robnos</v>
      </c>
      <c r="E1167" s="42">
        <f>IFERROR(__xludf.DUMMYFUNCTION("""COMPUTED_VALUE"""),2.0)</f>
        <v>2</v>
      </c>
      <c r="F1167" s="42" t="str">
        <f>IFERROR(__xludf.DUMMYFUNCTION("""COMPUTED_VALUE"""),"AD")</f>
        <v>AD</v>
      </c>
      <c r="G1167" s="42" t="str">
        <f>IFERROR(__xludf.DUMMYFUNCTION("""COMPUTED_VALUE"""),"None")</f>
        <v>None</v>
      </c>
      <c r="H1167" s="42" t="str">
        <f>IFERROR(__xludf.DUMMYFUNCTION("""COMPUTED_VALUE"""),"-")</f>
        <v>-</v>
      </c>
      <c r="I1167" s="43" t="str">
        <f>IFERROR(__xludf.DUMMYFUNCTION("""COMPUTED_VALUE"""),"Damage your opponent's Spell Book when you win the Battle as an Attacker. When Attacking, if the Total Power of this SPELL card is 8000 or more, increase the Damage of this SPELL card by 2.")</f>
        <v>Damage your opponent's Spell Book when you win the Battle as an Attacker. When Attacking, if the Total Power of this SPELL card is 8000 or more, increase the Damage of this SPELL card by 2.</v>
      </c>
      <c r="J1167" s="42" t="str">
        <f>IFERROR(__xludf.DUMMYFUNCTION("""COMPUTED_VALUE"""),"+3000")</f>
        <v>+3000</v>
      </c>
      <c r="K1167" s="42">
        <f>IFERROR(__xludf.DUMMYFUNCTION("""COMPUTED_VALUE"""),1.0)</f>
        <v>1</v>
      </c>
      <c r="L1167" s="42" t="str">
        <f>IFERROR(__xludf.DUMMYFUNCTION("""COMPUTED_VALUE"""),"-")</f>
        <v>-</v>
      </c>
      <c r="M1167" s="42" t="str">
        <f>IFERROR(__xludf.DUMMYFUNCTION("""COMPUTED_VALUE"""),"[C]")</f>
        <v>[C]</v>
      </c>
      <c r="N1167" s="42" t="str">
        <f>IFERROR(__xludf.DUMMYFUNCTION("""COMPUTED_VALUE"""),"Robnos' 1st spell. A hyperspeed beam that slashes at an opponent.")</f>
        <v>Robnos' 1st spell. A hyperspeed beam that slashes at an opponent.</v>
      </c>
      <c r="O1167" s="42"/>
      <c r="P1167" s="42"/>
      <c r="Q1167" s="42"/>
      <c r="R1167" s="42"/>
      <c r="S1167" s="42"/>
      <c r="T1167" s="42"/>
      <c r="U1167" s="42"/>
      <c r="V1167" s="42"/>
      <c r="W1167" s="42"/>
      <c r="X1167" s="42"/>
      <c r="Y1167" s="42"/>
      <c r="Z1167" s="42"/>
    </row>
    <row r="1168">
      <c r="A1168" s="41" t="str">
        <f>IFERROR(__xludf.DUMMYFUNCTION("""COMPUTED_VALUE"""),"S-043")</f>
        <v>S-043</v>
      </c>
      <c r="B1168" s="42" t="str">
        <f>IFERROR(__xludf.DUMMYFUNCTION("""COMPUTED_VALUE"""),"Spell")</f>
        <v>Spell</v>
      </c>
      <c r="C1168" s="42" t="str">
        <f>IFERROR(__xludf.DUMMYFUNCTION("""COMPUTED_VALUE"""),"Rei Buruk")</f>
        <v>Rei Buruk</v>
      </c>
      <c r="D1168" s="42" t="str">
        <f>IFERROR(__xludf.DUMMYFUNCTION("""COMPUTED_VALUE"""),"Robnos")</f>
        <v>Robnos</v>
      </c>
      <c r="E1168" s="42">
        <f>IFERROR(__xludf.DUMMYFUNCTION("""COMPUTED_VALUE"""),4.0)</f>
        <v>4</v>
      </c>
      <c r="F1168" s="42" t="str">
        <f>IFERROR(__xludf.DUMMYFUNCTION("""COMPUTED_VALUE"""),"A")</f>
        <v>A</v>
      </c>
      <c r="G1168" s="42" t="str">
        <f>IFERROR(__xludf.DUMMYFUNCTION("""COMPUTED_VALUE"""),"None")</f>
        <v>None</v>
      </c>
      <c r="H1168" s="42" t="str">
        <f>IFERROR(__xludf.DUMMYFUNCTION("""COMPUTED_VALUE"""),"-")</f>
        <v>-</v>
      </c>
      <c r="I1168" s="43" t="str">
        <f>IFERROR(__xludf.DUMMYFUNCTION("""COMPUTED_VALUE"""),"Send 2 in-play Robnos (Double) MAMODO cards to the Discard Pile to put 1 Robnos (Complete) MAMODO card from any pocket of your Spell Book in play, OR, send 1 in-play Robnos (Complete) MAMODO card to the Discard Pile to put 2 Robnos (Double) MAMODO cards i"&amp;"n play. This SPELL card cannot be defended.      ")</f>
        <v>Send 2 in-play Robnos (Double) MAMODO cards to the Discard Pile to put 1 Robnos (Complete) MAMODO card from any pocket of your Spell Book in play, OR, send 1 in-play Robnos (Complete) MAMODO card to the Discard Pile to put 2 Robnos (Double) MAMODO cards in play. This SPELL card cannot be defended.      </v>
      </c>
      <c r="J1168" s="42" t="str">
        <f>IFERROR(__xludf.DUMMYFUNCTION("""COMPUTED_VALUE"""),"Special")</f>
        <v>Special</v>
      </c>
      <c r="K1168" s="42" t="str">
        <f>IFERROR(__xludf.DUMMYFUNCTION("""COMPUTED_VALUE"""),"-")</f>
        <v>-</v>
      </c>
      <c r="L1168" s="42" t="str">
        <f>IFERROR(__xludf.DUMMYFUNCTION("""COMPUTED_VALUE"""),"Series 1, Level 2")</f>
        <v>Series 1, Level 2</v>
      </c>
      <c r="M1168" s="42" t="str">
        <f>IFERROR(__xludf.DUMMYFUNCTION("""COMPUTED_VALUE"""),"[U]")</f>
        <v>[U]</v>
      </c>
      <c r="N1168" s="42" t="str">
        <f>IFERROR(__xludf.DUMMYFUNCTION("""COMPUTED_VALUE"""),"Robnos' 2nd spell. It unites two Robnos bodies.")</f>
        <v>Robnos' 2nd spell. It unites two Robnos bodies.</v>
      </c>
      <c r="O1168" s="42"/>
      <c r="P1168" s="42"/>
      <c r="Q1168" s="42"/>
      <c r="R1168" s="42"/>
      <c r="S1168" s="42"/>
      <c r="T1168" s="42"/>
      <c r="U1168" s="42"/>
      <c r="V1168" s="42"/>
      <c r="W1168" s="42"/>
      <c r="X1168" s="42"/>
      <c r="Y1168" s="42"/>
      <c r="Z1168" s="42"/>
    </row>
    <row r="1169">
      <c r="A1169" s="41" t="str">
        <f>IFERROR(__xludf.DUMMYFUNCTION("""COMPUTED_VALUE"""),"S-044")</f>
        <v>S-044</v>
      </c>
      <c r="B1169" s="42" t="str">
        <f>IFERROR(__xludf.DUMMYFUNCTION("""COMPUTED_VALUE"""),"Spell")</f>
        <v>Spell</v>
      </c>
      <c r="C1169" s="42" t="str">
        <f>IFERROR(__xludf.DUMMYFUNCTION("""COMPUTED_VALUE"""),"Garon")</f>
        <v>Garon</v>
      </c>
      <c r="D1169" s="42" t="str">
        <f>IFERROR(__xludf.DUMMYFUNCTION("""COMPUTED_VALUE"""),"Maruss")</f>
        <v>Maruss</v>
      </c>
      <c r="E1169" s="42">
        <f>IFERROR(__xludf.DUMMYFUNCTION("""COMPUTED_VALUE"""),1.0)</f>
        <v>1</v>
      </c>
      <c r="F1169" s="42" t="str">
        <f>IFERROR(__xludf.DUMMYFUNCTION("""COMPUTED_VALUE"""),"A")</f>
        <v>A</v>
      </c>
      <c r="G1169" s="42" t="str">
        <f>IFERROR(__xludf.DUMMYFUNCTION("""COMPUTED_VALUE"""),"None")</f>
        <v>None</v>
      </c>
      <c r="H1169" s="42" t="str">
        <f>IFERROR(__xludf.DUMMYFUNCTION("""COMPUTED_VALUE"""),"-")</f>
        <v>-</v>
      </c>
      <c r="I1169" s="43" t="str">
        <f>IFERROR(__xludf.DUMMYFUNCTION("""COMPUTED_VALUE"""),"Damage your opponent’s Spell Book when you win the Battle as an Attacker.")</f>
        <v>Damage your opponent’s Spell Book when you win the Battle as an Attacker.</v>
      </c>
      <c r="J1169" s="42" t="str">
        <f>IFERROR(__xludf.DUMMYFUNCTION("""COMPUTED_VALUE"""),"+2000")</f>
        <v>+2000</v>
      </c>
      <c r="K1169" s="42">
        <f>IFERROR(__xludf.DUMMYFUNCTION("""COMPUTED_VALUE"""),2.0)</f>
        <v>2</v>
      </c>
      <c r="L1169" s="42" t="str">
        <f>IFERROR(__xludf.DUMMYFUNCTION("""COMPUTED_VALUE"""),"Series 1, Level 2, The Best Booster 1")</f>
        <v>Series 1, Level 2, The Best Booster 1</v>
      </c>
      <c r="M1169" s="42" t="str">
        <f>IFERROR(__xludf.DUMMYFUNCTION("""COMPUTED_VALUE"""),"[C]")</f>
        <v>[C]</v>
      </c>
      <c r="N1169" s="42" t="str">
        <f>IFERROR(__xludf.DUMMYFUNCTION("""COMPUTED_VALUE"""),"Maruss' 1st spell. Heavy iron chains crush his opponent.")</f>
        <v>Maruss' 1st spell. Heavy iron chains crush his opponent.</v>
      </c>
      <c r="O1169" s="42"/>
      <c r="P1169" s="42"/>
      <c r="Q1169" s="42"/>
      <c r="R1169" s="42"/>
      <c r="S1169" s="42"/>
      <c r="T1169" s="42"/>
      <c r="U1169" s="42"/>
      <c r="V1169" s="42"/>
      <c r="W1169" s="42"/>
      <c r="X1169" s="42"/>
      <c r="Y1169" s="42"/>
      <c r="Z1169" s="42"/>
    </row>
    <row r="1170">
      <c r="A1170" s="41" t="str">
        <f>IFERROR(__xludf.DUMMYFUNCTION("""COMPUTED_VALUE"""),"S-045")</f>
        <v>S-045</v>
      </c>
      <c r="B1170" s="42" t="str">
        <f>IFERROR(__xludf.DUMMYFUNCTION("""COMPUTED_VALUE"""),"Spell")</f>
        <v>Spell</v>
      </c>
      <c r="C1170" s="42" t="str">
        <f>IFERROR(__xludf.DUMMYFUNCTION("""COMPUTED_VALUE"""),"Ganzu Garon")</f>
        <v>Ganzu Garon</v>
      </c>
      <c r="D1170" s="42" t="str">
        <f>IFERROR(__xludf.DUMMYFUNCTION("""COMPUTED_VALUE"""),"Maruss")</f>
        <v>Maruss</v>
      </c>
      <c r="E1170" s="42">
        <f>IFERROR(__xludf.DUMMYFUNCTION("""COMPUTED_VALUE"""),2.0)</f>
        <v>2</v>
      </c>
      <c r="F1170" s="42" t="str">
        <f>IFERROR(__xludf.DUMMYFUNCTION("""COMPUTED_VALUE"""),"A")</f>
        <v>A</v>
      </c>
      <c r="G1170" s="42" t="str">
        <f>IFERROR(__xludf.DUMMYFUNCTION("""COMPUTED_VALUE"""),"None")</f>
        <v>None</v>
      </c>
      <c r="H1170" s="42" t="str">
        <f>IFERROR(__xludf.DUMMYFUNCTION("""COMPUTED_VALUE"""),"-")</f>
        <v>-</v>
      </c>
      <c r="I1170" s="43" t="str">
        <f>IFERROR(__xludf.DUMMYFUNCTION("""COMPUTED_VALUE"""),"Damage your opponent’s Spell Book when you win the Battle as an Attacker. Flip a coin twice; if you get heads twice, this SPELL card cannot be defended.      ")</f>
        <v>Damage your opponent’s Spell Book when you win the Battle as an Attacker. Flip a coin twice; if you get heads twice, this SPELL card cannot be defended.      </v>
      </c>
      <c r="J1170" s="42" t="str">
        <f>IFERROR(__xludf.DUMMYFUNCTION("""COMPUTED_VALUE"""),"+3000")</f>
        <v>+3000</v>
      </c>
      <c r="K1170" s="42">
        <f>IFERROR(__xludf.DUMMYFUNCTION("""COMPUTED_VALUE"""),1.0)</f>
        <v>1</v>
      </c>
      <c r="L1170" s="42" t="str">
        <f>IFERROR(__xludf.DUMMYFUNCTION("""COMPUTED_VALUE"""),"Series 1, Level 2")</f>
        <v>Series 1, Level 2</v>
      </c>
      <c r="M1170" s="42" t="str">
        <f>IFERROR(__xludf.DUMMYFUNCTION("""COMPUTED_VALUE"""),"[C]")</f>
        <v>[C]</v>
      </c>
      <c r="N1170" s="42" t="str">
        <f>IFERROR(__xludf.DUMMYFUNCTION("""COMPUTED_VALUE"""),"Maruss' 2nd spell. It shoots random iron balls to shatter his opponents.")</f>
        <v>Maruss' 2nd spell. It shoots random iron balls to shatter his opponents.</v>
      </c>
      <c r="O1170" s="42"/>
      <c r="P1170" s="42"/>
      <c r="Q1170" s="42"/>
      <c r="R1170" s="42"/>
      <c r="S1170" s="42"/>
      <c r="T1170" s="42"/>
      <c r="U1170" s="42"/>
      <c r="V1170" s="42"/>
      <c r="W1170" s="42"/>
      <c r="X1170" s="42"/>
      <c r="Y1170" s="42"/>
      <c r="Z1170" s="42"/>
    </row>
    <row r="1171">
      <c r="A1171" s="41" t="str">
        <f>IFERROR(__xludf.DUMMYFUNCTION("""COMPUTED_VALUE"""),"S-046")</f>
        <v>S-046</v>
      </c>
      <c r="B1171" s="42" t="str">
        <f>IFERROR(__xludf.DUMMYFUNCTION("""COMPUTED_VALUE"""),"Spell")</f>
        <v>Spell</v>
      </c>
      <c r="C1171" s="42" t="str">
        <f>IFERROR(__xludf.DUMMYFUNCTION("""COMPUTED_VALUE"""),"Ei Garon")</f>
        <v>Ei Garon</v>
      </c>
      <c r="D1171" s="42" t="str">
        <f>IFERROR(__xludf.DUMMYFUNCTION("""COMPUTED_VALUE"""),"Maruss")</f>
        <v>Maruss</v>
      </c>
      <c r="E1171" s="42">
        <f>IFERROR(__xludf.DUMMYFUNCTION("""COMPUTED_VALUE"""),4.0)</f>
        <v>4</v>
      </c>
      <c r="F1171" s="42" t="str">
        <f>IFERROR(__xludf.DUMMYFUNCTION("""COMPUTED_VALUE"""),"A")</f>
        <v>A</v>
      </c>
      <c r="G1171" s="42" t="str">
        <f>IFERROR(__xludf.DUMMYFUNCTION("""COMPUTED_VALUE"""),"None")</f>
        <v>None</v>
      </c>
      <c r="H1171" s="42" t="str">
        <f>IFERROR(__xludf.DUMMYFUNCTION("""COMPUTED_VALUE"""),"-")</f>
        <v>-</v>
      </c>
      <c r="I1171" s="43" t="str">
        <f>IFERROR(__xludf.DUMMYFUNCTION("""COMPUTED_VALUE"""),"Damage your opponent’s Spell Book when you win the Battle as an Attacker. Flip a coin; if its heads, this SPELL card cannot be defended.      ")</f>
        <v>Damage your opponent’s Spell Book when you win the Battle as an Attacker. Flip a coin; if its heads, this SPELL card cannot be defended.      </v>
      </c>
      <c r="J1171" s="42" t="str">
        <f>IFERROR(__xludf.DUMMYFUNCTION("""COMPUTED_VALUE"""),"+4000")</f>
        <v>+4000</v>
      </c>
      <c r="K1171" s="42">
        <f>IFERROR(__xludf.DUMMYFUNCTION("""COMPUTED_VALUE"""),2.0)</f>
        <v>2</v>
      </c>
      <c r="L1171" s="42" t="str">
        <f>IFERROR(__xludf.DUMMYFUNCTION("""COMPUTED_VALUE"""),"Series 1, Level 2")</f>
        <v>Series 1, Level 2</v>
      </c>
      <c r="M1171" s="42" t="str">
        <f>IFERROR(__xludf.DUMMYFUNCTION("""COMPUTED_VALUE"""),"[U]")</f>
        <v>[U]</v>
      </c>
      <c r="N1171" s="42" t="str">
        <f>IFERROR(__xludf.DUMMYFUNCTION("""COMPUTED_VALUE"""),"Maruss' 3rd spell. It gives Maruss the power to control the iron balls, even from the ground.")</f>
        <v>Maruss' 3rd spell. It gives Maruss the power to control the iron balls, even from the ground.</v>
      </c>
      <c r="O1171" s="42"/>
      <c r="P1171" s="42"/>
      <c r="Q1171" s="42"/>
      <c r="R1171" s="42"/>
      <c r="S1171" s="42"/>
      <c r="T1171" s="42"/>
      <c r="U1171" s="42"/>
      <c r="V1171" s="42"/>
      <c r="W1171" s="42"/>
      <c r="X1171" s="42"/>
      <c r="Y1171" s="42"/>
      <c r="Z1171" s="42"/>
    </row>
    <row r="1172">
      <c r="A1172" s="41" t="str">
        <f>IFERROR(__xludf.DUMMYFUNCTION("""COMPUTED_VALUE"""),"S-047")</f>
        <v>S-047</v>
      </c>
      <c r="B1172" s="42" t="str">
        <f>IFERROR(__xludf.DUMMYFUNCTION("""COMPUTED_VALUE"""),"Spell")</f>
        <v>Spell</v>
      </c>
      <c r="C1172" s="42" t="str">
        <f>IFERROR(__xludf.DUMMYFUNCTION("""COMPUTED_VALUE"""),"Gigano Garanzu")</f>
        <v>Gigano Garanzu</v>
      </c>
      <c r="D1172" s="42" t="str">
        <f>IFERROR(__xludf.DUMMYFUNCTION("""COMPUTED_VALUE"""),"Maruss")</f>
        <v>Maruss</v>
      </c>
      <c r="E1172" s="42">
        <f>IFERROR(__xludf.DUMMYFUNCTION("""COMPUTED_VALUE"""),5.0)</f>
        <v>5</v>
      </c>
      <c r="F1172" s="42" t="str">
        <f>IFERROR(__xludf.DUMMYFUNCTION("""COMPUTED_VALUE"""),"A")</f>
        <v>A</v>
      </c>
      <c r="G1172" s="42" t="str">
        <f>IFERROR(__xludf.DUMMYFUNCTION("""COMPUTED_VALUE"""),"Intermediate")</f>
        <v>Intermediate</v>
      </c>
      <c r="H1172" s="42" t="str">
        <f>IFERROR(__xludf.DUMMYFUNCTION("""COMPUTED_VALUE"""),"-")</f>
        <v>-</v>
      </c>
      <c r="I1172" s="43" t="str">
        <f>IFERROR(__xludf.DUMMYFUNCTION("""COMPUTED_VALUE"""),"Damage your opponent’s Spell Book when you win the Battle as an Attacker.")</f>
        <v>Damage your opponent’s Spell Book when you win the Battle as an Attacker.</v>
      </c>
      <c r="J1172" s="42" t="str">
        <f>IFERROR(__xludf.DUMMYFUNCTION("""COMPUTED_VALUE"""),"+5000")</f>
        <v>+5000</v>
      </c>
      <c r="K1172" s="42">
        <f>IFERROR(__xludf.DUMMYFUNCTION("""COMPUTED_VALUE"""),3.0)</f>
        <v>3</v>
      </c>
      <c r="L1172" s="42" t="str">
        <f>IFERROR(__xludf.DUMMYFUNCTION("""COMPUTED_VALUE"""),"Series 1, Level 2")</f>
        <v>Series 1, Level 2</v>
      </c>
      <c r="M1172" s="42" t="str">
        <f>IFERROR(__xludf.DUMMYFUNCTION("""COMPUTED_VALUE"""),"[R]")</f>
        <v>[R]</v>
      </c>
      <c r="N1172" s="42" t="str">
        <f>IFERROR(__xludf.DUMMYFUNCTION("""COMPUTED_VALUE"""),"Maruss' 4th spell. It animates a gigantic iron armor that attacks opponents.")</f>
        <v>Maruss' 4th spell. It animates a gigantic iron armor that attacks opponents.</v>
      </c>
      <c r="O1172" s="42"/>
      <c r="P1172" s="42"/>
      <c r="Q1172" s="42"/>
      <c r="R1172" s="42"/>
      <c r="S1172" s="42"/>
      <c r="T1172" s="42"/>
      <c r="U1172" s="42"/>
      <c r="V1172" s="42"/>
      <c r="W1172" s="42"/>
      <c r="X1172" s="42"/>
      <c r="Y1172" s="42"/>
      <c r="Z1172" s="42"/>
    </row>
    <row r="1173">
      <c r="A1173" s="41" t="str">
        <f>IFERROR(__xludf.DUMMYFUNCTION("""COMPUTED_VALUE"""),"S-048")</f>
        <v>S-048</v>
      </c>
      <c r="B1173" s="42" t="str">
        <f>IFERROR(__xludf.DUMMYFUNCTION("""COMPUTED_VALUE"""),"Spell")</f>
        <v>Spell</v>
      </c>
      <c r="C1173" s="42" t="str">
        <f>IFERROR(__xludf.DUMMYFUNCTION("""COMPUTED_VALUE"""),"Zeberu")</f>
        <v>Zeberu</v>
      </c>
      <c r="D1173" s="42" t="str">
        <f>IFERROR(__xludf.DUMMYFUNCTION("""COMPUTED_VALUE"""),"Baltro")</f>
        <v>Baltro</v>
      </c>
      <c r="E1173" s="42">
        <f>IFERROR(__xludf.DUMMYFUNCTION("""COMPUTED_VALUE"""),1.0)</f>
        <v>1</v>
      </c>
      <c r="F1173" s="42" t="str">
        <f>IFERROR(__xludf.DUMMYFUNCTION("""COMPUTED_VALUE"""),"A")</f>
        <v>A</v>
      </c>
      <c r="G1173" s="42" t="str">
        <f>IFERROR(__xludf.DUMMYFUNCTION("""COMPUTED_VALUE"""),"None")</f>
        <v>None</v>
      </c>
      <c r="H1173" s="42" t="str">
        <f>IFERROR(__xludf.DUMMYFUNCTION("""COMPUTED_VALUE"""),"-")</f>
        <v>-</v>
      </c>
      <c r="I1173" s="43" t="str">
        <f>IFERROR(__xludf.DUMMYFUNCTION("""COMPUTED_VALUE"""),"Select 1 Baltro (Armored) MAMODO card from any pocket of your Spell Book and place it on a regular Baltro MAMODO card. This SPELL card cannot be defended.      ")</f>
        <v>Select 1 Baltro (Armored) MAMODO card from any pocket of your Spell Book and place it on a regular Baltro MAMODO card. This SPELL card cannot be defended.      </v>
      </c>
      <c r="J1173" s="42" t="str">
        <f>IFERROR(__xludf.DUMMYFUNCTION("""COMPUTED_VALUE"""),"Special")</f>
        <v>Special</v>
      </c>
      <c r="K1173" s="42" t="str">
        <f>IFERROR(__xludf.DUMMYFUNCTION("""COMPUTED_VALUE"""),"-")</f>
        <v>-</v>
      </c>
      <c r="L1173" s="42" t="str">
        <f>IFERROR(__xludf.DUMMYFUNCTION("""COMPUTED_VALUE"""),"Series 1, Level 2")</f>
        <v>Series 1, Level 2</v>
      </c>
      <c r="M1173" s="42" t="str">
        <f>IFERROR(__xludf.DUMMYFUNCTION("""COMPUTED_VALUE"""),"[C]")</f>
        <v>[C]</v>
      </c>
      <c r="N1173" s="42" t="str">
        <f>IFERROR(__xludf.DUMMYFUNCTION("""COMPUTED_VALUE"""),"Baltro's 1st spell. It allows him to control anything his flowers are attached to.")</f>
        <v>Baltro's 1st spell. It allows him to control anything his flowers are attached to.</v>
      </c>
      <c r="O1173" s="42"/>
      <c r="P1173" s="42"/>
      <c r="Q1173" s="42"/>
      <c r="R1173" s="42"/>
      <c r="S1173" s="42"/>
      <c r="T1173" s="42"/>
      <c r="U1173" s="42"/>
      <c r="V1173" s="42"/>
      <c r="W1173" s="42"/>
      <c r="X1173" s="42"/>
      <c r="Y1173" s="42"/>
      <c r="Z1173" s="42"/>
    </row>
    <row r="1174">
      <c r="A1174" s="41" t="str">
        <f>IFERROR(__xludf.DUMMYFUNCTION("""COMPUTED_VALUE"""),"S-049")</f>
        <v>S-049</v>
      </c>
      <c r="B1174" s="42" t="str">
        <f>IFERROR(__xludf.DUMMYFUNCTION("""COMPUTED_VALUE"""),"Spell")</f>
        <v>Spell</v>
      </c>
      <c r="C1174" s="42" t="str">
        <f>IFERROR(__xludf.DUMMYFUNCTION("""COMPUTED_VALUE"""),"Zeberusen")</f>
        <v>Zeberusen</v>
      </c>
      <c r="D1174" s="42" t="str">
        <f>IFERROR(__xludf.DUMMYFUNCTION("""COMPUTED_VALUE"""),"Baltro")</f>
        <v>Baltro</v>
      </c>
      <c r="E1174" s="42">
        <f>IFERROR(__xludf.DUMMYFUNCTION("""COMPUTED_VALUE"""),5.0)</f>
        <v>5</v>
      </c>
      <c r="F1174" s="42" t="str">
        <f>IFERROR(__xludf.DUMMYFUNCTION("""COMPUTED_VALUE"""),"A")</f>
        <v>A</v>
      </c>
      <c r="G1174" s="42" t="str">
        <f>IFERROR(__xludf.DUMMYFUNCTION("""COMPUTED_VALUE"""),"Intermediate")</f>
        <v>Intermediate</v>
      </c>
      <c r="H1174" s="42" t="str">
        <f>IFERROR(__xludf.DUMMYFUNCTION("""COMPUTED_VALUE"""),"-")</f>
        <v>-</v>
      </c>
      <c r="I1174" s="43" t="str">
        <f>IFERROR(__xludf.DUMMYFUNCTION("""COMPUTED_VALUE"""),"Damage your opponent’s Spell Book when you win the Battle as an Attacker.")</f>
        <v>Damage your opponent’s Spell Book when you win the Battle as an Attacker.</v>
      </c>
      <c r="J1174" s="42" t="str">
        <f>IFERROR(__xludf.DUMMYFUNCTION("""COMPUTED_VALUE"""),"+5000")</f>
        <v>+5000</v>
      </c>
      <c r="K1174" s="42">
        <f>IFERROR(__xludf.DUMMYFUNCTION("""COMPUTED_VALUE"""),3.0)</f>
        <v>3</v>
      </c>
      <c r="L1174" s="42" t="str">
        <f>IFERROR(__xludf.DUMMYFUNCTION("""COMPUTED_VALUE"""),"Series 1, Level 2")</f>
        <v>Series 1, Level 2</v>
      </c>
      <c r="M1174" s="42" t="str">
        <f>IFERROR(__xludf.DUMMYFUNCTION("""COMPUTED_VALUE"""),"[U]")</f>
        <v>[U]</v>
      </c>
      <c r="N1174" s="42" t="str">
        <f>IFERROR(__xludf.DUMMYFUNCTION("""COMPUTED_VALUE"""),"Baltro's 2nd spell. He fires huge clusters from his chest.")</f>
        <v>Baltro's 2nd spell. He fires huge clusters from his chest.</v>
      </c>
      <c r="O1174" s="42"/>
      <c r="P1174" s="42"/>
      <c r="Q1174" s="42"/>
      <c r="R1174" s="42"/>
      <c r="S1174" s="42"/>
      <c r="T1174" s="42"/>
      <c r="U1174" s="42"/>
      <c r="V1174" s="42"/>
      <c r="W1174" s="42"/>
      <c r="X1174" s="42"/>
      <c r="Y1174" s="42"/>
      <c r="Z1174" s="42"/>
    </row>
    <row r="1175">
      <c r="A1175" s="41" t="str">
        <f>IFERROR(__xludf.DUMMYFUNCTION("""COMPUTED_VALUE"""),"S-050")</f>
        <v>S-050</v>
      </c>
      <c r="B1175" s="42" t="str">
        <f>IFERROR(__xludf.DUMMYFUNCTION("""COMPUTED_VALUE"""),"Spell")</f>
        <v>Spell</v>
      </c>
      <c r="C1175" s="42" t="str">
        <f>IFERROR(__xludf.DUMMYFUNCTION("""COMPUTED_VALUE"""),"Mikeru")</f>
        <v>Mikeru</v>
      </c>
      <c r="D1175" s="42" t="str">
        <f>IFERROR(__xludf.DUMMYFUNCTION("""COMPUTED_VALUE"""),"Yopopo")</f>
        <v>Yopopo</v>
      </c>
      <c r="E1175" s="42">
        <f>IFERROR(__xludf.DUMMYFUNCTION("""COMPUTED_VALUE"""),1.0)</f>
        <v>1</v>
      </c>
      <c r="F1175" s="42" t="str">
        <f>IFERROR(__xludf.DUMMYFUNCTION("""COMPUTED_VALUE"""),"AD")</f>
        <v>AD</v>
      </c>
      <c r="G1175" s="42" t="str">
        <f>IFERROR(__xludf.DUMMYFUNCTION("""COMPUTED_VALUE"""),"None")</f>
        <v>None</v>
      </c>
      <c r="H1175" s="42" t="str">
        <f>IFERROR(__xludf.DUMMYFUNCTION("""COMPUTED_VALUE"""),"-")</f>
        <v>-</v>
      </c>
      <c r="I1175" s="43" t="str">
        <f>IFERROR(__xludf.DUMMYFUNCTION("""COMPUTED_VALUE"""),"Damage your opponent’s Spell Book when you win the Battle as an Attacker.")</f>
        <v>Damage your opponent’s Spell Book when you win the Battle as an Attacker.</v>
      </c>
      <c r="J1175" s="42" t="str">
        <f>IFERROR(__xludf.DUMMYFUNCTION("""COMPUTED_VALUE"""),"+2000")</f>
        <v>+2000</v>
      </c>
      <c r="K1175" s="42">
        <f>IFERROR(__xludf.DUMMYFUNCTION("""COMPUTED_VALUE"""),1.0)</f>
        <v>1</v>
      </c>
      <c r="L1175" s="42" t="str">
        <f>IFERROR(__xludf.DUMMYFUNCTION("""COMPUTED_VALUE"""),"Series 1, Level 2")</f>
        <v>Series 1, Level 2</v>
      </c>
      <c r="M1175" s="42" t="str">
        <f>IFERROR(__xludf.DUMMYFUNCTION("""COMPUTED_VALUE"""),"[C]")</f>
        <v>[C]</v>
      </c>
      <c r="N1175" s="42" t="str">
        <f>IFERROR(__xludf.DUMMYFUNCTION("""COMPUTED_VALUE"""),"Yopopo's 1st spell. Yopopo's singing turns into an attack.")</f>
        <v>Yopopo's 1st spell. Yopopo's singing turns into an attack.</v>
      </c>
      <c r="O1175" s="42"/>
      <c r="P1175" s="42"/>
      <c r="Q1175" s="42"/>
      <c r="R1175" s="42"/>
      <c r="S1175" s="42"/>
      <c r="T1175" s="42"/>
      <c r="U1175" s="42"/>
      <c r="V1175" s="42"/>
      <c r="W1175" s="42"/>
      <c r="X1175" s="42"/>
      <c r="Y1175" s="42"/>
      <c r="Z1175" s="42"/>
    </row>
    <row r="1176">
      <c r="A1176" s="41" t="str">
        <f>IFERROR(__xludf.DUMMYFUNCTION("""COMPUTED_VALUE"""),"S-051")</f>
        <v>S-051</v>
      </c>
      <c r="B1176" s="42" t="str">
        <f>IFERROR(__xludf.DUMMYFUNCTION("""COMPUTED_VALUE"""),"Spell")</f>
        <v>Spell</v>
      </c>
      <c r="C1176" s="42" t="str">
        <f>IFERROR(__xludf.DUMMYFUNCTION("""COMPUTED_VALUE"""),"Doremikeru")</f>
        <v>Doremikeru</v>
      </c>
      <c r="D1176" s="42" t="str">
        <f>IFERROR(__xludf.DUMMYFUNCTION("""COMPUTED_VALUE"""),"Yopopo")</f>
        <v>Yopopo</v>
      </c>
      <c r="E1176" s="42">
        <f>IFERROR(__xludf.DUMMYFUNCTION("""COMPUTED_VALUE"""),5.0)</f>
        <v>5</v>
      </c>
      <c r="F1176" s="42" t="str">
        <f>IFERROR(__xludf.DUMMYFUNCTION("""COMPUTED_VALUE"""),"AD")</f>
        <v>AD</v>
      </c>
      <c r="G1176" s="42" t="str">
        <f>IFERROR(__xludf.DUMMYFUNCTION("""COMPUTED_VALUE"""),"Intermediate")</f>
        <v>Intermediate</v>
      </c>
      <c r="H1176" s="42" t="str">
        <f>IFERROR(__xludf.DUMMYFUNCTION("""COMPUTED_VALUE"""),"-")</f>
        <v>-</v>
      </c>
      <c r="I1176" s="43" t="str">
        <f>IFERROR(__xludf.DUMMYFUNCTION("""COMPUTED_VALUE"""),"Damage your opponent’s Spell Book when you win the Battle as an Attacker.")</f>
        <v>Damage your opponent’s Spell Book when you win the Battle as an Attacker.</v>
      </c>
      <c r="J1176" s="42" t="str">
        <f>IFERROR(__xludf.DUMMYFUNCTION("""COMPUTED_VALUE"""),"+4000")</f>
        <v>+4000</v>
      </c>
      <c r="K1176" s="42">
        <f>IFERROR(__xludf.DUMMYFUNCTION("""COMPUTED_VALUE"""),3.0)</f>
        <v>3</v>
      </c>
      <c r="L1176" s="42" t="str">
        <f>IFERROR(__xludf.DUMMYFUNCTION("""COMPUTED_VALUE"""),"Series 1, Level 2")</f>
        <v>Series 1, Level 2</v>
      </c>
      <c r="M1176" s="42" t="str">
        <f>IFERROR(__xludf.DUMMYFUNCTION("""COMPUTED_VALUE"""),"[U]")</f>
        <v>[U]</v>
      </c>
      <c r="N1176" s="42" t="str">
        <f>IFERROR(__xludf.DUMMYFUNCTION("""COMPUTED_VALUE"""),"Yopopo's 3rd spell. He creates a heavy impact wave with his singing.")</f>
        <v>Yopopo's 3rd spell. He creates a heavy impact wave with his singing.</v>
      </c>
      <c r="O1176" s="42"/>
      <c r="P1176" s="42"/>
      <c r="Q1176" s="42"/>
      <c r="R1176" s="42"/>
      <c r="S1176" s="42"/>
      <c r="T1176" s="42"/>
      <c r="U1176" s="42"/>
      <c r="V1176" s="42"/>
      <c r="W1176" s="42"/>
      <c r="X1176" s="42"/>
      <c r="Y1176" s="42"/>
      <c r="Z1176" s="42"/>
    </row>
    <row r="1177">
      <c r="A1177" s="41" t="str">
        <f>IFERROR(__xludf.DUMMYFUNCTION("""COMPUTED_VALUE"""),"S-052")</f>
        <v>S-052</v>
      </c>
      <c r="B1177" s="42" t="str">
        <f>IFERROR(__xludf.DUMMYFUNCTION("""COMPUTED_VALUE"""),"Spell")</f>
        <v>Spell</v>
      </c>
      <c r="C1177" s="42" t="str">
        <f>IFERROR(__xludf.DUMMYFUNCTION("""COMPUTED_VALUE"""),"Amuruk")</f>
        <v>Amuruk</v>
      </c>
      <c r="D1177" s="42" t="str">
        <f>IFERROR(__xludf.DUMMYFUNCTION("""COMPUTED_VALUE"""),"Kikuropu")</f>
        <v>Kikuropu</v>
      </c>
      <c r="E1177" s="42">
        <f>IFERROR(__xludf.DUMMYFUNCTION("""COMPUTED_VALUE"""),2.0)</f>
        <v>2</v>
      </c>
      <c r="F1177" s="42" t="str">
        <f>IFERROR(__xludf.DUMMYFUNCTION("""COMPUTED_VALUE"""),"AD")</f>
        <v>AD</v>
      </c>
      <c r="G1177" s="42" t="str">
        <f>IFERROR(__xludf.DUMMYFUNCTION("""COMPUTED_VALUE"""),"None")</f>
        <v>None</v>
      </c>
      <c r="H1177" s="42" t="str">
        <f>IFERROR(__xludf.DUMMYFUNCTION("""COMPUTED_VALUE"""),"-")</f>
        <v>-</v>
      </c>
      <c r="I1177" s="43" t="str">
        <f>IFERROR(__xludf.DUMMYFUNCTION("""COMPUTED_VALUE"""),"Damage your opponent’s Spell Book when you win the Battle as an Attacker.")</f>
        <v>Damage your opponent’s Spell Book when you win the Battle as an Attacker.</v>
      </c>
      <c r="J1177" s="42" t="str">
        <f>IFERROR(__xludf.DUMMYFUNCTION("""COMPUTED_VALUE"""),"+2000")</f>
        <v>+2000</v>
      </c>
      <c r="K1177" s="42">
        <f>IFERROR(__xludf.DUMMYFUNCTION("""COMPUTED_VALUE"""),1.0)</f>
        <v>1</v>
      </c>
      <c r="L1177" s="42" t="str">
        <f>IFERROR(__xludf.DUMMYFUNCTION("""COMPUTED_VALUE"""),"Series 1, Level 2")</f>
        <v>Series 1, Level 2</v>
      </c>
      <c r="M1177" s="42" t="str">
        <f>IFERROR(__xludf.DUMMYFUNCTION("""COMPUTED_VALUE"""),"[C]")</f>
        <v>[C]</v>
      </c>
      <c r="N1177" s="42" t="str">
        <f>IFERROR(__xludf.DUMMYFUNCTION("""COMPUTED_VALUE"""),"Kikuropu's 1st spell. It grants him tremendously big arms to smash his opponents.")</f>
        <v>Kikuropu's 1st spell. It grants him tremendously big arms to smash his opponents.</v>
      </c>
      <c r="O1177" s="42"/>
      <c r="P1177" s="42"/>
      <c r="Q1177" s="42"/>
      <c r="R1177" s="42"/>
      <c r="S1177" s="42"/>
      <c r="T1177" s="42"/>
      <c r="U1177" s="42"/>
      <c r="V1177" s="42"/>
      <c r="W1177" s="42"/>
      <c r="X1177" s="42"/>
      <c r="Y1177" s="42"/>
      <c r="Z1177" s="42"/>
    </row>
    <row r="1178">
      <c r="A1178" s="41" t="str">
        <f>IFERROR(__xludf.DUMMYFUNCTION("""COMPUTED_VALUE"""),"S-053")</f>
        <v>S-053</v>
      </c>
      <c r="B1178" s="42" t="str">
        <f>IFERROR(__xludf.DUMMYFUNCTION("""COMPUTED_VALUE"""),"Spell")</f>
        <v>Spell</v>
      </c>
      <c r="C1178" s="42" t="str">
        <f>IFERROR(__xludf.DUMMYFUNCTION("""COMPUTED_VALUE"""),"Amu Shizaruk")</f>
        <v>Amu Shizaruk</v>
      </c>
      <c r="D1178" s="42" t="str">
        <f>IFERROR(__xludf.DUMMYFUNCTION("""COMPUTED_VALUE"""),"Kikuropu")</f>
        <v>Kikuropu</v>
      </c>
      <c r="E1178" s="42">
        <f>IFERROR(__xludf.DUMMYFUNCTION("""COMPUTED_VALUE"""),2.0)</f>
        <v>2</v>
      </c>
      <c r="F1178" s="42" t="str">
        <f>IFERROR(__xludf.DUMMYFUNCTION("""COMPUTED_VALUE"""),"A")</f>
        <v>A</v>
      </c>
      <c r="G1178" s="42" t="str">
        <f>IFERROR(__xludf.DUMMYFUNCTION("""COMPUTED_VALUE"""),"None")</f>
        <v>None</v>
      </c>
      <c r="H1178" s="42" t="str">
        <f>IFERROR(__xludf.DUMMYFUNCTION("""COMPUTED_VALUE"""),"-")</f>
        <v>-</v>
      </c>
      <c r="I1178" s="43" t="str">
        <f>IFERROR(__xludf.DUMMYFUNCTION("""COMPUTED_VALUE"""),"Damage your opponent’s Spell Book when you win the Battle as an Attacker.")</f>
        <v>Damage your opponent’s Spell Book when you win the Battle as an Attacker.</v>
      </c>
      <c r="J1178" s="42" t="str">
        <f>IFERROR(__xludf.DUMMYFUNCTION("""COMPUTED_VALUE"""),"+1000")</f>
        <v>+1000</v>
      </c>
      <c r="K1178" s="42">
        <f>IFERROR(__xludf.DUMMYFUNCTION("""COMPUTED_VALUE"""),2.0)</f>
        <v>2</v>
      </c>
      <c r="L1178" s="42" t="str">
        <f>IFERROR(__xludf.DUMMYFUNCTION("""COMPUTED_VALUE"""),"Series 1, Level 2")</f>
        <v>Series 1, Level 2</v>
      </c>
      <c r="M1178" s="42" t="str">
        <f>IFERROR(__xludf.DUMMYFUNCTION("""COMPUTED_VALUE"""),"[C]")</f>
        <v>[C]</v>
      </c>
      <c r="N1178" s="42" t="str">
        <f>IFERROR(__xludf.DUMMYFUNCTION("""COMPUTED_VALUE"""),"Kikuropu's 2nd spell. His hands transform into sharp scissors to slash his opponents.")</f>
        <v>Kikuropu's 2nd spell. His hands transform into sharp scissors to slash his opponents.</v>
      </c>
      <c r="O1178" s="42"/>
      <c r="P1178" s="42"/>
      <c r="Q1178" s="42"/>
      <c r="R1178" s="42"/>
      <c r="S1178" s="42"/>
      <c r="T1178" s="42"/>
      <c r="U1178" s="42"/>
      <c r="V1178" s="42"/>
      <c r="W1178" s="42"/>
      <c r="X1178" s="42"/>
      <c r="Y1178" s="42"/>
      <c r="Z1178" s="42"/>
    </row>
    <row r="1179">
      <c r="A1179" s="41" t="str">
        <f>IFERROR(__xludf.DUMMYFUNCTION("""COMPUTED_VALUE"""),"S-054")</f>
        <v>S-054</v>
      </c>
      <c r="B1179" s="42" t="str">
        <f>IFERROR(__xludf.DUMMYFUNCTION("""COMPUTED_VALUE"""),"Spell")</f>
        <v>Spell</v>
      </c>
      <c r="C1179" s="42" t="str">
        <f>IFERROR(__xludf.DUMMYFUNCTION("""COMPUTED_VALUE"""),"Amursen")</f>
        <v>Amursen</v>
      </c>
      <c r="D1179" s="42" t="str">
        <f>IFERROR(__xludf.DUMMYFUNCTION("""COMPUTED_VALUE"""),"Kikuropu")</f>
        <v>Kikuropu</v>
      </c>
      <c r="E1179" s="42">
        <f>IFERROR(__xludf.DUMMYFUNCTION("""COMPUTED_VALUE"""),4.0)</f>
        <v>4</v>
      </c>
      <c r="F1179" s="42" t="str">
        <f>IFERROR(__xludf.DUMMYFUNCTION("""COMPUTED_VALUE"""),"A")</f>
        <v>A</v>
      </c>
      <c r="G1179" s="42" t="str">
        <f>IFERROR(__xludf.DUMMYFUNCTION("""COMPUTED_VALUE"""),"None")</f>
        <v>None</v>
      </c>
      <c r="H1179" s="42" t="str">
        <f>IFERROR(__xludf.DUMMYFUNCTION("""COMPUTED_VALUE"""),"-")</f>
        <v>-</v>
      </c>
      <c r="I1179" s="43" t="str">
        <f>IFERROR(__xludf.DUMMYFUNCTION("""COMPUTED_VALUE"""),"Damage your opponent’s Spell Book when you win the Battle as an Attacker.")</f>
        <v>Damage your opponent’s Spell Book when you win the Battle as an Attacker.</v>
      </c>
      <c r="J1179" s="42" t="str">
        <f>IFERROR(__xludf.DUMMYFUNCTION("""COMPUTED_VALUE"""),"+4000")</f>
        <v>+4000</v>
      </c>
      <c r="K1179" s="42">
        <f>IFERROR(__xludf.DUMMYFUNCTION("""COMPUTED_VALUE"""),2.0)</f>
        <v>2</v>
      </c>
      <c r="L1179" s="42" t="str">
        <f>IFERROR(__xludf.DUMMYFUNCTION("""COMPUTED_VALUE"""),"Series 1, Level 2")</f>
        <v>Series 1, Level 2</v>
      </c>
      <c r="M1179" s="42" t="str">
        <f>IFERROR(__xludf.DUMMYFUNCTION("""COMPUTED_VALUE"""),"[U]")</f>
        <v>[U]</v>
      </c>
      <c r="N1179" s="42" t="str">
        <f>IFERROR(__xludf.DUMMYFUNCTION("""COMPUTED_VALUE"""),"Kikuropu's 3rd spell. He shoots stone missiles from his elbows.")</f>
        <v>Kikuropu's 3rd spell. He shoots stone missiles from his elbows.</v>
      </c>
      <c r="O1179" s="42"/>
      <c r="P1179" s="42"/>
      <c r="Q1179" s="42"/>
      <c r="R1179" s="42"/>
      <c r="S1179" s="42"/>
      <c r="T1179" s="42"/>
      <c r="U1179" s="42"/>
      <c r="V1179" s="42"/>
      <c r="W1179" s="42"/>
      <c r="X1179" s="42"/>
      <c r="Y1179" s="42"/>
      <c r="Z1179" s="42"/>
    </row>
    <row r="1180">
      <c r="A1180" s="41" t="str">
        <f>IFERROR(__xludf.DUMMYFUNCTION("""COMPUTED_VALUE"""),"S-055")</f>
        <v>S-055</v>
      </c>
      <c r="B1180" s="42" t="str">
        <f>IFERROR(__xludf.DUMMYFUNCTION("""COMPUTED_VALUE"""),"Spell")</f>
        <v>Spell</v>
      </c>
      <c r="C1180" s="42" t="str">
        <f>IFERROR(__xludf.DUMMYFUNCTION("""COMPUTED_VALUE"""),"Emron")</f>
        <v>Emron</v>
      </c>
      <c r="D1180" s="42" t="str">
        <f>IFERROR(__xludf.DUMMYFUNCTION("""COMPUTED_VALUE"""),"Kikuropu")</f>
        <v>Kikuropu</v>
      </c>
      <c r="E1180" s="42">
        <f>IFERROR(__xludf.DUMMYFUNCTION("""COMPUTED_VALUE"""),5.0)</f>
        <v>5</v>
      </c>
      <c r="F1180" s="42" t="str">
        <f>IFERROR(__xludf.DUMMYFUNCTION("""COMPUTED_VALUE"""),"A")</f>
        <v>A</v>
      </c>
      <c r="G1180" s="42" t="str">
        <f>IFERROR(__xludf.DUMMYFUNCTION("""COMPUTED_VALUE"""),"Intermediate")</f>
        <v>Intermediate</v>
      </c>
      <c r="H1180" s="42" t="str">
        <f>IFERROR(__xludf.DUMMYFUNCTION("""COMPUTED_VALUE"""),"-")</f>
        <v>-</v>
      </c>
      <c r="I1180" s="43" t="str">
        <f>IFERROR(__xludf.DUMMYFUNCTION("""COMPUTED_VALUE"""),"Damage your opponent’s Spell Book when you win the Battle as an Attacker.")</f>
        <v>Damage your opponent’s Spell Book when you win the Battle as an Attacker.</v>
      </c>
      <c r="J1180" s="42" t="str">
        <f>IFERROR(__xludf.DUMMYFUNCTION("""COMPUTED_VALUE"""),"+1000")</f>
        <v>+1000</v>
      </c>
      <c r="K1180" s="42">
        <f>IFERROR(__xludf.DUMMYFUNCTION("""COMPUTED_VALUE"""),4.0)</f>
        <v>4</v>
      </c>
      <c r="L1180" s="42" t="str">
        <f>IFERROR(__xludf.DUMMYFUNCTION("""COMPUTED_VALUE"""),"Series 1, Level 2")</f>
        <v>Series 1, Level 2</v>
      </c>
      <c r="M1180" s="42" t="str">
        <f>IFERROR(__xludf.DUMMYFUNCTION("""COMPUTED_VALUE"""),"[U]")</f>
        <v>[U]</v>
      </c>
      <c r="N1180" s="42" t="str">
        <f>IFERROR(__xludf.DUMMYFUNCTION("""COMPUTED_VALUE"""),"Kikuropu's 4th spell. His expandable burning fists attack opponents.")</f>
        <v>Kikuropu's 4th spell. His expandable burning fists attack opponents.</v>
      </c>
      <c r="O1180" s="42"/>
      <c r="P1180" s="42"/>
      <c r="Q1180" s="42"/>
      <c r="R1180" s="42"/>
      <c r="S1180" s="42"/>
      <c r="T1180" s="42"/>
      <c r="U1180" s="42"/>
      <c r="V1180" s="42"/>
      <c r="W1180" s="42"/>
      <c r="X1180" s="42"/>
      <c r="Y1180" s="42"/>
      <c r="Z1180" s="42"/>
    </row>
    <row r="1181">
      <c r="A1181" s="41" t="str">
        <f>IFERROR(__xludf.DUMMYFUNCTION("""COMPUTED_VALUE"""),"S-056")</f>
        <v>S-056</v>
      </c>
      <c r="B1181" s="42" t="str">
        <f>IFERROR(__xludf.DUMMYFUNCTION("""COMPUTED_VALUE"""),"Spell")</f>
        <v>Spell</v>
      </c>
      <c r="C1181" s="42" t="str">
        <f>IFERROR(__xludf.DUMMYFUNCTION("""COMPUTED_VALUE"""),"Stay Focused!")</f>
        <v>Stay Focused!</v>
      </c>
      <c r="D1181" s="42" t="str">
        <f>IFERROR(__xludf.DUMMYFUNCTION("""COMPUTED_VALUE"""),"Command: All")</f>
        <v>Command: All</v>
      </c>
      <c r="E1181" s="42">
        <f>IFERROR(__xludf.DUMMYFUNCTION("""COMPUTED_VALUE"""),0.0)</f>
        <v>0</v>
      </c>
      <c r="F1181" s="42" t="str">
        <f>IFERROR(__xludf.DUMMYFUNCTION("""COMPUTED_VALUE"""),"D")</f>
        <v>D</v>
      </c>
      <c r="G1181" s="42" t="str">
        <f>IFERROR(__xludf.DUMMYFUNCTION("""COMPUTED_VALUE"""),"None")</f>
        <v>None</v>
      </c>
      <c r="H1181" s="42" t="str">
        <f>IFERROR(__xludf.DUMMYFUNCTION("""COMPUTED_VALUE"""),"-")</f>
        <v>-</v>
      </c>
      <c r="I1181" s="43" t="str">
        <f>IFERROR(__xludf.DUMMYFUNCTION("""COMPUTED_VALUE"""),"Negate your opponent’s Attack when you win the Battle as a Defender. If your opponent’s Attack inflicts Damage, get MP equal to 2 times the number of pages turned as Damage.")</f>
        <v>Negate your opponent’s Attack when you win the Battle as a Defender. If your opponent’s Attack inflicts Damage, get MP equal to 2 times the number of pages turned as Damage.</v>
      </c>
      <c r="J1181" s="42" t="str">
        <f>IFERROR(__xludf.DUMMYFUNCTION("""COMPUTED_VALUE"""),"+0")</f>
        <v>+0</v>
      </c>
      <c r="K1181" s="42" t="str">
        <f>IFERROR(__xludf.DUMMYFUNCTION("""COMPUTED_VALUE"""),"-")</f>
        <v>-</v>
      </c>
      <c r="L1181" s="42" t="str">
        <f>IFERROR(__xludf.DUMMYFUNCTION("""COMPUTED_VALUE"""),"Series 1, Level 2")</f>
        <v>Series 1, Level 2</v>
      </c>
      <c r="M1181" s="42" t="str">
        <f>IFERROR(__xludf.DUMMYFUNCTION("""COMPUTED_VALUE"""),"[U]")</f>
        <v>[U]</v>
      </c>
      <c r="N1181" s="42" t="str">
        <f>IFERROR(__xludf.DUMMYFUNCTION("""COMPUTED_VALUE"""),"""Those that stay focused until the last minute will win this battle!""")</f>
        <v>"Those that stay focused until the last minute will win this battle!"</v>
      </c>
      <c r="O1181" s="42"/>
      <c r="P1181" s="42"/>
      <c r="Q1181" s="42"/>
      <c r="R1181" s="42"/>
      <c r="S1181" s="42"/>
      <c r="T1181" s="42"/>
      <c r="U1181" s="42"/>
      <c r="V1181" s="42"/>
      <c r="W1181" s="42"/>
      <c r="X1181" s="42"/>
      <c r="Y1181" s="42"/>
      <c r="Z1181" s="42"/>
    </row>
    <row r="1182">
      <c r="A1182" s="41" t="str">
        <f>IFERROR(__xludf.DUMMYFUNCTION("""COMPUTED_VALUE"""),"S-057")</f>
        <v>S-057</v>
      </c>
      <c r="B1182" s="42" t="str">
        <f>IFERROR(__xludf.DUMMYFUNCTION("""COMPUTED_VALUE"""),"Spell")</f>
        <v>Spell</v>
      </c>
      <c r="C1182" s="42" t="str">
        <f>IFERROR(__xludf.DUMMYFUNCTION("""COMPUTED_VALUE"""),"Checkmate!")</f>
        <v>Checkmate!</v>
      </c>
      <c r="D1182" s="42" t="str">
        <f>IFERROR(__xludf.DUMMYFUNCTION("""COMPUTED_VALUE"""),"Command: All")</f>
        <v>Command: All</v>
      </c>
      <c r="E1182" s="42">
        <f>IFERROR(__xludf.DUMMYFUNCTION("""COMPUTED_VALUE"""),0.0)</f>
        <v>0</v>
      </c>
      <c r="F1182" s="42" t="str">
        <f>IFERROR(__xludf.DUMMYFUNCTION("""COMPUTED_VALUE"""),"A")</f>
        <v>A</v>
      </c>
      <c r="G1182" s="42" t="str">
        <f>IFERROR(__xludf.DUMMYFUNCTION("""COMPUTED_VALUE"""),"None")</f>
        <v>None</v>
      </c>
      <c r="H1182" s="42" t="str">
        <f>IFERROR(__xludf.DUMMYFUNCTION("""COMPUTED_VALUE"""),"-")</f>
        <v>-</v>
      </c>
      <c r="I1182" s="43" t="str">
        <f>IFERROR(__xludf.DUMMYFUNCTION("""COMPUTED_VALUE"""),"[STANDBY] Flip a coin; if it’s heads, the next SPELL card you play in the same turn Injures 1 of your opponent’s MAMODO cards instead of Damaging their Spell Book when you win the Battle as an Attacker. This SPELL card cannot be defended.       ")</f>
        <v>[STANDBY] Flip a coin; if it’s heads, the next SPELL card you play in the same turn Injures 1 of your opponent’s MAMODO cards instead of Damaging their Spell Book when you win the Battle as an Attacker. This SPELL card cannot be defended.       </v>
      </c>
      <c r="J1182" s="42" t="str">
        <f>IFERROR(__xludf.DUMMYFUNCTION("""COMPUTED_VALUE"""),"Special")</f>
        <v>Special</v>
      </c>
      <c r="K1182" s="42" t="str">
        <f>IFERROR(__xludf.DUMMYFUNCTION("""COMPUTED_VALUE"""),"-")</f>
        <v>-</v>
      </c>
      <c r="L1182" s="42" t="str">
        <f>IFERROR(__xludf.DUMMYFUNCTION("""COMPUTED_VALUE"""),"Series 1, Level 2")</f>
        <v>Series 1, Level 2</v>
      </c>
      <c r="M1182" s="42" t="str">
        <f>IFERROR(__xludf.DUMMYFUNCTION("""COMPUTED_VALUE"""),"[R]")</f>
        <v>[R]</v>
      </c>
      <c r="N1182" s="42" t="str">
        <f>IFERROR(__xludf.DUMMYFUNCTION("""COMPUTED_VALUE"""),"""GGGGGGGrrrrrrrrrrrrrrr!""")</f>
        <v>"GGGGGGGrrrrrrrrrrrrrrr!"</v>
      </c>
      <c r="O1182" s="42"/>
      <c r="P1182" s="42"/>
      <c r="Q1182" s="42"/>
      <c r="R1182" s="42"/>
      <c r="S1182" s="42"/>
      <c r="T1182" s="42"/>
      <c r="U1182" s="42"/>
      <c r="V1182" s="42"/>
      <c r="W1182" s="42"/>
      <c r="X1182" s="42"/>
      <c r="Y1182" s="42"/>
      <c r="Z1182" s="42"/>
    </row>
    <row r="1183">
      <c r="A1183" s="41" t="str">
        <f>IFERROR(__xludf.DUMMYFUNCTION("""COMPUTED_VALUE"""),"S-058")</f>
        <v>S-058</v>
      </c>
      <c r="B1183" s="42" t="str">
        <f>IFERROR(__xludf.DUMMYFUNCTION("""COMPUTED_VALUE"""),"Spell")</f>
        <v>Spell</v>
      </c>
      <c r="C1183" s="42" t="str">
        <f>IFERROR(__xludf.DUMMYFUNCTION("""COMPUTED_VALUE"""),"Zaker")</f>
        <v>Zaker</v>
      </c>
      <c r="D1183" s="42" t="str">
        <f>IFERROR(__xludf.DUMMYFUNCTION("""COMPUTED_VALUE"""),"Zeno")</f>
        <v>Zeno</v>
      </c>
      <c r="E1183" s="42">
        <f>IFERROR(__xludf.DUMMYFUNCTION("""COMPUTED_VALUE"""),3.0)</f>
        <v>3</v>
      </c>
      <c r="F1183" s="42" t="str">
        <f>IFERROR(__xludf.DUMMYFUNCTION("""COMPUTED_VALUE"""),"A")</f>
        <v>A</v>
      </c>
      <c r="G1183" s="42" t="str">
        <f>IFERROR(__xludf.DUMMYFUNCTION("""COMPUTED_VALUE"""),"Intermediate")</f>
        <v>Intermediate</v>
      </c>
      <c r="H1183" s="42" t="str">
        <f>IFERROR(__xludf.DUMMYFUNCTION("""COMPUTED_VALUE"""),"-")</f>
        <v>-</v>
      </c>
      <c r="I1183" s="43" t="str">
        <f>IFERROR(__xludf.DUMMYFUNCTION("""COMPUTED_VALUE"""),"Injure 1 of your opponent’s MAMODO cards instead of Damaging their Spell Book when you win the Battle as an Attacker.       ")</f>
        <v>Injure 1 of your opponent’s MAMODO cards instead of Damaging their Spell Book when you win the Battle as an Attacker.       </v>
      </c>
      <c r="J1183" s="42" t="str">
        <f>IFERROR(__xludf.DUMMYFUNCTION("""COMPUTED_VALUE"""),"+3000")</f>
        <v>+3000</v>
      </c>
      <c r="K1183" s="42" t="str">
        <f>IFERROR(__xludf.DUMMYFUNCTION("""COMPUTED_VALUE"""),"-")</f>
        <v>-</v>
      </c>
      <c r="L1183" s="42" t="str">
        <f>IFERROR(__xludf.DUMMYFUNCTION("""COMPUTED_VALUE"""),"Series 1, Level 2")</f>
        <v>Series 1, Level 2</v>
      </c>
      <c r="M1183" s="42" t="str">
        <f>IFERROR(__xludf.DUMMYFUNCTION("""COMPUTED_VALUE"""),"[SR]")</f>
        <v>[SR]</v>
      </c>
      <c r="N1183" s="42" t="str">
        <f>IFERROR(__xludf.DUMMYFUNCTION("""COMPUTED_VALUE"""),"Zeno's 1st spell. ""Are you really trying to fight me?""")</f>
        <v>Zeno's 1st spell. "Are you really trying to fight me?"</v>
      </c>
      <c r="O1183" s="42"/>
      <c r="P1183" s="42"/>
      <c r="Q1183" s="42"/>
      <c r="R1183" s="42"/>
      <c r="S1183" s="42"/>
      <c r="T1183" s="42"/>
      <c r="U1183" s="42"/>
      <c r="V1183" s="42"/>
      <c r="W1183" s="42"/>
      <c r="X1183" s="42"/>
      <c r="Y1183" s="42"/>
      <c r="Z1183" s="42"/>
    </row>
    <row r="1184">
      <c r="A1184" s="41" t="str">
        <f>IFERROR(__xludf.DUMMYFUNCTION("""COMPUTED_VALUE"""),"S-059")</f>
        <v>S-059</v>
      </c>
      <c r="B1184" s="42" t="str">
        <f>IFERROR(__xludf.DUMMYFUNCTION("""COMPUTED_VALUE"""),"Spell")</f>
        <v>Spell</v>
      </c>
      <c r="C1184" s="42" t="str">
        <f>IFERROR(__xludf.DUMMYFUNCTION("""COMPUTED_VALUE"""),"Zaker")</f>
        <v>Zaker</v>
      </c>
      <c r="D1184" s="42" t="str">
        <f>IFERROR(__xludf.DUMMYFUNCTION("""COMPUTED_VALUE"""),"Zatch Bell")</f>
        <v>Zatch Bell</v>
      </c>
      <c r="E1184" s="42">
        <f>IFERROR(__xludf.DUMMYFUNCTION("""COMPUTED_VALUE"""),1.0)</f>
        <v>1</v>
      </c>
      <c r="F1184" s="42" t="str">
        <f>IFERROR(__xludf.DUMMYFUNCTION("""COMPUTED_VALUE"""),"A")</f>
        <v>A</v>
      </c>
      <c r="G1184" s="42" t="str">
        <f>IFERROR(__xludf.DUMMYFUNCTION("""COMPUTED_VALUE"""),"None")</f>
        <v>None</v>
      </c>
      <c r="H1184" s="42" t="str">
        <f>IFERROR(__xludf.DUMMYFUNCTION("""COMPUTED_VALUE"""),"Thunder")</f>
        <v>Thunder</v>
      </c>
      <c r="I1184" s="43" t="str">
        <f>IFERROR(__xludf.DUMMYFUNCTION("""COMPUTED_VALUE"""),"Damage your opponent’s Spell Book when you win the Battle as an Attacker.")</f>
        <v>Damage your opponent’s Spell Book when you win the Battle as an Attacker.</v>
      </c>
      <c r="J1184" s="42" t="str">
        <f>IFERROR(__xludf.DUMMYFUNCTION("""COMPUTED_VALUE"""),"+3000")</f>
        <v>+3000</v>
      </c>
      <c r="K1184" s="42">
        <f>IFERROR(__xludf.DUMMYFUNCTION("""COMPUTED_VALUE"""),1.0)</f>
        <v>1</v>
      </c>
      <c r="L1184" s="42" t="str">
        <f>IFERROR(__xludf.DUMMYFUNCTION("""COMPUTED_VALUE"""),"Supreme Power of the Golden Spell, Series 2, Level 3")</f>
        <v>Supreme Power of the Golden Spell, Series 2, Level 3</v>
      </c>
      <c r="M1184" s="42" t="str">
        <f>IFERROR(__xludf.DUMMYFUNCTION("""COMPUTED_VALUE"""),"[U]")</f>
        <v>[U]</v>
      </c>
      <c r="N1184" s="42" t="str">
        <f>IFERROR(__xludf.DUMMYFUNCTION("""COMPUTED_VALUE"""),"Zatch's 1st spell. ""Take this!""")</f>
        <v>Zatch's 1st spell. "Take this!"</v>
      </c>
      <c r="O1184" s="42"/>
      <c r="P1184" s="42"/>
      <c r="Q1184" s="42"/>
      <c r="R1184" s="42"/>
      <c r="S1184" s="42"/>
      <c r="T1184" s="42"/>
      <c r="U1184" s="42"/>
      <c r="V1184" s="42"/>
      <c r="W1184" s="42"/>
      <c r="X1184" s="42"/>
      <c r="Y1184" s="42"/>
      <c r="Z1184" s="42"/>
    </row>
    <row r="1185">
      <c r="A1185" s="41" t="str">
        <f>IFERROR(__xludf.DUMMYFUNCTION("""COMPUTED_VALUE"""),"S-060")</f>
        <v>S-060</v>
      </c>
      <c r="B1185" s="42" t="str">
        <f>IFERROR(__xludf.DUMMYFUNCTION("""COMPUTED_VALUE"""),"Spell")</f>
        <v>Spell</v>
      </c>
      <c r="C1185" s="42" t="str">
        <f>IFERROR(__xludf.DUMMYFUNCTION("""COMPUTED_VALUE"""),"Zakeruga")</f>
        <v>Zakeruga</v>
      </c>
      <c r="D1185" s="42" t="str">
        <f>IFERROR(__xludf.DUMMYFUNCTION("""COMPUTED_VALUE"""),"Zatch Bell")</f>
        <v>Zatch Bell</v>
      </c>
      <c r="E1185" s="42">
        <f>IFERROR(__xludf.DUMMYFUNCTION("""COMPUTED_VALUE"""),3.0)</f>
        <v>3</v>
      </c>
      <c r="F1185" s="42" t="str">
        <f>IFERROR(__xludf.DUMMYFUNCTION("""COMPUTED_VALUE"""),"AD")</f>
        <v>AD</v>
      </c>
      <c r="G1185" s="42" t="str">
        <f>IFERROR(__xludf.DUMMYFUNCTION("""COMPUTED_VALUE"""),"Intermediate")</f>
        <v>Intermediate</v>
      </c>
      <c r="H1185" s="42" t="str">
        <f>IFERROR(__xludf.DUMMYFUNCTION("""COMPUTED_VALUE"""),"Thunder")</f>
        <v>Thunder</v>
      </c>
      <c r="I1185" s="43" t="str">
        <f>IFERROR(__xludf.DUMMYFUNCTION("""COMPUTED_VALUE"""),"Damage your opponent's Spell Book when you win the Battle as an Attacker. Flip a coin; if it's heads, your opponent can neither SACRIFICE nor PROTECT their Spell Book from this card's Damage.")</f>
        <v>Damage your opponent's Spell Book when you win the Battle as an Attacker. Flip a coin; if it's heads, your opponent can neither SACRIFICE nor PROTECT their Spell Book from this card's Damage.</v>
      </c>
      <c r="J1185" s="42" t="str">
        <f>IFERROR(__xludf.DUMMYFUNCTION("""COMPUTED_VALUE"""),"+3000")</f>
        <v>+3000</v>
      </c>
      <c r="K1185" s="42">
        <f>IFERROR(__xludf.DUMMYFUNCTION("""COMPUTED_VALUE"""),2.0)</f>
        <v>2</v>
      </c>
      <c r="L1185" s="42" t="str">
        <f>IFERROR(__xludf.DUMMYFUNCTION("""COMPUTED_VALUE"""),"Supreme Power of the Golden Spell, Series 2, Level 3")</f>
        <v>Supreme Power of the Golden Spell, Series 2, Level 3</v>
      </c>
      <c r="M1185" s="42" t="str">
        <f>IFERROR(__xludf.DUMMYFUNCTION("""COMPUTED_VALUE"""),"[SR]")</f>
        <v>[SR]</v>
      </c>
      <c r="N1185" s="42" t="str">
        <f>IFERROR(__xludf.DUMMYFUNCTION("""COMPUTED_VALUE"""),"Zatch's 5th spell. Reinforced Zaker, when converged has a greater destructive power.")</f>
        <v>Zatch's 5th spell. Reinforced Zaker, when converged has a greater destructive power.</v>
      </c>
      <c r="O1185" s="42"/>
      <c r="P1185" s="42"/>
      <c r="Q1185" s="42"/>
      <c r="R1185" s="42"/>
      <c r="S1185" s="42"/>
      <c r="T1185" s="42"/>
      <c r="U1185" s="42"/>
      <c r="V1185" s="42"/>
      <c r="W1185" s="42"/>
      <c r="X1185" s="42"/>
      <c r="Y1185" s="42"/>
      <c r="Z1185" s="42"/>
    </row>
    <row r="1186">
      <c r="A1186" s="41" t="str">
        <f>IFERROR(__xludf.DUMMYFUNCTION("""COMPUTED_VALUE"""),"S-061")</f>
        <v>S-061</v>
      </c>
      <c r="B1186" s="42" t="str">
        <f>IFERROR(__xludf.DUMMYFUNCTION("""COMPUTED_VALUE"""),"Spell")</f>
        <v>Spell</v>
      </c>
      <c r="C1186" s="42" t="str">
        <f>IFERROR(__xludf.DUMMYFUNCTION("""COMPUTED_VALUE"""),"Giga La Seoshi")</f>
        <v>Giga La Seoshi</v>
      </c>
      <c r="D1186" s="42" t="str">
        <f>IFERROR(__xludf.DUMMYFUNCTION("""COMPUTED_VALUE"""),"Tia")</f>
        <v>Tia</v>
      </c>
      <c r="E1186" s="42">
        <f>IFERROR(__xludf.DUMMYFUNCTION("""COMPUTED_VALUE"""),4.0)</f>
        <v>4</v>
      </c>
      <c r="F1186" s="42" t="str">
        <f>IFERROR(__xludf.DUMMYFUNCTION("""COMPUTED_VALUE"""),"D")</f>
        <v>D</v>
      </c>
      <c r="G1186" s="42" t="str">
        <f>IFERROR(__xludf.DUMMYFUNCTION("""COMPUTED_VALUE"""),"Intermediate")</f>
        <v>Intermediate</v>
      </c>
      <c r="H1186" s="42" t="str">
        <f>IFERROR(__xludf.DUMMYFUNCTION("""COMPUTED_VALUE"""),"-")</f>
        <v>-</v>
      </c>
      <c r="I1186" s="43" t="str">
        <f>IFERROR(__xludf.DUMMYFUNCTION("""COMPUTED_VALUE"""),"[COUNTER] Damage your opponent's Spell Book when you win the Battle as a Defender. The Damage of this SPELL card is considered to be equal to the Damage of your opponent's Attack.")</f>
        <v>[COUNTER] Damage your opponent's Spell Book when you win the Battle as a Defender. The Damage of this SPELL card is considered to be equal to the Damage of your opponent's Attack.</v>
      </c>
      <c r="J1186" s="42" t="str">
        <f>IFERROR(__xludf.DUMMYFUNCTION("""COMPUTED_VALUE"""),"+8000")</f>
        <v>+8000</v>
      </c>
      <c r="K1186" s="42" t="str">
        <f>IFERROR(__xludf.DUMMYFUNCTION("""COMPUTED_VALUE"""),"?")</f>
        <v>?</v>
      </c>
      <c r="L1186" s="42" t="str">
        <f>IFERROR(__xludf.DUMMYFUNCTION("""COMPUTED_VALUE"""),"The Gathering Storm, Series 3, Level 3, The Best Booster 1")</f>
        <v>The Gathering Storm, Series 3, Level 3, The Best Booster 1</v>
      </c>
      <c r="M1186" s="42" t="str">
        <f>IFERROR(__xludf.DUMMYFUNCTION("""COMPUTED_VALUE"""),"[SR]")</f>
        <v>[SR]</v>
      </c>
      <c r="N1186" s="42" t="str">
        <f>IFERROR(__xludf.DUMMYFUNCTION("""COMPUTED_VALUE"""),"Tia's 4th spell. It forms a barrier around the enemy and reflects all their attacks back onto them.")</f>
        <v>Tia's 4th spell. It forms a barrier around the enemy and reflects all their attacks back onto them.</v>
      </c>
      <c r="O1186" s="42"/>
      <c r="P1186" s="42"/>
      <c r="Q1186" s="42"/>
      <c r="R1186" s="42"/>
      <c r="S1186" s="42"/>
      <c r="T1186" s="42"/>
      <c r="U1186" s="42"/>
      <c r="V1186" s="42"/>
      <c r="W1186" s="42"/>
      <c r="X1186" s="42"/>
      <c r="Y1186" s="42"/>
      <c r="Z1186" s="42"/>
    </row>
    <row r="1187">
      <c r="A1187" s="41" t="str">
        <f>IFERROR(__xludf.DUMMYFUNCTION("""COMPUTED_VALUE"""),"S-062")</f>
        <v>S-062</v>
      </c>
      <c r="B1187" s="42" t="str">
        <f>IFERROR(__xludf.DUMMYFUNCTION("""COMPUTED_VALUE"""),"Spell")</f>
        <v>Spell</v>
      </c>
      <c r="C1187" s="42" t="str">
        <f>IFERROR(__xludf.DUMMYFUNCTION("""COMPUTED_VALUE"""),"Raja Freezudo")</f>
        <v>Raja Freezudo</v>
      </c>
      <c r="D1187" s="42" t="str">
        <f>IFERROR(__xludf.DUMMYFUNCTION("""COMPUTED_VALUE"""),"Furigaro")</f>
        <v>Furigaro</v>
      </c>
      <c r="E1187" s="42">
        <f>IFERROR(__xludf.DUMMYFUNCTION("""COMPUTED_VALUE"""),3.0)</f>
        <v>3</v>
      </c>
      <c r="F1187" s="42" t="str">
        <f>IFERROR(__xludf.DUMMYFUNCTION("""COMPUTED_VALUE"""),"A")</f>
        <v>A</v>
      </c>
      <c r="G1187" s="42" t="str">
        <f>IFERROR(__xludf.DUMMYFUNCTION("""COMPUTED_VALUE"""),"Intermediate")</f>
        <v>Intermediate</v>
      </c>
      <c r="H1187" s="42" t="str">
        <f>IFERROR(__xludf.DUMMYFUNCTION("""COMPUTED_VALUE"""),"Ice")</f>
        <v>Ice</v>
      </c>
      <c r="I1187" s="43" t="str">
        <f>IFERROR(__xludf.DUMMYFUNCTION("""COMPUTED_VALUE"""),"Damage your opponent's Spell Book when you win the Battle as an Attacker. [STAY] Regardless of your opponent's Power during this Battle, add 2000 Power to both players' ""Ice"" Attribute SPELL cards until the END PHASE of your next turn (this effect canno"&amp;"t be duplicated).")</f>
        <v>Damage your opponent's Spell Book when you win the Battle as an Attacker. [STAY] Regardless of your opponent's Power during this Battle, add 2000 Power to both players' "Ice" Attribute SPELL cards until the END PHASE of your next turn (this effect cannot be duplicated).</v>
      </c>
      <c r="J1187" s="42" t="str">
        <f>IFERROR(__xludf.DUMMYFUNCTION("""COMPUTED_VALUE"""),"+4000")</f>
        <v>+4000</v>
      </c>
      <c r="K1187" s="42">
        <f>IFERROR(__xludf.DUMMYFUNCTION("""COMPUTED_VALUE"""),2.0)</f>
        <v>2</v>
      </c>
      <c r="L1187" s="42" t="str">
        <f>IFERROR(__xludf.DUMMYFUNCTION("""COMPUTED_VALUE"""),"The Gathering Storm, Series 3, Level 3")</f>
        <v>The Gathering Storm, Series 3, Level 3</v>
      </c>
      <c r="M1187" s="42" t="str">
        <f>IFERROR(__xludf.DUMMYFUNCTION("""COMPUTED_VALUE"""),"[C]")</f>
        <v>[C]</v>
      </c>
      <c r="N1187" s="42" t="str">
        <f>IFERROR(__xludf.DUMMYFUNCTION("""COMPUTED_VALUE"""),"Furigaro's 1st spell. It freezes everything around the opponent.")</f>
        <v>Furigaro's 1st spell. It freezes everything around the opponent.</v>
      </c>
      <c r="O1187" s="42"/>
      <c r="P1187" s="42"/>
      <c r="Q1187" s="42"/>
      <c r="R1187" s="42"/>
      <c r="S1187" s="42"/>
      <c r="T1187" s="42"/>
      <c r="U1187" s="42"/>
      <c r="V1187" s="42"/>
      <c r="W1187" s="42"/>
      <c r="X1187" s="42"/>
      <c r="Y1187" s="42"/>
      <c r="Z1187" s="42"/>
    </row>
    <row r="1188">
      <c r="A1188" s="41" t="str">
        <f>IFERROR(__xludf.DUMMYFUNCTION("""COMPUTED_VALUE"""),"S-063")</f>
        <v>S-063</v>
      </c>
      <c r="B1188" s="42" t="str">
        <f>IFERROR(__xludf.DUMMYFUNCTION("""COMPUTED_VALUE"""),"Spell")</f>
        <v>Spell</v>
      </c>
      <c r="C1188" s="42" t="str">
        <f>IFERROR(__xludf.DUMMYFUNCTION("""COMPUTED_VALUE"""),"Scape Gishield")</f>
        <v>Scape Gishield</v>
      </c>
      <c r="D1188" s="42" t="str">
        <f>IFERROR(__xludf.DUMMYFUNCTION("""COMPUTED_VALUE"""),"Furigaro")</f>
        <v>Furigaro</v>
      </c>
      <c r="E1188" s="42">
        <f>IFERROR(__xludf.DUMMYFUNCTION("""COMPUTED_VALUE"""),3.0)</f>
        <v>3</v>
      </c>
      <c r="F1188" s="42" t="str">
        <f>IFERROR(__xludf.DUMMYFUNCTION("""COMPUTED_VALUE"""),"D")</f>
        <v>D</v>
      </c>
      <c r="G1188" s="42" t="str">
        <f>IFERROR(__xludf.DUMMYFUNCTION("""COMPUTED_VALUE"""),"None")</f>
        <v>None</v>
      </c>
      <c r="H1188" s="42" t="str">
        <f>IFERROR(__xludf.DUMMYFUNCTION("""COMPUTED_VALUE"""),"Ice")</f>
        <v>Ice</v>
      </c>
      <c r="I1188" s="43" t="str">
        <f>IFERROR(__xludf.DUMMYFUNCTION("""COMPUTED_VALUE"""),"Negate your opponent's Attack when you win the Battle as a Defender.")</f>
        <v>Negate your opponent's Attack when you win the Battle as a Defender.</v>
      </c>
      <c r="J1188" s="42" t="str">
        <f>IFERROR(__xludf.DUMMYFUNCTION("""COMPUTED_VALUE"""),"+7000")</f>
        <v>+7000</v>
      </c>
      <c r="K1188" s="42" t="str">
        <f>IFERROR(__xludf.DUMMYFUNCTION("""COMPUTED_VALUE"""),"-")</f>
        <v>-</v>
      </c>
      <c r="L1188" s="42" t="str">
        <f>IFERROR(__xludf.DUMMYFUNCTION("""COMPUTED_VALUE"""),"The Gathering Storm, Series 3, Level 3")</f>
        <v>The Gathering Storm, Series 3, Level 3</v>
      </c>
      <c r="M1188" s="42" t="str">
        <f>IFERROR(__xludf.DUMMYFUNCTION("""COMPUTED_VALUE"""),"[U]")</f>
        <v>[U]</v>
      </c>
      <c r="N1188" s="42" t="str">
        <f>IFERROR(__xludf.DUMMYFUNCTION("""COMPUTED_VALUE"""),"Furigaro's 2nd spell. A defensive spell that forms an ice barrier.")</f>
        <v>Furigaro's 2nd spell. A defensive spell that forms an ice barrier.</v>
      </c>
      <c r="O1188" s="42"/>
      <c r="P1188" s="42"/>
      <c r="Q1188" s="42"/>
      <c r="R1188" s="42"/>
      <c r="S1188" s="42"/>
      <c r="T1188" s="42"/>
      <c r="U1188" s="42"/>
      <c r="V1188" s="42"/>
      <c r="W1188" s="42"/>
      <c r="X1188" s="42"/>
      <c r="Y1188" s="42"/>
      <c r="Z1188" s="42"/>
    </row>
    <row r="1189">
      <c r="A1189" s="41" t="str">
        <f>IFERROR(__xludf.DUMMYFUNCTION("""COMPUTED_VALUE"""),"S-064")</f>
        <v>S-064</v>
      </c>
      <c r="B1189" s="42" t="str">
        <f>IFERROR(__xludf.DUMMYFUNCTION("""COMPUTED_VALUE"""),"Spell")</f>
        <v>Spell</v>
      </c>
      <c r="C1189" s="42" t="str">
        <f>IFERROR(__xludf.DUMMYFUNCTION("""COMPUTED_VALUE"""),"Lagikor Fang")</f>
        <v>Lagikor Fang</v>
      </c>
      <c r="D1189" s="42" t="str">
        <f>IFERROR(__xludf.DUMMYFUNCTION("""COMPUTED_VALUE"""),"Furigaro")</f>
        <v>Furigaro</v>
      </c>
      <c r="E1189" s="42">
        <f>IFERROR(__xludf.DUMMYFUNCTION("""COMPUTED_VALUE"""),5.0)</f>
        <v>5</v>
      </c>
      <c r="F1189" s="42" t="str">
        <f>IFERROR(__xludf.DUMMYFUNCTION("""COMPUTED_VALUE"""),"AD")</f>
        <v>AD</v>
      </c>
      <c r="G1189" s="42" t="str">
        <f>IFERROR(__xludf.DUMMYFUNCTION("""COMPUTED_VALUE"""),"Superior")</f>
        <v>Superior</v>
      </c>
      <c r="H1189" s="42" t="str">
        <f>IFERROR(__xludf.DUMMYFUNCTION("""COMPUTED_VALUE"""),"Ice")</f>
        <v>Ice</v>
      </c>
      <c r="I1189" s="43" t="str">
        <f>IFERROR(__xludf.DUMMYFUNCTION("""COMPUTED_VALUE"""),"Injure 1 of your opponent's MAMODO cards when you win the Battle as an Attacker.")</f>
        <v>Injure 1 of your opponent's MAMODO cards when you win the Battle as an Attacker.</v>
      </c>
      <c r="J1189" s="42" t="str">
        <f>IFERROR(__xludf.DUMMYFUNCTION("""COMPUTED_VALUE"""),"+5000")</f>
        <v>+5000</v>
      </c>
      <c r="K1189" s="42" t="str">
        <f>IFERROR(__xludf.DUMMYFUNCTION("""COMPUTED_VALUE"""),"-")</f>
        <v>-</v>
      </c>
      <c r="L1189" s="42" t="str">
        <f>IFERROR(__xludf.DUMMYFUNCTION("""COMPUTED_VALUE"""),"The Gathering Storm, Series 3, Level 3, The Best Booster 1")</f>
        <v>The Gathering Storm, Series 3, Level 3, The Best Booster 1</v>
      </c>
      <c r="M1189" s="42" t="str">
        <f>IFERROR(__xludf.DUMMYFUNCTION("""COMPUTED_VALUE"""),"[SR]")</f>
        <v>[SR]</v>
      </c>
      <c r="N1189" s="42" t="str">
        <f>IFERROR(__xludf.DUMMYFUNCTION("""COMPUTED_VALUE"""),"Furigaro's 3rd spell. Beast-shaped ice flies out from the ground to attack opponents.")</f>
        <v>Furigaro's 3rd spell. Beast-shaped ice flies out from the ground to attack opponents.</v>
      </c>
      <c r="O1189" s="42"/>
      <c r="P1189" s="42"/>
      <c r="Q1189" s="42"/>
      <c r="R1189" s="42"/>
      <c r="S1189" s="42"/>
      <c r="T1189" s="42"/>
      <c r="U1189" s="42"/>
      <c r="V1189" s="42"/>
      <c r="W1189" s="42"/>
      <c r="X1189" s="42"/>
      <c r="Y1189" s="42"/>
      <c r="Z1189" s="42"/>
    </row>
    <row r="1190">
      <c r="A1190" s="41" t="str">
        <f>IFERROR(__xludf.DUMMYFUNCTION("""COMPUTED_VALUE"""),"S-065")</f>
        <v>S-065</v>
      </c>
      <c r="B1190" s="42" t="str">
        <f>IFERROR(__xludf.DUMMYFUNCTION("""COMPUTED_VALUE"""),"Spell")</f>
        <v>Spell</v>
      </c>
      <c r="C1190" s="42" t="str">
        <f>IFERROR(__xludf.DUMMYFUNCTION("""COMPUTED_VALUE"""),"Groundam")</f>
        <v>Groundam</v>
      </c>
      <c r="D1190" s="42" t="str">
        <f>IFERROR(__xludf.DUMMYFUNCTION("""COMPUTED_VALUE"""),"Eshros")</f>
        <v>Eshros</v>
      </c>
      <c r="E1190" s="42">
        <f>IFERROR(__xludf.DUMMYFUNCTION("""COMPUTED_VALUE"""),2.0)</f>
        <v>2</v>
      </c>
      <c r="F1190" s="42" t="str">
        <f>IFERROR(__xludf.DUMMYFUNCTION("""COMPUTED_VALUE"""),"A")</f>
        <v>A</v>
      </c>
      <c r="G1190" s="42" t="str">
        <f>IFERROR(__xludf.DUMMYFUNCTION("""COMPUTED_VALUE"""),"None")</f>
        <v>None</v>
      </c>
      <c r="H1190" s="42" t="str">
        <f>IFERROR(__xludf.DUMMYFUNCTION("""COMPUTED_VALUE"""),"Ground")</f>
        <v>Ground</v>
      </c>
      <c r="I1190" s="43" t="str">
        <f>IFERROR(__xludf.DUMMYFUNCTION("""COMPUTED_VALUE"""),"Damage your opponent’s Spell Book when you win the Battle as an Attacker.")</f>
        <v>Damage your opponent’s Spell Book when you win the Battle as an Attacker.</v>
      </c>
      <c r="J1190" s="42" t="str">
        <f>IFERROR(__xludf.DUMMYFUNCTION("""COMPUTED_VALUE"""),"+4000")</f>
        <v>+4000</v>
      </c>
      <c r="K1190" s="42">
        <f>IFERROR(__xludf.DUMMYFUNCTION("""COMPUTED_VALUE"""),1.0)</f>
        <v>1</v>
      </c>
      <c r="L1190" s="42" t="str">
        <f>IFERROR(__xludf.DUMMYFUNCTION("""COMPUTED_VALUE"""),"Supreme Power of the Golden Spell, Series 2, Level 3")</f>
        <v>Supreme Power of the Golden Spell, Series 2, Level 3</v>
      </c>
      <c r="M1190" s="42" t="str">
        <f>IFERROR(__xludf.DUMMYFUNCTION("""COMPUTED_VALUE"""),"[C]")</f>
        <v>[C]</v>
      </c>
      <c r="N1190" s="42" t="str">
        <f>IFERROR(__xludf.DUMMYFUNCTION("""COMPUTED_VALUE"""),"It squashes opponent from both right and left with a ground wall.")</f>
        <v>It squashes opponent from both right and left with a ground wall.</v>
      </c>
      <c r="O1190" s="42"/>
      <c r="P1190" s="42"/>
      <c r="Q1190" s="42"/>
      <c r="R1190" s="42"/>
      <c r="S1190" s="42"/>
      <c r="T1190" s="42"/>
      <c r="U1190" s="42"/>
      <c r="V1190" s="42"/>
      <c r="W1190" s="42"/>
      <c r="X1190" s="42"/>
      <c r="Y1190" s="42"/>
      <c r="Z1190" s="42"/>
    </row>
    <row r="1191">
      <c r="A1191" s="41" t="str">
        <f>IFERROR(__xludf.DUMMYFUNCTION("""COMPUTED_VALUE"""),"S-066")</f>
        <v>S-066</v>
      </c>
      <c r="B1191" s="42" t="str">
        <f>IFERROR(__xludf.DUMMYFUNCTION("""COMPUTED_VALUE"""),"Spell")</f>
        <v>Spell</v>
      </c>
      <c r="C1191" s="42" t="str">
        <f>IFERROR(__xludf.DUMMYFUNCTION("""COMPUTED_VALUE"""),"Grandbao")</f>
        <v>Grandbao</v>
      </c>
      <c r="D1191" s="42" t="str">
        <f>IFERROR(__xludf.DUMMYFUNCTION("""COMPUTED_VALUE"""),"Eshros")</f>
        <v>Eshros</v>
      </c>
      <c r="E1191" s="42">
        <f>IFERROR(__xludf.DUMMYFUNCTION("""COMPUTED_VALUE"""),2.0)</f>
        <v>2</v>
      </c>
      <c r="F1191" s="42" t="str">
        <f>IFERROR(__xludf.DUMMYFUNCTION("""COMPUTED_VALUE"""),"AD")</f>
        <v>AD</v>
      </c>
      <c r="G1191" s="42" t="str">
        <f>IFERROR(__xludf.DUMMYFUNCTION("""COMPUTED_VALUE"""),"None")</f>
        <v>None</v>
      </c>
      <c r="H1191" s="42" t="str">
        <f>IFERROR(__xludf.DUMMYFUNCTION("""COMPUTED_VALUE"""),"Ground")</f>
        <v>Ground</v>
      </c>
      <c r="I1191" s="43" t="str">
        <f>IFERROR(__xludf.DUMMYFUNCTION("""COMPUTED_VALUE"""),"Damage your opponent's Spell Book when you win the Battle as an Attacker or as a Defender.")</f>
        <v>Damage your opponent's Spell Book when you win the Battle as an Attacker or as a Defender.</v>
      </c>
      <c r="J1191" s="42" t="str">
        <f>IFERROR(__xludf.DUMMYFUNCTION("""COMPUTED_VALUE"""),"+3000")</f>
        <v>+3000</v>
      </c>
      <c r="K1191" s="42">
        <f>IFERROR(__xludf.DUMMYFUNCTION("""COMPUTED_VALUE"""),1.0)</f>
        <v>1</v>
      </c>
      <c r="L1191" s="42" t="str">
        <f>IFERROR(__xludf.DUMMYFUNCTION("""COMPUTED_VALUE"""),"Supreme Power of the Golden Spell, Series 2, Level 3")</f>
        <v>Supreme Power of the Golden Spell, Series 2, Level 3</v>
      </c>
      <c r="M1191" s="42" t="str">
        <f>IFERROR(__xludf.DUMMYFUNCTION("""COMPUTED_VALUE"""),"[U]")</f>
        <v>[U]</v>
      </c>
      <c r="N1191" s="42" t="str">
        <f>IFERROR(__xludf.DUMMYFUNCTION("""COMPUTED_VALUE"""),"It blows opponents off the ground with a blast.")</f>
        <v>It blows opponents off the ground with a blast.</v>
      </c>
      <c r="O1191" s="42"/>
      <c r="P1191" s="42"/>
      <c r="Q1191" s="42"/>
      <c r="R1191" s="42"/>
      <c r="S1191" s="42"/>
      <c r="T1191" s="42"/>
      <c r="U1191" s="42"/>
      <c r="V1191" s="42"/>
      <c r="W1191" s="42"/>
      <c r="X1191" s="42"/>
      <c r="Y1191" s="42"/>
      <c r="Z1191" s="42"/>
    </row>
    <row r="1192">
      <c r="A1192" s="41" t="str">
        <f>IFERROR(__xludf.DUMMYFUNCTION("""COMPUTED_VALUE"""),"S-067")</f>
        <v>S-067</v>
      </c>
      <c r="B1192" s="42" t="str">
        <f>IFERROR(__xludf.DUMMYFUNCTION("""COMPUTED_VALUE"""),"Spell")</f>
        <v>Spell</v>
      </c>
      <c r="C1192" s="42" t="str">
        <f>IFERROR(__xludf.DUMMYFUNCTION("""COMPUTED_VALUE"""),"Grandsen")</f>
        <v>Grandsen</v>
      </c>
      <c r="D1192" s="42" t="str">
        <f>IFERROR(__xludf.DUMMYFUNCTION("""COMPUTED_VALUE"""),"Eshros")</f>
        <v>Eshros</v>
      </c>
      <c r="E1192" s="42">
        <f>IFERROR(__xludf.DUMMYFUNCTION("""COMPUTED_VALUE"""),2.0)</f>
        <v>2</v>
      </c>
      <c r="F1192" s="42" t="str">
        <f>IFERROR(__xludf.DUMMYFUNCTION("""COMPUTED_VALUE"""),"A")</f>
        <v>A</v>
      </c>
      <c r="G1192" s="42" t="str">
        <f>IFERROR(__xludf.DUMMYFUNCTION("""COMPUTED_VALUE"""),"Intermediate")</f>
        <v>Intermediate</v>
      </c>
      <c r="H1192" s="42" t="str">
        <f>IFERROR(__xludf.DUMMYFUNCTION("""COMPUTED_VALUE"""),"Ground")</f>
        <v>Ground</v>
      </c>
      <c r="I1192" s="43" t="str">
        <f>IFERROR(__xludf.DUMMYFUNCTION("""COMPUTED_VALUE"""),"Damage your opponent's Spell Book when you win the Battle as an Attacker. When you declare the play of this SPELL card, you may pay an additional 2 MP to add 2000 Power and 1 Damage to this SPELL card (maximum 6 MP).")</f>
        <v>Damage your opponent's Spell Book when you win the Battle as an Attacker. When you declare the play of this SPELL card, you may pay an additional 2 MP to add 2000 Power and 1 Damage to this SPELL card (maximum 6 MP).</v>
      </c>
      <c r="J1192" s="42" t="str">
        <f>IFERROR(__xludf.DUMMYFUNCTION("""COMPUTED_VALUE"""),"+2000")</f>
        <v>+2000</v>
      </c>
      <c r="K1192" s="42">
        <f>IFERROR(__xludf.DUMMYFUNCTION("""COMPUTED_VALUE"""),1.0)</f>
        <v>1</v>
      </c>
      <c r="L1192" s="42" t="str">
        <f>IFERROR(__xludf.DUMMYFUNCTION("""COMPUTED_VALUE"""),"Supreme Power of the Golden Spell, Series 2, Level 3")</f>
        <v>Supreme Power of the Golden Spell, Series 2, Level 3</v>
      </c>
      <c r="M1192" s="42" t="str">
        <f>IFERROR(__xludf.DUMMYFUNCTION("""COMPUTED_VALUE"""),"[R]")</f>
        <v>[R]</v>
      </c>
      <c r="N1192" s="42" t="str">
        <f>IFERROR(__xludf.DUMMYFUNCTION("""COMPUTED_VALUE"""),"It bombards opponents with rocks shot from an earthen cannon.")</f>
        <v>It bombards opponents with rocks shot from an earthen cannon.</v>
      </c>
      <c r="O1192" s="42"/>
      <c r="P1192" s="42"/>
      <c r="Q1192" s="42"/>
      <c r="R1192" s="42"/>
      <c r="S1192" s="42"/>
      <c r="T1192" s="42"/>
      <c r="U1192" s="42"/>
      <c r="V1192" s="42"/>
      <c r="W1192" s="42"/>
      <c r="X1192" s="42"/>
      <c r="Y1192" s="42"/>
      <c r="Z1192" s="42"/>
    </row>
    <row r="1193">
      <c r="A1193" s="41" t="str">
        <f>IFERROR(__xludf.DUMMYFUNCTION("""COMPUTED_VALUE"""),"S-068")</f>
        <v>S-068</v>
      </c>
      <c r="B1193" s="42" t="str">
        <f>IFERROR(__xludf.DUMMYFUNCTION("""COMPUTED_VALUE"""),"Spell")</f>
        <v>Spell</v>
      </c>
      <c r="C1193" s="42" t="str">
        <f>IFERROR(__xludf.DUMMYFUNCTION("""COMPUTED_VALUE"""),"Grancrag")</f>
        <v>Grancrag</v>
      </c>
      <c r="D1193" s="42" t="str">
        <f>IFERROR(__xludf.DUMMYFUNCTION("""COMPUTED_VALUE"""),"Eshros")</f>
        <v>Eshros</v>
      </c>
      <c r="E1193" s="42">
        <f>IFERROR(__xludf.DUMMYFUNCTION("""COMPUTED_VALUE"""),3.0)</f>
        <v>3</v>
      </c>
      <c r="F1193" s="42" t="str">
        <f>IFERROR(__xludf.DUMMYFUNCTION("""COMPUTED_VALUE"""),"A")</f>
        <v>A</v>
      </c>
      <c r="G1193" s="42" t="str">
        <f>IFERROR(__xludf.DUMMYFUNCTION("""COMPUTED_VALUE"""),"None")</f>
        <v>None</v>
      </c>
      <c r="H1193" s="42" t="str">
        <f>IFERROR(__xludf.DUMMYFUNCTION("""COMPUTED_VALUE"""),"Ground")</f>
        <v>Ground</v>
      </c>
      <c r="I1193" s="43" t="str">
        <f>IFERROR(__xludf.DUMMYFUNCTION("""COMPUTED_VALUE"""),"Damage your opponent's Spell Book when you win the Battle as an Attacker. [STAY] Regardless of Power, flip a coin after the Battle; if it's heads, your opponent cannot play SPELL cards during this turn.")</f>
        <v>Damage your opponent's Spell Book when you win the Battle as an Attacker. [STAY] Regardless of Power, flip a coin after the Battle; if it's heads, your opponent cannot play SPELL cards during this turn.</v>
      </c>
      <c r="J1193" s="42" t="str">
        <f>IFERROR(__xludf.DUMMYFUNCTION("""COMPUTED_VALUE"""),"+4000")</f>
        <v>+4000</v>
      </c>
      <c r="K1193" s="42">
        <f>IFERROR(__xludf.DUMMYFUNCTION("""COMPUTED_VALUE"""),2.0)</f>
        <v>2</v>
      </c>
      <c r="L1193" s="42" t="str">
        <f>IFERROR(__xludf.DUMMYFUNCTION("""COMPUTED_VALUE"""),"Supreme Power of the Golden Spell, Series 2, Level 3")</f>
        <v>Supreme Power of the Golden Spell, Series 2, Level 3</v>
      </c>
      <c r="M1193" s="42" t="str">
        <f>IFERROR(__xludf.DUMMYFUNCTION("""COMPUTED_VALUE"""),"[U]")</f>
        <v>[U]</v>
      </c>
      <c r="N1193" s="42" t="str">
        <f>IFERROR(__xludf.DUMMYFUNCTION("""COMPUTED_VALUE"""),"It causes an explosion which is powerful enough to turn the ground to powder.")</f>
        <v>It causes an explosion which is powerful enough to turn the ground to powder.</v>
      </c>
      <c r="O1193" s="42"/>
      <c r="P1193" s="42"/>
      <c r="Q1193" s="42"/>
      <c r="R1193" s="42"/>
      <c r="S1193" s="42"/>
      <c r="T1193" s="42"/>
      <c r="U1193" s="42"/>
      <c r="V1193" s="42"/>
      <c r="W1193" s="42"/>
      <c r="X1193" s="42"/>
      <c r="Y1193" s="42"/>
      <c r="Z1193" s="42"/>
    </row>
    <row r="1194">
      <c r="A1194" s="41" t="str">
        <f>IFERROR(__xludf.DUMMYFUNCTION("""COMPUTED_VALUE"""),"S-069")</f>
        <v>S-069</v>
      </c>
      <c r="B1194" s="42" t="str">
        <f>IFERROR(__xludf.DUMMYFUNCTION("""COMPUTED_VALUE"""),"Spell")</f>
        <v>Spell</v>
      </c>
      <c r="C1194" s="42" t="str">
        <f>IFERROR(__xludf.DUMMYFUNCTION("""COMPUTED_VALUE"""),"Rigron")</f>
        <v>Rigron</v>
      </c>
      <c r="D1194" s="42" t="str">
        <f>IFERROR(__xludf.DUMMYFUNCTION("""COMPUTED_VALUE"""),"Rops")</f>
        <v>Rops</v>
      </c>
      <c r="E1194" s="42">
        <f>IFERROR(__xludf.DUMMYFUNCTION("""COMPUTED_VALUE"""),2.0)</f>
        <v>2</v>
      </c>
      <c r="F1194" s="42" t="str">
        <f>IFERROR(__xludf.DUMMYFUNCTION("""COMPUTED_VALUE"""),"AD")</f>
        <v>AD</v>
      </c>
      <c r="G1194" s="42" t="str">
        <f>IFERROR(__xludf.DUMMYFUNCTION("""COMPUTED_VALUE"""),"None")</f>
        <v>None</v>
      </c>
      <c r="H1194" s="42" t="str">
        <f>IFERROR(__xludf.DUMMYFUNCTION("""COMPUTED_VALUE"""),"-")</f>
        <v>-</v>
      </c>
      <c r="I1194" s="43" t="str">
        <f>IFERROR(__xludf.DUMMYFUNCTION("""COMPUTED_VALUE"""),"● When used for Attacking, flip a coin; if it's heads, Damage your opponent's Spell Book. This SPELL card cannot be Defended. ● When used for Defending, flip a coin; if it's heads, negate your opponent's Attack regardless of their Power.")</f>
        <v>● When used for Attacking, flip a coin; if it's heads, Damage your opponent's Spell Book. This SPELL card cannot be Defended. ● When used for Defending, flip a coin; if it's heads, negate your opponent's Attack regardless of their Power.</v>
      </c>
      <c r="J1194" s="42" t="str">
        <f>IFERROR(__xludf.DUMMYFUNCTION("""COMPUTED_VALUE"""),"Special")</f>
        <v>Special</v>
      </c>
      <c r="K1194" s="42">
        <f>IFERROR(__xludf.DUMMYFUNCTION("""COMPUTED_VALUE"""),1.0)</f>
        <v>1</v>
      </c>
      <c r="L1194" s="42" t="str">
        <f>IFERROR(__xludf.DUMMYFUNCTION("""COMPUTED_VALUE"""),"Supreme Power of the Golden Spell, Series 2, Level 3")</f>
        <v>Supreme Power of the Golden Spell, Series 2, Level 3</v>
      </c>
      <c r="M1194" s="42" t="str">
        <f>IFERROR(__xludf.DUMMYFUNCTION("""COMPUTED_VALUE"""),"[U]")</f>
        <v>[U]</v>
      </c>
      <c r="N1194" s="42" t="str">
        <f>IFERROR(__xludf.DUMMYFUNCTION("""COMPUTED_VALUE"""),"It manipulates people and things with a rope.")</f>
        <v>It manipulates people and things with a rope.</v>
      </c>
      <c r="O1194" s="42"/>
      <c r="P1194" s="42"/>
      <c r="Q1194" s="42"/>
      <c r="R1194" s="42"/>
      <c r="S1194" s="42"/>
      <c r="T1194" s="42"/>
      <c r="U1194" s="42"/>
      <c r="V1194" s="42"/>
      <c r="W1194" s="42"/>
      <c r="X1194" s="42"/>
      <c r="Y1194" s="42"/>
      <c r="Z1194" s="42"/>
    </row>
    <row r="1195">
      <c r="A1195" s="41" t="str">
        <f>IFERROR(__xludf.DUMMYFUNCTION("""COMPUTED_VALUE"""),"S-070")</f>
        <v>S-070</v>
      </c>
      <c r="B1195" s="42" t="str">
        <f>IFERROR(__xludf.DUMMYFUNCTION("""COMPUTED_VALUE"""),"Spell")</f>
        <v>Spell</v>
      </c>
      <c r="C1195" s="42" t="str">
        <f>IFERROR(__xludf.DUMMYFUNCTION("""COMPUTED_VALUE"""),"Rigrosen")</f>
        <v>Rigrosen</v>
      </c>
      <c r="D1195" s="42" t="str">
        <f>IFERROR(__xludf.DUMMYFUNCTION("""COMPUTED_VALUE"""),"Rops")</f>
        <v>Rops</v>
      </c>
      <c r="E1195" s="42">
        <f>IFERROR(__xludf.DUMMYFUNCTION("""COMPUTED_VALUE"""),4.0)</f>
        <v>4</v>
      </c>
      <c r="F1195" s="42" t="str">
        <f>IFERROR(__xludf.DUMMYFUNCTION("""COMPUTED_VALUE"""),"A")</f>
        <v>A</v>
      </c>
      <c r="G1195" s="42" t="str">
        <f>IFERROR(__xludf.DUMMYFUNCTION("""COMPUTED_VALUE"""),"None")</f>
        <v>None</v>
      </c>
      <c r="H1195" s="42" t="str">
        <f>IFERROR(__xludf.DUMMYFUNCTION("""COMPUTED_VALUE"""),"-")</f>
        <v>-</v>
      </c>
      <c r="I1195" s="43" t="str">
        <f>IFERROR(__xludf.DUMMYFUNCTION("""COMPUTED_VALUE"""),"Apply 1 of the following effects when you win the Battle as an Attacker: ● Damage your opponent's Spell Book. ● Injure 1 of your opponent's MAMODO cards.")</f>
        <v>Apply 1 of the following effects when you win the Battle as an Attacker: ● Damage your opponent's Spell Book. ● Injure 1 of your opponent's MAMODO cards.</v>
      </c>
      <c r="J1195" s="42" t="str">
        <f>IFERROR(__xludf.DUMMYFUNCTION("""COMPUTED_VALUE"""),"+4000")</f>
        <v>+4000</v>
      </c>
      <c r="K1195" s="42">
        <f>IFERROR(__xludf.DUMMYFUNCTION("""COMPUTED_VALUE"""),2.0)</f>
        <v>2</v>
      </c>
      <c r="L1195" s="42" t="str">
        <f>IFERROR(__xludf.DUMMYFUNCTION("""COMPUTED_VALUE"""),"Supreme Power of the Golden Spell, Series 2, Level 3")</f>
        <v>Supreme Power of the Golden Spell, Series 2, Level 3</v>
      </c>
      <c r="M1195" s="42" t="str">
        <f>IFERROR(__xludf.DUMMYFUNCTION("""COMPUTED_VALUE"""),"[U]")</f>
        <v>[U]</v>
      </c>
      <c r="N1195" s="42" t="str">
        <f>IFERROR(__xludf.DUMMYFUNCTION("""COMPUTED_VALUE"""),"It pierces opponents in the distance using many blades attached to ropes.")</f>
        <v>It pierces opponents in the distance using many blades attached to ropes.</v>
      </c>
      <c r="O1195" s="42"/>
      <c r="P1195" s="42"/>
      <c r="Q1195" s="42"/>
      <c r="R1195" s="42"/>
      <c r="S1195" s="42"/>
      <c r="T1195" s="42"/>
      <c r="U1195" s="42"/>
      <c r="V1195" s="42"/>
      <c r="W1195" s="42"/>
      <c r="X1195" s="42"/>
      <c r="Y1195" s="42"/>
      <c r="Z1195" s="42"/>
    </row>
    <row r="1196">
      <c r="A1196" s="41" t="str">
        <f>IFERROR(__xludf.DUMMYFUNCTION("""COMPUTED_VALUE"""),"S-071")</f>
        <v>S-071</v>
      </c>
      <c r="B1196" s="42" t="str">
        <f>IFERROR(__xludf.DUMMYFUNCTION("""COMPUTED_VALUE"""),"Spell")</f>
        <v>Spell</v>
      </c>
      <c r="C1196" s="42" t="str">
        <f>IFERROR(__xludf.DUMMYFUNCTION("""COMPUTED_VALUE"""),"Dino Rignon")</f>
        <v>Dino Rignon</v>
      </c>
      <c r="D1196" s="42" t="str">
        <f>IFERROR(__xludf.DUMMYFUNCTION("""COMPUTED_VALUE"""),"Rops")</f>
        <v>Rops</v>
      </c>
      <c r="E1196" s="42">
        <f>IFERROR(__xludf.DUMMYFUNCTION("""COMPUTED_VALUE"""),8.0)</f>
        <v>8</v>
      </c>
      <c r="F1196" s="42" t="str">
        <f>IFERROR(__xludf.DUMMYFUNCTION("""COMPUTED_VALUE"""),"AD")</f>
        <v>AD</v>
      </c>
      <c r="G1196" s="42" t="str">
        <f>IFERROR(__xludf.DUMMYFUNCTION("""COMPUTED_VALUE"""),"Superior")</f>
        <v>Superior</v>
      </c>
      <c r="H1196" s="42" t="str">
        <f>IFERROR(__xludf.DUMMYFUNCTION("""COMPUTED_VALUE"""),"-")</f>
        <v>-</v>
      </c>
      <c r="I1196" s="43" t="str">
        <f>IFERROR(__xludf.DUMMYFUNCTION("""COMPUTED_VALUE"""),"Damage your opponent’s Spell Book when you win the Battle as an Attacker.")</f>
        <v>Damage your opponent’s Spell Book when you win the Battle as an Attacker.</v>
      </c>
      <c r="J1196" s="42" t="str">
        <f>IFERROR(__xludf.DUMMYFUNCTION("""COMPUTED_VALUE"""),"+8000")</f>
        <v>+8000</v>
      </c>
      <c r="K1196" s="42">
        <f>IFERROR(__xludf.DUMMYFUNCTION("""COMPUTED_VALUE"""),4.0)</f>
        <v>4</v>
      </c>
      <c r="L1196" s="42" t="str">
        <f>IFERROR(__xludf.DUMMYFUNCTION("""COMPUTED_VALUE"""),"Supreme Power of the Golden Spell, Series 2, Level 3, The Best Booster 1")</f>
        <v>Supreme Power of the Golden Spell, Series 2, Level 3, The Best Booster 1</v>
      </c>
      <c r="M1196" s="42" t="str">
        <f>IFERROR(__xludf.DUMMYFUNCTION("""COMPUTED_VALUE"""),"[SR]")</f>
        <v>[SR]</v>
      </c>
      <c r="N1196" s="42" t="str">
        <f>IFERROR(__xludf.DUMMYFUNCTION("""COMPUTED_VALUE"""),"Reinforced spell of Rigron, its chains lift up gigantic rocks.")</f>
        <v>Reinforced spell of Rigron, its chains lift up gigantic rocks.</v>
      </c>
      <c r="O1196" s="42"/>
      <c r="P1196" s="42"/>
      <c r="Q1196" s="42"/>
      <c r="R1196" s="42"/>
      <c r="S1196" s="42"/>
      <c r="T1196" s="42"/>
      <c r="U1196" s="42"/>
      <c r="V1196" s="42"/>
      <c r="W1196" s="42"/>
      <c r="X1196" s="42"/>
      <c r="Y1196" s="42"/>
      <c r="Z1196" s="42"/>
    </row>
    <row r="1197">
      <c r="A1197" s="41" t="str">
        <f>IFERROR(__xludf.DUMMYFUNCTION("""COMPUTED_VALUE"""),"S-072")</f>
        <v>S-072</v>
      </c>
      <c r="B1197" s="42" t="str">
        <f>IFERROR(__xludf.DUMMYFUNCTION("""COMPUTED_VALUE"""),"Spell")</f>
        <v>Spell</v>
      </c>
      <c r="C1197" s="42" t="str">
        <f>IFERROR(__xludf.DUMMYFUNCTION("""COMPUTED_VALUE"""),"Jioruk")</f>
        <v>Jioruk</v>
      </c>
      <c r="D1197" s="42" t="str">
        <f>IFERROR(__xludf.DUMMYFUNCTION("""COMPUTED_VALUE"""),"Danny")</f>
        <v>Danny</v>
      </c>
      <c r="E1197" s="42">
        <f>IFERROR(__xludf.DUMMYFUNCTION("""COMPUTED_VALUE"""),2.0)</f>
        <v>2</v>
      </c>
      <c r="F1197" s="42" t="str">
        <f>IFERROR(__xludf.DUMMYFUNCTION("""COMPUTED_VALUE"""),"AD")</f>
        <v>AD</v>
      </c>
      <c r="G1197" s="42" t="str">
        <f>IFERROR(__xludf.DUMMYFUNCTION("""COMPUTED_VALUE"""),"None")</f>
        <v>None</v>
      </c>
      <c r="H1197" s="42" t="str">
        <f>IFERROR(__xludf.DUMMYFUNCTION("""COMPUTED_VALUE"""),"-")</f>
        <v>-</v>
      </c>
      <c r="I1197" s="43" t="str">
        <f>IFERROR(__xludf.DUMMYFUNCTION("""COMPUTED_VALUE"""),"Turn your in-play Danny MAMODO card to Normal Status.")</f>
        <v>Turn your in-play Danny MAMODO card to Normal Status.</v>
      </c>
      <c r="J1197" s="42" t="str">
        <f>IFERROR(__xludf.DUMMYFUNCTION("""COMPUTED_VALUE"""),"Special")</f>
        <v>Special</v>
      </c>
      <c r="K1197" s="42" t="str">
        <f>IFERROR(__xludf.DUMMYFUNCTION("""COMPUTED_VALUE"""),"-")</f>
        <v>-</v>
      </c>
      <c r="L1197" s="42" t="str">
        <f>IFERROR(__xludf.DUMMYFUNCTION("""COMPUTED_VALUE"""),"Supreme Power of the Golden Spell, Series 2, Level 3")</f>
        <v>Supreme Power of the Golden Spell, Series 2, Level 3</v>
      </c>
      <c r="M1197" s="42" t="str">
        <f>IFERROR(__xludf.DUMMYFUNCTION("""COMPUTED_VALUE"""),"[R]")</f>
        <v>[R]</v>
      </c>
      <c r="N1197" s="42" t="str">
        <f>IFERROR(__xludf.DUMMYFUNCTION("""COMPUTED_VALUE"""),"It heals Danny completely in an instant.")</f>
        <v>It heals Danny completely in an instant.</v>
      </c>
      <c r="O1197" s="42"/>
      <c r="P1197" s="42"/>
      <c r="Q1197" s="42"/>
      <c r="R1197" s="42"/>
      <c r="S1197" s="42"/>
      <c r="T1197" s="42"/>
      <c r="U1197" s="42"/>
      <c r="V1197" s="42"/>
      <c r="W1197" s="42"/>
      <c r="X1197" s="42"/>
      <c r="Y1197" s="42"/>
      <c r="Z1197" s="42"/>
    </row>
    <row r="1198">
      <c r="A1198" s="41" t="str">
        <f>IFERROR(__xludf.DUMMYFUNCTION("""COMPUTED_VALUE"""),"S-073")</f>
        <v>S-073</v>
      </c>
      <c r="B1198" s="42" t="str">
        <f>IFERROR(__xludf.DUMMYFUNCTION("""COMPUTED_VALUE"""),"Spell")</f>
        <v>Spell</v>
      </c>
      <c r="C1198" s="42" t="str">
        <f>IFERROR(__xludf.DUMMYFUNCTION("""COMPUTED_VALUE"""),"Dareido")</f>
        <v>Dareido</v>
      </c>
      <c r="D1198" s="42" t="str">
        <f>IFERROR(__xludf.DUMMYFUNCTION("""COMPUTED_VALUE"""),"Purio")</f>
        <v>Purio</v>
      </c>
      <c r="E1198" s="42">
        <f>IFERROR(__xludf.DUMMYFUNCTION("""COMPUTED_VALUE"""),3.0)</f>
        <v>3</v>
      </c>
      <c r="F1198" s="42" t="str">
        <f>IFERROR(__xludf.DUMMYFUNCTION("""COMPUTED_VALUE"""),"A")</f>
        <v>A</v>
      </c>
      <c r="G1198" s="42" t="str">
        <f>IFERROR(__xludf.DUMMYFUNCTION("""COMPUTED_VALUE"""),"None")</f>
        <v>None</v>
      </c>
      <c r="H1198" s="42" t="str">
        <f>IFERROR(__xludf.DUMMYFUNCTION("""COMPUTED_VALUE"""),"-")</f>
        <v>-</v>
      </c>
      <c r="I1198" s="43" t="str">
        <f>IFERROR(__xludf.DUMMYFUNCTION("""COMPUTED_VALUE"""),"[STAY] Your opponent cannot Defend during this turn.")</f>
        <v>[STAY] Your opponent cannot Defend during this turn.</v>
      </c>
      <c r="J1198" s="42" t="str">
        <f>IFERROR(__xludf.DUMMYFUNCTION("""COMPUTED_VALUE"""),"Special")</f>
        <v>Special</v>
      </c>
      <c r="K1198" s="42" t="str">
        <f>IFERROR(__xludf.DUMMYFUNCTION("""COMPUTED_VALUE"""),"-")</f>
        <v>-</v>
      </c>
      <c r="L1198" s="42" t="str">
        <f>IFERROR(__xludf.DUMMYFUNCTION("""COMPUTED_VALUE"""),"Supreme Power of the Golden Spell, Series 2, Level 3")</f>
        <v>Supreme Power of the Golden Spell, Series 2, Level 3</v>
      </c>
      <c r="M1198" s="42" t="str">
        <f>IFERROR(__xludf.DUMMYFUNCTION("""COMPUTED_VALUE"""),"[C]")</f>
        <v>[C]</v>
      </c>
      <c r="N1198" s="42" t="str">
        <f>IFERROR(__xludf.DUMMYFUNCTION("""COMPUTED_VALUE"""),"It fires a sticky liquid which immobilizes opponents.")</f>
        <v>It fires a sticky liquid which immobilizes opponents.</v>
      </c>
      <c r="O1198" s="42"/>
      <c r="P1198" s="42"/>
      <c r="Q1198" s="42"/>
      <c r="R1198" s="42"/>
      <c r="S1198" s="42"/>
      <c r="T1198" s="42"/>
      <c r="U1198" s="42"/>
      <c r="V1198" s="42"/>
      <c r="W1198" s="42"/>
      <c r="X1198" s="42"/>
      <c r="Y1198" s="42"/>
      <c r="Z1198" s="42"/>
    </row>
    <row r="1199">
      <c r="A1199" s="41" t="str">
        <f>IFERROR(__xludf.DUMMYFUNCTION("""COMPUTED_VALUE"""),"S-074")</f>
        <v>S-074</v>
      </c>
      <c r="B1199" s="42" t="str">
        <f>IFERROR(__xludf.DUMMYFUNCTION("""COMPUTED_VALUE"""),"Spell")</f>
        <v>Spell</v>
      </c>
      <c r="C1199" s="42" t="str">
        <f>IFERROR(__xludf.DUMMYFUNCTION("""COMPUTED_VALUE"""),"Poreido")</f>
        <v>Poreido</v>
      </c>
      <c r="D1199" s="42" t="str">
        <f>IFERROR(__xludf.DUMMYFUNCTION("""COMPUTED_VALUE"""),"Purio")</f>
        <v>Purio</v>
      </c>
      <c r="E1199" s="42">
        <f>IFERROR(__xludf.DUMMYFUNCTION("""COMPUTED_VALUE"""),3.0)</f>
        <v>3</v>
      </c>
      <c r="F1199" s="42" t="str">
        <f>IFERROR(__xludf.DUMMYFUNCTION("""COMPUTED_VALUE"""),"A")</f>
        <v>A</v>
      </c>
      <c r="G1199" s="42" t="str">
        <f>IFERROR(__xludf.DUMMYFUNCTION("""COMPUTED_VALUE"""),"None")</f>
        <v>None</v>
      </c>
      <c r="H1199" s="42" t="str">
        <f>IFERROR(__xludf.DUMMYFUNCTION("""COMPUTED_VALUE"""),"-")</f>
        <v>-</v>
      </c>
      <c r="I1199" s="43" t="str">
        <f>IFERROR(__xludf.DUMMYFUNCTION("""COMPUTED_VALUE"""),"Select 1 of your opponent's in-play MAMODO cards. Your opponent can neither play SPELL cards for the selected MAMODO card, nor apply the effects of the selected MAMODO card during the next turn. This effect is [STANDBY] during this turn, and [STAY] during"&amp;" the next turn.")</f>
        <v>Select 1 of your opponent's in-play MAMODO cards. Your opponent can neither play SPELL cards for the selected MAMODO card, nor apply the effects of the selected MAMODO card during the next turn. This effect is [STANDBY] during this turn, and [STAY] during the next turn.</v>
      </c>
      <c r="J1199" s="42" t="str">
        <f>IFERROR(__xludf.DUMMYFUNCTION("""COMPUTED_VALUE"""),"Special")</f>
        <v>Special</v>
      </c>
      <c r="K1199" s="42" t="str">
        <f>IFERROR(__xludf.DUMMYFUNCTION("""COMPUTED_VALUE"""),"-")</f>
        <v>-</v>
      </c>
      <c r="L1199" s="42" t="str">
        <f>IFERROR(__xludf.DUMMYFUNCTION("""COMPUTED_VALUE"""),"Supreme Power of the Golden Spell, Series 2, Level 3")</f>
        <v>Supreme Power of the Golden Spell, Series 2, Level 3</v>
      </c>
      <c r="M1199" s="42" t="str">
        <f>IFERROR(__xludf.DUMMYFUNCTION("""COMPUTED_VALUE"""),"[C]")</f>
        <v>[C]</v>
      </c>
      <c r="N1199" s="42" t="str">
        <f>IFERROR(__xludf.DUMMYFUNCTION("""COMPUTED_VALUE"""),"It fires a liquid that paralyzes an opponent's body.")</f>
        <v>It fires a liquid that paralyzes an opponent's body.</v>
      </c>
      <c r="O1199" s="42"/>
      <c r="P1199" s="42"/>
      <c r="Q1199" s="42"/>
      <c r="R1199" s="42"/>
      <c r="S1199" s="42"/>
      <c r="T1199" s="42"/>
      <c r="U1199" s="42"/>
      <c r="V1199" s="42"/>
      <c r="W1199" s="42"/>
      <c r="X1199" s="42"/>
      <c r="Y1199" s="42"/>
      <c r="Z1199" s="42"/>
    </row>
    <row r="1200">
      <c r="A1200" s="41" t="str">
        <f>IFERROR(__xludf.DUMMYFUNCTION("""COMPUTED_VALUE"""),"S-075")</f>
        <v>S-075</v>
      </c>
      <c r="B1200" s="42" t="str">
        <f>IFERROR(__xludf.DUMMYFUNCTION("""COMPUTED_VALUE"""),"Spell")</f>
        <v>Spell</v>
      </c>
      <c r="C1200" s="42" t="str">
        <f>IFERROR(__xludf.DUMMYFUNCTION("""COMPUTED_VALUE"""),"Mokerudo")</f>
        <v>Mokerudo</v>
      </c>
      <c r="D1200" s="42" t="str">
        <f>IFERROR(__xludf.DUMMYFUNCTION("""COMPUTED_VALUE"""),"Purio")</f>
        <v>Purio</v>
      </c>
      <c r="E1200" s="42">
        <f>IFERROR(__xludf.DUMMYFUNCTION("""COMPUTED_VALUE"""),3.0)</f>
        <v>3</v>
      </c>
      <c r="F1200" s="42" t="str">
        <f>IFERROR(__xludf.DUMMYFUNCTION("""COMPUTED_VALUE"""),"A")</f>
        <v>A</v>
      </c>
      <c r="G1200" s="42" t="str">
        <f>IFERROR(__xludf.DUMMYFUNCTION("""COMPUTED_VALUE"""),"None")</f>
        <v>None</v>
      </c>
      <c r="H1200" s="42" t="str">
        <f>IFERROR(__xludf.DUMMYFUNCTION("""COMPUTED_VALUE"""),"-")</f>
        <v>-</v>
      </c>
      <c r="I1200" s="43" t="str">
        <f>IFERROR(__xludf.DUMMYFUNCTION("""COMPUTED_VALUE"""),"[STAY] Neither player can play SPELL cards nor apply the effects of their in-play MAMODO cards until the END PHASE of your next turn.")</f>
        <v>[STAY] Neither player can play SPELL cards nor apply the effects of their in-play MAMODO cards until the END PHASE of your next turn.</v>
      </c>
      <c r="J1200" s="42" t="str">
        <f>IFERROR(__xludf.DUMMYFUNCTION("""COMPUTED_VALUE"""),"Special")</f>
        <v>Special</v>
      </c>
      <c r="K1200" s="42" t="str">
        <f>IFERROR(__xludf.DUMMYFUNCTION("""COMPUTED_VALUE"""),"-")</f>
        <v>-</v>
      </c>
      <c r="L1200" s="42" t="str">
        <f>IFERROR(__xludf.DUMMYFUNCTION("""COMPUTED_VALUE"""),"Supreme Power of the Golden Spell, Series 2, Level 3")</f>
        <v>Supreme Power of the Golden Spell, Series 2, Level 3</v>
      </c>
      <c r="M1200" s="42" t="str">
        <f>IFERROR(__xludf.DUMMYFUNCTION("""COMPUTED_VALUE"""),"[C]")</f>
        <v>[C]</v>
      </c>
      <c r="N1200" s="42" t="str">
        <f>IFERROR(__xludf.DUMMYFUNCTION("""COMPUTED_VALUE"""),"It blocks the opponent's sight with a huge smokescreen.")</f>
        <v>It blocks the opponent's sight with a huge smokescreen.</v>
      </c>
      <c r="O1200" s="42"/>
      <c r="P1200" s="42"/>
      <c r="Q1200" s="42"/>
      <c r="R1200" s="42"/>
      <c r="S1200" s="42"/>
      <c r="T1200" s="42"/>
      <c r="U1200" s="42"/>
      <c r="V1200" s="42"/>
      <c r="W1200" s="42"/>
      <c r="X1200" s="42"/>
      <c r="Y1200" s="42"/>
      <c r="Z1200" s="42"/>
    </row>
    <row r="1201">
      <c r="A1201" s="41" t="str">
        <f>IFERROR(__xludf.DUMMYFUNCTION("""COMPUTED_VALUE"""),"S-076")</f>
        <v>S-076</v>
      </c>
      <c r="B1201" s="42" t="str">
        <f>IFERROR(__xludf.DUMMYFUNCTION("""COMPUTED_VALUE"""),"Spell")</f>
        <v>Spell</v>
      </c>
      <c r="C1201" s="42" t="str">
        <f>IFERROR(__xludf.DUMMYFUNCTION("""COMPUTED_VALUE"""),"Dogurak")</f>
        <v>Dogurak</v>
      </c>
      <c r="D1201" s="42" t="str">
        <f>IFERROR(__xludf.DUMMYFUNCTION("""COMPUTED_VALUE"""),"Zoboron")</f>
        <v>Zoboron</v>
      </c>
      <c r="E1201" s="42">
        <f>IFERROR(__xludf.DUMMYFUNCTION("""COMPUTED_VALUE"""),3.0)</f>
        <v>3</v>
      </c>
      <c r="F1201" s="42" t="str">
        <f>IFERROR(__xludf.DUMMYFUNCTION("""COMPUTED_VALUE"""),"AD")</f>
        <v>AD</v>
      </c>
      <c r="G1201" s="42" t="str">
        <f>IFERROR(__xludf.DUMMYFUNCTION("""COMPUTED_VALUE"""),"None")</f>
        <v>None</v>
      </c>
      <c r="H1201" s="42" t="str">
        <f>IFERROR(__xludf.DUMMYFUNCTION("""COMPUTED_VALUE"""),"-")</f>
        <v>-</v>
      </c>
      <c r="I1201" s="43" t="str">
        <f>IFERROR(__xludf.DUMMYFUNCTION("""COMPUTED_VALUE"""),"Damage your opponent's Spell Book when you win the Battle as an Attacker. Any MAMODO cards Injured by this SPELL card are sent to the Discard Pile.")</f>
        <v>Damage your opponent's Spell Book when you win the Battle as an Attacker. Any MAMODO cards Injured by this SPELL card are sent to the Discard Pile.</v>
      </c>
      <c r="J1201" s="42" t="str">
        <f>IFERROR(__xludf.DUMMYFUNCTION("""COMPUTED_VALUE"""),"+1000")</f>
        <v>+1000</v>
      </c>
      <c r="K1201" s="42">
        <f>IFERROR(__xludf.DUMMYFUNCTION("""COMPUTED_VALUE"""),2.0)</f>
        <v>2</v>
      </c>
      <c r="L1201" s="42" t="str">
        <f>IFERROR(__xludf.DUMMYFUNCTION("""COMPUTED_VALUE"""),"Supreme Power of the Golden Spell, Series 2, Level 3, The Best Booster 1")</f>
        <v>Supreme Power of the Golden Spell, Series 2, Level 3, The Best Booster 1</v>
      </c>
      <c r="M1201" s="42" t="str">
        <f>IFERROR(__xludf.DUMMYFUNCTION("""COMPUTED_VALUE"""),"[C]")</f>
        <v>[C]</v>
      </c>
      <c r="N1201" s="42" t="str">
        <f>IFERROR(__xludf.DUMMYFUNCTION("""COMPUTED_VALUE"""),"A slow, but highly destructive energy ball.")</f>
        <v>A slow, but highly destructive energy ball.</v>
      </c>
      <c r="O1201" s="42"/>
      <c r="P1201" s="42"/>
      <c r="Q1201" s="42"/>
      <c r="R1201" s="42"/>
      <c r="S1201" s="42"/>
      <c r="T1201" s="42"/>
      <c r="U1201" s="42"/>
      <c r="V1201" s="42"/>
      <c r="W1201" s="42"/>
      <c r="X1201" s="42"/>
      <c r="Y1201" s="42"/>
      <c r="Z1201" s="42"/>
    </row>
    <row r="1202">
      <c r="A1202" s="41" t="str">
        <f>IFERROR(__xludf.DUMMYFUNCTION("""COMPUTED_VALUE"""),"S-077")</f>
        <v>S-077</v>
      </c>
      <c r="B1202" s="42" t="str">
        <f>IFERROR(__xludf.DUMMYFUNCTION("""COMPUTED_VALUE"""),"Spell")</f>
        <v>Spell</v>
      </c>
      <c r="C1202" s="42" t="str">
        <f>IFERROR(__xludf.DUMMYFUNCTION("""COMPUTED_VALUE"""),"Oru Dogurak")</f>
        <v>Oru Dogurak</v>
      </c>
      <c r="D1202" s="42" t="str">
        <f>IFERROR(__xludf.DUMMYFUNCTION("""COMPUTED_VALUE"""),"Zoboron")</f>
        <v>Zoboron</v>
      </c>
      <c r="E1202" s="42">
        <f>IFERROR(__xludf.DUMMYFUNCTION("""COMPUTED_VALUE"""),5.0)</f>
        <v>5</v>
      </c>
      <c r="F1202" s="42" t="str">
        <f>IFERROR(__xludf.DUMMYFUNCTION("""COMPUTED_VALUE"""),"AD")</f>
        <v>AD</v>
      </c>
      <c r="G1202" s="42" t="str">
        <f>IFERROR(__xludf.DUMMYFUNCTION("""COMPUTED_VALUE"""),"None")</f>
        <v>None</v>
      </c>
      <c r="H1202" s="42" t="str">
        <f>IFERROR(__xludf.DUMMYFUNCTION("""COMPUTED_VALUE"""),"-")</f>
        <v>-</v>
      </c>
      <c r="I1202" s="43" t="str">
        <f>IFERROR(__xludf.DUMMYFUNCTION("""COMPUTED_VALUE"""),"Damage your opponent's Spell Book when you win the Battle as an Attacker. Any MAMODO cards Injured by this SPELL card are sent to the Discard Pile.")</f>
        <v>Damage your opponent's Spell Book when you win the Battle as an Attacker. Any MAMODO cards Injured by this SPELL card are sent to the Discard Pile.</v>
      </c>
      <c r="J1202" s="42" t="str">
        <f>IFERROR(__xludf.DUMMYFUNCTION("""COMPUTED_VALUE"""),"+6000")</f>
        <v>+6000</v>
      </c>
      <c r="K1202" s="42">
        <f>IFERROR(__xludf.DUMMYFUNCTION("""COMPUTED_VALUE"""),2.0)</f>
        <v>2</v>
      </c>
      <c r="L1202" s="42" t="str">
        <f>IFERROR(__xludf.DUMMYFUNCTION("""COMPUTED_VALUE"""),"Supreme Power of the Golden Spell, Series 2, Level 3")</f>
        <v>Supreme Power of the Golden Spell, Series 2, Level 3</v>
      </c>
      <c r="M1202" s="42" t="str">
        <f>IFERROR(__xludf.DUMMYFUNCTION("""COMPUTED_VALUE"""),"[U]")</f>
        <v>[U]</v>
      </c>
      <c r="N1202" s="42" t="str">
        <f>IFERROR(__xludf.DUMMYFUNCTION("""COMPUTED_VALUE"""),"A reinforced Dogurak, it chases opponents and explodes.")</f>
        <v>A reinforced Dogurak, it chases opponents and explodes.</v>
      </c>
      <c r="O1202" s="42"/>
      <c r="P1202" s="42"/>
      <c r="Q1202" s="42"/>
      <c r="R1202" s="42"/>
      <c r="S1202" s="42"/>
      <c r="T1202" s="42"/>
      <c r="U1202" s="42"/>
      <c r="V1202" s="42"/>
      <c r="W1202" s="42"/>
      <c r="X1202" s="42"/>
      <c r="Y1202" s="42"/>
      <c r="Z1202" s="42"/>
    </row>
    <row r="1203">
      <c r="A1203" s="41" t="str">
        <f>IFERROR(__xludf.DUMMYFUNCTION("""COMPUTED_VALUE"""),"S-078")</f>
        <v>S-078</v>
      </c>
      <c r="B1203" s="42" t="str">
        <f>IFERROR(__xludf.DUMMYFUNCTION("""COMPUTED_VALUE"""),"Spell")</f>
        <v>Spell</v>
      </c>
      <c r="C1203" s="42" t="str">
        <f>IFERROR(__xludf.DUMMYFUNCTION("""COMPUTED_VALUE"""),"Go Boren")</f>
        <v>Go Boren</v>
      </c>
      <c r="D1203" s="42" t="str">
        <f>IFERROR(__xludf.DUMMYFUNCTION("""COMPUTED_VALUE"""),"Wonrei")</f>
        <v>Wonrei</v>
      </c>
      <c r="E1203" s="42">
        <f>IFERROR(__xludf.DUMMYFUNCTION("""COMPUTED_VALUE"""),4.0)</f>
        <v>4</v>
      </c>
      <c r="F1203" s="42" t="str">
        <f>IFERROR(__xludf.DUMMYFUNCTION("""COMPUTED_VALUE"""),"AD")</f>
        <v>AD</v>
      </c>
      <c r="G1203" s="42" t="str">
        <f>IFERROR(__xludf.DUMMYFUNCTION("""COMPUTED_VALUE"""),"Intermediate")</f>
        <v>Intermediate</v>
      </c>
      <c r="H1203" s="42" t="str">
        <f>IFERROR(__xludf.DUMMYFUNCTION("""COMPUTED_VALUE"""),"-")</f>
        <v>-</v>
      </c>
      <c r="I1203" s="43" t="str">
        <f>IFERROR(__xludf.DUMMYFUNCTION("""COMPUTED_VALUE"""),"Damage your opponent's Spell Book when you win the Battle as an Attacker. When you inflict Damage or Injury, look at the currently open pages of your opponent's Spell Book. Select 1 of either card and send it to the Discard Pile.")</f>
        <v>Damage your opponent's Spell Book when you win the Battle as an Attacker. When you inflict Damage or Injury, look at the currently open pages of your opponent's Spell Book. Select 1 of either card and send it to the Discard Pile.</v>
      </c>
      <c r="J1203" s="42" t="str">
        <f>IFERROR(__xludf.DUMMYFUNCTION("""COMPUTED_VALUE"""),"+5000")</f>
        <v>+5000</v>
      </c>
      <c r="K1203" s="42">
        <f>IFERROR(__xludf.DUMMYFUNCTION("""COMPUTED_VALUE"""),2.0)</f>
        <v>2</v>
      </c>
      <c r="L1203" s="42" t="str">
        <f>IFERROR(__xludf.DUMMYFUNCTION("""COMPUTED_VALUE"""),"Supreme Power of the Golden Spell, Series 2, Level 3")</f>
        <v>Supreme Power of the Golden Spell, Series 2, Level 3</v>
      </c>
      <c r="M1203" s="42" t="str">
        <f>IFERROR(__xludf.DUMMYFUNCTION("""COMPUTED_VALUE"""),"[SR]")</f>
        <v>[SR]</v>
      </c>
      <c r="N1203" s="42" t="str">
        <f>IFERROR(__xludf.DUMMYFUNCTION("""COMPUTED_VALUE"""),"""Byakuo Koso!"" Claws of a hero defeat the evil dragon!")</f>
        <v>"Byakuo Koso!" Claws of a hero defeat the evil dragon!</v>
      </c>
      <c r="O1203" s="42"/>
      <c r="P1203" s="42"/>
      <c r="Q1203" s="42"/>
      <c r="R1203" s="42"/>
      <c r="S1203" s="42"/>
      <c r="T1203" s="42"/>
      <c r="U1203" s="42"/>
      <c r="V1203" s="42"/>
      <c r="W1203" s="42"/>
      <c r="X1203" s="42"/>
      <c r="Y1203" s="42"/>
      <c r="Z1203" s="42"/>
    </row>
    <row r="1204">
      <c r="A1204" s="41" t="str">
        <f>IFERROR(__xludf.DUMMYFUNCTION("""COMPUTED_VALUE"""),"S-079")</f>
        <v>S-079</v>
      </c>
      <c r="B1204" s="42" t="str">
        <f>IFERROR(__xludf.DUMMYFUNCTION("""COMPUTED_VALUE"""),"Spell")</f>
        <v>Spell</v>
      </c>
      <c r="C1204" s="42" t="str">
        <f>IFERROR(__xludf.DUMMYFUNCTION("""COMPUTED_VALUE"""),"Rerudo")</f>
        <v>Rerudo</v>
      </c>
      <c r="D1204" s="42" t="str">
        <f>IFERROR(__xludf.DUMMYFUNCTION("""COMPUTED_VALUE"""),"Wonrei")</f>
        <v>Wonrei</v>
      </c>
      <c r="E1204" s="42">
        <f>IFERROR(__xludf.DUMMYFUNCTION("""COMPUTED_VALUE"""),2.0)</f>
        <v>2</v>
      </c>
      <c r="F1204" s="42" t="str">
        <f>IFERROR(__xludf.DUMMYFUNCTION("""COMPUTED_VALUE"""),"D")</f>
        <v>D</v>
      </c>
      <c r="G1204" s="42" t="str">
        <f>IFERROR(__xludf.DUMMYFUNCTION("""COMPUTED_VALUE"""),"None")</f>
        <v>None</v>
      </c>
      <c r="H1204" s="42" t="str">
        <f>IFERROR(__xludf.DUMMYFUNCTION("""COMPUTED_VALUE"""),"-")</f>
        <v>-</v>
      </c>
      <c r="I1204" s="43" t="str">
        <f>IFERROR(__xludf.DUMMYFUNCTION("""COMPUTED_VALUE"""),"Regardless of their Power, your Wonrei MAMODO card does not receive Damage or Injury when it SACRIFICES or PROTECTS your Spell Book from the Damage of your opponent's Attack.")</f>
        <v>Regardless of their Power, your Wonrei MAMODO card does not receive Damage or Injury when it SACRIFICES or PROTECTS your Spell Book from the Damage of your opponent's Attack.</v>
      </c>
      <c r="J1204" s="42" t="str">
        <f>IFERROR(__xludf.DUMMYFUNCTION("""COMPUTED_VALUE"""),"Special")</f>
        <v>Special</v>
      </c>
      <c r="K1204" s="42" t="str">
        <f>IFERROR(__xludf.DUMMYFUNCTION("""COMPUTED_VALUE"""),"-")</f>
        <v>-</v>
      </c>
      <c r="L1204" s="42" t="str">
        <f>IFERROR(__xludf.DUMMYFUNCTION("""COMPUTED_VALUE"""),"Supreme Power of the Golden Spell, Series 2, Level 3")</f>
        <v>Supreme Power of the Golden Spell, Series 2, Level 3</v>
      </c>
      <c r="M1204" s="42" t="str">
        <f>IFERROR(__xludf.DUMMYFUNCTION("""COMPUTED_VALUE"""),"[U]")</f>
        <v>[U]</v>
      </c>
      <c r="N1204" s="42" t="str">
        <f>IFERROR(__xludf.DUMMYFUNCTION("""COMPUTED_VALUE"""),"Double palms that capture the wind!")</f>
        <v>Double palms that capture the wind!</v>
      </c>
      <c r="O1204" s="42"/>
      <c r="P1204" s="42"/>
      <c r="Q1204" s="42"/>
      <c r="R1204" s="42"/>
      <c r="S1204" s="42"/>
      <c r="T1204" s="42"/>
      <c r="U1204" s="42"/>
      <c r="V1204" s="42"/>
      <c r="W1204" s="42"/>
      <c r="X1204" s="42"/>
      <c r="Y1204" s="42"/>
      <c r="Z1204" s="42"/>
    </row>
    <row r="1205">
      <c r="A1205" s="41" t="str">
        <f>IFERROR(__xludf.DUMMYFUNCTION("""COMPUTED_VALUE"""),"S-080")</f>
        <v>S-080</v>
      </c>
      <c r="B1205" s="42" t="str">
        <f>IFERROR(__xludf.DUMMYFUNCTION("""COMPUTED_VALUE"""),"Spell")</f>
        <v>Spell</v>
      </c>
      <c r="C1205" s="42" t="str">
        <f>IFERROR(__xludf.DUMMYFUNCTION("""COMPUTED_VALUE"""),"Garuk")</f>
        <v>Garuk</v>
      </c>
      <c r="D1205" s="42" t="str">
        <f>IFERROR(__xludf.DUMMYFUNCTION("""COMPUTED_VALUE"""),"Zabas")</f>
        <v>Zabas</v>
      </c>
      <c r="E1205" s="42">
        <f>IFERROR(__xludf.DUMMYFUNCTION("""COMPUTED_VALUE"""),2.0)</f>
        <v>2</v>
      </c>
      <c r="F1205" s="42" t="str">
        <f>IFERROR(__xludf.DUMMYFUNCTION("""COMPUTED_VALUE"""),"A")</f>
        <v>A</v>
      </c>
      <c r="G1205" s="42" t="str">
        <f>IFERROR(__xludf.DUMMYFUNCTION("""COMPUTED_VALUE"""),"None")</f>
        <v>None</v>
      </c>
      <c r="H1205" s="42" t="str">
        <f>IFERROR(__xludf.DUMMYFUNCTION("""COMPUTED_VALUE"""),"Wind")</f>
        <v>Wind</v>
      </c>
      <c r="I1205" s="43" t="str">
        <f>IFERROR(__xludf.DUMMYFUNCTION("""COMPUTED_VALUE"""),"Damage your opponent's Spell Book when you win the Battle as an Attacker.")</f>
        <v>Damage your opponent's Spell Book when you win the Battle as an Attacker.</v>
      </c>
      <c r="J1205" s="42" t="str">
        <f>IFERROR(__xludf.DUMMYFUNCTION("""COMPUTED_VALUE"""),"+3000")</f>
        <v>+3000</v>
      </c>
      <c r="K1205" s="42">
        <f>IFERROR(__xludf.DUMMYFUNCTION("""COMPUTED_VALUE"""),2.0)</f>
        <v>2</v>
      </c>
      <c r="L1205" s="42" t="str">
        <f>IFERROR(__xludf.DUMMYFUNCTION("""COMPUTED_VALUE"""),"Supreme Power of the Golden Spell, Series 2, Level 3")</f>
        <v>Supreme Power of the Golden Spell, Series 2, Level 3</v>
      </c>
      <c r="M1205" s="42" t="str">
        <f>IFERROR(__xludf.DUMMYFUNCTION("""COMPUTED_VALUE"""),"[C]")</f>
        <v>[C]</v>
      </c>
      <c r="N1205" s="42" t="str">
        <f>IFERROR(__xludf.DUMMYFUNCTION("""COMPUTED_VALUE"""),"Wings of Armor protect the body, then rush at opponent.")</f>
        <v>Wings of Armor protect the body, then rush at opponent.</v>
      </c>
      <c r="O1205" s="42"/>
      <c r="P1205" s="42"/>
      <c r="Q1205" s="42"/>
      <c r="R1205" s="42"/>
      <c r="S1205" s="42"/>
      <c r="T1205" s="42"/>
      <c r="U1205" s="42"/>
      <c r="V1205" s="42"/>
      <c r="W1205" s="42"/>
      <c r="X1205" s="42"/>
      <c r="Y1205" s="42"/>
      <c r="Z1205" s="42"/>
    </row>
    <row r="1206">
      <c r="A1206" s="41" t="str">
        <f>IFERROR(__xludf.DUMMYFUNCTION("""COMPUTED_VALUE"""),"S-081")</f>
        <v>S-081</v>
      </c>
      <c r="B1206" s="42" t="str">
        <f>IFERROR(__xludf.DUMMYFUNCTION("""COMPUTED_VALUE"""),"Spell")</f>
        <v>Spell</v>
      </c>
      <c r="C1206" s="42" t="str">
        <f>IFERROR(__xludf.DUMMYFUNCTION("""COMPUTED_VALUE"""),"Oru Wigar")</f>
        <v>Oru Wigar</v>
      </c>
      <c r="D1206" s="42" t="str">
        <f>IFERROR(__xludf.DUMMYFUNCTION("""COMPUTED_VALUE"""),"Zabas")</f>
        <v>Zabas</v>
      </c>
      <c r="E1206" s="42">
        <f>IFERROR(__xludf.DUMMYFUNCTION("""COMPUTED_VALUE"""),4.0)</f>
        <v>4</v>
      </c>
      <c r="F1206" s="42" t="str">
        <f>IFERROR(__xludf.DUMMYFUNCTION("""COMPUTED_VALUE"""),"AD")</f>
        <v>AD</v>
      </c>
      <c r="G1206" s="42" t="str">
        <f>IFERROR(__xludf.DUMMYFUNCTION("""COMPUTED_VALUE"""),"None")</f>
        <v>None</v>
      </c>
      <c r="H1206" s="42" t="str">
        <f>IFERROR(__xludf.DUMMYFUNCTION("""COMPUTED_VALUE"""),"Wind")</f>
        <v>Wind</v>
      </c>
      <c r="I1206" s="43" t="str">
        <f>IFERROR(__xludf.DUMMYFUNCTION("""COMPUTED_VALUE"""),"Damage your opponent's Spell Book when you win the Battle as an Attacker. Flip a coin; if it's heads, your opponent can neither SACRIFICE nor PROTECT their Spell Book from this SPELL card's Damage.")</f>
        <v>Damage your opponent's Spell Book when you win the Battle as an Attacker. Flip a coin; if it's heads, your opponent can neither SACRIFICE nor PROTECT their Spell Book from this SPELL card's Damage.</v>
      </c>
      <c r="J1206" s="42" t="str">
        <f>IFERROR(__xludf.DUMMYFUNCTION("""COMPUTED_VALUE"""),"+4000")</f>
        <v>+4000</v>
      </c>
      <c r="K1206" s="42">
        <f>IFERROR(__xludf.DUMMYFUNCTION("""COMPUTED_VALUE"""),2.0)</f>
        <v>2</v>
      </c>
      <c r="L1206" s="42" t="str">
        <f>IFERROR(__xludf.DUMMYFUNCTION("""COMPUTED_VALUE"""),"Supreme Power of the Golden Spell, Series 2, Level 3")</f>
        <v>Supreme Power of the Golden Spell, Series 2, Level 3</v>
      </c>
      <c r="M1206" s="42" t="str">
        <f>IFERROR(__xludf.DUMMYFUNCTION("""COMPUTED_VALUE"""),"[R]")</f>
        <v>[R]</v>
      </c>
      <c r="N1206" s="42" t="str">
        <f>IFERROR(__xludf.DUMMYFUNCTION("""COMPUTED_VALUE"""),"A gust of wind that can be controlled.")</f>
        <v>A gust of wind that can be controlled.</v>
      </c>
      <c r="O1206" s="42"/>
      <c r="P1206" s="42"/>
      <c r="Q1206" s="42"/>
      <c r="R1206" s="42"/>
      <c r="S1206" s="42"/>
      <c r="T1206" s="42"/>
      <c r="U1206" s="42"/>
      <c r="V1206" s="42"/>
      <c r="W1206" s="42"/>
      <c r="X1206" s="42"/>
      <c r="Y1206" s="42"/>
      <c r="Z1206" s="42"/>
    </row>
    <row r="1207">
      <c r="A1207" s="41" t="str">
        <f>IFERROR(__xludf.DUMMYFUNCTION("""COMPUTED_VALUE"""),"S-082")</f>
        <v>S-082</v>
      </c>
      <c r="B1207" s="42" t="str">
        <f>IFERROR(__xludf.DUMMYFUNCTION("""COMPUTED_VALUE"""),"Spell")</f>
        <v>Spell</v>
      </c>
      <c r="C1207" s="42" t="str">
        <f>IFERROR(__xludf.DUMMYFUNCTION("""COMPUTED_VALUE"""),"Fureido")</f>
        <v>Fureido</v>
      </c>
      <c r="D1207" s="42" t="str">
        <f>IFERROR(__xludf.DUMMYFUNCTION("""COMPUTED_VALUE"""),"Bago")</f>
        <v>Bago</v>
      </c>
      <c r="E1207" s="42">
        <f>IFERROR(__xludf.DUMMYFUNCTION("""COMPUTED_VALUE"""),1.0)</f>
        <v>1</v>
      </c>
      <c r="F1207" s="42" t="str">
        <f>IFERROR(__xludf.DUMMYFUNCTION("""COMPUTED_VALUE"""),"AD")</f>
        <v>AD</v>
      </c>
      <c r="G1207" s="42" t="str">
        <f>IFERROR(__xludf.DUMMYFUNCTION("""COMPUTED_VALUE"""),"None")</f>
        <v>None</v>
      </c>
      <c r="H1207" s="42" t="str">
        <f>IFERROR(__xludf.DUMMYFUNCTION("""COMPUTED_VALUE"""),"Fire")</f>
        <v>Fire</v>
      </c>
      <c r="I1207" s="43" t="str">
        <f>IFERROR(__xludf.DUMMYFUNCTION("""COMPUTED_VALUE"""),"Damage your opponent's Spell Book when you win the Battle as an Attacker. Flip a coin; if it's heads, increase the Damage of this SPELL card by 1.")</f>
        <v>Damage your opponent's Spell Book when you win the Battle as an Attacker. Flip a coin; if it's heads, increase the Damage of this SPELL card by 1.</v>
      </c>
      <c r="J1207" s="42" t="str">
        <f>IFERROR(__xludf.DUMMYFUNCTION("""COMPUTED_VALUE"""),"+2000")</f>
        <v>+2000</v>
      </c>
      <c r="K1207" s="42">
        <f>IFERROR(__xludf.DUMMYFUNCTION("""COMPUTED_VALUE"""),1.0)</f>
        <v>1</v>
      </c>
      <c r="L1207" s="42" t="str">
        <f>IFERROR(__xludf.DUMMYFUNCTION("""COMPUTED_VALUE"""),"Supreme Power of the Golden Spell, Series 2, Level 3")</f>
        <v>Supreme Power of the Golden Spell, Series 2, Level 3</v>
      </c>
      <c r="M1207" s="42" t="str">
        <f>IFERROR(__xludf.DUMMYFUNCTION("""COMPUTED_VALUE"""),"[C]")</f>
        <v>[C]</v>
      </c>
      <c r="N1207" s="42" t="str">
        <f>IFERROR(__xludf.DUMMYFUNCTION("""COMPUTED_VALUE"""),"A breath of intense flame. Even if it is fired onto the ground, it continues burning.")</f>
        <v>A breath of intense flame. Even if it is fired onto the ground, it continues burning.</v>
      </c>
      <c r="O1207" s="42"/>
      <c r="P1207" s="42"/>
      <c r="Q1207" s="42"/>
      <c r="R1207" s="42"/>
      <c r="S1207" s="42"/>
      <c r="T1207" s="42"/>
      <c r="U1207" s="42"/>
      <c r="V1207" s="42"/>
      <c r="W1207" s="42"/>
      <c r="X1207" s="42"/>
      <c r="Y1207" s="42"/>
      <c r="Z1207" s="42"/>
    </row>
    <row r="1208">
      <c r="A1208" s="41" t="str">
        <f>IFERROR(__xludf.DUMMYFUNCTION("""COMPUTED_VALUE"""),"S-083")</f>
        <v>S-083</v>
      </c>
      <c r="B1208" s="42" t="str">
        <f>IFERROR(__xludf.DUMMYFUNCTION("""COMPUTED_VALUE"""),"Spell")</f>
        <v>Spell</v>
      </c>
      <c r="C1208" s="42" t="str">
        <f>IFERROR(__xludf.DUMMYFUNCTION("""COMPUTED_VALUE"""),"Rin Fureido")</f>
        <v>Rin Fureido</v>
      </c>
      <c r="D1208" s="42" t="str">
        <f>IFERROR(__xludf.DUMMYFUNCTION("""COMPUTED_VALUE"""),"Bago")</f>
        <v>Bago</v>
      </c>
      <c r="E1208" s="42">
        <f>IFERROR(__xludf.DUMMYFUNCTION("""COMPUTED_VALUE"""),3.0)</f>
        <v>3</v>
      </c>
      <c r="F1208" s="42" t="str">
        <f>IFERROR(__xludf.DUMMYFUNCTION("""COMPUTED_VALUE"""),"AD")</f>
        <v>AD</v>
      </c>
      <c r="G1208" s="42" t="str">
        <f>IFERROR(__xludf.DUMMYFUNCTION("""COMPUTED_VALUE"""),"None")</f>
        <v>None</v>
      </c>
      <c r="H1208" s="42" t="str">
        <f>IFERROR(__xludf.DUMMYFUNCTION("""COMPUTED_VALUE"""),"Fire")</f>
        <v>Fire</v>
      </c>
      <c r="I1208" s="43" t="str">
        <f>IFERROR(__xludf.DUMMYFUNCTION("""COMPUTED_VALUE"""),"Damage your opponent's Spell Book when you win the Battle as an Attacker. Flip a coin; if it's heads, increase the Damage of this SPELL card by 2.")</f>
        <v>Damage your opponent's Spell Book when you win the Battle as an Attacker. Flip a coin; if it's heads, increase the Damage of this SPELL card by 2.</v>
      </c>
      <c r="J1208" s="42" t="str">
        <f>IFERROR(__xludf.DUMMYFUNCTION("""COMPUTED_VALUE"""),"+3000")</f>
        <v>+3000</v>
      </c>
      <c r="K1208" s="42">
        <f>IFERROR(__xludf.DUMMYFUNCTION("""COMPUTED_VALUE"""),1.0)</f>
        <v>1</v>
      </c>
      <c r="L1208" s="42" t="str">
        <f>IFERROR(__xludf.DUMMYFUNCTION("""COMPUTED_VALUE"""),"Supreme Power of the Golden Spell, Series 2, Level 3")</f>
        <v>Supreme Power of the Golden Spell, Series 2, Level 3</v>
      </c>
      <c r="M1208" s="42" t="str">
        <f>IFERROR(__xludf.DUMMYFUNCTION("""COMPUTED_VALUE"""),"[C]")</f>
        <v>[C]</v>
      </c>
      <c r="N1208" s="42" t="str">
        <f>IFERROR(__xludf.DUMMYFUNCTION("""COMPUTED_VALUE"""),"Rings of fire that are fired one after another.")</f>
        <v>Rings of fire that are fired one after another.</v>
      </c>
      <c r="O1208" s="42"/>
      <c r="P1208" s="42"/>
      <c r="Q1208" s="42"/>
      <c r="R1208" s="42"/>
      <c r="S1208" s="42"/>
      <c r="T1208" s="42"/>
      <c r="U1208" s="42"/>
      <c r="V1208" s="42"/>
      <c r="W1208" s="42"/>
      <c r="X1208" s="42"/>
      <c r="Y1208" s="42"/>
      <c r="Z1208" s="42"/>
    </row>
    <row r="1209">
      <c r="A1209" s="41" t="str">
        <f>IFERROR(__xludf.DUMMYFUNCTION("""COMPUTED_VALUE"""),"S-084")</f>
        <v>S-084</v>
      </c>
      <c r="B1209" s="42" t="str">
        <f>IFERROR(__xludf.DUMMYFUNCTION("""COMPUTED_VALUE"""),"Spell")</f>
        <v>Spell</v>
      </c>
      <c r="C1209" s="42" t="str">
        <f>IFERROR(__xludf.DUMMYFUNCTION("""COMPUTED_VALUE"""),"Bareido")</f>
        <v>Bareido</v>
      </c>
      <c r="D1209" s="42" t="str">
        <f>IFERROR(__xludf.DUMMYFUNCTION("""COMPUTED_VALUE"""),"Bago")</f>
        <v>Bago</v>
      </c>
      <c r="E1209" s="42">
        <f>IFERROR(__xludf.DUMMYFUNCTION("""COMPUTED_VALUE"""),3.0)</f>
        <v>3</v>
      </c>
      <c r="F1209" s="42" t="str">
        <f>IFERROR(__xludf.DUMMYFUNCTION("""COMPUTED_VALUE"""),"A")</f>
        <v>A</v>
      </c>
      <c r="G1209" s="42" t="str">
        <f>IFERROR(__xludf.DUMMYFUNCTION("""COMPUTED_VALUE"""),"None")</f>
        <v>None</v>
      </c>
      <c r="H1209" s="42" t="str">
        <f>IFERROR(__xludf.DUMMYFUNCTION("""COMPUTED_VALUE"""),"-")</f>
        <v>-</v>
      </c>
      <c r="I1209" s="43" t="str">
        <f>IFERROR(__xludf.DUMMYFUNCTION("""COMPUTED_VALUE"""),"Damage your opponent's Spell Book when you win the Battle as an Attacker. Flip a coin; if it's heads, this SPELL card cannot be Defended.")</f>
        <v>Damage your opponent's Spell Book when you win the Battle as an Attacker. Flip a coin; if it's heads, this SPELL card cannot be Defended.</v>
      </c>
      <c r="J1209" s="42" t="str">
        <f>IFERROR(__xludf.DUMMYFUNCTION("""COMPUTED_VALUE"""),"+3000")</f>
        <v>+3000</v>
      </c>
      <c r="K1209" s="42">
        <f>IFERROR(__xludf.DUMMYFUNCTION("""COMPUTED_VALUE"""),2.0)</f>
        <v>2</v>
      </c>
      <c r="L1209" s="42" t="str">
        <f>IFERROR(__xludf.DUMMYFUNCTION("""COMPUTED_VALUE"""),"Supreme Power of the Golden Spell, Series 2, Level 3")</f>
        <v>Supreme Power of the Golden Spell, Series 2, Level 3</v>
      </c>
      <c r="M1209" s="42" t="str">
        <f>IFERROR(__xludf.DUMMYFUNCTION("""COMPUTED_VALUE"""),"[C]")</f>
        <v>[C]</v>
      </c>
      <c r="N1209" s="42" t="str">
        <f>IFERROR(__xludf.DUMMYFUNCTION("""COMPUTED_VALUE"""),"Shoots innumerable fangs toward opponent.")</f>
        <v>Shoots innumerable fangs toward opponent.</v>
      </c>
      <c r="O1209" s="42"/>
      <c r="P1209" s="42"/>
      <c r="Q1209" s="42"/>
      <c r="R1209" s="42"/>
      <c r="S1209" s="42"/>
      <c r="T1209" s="42"/>
      <c r="U1209" s="42"/>
      <c r="V1209" s="42"/>
      <c r="W1209" s="42"/>
      <c r="X1209" s="42"/>
      <c r="Y1209" s="42"/>
      <c r="Z1209" s="42"/>
    </row>
    <row r="1210">
      <c r="A1210" s="41" t="str">
        <f>IFERROR(__xludf.DUMMYFUNCTION("""COMPUTED_VALUE"""),"S-085")</f>
        <v>S-085</v>
      </c>
      <c r="B1210" s="42" t="str">
        <f>IFERROR(__xludf.DUMMYFUNCTION("""COMPUTED_VALUE"""),"Spell")</f>
        <v>Spell</v>
      </c>
      <c r="C1210" s="42" t="str">
        <f>IFERROR(__xludf.DUMMYFUNCTION("""COMPUTED_VALUE"""),"Gigano Bireido")</f>
        <v>Gigano Bireido</v>
      </c>
      <c r="D1210" s="42" t="str">
        <f>IFERROR(__xludf.DUMMYFUNCTION("""COMPUTED_VALUE"""),"Bago")</f>
        <v>Bago</v>
      </c>
      <c r="E1210" s="42">
        <f>IFERROR(__xludf.DUMMYFUNCTION("""COMPUTED_VALUE"""),5.0)</f>
        <v>5</v>
      </c>
      <c r="F1210" s="42" t="str">
        <f>IFERROR(__xludf.DUMMYFUNCTION("""COMPUTED_VALUE"""),"AD")</f>
        <v>AD</v>
      </c>
      <c r="G1210" s="42" t="str">
        <f>IFERROR(__xludf.DUMMYFUNCTION("""COMPUTED_VALUE"""),"Intermediate")</f>
        <v>Intermediate</v>
      </c>
      <c r="H1210" s="42" t="str">
        <f>IFERROR(__xludf.DUMMYFUNCTION("""COMPUTED_VALUE"""),"-")</f>
        <v>-</v>
      </c>
      <c r="I1210" s="43" t="str">
        <f>IFERROR(__xludf.DUMMYFUNCTION("""COMPUTED_VALUE"""),"Damage your opponent's Spell Book when you win the Battle as an Attacker. ")</f>
        <v>Damage your opponent's Spell Book when you win the Battle as an Attacker. </v>
      </c>
      <c r="J1210" s="42" t="str">
        <f>IFERROR(__xludf.DUMMYFUNCTION("""COMPUTED_VALUE"""),"+4000")</f>
        <v>+4000</v>
      </c>
      <c r="K1210" s="42">
        <f>IFERROR(__xludf.DUMMYFUNCTION("""COMPUTED_VALUE"""),3.0)</f>
        <v>3</v>
      </c>
      <c r="L1210" s="42" t="str">
        <f>IFERROR(__xludf.DUMMYFUNCTION("""COMPUTED_VALUE"""),"Supreme Power of the Golden Spell, Series 2, Level 3")</f>
        <v>Supreme Power of the Golden Spell, Series 2, Level 3</v>
      </c>
      <c r="M1210" s="42" t="str">
        <f>IFERROR(__xludf.DUMMYFUNCTION("""COMPUTED_VALUE"""),"[R]")</f>
        <v>[R]</v>
      </c>
      <c r="N1210" s="42" t="str">
        <f>IFERROR(__xludf.DUMMYFUNCTION("""COMPUTED_VALUE"""),"It fires a beam of intense heat.")</f>
        <v>It fires a beam of intense heat.</v>
      </c>
      <c r="O1210" s="42"/>
      <c r="P1210" s="42"/>
      <c r="Q1210" s="42"/>
      <c r="R1210" s="42"/>
      <c r="S1210" s="42"/>
      <c r="T1210" s="42"/>
      <c r="U1210" s="42"/>
      <c r="V1210" s="42"/>
      <c r="W1210" s="42"/>
      <c r="X1210" s="42"/>
      <c r="Y1210" s="42"/>
      <c r="Z1210" s="42"/>
    </row>
    <row r="1211">
      <c r="A1211" s="41" t="str">
        <f>IFERROR(__xludf.DUMMYFUNCTION("""COMPUTED_VALUE"""),"S-086")</f>
        <v>S-086</v>
      </c>
      <c r="B1211" s="42" t="str">
        <f>IFERROR(__xludf.DUMMYFUNCTION("""COMPUTED_VALUE"""),"Spell")</f>
        <v>Spell</v>
      </c>
      <c r="C1211" s="42" t="str">
        <f>IFERROR(__xludf.DUMMYFUNCTION("""COMPUTED_VALUE"""),"Shudoruk")</f>
        <v>Shudoruk</v>
      </c>
      <c r="D1211" s="42" t="str">
        <f>IFERROR(__xludf.DUMMYFUNCTION("""COMPUTED_VALUE"""),"Ponygon")</f>
        <v>Ponygon</v>
      </c>
      <c r="E1211" s="42">
        <f>IFERROR(__xludf.DUMMYFUNCTION("""COMPUTED_VALUE"""),1.0)</f>
        <v>1</v>
      </c>
      <c r="F1211" s="42" t="str">
        <f>IFERROR(__xludf.DUMMYFUNCTION("""COMPUTED_VALUE"""),"A")</f>
        <v>A</v>
      </c>
      <c r="G1211" s="42" t="str">
        <f>IFERROR(__xludf.DUMMYFUNCTION("""COMPUTED_VALUE"""),"None")</f>
        <v>None</v>
      </c>
      <c r="H1211" s="42" t="str">
        <f>IFERROR(__xludf.DUMMYFUNCTION("""COMPUTED_VALUE"""),"-")</f>
        <v>-</v>
      </c>
      <c r="I1211" s="43" t="str">
        <f>IFERROR(__xludf.DUMMYFUNCTION("""COMPUTED_VALUE"""),"Select 1 Ponygon (Shudoruk Form) MAMODO card from any page of your Spell Book and place it on regular a Ponygon MAMODO card.")</f>
        <v>Select 1 Ponygon (Shudoruk Form) MAMODO card from any page of your Spell Book and place it on regular a Ponygon MAMODO card.</v>
      </c>
      <c r="J1211" s="42" t="str">
        <f>IFERROR(__xludf.DUMMYFUNCTION("""COMPUTED_VALUE"""),"Special")</f>
        <v>Special</v>
      </c>
      <c r="K1211" s="42" t="str">
        <f>IFERROR(__xludf.DUMMYFUNCTION("""COMPUTED_VALUE"""),"-")</f>
        <v>-</v>
      </c>
      <c r="L1211" s="42" t="str">
        <f>IFERROR(__xludf.DUMMYFUNCTION("""COMPUTED_VALUE"""),"Dawn of the Ancients, Series 4, Level 3, The Best Booster 1, File 1: Zatch Bell &amp; Ponygon")</f>
        <v>Dawn of the Ancients, Series 4, Level 3, The Best Booster 1, File 1: Zatch Bell &amp; Ponygon</v>
      </c>
      <c r="M1211" s="42" t="str">
        <f>IFERROR(__xludf.DUMMYFUNCTION("""COMPUTED_VALUE"""),"[U]")</f>
        <v>[U]</v>
      </c>
      <c r="N1211" s="42" t="str">
        <f>IFERROR(__xludf.DUMMYFUNCTION("""COMPUTED_VALUE"""),"Ponygon's 1st spell. Makes the user quicker. Transforms the body to enable it to move faster.")</f>
        <v>Ponygon's 1st spell. Makes the user quicker. Transforms the body to enable it to move faster.</v>
      </c>
      <c r="O1211" s="42"/>
      <c r="P1211" s="42"/>
      <c r="Q1211" s="42"/>
      <c r="R1211" s="42"/>
      <c r="S1211" s="42"/>
      <c r="T1211" s="42"/>
      <c r="U1211" s="42"/>
      <c r="V1211" s="42"/>
      <c r="W1211" s="42"/>
      <c r="X1211" s="42"/>
      <c r="Y1211" s="42"/>
      <c r="Z1211" s="42"/>
    </row>
    <row r="1212">
      <c r="A1212" s="41" t="str">
        <f>IFERROR(__xludf.DUMMYFUNCTION("""COMPUTED_VALUE"""),"S-087")</f>
        <v>S-087</v>
      </c>
      <c r="B1212" s="42" t="str">
        <f>IFERROR(__xludf.DUMMYFUNCTION("""COMPUTED_VALUE"""),"Spell")</f>
        <v>Spell</v>
      </c>
      <c r="C1212" s="42" t="str">
        <f>IFERROR(__xludf.DUMMYFUNCTION("""COMPUTED_VALUE"""),"Go Shudoruk")</f>
        <v>Go Shudoruk</v>
      </c>
      <c r="D1212" s="42" t="str">
        <f>IFERROR(__xludf.DUMMYFUNCTION("""COMPUTED_VALUE"""),"Ponygon")</f>
        <v>Ponygon</v>
      </c>
      <c r="E1212" s="42">
        <f>IFERROR(__xludf.DUMMYFUNCTION("""COMPUTED_VALUE"""),2.0)</f>
        <v>2</v>
      </c>
      <c r="F1212" s="42" t="str">
        <f>IFERROR(__xludf.DUMMYFUNCTION("""COMPUTED_VALUE"""),"AD")</f>
        <v>AD</v>
      </c>
      <c r="G1212" s="42" t="str">
        <f>IFERROR(__xludf.DUMMYFUNCTION("""COMPUTED_VALUE"""),"None")</f>
        <v>None</v>
      </c>
      <c r="H1212" s="42" t="str">
        <f>IFERROR(__xludf.DUMMYFUNCTION("""COMPUTED_VALUE"""),"-")</f>
        <v>-</v>
      </c>
      <c r="I1212" s="43" t="str">
        <f>IFERROR(__xludf.DUMMYFUNCTION("""COMPUTED_VALUE"""),"Damage your opponent's Spell Book when you win the Battle as an Attacker. The Total Power of this SPELL card is 8000. When Defending, the Total Power of this SPELL card is 11000.")</f>
        <v>Damage your opponent's Spell Book when you win the Battle as an Attacker. The Total Power of this SPELL card is 8000. When Defending, the Total Power of this SPELL card is 11000.</v>
      </c>
      <c r="J1212" s="42">
        <f>IFERROR(__xludf.DUMMYFUNCTION("""COMPUTED_VALUE"""),8000.0)</f>
        <v>8000</v>
      </c>
      <c r="K1212" s="42">
        <f>IFERROR(__xludf.DUMMYFUNCTION("""COMPUTED_VALUE"""),2.0)</f>
        <v>2</v>
      </c>
      <c r="L1212" s="42" t="str">
        <f>IFERROR(__xludf.DUMMYFUNCTION("""COMPUTED_VALUE"""),"Dawn of the Ancients, Series 4, Level 3")</f>
        <v>Dawn of the Ancients, Series 4, Level 3</v>
      </c>
      <c r="M1212" s="42" t="str">
        <f>IFERROR(__xludf.DUMMYFUNCTION("""COMPUTED_VALUE"""),"[SR]")</f>
        <v>[SR]</v>
      </c>
      <c r="N1212" s="42" t="str">
        <f>IFERROR(__xludf.DUMMYFUNCTION("""COMPUTED_VALUE"""),"Ponygon's 2nd spell. Enables attacks with fierce horns. It attacks opponents with a sharp horn.")</f>
        <v>Ponygon's 2nd spell. Enables attacks with fierce horns. It attacks opponents with a sharp horn.</v>
      </c>
      <c r="O1212" s="42"/>
      <c r="P1212" s="42"/>
      <c r="Q1212" s="42"/>
      <c r="R1212" s="42"/>
      <c r="S1212" s="42"/>
      <c r="T1212" s="42"/>
      <c r="U1212" s="42"/>
      <c r="V1212" s="42"/>
      <c r="W1212" s="42"/>
      <c r="X1212" s="42"/>
      <c r="Y1212" s="42"/>
      <c r="Z1212" s="42"/>
    </row>
    <row r="1213">
      <c r="A1213" s="41" t="str">
        <f>IFERROR(__xludf.DUMMYFUNCTION("""COMPUTED_VALUE"""),"S-088")</f>
        <v>S-088</v>
      </c>
      <c r="B1213" s="42" t="str">
        <f>IFERROR(__xludf.DUMMYFUNCTION("""COMPUTED_VALUE"""),"Spell")</f>
        <v>Spell</v>
      </c>
      <c r="C1213" s="42" t="str">
        <f>IFERROR(__xludf.DUMMYFUNCTION("""COMPUTED_VALUE"""),"Strong WIll to Win")</f>
        <v>Strong WIll to Win</v>
      </c>
      <c r="D1213" s="42" t="str">
        <f>IFERROR(__xludf.DUMMYFUNCTION("""COMPUTED_VALUE"""),"Command: All")</f>
        <v>Command: All</v>
      </c>
      <c r="E1213" s="42">
        <f>IFERROR(__xludf.DUMMYFUNCTION("""COMPUTED_VALUE"""),0.0)</f>
        <v>0</v>
      </c>
      <c r="F1213" s="42" t="str">
        <f>IFERROR(__xludf.DUMMYFUNCTION("""COMPUTED_VALUE"""),"A")</f>
        <v>A</v>
      </c>
      <c r="G1213" s="42" t="str">
        <f>IFERROR(__xludf.DUMMYFUNCTION("""COMPUTED_VALUE"""),"None")</f>
        <v>None</v>
      </c>
      <c r="H1213" s="42" t="str">
        <f>IFERROR(__xludf.DUMMYFUNCTION("""COMPUTED_VALUE"""),"-")</f>
        <v>-</v>
      </c>
      <c r="I1213" s="43" t="str">
        <f>IFERROR(__xludf.DUMMYFUNCTION("""COMPUTED_VALUE"""),"Flip a coin twice; if you get heads twice, apply the following effect: [STANDBY] In the next Battle this turn, the MP cost of the SPELL card you play is considered to be 0.")</f>
        <v>Flip a coin twice; if you get heads twice, apply the following effect: [STANDBY] In the next Battle this turn, the MP cost of the SPELL card you play is considered to be 0.</v>
      </c>
      <c r="J1213" s="42" t="str">
        <f>IFERROR(__xludf.DUMMYFUNCTION("""COMPUTED_VALUE"""),"Special")</f>
        <v>Special</v>
      </c>
      <c r="K1213" s="42" t="str">
        <f>IFERROR(__xludf.DUMMYFUNCTION("""COMPUTED_VALUE"""),"-")</f>
        <v>-</v>
      </c>
      <c r="L1213" s="42" t="str">
        <f>IFERROR(__xludf.DUMMYFUNCTION("""COMPUTED_VALUE"""),"Dawn of the Ancients, Series 4, Level 3, The Best Booster 1")</f>
        <v>Dawn of the Ancients, Series 4, Level 3, The Best Booster 1</v>
      </c>
      <c r="M1213" s="42" t="str">
        <f>IFERROR(__xludf.DUMMYFUNCTION("""COMPUTED_VALUE"""),"[C]")</f>
        <v>[C]</v>
      </c>
      <c r="N1213" s="42" t="str">
        <f>IFERROR(__xludf.DUMMYFUNCTION("""COMPUTED_VALUE"""),"""We will win!""")</f>
        <v>"We will win!"</v>
      </c>
      <c r="O1213" s="42"/>
      <c r="P1213" s="42"/>
      <c r="Q1213" s="42"/>
      <c r="R1213" s="42"/>
      <c r="S1213" s="42"/>
      <c r="T1213" s="42"/>
      <c r="U1213" s="42"/>
      <c r="V1213" s="42"/>
      <c r="W1213" s="42"/>
      <c r="X1213" s="42"/>
      <c r="Y1213" s="42"/>
      <c r="Z1213" s="42"/>
    </row>
    <row r="1214">
      <c r="A1214" s="41" t="str">
        <f>IFERROR(__xludf.DUMMYFUNCTION("""COMPUTED_VALUE"""),"S-089e")</f>
        <v>S-089e</v>
      </c>
      <c r="B1214" s="42" t="str">
        <f>IFERROR(__xludf.DUMMYFUNCTION("""COMPUTED_VALUE"""),"Spell")</f>
        <v>Spell</v>
      </c>
      <c r="C1214" s="42" t="str">
        <f>IFERROR(__xludf.DUMMYFUNCTION("""COMPUTED_VALUE"""),"Combination!")</f>
        <v>Combination!</v>
      </c>
      <c r="D1214" s="42" t="str">
        <f>IFERROR(__xludf.DUMMYFUNCTION("""COMPUTED_VALUE"""),"Command: All")</f>
        <v>Command: All</v>
      </c>
      <c r="E1214" s="42">
        <f>IFERROR(__xludf.DUMMYFUNCTION("""COMPUTED_VALUE"""),0.0)</f>
        <v>0</v>
      </c>
      <c r="F1214" s="42" t="str">
        <f>IFERROR(__xludf.DUMMYFUNCTION("""COMPUTED_VALUE"""),"A")</f>
        <v>A</v>
      </c>
      <c r="G1214" s="42" t="str">
        <f>IFERROR(__xludf.DUMMYFUNCTION("""COMPUTED_VALUE"""),"None")</f>
        <v>None</v>
      </c>
      <c r="H1214" s="42" t="str">
        <f>IFERROR(__xludf.DUMMYFUNCTION("""COMPUTED_VALUE"""),"-")</f>
        <v>-</v>
      </c>
      <c r="I1214" s="43" t="str">
        <f>IFERROR(__xludf.DUMMYFUNCTION("""COMPUTED_VALUE"""),"Flip a coin; if it's heads, apply the following effect: [STANDBY] In the next Battle this turn, add the Power of 1 of your in-play MAMODO cards to the Total Power of the next SPELL card you play (except the MAMODO card the SPELL card is played for).")</f>
        <v>Flip a coin; if it's heads, apply the following effect: [STANDBY] In the next Battle this turn, add the Power of 1 of your in-play MAMODO cards to the Total Power of the next SPELL card you play (except the MAMODO card the SPELL card is played for).</v>
      </c>
      <c r="J1214" s="42" t="str">
        <f>IFERROR(__xludf.DUMMYFUNCTION("""COMPUTED_VALUE"""),"Special")</f>
        <v>Special</v>
      </c>
      <c r="K1214" s="42" t="str">
        <f>IFERROR(__xludf.DUMMYFUNCTION("""COMPUTED_VALUE"""),"-")</f>
        <v>-</v>
      </c>
      <c r="L1214" s="42" t="str">
        <f>IFERROR(__xludf.DUMMYFUNCTION("""COMPUTED_VALUE"""),"Supreme Power of the Golden Spell, Series 2, Level 3")</f>
        <v>Supreme Power of the Golden Spell, Series 2, Level 3</v>
      </c>
      <c r="M1214" s="42" t="str">
        <f>IFERROR(__xludf.DUMMYFUNCTION("""COMPUTED_VALUE"""),"[C]")</f>
        <v>[C]</v>
      </c>
      <c r="N1214" s="42" t="str">
        <f>IFERROR(__xludf.DUMMYFUNCTION("""COMPUTED_VALUE"""),"""Then we will use a combination as well!""")</f>
        <v>"Then we will use a combination as well!"</v>
      </c>
      <c r="O1214" s="42"/>
      <c r="P1214" s="42"/>
      <c r="Q1214" s="42"/>
      <c r="R1214" s="42"/>
      <c r="S1214" s="42"/>
      <c r="T1214" s="42"/>
      <c r="U1214" s="42"/>
      <c r="V1214" s="42"/>
      <c r="W1214" s="42"/>
      <c r="X1214" s="42"/>
      <c r="Y1214" s="42"/>
      <c r="Z1214" s="42"/>
    </row>
    <row r="1215">
      <c r="A1215" s="41" t="str">
        <f>IFERROR(__xludf.DUMMYFUNCTION("""COMPUTED_VALUE"""),"S-089j")</f>
        <v>S-089j</v>
      </c>
      <c r="B1215" s="42" t="str">
        <f>IFERROR(__xludf.DUMMYFUNCTION("""COMPUTED_VALUE"""),"Spell")</f>
        <v>Spell</v>
      </c>
      <c r="C1215" s="42" t="str">
        <f>IFERROR(__xludf.DUMMYFUNCTION("""COMPUTED_VALUE"""),"Combination!")</f>
        <v>Combination!</v>
      </c>
      <c r="D1215" s="42" t="str">
        <f>IFERROR(__xludf.DUMMYFUNCTION("""COMPUTED_VALUE"""),"Command: All")</f>
        <v>Command: All</v>
      </c>
      <c r="E1215" s="42">
        <f>IFERROR(__xludf.DUMMYFUNCTION("""COMPUTED_VALUE"""),0.0)</f>
        <v>0</v>
      </c>
      <c r="F1215" s="42" t="str">
        <f>IFERROR(__xludf.DUMMYFUNCTION("""COMPUTED_VALUE"""),"A")</f>
        <v>A</v>
      </c>
      <c r="G1215" s="42" t="str">
        <f>IFERROR(__xludf.DUMMYFUNCTION("""COMPUTED_VALUE"""),"None")</f>
        <v>None</v>
      </c>
      <c r="H1215" s="42" t="str">
        <f>IFERROR(__xludf.DUMMYFUNCTION("""COMPUTED_VALUE"""),"-")</f>
        <v>-</v>
      </c>
      <c r="I1215" s="43" t="str">
        <f>IFERROR(__xludf.DUMMYFUNCTION("""COMPUTED_VALUE"""),"Flip a coin; if it's heads, apply the following effect: [STANDBY] In the next Battle this turn, add the Power of 1 of your in-play MAMODO cards to the Total Power of your Attack (except the MAMODO card that is Attacking).")</f>
        <v>Flip a coin; if it's heads, apply the following effect: [STANDBY] In the next Battle this turn, add the Power of 1 of your in-play MAMODO cards to the Total Power of your Attack (except the MAMODO card that is Attacking).</v>
      </c>
      <c r="J1215" s="42" t="str">
        <f>IFERROR(__xludf.DUMMYFUNCTION("""COMPUTED_VALUE"""),"Special")</f>
        <v>Special</v>
      </c>
      <c r="K1215" s="42" t="str">
        <f>IFERROR(__xludf.DUMMYFUNCTION("""COMPUTED_VALUE"""),"-")</f>
        <v>-</v>
      </c>
      <c r="L1215" s="42" t="str">
        <f>IFERROR(__xludf.DUMMYFUNCTION("""COMPUTED_VALUE"""),"Supreme Power of the Golden Spell, Series 2, Level 3")</f>
        <v>Supreme Power of the Golden Spell, Series 2, Level 3</v>
      </c>
      <c r="M1215" s="42" t="str">
        <f>IFERROR(__xludf.DUMMYFUNCTION("""COMPUTED_VALUE"""),"[C]")</f>
        <v>[C]</v>
      </c>
      <c r="N1215" s="42" t="str">
        <f>IFERROR(__xludf.DUMMYFUNCTION("""COMPUTED_VALUE"""),"""Then we will use a combination as well!""")</f>
        <v>"Then we will use a combination as well!"</v>
      </c>
      <c r="O1215" s="42"/>
      <c r="P1215" s="42"/>
      <c r="Q1215" s="42"/>
      <c r="R1215" s="42"/>
      <c r="S1215" s="42"/>
      <c r="T1215" s="42"/>
      <c r="U1215" s="42"/>
      <c r="V1215" s="42"/>
      <c r="W1215" s="42"/>
      <c r="X1215" s="42"/>
      <c r="Y1215" s="42"/>
      <c r="Z1215" s="42"/>
    </row>
    <row r="1216">
      <c r="A1216" s="41" t="str">
        <f>IFERROR(__xludf.DUMMYFUNCTION("""COMPUTED_VALUE"""),"S-090")</f>
        <v>S-090</v>
      </c>
      <c r="B1216" s="42" t="str">
        <f>IFERROR(__xludf.DUMMYFUNCTION("""COMPUTED_VALUE"""),"Spell")</f>
        <v>Spell</v>
      </c>
      <c r="C1216" s="42" t="str">
        <f>IFERROR(__xludf.DUMMYFUNCTION("""COMPUTED_VALUE"""),"Are You OK?")</f>
        <v>Are You OK?</v>
      </c>
      <c r="D1216" s="42" t="str">
        <f>IFERROR(__xludf.DUMMYFUNCTION("""COMPUTED_VALUE"""),"Command: All")</f>
        <v>Command: All</v>
      </c>
      <c r="E1216" s="42">
        <f>IFERROR(__xludf.DUMMYFUNCTION("""COMPUTED_VALUE"""),0.0)</f>
        <v>0</v>
      </c>
      <c r="F1216" s="42" t="str">
        <f>IFERROR(__xludf.DUMMYFUNCTION("""COMPUTED_VALUE"""),"A")</f>
        <v>A</v>
      </c>
      <c r="G1216" s="42" t="str">
        <f>IFERROR(__xludf.DUMMYFUNCTION("""COMPUTED_VALUE"""),"None")</f>
        <v>None</v>
      </c>
      <c r="H1216" s="42" t="str">
        <f>IFERROR(__xludf.DUMMYFUNCTION("""COMPUTED_VALUE"""),"-")</f>
        <v>-</v>
      </c>
      <c r="I1216" s="43" t="str">
        <f>IFERROR(__xludf.DUMMYFUNCTION("""COMPUTED_VALUE"""),"Flip a coin; if it's heads, move 1 PARTNER card from your Discard Pile into play (if you have the appropriate MAMODO card for it). Send the selected PARTNER card to the Discard Pile at the end of this turn.")</f>
        <v>Flip a coin; if it's heads, move 1 PARTNER card from your Discard Pile into play (if you have the appropriate MAMODO card for it). Send the selected PARTNER card to the Discard Pile at the end of this turn.</v>
      </c>
      <c r="J1216" s="42" t="str">
        <f>IFERROR(__xludf.DUMMYFUNCTION("""COMPUTED_VALUE"""),"Special")</f>
        <v>Special</v>
      </c>
      <c r="K1216" s="42" t="str">
        <f>IFERROR(__xludf.DUMMYFUNCTION("""COMPUTED_VALUE"""),"-")</f>
        <v>-</v>
      </c>
      <c r="L1216" s="42" t="str">
        <f>IFERROR(__xludf.DUMMYFUNCTION("""COMPUTED_VALUE"""),"Supreme Power of the Golden Spell, Series 2, Level 3, The Best Booster 1")</f>
        <v>Supreme Power of the Golden Spell, Series 2, Level 3, The Best Booster 1</v>
      </c>
      <c r="M1216" s="42" t="str">
        <f>IFERROR(__xludf.DUMMYFUNCTION("""COMPUTED_VALUE"""),"[C]")</f>
        <v>[C]</v>
      </c>
      <c r="N1216" s="42" t="str">
        <f>IFERROR(__xludf.DUMMYFUNCTION("""COMPUTED_VALUE"""),"""Kiyo, are you OK?""")</f>
        <v>"Kiyo, are you OK?"</v>
      </c>
      <c r="O1216" s="42"/>
      <c r="P1216" s="42"/>
      <c r="Q1216" s="42"/>
      <c r="R1216" s="42"/>
      <c r="S1216" s="42"/>
      <c r="T1216" s="42"/>
      <c r="U1216" s="42"/>
      <c r="V1216" s="42"/>
      <c r="W1216" s="42"/>
      <c r="X1216" s="42"/>
      <c r="Y1216" s="42"/>
      <c r="Z1216" s="42"/>
    </row>
    <row r="1217">
      <c r="A1217" s="41" t="str">
        <f>IFERROR(__xludf.DUMMYFUNCTION("""COMPUTED_VALUE"""),"S-091")</f>
        <v>S-091</v>
      </c>
      <c r="B1217" s="42" t="str">
        <f>IFERROR(__xludf.DUMMYFUNCTION("""COMPUTED_VALUE"""),"Spell")</f>
        <v>Spell</v>
      </c>
      <c r="C1217" s="42" t="str">
        <f>IFERROR(__xludf.DUMMYFUNCTION("""COMPUTED_VALUE"""),"Bao Zakeruga")</f>
        <v>Bao Zakeruga</v>
      </c>
      <c r="D1217" s="42" t="str">
        <f>IFERROR(__xludf.DUMMYFUNCTION("""COMPUTED_VALUE"""),"Zatch Bell")</f>
        <v>Zatch Bell</v>
      </c>
      <c r="E1217" s="42">
        <f>IFERROR(__xludf.DUMMYFUNCTION("""COMPUTED_VALUE"""),8.0)</f>
        <v>8</v>
      </c>
      <c r="F1217" s="42" t="str">
        <f>IFERROR(__xludf.DUMMYFUNCTION("""COMPUTED_VALUE"""),"AD")</f>
        <v>AD</v>
      </c>
      <c r="G1217" s="42" t="str">
        <f>IFERROR(__xludf.DUMMYFUNCTION("""COMPUTED_VALUE"""),"Superior")</f>
        <v>Superior</v>
      </c>
      <c r="H1217" s="42" t="str">
        <f>IFERROR(__xludf.DUMMYFUNCTION("""COMPUTED_VALUE"""),"-")</f>
        <v>-</v>
      </c>
      <c r="I1217" s="43" t="str">
        <f>IFERROR(__xludf.DUMMYFUNCTION("""COMPUTED_VALUE"""),"Damage your opponent’s Spell Book when you win the Battle as an Attacker.")</f>
        <v>Damage your opponent’s Spell Book when you win the Battle as an Attacker.</v>
      </c>
      <c r="J1217" s="42" t="str">
        <f>IFERROR(__xludf.DUMMYFUNCTION("""COMPUTED_VALUE"""),"+8000")</f>
        <v>+8000</v>
      </c>
      <c r="K1217" s="42">
        <f>IFERROR(__xludf.DUMMYFUNCTION("""COMPUTED_VALUE"""),4.0)</f>
        <v>4</v>
      </c>
      <c r="L1217" s="42" t="str">
        <f>IFERROR(__xludf.DUMMYFUNCTION("""COMPUTED_VALUE"""),"Supreme Power of the Golden Spell, Series 2, Zatch Bell and His Friends")</f>
        <v>Supreme Power of the Golden Spell, Series 2, Zatch Bell and His Friends</v>
      </c>
      <c r="M1217" s="42" t="str">
        <f>IFERROR(__xludf.DUMMYFUNCTION("""COMPUTED_VALUE"""),"[SR]")</f>
        <v>[SR]</v>
      </c>
      <c r="N1217" s="42" t="str">
        <f>IFERROR(__xludf.DUMMYFUNCTION("""COMPUTED_VALUE"""),"Zatch's 4th spell. A dragon-shaped electric shock with extreme destructive power.")</f>
        <v>Zatch's 4th spell. A dragon-shaped electric shock with extreme destructive power.</v>
      </c>
      <c r="O1217" s="42"/>
      <c r="P1217" s="42"/>
      <c r="Q1217" s="42"/>
      <c r="R1217" s="42"/>
      <c r="S1217" s="42"/>
      <c r="T1217" s="42"/>
      <c r="U1217" s="42"/>
      <c r="V1217" s="42"/>
      <c r="W1217" s="42"/>
      <c r="X1217" s="42"/>
      <c r="Y1217" s="42"/>
      <c r="Z1217" s="42"/>
    </row>
    <row r="1218">
      <c r="A1218" s="41" t="str">
        <f>IFERROR(__xludf.DUMMYFUNCTION("""COMPUTED_VALUE"""),"S-092")</f>
        <v>S-092</v>
      </c>
      <c r="B1218" s="42" t="str">
        <f>IFERROR(__xludf.DUMMYFUNCTION("""COMPUTED_VALUE"""),"Spell")</f>
        <v>Spell</v>
      </c>
      <c r="C1218" s="42" t="str">
        <f>IFERROR(__xludf.DUMMYFUNCTION("""COMPUTED_VALUE"""),"Zakeruga")</f>
        <v>Zakeruga</v>
      </c>
      <c r="D1218" s="42" t="str">
        <f>IFERROR(__xludf.DUMMYFUNCTION("""COMPUTED_VALUE"""),"Zatch Bell")</f>
        <v>Zatch Bell</v>
      </c>
      <c r="E1218" s="42">
        <f>IFERROR(__xludf.DUMMYFUNCTION("""COMPUTED_VALUE"""),2.0)</f>
        <v>2</v>
      </c>
      <c r="F1218" s="42" t="str">
        <f>IFERROR(__xludf.DUMMYFUNCTION("""COMPUTED_VALUE"""),"AD")</f>
        <v>AD</v>
      </c>
      <c r="G1218" s="42" t="str">
        <f>IFERROR(__xludf.DUMMYFUNCTION("""COMPUTED_VALUE"""),"Intermediate")</f>
        <v>Intermediate</v>
      </c>
      <c r="H1218" s="42" t="str">
        <f>IFERROR(__xludf.DUMMYFUNCTION("""COMPUTED_VALUE"""),"-")</f>
        <v>-</v>
      </c>
      <c r="I1218" s="43" t="str">
        <f>IFERROR(__xludf.DUMMYFUNCTION("""COMPUTED_VALUE"""),"Damage your opponent's Spell Book when you win the Battle as an Attacker. When Attacking, add 2000 Power to this SPELL card.")</f>
        <v>Damage your opponent's Spell Book when you win the Battle as an Attacker. When Attacking, add 2000 Power to this SPELL card.</v>
      </c>
      <c r="J1218" s="42" t="str">
        <f>IFERROR(__xludf.DUMMYFUNCTION("""COMPUTED_VALUE"""),"+2000")</f>
        <v>+2000</v>
      </c>
      <c r="K1218" s="42">
        <f>IFERROR(__xludf.DUMMYFUNCTION("""COMPUTED_VALUE"""),2.0)</f>
        <v>2</v>
      </c>
      <c r="L1218" s="42" t="str">
        <f>IFERROR(__xludf.DUMMYFUNCTION("""COMPUTED_VALUE"""),"Supreme Power of the Golden Spell, Series 2, Zatch Bell and His Friends")</f>
        <v>Supreme Power of the Golden Spell, Series 2, Zatch Bell and His Friends</v>
      </c>
      <c r="M1218" s="42" t="str">
        <f>IFERROR(__xludf.DUMMYFUNCTION("""COMPUTED_VALUE"""),"[R]")</f>
        <v>[R]</v>
      </c>
      <c r="N1218" s="42" t="str">
        <f>IFERROR(__xludf.DUMMYFUNCTION("""COMPUTED_VALUE"""),"Zatch's 5th spell. ""Zatch, focus!""")</f>
        <v>Zatch's 5th spell. "Zatch, focus!"</v>
      </c>
      <c r="O1218" s="42"/>
      <c r="P1218" s="42"/>
      <c r="Q1218" s="42"/>
      <c r="R1218" s="42"/>
      <c r="S1218" s="42"/>
      <c r="T1218" s="42"/>
      <c r="U1218" s="42"/>
      <c r="V1218" s="42"/>
      <c r="W1218" s="42"/>
      <c r="X1218" s="42"/>
      <c r="Y1218" s="42"/>
      <c r="Z1218" s="42"/>
    </row>
    <row r="1219">
      <c r="A1219" s="41" t="str">
        <f>IFERROR(__xludf.DUMMYFUNCTION("""COMPUTED_VALUE"""),"S-093")</f>
        <v>S-093</v>
      </c>
      <c r="B1219" s="42" t="str">
        <f>IFERROR(__xludf.DUMMYFUNCTION("""COMPUTED_VALUE"""),"Spell")</f>
        <v>Spell</v>
      </c>
      <c r="C1219" s="42" t="str">
        <f>IFERROR(__xludf.DUMMYFUNCTION("""COMPUTED_VALUE"""),"Poruk")</f>
        <v>Poruk</v>
      </c>
      <c r="D1219" s="42" t="str">
        <f>IFERROR(__xludf.DUMMYFUNCTION("""COMPUTED_VALUE"""),"Kanchome")</f>
        <v>Kanchome</v>
      </c>
      <c r="E1219" s="42">
        <f>IFERROR(__xludf.DUMMYFUNCTION("""COMPUTED_VALUE"""),1.0)</f>
        <v>1</v>
      </c>
      <c r="F1219" s="42" t="str">
        <f>IFERROR(__xludf.DUMMYFUNCTION("""COMPUTED_VALUE"""),"A")</f>
        <v>A</v>
      </c>
      <c r="G1219" s="42" t="str">
        <f>IFERROR(__xludf.DUMMYFUNCTION("""COMPUTED_VALUE"""),"None")</f>
        <v>None</v>
      </c>
      <c r="H1219" s="42" t="str">
        <f>IFERROR(__xludf.DUMMYFUNCTION("""COMPUTED_VALUE"""),"-")</f>
        <v>-</v>
      </c>
      <c r="I1219" s="43" t="str">
        <f>IFERROR(__xludf.DUMMYFUNCTION("""COMPUTED_VALUE"""),"Flip a coin; if it's heads, reduce your opponent's MP by 3.")</f>
        <v>Flip a coin; if it's heads, reduce your opponent's MP by 3.</v>
      </c>
      <c r="J1219" s="42" t="str">
        <f>IFERROR(__xludf.DUMMYFUNCTION("""COMPUTED_VALUE"""),"Special")</f>
        <v>Special</v>
      </c>
      <c r="K1219" s="42" t="str">
        <f>IFERROR(__xludf.DUMMYFUNCTION("""COMPUTED_VALUE"""),"-")</f>
        <v>-</v>
      </c>
      <c r="L1219" s="42" t="str">
        <f>IFERROR(__xludf.DUMMYFUNCTION("""COMPUTED_VALUE"""),"Supreme Power of the Golden Spell, Series 2, Zatch Bell and His Friends")</f>
        <v>Supreme Power of the Golden Spell, Series 2, Zatch Bell and His Friends</v>
      </c>
      <c r="M1219" s="42" t="str">
        <f>IFERROR(__xludf.DUMMYFUNCTION("""COMPUTED_VALUE"""),"[C]")</f>
        <v>[C]</v>
      </c>
      <c r="N1219" s="42" t="str">
        <f>IFERROR(__xludf.DUMMYFUNCTION("""COMPUTED_VALUE"""),"Kanchome's 1st spell. I'm the invincible mamodo, Kanchome!""")</f>
        <v>Kanchome's 1st spell. I'm the invincible mamodo, Kanchome!"</v>
      </c>
      <c r="O1219" s="42"/>
      <c r="P1219" s="42"/>
      <c r="Q1219" s="42"/>
      <c r="R1219" s="42"/>
      <c r="S1219" s="42"/>
      <c r="T1219" s="42"/>
      <c r="U1219" s="42"/>
      <c r="V1219" s="42"/>
      <c r="W1219" s="42"/>
      <c r="X1219" s="42"/>
      <c r="Y1219" s="42"/>
      <c r="Z1219" s="42"/>
    </row>
    <row r="1220">
      <c r="A1220" s="41" t="str">
        <f>IFERROR(__xludf.DUMMYFUNCTION("""COMPUTED_VALUE"""),"S-094")</f>
        <v>S-094</v>
      </c>
      <c r="B1220" s="42" t="str">
        <f>IFERROR(__xludf.DUMMYFUNCTION("""COMPUTED_VALUE"""),"Spell")</f>
        <v>Spell</v>
      </c>
      <c r="C1220" s="42" t="str">
        <f>IFERROR(__xludf.DUMMYFUNCTION("""COMPUTED_VALUE"""),"Koporuk")</f>
        <v>Koporuk</v>
      </c>
      <c r="D1220" s="42" t="str">
        <f>IFERROR(__xludf.DUMMYFUNCTION("""COMPUTED_VALUE"""),"Kanchome")</f>
        <v>Kanchome</v>
      </c>
      <c r="E1220" s="42">
        <f>IFERROR(__xludf.DUMMYFUNCTION("""COMPUTED_VALUE"""),1.0)</f>
        <v>1</v>
      </c>
      <c r="F1220" s="42" t="str">
        <f>IFERROR(__xludf.DUMMYFUNCTION("""COMPUTED_VALUE"""),"A")</f>
        <v>A</v>
      </c>
      <c r="G1220" s="42" t="str">
        <f>IFERROR(__xludf.DUMMYFUNCTION("""COMPUTED_VALUE"""),"None")</f>
        <v>None</v>
      </c>
      <c r="H1220" s="42" t="str">
        <f>IFERROR(__xludf.DUMMYFUNCTION("""COMPUTED_VALUE"""),"-")</f>
        <v>-</v>
      </c>
      <c r="I1220" s="43" t="str">
        <f>IFERROR(__xludf.DUMMYFUNCTION("""COMPUTED_VALUE"""),"Flip a coin; if it's heads, Damage your opponent's Spell Book.")</f>
        <v>Flip a coin; if it's heads, Damage your opponent's Spell Book.</v>
      </c>
      <c r="J1220" s="42" t="str">
        <f>IFERROR(__xludf.DUMMYFUNCTION("""COMPUTED_VALUE"""),"Special")</f>
        <v>Special</v>
      </c>
      <c r="K1220" s="42" t="str">
        <f>IFERROR(__xludf.DUMMYFUNCTION("""COMPUTED_VALUE"""),"-")</f>
        <v>-</v>
      </c>
      <c r="L1220" s="42" t="str">
        <f>IFERROR(__xludf.DUMMYFUNCTION("""COMPUTED_VALUE"""),"Supreme Power of the Golden Spell, Series 2, Zatch Bell and His Friends")</f>
        <v>Supreme Power of the Golden Spell, Series 2, Zatch Bell and His Friends</v>
      </c>
      <c r="M1220" s="42" t="str">
        <f>IFERROR(__xludf.DUMMYFUNCTION("""COMPUTED_VALUE"""),"[R]")</f>
        <v>[R]</v>
      </c>
      <c r="N1220" s="42" t="str">
        <f>IFERROR(__xludf.DUMMYFUNCTION("""COMPUTED_VALUE"""),"Kanchome's 2nd spell. ""I'll show my true power to you!""")</f>
        <v>Kanchome's 2nd spell. "I'll show my true power to you!"</v>
      </c>
      <c r="O1220" s="42"/>
      <c r="P1220" s="42"/>
      <c r="Q1220" s="42"/>
      <c r="R1220" s="42"/>
      <c r="S1220" s="42"/>
      <c r="T1220" s="42"/>
      <c r="U1220" s="42"/>
      <c r="V1220" s="42"/>
      <c r="W1220" s="42"/>
      <c r="X1220" s="42"/>
      <c r="Y1220" s="42"/>
      <c r="Z1220" s="42"/>
    </row>
    <row r="1221">
      <c r="A1221" s="41" t="str">
        <f>IFERROR(__xludf.DUMMYFUNCTION("""COMPUTED_VALUE"""),"S-095")</f>
        <v>S-095</v>
      </c>
      <c r="B1221" s="42" t="str">
        <f>IFERROR(__xludf.DUMMYFUNCTION("""COMPUTED_VALUE"""),"Spell")</f>
        <v>Spell</v>
      </c>
      <c r="C1221" s="42" t="str">
        <f>IFERROR(__xludf.DUMMYFUNCTION("""COMPUTED_VALUE"""),"Dikaporuk")</f>
        <v>Dikaporuk</v>
      </c>
      <c r="D1221" s="42" t="str">
        <f>IFERROR(__xludf.DUMMYFUNCTION("""COMPUTED_VALUE"""),"Kanchome")</f>
        <v>Kanchome</v>
      </c>
      <c r="E1221" s="42">
        <f>IFERROR(__xludf.DUMMYFUNCTION("""COMPUTED_VALUE"""),2.0)</f>
        <v>2</v>
      </c>
      <c r="F1221" s="42" t="str">
        <f>IFERROR(__xludf.DUMMYFUNCTION("""COMPUTED_VALUE"""),"D")</f>
        <v>D</v>
      </c>
      <c r="G1221" s="42" t="str">
        <f>IFERROR(__xludf.DUMMYFUNCTION("""COMPUTED_VALUE"""),"Intermediate")</f>
        <v>Intermediate</v>
      </c>
      <c r="H1221" s="42" t="str">
        <f>IFERROR(__xludf.DUMMYFUNCTION("""COMPUTED_VALUE"""),"-")</f>
        <v>-</v>
      </c>
      <c r="I1221" s="43" t="str">
        <f>IFERROR(__xludf.DUMMYFUNCTION("""COMPUTED_VALUE"""),"Flip a coin; if it's heads, your Kanchome MAMODO card does not receive Damage or Injury during this turn, regardless of your opponent's Power ([STAY]).")</f>
        <v>Flip a coin; if it's heads, your Kanchome MAMODO card does not receive Damage or Injury during this turn, regardless of your opponent's Power ([STAY]).</v>
      </c>
      <c r="J1221" s="42" t="str">
        <f>IFERROR(__xludf.DUMMYFUNCTION("""COMPUTED_VALUE"""),"Special")</f>
        <v>Special</v>
      </c>
      <c r="K1221" s="42" t="str">
        <f>IFERROR(__xludf.DUMMYFUNCTION("""COMPUTED_VALUE"""),"-")</f>
        <v>-</v>
      </c>
      <c r="L1221" s="42" t="str">
        <f>IFERROR(__xludf.DUMMYFUNCTION("""COMPUTED_VALUE"""),"The Gathering Storm, Series 3, Zatch Bell and His Friends")</f>
        <v>The Gathering Storm, Series 3, Zatch Bell and His Friends</v>
      </c>
      <c r="M1221" s="42" t="str">
        <f>IFERROR(__xludf.DUMMYFUNCTION("""COMPUTED_VALUE"""),"[R]")</f>
        <v>[R]</v>
      </c>
      <c r="N1221" s="42" t="str">
        <f>IFERROR(__xludf.DUMMYFUNCTION("""COMPUTED_VALUE"""),"Kanchomé's 3rd spell. ""Ha ha ha ha ha. Did you realize my power?""")</f>
        <v>Kanchomé's 3rd spell. "Ha ha ha ha ha. Did you realize my power?"</v>
      </c>
      <c r="O1221" s="42"/>
      <c r="P1221" s="42"/>
      <c r="Q1221" s="42"/>
      <c r="R1221" s="42"/>
      <c r="S1221" s="42"/>
      <c r="T1221" s="42"/>
      <c r="U1221" s="42"/>
      <c r="V1221" s="42"/>
      <c r="W1221" s="42"/>
      <c r="X1221" s="42"/>
      <c r="Y1221" s="42"/>
      <c r="Z1221" s="42"/>
    </row>
    <row r="1222">
      <c r="A1222" s="41" t="str">
        <f>IFERROR(__xludf.DUMMYFUNCTION("""COMPUTED_VALUE"""),"S-096")</f>
        <v>S-096</v>
      </c>
      <c r="B1222" s="42" t="str">
        <f>IFERROR(__xludf.DUMMYFUNCTION("""COMPUTED_VALUE"""),"Spell")</f>
        <v>Spell</v>
      </c>
      <c r="C1222" s="42" t="str">
        <f>IFERROR(__xludf.DUMMYFUNCTION("""COMPUTED_VALUE"""),"Saisu")</f>
        <v>Saisu</v>
      </c>
      <c r="D1222" s="42" t="str">
        <f>IFERROR(__xludf.DUMMYFUNCTION("""COMPUTED_VALUE"""),"Tia")</f>
        <v>Tia</v>
      </c>
      <c r="E1222" s="42">
        <f>IFERROR(__xludf.DUMMYFUNCTION("""COMPUTED_VALUE"""),2.0)</f>
        <v>2</v>
      </c>
      <c r="F1222" s="42" t="str">
        <f>IFERROR(__xludf.DUMMYFUNCTION("""COMPUTED_VALUE"""),"A")</f>
        <v>A</v>
      </c>
      <c r="G1222" s="42" t="str">
        <f>IFERROR(__xludf.DUMMYFUNCTION("""COMPUTED_VALUE"""),"None")</f>
        <v>None</v>
      </c>
      <c r="H1222" s="42" t="str">
        <f>IFERROR(__xludf.DUMMYFUNCTION("""COMPUTED_VALUE"""),"-")</f>
        <v>-</v>
      </c>
      <c r="I1222" s="43" t="str">
        <f>IFERROR(__xludf.DUMMYFUNCTION("""COMPUTED_VALUE"""),"Damage your opponent’s Spell Book when you win the Battle as an Attacker.")</f>
        <v>Damage your opponent’s Spell Book when you win the Battle as an Attacker.</v>
      </c>
      <c r="J1222" s="42" t="str">
        <f>IFERROR(__xludf.DUMMYFUNCTION("""COMPUTED_VALUE"""),"+3000")</f>
        <v>+3000</v>
      </c>
      <c r="K1222" s="42">
        <f>IFERROR(__xludf.DUMMYFUNCTION("""COMPUTED_VALUE"""),1.0)</f>
        <v>1</v>
      </c>
      <c r="L1222" s="42" t="str">
        <f>IFERROR(__xludf.DUMMYFUNCTION("""COMPUTED_VALUE"""),"Supreme Power of the Golden Spell, Series 2, Zatch Bell and His Friends")</f>
        <v>Supreme Power of the Golden Spell, Series 2, Zatch Bell and His Friends</v>
      </c>
      <c r="M1222" s="42" t="str">
        <f>IFERROR(__xludf.DUMMYFUNCTION("""COMPUTED_VALUE"""),"[C]")</f>
        <v>[C]</v>
      </c>
      <c r="N1222" s="42" t="str">
        <f>IFERROR(__xludf.DUMMYFUNCTION("""COMPUTED_VALUE"""),"Tia's 2nd spell. It strikes opponents with a sacred, crescent moon-shaped blade.")</f>
        <v>Tia's 2nd spell. It strikes opponents with a sacred, crescent moon-shaped blade.</v>
      </c>
      <c r="O1222" s="42"/>
      <c r="P1222" s="42"/>
      <c r="Q1222" s="42"/>
      <c r="R1222" s="42"/>
      <c r="S1222" s="42"/>
      <c r="T1222" s="42"/>
      <c r="U1222" s="42"/>
      <c r="V1222" s="42"/>
      <c r="W1222" s="42"/>
      <c r="X1222" s="42"/>
      <c r="Y1222" s="42"/>
      <c r="Z1222" s="42"/>
    </row>
    <row r="1223">
      <c r="A1223" s="41" t="str">
        <f>IFERROR(__xludf.DUMMYFUNCTION("""COMPUTED_VALUE"""),"S-097")</f>
        <v>S-097</v>
      </c>
      <c r="B1223" s="42" t="str">
        <f>IFERROR(__xludf.DUMMYFUNCTION("""COMPUTED_VALUE"""),"Spell")</f>
        <v>Spell</v>
      </c>
      <c r="C1223" s="42" t="str">
        <f>IFERROR(__xludf.DUMMYFUNCTION("""COMPUTED_VALUE"""),"Ma Seshield")</f>
        <v>Ma Seshield</v>
      </c>
      <c r="D1223" s="42" t="str">
        <f>IFERROR(__xludf.DUMMYFUNCTION("""COMPUTED_VALUE"""),"Tia")</f>
        <v>Tia</v>
      </c>
      <c r="E1223" s="42">
        <f>IFERROR(__xludf.DUMMYFUNCTION("""COMPUTED_VALUE"""),3.0)</f>
        <v>3</v>
      </c>
      <c r="F1223" s="42" t="str">
        <f>IFERROR(__xludf.DUMMYFUNCTION("""COMPUTED_VALUE"""),"D")</f>
        <v>D</v>
      </c>
      <c r="G1223" s="42" t="str">
        <f>IFERROR(__xludf.DUMMYFUNCTION("""COMPUTED_VALUE"""),"None")</f>
        <v>None</v>
      </c>
      <c r="H1223" s="42" t="str">
        <f>IFERROR(__xludf.DUMMYFUNCTION("""COMPUTED_VALUE"""),"-")</f>
        <v>-</v>
      </c>
      <c r="I1223" s="43" t="str">
        <f>IFERROR(__xludf.DUMMYFUNCTION("""COMPUTED_VALUE"""),"Negate your opponent's Attack when you win the Battle as a Defender. You may pay an 2 additional MP to add 4000 Power to this SPELL card.")</f>
        <v>Negate your opponent's Attack when you win the Battle as a Defender. You may pay an 2 additional MP to add 4000 Power to this SPELL card.</v>
      </c>
      <c r="J1223" s="42" t="str">
        <f>IFERROR(__xludf.DUMMYFUNCTION("""COMPUTED_VALUE"""),"+6000")</f>
        <v>+6000</v>
      </c>
      <c r="K1223" s="42" t="str">
        <f>IFERROR(__xludf.DUMMYFUNCTION("""COMPUTED_VALUE"""),"-")</f>
        <v>-</v>
      </c>
      <c r="L1223" s="42" t="str">
        <f>IFERROR(__xludf.DUMMYFUNCTION("""COMPUTED_VALUE"""),"Supreme Power of the Golden Spell, Series 2, Zatch Bell and His Friends")</f>
        <v>Supreme Power of the Golden Spell, Series 2, Zatch Bell and His Friends</v>
      </c>
      <c r="M1223" s="42" t="str">
        <f>IFERROR(__xludf.DUMMYFUNCTION("""COMPUTED_VALUE"""),"[R]")</f>
        <v>[R]</v>
      </c>
      <c r="N1223" s="42" t="str">
        <f>IFERROR(__xludf.DUMMYFUNCTION("""COMPUTED_VALUE"""),"Tia's 3rd spell. It creates a large disk-shaped shield that protects the user.")</f>
        <v>Tia's 3rd spell. It creates a large disk-shaped shield that protects the user.</v>
      </c>
      <c r="O1223" s="42"/>
      <c r="P1223" s="42"/>
      <c r="Q1223" s="42"/>
      <c r="R1223" s="42"/>
      <c r="S1223" s="42"/>
      <c r="T1223" s="42"/>
      <c r="U1223" s="42"/>
      <c r="V1223" s="42"/>
      <c r="W1223" s="42"/>
      <c r="X1223" s="42"/>
      <c r="Y1223" s="42"/>
      <c r="Z1223" s="42"/>
    </row>
    <row r="1224">
      <c r="A1224" s="41" t="str">
        <f>IFERROR(__xludf.DUMMYFUNCTION("""COMPUTED_VALUE"""),"S-098")</f>
        <v>S-098</v>
      </c>
      <c r="B1224" s="42" t="str">
        <f>IFERROR(__xludf.DUMMYFUNCTION("""COMPUTED_VALUE"""),"Spell")</f>
        <v>Spell</v>
      </c>
      <c r="C1224" s="42" t="str">
        <f>IFERROR(__xludf.DUMMYFUNCTION("""COMPUTED_VALUE"""),"Saifogeo")</f>
        <v>Saifogeo</v>
      </c>
      <c r="D1224" s="42" t="str">
        <f>IFERROR(__xludf.DUMMYFUNCTION("""COMPUTED_VALUE"""),"Tia")</f>
        <v>Tia</v>
      </c>
      <c r="E1224" s="42">
        <f>IFERROR(__xludf.DUMMYFUNCTION("""COMPUTED_VALUE"""),3.0)</f>
        <v>3</v>
      </c>
      <c r="F1224" s="42" t="str">
        <f>IFERROR(__xludf.DUMMYFUNCTION("""COMPUTED_VALUE"""),"A")</f>
        <v>A</v>
      </c>
      <c r="G1224" s="42" t="str">
        <f>IFERROR(__xludf.DUMMYFUNCTION("""COMPUTED_VALUE"""),"Intermediate")</f>
        <v>Intermediate</v>
      </c>
      <c r="H1224" s="42" t="str">
        <f>IFERROR(__xludf.DUMMYFUNCTION("""COMPUTED_VALUE"""),"-")</f>
        <v>-</v>
      </c>
      <c r="I1224" s="43" t="str">
        <f>IFERROR(__xludf.DUMMYFUNCTION("""COMPUTED_VALUE"""),"Apply 1 or both of the following effects in order: ● Turn 1 of your Injured MAMODO cards to Normal Status ● [STANDBY] 1 SPELL card that you already played this turn can be played again; the MP cost of the SPELL card is considered to be 0. If the number of"&amp;" times is specified, it cannot be played more than that number, and all conditions must be met (such as the card being in the open pages of your Spell Book).")</f>
        <v>Apply 1 or both of the following effects in order: ● Turn 1 of your Injured MAMODO cards to Normal Status ● [STANDBY] 1 SPELL card that you already played this turn can be played again; the MP cost of the SPELL card is considered to be 0. If the number of times is specified, it cannot be played more than that number, and all conditions must be met (such as the card being in the open pages of your Spell Book).</v>
      </c>
      <c r="J1224" s="42" t="str">
        <f>IFERROR(__xludf.DUMMYFUNCTION("""COMPUTED_VALUE"""),"Special")</f>
        <v>Special</v>
      </c>
      <c r="K1224" s="42" t="str">
        <f>IFERROR(__xludf.DUMMYFUNCTION("""COMPUTED_VALUE"""),"-")</f>
        <v>-</v>
      </c>
      <c r="L1224" s="42" t="str">
        <f>IFERROR(__xludf.DUMMYFUNCTION("""COMPUTED_VALUE"""),"The Gathering Storm, Series 3, Zatch Bell and His Friends, Revised Edition")</f>
        <v>The Gathering Storm, Series 3, Zatch Bell and His Friends, Revised Edition</v>
      </c>
      <c r="M1224" s="42" t="str">
        <f>IFERROR(__xludf.DUMMYFUNCTION("""COMPUTED_VALUE"""),"[R]")</f>
        <v>[R]</v>
      </c>
      <c r="N1224" s="42" t="str">
        <f>IFERROR(__xludf.DUMMYFUNCTION("""COMPUTED_VALUE"""),"Tia's 5th spell. It helps heal allies and allows them to regain energy to fight again.")</f>
        <v>Tia's 5th spell. It helps heal allies and allows them to regain energy to fight again.</v>
      </c>
      <c r="O1224" s="42"/>
      <c r="P1224" s="42"/>
      <c r="Q1224" s="42"/>
      <c r="R1224" s="42"/>
      <c r="S1224" s="42"/>
      <c r="T1224" s="42"/>
      <c r="U1224" s="42"/>
      <c r="V1224" s="42"/>
      <c r="W1224" s="42"/>
      <c r="X1224" s="42"/>
      <c r="Y1224" s="42"/>
      <c r="Z1224" s="42"/>
    </row>
    <row r="1225">
      <c r="A1225" s="41" t="str">
        <f>IFERROR(__xludf.DUMMYFUNCTION("""COMPUTED_VALUE"""),"S-099")</f>
        <v>S-099</v>
      </c>
      <c r="B1225" s="42" t="str">
        <f>IFERROR(__xludf.DUMMYFUNCTION("""COMPUTED_VALUE"""),"Spell")</f>
        <v>Spell</v>
      </c>
      <c r="C1225" s="42" t="str">
        <f>IFERROR(__xludf.DUMMYFUNCTION("""COMPUTED_VALUE"""),"Zaker")</f>
        <v>Zaker</v>
      </c>
      <c r="D1225" s="42" t="str">
        <f>IFERROR(__xludf.DUMMYFUNCTION("""COMPUTED_VALUE"""),"Zeno")</f>
        <v>Zeno</v>
      </c>
      <c r="E1225" s="42">
        <f>IFERROR(__xludf.DUMMYFUNCTION("""COMPUTED_VALUE"""),2.0)</f>
        <v>2</v>
      </c>
      <c r="F1225" s="42" t="str">
        <f>IFERROR(__xludf.DUMMYFUNCTION("""COMPUTED_VALUE"""),"AD")</f>
        <v>AD</v>
      </c>
      <c r="G1225" s="42" t="str">
        <f>IFERROR(__xludf.DUMMYFUNCTION("""COMPUTED_VALUE"""),"None")</f>
        <v>None</v>
      </c>
      <c r="H1225" s="42" t="str">
        <f>IFERROR(__xludf.DUMMYFUNCTION("""COMPUTED_VALUE"""),"Thunder")</f>
        <v>Thunder</v>
      </c>
      <c r="I1225" s="43" t="str">
        <f>IFERROR(__xludf.DUMMYFUNCTION("""COMPUTED_VALUE"""),"Damage your opponent’s Spell Book when you win the Battle as an Attacker.")</f>
        <v>Damage your opponent’s Spell Book when you win the Battle as an Attacker.</v>
      </c>
      <c r="J1225" s="42" t="str">
        <f>IFERROR(__xludf.DUMMYFUNCTION("""COMPUTED_VALUE"""),"+4000")</f>
        <v>+4000</v>
      </c>
      <c r="K1225" s="42">
        <f>IFERROR(__xludf.DUMMYFUNCTION("""COMPUTED_VALUE"""),1.0)</f>
        <v>1</v>
      </c>
      <c r="L1225" s="42" t="str">
        <f>IFERROR(__xludf.DUMMYFUNCTION("""COMPUTED_VALUE"""),"Supreme Power of the Golden Spell, Series 2, Zeno and the Most Powerful Mamodo")</f>
        <v>Supreme Power of the Golden Spell, Series 2, Zeno and the Most Powerful Mamodo</v>
      </c>
      <c r="M1225" s="42" t="str">
        <f>IFERROR(__xludf.DUMMYFUNCTION("""COMPUTED_VALUE"""),"[R]")</f>
        <v>[R]</v>
      </c>
      <c r="N1225" s="42" t="str">
        <f>IFERROR(__xludf.DUMMYFUNCTION("""COMPUTED_VALUE"""),"Zeno's 1st spell. Reinforced Zaker which shoots an electric shock from his palm.")</f>
        <v>Zeno's 1st spell. Reinforced Zaker which shoots an electric shock from his palm.</v>
      </c>
      <c r="O1225" s="42"/>
      <c r="P1225" s="42"/>
      <c r="Q1225" s="42"/>
      <c r="R1225" s="42"/>
      <c r="S1225" s="42"/>
      <c r="T1225" s="42"/>
      <c r="U1225" s="42"/>
      <c r="V1225" s="42"/>
      <c r="W1225" s="42"/>
      <c r="X1225" s="42"/>
      <c r="Y1225" s="42"/>
      <c r="Z1225" s="42"/>
    </row>
    <row r="1226">
      <c r="A1226" s="41" t="str">
        <f>IFERROR(__xludf.DUMMYFUNCTION("""COMPUTED_VALUE"""),"S-100")</f>
        <v>S-100</v>
      </c>
      <c r="B1226" s="42" t="str">
        <f>IFERROR(__xludf.DUMMYFUNCTION("""COMPUTED_VALUE"""),"Spell")</f>
        <v>Spell</v>
      </c>
      <c r="C1226" s="42" t="str">
        <f>IFERROR(__xludf.DUMMYFUNCTION("""COMPUTED_VALUE"""),"Zakeruga")</f>
        <v>Zakeruga</v>
      </c>
      <c r="D1226" s="42" t="str">
        <f>IFERROR(__xludf.DUMMYFUNCTION("""COMPUTED_VALUE"""),"Zeno")</f>
        <v>Zeno</v>
      </c>
      <c r="E1226" s="42">
        <f>IFERROR(__xludf.DUMMYFUNCTION("""COMPUTED_VALUE"""),3.0)</f>
        <v>3</v>
      </c>
      <c r="F1226" s="42" t="str">
        <f>IFERROR(__xludf.DUMMYFUNCTION("""COMPUTED_VALUE"""),"A")</f>
        <v>A</v>
      </c>
      <c r="G1226" s="42" t="str">
        <f>IFERROR(__xludf.DUMMYFUNCTION("""COMPUTED_VALUE"""),"None")</f>
        <v>None</v>
      </c>
      <c r="H1226" s="42" t="str">
        <f>IFERROR(__xludf.DUMMYFUNCTION("""COMPUTED_VALUE"""),"Thunder")</f>
        <v>Thunder</v>
      </c>
      <c r="I1226" s="43" t="str">
        <f>IFERROR(__xludf.DUMMYFUNCTION("""COMPUTED_VALUE"""),"Damage your opponent's Spell Book regardless of their Power. This SPELL card cannot be Defended.")</f>
        <v>Damage your opponent's Spell Book regardless of their Power. This SPELL card cannot be Defended.</v>
      </c>
      <c r="J1226" s="42" t="str">
        <f>IFERROR(__xludf.DUMMYFUNCTION("""COMPUTED_VALUE"""),"Special")</f>
        <v>Special</v>
      </c>
      <c r="K1226" s="42">
        <f>IFERROR(__xludf.DUMMYFUNCTION("""COMPUTED_VALUE"""),2.0)</f>
        <v>2</v>
      </c>
      <c r="L1226" s="42" t="str">
        <f>IFERROR(__xludf.DUMMYFUNCTION("""COMPUTED_VALUE"""),"Supreme Power of the Golden Spell, Series 2, Zeno and the Most Powerful Mamodo")</f>
        <v>Supreme Power of the Golden Spell, Series 2, Zeno and the Most Powerful Mamodo</v>
      </c>
      <c r="M1226" s="42" t="str">
        <f>IFERROR(__xludf.DUMMYFUNCTION("""COMPUTED_VALUE"""),"[SR]")</f>
        <v>[SR]</v>
      </c>
      <c r="N1226" s="42" t="str">
        <f>IFERROR(__xludf.DUMMYFUNCTION("""COMPUTED_VALUE"""),"Zeno's spell. It centralizes an electric shock into one point and shoots it from his palm.")</f>
        <v>Zeno's spell. It centralizes an electric shock into one point and shoots it from his palm.</v>
      </c>
      <c r="O1226" s="42"/>
      <c r="P1226" s="42"/>
      <c r="Q1226" s="42"/>
      <c r="R1226" s="42"/>
      <c r="S1226" s="42"/>
      <c r="T1226" s="42"/>
      <c r="U1226" s="42"/>
      <c r="V1226" s="42"/>
      <c r="W1226" s="42"/>
      <c r="X1226" s="42"/>
      <c r="Y1226" s="42"/>
      <c r="Z1226" s="42"/>
    </row>
    <row r="1227">
      <c r="A1227" s="41" t="str">
        <f>IFERROR(__xludf.DUMMYFUNCTION("""COMPUTED_VALUE"""),"S-101")</f>
        <v>S-101</v>
      </c>
      <c r="B1227" s="42" t="str">
        <f>IFERROR(__xludf.DUMMYFUNCTION("""COMPUTED_VALUE"""),"Spell")</f>
        <v>Spell</v>
      </c>
      <c r="C1227" s="42" t="str">
        <f>IFERROR(__xludf.DUMMYFUNCTION("""COMPUTED_VALUE"""),"Dioga Gravidon")</f>
        <v>Dioga Gravidon</v>
      </c>
      <c r="D1227" s="42" t="str">
        <f>IFERROR(__xludf.DUMMYFUNCTION("""COMPUTED_VALUE"""),"Brago")</f>
        <v>Brago</v>
      </c>
      <c r="E1227" s="42">
        <f>IFERROR(__xludf.DUMMYFUNCTION("""COMPUTED_VALUE"""),8.0)</f>
        <v>8</v>
      </c>
      <c r="F1227" s="42" t="str">
        <f>IFERROR(__xludf.DUMMYFUNCTION("""COMPUTED_VALUE"""),"A")</f>
        <v>A</v>
      </c>
      <c r="G1227" s="42" t="str">
        <f>IFERROR(__xludf.DUMMYFUNCTION("""COMPUTED_VALUE"""),"Superior")</f>
        <v>Superior</v>
      </c>
      <c r="H1227" s="42" t="str">
        <f>IFERROR(__xludf.DUMMYFUNCTION("""COMPUTED_VALUE"""),"Down Force")</f>
        <v>Down Force</v>
      </c>
      <c r="I1227" s="43" t="str">
        <f>IFERROR(__xludf.DUMMYFUNCTION("""COMPUTED_VALUE"""),"Damage your opponent's Spell Book and Injure all of your opponent's MAMODO cards when you win the Battle as an Attacker.")</f>
        <v>Damage your opponent's Spell Book and Injure all of your opponent's MAMODO cards when you win the Battle as an Attacker.</v>
      </c>
      <c r="J1227" s="42" t="str">
        <f>IFERROR(__xludf.DUMMYFUNCTION("""COMPUTED_VALUE"""),"+5000")</f>
        <v>+5000</v>
      </c>
      <c r="K1227" s="42">
        <f>IFERROR(__xludf.DUMMYFUNCTION("""COMPUTED_VALUE"""),3.0)</f>
        <v>3</v>
      </c>
      <c r="L1227" s="42" t="str">
        <f>IFERROR(__xludf.DUMMYFUNCTION("""COMPUTED_VALUE"""),"The Gathering Storm, Series 3, Zeno and the Most Powerful Mamodo")</f>
        <v>The Gathering Storm, Series 3, Zeno and the Most Powerful Mamodo</v>
      </c>
      <c r="M1227" s="42" t="str">
        <f>IFERROR(__xludf.DUMMYFUNCTION("""COMPUTED_VALUE"""),"[R]")</f>
        <v>[R]</v>
      </c>
      <c r="N1227" s="42" t="str">
        <f>IFERROR(__xludf.DUMMYFUNCTION("""COMPUTED_VALUE"""),"Brago's 5th spell. It generates a large gravity ball that destroys whatever it comes in contact with.")</f>
        <v>Brago's 5th spell. It generates a large gravity ball that destroys whatever it comes in contact with.</v>
      </c>
      <c r="O1227" s="42"/>
      <c r="P1227" s="42"/>
      <c r="Q1227" s="42"/>
      <c r="R1227" s="42"/>
      <c r="S1227" s="42"/>
      <c r="T1227" s="42"/>
      <c r="U1227" s="42"/>
      <c r="V1227" s="42"/>
      <c r="W1227" s="42"/>
      <c r="X1227" s="42"/>
      <c r="Y1227" s="42"/>
      <c r="Z1227" s="42"/>
    </row>
    <row r="1228">
      <c r="A1228" s="41" t="str">
        <f>IFERROR(__xludf.DUMMYFUNCTION("""COMPUTED_VALUE"""),"S-102")</f>
        <v>S-102</v>
      </c>
      <c r="B1228" s="42" t="str">
        <f>IFERROR(__xludf.DUMMYFUNCTION("""COMPUTED_VALUE"""),"Spell")</f>
        <v>Spell</v>
      </c>
      <c r="C1228" s="42" t="str">
        <f>IFERROR(__xludf.DUMMYFUNCTION("""COMPUTED_VALUE"""),"Zonis")</f>
        <v>Zonis</v>
      </c>
      <c r="D1228" s="42" t="str">
        <f>IFERROR(__xludf.DUMMYFUNCTION("""COMPUTED_VALUE"""),"Bari")</f>
        <v>Bari</v>
      </c>
      <c r="E1228" s="42">
        <f>IFERROR(__xludf.DUMMYFUNCTION("""COMPUTED_VALUE"""),1.0)</f>
        <v>1</v>
      </c>
      <c r="F1228" s="42" t="str">
        <f>IFERROR(__xludf.DUMMYFUNCTION("""COMPUTED_VALUE"""),"AD")</f>
        <v>AD</v>
      </c>
      <c r="G1228" s="42" t="str">
        <f>IFERROR(__xludf.DUMMYFUNCTION("""COMPUTED_VALUE"""),"None")</f>
        <v>None</v>
      </c>
      <c r="H1228" s="42" t="str">
        <f>IFERROR(__xludf.DUMMYFUNCTION("""COMPUTED_VALUE"""),"-")</f>
        <v>-</v>
      </c>
      <c r="I1228" s="43" t="str">
        <f>IFERROR(__xludf.DUMMYFUNCTION("""COMPUTED_VALUE"""),"Damage your opponent's Spell Book when you win the Battle as an Attacker.")</f>
        <v>Damage your opponent's Spell Book when you win the Battle as an Attacker.</v>
      </c>
      <c r="J1228" s="42" t="str">
        <f>IFERROR(__xludf.DUMMYFUNCTION("""COMPUTED_VALUE"""),"+2000")</f>
        <v>+2000</v>
      </c>
      <c r="K1228" s="42">
        <f>IFERROR(__xludf.DUMMYFUNCTION("""COMPUTED_VALUE"""),1.0)</f>
        <v>1</v>
      </c>
      <c r="L1228" s="42" t="str">
        <f>IFERROR(__xludf.DUMMYFUNCTION("""COMPUTED_VALUE"""),"The Gathering Storm, Series 3, Zeno and the Most Powerful Mamodo")</f>
        <v>The Gathering Storm, Series 3, Zeno and the Most Powerful Mamodo</v>
      </c>
      <c r="M1228" s="42" t="str">
        <f>IFERROR(__xludf.DUMMYFUNCTION("""COMPUTED_VALUE"""),"[R]")</f>
        <v>[R]</v>
      </c>
      <c r="N1228" s="42" t="str">
        <f>IFERROR(__xludf.DUMMYFUNCTION("""COMPUTED_VALUE"""),"Bari's 1st spell. Energy fires out of his horns. The reverse thrust enables him to fly.")</f>
        <v>Bari's 1st spell. Energy fires out of his horns. The reverse thrust enables him to fly.</v>
      </c>
      <c r="O1228" s="42"/>
      <c r="P1228" s="42"/>
      <c r="Q1228" s="42"/>
      <c r="R1228" s="42"/>
      <c r="S1228" s="42"/>
      <c r="T1228" s="42"/>
      <c r="U1228" s="42"/>
      <c r="V1228" s="42"/>
      <c r="W1228" s="42"/>
      <c r="X1228" s="42"/>
      <c r="Y1228" s="42"/>
      <c r="Z1228" s="42"/>
    </row>
    <row r="1229">
      <c r="A1229" s="41" t="str">
        <f>IFERROR(__xludf.DUMMYFUNCTION("""COMPUTED_VALUE"""),"S-103e")</f>
        <v>S-103e</v>
      </c>
      <c r="B1229" s="42" t="str">
        <f>IFERROR(__xludf.DUMMYFUNCTION("""COMPUTED_VALUE"""),"Spell")</f>
        <v>Spell</v>
      </c>
      <c r="C1229" s="42" t="str">
        <f>IFERROR(__xludf.DUMMYFUNCTION("""COMPUTED_VALUE"""),"Doru Zonis")</f>
        <v>Doru Zonis</v>
      </c>
      <c r="D1229" s="42" t="str">
        <f>IFERROR(__xludf.DUMMYFUNCTION("""COMPUTED_VALUE"""),"Bari")</f>
        <v>Bari</v>
      </c>
      <c r="E1229" s="42">
        <f>IFERROR(__xludf.DUMMYFUNCTION("""COMPUTED_VALUE"""),3.0)</f>
        <v>3</v>
      </c>
      <c r="F1229" s="42" t="str">
        <f>IFERROR(__xludf.DUMMYFUNCTION("""COMPUTED_VALUE"""),"A")</f>
        <v>A</v>
      </c>
      <c r="G1229" s="42" t="str">
        <f>IFERROR(__xludf.DUMMYFUNCTION("""COMPUTED_VALUE"""),"None")</f>
        <v>None</v>
      </c>
      <c r="H1229" s="42" t="str">
        <f>IFERROR(__xludf.DUMMYFUNCTION("""COMPUTED_VALUE"""),"-")</f>
        <v>-</v>
      </c>
      <c r="I1229" s="43" t="str">
        <f>IFERROR(__xludf.DUMMYFUNCTION("""COMPUTED_VALUE"""),"Damage your opponent's Spell Book when you win the Battle as an Attacker.")</f>
        <v>Damage your opponent's Spell Book when you win the Battle as an Attacker.</v>
      </c>
      <c r="J1229" s="42" t="str">
        <f>IFERROR(__xludf.DUMMYFUNCTION("""COMPUTED_VALUE"""),"+3000")</f>
        <v>+3000</v>
      </c>
      <c r="K1229" s="42">
        <f>IFERROR(__xludf.DUMMYFUNCTION("""COMPUTED_VALUE"""),2.0)</f>
        <v>2</v>
      </c>
      <c r="L1229" s="42" t="str">
        <f>IFERROR(__xludf.DUMMYFUNCTION("""COMPUTED_VALUE"""),"The Gathering Storm, Series 3, Zeno and the Most Powerful Mamodo")</f>
        <v>The Gathering Storm, Series 3, Zeno and the Most Powerful Mamodo</v>
      </c>
      <c r="M1229" s="42" t="str">
        <f>IFERROR(__xludf.DUMMYFUNCTION("""COMPUTED_VALUE"""),"[R]")</f>
        <v>[R]</v>
      </c>
      <c r="N1229" s="42" t="str">
        <f>IFERROR(__xludf.DUMMYFUNCTION("""COMPUTED_VALUE"""),"Bari's 3rd spell. A gust of energy that spins like a drill, it covers his arm and adds more destructive power.")</f>
        <v>Bari's 3rd spell. A gust of energy that spins like a drill, it covers his arm and adds more destructive power.</v>
      </c>
      <c r="O1229" s="42"/>
      <c r="P1229" s="42"/>
      <c r="Q1229" s="42"/>
      <c r="R1229" s="42"/>
      <c r="S1229" s="42"/>
      <c r="T1229" s="42"/>
      <c r="U1229" s="42"/>
      <c r="V1229" s="42"/>
      <c r="W1229" s="42"/>
      <c r="X1229" s="42"/>
      <c r="Y1229" s="42"/>
      <c r="Z1229" s="42"/>
    </row>
    <row r="1230">
      <c r="A1230" s="41" t="str">
        <f>IFERROR(__xludf.DUMMYFUNCTION("""COMPUTED_VALUE"""),"S-103j")</f>
        <v>S-103j</v>
      </c>
      <c r="B1230" s="42" t="str">
        <f>IFERROR(__xludf.DUMMYFUNCTION("""COMPUTED_VALUE"""),"Spell")</f>
        <v>Spell</v>
      </c>
      <c r="C1230" s="42" t="str">
        <f>IFERROR(__xludf.DUMMYFUNCTION("""COMPUTED_VALUE"""),"Doru Zonis")</f>
        <v>Doru Zonis</v>
      </c>
      <c r="D1230" s="42" t="str">
        <f>IFERROR(__xludf.DUMMYFUNCTION("""COMPUTED_VALUE"""),"Bari")</f>
        <v>Bari</v>
      </c>
      <c r="E1230" s="42">
        <f>IFERROR(__xludf.DUMMYFUNCTION("""COMPUTED_VALUE"""),3.0)</f>
        <v>3</v>
      </c>
      <c r="F1230" s="42" t="str">
        <f>IFERROR(__xludf.DUMMYFUNCTION("""COMPUTED_VALUE"""),"A")</f>
        <v>A</v>
      </c>
      <c r="G1230" s="42" t="str">
        <f>IFERROR(__xludf.DUMMYFUNCTION("""COMPUTED_VALUE"""),"None")</f>
        <v>None</v>
      </c>
      <c r="H1230" s="42" t="str">
        <f>IFERROR(__xludf.DUMMYFUNCTION("""COMPUTED_VALUE"""),"-")</f>
        <v>-</v>
      </c>
      <c r="I1230" s="43" t="str">
        <f>IFERROR(__xludf.DUMMYFUNCTION("""COMPUTED_VALUE"""),"Damage your opponent's Spell Book when you win the Battle as an Attacker. After comparing Total Power, your opponent cannot apply the effects of cards in their Spell Book during the Battle.")</f>
        <v>Damage your opponent's Spell Book when you win the Battle as an Attacker. After comparing Total Power, your opponent cannot apply the effects of cards in their Spell Book during the Battle.</v>
      </c>
      <c r="J1230" s="42" t="str">
        <f>IFERROR(__xludf.DUMMYFUNCTION("""COMPUTED_VALUE"""),"+3000")</f>
        <v>+3000</v>
      </c>
      <c r="K1230" s="42">
        <f>IFERROR(__xludf.DUMMYFUNCTION("""COMPUTED_VALUE"""),2.0)</f>
        <v>2</v>
      </c>
      <c r="L1230" s="42" t="str">
        <f>IFERROR(__xludf.DUMMYFUNCTION("""COMPUTED_VALUE"""),"The Gathering Storm, Series 3, Zeno and the Most Powerful Mamodo")</f>
        <v>The Gathering Storm, Series 3, Zeno and the Most Powerful Mamodo</v>
      </c>
      <c r="M1230" s="42" t="str">
        <f>IFERROR(__xludf.DUMMYFUNCTION("""COMPUTED_VALUE"""),"[R]")</f>
        <v>[R]</v>
      </c>
      <c r="N1230" s="42" t="str">
        <f>IFERROR(__xludf.DUMMYFUNCTION("""COMPUTED_VALUE"""),"Bari's 3rd spell. A gust of energy that spins like a drill, it covers his arm and adds more destructive power.")</f>
        <v>Bari's 3rd spell. A gust of energy that spins like a drill, it covers his arm and adds more destructive power.</v>
      </c>
      <c r="O1230" s="42"/>
      <c r="P1230" s="42"/>
      <c r="Q1230" s="42"/>
      <c r="R1230" s="42"/>
      <c r="S1230" s="42"/>
      <c r="T1230" s="42"/>
      <c r="U1230" s="42"/>
      <c r="V1230" s="42"/>
      <c r="W1230" s="42"/>
      <c r="X1230" s="42"/>
      <c r="Y1230" s="42"/>
      <c r="Z1230" s="42"/>
    </row>
    <row r="1231">
      <c r="A1231" s="41" t="str">
        <f>IFERROR(__xludf.DUMMYFUNCTION("""COMPUTED_VALUE"""),"S-104")</f>
        <v>S-104</v>
      </c>
      <c r="B1231" s="42" t="str">
        <f>IFERROR(__xludf.DUMMYFUNCTION("""COMPUTED_VALUE"""),"Spell")</f>
        <v>Spell</v>
      </c>
      <c r="C1231" s="42" t="str">
        <f>IFERROR(__xludf.DUMMYFUNCTION("""COMPUTED_VALUE"""),"Gigano Zonis")</f>
        <v>Gigano Zonis</v>
      </c>
      <c r="D1231" s="42" t="str">
        <f>IFERROR(__xludf.DUMMYFUNCTION("""COMPUTED_VALUE"""),"Bari")</f>
        <v>Bari</v>
      </c>
      <c r="E1231" s="42">
        <f>IFERROR(__xludf.DUMMYFUNCTION("""COMPUTED_VALUE"""),3.0)</f>
        <v>3</v>
      </c>
      <c r="F1231" s="42" t="str">
        <f>IFERROR(__xludf.DUMMYFUNCTION("""COMPUTED_VALUE"""),"AD")</f>
        <v>AD</v>
      </c>
      <c r="G1231" s="42" t="str">
        <f>IFERROR(__xludf.DUMMYFUNCTION("""COMPUTED_VALUE"""),"Intermediate")</f>
        <v>Intermediate</v>
      </c>
      <c r="H1231" s="42" t="str">
        <f>IFERROR(__xludf.DUMMYFUNCTION("""COMPUTED_VALUE"""),"-")</f>
        <v>-</v>
      </c>
      <c r="I1231" s="43" t="str">
        <f>IFERROR(__xludf.DUMMYFUNCTION("""COMPUTED_VALUE"""),"Damage your opponent's Spell Book when you win the Battle as an Attacker. Look at the currently open pages of your opponent's Spell Book; if there are no SPELL cards in the pages, increase the Damage of this SPELL card by 2.")</f>
        <v>Damage your opponent's Spell Book when you win the Battle as an Attacker. Look at the currently open pages of your opponent's Spell Book; if there are no SPELL cards in the pages, increase the Damage of this SPELL card by 2.</v>
      </c>
      <c r="J1231" s="42" t="str">
        <f>IFERROR(__xludf.DUMMYFUNCTION("""COMPUTED_VALUE"""),"+3000")</f>
        <v>+3000</v>
      </c>
      <c r="K1231" s="42">
        <f>IFERROR(__xludf.DUMMYFUNCTION("""COMPUTED_VALUE"""),2.0)</f>
        <v>2</v>
      </c>
      <c r="L1231" s="42" t="str">
        <f>IFERROR(__xludf.DUMMYFUNCTION("""COMPUTED_VALUE"""),"The Gathering Storm, Series 3, Zeno and the Most Powerful Mamodo")</f>
        <v>The Gathering Storm, Series 3, Zeno and the Most Powerful Mamodo</v>
      </c>
      <c r="M1231" s="42" t="str">
        <f>IFERROR(__xludf.DUMMYFUNCTION("""COMPUTED_VALUE"""),"[R]")</f>
        <v>[R]</v>
      </c>
      <c r="N1231" s="42" t="str">
        <f>IFERROR(__xludf.DUMMYFUNCTION("""COMPUTED_VALUE"""),"Bari's 4th spell. ""There is no surrender in the battle to become King!""")</f>
        <v>Bari's 4th spell. "There is no surrender in the battle to become King!"</v>
      </c>
      <c r="O1231" s="42"/>
      <c r="P1231" s="42"/>
      <c r="Q1231" s="42"/>
      <c r="R1231" s="42"/>
      <c r="S1231" s="42"/>
      <c r="T1231" s="42"/>
      <c r="U1231" s="42"/>
      <c r="V1231" s="42"/>
      <c r="W1231" s="42"/>
      <c r="X1231" s="42"/>
      <c r="Y1231" s="42"/>
      <c r="Z1231" s="42"/>
    </row>
    <row r="1232">
      <c r="A1232" s="41" t="str">
        <f>IFERROR(__xludf.DUMMYFUNCTION("""COMPUTED_VALUE"""),"S-105")</f>
        <v>S-105</v>
      </c>
      <c r="B1232" s="42" t="str">
        <f>IFERROR(__xludf.DUMMYFUNCTION("""COMPUTED_VALUE"""),"Spell")</f>
        <v>Spell</v>
      </c>
      <c r="C1232" s="42" t="str">
        <f>IFERROR(__xludf.DUMMYFUNCTION("""COMPUTED_VALUE"""),"Gigano Zonis")</f>
        <v>Gigano Zonis</v>
      </c>
      <c r="D1232" s="42" t="str">
        <f>IFERROR(__xludf.DUMMYFUNCTION("""COMPUTED_VALUE"""),"Bari")</f>
        <v>Bari</v>
      </c>
      <c r="E1232" s="42">
        <f>IFERROR(__xludf.DUMMYFUNCTION("""COMPUTED_VALUE"""),5.0)</f>
        <v>5</v>
      </c>
      <c r="F1232" s="42" t="str">
        <f>IFERROR(__xludf.DUMMYFUNCTION("""COMPUTED_VALUE"""),"AD")</f>
        <v>AD</v>
      </c>
      <c r="G1232" s="42" t="str">
        <f>IFERROR(__xludf.DUMMYFUNCTION("""COMPUTED_VALUE"""),"Intermediate")</f>
        <v>Intermediate</v>
      </c>
      <c r="H1232" s="42" t="str">
        <f>IFERROR(__xludf.DUMMYFUNCTION("""COMPUTED_VALUE"""),"-")</f>
        <v>-</v>
      </c>
      <c r="I1232" s="43" t="str">
        <f>IFERROR(__xludf.DUMMYFUNCTION("""COMPUTED_VALUE"""),"Damage your opponent's Spell Book when you win the Battle as an Attacker.")</f>
        <v>Damage your opponent's Spell Book when you win the Battle as an Attacker.</v>
      </c>
      <c r="J1232" s="42" t="str">
        <f>IFERROR(__xludf.DUMMYFUNCTION("""COMPUTED_VALUE"""),"+5000")</f>
        <v>+5000</v>
      </c>
      <c r="K1232" s="42">
        <f>IFERROR(__xludf.DUMMYFUNCTION("""COMPUTED_VALUE"""),3.0)</f>
        <v>3</v>
      </c>
      <c r="L1232" s="42" t="str">
        <f>IFERROR(__xludf.DUMMYFUNCTION("""COMPUTED_VALUE"""),"The Gathering Storm, Series 3, Zeno and the Most Powerful Mamodo")</f>
        <v>The Gathering Storm, Series 3, Zeno and the Most Powerful Mamodo</v>
      </c>
      <c r="M1232" s="42" t="str">
        <f>IFERROR(__xludf.DUMMYFUNCTION("""COMPUTED_VALUE"""),"[R]")</f>
        <v>[R]</v>
      </c>
      <c r="N1232" s="42" t="str">
        <f>IFERROR(__xludf.DUMMYFUNCTION("""COMPUTED_VALUE"""),"Bari's 4th spell. A huge energy vortex, it can catch excaping opponents.")</f>
        <v>Bari's 4th spell. A huge energy vortex, it can catch excaping opponents.</v>
      </c>
      <c r="O1232" s="42"/>
      <c r="P1232" s="42"/>
      <c r="Q1232" s="42"/>
      <c r="R1232" s="42"/>
      <c r="S1232" s="42"/>
      <c r="T1232" s="42"/>
      <c r="U1232" s="42"/>
      <c r="V1232" s="42"/>
      <c r="W1232" s="42"/>
      <c r="X1232" s="42"/>
      <c r="Y1232" s="42"/>
      <c r="Z1232" s="42"/>
    </row>
    <row r="1233">
      <c r="A1233" s="41" t="str">
        <f>IFERROR(__xludf.DUMMYFUNCTION("""COMPUTED_VALUE"""),"S-106")</f>
        <v>S-106</v>
      </c>
      <c r="B1233" s="42" t="str">
        <f>IFERROR(__xludf.DUMMYFUNCTION("""COMPUTED_VALUE"""),"Spell")</f>
        <v>Spell</v>
      </c>
      <c r="C1233" s="42" t="str">
        <f>IFERROR(__xludf.DUMMYFUNCTION("""COMPUTED_VALUE"""),"Zarushield")</f>
        <v>Zarushield</v>
      </c>
      <c r="D1233" s="42" t="str">
        <f>IFERROR(__xludf.DUMMYFUNCTION("""COMPUTED_VALUE"""),"Bari")</f>
        <v>Bari</v>
      </c>
      <c r="E1233" s="42">
        <f>IFERROR(__xludf.DUMMYFUNCTION("""COMPUTED_VALUE"""),2.0)</f>
        <v>2</v>
      </c>
      <c r="F1233" s="42" t="str">
        <f>IFERROR(__xludf.DUMMYFUNCTION("""COMPUTED_VALUE"""),"D")</f>
        <v>D</v>
      </c>
      <c r="G1233" s="42" t="str">
        <f>IFERROR(__xludf.DUMMYFUNCTION("""COMPUTED_VALUE"""),"None")</f>
        <v>None</v>
      </c>
      <c r="H1233" s="42" t="str">
        <f>IFERROR(__xludf.DUMMYFUNCTION("""COMPUTED_VALUE"""),"-")</f>
        <v>-</v>
      </c>
      <c r="I1233" s="43" t="str">
        <f>IFERROR(__xludf.DUMMYFUNCTION("""COMPUTED_VALUE"""),"Negate your opponent's Attack regardless of their Power. Then, turn 1 page of your Spell Book.")</f>
        <v>Negate your opponent's Attack regardless of their Power. Then, turn 1 page of your Spell Book.</v>
      </c>
      <c r="J1233" s="42" t="str">
        <f>IFERROR(__xludf.DUMMYFUNCTION("""COMPUTED_VALUE"""),"Special")</f>
        <v>Special</v>
      </c>
      <c r="K1233" s="42" t="str">
        <f>IFERROR(__xludf.DUMMYFUNCTION("""COMPUTED_VALUE"""),"-")</f>
        <v>-</v>
      </c>
      <c r="L1233" s="42" t="str">
        <f>IFERROR(__xludf.DUMMYFUNCTION("""COMPUTED_VALUE"""),"The Gathering Storm, Series 3, Zeno and the Most Powerful Mamodo")</f>
        <v>The Gathering Storm, Series 3, Zeno and the Most Powerful Mamodo</v>
      </c>
      <c r="M1233" s="42" t="str">
        <f>IFERROR(__xludf.DUMMYFUNCTION("""COMPUTED_VALUE"""),"[R]")</f>
        <v>[R]</v>
      </c>
      <c r="N1233" s="42" t="str">
        <f>IFERROR(__xludf.DUMMYFUNCTION("""COMPUTED_VALUE"""),"Bari's 5th spell. It creates a shield.")</f>
        <v>Bari's 5th spell. It creates a shield.</v>
      </c>
      <c r="O1233" s="42"/>
      <c r="P1233" s="42"/>
      <c r="Q1233" s="42"/>
      <c r="R1233" s="42"/>
      <c r="S1233" s="42"/>
      <c r="T1233" s="42"/>
      <c r="U1233" s="42"/>
      <c r="V1233" s="42"/>
      <c r="W1233" s="42"/>
      <c r="X1233" s="42"/>
      <c r="Y1233" s="42"/>
      <c r="Z1233" s="42"/>
    </row>
    <row r="1234">
      <c r="A1234" s="41" t="str">
        <f>IFERROR(__xludf.DUMMYFUNCTION("""COMPUTED_VALUE"""),"S-107")</f>
        <v>S-107</v>
      </c>
      <c r="B1234" s="42" t="str">
        <f>IFERROR(__xludf.DUMMYFUNCTION("""COMPUTED_VALUE"""),"Spell")</f>
        <v>Spell</v>
      </c>
      <c r="C1234" s="42" t="str">
        <f>IFERROR(__xludf.DUMMYFUNCTION("""COMPUTED_VALUE"""),"Zaker")</f>
        <v>Zaker</v>
      </c>
      <c r="D1234" s="42" t="str">
        <f>IFERROR(__xludf.DUMMYFUNCTION("""COMPUTED_VALUE"""),"Zatch Bell")</f>
        <v>Zatch Bell</v>
      </c>
      <c r="E1234" s="42">
        <f>IFERROR(__xludf.DUMMYFUNCTION("""COMPUTED_VALUE"""),1.0)</f>
        <v>1</v>
      </c>
      <c r="F1234" s="42" t="str">
        <f>IFERROR(__xludf.DUMMYFUNCTION("""COMPUTED_VALUE"""),"A")</f>
        <v>A</v>
      </c>
      <c r="G1234" s="42" t="str">
        <f>IFERROR(__xludf.DUMMYFUNCTION("""COMPUTED_VALUE"""),"None")</f>
        <v>None</v>
      </c>
      <c r="H1234" s="42" t="str">
        <f>IFERROR(__xludf.DUMMYFUNCTION("""COMPUTED_VALUE"""),"Thunder")</f>
        <v>Thunder</v>
      </c>
      <c r="I1234" s="43" t="str">
        <f>IFERROR(__xludf.DUMMYFUNCTION("""COMPUTED_VALUE"""),"Damage your opponent's Spell Book when you win the Battle as an Attacker.")</f>
        <v>Damage your opponent's Spell Book when you win the Battle as an Attacker.</v>
      </c>
      <c r="J1234" s="42" t="str">
        <f>IFERROR(__xludf.DUMMYFUNCTION("""COMPUTED_VALUE"""),"+2000")</f>
        <v>+2000</v>
      </c>
      <c r="K1234" s="42">
        <f>IFERROR(__xludf.DUMMYFUNCTION("""COMPUTED_VALUE"""),2.0)</f>
        <v>2</v>
      </c>
      <c r="L1234" s="42" t="str">
        <f>IFERROR(__xludf.DUMMYFUNCTION("""COMPUTED_VALUE"""),"The Gathering Storm, Series 3, Special Box, The Best Booster 2, Revised Edition")</f>
        <v>The Gathering Storm, Series 3, Special Box, The Best Booster 2, Revised Edition</v>
      </c>
      <c r="M1234" s="42" t="str">
        <f>IFERROR(__xludf.DUMMYFUNCTION("""COMPUTED_VALUE"""),"[C]")</f>
        <v>[C]</v>
      </c>
      <c r="N1234" s="42" t="str">
        <f>IFERROR(__xludf.DUMMYFUNCTION("""COMPUTED_VALUE"""),"Zatch's 1st spell. As Kiyo and Zatch's relationship grows stronger, so does the spell.")</f>
        <v>Zatch's 1st spell. As Kiyo and Zatch's relationship grows stronger, so does the spell.</v>
      </c>
      <c r="O1234" s="42"/>
      <c r="P1234" s="42"/>
      <c r="Q1234" s="42"/>
      <c r="R1234" s="42"/>
      <c r="S1234" s="42"/>
      <c r="T1234" s="42"/>
      <c r="U1234" s="42"/>
      <c r="V1234" s="42"/>
      <c r="W1234" s="42"/>
      <c r="X1234" s="42"/>
      <c r="Y1234" s="42"/>
      <c r="Z1234" s="42"/>
    </row>
    <row r="1235">
      <c r="A1235" s="41" t="str">
        <f>IFERROR(__xludf.DUMMYFUNCTION("""COMPUTED_VALUE"""),"S-108")</f>
        <v>S-108</v>
      </c>
      <c r="B1235" s="42" t="str">
        <f>IFERROR(__xludf.DUMMYFUNCTION("""COMPUTED_VALUE"""),"Spell")</f>
        <v>Spell</v>
      </c>
      <c r="C1235" s="42" t="str">
        <f>IFERROR(__xludf.DUMMYFUNCTION("""COMPUTED_VALUE"""),"Zaker")</f>
        <v>Zaker</v>
      </c>
      <c r="D1235" s="42" t="str">
        <f>IFERROR(__xludf.DUMMYFUNCTION("""COMPUTED_VALUE"""),"Zatch Bell")</f>
        <v>Zatch Bell</v>
      </c>
      <c r="E1235" s="42">
        <f>IFERROR(__xludf.DUMMYFUNCTION("""COMPUTED_VALUE"""),2.0)</f>
        <v>2</v>
      </c>
      <c r="F1235" s="42" t="str">
        <f>IFERROR(__xludf.DUMMYFUNCTION("""COMPUTED_VALUE"""),"AD")</f>
        <v>AD</v>
      </c>
      <c r="G1235" s="42" t="str">
        <f>IFERROR(__xludf.DUMMYFUNCTION("""COMPUTED_VALUE"""),"None")</f>
        <v>None</v>
      </c>
      <c r="H1235" s="42" t="str">
        <f>IFERROR(__xludf.DUMMYFUNCTION("""COMPUTED_VALUE"""),"Thunder")</f>
        <v>Thunder</v>
      </c>
      <c r="I1235" s="43" t="str">
        <f>IFERROR(__xludf.DUMMYFUNCTION("""COMPUTED_VALUE"""),"Damage your opponent's Spell Book when you win the Battle as an Attacker. Flip a coin; if it's heads, add 2000 Power to this SPELL card.")</f>
        <v>Damage your opponent's Spell Book when you win the Battle as an Attacker. Flip a coin; if it's heads, add 2000 Power to this SPELL card.</v>
      </c>
      <c r="J1235" s="42" t="str">
        <f>IFERROR(__xludf.DUMMYFUNCTION("""COMPUTED_VALUE"""),"+1000")</f>
        <v>+1000</v>
      </c>
      <c r="K1235" s="42">
        <f>IFERROR(__xludf.DUMMYFUNCTION("""COMPUTED_VALUE"""),2.0)</f>
        <v>2</v>
      </c>
      <c r="L1235" s="42" t="str">
        <f>IFERROR(__xludf.DUMMYFUNCTION("""COMPUTED_VALUE"""),"The Gathering Storm, Series 3, Special Box")</f>
        <v>The Gathering Storm, Series 3, Special Box</v>
      </c>
      <c r="M1235" s="42" t="str">
        <f>IFERROR(__xludf.DUMMYFUNCTION("""COMPUTED_VALUE"""),"[C]")</f>
        <v>[C]</v>
      </c>
      <c r="N1235" s="42" t="str">
        <f>IFERROR(__xludf.DUMMYFUNCTION("""COMPUTED_VALUE"""),"Zatch's 1st spell. ""READY? Zaker!""")</f>
        <v>Zatch's 1st spell. "READY? Zaker!"</v>
      </c>
      <c r="O1235" s="42"/>
      <c r="P1235" s="42"/>
      <c r="Q1235" s="42"/>
      <c r="R1235" s="42"/>
      <c r="S1235" s="42"/>
      <c r="T1235" s="42"/>
      <c r="U1235" s="42"/>
      <c r="V1235" s="42"/>
      <c r="W1235" s="42"/>
      <c r="X1235" s="42"/>
      <c r="Y1235" s="42"/>
      <c r="Z1235" s="42"/>
    </row>
    <row r="1236">
      <c r="A1236" s="41" t="str">
        <f>IFERROR(__xludf.DUMMYFUNCTION("""COMPUTED_VALUE"""),"S-109")</f>
        <v>S-109</v>
      </c>
      <c r="B1236" s="42" t="str">
        <f>IFERROR(__xludf.DUMMYFUNCTION("""COMPUTED_VALUE"""),"Spell")</f>
        <v>Spell</v>
      </c>
      <c r="C1236" s="42" t="str">
        <f>IFERROR(__xludf.DUMMYFUNCTION("""COMPUTED_VALUE"""),"Rashield")</f>
        <v>Rashield</v>
      </c>
      <c r="D1236" s="42" t="str">
        <f>IFERROR(__xludf.DUMMYFUNCTION("""COMPUTED_VALUE"""),"Zatch Bell")</f>
        <v>Zatch Bell</v>
      </c>
      <c r="E1236" s="42">
        <f>IFERROR(__xludf.DUMMYFUNCTION("""COMPUTED_VALUE"""),1.0)</f>
        <v>1</v>
      </c>
      <c r="F1236" s="42" t="str">
        <f>IFERROR(__xludf.DUMMYFUNCTION("""COMPUTED_VALUE"""),"D")</f>
        <v>D</v>
      </c>
      <c r="G1236" s="42" t="str">
        <f>IFERROR(__xludf.DUMMYFUNCTION("""COMPUTED_VALUE"""),"None")</f>
        <v>None</v>
      </c>
      <c r="H1236" s="42" t="str">
        <f>IFERROR(__xludf.DUMMYFUNCTION("""COMPUTED_VALUE"""),"Thunder")</f>
        <v>Thunder</v>
      </c>
      <c r="I1236" s="43" t="str">
        <f>IFERROR(__xludf.DUMMYFUNCTION("""COMPUTED_VALUE"""),"[COUNTER] Negate your opponent's Attack and flip a coin when you win the Battle as a Defender; if it's heads, Damage your opponent's Spell Book.")</f>
        <v>[COUNTER] Negate your opponent's Attack and flip a coin when you win the Battle as a Defender; if it's heads, Damage your opponent's Spell Book.</v>
      </c>
      <c r="J1236" s="42" t="str">
        <f>IFERROR(__xludf.DUMMYFUNCTION("""COMPUTED_VALUE"""),"+5000")</f>
        <v>+5000</v>
      </c>
      <c r="K1236" s="42">
        <f>IFERROR(__xludf.DUMMYFUNCTION("""COMPUTED_VALUE"""),1.0)</f>
        <v>1</v>
      </c>
      <c r="L1236" s="42" t="str">
        <f>IFERROR(__xludf.DUMMYFUNCTION("""COMPUTED_VALUE"""),"The Gathering Storm, Series 3, Special Box, File 1: Zatch Bell &amp; Ponygon")</f>
        <v>The Gathering Storm, Series 3, Special Box, File 1: Zatch Bell &amp; Ponygon</v>
      </c>
      <c r="M1236" s="42" t="str">
        <f>IFERROR(__xludf.DUMMYFUNCTION("""COMPUTED_VALUE"""),"[C]")</f>
        <v>[C]</v>
      </c>
      <c r="N1236" s="42" t="str">
        <f>IFERROR(__xludf.DUMMYFUNCTION("""COMPUTED_VALUE"""),"Zatch's 2nd spell. ""Zatch, launch their spell right back at them!""")</f>
        <v>Zatch's 2nd spell. "Zatch, launch their spell right back at them!"</v>
      </c>
      <c r="O1236" s="42"/>
      <c r="P1236" s="42"/>
      <c r="Q1236" s="42"/>
      <c r="R1236" s="42"/>
      <c r="S1236" s="42"/>
      <c r="T1236" s="42"/>
      <c r="U1236" s="42"/>
      <c r="V1236" s="42"/>
      <c r="W1236" s="42"/>
      <c r="X1236" s="42"/>
      <c r="Y1236" s="42"/>
      <c r="Z1236" s="42"/>
    </row>
    <row r="1237">
      <c r="A1237" s="41" t="str">
        <f>IFERROR(__xludf.DUMMYFUNCTION("""COMPUTED_VALUE"""),"S-110")</f>
        <v>S-110</v>
      </c>
      <c r="B1237" s="42" t="str">
        <f>IFERROR(__xludf.DUMMYFUNCTION("""COMPUTED_VALUE"""),"Spell")</f>
        <v>Spell</v>
      </c>
      <c r="C1237" s="42" t="str">
        <f>IFERROR(__xludf.DUMMYFUNCTION("""COMPUTED_VALUE"""),"Jikerdor")</f>
        <v>Jikerdor</v>
      </c>
      <c r="D1237" s="42" t="str">
        <f>IFERROR(__xludf.DUMMYFUNCTION("""COMPUTED_VALUE"""),"Zatch Bell")</f>
        <v>Zatch Bell</v>
      </c>
      <c r="E1237" s="42">
        <f>IFERROR(__xludf.DUMMYFUNCTION("""COMPUTED_VALUE"""),1.0)</f>
        <v>1</v>
      </c>
      <c r="F1237" s="42" t="str">
        <f>IFERROR(__xludf.DUMMYFUNCTION("""COMPUTED_VALUE"""),"A")</f>
        <v>A</v>
      </c>
      <c r="G1237" s="42" t="str">
        <f>IFERROR(__xludf.DUMMYFUNCTION("""COMPUTED_VALUE"""),"None")</f>
        <v>None</v>
      </c>
      <c r="H1237" s="42" t="str">
        <f>IFERROR(__xludf.DUMMYFUNCTION("""COMPUTED_VALUE"""),"Thunder")</f>
        <v>Thunder</v>
      </c>
      <c r="I1237" s="43" t="str">
        <f>IFERROR(__xludf.DUMMYFUNCTION("""COMPUTED_VALUE"""),"Damage your opponent's Spell Book when you win the Battle as an Attacker. When you inflict Damage or Injury, your opponent cannot play SPELL cards during this turn ([STAY]).")</f>
        <v>Damage your opponent's Spell Book when you win the Battle as an Attacker. When you inflict Damage or Injury, your opponent cannot play SPELL cards during this turn ([STAY]).</v>
      </c>
      <c r="J1237" s="42" t="str">
        <f>IFERROR(__xludf.DUMMYFUNCTION("""COMPUTED_VALUE"""),"+2000")</f>
        <v>+2000</v>
      </c>
      <c r="K1237" s="42">
        <f>IFERROR(__xludf.DUMMYFUNCTION("""COMPUTED_VALUE"""),1.0)</f>
        <v>1</v>
      </c>
      <c r="L1237" s="42" t="str">
        <f>IFERROR(__xludf.DUMMYFUNCTION("""COMPUTED_VALUE"""),"The Gathering Storm, Series 3, Special Box")</f>
        <v>The Gathering Storm, Series 3, Special Box</v>
      </c>
      <c r="M1237" s="42" t="str">
        <f>IFERROR(__xludf.DUMMYFUNCTION("""COMPUTED_VALUE"""),"[C]")</f>
        <v>[C]</v>
      </c>
      <c r="N1237" s="42" t="str">
        <f>IFERROR(__xludf.DUMMYFUNCTION("""COMPUTED_VALUE"""),"Zatch's 3rd spell. It is effective in locations where it can magnetize metallic objects.")</f>
        <v>Zatch's 3rd spell. It is effective in locations where it can magnetize metallic objects.</v>
      </c>
      <c r="O1237" s="42"/>
      <c r="P1237" s="42"/>
      <c r="Q1237" s="42"/>
      <c r="R1237" s="42"/>
      <c r="S1237" s="42"/>
      <c r="T1237" s="42"/>
      <c r="U1237" s="42"/>
      <c r="V1237" s="42"/>
      <c r="W1237" s="42"/>
      <c r="X1237" s="42"/>
      <c r="Y1237" s="42"/>
      <c r="Z1237" s="42"/>
    </row>
    <row r="1238">
      <c r="A1238" s="41" t="str">
        <f>IFERROR(__xludf.DUMMYFUNCTION("""COMPUTED_VALUE"""),"S-111")</f>
        <v>S-111</v>
      </c>
      <c r="B1238" s="42" t="str">
        <f>IFERROR(__xludf.DUMMYFUNCTION("""COMPUTED_VALUE"""),"Spell")</f>
        <v>Spell</v>
      </c>
      <c r="C1238" s="42" t="str">
        <f>IFERROR(__xludf.DUMMYFUNCTION("""COMPUTED_VALUE"""),"Bao Zakeruga")</f>
        <v>Bao Zakeruga</v>
      </c>
      <c r="D1238" s="42" t="str">
        <f>IFERROR(__xludf.DUMMYFUNCTION("""COMPUTED_VALUE"""),"Zatch Bell")</f>
        <v>Zatch Bell</v>
      </c>
      <c r="E1238" s="42">
        <f>IFERROR(__xludf.DUMMYFUNCTION("""COMPUTED_VALUE"""),7.0)</f>
        <v>7</v>
      </c>
      <c r="F1238" s="42" t="str">
        <f>IFERROR(__xludf.DUMMYFUNCTION("""COMPUTED_VALUE"""),"A")</f>
        <v>A</v>
      </c>
      <c r="G1238" s="42" t="str">
        <f>IFERROR(__xludf.DUMMYFUNCTION("""COMPUTED_VALUE"""),"Superior")</f>
        <v>Superior</v>
      </c>
      <c r="H1238" s="42" t="str">
        <f>IFERROR(__xludf.DUMMYFUNCTION("""COMPUTED_VALUE"""),"Thunder")</f>
        <v>Thunder</v>
      </c>
      <c r="I1238" s="43" t="str">
        <f>IFERROR(__xludf.DUMMYFUNCTION("""COMPUTED_VALUE"""),"Damage your opponent's Spell Book when you win the Battle as an Attacker. Flip a coin; if it's heads, your opponent can neither SACRIFICE nor PROTECT their Spell Book from Damage.")</f>
        <v>Damage your opponent's Spell Book when you win the Battle as an Attacker. Flip a coin; if it's heads, your opponent can neither SACRIFICE nor PROTECT their Spell Book from Damage.</v>
      </c>
      <c r="J1238" s="42" t="str">
        <f>IFERROR(__xludf.DUMMYFUNCTION("""COMPUTED_VALUE"""),"+6000")</f>
        <v>+6000</v>
      </c>
      <c r="K1238" s="42">
        <f>IFERROR(__xludf.DUMMYFUNCTION("""COMPUTED_VALUE"""),3.0)</f>
        <v>3</v>
      </c>
      <c r="L1238" s="42" t="str">
        <f>IFERROR(__xludf.DUMMYFUNCTION("""COMPUTED_VALUE"""),"The Gathering Storm, Series 3, Special Box, The Best Booster 2")</f>
        <v>The Gathering Storm, Series 3, Special Box, The Best Booster 2</v>
      </c>
      <c r="M1238" s="42" t="str">
        <f>IFERROR(__xludf.DUMMYFUNCTION("""COMPUTED_VALUE"""),"[SR]")</f>
        <v>[SR]</v>
      </c>
      <c r="N1238" s="42" t="str">
        <f>IFERROR(__xludf.DUMMYFUNCTION("""COMPUTED_VALUE"""),"Zatch's 4th spell. As Zatch and Kiyo battle, more power accumulates and Zatch is able to launch a powerful lightning dragon.")</f>
        <v>Zatch's 4th spell. As Zatch and Kiyo battle, more power accumulates and Zatch is able to launch a powerful lightning dragon.</v>
      </c>
      <c r="O1238" s="42"/>
      <c r="P1238" s="42"/>
      <c r="Q1238" s="42"/>
      <c r="R1238" s="42"/>
      <c r="S1238" s="42"/>
      <c r="T1238" s="42"/>
      <c r="U1238" s="42"/>
      <c r="V1238" s="42"/>
      <c r="W1238" s="42"/>
      <c r="X1238" s="42"/>
      <c r="Y1238" s="42"/>
      <c r="Z1238" s="42"/>
    </row>
    <row r="1239">
      <c r="A1239" s="41" t="str">
        <f>IFERROR(__xludf.DUMMYFUNCTION("""COMPUTED_VALUE"""),"S-112e")</f>
        <v>S-112e</v>
      </c>
      <c r="B1239" s="42" t="str">
        <f>IFERROR(__xludf.DUMMYFUNCTION("""COMPUTED_VALUE"""),"Spell")</f>
        <v>Spell</v>
      </c>
      <c r="C1239" s="42" t="str">
        <f>IFERROR(__xludf.DUMMYFUNCTION("""COMPUTED_VALUE"""),"Zakeruga")</f>
        <v>Zakeruga</v>
      </c>
      <c r="D1239" s="42" t="str">
        <f>IFERROR(__xludf.DUMMYFUNCTION("""COMPUTED_VALUE"""),"Zatch Bell")</f>
        <v>Zatch Bell</v>
      </c>
      <c r="E1239" s="42">
        <f>IFERROR(__xludf.DUMMYFUNCTION("""COMPUTED_VALUE"""),3.0)</f>
        <v>3</v>
      </c>
      <c r="F1239" s="42" t="str">
        <f>IFERROR(__xludf.DUMMYFUNCTION("""COMPUTED_VALUE"""),"AD")</f>
        <v>AD</v>
      </c>
      <c r="G1239" s="42" t="str">
        <f>IFERROR(__xludf.DUMMYFUNCTION("""COMPUTED_VALUE"""),"Intermediate")</f>
        <v>Intermediate</v>
      </c>
      <c r="H1239" s="42" t="str">
        <f>IFERROR(__xludf.DUMMYFUNCTION("""COMPUTED_VALUE"""),"Thunder")</f>
        <v>Thunder</v>
      </c>
      <c r="I1239" s="43" t="str">
        <f>IFERROR(__xludf.DUMMYFUNCTION("""COMPUTED_VALUE"""),"Damage your opponent's Spell Book when you win the Battle as an Attacker.")</f>
        <v>Damage your opponent's Spell Book when you win the Battle as an Attacker.</v>
      </c>
      <c r="J1239" s="42" t="str">
        <f>IFERROR(__xludf.DUMMYFUNCTION("""COMPUTED_VALUE"""),"+3000")</f>
        <v>+3000</v>
      </c>
      <c r="K1239" s="42">
        <f>IFERROR(__xludf.DUMMYFUNCTION("""COMPUTED_VALUE"""),2.0)</f>
        <v>2</v>
      </c>
      <c r="L1239" s="42" t="str">
        <f>IFERROR(__xludf.DUMMYFUNCTION("""COMPUTED_VALUE"""),"The Gathering Storm, Series 3, Special Box, The Best Booster 2")</f>
        <v>The Gathering Storm, Series 3, Special Box, The Best Booster 2</v>
      </c>
      <c r="M1239" s="42" t="str">
        <f>IFERROR(__xludf.DUMMYFUNCTION("""COMPUTED_VALUE"""),"[C]")</f>
        <v>[C]</v>
      </c>
      <c r="N1239" s="42" t="str">
        <f>IFERROR(__xludf.DUMMYFUNCTION("""COMPUTED_VALUE"""),"Zatch's 5th spell. ""Don't stop, follow through! Zakeruga!""")</f>
        <v>Zatch's 5th spell. "Don't stop, follow through! Zakeruga!"</v>
      </c>
      <c r="O1239" s="42"/>
      <c r="P1239" s="42"/>
      <c r="Q1239" s="42"/>
      <c r="R1239" s="42"/>
      <c r="S1239" s="42"/>
      <c r="T1239" s="42"/>
      <c r="U1239" s="42"/>
      <c r="V1239" s="42"/>
      <c r="W1239" s="42"/>
      <c r="X1239" s="42"/>
      <c r="Y1239" s="42"/>
      <c r="Z1239" s="42"/>
    </row>
    <row r="1240">
      <c r="A1240" s="41" t="str">
        <f>IFERROR(__xludf.DUMMYFUNCTION("""COMPUTED_VALUE"""),"S-112j")</f>
        <v>S-112j</v>
      </c>
      <c r="B1240" s="42" t="str">
        <f>IFERROR(__xludf.DUMMYFUNCTION("""COMPUTED_VALUE"""),"Spell")</f>
        <v>Spell</v>
      </c>
      <c r="C1240" s="42" t="str">
        <f>IFERROR(__xludf.DUMMYFUNCTION("""COMPUTED_VALUE"""),"Zakeruga")</f>
        <v>Zakeruga</v>
      </c>
      <c r="D1240" s="42" t="str">
        <f>IFERROR(__xludf.DUMMYFUNCTION("""COMPUTED_VALUE"""),"Zatch Bell")</f>
        <v>Zatch Bell</v>
      </c>
      <c r="E1240" s="42">
        <f>IFERROR(__xludf.DUMMYFUNCTION("""COMPUTED_VALUE"""),3.0)</f>
        <v>3</v>
      </c>
      <c r="F1240" s="42" t="str">
        <f>IFERROR(__xludf.DUMMYFUNCTION("""COMPUTED_VALUE"""),"AD")</f>
        <v>AD</v>
      </c>
      <c r="G1240" s="42" t="str">
        <f>IFERROR(__xludf.DUMMYFUNCTION("""COMPUTED_VALUE"""),"Intermediate")</f>
        <v>Intermediate</v>
      </c>
      <c r="H1240" s="42" t="str">
        <f>IFERROR(__xludf.DUMMYFUNCTION("""COMPUTED_VALUE"""),"Thunder")</f>
        <v>Thunder</v>
      </c>
      <c r="I1240" s="43" t="str">
        <f>IFERROR(__xludf.DUMMYFUNCTION("""COMPUTED_VALUE"""),"Damage your opponent's Spell Book when you win the Battle as an Attacker. If your opponent SACRIFICED or PROTECTED their Spell Book from this SPELL card's Damage, turn 1 page of your opponent's Spell Book.")</f>
        <v>Damage your opponent's Spell Book when you win the Battle as an Attacker. If your opponent SACRIFICED or PROTECTED their Spell Book from this SPELL card's Damage, turn 1 page of your opponent's Spell Book.</v>
      </c>
      <c r="J1240" s="42" t="str">
        <f>IFERROR(__xludf.DUMMYFUNCTION("""COMPUTED_VALUE"""),"+3000")</f>
        <v>+3000</v>
      </c>
      <c r="K1240" s="42">
        <f>IFERROR(__xludf.DUMMYFUNCTION("""COMPUTED_VALUE"""),2.0)</f>
        <v>2</v>
      </c>
      <c r="L1240" s="42" t="str">
        <f>IFERROR(__xludf.DUMMYFUNCTION("""COMPUTED_VALUE"""),"The Gathering Storm, Series 3, Special Box, The Best Booster 2")</f>
        <v>The Gathering Storm, Series 3, Special Box, The Best Booster 2</v>
      </c>
      <c r="M1240" s="42" t="str">
        <f>IFERROR(__xludf.DUMMYFUNCTION("""COMPUTED_VALUE"""),"[C]")</f>
        <v>[C]</v>
      </c>
      <c r="N1240" s="42" t="str">
        <f>IFERROR(__xludf.DUMMYFUNCTION("""COMPUTED_VALUE"""),"Zatch's 5th spell. ""Don't stop, follow through! Zakeruga!""")</f>
        <v>Zatch's 5th spell. "Don't stop, follow through! Zakeruga!"</v>
      </c>
      <c r="O1240" s="42"/>
      <c r="P1240" s="42"/>
      <c r="Q1240" s="42"/>
      <c r="R1240" s="42"/>
      <c r="S1240" s="42"/>
      <c r="T1240" s="42"/>
      <c r="U1240" s="42"/>
      <c r="V1240" s="42"/>
      <c r="W1240" s="42"/>
      <c r="X1240" s="42"/>
      <c r="Y1240" s="42"/>
      <c r="Z1240" s="42"/>
    </row>
    <row r="1241">
      <c r="A1241" s="41" t="str">
        <f>IFERROR(__xludf.DUMMYFUNCTION("""COMPUTED_VALUE"""),"S-113")</f>
        <v>S-113</v>
      </c>
      <c r="B1241" s="42" t="str">
        <f>IFERROR(__xludf.DUMMYFUNCTION("""COMPUTED_VALUE"""),"Spell")</f>
        <v>Spell</v>
      </c>
      <c r="C1241" s="42" t="str">
        <f>IFERROR(__xludf.DUMMYFUNCTION("""COMPUTED_VALUE"""),"Rauzaruk")</f>
        <v>Rauzaruk</v>
      </c>
      <c r="D1241" s="42" t="str">
        <f>IFERROR(__xludf.DUMMYFUNCTION("""COMPUTED_VALUE"""),"Zatch Bell")</f>
        <v>Zatch Bell</v>
      </c>
      <c r="E1241" s="42">
        <f>IFERROR(__xludf.DUMMYFUNCTION("""COMPUTED_VALUE"""),1.0)</f>
        <v>1</v>
      </c>
      <c r="F1241" s="42" t="str">
        <f>IFERROR(__xludf.DUMMYFUNCTION("""COMPUTED_VALUE"""),"A")</f>
        <v>A</v>
      </c>
      <c r="G1241" s="42" t="str">
        <f>IFERROR(__xludf.DUMMYFUNCTION("""COMPUTED_VALUE"""),"Intermediate")</f>
        <v>Intermediate</v>
      </c>
      <c r="H1241" s="42" t="str">
        <f>IFERROR(__xludf.DUMMYFUNCTION("""COMPUTED_VALUE"""),"Thunder")</f>
        <v>Thunder</v>
      </c>
      <c r="I1241" s="43" t="str">
        <f>IFERROR(__xludf.DUMMYFUNCTION("""COMPUTED_VALUE"""),"[STAY] Add the text below to your Zatch Bell MAMODO card until the END PHASE of your next turn: ● (Attack)(Defend)[DECLARE TO USE] This card may Attack without using a SPELL card (Total Power=10000, Damage=1), OR Defend without using a SPELL card (Total P"&amp;"ower=10000).")</f>
        <v>[STAY] Add the text below to your Zatch Bell MAMODO card until the END PHASE of your next turn: ● (Attack)(Defend)[DECLARE TO USE] This card may Attack without using a SPELL card (Total Power=10000, Damage=1), OR Defend without using a SPELL card (Total Power=10000).</v>
      </c>
      <c r="J1241" s="42" t="str">
        <f>IFERROR(__xludf.DUMMYFUNCTION("""COMPUTED_VALUE"""),"Special")</f>
        <v>Special</v>
      </c>
      <c r="K1241" s="42" t="str">
        <f>IFERROR(__xludf.DUMMYFUNCTION("""COMPUTED_VALUE"""),"-")</f>
        <v>-</v>
      </c>
      <c r="L1241" s="42" t="str">
        <f>IFERROR(__xludf.DUMMYFUNCTION("""COMPUTED_VALUE"""),"The Gathering Storm, Series 3, Level 4, The Best Booster 1")</f>
        <v>The Gathering Storm, Series 3, Level 4, The Best Booster 1</v>
      </c>
      <c r="M1241" s="42" t="str">
        <f>IFERROR(__xludf.DUMMYFUNCTION("""COMPUTED_VALUE"""),"[SR]")</f>
        <v>[SR]</v>
      </c>
      <c r="N1241" s="42" t="str">
        <f>IFERROR(__xludf.DUMMYFUNCTION("""COMPUTED_VALUE"""),"Zatch's 6th spell. While it is activated, it reinforces Zatch's body, strength, and speed.")</f>
        <v>Zatch's 6th spell. While it is activated, it reinforces Zatch's body, strength, and speed.</v>
      </c>
      <c r="O1241" s="42"/>
      <c r="P1241" s="42"/>
      <c r="Q1241" s="42"/>
      <c r="R1241" s="42"/>
      <c r="S1241" s="42"/>
      <c r="T1241" s="42"/>
      <c r="U1241" s="42"/>
      <c r="V1241" s="42"/>
      <c r="W1241" s="42"/>
      <c r="X1241" s="42"/>
      <c r="Y1241" s="42"/>
      <c r="Z1241" s="42"/>
    </row>
    <row r="1242">
      <c r="A1242" s="41" t="str">
        <f>IFERROR(__xludf.DUMMYFUNCTION("""COMPUTED_VALUE"""),"S-114")</f>
        <v>S-114</v>
      </c>
      <c r="B1242" s="42" t="str">
        <f>IFERROR(__xludf.DUMMYFUNCTION("""COMPUTED_VALUE"""),"Spell")</f>
        <v>Spell</v>
      </c>
      <c r="C1242" s="42" t="str">
        <f>IFERROR(__xludf.DUMMYFUNCTION("""COMPUTED_VALUE"""),"Clayshield")</f>
        <v>Clayshield</v>
      </c>
      <c r="D1242" s="42" t="str">
        <f>IFERROR(__xludf.DUMMYFUNCTION("""COMPUTED_VALUE"""),"Eshros")</f>
        <v>Eshros</v>
      </c>
      <c r="E1242" s="42">
        <f>IFERROR(__xludf.DUMMYFUNCTION("""COMPUTED_VALUE"""),1.0)</f>
        <v>1</v>
      </c>
      <c r="F1242" s="42" t="str">
        <f>IFERROR(__xludf.DUMMYFUNCTION("""COMPUTED_VALUE"""),"D")</f>
        <v>D</v>
      </c>
      <c r="G1242" s="42" t="str">
        <f>IFERROR(__xludf.DUMMYFUNCTION("""COMPUTED_VALUE"""),"None")</f>
        <v>None</v>
      </c>
      <c r="H1242" s="42" t="str">
        <f>IFERROR(__xludf.DUMMYFUNCTION("""COMPUTED_VALUE"""),"Ground")</f>
        <v>Ground</v>
      </c>
      <c r="I1242" s="43" t="str">
        <f>IFERROR(__xludf.DUMMYFUNCTION("""COMPUTED_VALUE"""),"Negate your opponent's Attack when you win the Battle as a Defender.")</f>
        <v>Negate your opponent's Attack when you win the Battle as a Defender.</v>
      </c>
      <c r="J1242" s="42" t="str">
        <f>IFERROR(__xludf.DUMMYFUNCTION("""COMPUTED_VALUE"""),"+5000")</f>
        <v>+5000</v>
      </c>
      <c r="K1242" s="42" t="str">
        <f>IFERROR(__xludf.DUMMYFUNCTION("""COMPUTED_VALUE"""),"-")</f>
        <v>-</v>
      </c>
      <c r="L1242" s="42" t="str">
        <f>IFERROR(__xludf.DUMMYFUNCTION("""COMPUTED_VALUE"""),"Supreme Power of the Golden Spell, Series 2, Level 4")</f>
        <v>Supreme Power of the Golden Spell, Series 2, Level 4</v>
      </c>
      <c r="M1242" s="42" t="str">
        <f>IFERROR(__xludf.DUMMYFUNCTION("""COMPUTED_VALUE"""),"[C]")</f>
        <v>[C]</v>
      </c>
      <c r="N1242" s="42" t="str">
        <f>IFERROR(__xludf.DUMMYFUNCTION("""COMPUTED_VALUE"""),"Earth swells and becomes a shield which protects the body from opponent's attacks.")</f>
        <v>Earth swells and becomes a shield which protects the body from opponent's attacks.</v>
      </c>
      <c r="O1242" s="42"/>
      <c r="P1242" s="42"/>
      <c r="Q1242" s="42"/>
      <c r="R1242" s="42"/>
      <c r="S1242" s="42"/>
      <c r="T1242" s="42"/>
      <c r="U1242" s="42"/>
      <c r="V1242" s="42"/>
      <c r="W1242" s="42"/>
      <c r="X1242" s="42"/>
      <c r="Y1242" s="42"/>
      <c r="Z1242" s="42"/>
    </row>
    <row r="1243">
      <c r="A1243" s="41" t="str">
        <f>IFERROR(__xludf.DUMMYFUNCTION("""COMPUTED_VALUE"""),"S-115")</f>
        <v>S-115</v>
      </c>
      <c r="B1243" s="42" t="str">
        <f>IFERROR(__xludf.DUMMYFUNCTION("""COMPUTED_VALUE"""),"Spell")</f>
        <v>Spell</v>
      </c>
      <c r="C1243" s="42" t="str">
        <f>IFERROR(__xludf.DUMMYFUNCTION("""COMPUTED_VALUE"""),"Groundgarudo")</f>
        <v>Groundgarudo</v>
      </c>
      <c r="D1243" s="42" t="str">
        <f>IFERROR(__xludf.DUMMYFUNCTION("""COMPUTED_VALUE"""),"Eshros")</f>
        <v>Eshros</v>
      </c>
      <c r="E1243" s="42">
        <f>IFERROR(__xludf.DUMMYFUNCTION("""COMPUTED_VALUE"""),3.0)</f>
        <v>3</v>
      </c>
      <c r="F1243" s="42" t="str">
        <f>IFERROR(__xludf.DUMMYFUNCTION("""COMPUTED_VALUE"""),"A")</f>
        <v>A</v>
      </c>
      <c r="G1243" s="42" t="str">
        <f>IFERROR(__xludf.DUMMYFUNCTION("""COMPUTED_VALUE"""),"None")</f>
        <v>None</v>
      </c>
      <c r="H1243" s="42" t="str">
        <f>IFERROR(__xludf.DUMMYFUNCTION("""COMPUTED_VALUE"""),"Ground")</f>
        <v>Ground</v>
      </c>
      <c r="I1243" s="43" t="str">
        <f>IFERROR(__xludf.DUMMYFUNCTION("""COMPUTED_VALUE"""),"Apply both of the following effects in order when you win the Battle as an Attacker: ● Damage your opponent's Spell Book. ● Flip a coin; if it's heads, Injure 1 of your opponent's MAMODO.")</f>
        <v>Apply both of the following effects in order when you win the Battle as an Attacker: ● Damage your opponent's Spell Book. ● Flip a coin; if it's heads, Injure 1 of your opponent's MAMODO.</v>
      </c>
      <c r="J1243" s="42" t="str">
        <f>IFERROR(__xludf.DUMMYFUNCTION("""COMPUTED_VALUE"""),"+4000")</f>
        <v>+4000</v>
      </c>
      <c r="K1243" s="42">
        <f>IFERROR(__xludf.DUMMYFUNCTION("""COMPUTED_VALUE"""),1.0)</f>
        <v>1</v>
      </c>
      <c r="L1243" s="42" t="str">
        <f>IFERROR(__xludf.DUMMYFUNCTION("""COMPUTED_VALUE"""),"Supreme Power of the Golden Spell, Series 2, Level 4")</f>
        <v>Supreme Power of the Golden Spell, Series 2, Level 4</v>
      </c>
      <c r="M1243" s="42" t="str">
        <f>IFERROR(__xludf.DUMMYFUNCTION("""COMPUTED_VALUE"""),"[U]")</f>
        <v>[U]</v>
      </c>
      <c r="N1243" s="42" t="str">
        <f>IFERROR(__xludf.DUMMYFUNCTION("""COMPUTED_VALUE"""),"A sharp lump of stone which pushes up from the ground and attacks opponents.")</f>
        <v>A sharp lump of stone which pushes up from the ground and attacks opponents.</v>
      </c>
      <c r="O1243" s="42"/>
      <c r="P1243" s="42"/>
      <c r="Q1243" s="42"/>
      <c r="R1243" s="42"/>
      <c r="S1243" s="42"/>
      <c r="T1243" s="42"/>
      <c r="U1243" s="42"/>
      <c r="V1243" s="42"/>
      <c r="W1243" s="42"/>
      <c r="X1243" s="42"/>
      <c r="Y1243" s="42"/>
      <c r="Z1243" s="42"/>
    </row>
    <row r="1244">
      <c r="A1244" s="41" t="str">
        <f>IFERROR(__xludf.DUMMYFUNCTION("""COMPUTED_VALUE"""),"S-116")</f>
        <v>S-116</v>
      </c>
      <c r="B1244" s="42" t="str">
        <f>IFERROR(__xludf.DUMMYFUNCTION("""COMPUTED_VALUE"""),"Spell")</f>
        <v>Spell</v>
      </c>
      <c r="C1244" s="42" t="str">
        <f>IFERROR(__xludf.DUMMYFUNCTION("""COMPUTED_VALUE"""),"Claydo")</f>
        <v>Claydo</v>
      </c>
      <c r="D1244" s="42" t="str">
        <f>IFERROR(__xludf.DUMMYFUNCTION("""COMPUTED_VALUE"""),"Eshros")</f>
        <v>Eshros</v>
      </c>
      <c r="E1244" s="42">
        <f>IFERROR(__xludf.DUMMYFUNCTION("""COMPUTED_VALUE"""),1.0)</f>
        <v>1</v>
      </c>
      <c r="F1244" s="42" t="str">
        <f>IFERROR(__xludf.DUMMYFUNCTION("""COMPUTED_VALUE"""),"A")</f>
        <v>A</v>
      </c>
      <c r="G1244" s="42" t="str">
        <f>IFERROR(__xludf.DUMMYFUNCTION("""COMPUTED_VALUE"""),"None")</f>
        <v>None</v>
      </c>
      <c r="H1244" s="42" t="str">
        <f>IFERROR(__xludf.DUMMYFUNCTION("""COMPUTED_VALUE"""),"Ground")</f>
        <v>Ground</v>
      </c>
      <c r="I1244" s="43" t="str">
        <f>IFERROR(__xludf.DUMMYFUNCTION("""COMPUTED_VALUE"""),"[STAY] When you win the Battle as an Attacker, your opponent can neither play SPELL cards nor can they apply the effects of their in-play MAMODO cards until the END PHASE of the next turn.")</f>
        <v>[STAY] When you win the Battle as an Attacker, your opponent can neither play SPELL cards nor can they apply the effects of their in-play MAMODO cards until the END PHASE of the next turn.</v>
      </c>
      <c r="J1244" s="42" t="str">
        <f>IFERROR(__xludf.DUMMYFUNCTION("""COMPUTED_VALUE"""),"+3000")</f>
        <v>+3000</v>
      </c>
      <c r="K1244" s="42" t="str">
        <f>IFERROR(__xludf.DUMMYFUNCTION("""COMPUTED_VALUE"""),"-")</f>
        <v>-</v>
      </c>
      <c r="L1244" s="42" t="str">
        <f>IFERROR(__xludf.DUMMYFUNCTION("""COMPUTED_VALUE"""),"Supreme Power of the Golden Spell, Series 2, Level 4")</f>
        <v>Supreme Power of the Golden Spell, Series 2, Level 4</v>
      </c>
      <c r="M1244" s="42" t="str">
        <f>IFERROR(__xludf.DUMMYFUNCTION("""COMPUTED_VALUE"""),"[U]")</f>
        <v>[U]</v>
      </c>
      <c r="N1244" s="42" t="str">
        <f>IFERROR(__xludf.DUMMYFUNCTION("""COMPUTED_VALUE"""),"Earth catches opponents and immobilizes them.")</f>
        <v>Earth catches opponents and immobilizes them.</v>
      </c>
      <c r="O1244" s="42"/>
      <c r="P1244" s="42"/>
      <c r="Q1244" s="42"/>
      <c r="R1244" s="42"/>
      <c r="S1244" s="42"/>
      <c r="T1244" s="42"/>
      <c r="U1244" s="42"/>
      <c r="V1244" s="42"/>
      <c r="W1244" s="42"/>
      <c r="X1244" s="42"/>
      <c r="Y1244" s="42"/>
      <c r="Z1244" s="42"/>
    </row>
    <row r="1245">
      <c r="A1245" s="41" t="str">
        <f>IFERROR(__xludf.DUMMYFUNCTION("""COMPUTED_VALUE"""),"S-117")</f>
        <v>S-117</v>
      </c>
      <c r="B1245" s="42" t="str">
        <f>IFERROR(__xludf.DUMMYFUNCTION("""COMPUTED_VALUE"""),"Spell")</f>
        <v>Spell</v>
      </c>
      <c r="C1245" s="42" t="str">
        <f>IFERROR(__xludf.DUMMYFUNCTION("""COMPUTED_VALUE"""),"Groundbai")</f>
        <v>Groundbai</v>
      </c>
      <c r="D1245" s="42" t="str">
        <f>IFERROR(__xludf.DUMMYFUNCTION("""COMPUTED_VALUE"""),"Eshros")</f>
        <v>Eshros</v>
      </c>
      <c r="E1245" s="42">
        <f>IFERROR(__xludf.DUMMYFUNCTION("""COMPUTED_VALUE"""),6.0)</f>
        <v>6</v>
      </c>
      <c r="F1245" s="42" t="str">
        <f>IFERROR(__xludf.DUMMYFUNCTION("""COMPUTED_VALUE"""),"AD")</f>
        <v>AD</v>
      </c>
      <c r="G1245" s="42" t="str">
        <f>IFERROR(__xludf.DUMMYFUNCTION("""COMPUTED_VALUE"""),"Superior")</f>
        <v>Superior</v>
      </c>
      <c r="H1245" s="42" t="str">
        <f>IFERROR(__xludf.DUMMYFUNCTION("""COMPUTED_VALUE"""),"Ground")</f>
        <v>Ground</v>
      </c>
      <c r="I1245" s="43" t="str">
        <f>IFERROR(__xludf.DUMMYFUNCTION("""COMPUTED_VALUE"""),"Damage your opponent's Spell Book when you win the Battle as an Attacker. Your opponent cannot play EVENT cards during the Battle this SPELL card is played.")</f>
        <v>Damage your opponent's Spell Book when you win the Battle as an Attacker. Your opponent cannot play EVENT cards during the Battle this SPELL card is played.</v>
      </c>
      <c r="J1245" s="42" t="str">
        <f>IFERROR(__xludf.DUMMYFUNCTION("""COMPUTED_VALUE"""),"+5000")</f>
        <v>+5000</v>
      </c>
      <c r="K1245" s="42">
        <f>IFERROR(__xludf.DUMMYFUNCTION("""COMPUTED_VALUE"""),3.0)</f>
        <v>3</v>
      </c>
      <c r="L1245" s="42" t="str">
        <f>IFERROR(__xludf.DUMMYFUNCTION("""COMPUTED_VALUE"""),"Supreme Power of the Golden Spell, Series 2, Level 4")</f>
        <v>Supreme Power of the Golden Spell, Series 2, Level 4</v>
      </c>
      <c r="M1245" s="42" t="str">
        <f>IFERROR(__xludf.DUMMYFUNCTION("""COMPUTED_VALUE"""),"[SR]")</f>
        <v>[SR]</v>
      </c>
      <c r="N1245" s="42" t="str">
        <f>IFERROR(__xludf.DUMMYFUNCTION("""COMPUTED_VALUE"""),"Summons a huge ground snake to attack opponents.")</f>
        <v>Summons a huge ground snake to attack opponents.</v>
      </c>
      <c r="O1245" s="42"/>
      <c r="P1245" s="42"/>
      <c r="Q1245" s="42"/>
      <c r="R1245" s="42"/>
      <c r="S1245" s="42"/>
      <c r="T1245" s="42"/>
      <c r="U1245" s="42"/>
      <c r="V1245" s="42"/>
      <c r="W1245" s="42"/>
      <c r="X1245" s="42"/>
      <c r="Y1245" s="42"/>
      <c r="Z1245" s="42"/>
    </row>
    <row r="1246">
      <c r="A1246" s="41" t="str">
        <f>IFERROR(__xludf.DUMMYFUNCTION("""COMPUTED_VALUE"""),"S-118")</f>
        <v>S-118</v>
      </c>
      <c r="B1246" s="42" t="str">
        <f>IFERROR(__xludf.DUMMYFUNCTION("""COMPUTED_VALUE"""),"Spell")</f>
        <v>Spell</v>
      </c>
      <c r="C1246" s="42" t="str">
        <f>IFERROR(__xludf.DUMMYFUNCTION("""COMPUTED_VALUE"""),"Okeru")</f>
        <v>Okeru</v>
      </c>
      <c r="D1246" s="42" t="str">
        <f>IFERROR(__xludf.DUMMYFUNCTION("""COMPUTED_VALUE"""),"Baransha")</f>
        <v>Baransha</v>
      </c>
      <c r="E1246" s="42">
        <f>IFERROR(__xludf.DUMMYFUNCTION("""COMPUTED_VALUE"""),2.0)</f>
        <v>2</v>
      </c>
      <c r="F1246" s="42" t="str">
        <f>IFERROR(__xludf.DUMMYFUNCTION("""COMPUTED_VALUE"""),"A")</f>
        <v>A</v>
      </c>
      <c r="G1246" s="42" t="str">
        <f>IFERROR(__xludf.DUMMYFUNCTION("""COMPUTED_VALUE"""),"None")</f>
        <v>None</v>
      </c>
      <c r="H1246" s="42" t="str">
        <f>IFERROR(__xludf.DUMMYFUNCTION("""COMPUTED_VALUE"""),"-")</f>
        <v>-</v>
      </c>
      <c r="I1246" s="43" t="str">
        <f>IFERROR(__xludf.DUMMYFUNCTION("""COMPUTED_VALUE"""),"Apply 1 of the following effects when you win the Battle as an Attacker: ● Damage your opponent's Spell Book. ● Send 1 of your opponent's in-play PARTNER cards to the Discard Pile.")</f>
        <v>Apply 1 of the following effects when you win the Battle as an Attacker: ● Damage your opponent's Spell Book. ● Send 1 of your opponent's in-play PARTNER cards to the Discard Pile.</v>
      </c>
      <c r="J1246" s="42" t="str">
        <f>IFERROR(__xludf.DUMMYFUNCTION("""COMPUTED_VALUE"""),"+2000")</f>
        <v>+2000</v>
      </c>
      <c r="K1246" s="42">
        <f>IFERROR(__xludf.DUMMYFUNCTION("""COMPUTED_VALUE"""),1.0)</f>
        <v>1</v>
      </c>
      <c r="L1246" s="42" t="str">
        <f>IFERROR(__xludf.DUMMYFUNCTION("""COMPUTED_VALUE"""),"Supreme Power of the Golden Spell, Series 2, Level 4")</f>
        <v>Supreme Power of the Golden Spell, Series 2, Level 4</v>
      </c>
      <c r="M1246" s="42" t="str">
        <f>IFERROR(__xludf.DUMMYFUNCTION("""COMPUTED_VALUE"""),"[C]")</f>
        <v>[C]</v>
      </c>
      <c r="N1246" s="42" t="str">
        <f>IFERROR(__xludf.DUMMYFUNCTION("""COMPUTED_VALUE"""),"A supersonic wave that emerges from Baransha's mouth!")</f>
        <v>A supersonic wave that emerges from Baransha's mouth!</v>
      </c>
      <c r="O1246" s="42"/>
      <c r="P1246" s="42"/>
      <c r="Q1246" s="42"/>
      <c r="R1246" s="42"/>
      <c r="S1246" s="42"/>
      <c r="T1246" s="42"/>
      <c r="U1246" s="42"/>
      <c r="V1246" s="42"/>
      <c r="W1246" s="42"/>
      <c r="X1246" s="42"/>
      <c r="Y1246" s="42"/>
      <c r="Z1246" s="42"/>
    </row>
    <row r="1247">
      <c r="A1247" s="41" t="str">
        <f>IFERROR(__xludf.DUMMYFUNCTION("""COMPUTED_VALUE"""),"S-119")</f>
        <v>S-119</v>
      </c>
      <c r="B1247" s="42" t="str">
        <f>IFERROR(__xludf.DUMMYFUNCTION("""COMPUTED_VALUE"""),"Spell")</f>
        <v>Spell</v>
      </c>
      <c r="C1247" s="42" t="str">
        <f>IFERROR(__xludf.DUMMYFUNCTION("""COMPUTED_VALUE"""),"Doruk")</f>
        <v>Doruk</v>
      </c>
      <c r="D1247" s="42" t="str">
        <f>IFERROR(__xludf.DUMMYFUNCTION("""COMPUTED_VALUE"""),"Baransha")</f>
        <v>Baransha</v>
      </c>
      <c r="E1247" s="42">
        <f>IFERROR(__xludf.DUMMYFUNCTION("""COMPUTED_VALUE"""),1.0)</f>
        <v>1</v>
      </c>
      <c r="F1247" s="42" t="str">
        <f>IFERROR(__xludf.DUMMYFUNCTION("""COMPUTED_VALUE"""),"AD")</f>
        <v>AD</v>
      </c>
      <c r="G1247" s="42" t="str">
        <f>IFERROR(__xludf.DUMMYFUNCTION("""COMPUTED_VALUE"""),"None")</f>
        <v>None</v>
      </c>
      <c r="H1247" s="42" t="str">
        <f>IFERROR(__xludf.DUMMYFUNCTION("""COMPUTED_VALUE"""),"-")</f>
        <v>-</v>
      </c>
      <c r="I1247" s="43" t="str">
        <f>IFERROR(__xludf.DUMMYFUNCTION("""COMPUTED_VALUE"""),"Damage your opponent’s Spell Book when you win the Battle as an Attacker.")</f>
        <v>Damage your opponent’s Spell Book when you win the Battle as an Attacker.</v>
      </c>
      <c r="J1247" s="42" t="str">
        <f>IFERROR(__xludf.DUMMYFUNCTION("""COMPUTED_VALUE"""),"+3000")</f>
        <v>+3000</v>
      </c>
      <c r="K1247" s="42">
        <f>IFERROR(__xludf.DUMMYFUNCTION("""COMPUTED_VALUE"""),1.0)</f>
        <v>1</v>
      </c>
      <c r="L1247" s="42" t="str">
        <f>IFERROR(__xludf.DUMMYFUNCTION("""COMPUTED_VALUE"""),"Supreme Power of the Golden Spell, Series 2, Level 4")</f>
        <v>Supreme Power of the Golden Spell, Series 2, Level 4</v>
      </c>
      <c r="M1247" s="42" t="str">
        <f>IFERROR(__xludf.DUMMYFUNCTION("""COMPUTED_VALUE"""),"[C]")</f>
        <v>[C]</v>
      </c>
      <c r="N1247" s="42" t="str">
        <f>IFERROR(__xludf.DUMMYFUNCTION("""COMPUTED_VALUE"""),"Armors her skin, enabling Baransha to rush opponents.")</f>
        <v>Armors her skin, enabling Baransha to rush opponents.</v>
      </c>
      <c r="O1247" s="42"/>
      <c r="P1247" s="42"/>
      <c r="Q1247" s="42"/>
      <c r="R1247" s="42"/>
      <c r="S1247" s="42"/>
      <c r="T1247" s="42"/>
      <c r="U1247" s="42"/>
      <c r="V1247" s="42"/>
      <c r="W1247" s="42"/>
      <c r="X1247" s="42"/>
      <c r="Y1247" s="42"/>
      <c r="Z1247" s="42"/>
    </row>
    <row r="1248">
      <c r="A1248" s="41" t="str">
        <f>IFERROR(__xludf.DUMMYFUNCTION("""COMPUTED_VALUE"""),"S-120")</f>
        <v>S-120</v>
      </c>
      <c r="B1248" s="42" t="str">
        <f>IFERROR(__xludf.DUMMYFUNCTION("""COMPUTED_VALUE"""),"Spell")</f>
        <v>Spell</v>
      </c>
      <c r="C1248" s="42" t="str">
        <f>IFERROR(__xludf.DUMMYFUNCTION("""COMPUTED_VALUE"""),"Boruk")</f>
        <v>Boruk</v>
      </c>
      <c r="D1248" s="42" t="str">
        <f>IFERROR(__xludf.DUMMYFUNCTION("""COMPUTED_VALUE"""),"Baransha")</f>
        <v>Baransha</v>
      </c>
      <c r="E1248" s="42">
        <f>IFERROR(__xludf.DUMMYFUNCTION("""COMPUTED_VALUE"""),1.0)</f>
        <v>1</v>
      </c>
      <c r="F1248" s="42" t="str">
        <f>IFERROR(__xludf.DUMMYFUNCTION("""COMPUTED_VALUE"""),"D")</f>
        <v>D</v>
      </c>
      <c r="G1248" s="42" t="str">
        <f>IFERROR(__xludf.DUMMYFUNCTION("""COMPUTED_VALUE"""),"None")</f>
        <v>None</v>
      </c>
      <c r="H1248" s="42" t="str">
        <f>IFERROR(__xludf.DUMMYFUNCTION("""COMPUTED_VALUE"""),"-")</f>
        <v>-</v>
      </c>
      <c r="I1248" s="43" t="str">
        <f>IFERROR(__xludf.DUMMYFUNCTION("""COMPUTED_VALUE"""),"Flip a coin twice; if you get heads at least once, negate your opponent's Attack regardless of their Power.")</f>
        <v>Flip a coin twice; if you get heads at least once, negate your opponent's Attack regardless of their Power.</v>
      </c>
      <c r="J1248" s="42" t="str">
        <f>IFERROR(__xludf.DUMMYFUNCTION("""COMPUTED_VALUE"""),"Special")</f>
        <v>Special</v>
      </c>
      <c r="K1248" s="42" t="str">
        <f>IFERROR(__xludf.DUMMYFUNCTION("""COMPUTED_VALUE"""),"-")</f>
        <v>-</v>
      </c>
      <c r="L1248" s="42" t="str">
        <f>IFERROR(__xludf.DUMMYFUNCTION("""COMPUTED_VALUE"""),"Supreme Power of the Golden Spell, Series 2, Level 4")</f>
        <v>Supreme Power of the Golden Spell, Series 2, Level 4</v>
      </c>
      <c r="M1248" s="42" t="str">
        <f>IFERROR(__xludf.DUMMYFUNCTION("""COMPUTED_VALUE"""),"[C]")</f>
        <v>[C]</v>
      </c>
      <c r="N1248" s="42" t="str">
        <f>IFERROR(__xludf.DUMMYFUNCTION("""COMPUTED_VALUE"""),"It shows an afterimage as a decoy to confuse opponents.")</f>
        <v>It shows an afterimage as a decoy to confuse opponents.</v>
      </c>
      <c r="O1248" s="42"/>
      <c r="P1248" s="42"/>
      <c r="Q1248" s="42"/>
      <c r="R1248" s="42"/>
      <c r="S1248" s="42"/>
      <c r="T1248" s="42"/>
      <c r="U1248" s="42"/>
      <c r="V1248" s="42"/>
      <c r="W1248" s="42"/>
      <c r="X1248" s="42"/>
      <c r="Y1248" s="42"/>
      <c r="Z1248" s="42"/>
    </row>
    <row r="1249">
      <c r="A1249" s="41" t="str">
        <f>IFERROR(__xludf.DUMMYFUNCTION("""COMPUTED_VALUE"""),"S-121")</f>
        <v>S-121</v>
      </c>
      <c r="B1249" s="42" t="str">
        <f>IFERROR(__xludf.DUMMYFUNCTION("""COMPUTED_VALUE"""),"Spell")</f>
        <v>Spell</v>
      </c>
      <c r="C1249" s="42" t="str">
        <f>IFERROR(__xludf.DUMMYFUNCTION("""COMPUTED_VALUE"""),"Gu Riaruk")</f>
        <v>Gu Riaruk</v>
      </c>
      <c r="D1249" s="42" t="str">
        <f>IFERROR(__xludf.DUMMYFUNCTION("""COMPUTED_VALUE"""),"Baransha")</f>
        <v>Baransha</v>
      </c>
      <c r="E1249" s="42">
        <f>IFERROR(__xludf.DUMMYFUNCTION("""COMPUTED_VALUE"""),2.0)</f>
        <v>2</v>
      </c>
      <c r="F1249" s="42" t="str">
        <f>IFERROR(__xludf.DUMMYFUNCTION("""COMPUTED_VALUE"""),"A")</f>
        <v>A</v>
      </c>
      <c r="G1249" s="42" t="str">
        <f>IFERROR(__xludf.DUMMYFUNCTION("""COMPUTED_VALUE"""),"None")</f>
        <v>None</v>
      </c>
      <c r="H1249" s="42" t="str">
        <f>IFERROR(__xludf.DUMMYFUNCTION("""COMPUTED_VALUE"""),"-")</f>
        <v>-</v>
      </c>
      <c r="I1249" s="43" t="str">
        <f>IFERROR(__xludf.DUMMYFUNCTION("""COMPUTED_VALUE"""),"[STAY] Your Baransha MAMODO card can neither receive Damage or Injury nor can your Baransha MAMODO card be selected as a target for your opponent's card effects until the END PHASE of the next turn.")</f>
        <v>[STAY] Your Baransha MAMODO card can neither receive Damage or Injury nor can your Baransha MAMODO card be selected as a target for your opponent's card effects until the END PHASE of the next turn.</v>
      </c>
      <c r="J1249" s="42" t="str">
        <f>IFERROR(__xludf.DUMMYFUNCTION("""COMPUTED_VALUE"""),"Special")</f>
        <v>Special</v>
      </c>
      <c r="K1249" s="42" t="str">
        <f>IFERROR(__xludf.DUMMYFUNCTION("""COMPUTED_VALUE"""),"-")</f>
        <v>-</v>
      </c>
      <c r="L1249" s="42" t="str">
        <f>IFERROR(__xludf.DUMMYFUNCTION("""COMPUTED_VALUE"""),"Supreme Power of the Golden Spell, Series 2, Level 4")</f>
        <v>Supreme Power of the Golden Spell, Series 2, Level 4</v>
      </c>
      <c r="M1249" s="42" t="str">
        <f>IFERROR(__xludf.DUMMYFUNCTION("""COMPUTED_VALUE"""),"[U]")</f>
        <v>[U]</v>
      </c>
      <c r="N1249" s="42" t="str">
        <f>IFERROR(__xludf.DUMMYFUNCTION("""COMPUTED_VALUE"""),"It makes Baransha invisible, enabling her to sneak up behind opponents.")</f>
        <v>It makes Baransha invisible, enabling her to sneak up behind opponents.</v>
      </c>
      <c r="O1249" s="42"/>
      <c r="P1249" s="42"/>
      <c r="Q1249" s="42"/>
      <c r="R1249" s="42"/>
      <c r="S1249" s="42"/>
      <c r="T1249" s="42"/>
      <c r="U1249" s="42"/>
      <c r="V1249" s="42"/>
      <c r="W1249" s="42"/>
      <c r="X1249" s="42"/>
      <c r="Y1249" s="42"/>
      <c r="Z1249" s="42"/>
    </row>
    <row r="1250">
      <c r="A1250" s="41" t="str">
        <f>IFERROR(__xludf.DUMMYFUNCTION("""COMPUTED_VALUE"""),"S-122")</f>
        <v>S-122</v>
      </c>
      <c r="B1250" s="42" t="str">
        <f>IFERROR(__xludf.DUMMYFUNCTION("""COMPUTED_VALUE"""),"Spell")</f>
        <v>Spell</v>
      </c>
      <c r="C1250" s="42" t="str">
        <f>IFERROR(__xludf.DUMMYFUNCTION("""COMPUTED_VALUE"""),"Gigano Gadoruk")</f>
        <v>Gigano Gadoruk</v>
      </c>
      <c r="D1250" s="42" t="str">
        <f>IFERROR(__xludf.DUMMYFUNCTION("""COMPUTED_VALUE"""),"Baransha")</f>
        <v>Baransha</v>
      </c>
      <c r="E1250" s="42">
        <f>IFERROR(__xludf.DUMMYFUNCTION("""COMPUTED_VALUE"""),4.0)</f>
        <v>4</v>
      </c>
      <c r="F1250" s="42" t="str">
        <f>IFERROR(__xludf.DUMMYFUNCTION("""COMPUTED_VALUE"""),"A")</f>
        <v>A</v>
      </c>
      <c r="G1250" s="42" t="str">
        <f>IFERROR(__xludf.DUMMYFUNCTION("""COMPUTED_VALUE"""),"Superior")</f>
        <v>Superior</v>
      </c>
      <c r="H1250" s="42" t="str">
        <f>IFERROR(__xludf.DUMMYFUNCTION("""COMPUTED_VALUE"""),"-")</f>
        <v>-</v>
      </c>
      <c r="I1250" s="43" t="str">
        <f>IFERROR(__xludf.DUMMYFUNCTION("""COMPUTED_VALUE"""),"Damage your opponent's Spell Book when you win the Battle as an Attacker.")</f>
        <v>Damage your opponent's Spell Book when you win the Battle as an Attacker.</v>
      </c>
      <c r="J1250" s="42" t="str">
        <f>IFERROR(__xludf.DUMMYFUNCTION("""COMPUTED_VALUE"""),"+5000")</f>
        <v>+5000</v>
      </c>
      <c r="K1250" s="42">
        <f>IFERROR(__xludf.DUMMYFUNCTION("""COMPUTED_VALUE"""),3.0)</f>
        <v>3</v>
      </c>
      <c r="L1250" s="42" t="str">
        <f>IFERROR(__xludf.DUMMYFUNCTION("""COMPUTED_VALUE"""),"Supreme Power of the Golden Spell, Series 2, Level 4")</f>
        <v>Supreme Power of the Golden Spell, Series 2, Level 4</v>
      </c>
      <c r="M1250" s="42" t="str">
        <f>IFERROR(__xludf.DUMMYFUNCTION("""COMPUTED_VALUE"""),"[R]")</f>
        <v>[R]</v>
      </c>
      <c r="N1250" s="42" t="str">
        <f>IFERROR(__xludf.DUMMYFUNCTION("""COMPUTED_VALUE"""),"""Take this! Baransha's final attack!""")</f>
        <v>"Take this! Baransha's final attack!"</v>
      </c>
      <c r="O1250" s="42"/>
      <c r="P1250" s="42"/>
      <c r="Q1250" s="42"/>
      <c r="R1250" s="42"/>
      <c r="S1250" s="42"/>
      <c r="T1250" s="42"/>
      <c r="U1250" s="42"/>
      <c r="V1250" s="42"/>
      <c r="W1250" s="42"/>
      <c r="X1250" s="42"/>
      <c r="Y1250" s="42"/>
      <c r="Z1250" s="42"/>
    </row>
    <row r="1251">
      <c r="A1251" s="41" t="str">
        <f>IFERROR(__xludf.DUMMYFUNCTION("""COMPUTED_VALUE"""),"S-123")</f>
        <v>S-123</v>
      </c>
      <c r="B1251" s="42" t="str">
        <f>IFERROR(__xludf.DUMMYFUNCTION("""COMPUTED_VALUE"""),"Spell")</f>
        <v>Spell</v>
      </c>
      <c r="C1251" s="42" t="str">
        <f>IFERROR(__xludf.DUMMYFUNCTION("""COMPUTED_VALUE"""),"Zegar")</f>
        <v>Zegar</v>
      </c>
      <c r="D1251" s="42" t="str">
        <f>IFERROR(__xludf.DUMMYFUNCTION("""COMPUTED_VALUE"""),"Kido")</f>
        <v>Kido</v>
      </c>
      <c r="E1251" s="42">
        <f>IFERROR(__xludf.DUMMYFUNCTION("""COMPUTED_VALUE"""),1.0)</f>
        <v>1</v>
      </c>
      <c r="F1251" s="42" t="str">
        <f>IFERROR(__xludf.DUMMYFUNCTION("""COMPUTED_VALUE"""),"AD")</f>
        <v>AD</v>
      </c>
      <c r="G1251" s="42" t="str">
        <f>IFERROR(__xludf.DUMMYFUNCTION("""COMPUTED_VALUE"""),"None")</f>
        <v>None</v>
      </c>
      <c r="H1251" s="42" t="str">
        <f>IFERROR(__xludf.DUMMYFUNCTION("""COMPUTED_VALUE"""),"-")</f>
        <v>-</v>
      </c>
      <c r="I1251" s="43" t="str">
        <f>IFERROR(__xludf.DUMMYFUNCTION("""COMPUTED_VALUE"""),"Damage your opponent's Spell Book when you win the Battle as an Attacker.")</f>
        <v>Damage your opponent's Spell Book when you win the Battle as an Attacker.</v>
      </c>
      <c r="J1251" s="42" t="str">
        <f>IFERROR(__xludf.DUMMYFUNCTION("""COMPUTED_VALUE"""),"+2000")</f>
        <v>+2000</v>
      </c>
      <c r="K1251" s="42">
        <f>IFERROR(__xludf.DUMMYFUNCTION("""COMPUTED_VALUE"""),1.0)</f>
        <v>1</v>
      </c>
      <c r="L1251" s="42" t="str">
        <f>IFERROR(__xludf.DUMMYFUNCTION("""COMPUTED_VALUE"""),"The Gathering Storm, Series 3, Level 4")</f>
        <v>The Gathering Storm, Series 3, Level 4</v>
      </c>
      <c r="M1251" s="42" t="str">
        <f>IFERROR(__xludf.DUMMYFUNCTION("""COMPUTED_VALUE"""),"[C]")</f>
        <v>[C]</v>
      </c>
      <c r="N1251" s="42" t="str">
        <f>IFERROR(__xludf.DUMMYFUNCTION("""COMPUTED_VALUE"""),"Kido's 1st spell. When Kido's mouth opens, a ball of energy is fired!")</f>
        <v>Kido's 1st spell. When Kido's mouth opens, a ball of energy is fired!</v>
      </c>
      <c r="O1251" s="42"/>
      <c r="P1251" s="42"/>
      <c r="Q1251" s="42"/>
      <c r="R1251" s="42"/>
      <c r="S1251" s="42"/>
      <c r="T1251" s="42"/>
      <c r="U1251" s="42"/>
      <c r="V1251" s="42"/>
      <c r="W1251" s="42"/>
      <c r="X1251" s="42"/>
      <c r="Y1251" s="42"/>
      <c r="Z1251" s="42"/>
    </row>
    <row r="1252">
      <c r="A1252" s="41" t="str">
        <f>IFERROR(__xludf.DUMMYFUNCTION("""COMPUTED_VALUE"""),"S-124")</f>
        <v>S-124</v>
      </c>
      <c r="B1252" s="42" t="str">
        <f>IFERROR(__xludf.DUMMYFUNCTION("""COMPUTED_VALUE"""),"Spell")</f>
        <v>Spell</v>
      </c>
      <c r="C1252" s="42" t="str">
        <f>IFERROR(__xludf.DUMMYFUNCTION("""COMPUTED_VALUE"""),"Zegaruga")</f>
        <v>Zegaruga</v>
      </c>
      <c r="D1252" s="42" t="str">
        <f>IFERROR(__xludf.DUMMYFUNCTION("""COMPUTED_VALUE"""),"Kido")</f>
        <v>Kido</v>
      </c>
      <c r="E1252" s="42">
        <f>IFERROR(__xludf.DUMMYFUNCTION("""COMPUTED_VALUE"""),3.0)</f>
        <v>3</v>
      </c>
      <c r="F1252" s="42" t="str">
        <f>IFERROR(__xludf.DUMMYFUNCTION("""COMPUTED_VALUE"""),"AD")</f>
        <v>AD</v>
      </c>
      <c r="G1252" s="42" t="str">
        <f>IFERROR(__xludf.DUMMYFUNCTION("""COMPUTED_VALUE"""),"None")</f>
        <v>None</v>
      </c>
      <c r="H1252" s="42" t="str">
        <f>IFERROR(__xludf.DUMMYFUNCTION("""COMPUTED_VALUE"""),"-")</f>
        <v>-</v>
      </c>
      <c r="I1252" s="43" t="str">
        <f>IFERROR(__xludf.DUMMYFUNCTION("""COMPUTED_VALUE"""),"Damage your opponent's Spell Book when you win the Battle as an Attacker.")</f>
        <v>Damage your opponent's Spell Book when you win the Battle as an Attacker.</v>
      </c>
      <c r="J1252" s="42" t="str">
        <f>IFERROR(__xludf.DUMMYFUNCTION("""COMPUTED_VALUE"""),"+4000")</f>
        <v>+4000</v>
      </c>
      <c r="K1252" s="42">
        <f>IFERROR(__xludf.DUMMYFUNCTION("""COMPUTED_VALUE"""),2.0)</f>
        <v>2</v>
      </c>
      <c r="L1252" s="42" t="str">
        <f>IFERROR(__xludf.DUMMYFUNCTION("""COMPUTED_VALUE"""),"The Gathering Storm, Series 3, Level 4")</f>
        <v>The Gathering Storm, Series 3, Level 4</v>
      </c>
      <c r="M1252" s="42" t="str">
        <f>IFERROR(__xludf.DUMMYFUNCTION("""COMPUTED_VALUE"""),"[U]")</f>
        <v>[U]</v>
      </c>
      <c r="N1252" s="42" t="str">
        <f>IFERROR(__xludf.DUMMYFUNCTION("""COMPUTED_VALUE"""),"Kido's 4th spell. A reinforced version of Zegar.")</f>
        <v>Kido's 4th spell. A reinforced version of Zegar.</v>
      </c>
      <c r="O1252" s="42"/>
      <c r="P1252" s="42"/>
      <c r="Q1252" s="42"/>
      <c r="R1252" s="42"/>
      <c r="S1252" s="42"/>
      <c r="T1252" s="42"/>
      <c r="U1252" s="42"/>
      <c r="V1252" s="42"/>
      <c r="W1252" s="42"/>
      <c r="X1252" s="42"/>
      <c r="Y1252" s="42"/>
      <c r="Z1252" s="42"/>
    </row>
    <row r="1253">
      <c r="A1253" s="41" t="str">
        <f>IFERROR(__xludf.DUMMYFUNCTION("""COMPUTED_VALUE"""),"S-125")</f>
        <v>S-125</v>
      </c>
      <c r="B1253" s="42" t="str">
        <f>IFERROR(__xludf.DUMMYFUNCTION("""COMPUTED_VALUE"""),"Spell")</f>
        <v>Spell</v>
      </c>
      <c r="C1253" s="42" t="str">
        <f>IFERROR(__xludf.DUMMYFUNCTION("""COMPUTED_VALUE"""),"Koburuk")</f>
        <v>Koburuk</v>
      </c>
      <c r="D1253" s="42" t="str">
        <f>IFERROR(__xludf.DUMMYFUNCTION("""COMPUTED_VALUE"""),"Kido")</f>
        <v>Kido</v>
      </c>
      <c r="E1253" s="42">
        <f>IFERROR(__xludf.DUMMYFUNCTION("""COMPUTED_VALUE"""),3.0)</f>
        <v>3</v>
      </c>
      <c r="F1253" s="42" t="str">
        <f>IFERROR(__xludf.DUMMYFUNCTION("""COMPUTED_VALUE"""),"A")</f>
        <v>A</v>
      </c>
      <c r="G1253" s="42" t="str">
        <f>IFERROR(__xludf.DUMMYFUNCTION("""COMPUTED_VALUE"""),"None")</f>
        <v>None</v>
      </c>
      <c r="H1253" s="42" t="str">
        <f>IFERROR(__xludf.DUMMYFUNCTION("""COMPUTED_VALUE"""),"-")</f>
        <v>-</v>
      </c>
      <c r="I1253" s="43" t="str">
        <f>IFERROR(__xludf.DUMMYFUNCTION("""COMPUTED_VALUE"""),"Flip a coin for each of your opponent's in-play PARTNER cards when you win the Battle as an Attacker; if it's heads, send that PARTNER card to the Discard Pile.")</f>
        <v>Flip a coin for each of your opponent's in-play PARTNER cards when you win the Battle as an Attacker; if it's heads, send that PARTNER card to the Discard Pile.</v>
      </c>
      <c r="J1253" s="42" t="str">
        <f>IFERROR(__xludf.DUMMYFUNCTION("""COMPUTED_VALUE"""),"+4000")</f>
        <v>+4000</v>
      </c>
      <c r="K1253" s="42" t="str">
        <f>IFERROR(__xludf.DUMMYFUNCTION("""COMPUTED_VALUE"""),"-")</f>
        <v>-</v>
      </c>
      <c r="L1253" s="42" t="str">
        <f>IFERROR(__xludf.DUMMYFUNCTION("""COMPUTED_VALUE"""),"The Gathering Storm, Series 3, Level 4")</f>
        <v>The Gathering Storm, Series 3, Level 4</v>
      </c>
      <c r="M1253" s="42" t="str">
        <f>IFERROR(__xludf.DUMMYFUNCTION("""COMPUTED_VALUE"""),"[U]")</f>
        <v>[U]</v>
      </c>
      <c r="N1253" s="42" t="str">
        <f>IFERROR(__xludf.DUMMYFUNCTION("""COMPUTED_VALUE"""),"Kido's 6th spell. A number of mini-Kidos appear and attack the opponent.")</f>
        <v>Kido's 6th spell. A number of mini-Kidos appear and attack the opponent.</v>
      </c>
      <c r="O1253" s="42"/>
      <c r="P1253" s="42"/>
      <c r="Q1253" s="42"/>
      <c r="R1253" s="42"/>
      <c r="S1253" s="42"/>
      <c r="T1253" s="42"/>
      <c r="U1253" s="42"/>
      <c r="V1253" s="42"/>
      <c r="W1253" s="42"/>
      <c r="X1253" s="42"/>
      <c r="Y1253" s="42"/>
      <c r="Z1253" s="42"/>
    </row>
    <row r="1254">
      <c r="A1254" s="41" t="str">
        <f>IFERROR(__xludf.DUMMYFUNCTION("""COMPUTED_VALUE"""),"S-126")</f>
        <v>S-126</v>
      </c>
      <c r="B1254" s="42" t="str">
        <f>IFERROR(__xludf.DUMMYFUNCTION("""COMPUTED_VALUE"""),"Spell")</f>
        <v>Spell</v>
      </c>
      <c r="C1254" s="42" t="str">
        <f>IFERROR(__xludf.DUMMYFUNCTION("""COMPUTED_VALUE"""),"Raja Zerusen")</f>
        <v>Raja Zerusen</v>
      </c>
      <c r="D1254" s="42" t="str">
        <f>IFERROR(__xludf.DUMMYFUNCTION("""COMPUTED_VALUE"""),"Kido")</f>
        <v>Kido</v>
      </c>
      <c r="E1254" s="42">
        <f>IFERROR(__xludf.DUMMYFUNCTION("""COMPUTED_VALUE"""),5.0)</f>
        <v>5</v>
      </c>
      <c r="F1254" s="42" t="str">
        <f>IFERROR(__xludf.DUMMYFUNCTION("""COMPUTED_VALUE"""),"AD")</f>
        <v>AD</v>
      </c>
      <c r="G1254" s="42" t="str">
        <f>IFERROR(__xludf.DUMMYFUNCTION("""COMPUTED_VALUE"""),"Intermediate")</f>
        <v>Intermediate</v>
      </c>
      <c r="H1254" s="42" t="str">
        <f>IFERROR(__xludf.DUMMYFUNCTION("""COMPUTED_VALUE"""),"-")</f>
        <v>-</v>
      </c>
      <c r="I1254" s="43" t="str">
        <f>IFERROR(__xludf.DUMMYFUNCTION("""COMPUTED_VALUE"""),"Damage your opponent's Spell Book when you win the Battle as an Attacker.")</f>
        <v>Damage your opponent's Spell Book when you win the Battle as an Attacker.</v>
      </c>
      <c r="J1254" s="42" t="str">
        <f>IFERROR(__xludf.DUMMYFUNCTION("""COMPUTED_VALUE"""),"+5000")</f>
        <v>+5000</v>
      </c>
      <c r="K1254" s="42">
        <f>IFERROR(__xludf.DUMMYFUNCTION("""COMPUTED_VALUE"""),3.0)</f>
        <v>3</v>
      </c>
      <c r="L1254" s="42" t="str">
        <f>IFERROR(__xludf.DUMMYFUNCTION("""COMPUTED_VALUE"""),"The Gathering Storm, Series 3, Level 4")</f>
        <v>The Gathering Storm, Series 3, Level 4</v>
      </c>
      <c r="M1254" s="42" t="str">
        <f>IFERROR(__xludf.DUMMYFUNCTION("""COMPUTED_VALUE"""),"[U]")</f>
        <v>[U]</v>
      </c>
      <c r="N1254" s="42" t="str">
        <f>IFERROR(__xludf.DUMMYFUNCTION("""COMPUTED_VALUE"""),"Kido's 8th spell. It discharges a super rocket!")</f>
        <v>Kido's 8th spell. It discharges a super rocket!</v>
      </c>
      <c r="O1254" s="42"/>
      <c r="P1254" s="42"/>
      <c r="Q1254" s="42"/>
      <c r="R1254" s="42"/>
      <c r="S1254" s="42"/>
      <c r="T1254" s="42"/>
      <c r="U1254" s="42"/>
      <c r="V1254" s="42"/>
      <c r="W1254" s="42"/>
      <c r="X1254" s="42"/>
      <c r="Y1254" s="42"/>
      <c r="Z1254" s="42"/>
    </row>
    <row r="1255">
      <c r="A1255" s="41" t="str">
        <f>IFERROR(__xludf.DUMMYFUNCTION("""COMPUTED_VALUE"""),"S-127")</f>
        <v>S-127</v>
      </c>
      <c r="B1255" s="42" t="str">
        <f>IFERROR(__xludf.DUMMYFUNCTION("""COMPUTED_VALUE"""),"Spell")</f>
        <v>Spell</v>
      </c>
      <c r="C1255" s="42" t="str">
        <f>IFERROR(__xludf.DUMMYFUNCTION("""COMPUTED_VALUE"""),"Akur")</f>
        <v>Akur</v>
      </c>
      <c r="D1255" s="42" t="str">
        <f>IFERROR(__xludf.DUMMYFUNCTION("""COMPUTED_VALUE"""),"Penny")</f>
        <v>Penny</v>
      </c>
      <c r="E1255" s="42">
        <f>IFERROR(__xludf.DUMMYFUNCTION("""COMPUTED_VALUE"""),2.0)</f>
        <v>2</v>
      </c>
      <c r="F1255" s="42" t="str">
        <f>IFERROR(__xludf.DUMMYFUNCTION("""COMPUTED_VALUE"""),"AD")</f>
        <v>AD</v>
      </c>
      <c r="G1255" s="42" t="str">
        <f>IFERROR(__xludf.DUMMYFUNCTION("""COMPUTED_VALUE"""),"None")</f>
        <v>None</v>
      </c>
      <c r="H1255" s="42" t="str">
        <f>IFERROR(__xludf.DUMMYFUNCTION("""COMPUTED_VALUE"""),"Water")</f>
        <v>Water</v>
      </c>
      <c r="I1255" s="43" t="str">
        <f>IFERROR(__xludf.DUMMYFUNCTION("""COMPUTED_VALUE"""),"Damage your opponent's Spell Book when you win the Battle as an Attacker.")</f>
        <v>Damage your opponent's Spell Book when you win the Battle as an Attacker.</v>
      </c>
      <c r="J1255" s="42" t="str">
        <f>IFERROR(__xludf.DUMMYFUNCTION("""COMPUTED_VALUE"""),"+2000")</f>
        <v>+2000</v>
      </c>
      <c r="K1255" s="42">
        <f>IFERROR(__xludf.DUMMYFUNCTION("""COMPUTED_VALUE"""),1.0)</f>
        <v>1</v>
      </c>
      <c r="L1255" s="42" t="str">
        <f>IFERROR(__xludf.DUMMYFUNCTION("""COMPUTED_VALUE"""),"The Gathering Storm, Series 3, Level 4")</f>
        <v>The Gathering Storm, Series 3, Level 4</v>
      </c>
      <c r="M1255" s="42" t="str">
        <f>IFERROR(__xludf.DUMMYFUNCTION("""COMPUTED_VALUE"""),"[C]")</f>
        <v>[C]</v>
      </c>
      <c r="N1255" s="42" t="str">
        <f>IFERROR(__xludf.DUMMYFUNCTION("""COMPUTED_VALUE"""),"Penny's 1st spell. It fires a strong current of water against opponents.")</f>
        <v>Penny's 1st spell. It fires a strong current of water against opponents.</v>
      </c>
      <c r="O1255" s="42"/>
      <c r="P1255" s="42"/>
      <c r="Q1255" s="42"/>
      <c r="R1255" s="42"/>
      <c r="S1255" s="42"/>
      <c r="T1255" s="42"/>
      <c r="U1255" s="42"/>
      <c r="V1255" s="42"/>
      <c r="W1255" s="42"/>
      <c r="X1255" s="42"/>
      <c r="Y1255" s="42"/>
      <c r="Z1255" s="42"/>
    </row>
    <row r="1256">
      <c r="A1256" s="41" t="str">
        <f>IFERROR(__xludf.DUMMYFUNCTION("""COMPUTED_VALUE"""),"S-128")</f>
        <v>S-128</v>
      </c>
      <c r="B1256" s="42" t="str">
        <f>IFERROR(__xludf.DUMMYFUNCTION("""COMPUTED_VALUE"""),"Spell")</f>
        <v>Spell</v>
      </c>
      <c r="C1256" s="42" t="str">
        <f>IFERROR(__xludf.DUMMYFUNCTION("""COMPUTED_VALUE"""),"Ashield")</f>
        <v>Ashield</v>
      </c>
      <c r="D1256" s="42" t="str">
        <f>IFERROR(__xludf.DUMMYFUNCTION("""COMPUTED_VALUE"""),"Penny")</f>
        <v>Penny</v>
      </c>
      <c r="E1256" s="42">
        <f>IFERROR(__xludf.DUMMYFUNCTION("""COMPUTED_VALUE"""),1.0)</f>
        <v>1</v>
      </c>
      <c r="F1256" s="42" t="str">
        <f>IFERROR(__xludf.DUMMYFUNCTION("""COMPUTED_VALUE"""),"D")</f>
        <v>D</v>
      </c>
      <c r="G1256" s="42" t="str">
        <f>IFERROR(__xludf.DUMMYFUNCTION("""COMPUTED_VALUE"""),"None")</f>
        <v>None</v>
      </c>
      <c r="H1256" s="42" t="str">
        <f>IFERROR(__xludf.DUMMYFUNCTION("""COMPUTED_VALUE"""),"Water")</f>
        <v>Water</v>
      </c>
      <c r="I1256" s="43" t="str">
        <f>IFERROR(__xludf.DUMMYFUNCTION("""COMPUTED_VALUE"""),"Negate your opponent's Attack when you win the Battle as an Attacker. Negate your opponent's ""Thunder"" Attribute Attack regardless of their Power.")</f>
        <v>Negate your opponent's Attack when you win the Battle as an Attacker. Negate your opponent's "Thunder" Attribute Attack regardless of their Power.</v>
      </c>
      <c r="J1256" s="42" t="str">
        <f>IFERROR(__xludf.DUMMYFUNCTION("""COMPUTED_VALUE"""),"+4000")</f>
        <v>+4000</v>
      </c>
      <c r="K1256" s="42" t="str">
        <f>IFERROR(__xludf.DUMMYFUNCTION("""COMPUTED_VALUE"""),"-")</f>
        <v>-</v>
      </c>
      <c r="L1256" s="42" t="str">
        <f>IFERROR(__xludf.DUMMYFUNCTION("""COMPUTED_VALUE"""),"The Gathering Storm, Series 3, Level 4")</f>
        <v>The Gathering Storm, Series 3, Level 4</v>
      </c>
      <c r="M1256" s="42" t="str">
        <f>IFERROR(__xludf.DUMMYFUNCTION("""COMPUTED_VALUE"""),"[C]")</f>
        <v>[C]</v>
      </c>
      <c r="N1256" s="42" t="str">
        <f>IFERROR(__xludf.DUMMYFUNCTION("""COMPUTED_VALUE"""),"Penny's 2nd spell. A water shield. It also absorbs energy.")</f>
        <v>Penny's 2nd spell. A water shield. It also absorbs energy.</v>
      </c>
      <c r="O1256" s="42"/>
      <c r="P1256" s="42"/>
      <c r="Q1256" s="42"/>
      <c r="R1256" s="42"/>
      <c r="S1256" s="42"/>
      <c r="T1256" s="42"/>
      <c r="U1256" s="42"/>
      <c r="V1256" s="42"/>
      <c r="W1256" s="42"/>
      <c r="X1256" s="42"/>
      <c r="Y1256" s="42"/>
      <c r="Z1256" s="42"/>
    </row>
    <row r="1257">
      <c r="A1257" s="41" t="str">
        <f>IFERROR(__xludf.DUMMYFUNCTION("""COMPUTED_VALUE"""),"S-129")</f>
        <v>S-129</v>
      </c>
      <c r="B1257" s="42" t="str">
        <f>IFERROR(__xludf.DUMMYFUNCTION("""COMPUTED_VALUE"""),"Spell")</f>
        <v>Spell</v>
      </c>
      <c r="C1257" s="42" t="str">
        <f>IFERROR(__xludf.DUMMYFUNCTION("""COMPUTED_VALUE"""),"Ak Spreid")</f>
        <v>Ak Spreid</v>
      </c>
      <c r="D1257" s="42" t="str">
        <f>IFERROR(__xludf.DUMMYFUNCTION("""COMPUTED_VALUE"""),"Penny")</f>
        <v>Penny</v>
      </c>
      <c r="E1257" s="42">
        <f>IFERROR(__xludf.DUMMYFUNCTION("""COMPUTED_VALUE"""),2.0)</f>
        <v>2</v>
      </c>
      <c r="F1257" s="42" t="str">
        <f>IFERROR(__xludf.DUMMYFUNCTION("""COMPUTED_VALUE"""),"A")</f>
        <v>A</v>
      </c>
      <c r="G1257" s="42" t="str">
        <f>IFERROR(__xludf.DUMMYFUNCTION("""COMPUTED_VALUE"""),"None")</f>
        <v>None</v>
      </c>
      <c r="H1257" s="42" t="str">
        <f>IFERROR(__xludf.DUMMYFUNCTION("""COMPUTED_VALUE"""),"Water")</f>
        <v>Water</v>
      </c>
      <c r="I1257" s="43" t="str">
        <f>IFERROR(__xludf.DUMMYFUNCTION("""COMPUTED_VALUE"""),"Damage your opponent's Spell Book when you win the Battle as an Attacker. If you played an Ashield SPELL card on your opponent's previous turn, add 4000 Power and 2 Damage to this SPELL card.")</f>
        <v>Damage your opponent's Spell Book when you win the Battle as an Attacker. If you played an Ashield SPELL card on your opponent's previous turn, add 4000 Power and 2 Damage to this SPELL card.</v>
      </c>
      <c r="J1257" s="42" t="str">
        <f>IFERROR(__xludf.DUMMYFUNCTION("""COMPUTED_VALUE"""),"+2000")</f>
        <v>+2000</v>
      </c>
      <c r="K1257" s="42">
        <f>IFERROR(__xludf.DUMMYFUNCTION("""COMPUTED_VALUE"""),1.0)</f>
        <v>1</v>
      </c>
      <c r="L1257" s="42" t="str">
        <f>IFERROR(__xludf.DUMMYFUNCTION("""COMPUTED_VALUE"""),"The Gathering Storm, Series 3, Level 4")</f>
        <v>The Gathering Storm, Series 3, Level 4</v>
      </c>
      <c r="M1257" s="42" t="str">
        <f>IFERROR(__xludf.DUMMYFUNCTION("""COMPUTED_VALUE"""),"[U]")</f>
        <v>[U]</v>
      </c>
      <c r="N1257" s="42" t="str">
        <f>IFERROR(__xludf.DUMMYFUNCTION("""COMPUTED_VALUE"""),"Penny's 3rd spell. It fires back the opponent's energy that was absorbed by the Ashield spell.")</f>
        <v>Penny's 3rd spell. It fires back the opponent's energy that was absorbed by the Ashield spell.</v>
      </c>
      <c r="O1257" s="42"/>
      <c r="P1257" s="42"/>
      <c r="Q1257" s="42"/>
      <c r="R1257" s="42"/>
      <c r="S1257" s="42"/>
      <c r="T1257" s="42"/>
      <c r="U1257" s="42"/>
      <c r="V1257" s="42"/>
      <c r="W1257" s="42"/>
      <c r="X1257" s="42"/>
      <c r="Y1257" s="42"/>
      <c r="Z1257" s="42"/>
    </row>
    <row r="1258">
      <c r="A1258" s="41" t="str">
        <f>IFERROR(__xludf.DUMMYFUNCTION("""COMPUTED_VALUE"""),"S-130")</f>
        <v>S-130</v>
      </c>
      <c r="B1258" s="42" t="str">
        <f>IFERROR(__xludf.DUMMYFUNCTION("""COMPUTED_VALUE"""),"Spell")</f>
        <v>Spell</v>
      </c>
      <c r="C1258" s="42" t="str">
        <f>IFERROR(__xludf.DUMMYFUNCTION("""COMPUTED_VALUE"""),"So Giaku")</f>
        <v>So Giaku</v>
      </c>
      <c r="D1258" s="42" t="str">
        <f>IFERROR(__xludf.DUMMYFUNCTION("""COMPUTED_VALUE"""),"Penny")</f>
        <v>Penny</v>
      </c>
      <c r="E1258" s="42">
        <f>IFERROR(__xludf.DUMMYFUNCTION("""COMPUTED_VALUE"""),5.0)</f>
        <v>5</v>
      </c>
      <c r="F1258" s="42" t="str">
        <f>IFERROR(__xludf.DUMMYFUNCTION("""COMPUTED_VALUE"""),"AD")</f>
        <v>AD</v>
      </c>
      <c r="G1258" s="42" t="str">
        <f>IFERROR(__xludf.DUMMYFUNCTION("""COMPUTED_VALUE"""),"Superior")</f>
        <v>Superior</v>
      </c>
      <c r="H1258" s="42" t="str">
        <f>IFERROR(__xludf.DUMMYFUNCTION("""COMPUTED_VALUE"""),"Water")</f>
        <v>Water</v>
      </c>
      <c r="I1258" s="43" t="str">
        <f>IFERROR(__xludf.DUMMYFUNCTION("""COMPUTED_VALUE"""),"Damage your opponent's Spell Book when you win the Battle as an Attacker. When Defending, reduce the Damage of your opponent's Attack by 2 regardless of their Power.")</f>
        <v>Damage your opponent's Spell Book when you win the Battle as an Attacker. When Defending, reduce the Damage of your opponent's Attack by 2 regardless of their Power.</v>
      </c>
      <c r="J1258" s="42" t="str">
        <f>IFERROR(__xludf.DUMMYFUNCTION("""COMPUTED_VALUE"""),"+5000")</f>
        <v>+5000</v>
      </c>
      <c r="K1258" s="42">
        <f>IFERROR(__xludf.DUMMYFUNCTION("""COMPUTED_VALUE"""),3.0)</f>
        <v>3</v>
      </c>
      <c r="L1258" s="42" t="str">
        <f>IFERROR(__xludf.DUMMYFUNCTION("""COMPUTED_VALUE"""),"The Gathering Storm, Series 3, Level 4")</f>
        <v>The Gathering Storm, Series 3, Level 4</v>
      </c>
      <c r="M1258" s="42" t="str">
        <f>IFERROR(__xludf.DUMMYFUNCTION("""COMPUTED_VALUE"""),"[SR]")</f>
        <v>[SR]</v>
      </c>
      <c r="N1258" s="42" t="str">
        <f>IFERROR(__xludf.DUMMYFUNCTION("""COMPUTED_VALUE"""),"Penny's 7th spell. Penny summons a powerful water dragon.")</f>
        <v>Penny's 7th spell. Penny summons a powerful water dragon.</v>
      </c>
      <c r="O1258" s="42"/>
      <c r="P1258" s="42"/>
      <c r="Q1258" s="42"/>
      <c r="R1258" s="42"/>
      <c r="S1258" s="42"/>
      <c r="T1258" s="42"/>
      <c r="U1258" s="42"/>
      <c r="V1258" s="42"/>
      <c r="W1258" s="42"/>
      <c r="X1258" s="42"/>
      <c r="Y1258" s="42"/>
      <c r="Z1258" s="42"/>
    </row>
    <row r="1259">
      <c r="A1259" s="41" t="str">
        <f>IFERROR(__xludf.DUMMYFUNCTION("""COMPUTED_VALUE"""),"S-131")</f>
        <v>S-131</v>
      </c>
      <c r="B1259" s="42" t="str">
        <f>IFERROR(__xludf.DUMMYFUNCTION("""COMPUTED_VALUE"""),"Spell")</f>
        <v>Spell</v>
      </c>
      <c r="C1259" s="42" t="str">
        <f>IFERROR(__xludf.DUMMYFUNCTION("""COMPUTED_VALUE"""),"Go Redoruk")</f>
        <v>Go Redoruk</v>
      </c>
      <c r="D1259" s="42" t="str">
        <f>IFERROR(__xludf.DUMMYFUNCTION("""COMPUTED_VALUE"""),"Wonrei")</f>
        <v>Wonrei</v>
      </c>
      <c r="E1259" s="42">
        <f>IFERROR(__xludf.DUMMYFUNCTION("""COMPUTED_VALUE"""),4.0)</f>
        <v>4</v>
      </c>
      <c r="F1259" s="42" t="str">
        <f>IFERROR(__xludf.DUMMYFUNCTION("""COMPUTED_VALUE"""),"A")</f>
        <v>A</v>
      </c>
      <c r="G1259" s="42" t="str">
        <f>IFERROR(__xludf.DUMMYFUNCTION("""COMPUTED_VALUE"""),"Intermediate")</f>
        <v>Intermediate</v>
      </c>
      <c r="H1259" s="42" t="str">
        <f>IFERROR(__xludf.DUMMYFUNCTION("""COMPUTED_VALUE"""),"-")</f>
        <v>-</v>
      </c>
      <c r="I1259" s="43" t="str">
        <f>IFERROR(__xludf.DUMMYFUNCTION("""COMPUTED_VALUE"""),"Damage your opponent's Spell Book when you win the Battle as an Attacker. Neither player can apply the effects of PARTNER and EVENT cards during the Battle this SPELL card is played.")</f>
        <v>Damage your opponent's Spell Book when you win the Battle as an Attacker. Neither player can apply the effects of PARTNER and EVENT cards during the Battle this SPELL card is played.</v>
      </c>
      <c r="J1259" s="42" t="str">
        <f>IFERROR(__xludf.DUMMYFUNCTION("""COMPUTED_VALUE"""),"+5000")</f>
        <v>+5000</v>
      </c>
      <c r="K1259" s="42">
        <f>IFERROR(__xludf.DUMMYFUNCTION("""COMPUTED_VALUE"""),2.0)</f>
        <v>2</v>
      </c>
      <c r="L1259" s="42" t="str">
        <f>IFERROR(__xludf.DUMMYFUNCTION("""COMPUTED_VALUE"""),"Supreme Power of the Golden Spell, Series 2, Level 4")</f>
        <v>Supreme Power of the Golden Spell, Series 2, Level 4</v>
      </c>
      <c r="M1259" s="42" t="str">
        <f>IFERROR(__xludf.DUMMYFUNCTION("""COMPUTED_VALUE"""),"[R]")</f>
        <v>[R]</v>
      </c>
      <c r="N1259" s="42" t="str">
        <f>IFERROR(__xludf.DUMMYFUNCTION("""COMPUTED_VALUE"""),"It reinforces Wonrei's leg power.")</f>
        <v>It reinforces Wonrei's leg power.</v>
      </c>
      <c r="O1259" s="42"/>
      <c r="P1259" s="42"/>
      <c r="Q1259" s="42"/>
      <c r="R1259" s="42"/>
      <c r="S1259" s="42"/>
      <c r="T1259" s="42"/>
      <c r="U1259" s="42"/>
      <c r="V1259" s="42"/>
      <c r="W1259" s="42"/>
      <c r="X1259" s="42"/>
      <c r="Y1259" s="42"/>
      <c r="Z1259" s="42"/>
    </row>
    <row r="1260">
      <c r="A1260" s="41" t="str">
        <f>IFERROR(__xludf.DUMMYFUNCTION("""COMPUTED_VALUE"""),"S-132")</f>
        <v>S-132</v>
      </c>
      <c r="B1260" s="42" t="str">
        <f>IFERROR(__xludf.DUMMYFUNCTION("""COMPUTED_VALUE"""),"Spell")</f>
        <v>Spell</v>
      </c>
      <c r="C1260" s="42" t="str">
        <f>IFERROR(__xludf.DUMMYFUNCTION("""COMPUTED_VALUE"""),"Gar Redoruk")</f>
        <v>Gar Redoruk</v>
      </c>
      <c r="D1260" s="42" t="str">
        <f>IFERROR(__xludf.DUMMYFUNCTION("""COMPUTED_VALUE"""),"Wonrei")</f>
        <v>Wonrei</v>
      </c>
      <c r="E1260" s="42">
        <f>IFERROR(__xludf.DUMMYFUNCTION("""COMPUTED_VALUE"""),3.0)</f>
        <v>3</v>
      </c>
      <c r="F1260" s="42" t="str">
        <f>IFERROR(__xludf.DUMMYFUNCTION("""COMPUTED_VALUE"""),"A")</f>
        <v>A</v>
      </c>
      <c r="G1260" s="42" t="str">
        <f>IFERROR(__xludf.DUMMYFUNCTION("""COMPUTED_VALUE"""),"Intermediate")</f>
        <v>Intermediate</v>
      </c>
      <c r="H1260" s="42" t="str">
        <f>IFERROR(__xludf.DUMMYFUNCTION("""COMPUTED_VALUE"""),"-")</f>
        <v>-</v>
      </c>
      <c r="I1260" s="43" t="str">
        <f>IFERROR(__xludf.DUMMYFUNCTION("""COMPUTED_VALUE"""),"Damage your opponent's Spell Book when you win the Battle as an Attacker. If your opponent does not Defend during the Battle, increase the Damage of this SPELL card by 1.")</f>
        <v>Damage your opponent's Spell Book when you win the Battle as an Attacker. If your opponent does not Defend during the Battle, increase the Damage of this SPELL card by 1.</v>
      </c>
      <c r="J1260" s="42" t="str">
        <f>IFERROR(__xludf.DUMMYFUNCTION("""COMPUTED_VALUE"""),"+3000")</f>
        <v>+3000</v>
      </c>
      <c r="K1260" s="42">
        <f>IFERROR(__xludf.DUMMYFUNCTION("""COMPUTED_VALUE"""),2.0)</f>
        <v>2</v>
      </c>
      <c r="L1260" s="42" t="str">
        <f>IFERROR(__xludf.DUMMYFUNCTION("""COMPUTED_VALUE"""),"Supreme Power of the Golden Spell, Series 2, Level 4")</f>
        <v>Supreme Power of the Golden Spell, Series 2, Level 4</v>
      </c>
      <c r="M1260" s="42" t="str">
        <f>IFERROR(__xludf.DUMMYFUNCTION("""COMPUTED_VALUE"""),"[R]")</f>
        <v>[R]</v>
      </c>
      <c r="N1260" s="42" t="str">
        <f>IFERROR(__xludf.DUMMYFUNCTION("""COMPUTED_VALUE"""),"Makes Wonrei fly up in the air and perform a spinning kick.")</f>
        <v>Makes Wonrei fly up in the air and perform a spinning kick.</v>
      </c>
      <c r="O1260" s="42"/>
      <c r="P1260" s="42"/>
      <c r="Q1260" s="42"/>
      <c r="R1260" s="42"/>
      <c r="S1260" s="42"/>
      <c r="T1260" s="42"/>
      <c r="U1260" s="42"/>
      <c r="V1260" s="42"/>
      <c r="W1260" s="42"/>
      <c r="X1260" s="42"/>
      <c r="Y1260" s="42"/>
      <c r="Z1260" s="42"/>
    </row>
    <row r="1261">
      <c r="A1261" s="41" t="str">
        <f>IFERROR(__xludf.DUMMYFUNCTION("""COMPUTED_VALUE"""),"S-133")</f>
        <v>S-133</v>
      </c>
      <c r="B1261" s="42" t="str">
        <f>IFERROR(__xludf.DUMMYFUNCTION("""COMPUTED_VALUE"""),"Spell")</f>
        <v>Spell</v>
      </c>
      <c r="C1261" s="42" t="str">
        <f>IFERROR(__xludf.DUMMYFUNCTION("""COMPUTED_VALUE"""),"Rao Diboren")</f>
        <v>Rao Diboren</v>
      </c>
      <c r="D1261" s="42" t="str">
        <f>IFERROR(__xludf.DUMMYFUNCTION("""COMPUTED_VALUE"""),"Wonrei")</f>
        <v>Wonrei</v>
      </c>
      <c r="E1261" s="42">
        <f>IFERROR(__xludf.DUMMYFUNCTION("""COMPUTED_VALUE"""),7.0)</f>
        <v>7</v>
      </c>
      <c r="F1261" s="42" t="str">
        <f>IFERROR(__xludf.DUMMYFUNCTION("""COMPUTED_VALUE"""),"AD")</f>
        <v>AD</v>
      </c>
      <c r="G1261" s="42" t="str">
        <f>IFERROR(__xludf.DUMMYFUNCTION("""COMPUTED_VALUE"""),"Superior")</f>
        <v>Superior</v>
      </c>
      <c r="H1261" s="42" t="str">
        <f>IFERROR(__xludf.DUMMYFUNCTION("""COMPUTED_VALUE"""),"-")</f>
        <v>-</v>
      </c>
      <c r="I1261" s="43" t="str">
        <f>IFERROR(__xludf.DUMMYFUNCTION("""COMPUTED_VALUE"""),"Damage your opponent's Spell Book when you win the Battle as an Attacker. When you inflict Damage or Injury, reduce your opponent's MP by 3 (maximum) to get 3 MP.")</f>
        <v>Damage your opponent's Spell Book when you win the Battle as an Attacker. When you inflict Damage or Injury, reduce your opponent's MP by 3 (maximum) to get 3 MP.</v>
      </c>
      <c r="J1261" s="42" t="str">
        <f>IFERROR(__xludf.DUMMYFUNCTION("""COMPUTED_VALUE"""),"+6000")</f>
        <v>+6000</v>
      </c>
      <c r="K1261" s="42">
        <f>IFERROR(__xludf.DUMMYFUNCTION("""COMPUTED_VALUE"""),3.0)</f>
        <v>3</v>
      </c>
      <c r="L1261" s="42" t="str">
        <f>IFERROR(__xludf.DUMMYFUNCTION("""COMPUTED_VALUE"""),"The Gathering Storm, Series 3, Level 4, The Best Booster 1")</f>
        <v>The Gathering Storm, Series 3, Level 4, The Best Booster 1</v>
      </c>
      <c r="M1261" s="42" t="str">
        <f>IFERROR(__xludf.DUMMYFUNCTION("""COMPUTED_VALUE"""),"[R]")</f>
        <v>[R]</v>
      </c>
      <c r="N1261" s="42" t="str">
        <f>IFERROR(__xludf.DUMMYFUNCTION("""COMPUTED_VALUE"""),"Wonrei's 8th spell. It summons a fierce tiger that attacks opponents with its claws and fangs.")</f>
        <v>Wonrei's 8th spell. It summons a fierce tiger that attacks opponents with its claws and fangs.</v>
      </c>
      <c r="O1261" s="42"/>
      <c r="P1261" s="42"/>
      <c r="Q1261" s="42"/>
      <c r="R1261" s="42"/>
      <c r="S1261" s="42"/>
      <c r="T1261" s="42"/>
      <c r="U1261" s="42"/>
      <c r="V1261" s="42"/>
      <c r="W1261" s="42"/>
      <c r="X1261" s="42"/>
      <c r="Y1261" s="42"/>
      <c r="Z1261" s="42"/>
    </row>
    <row r="1262">
      <c r="A1262" s="41" t="str">
        <f>IFERROR(__xludf.DUMMYFUNCTION("""COMPUTED_VALUE"""),"S-134")</f>
        <v>S-134</v>
      </c>
      <c r="B1262" s="42" t="str">
        <f>IFERROR(__xludf.DUMMYFUNCTION("""COMPUTED_VALUE"""),"Spell")</f>
        <v>Spell</v>
      </c>
      <c r="C1262" s="42" t="str">
        <f>IFERROR(__xludf.DUMMYFUNCTION("""COMPUTED_VALUE"""),"Shudoruk")</f>
        <v>Shudoruk</v>
      </c>
      <c r="D1262" s="42" t="str">
        <f>IFERROR(__xludf.DUMMYFUNCTION("""COMPUTED_VALUE"""),"Ponygon")</f>
        <v>Ponygon</v>
      </c>
      <c r="E1262" s="42">
        <f>IFERROR(__xludf.DUMMYFUNCTION("""COMPUTED_VALUE"""),1.0)</f>
        <v>1</v>
      </c>
      <c r="F1262" s="42" t="str">
        <f>IFERROR(__xludf.DUMMYFUNCTION("""COMPUTED_VALUE"""),"AD")</f>
        <v>AD</v>
      </c>
      <c r="G1262" s="42" t="str">
        <f>IFERROR(__xludf.DUMMYFUNCTION("""COMPUTED_VALUE"""),"None")</f>
        <v>None</v>
      </c>
      <c r="H1262" s="42" t="str">
        <f>IFERROR(__xludf.DUMMYFUNCTION("""COMPUTED_VALUE"""),"-")</f>
        <v>-</v>
      </c>
      <c r="I1262" s="43" t="str">
        <f>IFERROR(__xludf.DUMMYFUNCTION("""COMPUTED_VALUE"""),"Damage your opponent's Spell Book when you win the Battle as an Attacker. The Total Power of this SPELL card is 7000. Flip a coin; if it's heads, increase the Damage of this SPELL card by 1.")</f>
        <v>Damage your opponent's Spell Book when you win the Battle as an Attacker. The Total Power of this SPELL card is 7000. Flip a coin; if it's heads, increase the Damage of this SPELL card by 1.</v>
      </c>
      <c r="J1262" s="42">
        <f>IFERROR(__xludf.DUMMYFUNCTION("""COMPUTED_VALUE"""),7000.0)</f>
        <v>7000</v>
      </c>
      <c r="K1262" s="42">
        <f>IFERROR(__xludf.DUMMYFUNCTION("""COMPUTED_VALUE"""),1.0)</f>
        <v>1</v>
      </c>
      <c r="L1262" s="42" t="str">
        <f>IFERROR(__xludf.DUMMYFUNCTION("""COMPUTED_VALUE"""),"Dawn of the Ancients, Series 4, Level 4")</f>
        <v>Dawn of the Ancients, Series 4, Level 4</v>
      </c>
      <c r="M1262" s="42" t="str">
        <f>IFERROR(__xludf.DUMMYFUNCTION("""COMPUTED_VALUE"""),"[U]")</f>
        <v>[U]</v>
      </c>
      <c r="N1262" s="42" t="str">
        <f>IFERROR(__xludf.DUMMYFUNCTION("""COMPUTED_VALUE"""),"Ponygon's 1st spell. Enables armor and makes him charge toward opponents.")</f>
        <v>Ponygon's 1st spell. Enables armor and makes him charge toward opponents.</v>
      </c>
      <c r="O1262" s="42"/>
      <c r="P1262" s="42"/>
      <c r="Q1262" s="42"/>
      <c r="R1262" s="42"/>
      <c r="S1262" s="42"/>
      <c r="T1262" s="42"/>
      <c r="U1262" s="42"/>
      <c r="V1262" s="42"/>
      <c r="W1262" s="42"/>
      <c r="X1262" s="42"/>
      <c r="Y1262" s="42"/>
      <c r="Z1262" s="42"/>
    </row>
    <row r="1263">
      <c r="A1263" s="41" t="str">
        <f>IFERROR(__xludf.DUMMYFUNCTION("""COMPUTED_VALUE"""),"S-135")</f>
        <v>S-135</v>
      </c>
      <c r="B1263" s="42" t="str">
        <f>IFERROR(__xludf.DUMMYFUNCTION("""COMPUTED_VALUE"""),"Spell")</f>
        <v>Spell</v>
      </c>
      <c r="C1263" s="42" t="str">
        <f>IFERROR(__xludf.DUMMYFUNCTION("""COMPUTED_VALUE"""),"Go Shudoruk")</f>
        <v>Go Shudoruk</v>
      </c>
      <c r="D1263" s="42" t="str">
        <f>IFERROR(__xludf.DUMMYFUNCTION("""COMPUTED_VALUE"""),"Ponygon")</f>
        <v>Ponygon</v>
      </c>
      <c r="E1263" s="42">
        <f>IFERROR(__xludf.DUMMYFUNCTION("""COMPUTED_VALUE"""),2.0)</f>
        <v>2</v>
      </c>
      <c r="F1263" s="42" t="str">
        <f>IFERROR(__xludf.DUMMYFUNCTION("""COMPUTED_VALUE"""),"A")</f>
        <v>A</v>
      </c>
      <c r="G1263" s="42" t="str">
        <f>IFERROR(__xludf.DUMMYFUNCTION("""COMPUTED_VALUE"""),"None")</f>
        <v>None</v>
      </c>
      <c r="H1263" s="42" t="str">
        <f>IFERROR(__xludf.DUMMYFUNCTION("""COMPUTED_VALUE"""),"-")</f>
        <v>-</v>
      </c>
      <c r="I1263" s="43" t="str">
        <f>IFERROR(__xludf.DUMMYFUNCTION("""COMPUTED_VALUE"""),"Select 1 Ponygon (Go Shudoruk Form) MAMODO card from any page of your Spell Book and place it on a Ponygon MAMODO card.")</f>
        <v>Select 1 Ponygon (Go Shudoruk Form) MAMODO card from any page of your Spell Book and place it on a Ponygon MAMODO card.</v>
      </c>
      <c r="J1263" s="42" t="str">
        <f>IFERROR(__xludf.DUMMYFUNCTION("""COMPUTED_VALUE"""),"Special")</f>
        <v>Special</v>
      </c>
      <c r="K1263" s="42" t="str">
        <f>IFERROR(__xludf.DUMMYFUNCTION("""COMPUTED_VALUE"""),"-")</f>
        <v>-</v>
      </c>
      <c r="L1263" s="42" t="str">
        <f>IFERROR(__xludf.DUMMYFUNCTION("""COMPUTED_VALUE"""),"Dawn of the Ancients, Series 4, Level 4, The Best Booster 1")</f>
        <v>Dawn of the Ancients, Series 4, Level 4, The Best Booster 1</v>
      </c>
      <c r="M1263" s="42" t="str">
        <f>IFERROR(__xludf.DUMMYFUNCTION("""COMPUTED_VALUE"""),"[U]")</f>
        <v>[U]</v>
      </c>
      <c r="N1263" s="42" t="str">
        <f>IFERROR(__xludf.DUMMYFUNCTION("""COMPUTED_VALUE"""),"Ponygon's 2nd spell. It changes Ponygon to the 2nd form.")</f>
        <v>Ponygon's 2nd spell. It changes Ponygon to the 2nd form.</v>
      </c>
      <c r="O1263" s="42"/>
      <c r="P1263" s="42"/>
      <c r="Q1263" s="42"/>
      <c r="R1263" s="42"/>
      <c r="S1263" s="42"/>
      <c r="T1263" s="42"/>
      <c r="U1263" s="42"/>
      <c r="V1263" s="42"/>
      <c r="W1263" s="42"/>
      <c r="X1263" s="42"/>
      <c r="Y1263" s="42"/>
      <c r="Z1263" s="42"/>
    </row>
    <row r="1264">
      <c r="A1264" s="41" t="str">
        <f>IFERROR(__xludf.DUMMYFUNCTION("""COMPUTED_VALUE"""),"S-136")</f>
        <v>S-136</v>
      </c>
      <c r="B1264" s="42" t="str">
        <f>IFERROR(__xludf.DUMMYFUNCTION("""COMPUTED_VALUE"""),"Spell")</f>
        <v>Spell</v>
      </c>
      <c r="C1264" s="42" t="str">
        <f>IFERROR(__xludf.DUMMYFUNCTION("""COMPUTED_VALUE"""),"Paperuto")</f>
        <v>Paperuto</v>
      </c>
      <c r="D1264" s="42" t="str">
        <f>IFERROR(__xludf.DUMMYFUNCTION("""COMPUTED_VALUE"""),"Nya")</f>
        <v>Nya</v>
      </c>
      <c r="E1264" s="42">
        <f>IFERROR(__xludf.DUMMYFUNCTION("""COMPUTED_VALUE"""),2.0)</f>
        <v>2</v>
      </c>
      <c r="F1264" s="42" t="str">
        <f>IFERROR(__xludf.DUMMYFUNCTION("""COMPUTED_VALUE"""),"A")</f>
        <v>A</v>
      </c>
      <c r="G1264" s="42" t="str">
        <f>IFERROR(__xludf.DUMMYFUNCTION("""COMPUTED_VALUE"""),"None")</f>
        <v>None</v>
      </c>
      <c r="H1264" s="42" t="str">
        <f>IFERROR(__xludf.DUMMYFUNCTION("""COMPUTED_VALUE"""),"-")</f>
        <v>-</v>
      </c>
      <c r="I1264" s="43" t="str">
        <f>IFERROR(__xludf.DUMMYFUNCTION("""COMPUTED_VALUE"""),"Apply both of the following effects: ● [STAY] Select 1 of your opponent's in-play MAMODO cards. Your opponent can neither play SPELL cards for nor apply the effects of the selected MAMODO card until the END PHASE of your next turn. ● [STAY] No SPELL cards"&amp;" can be played for nor can you apply the effects of the Nya MAMODO card until the end of your next turn.")</f>
        <v>Apply both of the following effects: ● [STAY] Select 1 of your opponent's in-play MAMODO cards. Your opponent can neither play SPELL cards for nor apply the effects of the selected MAMODO card until the END PHASE of your next turn. ● [STAY] No SPELL cards can be played for nor can you apply the effects of the Nya MAMODO card until the end of your next turn.</v>
      </c>
      <c r="J1264" s="42" t="str">
        <f>IFERROR(__xludf.DUMMYFUNCTION("""COMPUTED_VALUE"""),"Special")</f>
        <v>Special</v>
      </c>
      <c r="K1264" s="42" t="str">
        <f>IFERROR(__xludf.DUMMYFUNCTION("""COMPUTED_VALUE"""),"-")</f>
        <v>-</v>
      </c>
      <c r="L1264" s="42" t="str">
        <f>IFERROR(__xludf.DUMMYFUNCTION("""COMPUTED_VALUE"""),"Supreme Power of the Golden Spell, Series 2, Level 4")</f>
        <v>Supreme Power of the Golden Spell, Series 2, Level 4</v>
      </c>
      <c r="M1264" s="42" t="str">
        <f>IFERROR(__xludf.DUMMYFUNCTION("""COMPUTED_VALUE"""),"[C]")</f>
        <v>[C]</v>
      </c>
      <c r="N1264" s="42" t="str">
        <f>IFERROR(__xludf.DUMMYFUNCTION("""COMPUTED_VALUE"""),"A mamodo who is under the spell is forced to dance with Nya.")</f>
        <v>A mamodo who is under the spell is forced to dance with Nya.</v>
      </c>
      <c r="O1264" s="42"/>
      <c r="P1264" s="42"/>
      <c r="Q1264" s="42"/>
      <c r="R1264" s="42"/>
      <c r="S1264" s="42"/>
      <c r="T1264" s="42"/>
      <c r="U1264" s="42"/>
      <c r="V1264" s="42"/>
      <c r="W1264" s="42"/>
      <c r="X1264" s="42"/>
      <c r="Y1264" s="42"/>
      <c r="Z1264" s="42"/>
    </row>
    <row r="1265">
      <c r="A1265" s="41" t="str">
        <f>IFERROR(__xludf.DUMMYFUNCTION("""COMPUTED_VALUE"""),"S-137")</f>
        <v>S-137</v>
      </c>
      <c r="B1265" s="42" t="str">
        <f>IFERROR(__xludf.DUMMYFUNCTION("""COMPUTED_VALUE"""),"Spell")</f>
        <v>Spell</v>
      </c>
      <c r="C1265" s="42" t="str">
        <f>IFERROR(__xludf.DUMMYFUNCTION("""COMPUTED_VALUE"""),"Peruk")</f>
        <v>Peruk</v>
      </c>
      <c r="D1265" s="42" t="str">
        <f>IFERROR(__xludf.DUMMYFUNCTION("""COMPUTED_VALUE"""),"Nya")</f>
        <v>Nya</v>
      </c>
      <c r="E1265" s="42">
        <f>IFERROR(__xludf.DUMMYFUNCTION("""COMPUTED_VALUE"""),1.0)</f>
        <v>1</v>
      </c>
      <c r="F1265" s="42" t="str">
        <f>IFERROR(__xludf.DUMMYFUNCTION("""COMPUTED_VALUE"""),"AD")</f>
        <v>AD</v>
      </c>
      <c r="G1265" s="42" t="str">
        <f>IFERROR(__xludf.DUMMYFUNCTION("""COMPUTED_VALUE"""),"None")</f>
        <v>None</v>
      </c>
      <c r="H1265" s="42" t="str">
        <f>IFERROR(__xludf.DUMMYFUNCTION("""COMPUTED_VALUE"""),"-")</f>
        <v>-</v>
      </c>
      <c r="I1265" s="43" t="str">
        <f>IFERROR(__xludf.DUMMYFUNCTION("""COMPUTED_VALUE"""),"Damage your opponent's Spell Book when you win the Battle as an Attacker. Flip a coin twice; the Damage of this SPELL card is considered to be the same as the number of heads you get times 1.")</f>
        <v>Damage your opponent's Spell Book when you win the Battle as an Attacker. Flip a coin twice; the Damage of this SPELL card is considered to be the same as the number of heads you get times 1.</v>
      </c>
      <c r="J1265" s="42" t="str">
        <f>IFERROR(__xludf.DUMMYFUNCTION("""COMPUTED_VALUE"""),"+2000")</f>
        <v>+2000</v>
      </c>
      <c r="K1265" s="42" t="str">
        <f>IFERROR(__xludf.DUMMYFUNCTION("""COMPUTED_VALUE"""),"?")</f>
        <v>?</v>
      </c>
      <c r="L1265" s="42" t="str">
        <f>IFERROR(__xludf.DUMMYFUNCTION("""COMPUTED_VALUE"""),"Supreme Power of the Golden Spell, Series 2, Level 4")</f>
        <v>Supreme Power of the Golden Spell, Series 2, Level 4</v>
      </c>
      <c r="M1265" s="42" t="str">
        <f>IFERROR(__xludf.DUMMYFUNCTION("""COMPUTED_VALUE"""),"[C]")</f>
        <v>[C]</v>
      </c>
      <c r="N1265" s="42" t="str">
        <f>IFERROR(__xludf.DUMMYFUNCTION("""COMPUTED_VALUE"""),"Nya's needle-like hair shoots at opponents.")</f>
        <v>Nya's needle-like hair shoots at opponents.</v>
      </c>
      <c r="O1265" s="42"/>
      <c r="P1265" s="42"/>
      <c r="Q1265" s="42"/>
      <c r="R1265" s="42"/>
      <c r="S1265" s="42"/>
      <c r="T1265" s="42"/>
      <c r="U1265" s="42"/>
      <c r="V1265" s="42"/>
      <c r="W1265" s="42"/>
      <c r="X1265" s="42"/>
      <c r="Y1265" s="42"/>
      <c r="Z1265" s="42"/>
    </row>
    <row r="1266">
      <c r="A1266" s="41" t="str">
        <f>IFERROR(__xludf.DUMMYFUNCTION("""COMPUTED_VALUE"""),"S-138")</f>
        <v>S-138</v>
      </c>
      <c r="B1266" s="42" t="str">
        <f>IFERROR(__xludf.DUMMYFUNCTION("""COMPUTED_VALUE"""),"Spell")</f>
        <v>Spell</v>
      </c>
      <c r="C1266" s="42" t="str">
        <f>IFERROR(__xludf.DUMMYFUNCTION("""COMPUTED_VALUE"""),"Kyadopan")</f>
        <v>Kyadopan</v>
      </c>
      <c r="D1266" s="42" t="str">
        <f>IFERROR(__xludf.DUMMYFUNCTION("""COMPUTED_VALUE"""),"Nya")</f>
        <v>Nya</v>
      </c>
      <c r="E1266" s="42">
        <f>IFERROR(__xludf.DUMMYFUNCTION("""COMPUTED_VALUE"""),4.0)</f>
        <v>4</v>
      </c>
      <c r="F1266" s="42" t="str">
        <f>IFERROR(__xludf.DUMMYFUNCTION("""COMPUTED_VALUE"""),"AD")</f>
        <v>AD</v>
      </c>
      <c r="G1266" s="42" t="str">
        <f>IFERROR(__xludf.DUMMYFUNCTION("""COMPUTED_VALUE"""),"None")</f>
        <v>None</v>
      </c>
      <c r="H1266" s="42" t="str">
        <f>IFERROR(__xludf.DUMMYFUNCTION("""COMPUTED_VALUE"""),"-")</f>
        <v>-</v>
      </c>
      <c r="I1266" s="43" t="str">
        <f>IFERROR(__xludf.DUMMYFUNCTION("""COMPUTED_VALUE"""),"Damage your opponent’s Spell Book when you win the Battle as an Attacker.")</f>
        <v>Damage your opponent’s Spell Book when you win the Battle as an Attacker.</v>
      </c>
      <c r="J1266" s="42" t="str">
        <f>IFERROR(__xludf.DUMMYFUNCTION("""COMPUTED_VALUE"""),"+3000")</f>
        <v>+3000</v>
      </c>
      <c r="K1266" s="42">
        <f>IFERROR(__xludf.DUMMYFUNCTION("""COMPUTED_VALUE"""),3.0)</f>
        <v>3</v>
      </c>
      <c r="L1266" s="42" t="str">
        <f>IFERROR(__xludf.DUMMYFUNCTION("""COMPUTED_VALUE"""),"Supreme Power of the Golden Spell, Series 2, Level 4")</f>
        <v>Supreme Power of the Golden Spell, Series 2, Level 4</v>
      </c>
      <c r="M1266" s="42" t="str">
        <f>IFERROR(__xludf.DUMMYFUNCTION("""COMPUTED_VALUE"""),"[C]")</f>
        <v>[C]</v>
      </c>
      <c r="N1266" s="42" t="str">
        <f>IFERROR(__xludf.DUMMYFUNCTION("""COMPUTED_VALUE"""),"Nya's sharp claws slashes.")</f>
        <v>Nya's sharp claws slashes.</v>
      </c>
      <c r="O1266" s="42"/>
      <c r="P1266" s="42"/>
      <c r="Q1266" s="42"/>
      <c r="R1266" s="42"/>
      <c r="S1266" s="42"/>
      <c r="T1266" s="42"/>
      <c r="U1266" s="42"/>
      <c r="V1266" s="42"/>
      <c r="W1266" s="42"/>
      <c r="X1266" s="42"/>
      <c r="Y1266" s="42"/>
      <c r="Z1266" s="42"/>
    </row>
    <row r="1267">
      <c r="A1267" s="41" t="str">
        <f>IFERROR(__xludf.DUMMYFUNCTION("""COMPUTED_VALUE"""),"S-139")</f>
        <v>S-139</v>
      </c>
      <c r="B1267" s="42" t="str">
        <f>IFERROR(__xludf.DUMMYFUNCTION("""COMPUTED_VALUE"""),"Spell")</f>
        <v>Spell</v>
      </c>
      <c r="C1267" s="42" t="str">
        <f>IFERROR(__xludf.DUMMYFUNCTION("""COMPUTED_VALUE"""),"Baikal")</f>
        <v>Baikal</v>
      </c>
      <c r="D1267" s="42" t="str">
        <f>IFERROR(__xludf.DUMMYFUNCTION("""COMPUTED_VALUE"""),"Nya")</f>
        <v>Nya</v>
      </c>
      <c r="E1267" s="42">
        <f>IFERROR(__xludf.DUMMYFUNCTION("""COMPUTED_VALUE"""),2.0)</f>
        <v>2</v>
      </c>
      <c r="F1267" s="42" t="str">
        <f>IFERROR(__xludf.DUMMYFUNCTION("""COMPUTED_VALUE"""),"D")</f>
        <v>D</v>
      </c>
      <c r="G1267" s="42" t="str">
        <f>IFERROR(__xludf.DUMMYFUNCTION("""COMPUTED_VALUE"""),"None")</f>
        <v>None</v>
      </c>
      <c r="H1267" s="42" t="str">
        <f>IFERROR(__xludf.DUMMYFUNCTION("""COMPUTED_VALUE"""),"-")</f>
        <v>-</v>
      </c>
      <c r="I1267" s="43" t="str">
        <f>IFERROR(__xludf.DUMMYFUNCTION("""COMPUTED_VALUE"""),"Reduce the Damage of your opponent's Attack by 2 regardless of their Power.")</f>
        <v>Reduce the Damage of your opponent's Attack by 2 regardless of their Power.</v>
      </c>
      <c r="J1267" s="42" t="str">
        <f>IFERROR(__xludf.DUMMYFUNCTION("""COMPUTED_VALUE"""),"Special")</f>
        <v>Special</v>
      </c>
      <c r="K1267" s="42" t="str">
        <f>IFERROR(__xludf.DUMMYFUNCTION("""COMPUTED_VALUE"""),"-")</f>
        <v>-</v>
      </c>
      <c r="L1267" s="42" t="str">
        <f>IFERROR(__xludf.DUMMYFUNCTION("""COMPUTED_VALUE"""),"Supreme Power of the Golden Spell, Series 2, Level 4")</f>
        <v>Supreme Power of the Golden Spell, Series 2, Level 4</v>
      </c>
      <c r="M1267" s="42" t="str">
        <f>IFERROR(__xludf.DUMMYFUNCTION("""COMPUTED_VALUE"""),"[U]")</f>
        <v>[U]</v>
      </c>
      <c r="N1267" s="42" t="str">
        <f>IFERROR(__xludf.DUMMYFUNCTION("""COMPUTED_VALUE"""),"It makes Nya's body swell out to reduce the shock of an opponent's attack.")</f>
        <v>It makes Nya's body swell out to reduce the shock of an opponent's attack.</v>
      </c>
      <c r="O1267" s="42"/>
      <c r="P1267" s="42"/>
      <c r="Q1267" s="42"/>
      <c r="R1267" s="42"/>
      <c r="S1267" s="42"/>
      <c r="T1267" s="42"/>
      <c r="U1267" s="42"/>
      <c r="V1267" s="42"/>
      <c r="W1267" s="42"/>
      <c r="X1267" s="42"/>
      <c r="Y1267" s="42"/>
      <c r="Z1267" s="42"/>
    </row>
    <row r="1268">
      <c r="A1268" s="41" t="str">
        <f>IFERROR(__xludf.DUMMYFUNCTION("""COMPUTED_VALUE"""),"S-140")</f>
        <v>S-140</v>
      </c>
      <c r="B1268" s="42" t="str">
        <f>IFERROR(__xludf.DUMMYFUNCTION("""COMPUTED_VALUE"""),"Spell")</f>
        <v>Spell</v>
      </c>
      <c r="C1268" s="42" t="str">
        <f>IFERROR(__xludf.DUMMYFUNCTION("""COMPUTED_VALUE"""),"Baris")</f>
        <v>Baris</v>
      </c>
      <c r="D1268" s="42" t="str">
        <f>IFERROR(__xludf.DUMMYFUNCTION("""COMPUTED_VALUE"""),"Cut N' Paste")</f>
        <v>Cut N' Paste</v>
      </c>
      <c r="E1268" s="42">
        <f>IFERROR(__xludf.DUMMYFUNCTION("""COMPUTED_VALUE"""),1.0)</f>
        <v>1</v>
      </c>
      <c r="F1268" s="42" t="str">
        <f>IFERROR(__xludf.DUMMYFUNCTION("""COMPUTED_VALUE"""),"AD")</f>
        <v>AD</v>
      </c>
      <c r="G1268" s="42" t="str">
        <f>IFERROR(__xludf.DUMMYFUNCTION("""COMPUTED_VALUE"""),"None")</f>
        <v>None</v>
      </c>
      <c r="H1268" s="42" t="str">
        <f>IFERROR(__xludf.DUMMYFUNCTION("""COMPUTED_VALUE"""),"-")</f>
        <v>-</v>
      </c>
      <c r="I1268" s="43" t="str">
        <f>IFERROR(__xludf.DUMMYFUNCTION("""COMPUTED_VALUE"""),"This SPELL card can be played even when you don't have a Cut n' Paste MAMODO card in play. Select 1 Cut n' Paste MAMODO card from any page of your Spell Book and put it in play.")</f>
        <v>This SPELL card can be played even when you don't have a Cut n' Paste MAMODO card in play. Select 1 Cut n' Paste MAMODO card from any page of your Spell Book and put it in play.</v>
      </c>
      <c r="J1268" s="42" t="str">
        <f>IFERROR(__xludf.DUMMYFUNCTION("""COMPUTED_VALUE"""),"Special")</f>
        <v>Special</v>
      </c>
      <c r="K1268" s="42" t="str">
        <f>IFERROR(__xludf.DUMMYFUNCTION("""COMPUTED_VALUE"""),"-")</f>
        <v>-</v>
      </c>
      <c r="L1268" s="42" t="str">
        <f>IFERROR(__xludf.DUMMYFUNCTION("""COMPUTED_VALUE"""),"Supreme Power of the Golden Spell, Series 2, Level 4")</f>
        <v>Supreme Power of the Golden Spell, Series 2, Level 4</v>
      </c>
      <c r="M1268" s="42" t="str">
        <f>IFERROR(__xludf.DUMMYFUNCTION("""COMPUTED_VALUE"""),"[C]")</f>
        <v>[C]</v>
      </c>
      <c r="N1268" s="42" t="str">
        <f>IFERROR(__xludf.DUMMYFUNCTION("""COMPUTED_VALUE"""),"Makes scissors &amp; glue turn into the mamodo, Cut n' Paste.")</f>
        <v>Makes scissors &amp; glue turn into the mamodo, Cut n' Paste.</v>
      </c>
      <c r="O1268" s="42"/>
      <c r="P1268" s="42"/>
      <c r="Q1268" s="42"/>
      <c r="R1268" s="42"/>
      <c r="S1268" s="42"/>
      <c r="T1268" s="42"/>
      <c r="U1268" s="42"/>
      <c r="V1268" s="42"/>
      <c r="W1268" s="42"/>
      <c r="X1268" s="42"/>
      <c r="Y1268" s="42"/>
      <c r="Z1268" s="42"/>
    </row>
    <row r="1269">
      <c r="A1269" s="41" t="str">
        <f>IFERROR(__xludf.DUMMYFUNCTION("""COMPUTED_VALUE"""),"S-141")</f>
        <v>S-141</v>
      </c>
      <c r="B1269" s="42" t="str">
        <f>IFERROR(__xludf.DUMMYFUNCTION("""COMPUTED_VALUE"""),"Spell")</f>
        <v>Spell</v>
      </c>
      <c r="C1269" s="42" t="str">
        <f>IFERROR(__xludf.DUMMYFUNCTION("""COMPUTED_VALUE"""),"Poreidoruk")</f>
        <v>Poreidoruk</v>
      </c>
      <c r="D1269" s="42" t="str">
        <f>IFERROR(__xludf.DUMMYFUNCTION("""COMPUTED_VALUE"""),"Cut N' Paste")</f>
        <v>Cut N' Paste</v>
      </c>
      <c r="E1269" s="42">
        <f>IFERROR(__xludf.DUMMYFUNCTION("""COMPUTED_VALUE"""),2.0)</f>
        <v>2</v>
      </c>
      <c r="F1269" s="42" t="str">
        <f>IFERROR(__xludf.DUMMYFUNCTION("""COMPUTED_VALUE"""),"AD")</f>
        <v>AD</v>
      </c>
      <c r="G1269" s="42" t="str">
        <f>IFERROR(__xludf.DUMMYFUNCTION("""COMPUTED_VALUE"""),"None")</f>
        <v>None</v>
      </c>
      <c r="H1269" s="42" t="str">
        <f>IFERROR(__xludf.DUMMYFUNCTION("""COMPUTED_VALUE"""),"-")</f>
        <v>-</v>
      </c>
      <c r="I1269" s="43" t="str">
        <f>IFERROR(__xludf.DUMMYFUNCTION("""COMPUTED_VALUE"""),"Damage your opponent's Spell Book when you win the Battle as an Attacker. When you inflict Damage or Injury, your opponent cannot play SPELL cards until the END PHASE of the next turn ([STAY]).")</f>
        <v>Damage your opponent's Spell Book when you win the Battle as an Attacker. When you inflict Damage or Injury, your opponent cannot play SPELL cards until the END PHASE of the next turn ([STAY]).</v>
      </c>
      <c r="J1269" s="42" t="str">
        <f>IFERROR(__xludf.DUMMYFUNCTION("""COMPUTED_VALUE"""),"+3000")</f>
        <v>+3000</v>
      </c>
      <c r="K1269" s="42">
        <f>IFERROR(__xludf.DUMMYFUNCTION("""COMPUTED_VALUE"""),1.0)</f>
        <v>1</v>
      </c>
      <c r="L1269" s="42" t="str">
        <f>IFERROR(__xludf.DUMMYFUNCTION("""COMPUTED_VALUE"""),"Supreme Power of the Golden Spell, Series 2, Level 4")</f>
        <v>Supreme Power of the Golden Spell, Series 2, Level 4</v>
      </c>
      <c r="M1269" s="42" t="str">
        <f>IFERROR(__xludf.DUMMYFUNCTION("""COMPUTED_VALUE"""),"[C]")</f>
        <v>[C]</v>
      </c>
      <c r="N1269" s="42" t="str">
        <f>IFERROR(__xludf.DUMMYFUNCTION("""COMPUTED_VALUE"""),"It fires glue, immobilizing opponents.")</f>
        <v>It fires glue, immobilizing opponents.</v>
      </c>
      <c r="O1269" s="42"/>
      <c r="P1269" s="42"/>
      <c r="Q1269" s="42"/>
      <c r="R1269" s="42"/>
      <c r="S1269" s="42"/>
      <c r="T1269" s="42"/>
      <c r="U1269" s="42"/>
      <c r="V1269" s="42"/>
      <c r="W1269" s="42"/>
      <c r="X1269" s="42"/>
      <c r="Y1269" s="42"/>
      <c r="Z1269" s="42"/>
    </row>
    <row r="1270">
      <c r="A1270" s="41" t="str">
        <f>IFERROR(__xludf.DUMMYFUNCTION("""COMPUTED_VALUE"""),"S-142")</f>
        <v>S-142</v>
      </c>
      <c r="B1270" s="42" t="str">
        <f>IFERROR(__xludf.DUMMYFUNCTION("""COMPUTED_VALUE"""),"Spell")</f>
        <v>Spell</v>
      </c>
      <c r="C1270" s="42" t="str">
        <f>IFERROR(__xludf.DUMMYFUNCTION("""COMPUTED_VALUE"""),"Shizaruk")</f>
        <v>Shizaruk</v>
      </c>
      <c r="D1270" s="42" t="str">
        <f>IFERROR(__xludf.DUMMYFUNCTION("""COMPUTED_VALUE"""),"Cut N' Paste")</f>
        <v>Cut N' Paste</v>
      </c>
      <c r="E1270" s="42">
        <f>IFERROR(__xludf.DUMMYFUNCTION("""COMPUTED_VALUE"""),1.0)</f>
        <v>1</v>
      </c>
      <c r="F1270" s="42" t="str">
        <f>IFERROR(__xludf.DUMMYFUNCTION("""COMPUTED_VALUE"""),"A")</f>
        <v>A</v>
      </c>
      <c r="G1270" s="42" t="str">
        <f>IFERROR(__xludf.DUMMYFUNCTION("""COMPUTED_VALUE"""),"None")</f>
        <v>None</v>
      </c>
      <c r="H1270" s="42" t="str">
        <f>IFERROR(__xludf.DUMMYFUNCTION("""COMPUTED_VALUE"""),"-")</f>
        <v>-</v>
      </c>
      <c r="I1270" s="43" t="str">
        <f>IFERROR(__xludf.DUMMYFUNCTION("""COMPUTED_VALUE"""),"Damage your opponent's Spell Book when you win the Battle as an Attacker. Flip a coin; if it's heads, increase the Damage of this SPELL card by 1.")</f>
        <v>Damage your opponent's Spell Book when you win the Battle as an Attacker. Flip a coin; if it's heads, increase the Damage of this SPELL card by 1.</v>
      </c>
      <c r="J1270" s="42" t="str">
        <f>IFERROR(__xludf.DUMMYFUNCTION("""COMPUTED_VALUE"""),"+2000")</f>
        <v>+2000</v>
      </c>
      <c r="K1270" s="42">
        <f>IFERROR(__xludf.DUMMYFUNCTION("""COMPUTED_VALUE"""),1.0)</f>
        <v>1</v>
      </c>
      <c r="L1270" s="42" t="str">
        <f>IFERROR(__xludf.DUMMYFUNCTION("""COMPUTED_VALUE"""),"Supreme Power of the Golden Spell, Series 2, Level 4")</f>
        <v>Supreme Power of the Golden Spell, Series 2, Level 4</v>
      </c>
      <c r="M1270" s="42" t="str">
        <f>IFERROR(__xludf.DUMMYFUNCTION("""COMPUTED_VALUE"""),"[C]")</f>
        <v>[C]</v>
      </c>
      <c r="N1270" s="42" t="str">
        <f>IFERROR(__xludf.DUMMYFUNCTION("""COMPUTED_VALUE"""),"The power of his scissors cuts through air.")</f>
        <v>The power of his scissors cuts through air.</v>
      </c>
      <c r="O1270" s="42"/>
      <c r="P1270" s="42"/>
      <c r="Q1270" s="42"/>
      <c r="R1270" s="42"/>
      <c r="S1270" s="42"/>
      <c r="T1270" s="42"/>
      <c r="U1270" s="42"/>
      <c r="V1270" s="42"/>
      <c r="W1270" s="42"/>
      <c r="X1270" s="42"/>
      <c r="Y1270" s="42"/>
      <c r="Z1270" s="42"/>
    </row>
    <row r="1271">
      <c r="A1271" s="41" t="str">
        <f>IFERROR(__xludf.DUMMYFUNCTION("""COMPUTED_VALUE"""),"S-143")</f>
        <v>S-143</v>
      </c>
      <c r="B1271" s="42" t="str">
        <f>IFERROR(__xludf.DUMMYFUNCTION("""COMPUTED_VALUE"""),"Spell")</f>
        <v>Spell</v>
      </c>
      <c r="C1271" s="42" t="str">
        <f>IFERROR(__xludf.DUMMYFUNCTION("""COMPUTED_VALUE"""),"Paperuk")</f>
        <v>Paperuk</v>
      </c>
      <c r="D1271" s="42" t="str">
        <f>IFERROR(__xludf.DUMMYFUNCTION("""COMPUTED_VALUE"""),"Cut N' Paste")</f>
        <v>Cut N' Paste</v>
      </c>
      <c r="E1271" s="42">
        <f>IFERROR(__xludf.DUMMYFUNCTION("""COMPUTED_VALUE"""),3.0)</f>
        <v>3</v>
      </c>
      <c r="F1271" s="42" t="str">
        <f>IFERROR(__xludf.DUMMYFUNCTION("""COMPUTED_VALUE"""),"AD")</f>
        <v>AD</v>
      </c>
      <c r="G1271" s="42" t="str">
        <f>IFERROR(__xludf.DUMMYFUNCTION("""COMPUTED_VALUE"""),"None")</f>
        <v>None</v>
      </c>
      <c r="H1271" s="42" t="str">
        <f>IFERROR(__xludf.DUMMYFUNCTION("""COMPUTED_VALUE"""),"-")</f>
        <v>-</v>
      </c>
      <c r="I1271" s="43" t="str">
        <f>IFERROR(__xludf.DUMMYFUNCTION("""COMPUTED_VALUE"""),"Damage your opponent's Spell Book when you win the Battle as an Attacker. The Power of this SPELL card is considered to be the same as the number of MAMODO cards in your Discard Pile times 2000.")</f>
        <v>Damage your opponent's Spell Book when you win the Battle as an Attacker. The Power of this SPELL card is considered to be the same as the number of MAMODO cards in your Discard Pile times 2000.</v>
      </c>
      <c r="J1271" s="42" t="str">
        <f>IFERROR(__xludf.DUMMYFUNCTION("""COMPUTED_VALUE"""),"x2000")</f>
        <v>x2000</v>
      </c>
      <c r="K1271" s="42">
        <f>IFERROR(__xludf.DUMMYFUNCTION("""COMPUTED_VALUE"""),2.0)</f>
        <v>2</v>
      </c>
      <c r="L1271" s="42" t="str">
        <f>IFERROR(__xludf.DUMMYFUNCTION("""COMPUTED_VALUE"""),"Supreme Power of the Golden Spell, Series 2, Level 4")</f>
        <v>Supreme Power of the Golden Spell, Series 2, Level 4</v>
      </c>
      <c r="M1271" s="42" t="str">
        <f>IFERROR(__xludf.DUMMYFUNCTION("""COMPUTED_VALUE"""),"[U]")</f>
        <v>[U]</v>
      </c>
      <c r="N1271" s="42" t="str">
        <f>IFERROR(__xludf.DUMMYFUNCTION("""COMPUTED_VALUE"""),"A piece of paper cut into a human shape becomes real and attacks opponents.")</f>
        <v>A piece of paper cut into a human shape becomes real and attacks opponents.</v>
      </c>
      <c r="O1271" s="42"/>
      <c r="P1271" s="42"/>
      <c r="Q1271" s="42"/>
      <c r="R1271" s="42"/>
      <c r="S1271" s="42"/>
      <c r="T1271" s="42"/>
      <c r="U1271" s="42"/>
      <c r="V1271" s="42"/>
      <c r="W1271" s="42"/>
      <c r="X1271" s="42"/>
      <c r="Y1271" s="42"/>
      <c r="Z1271" s="42"/>
    </row>
    <row r="1272">
      <c r="A1272" s="41" t="str">
        <f>IFERROR(__xludf.DUMMYFUNCTION("""COMPUTED_VALUE"""),"S-144")</f>
        <v>S-144</v>
      </c>
      <c r="B1272" s="42" t="str">
        <f>IFERROR(__xludf.DUMMYFUNCTION("""COMPUTED_VALUE"""),"Spell")</f>
        <v>Spell</v>
      </c>
      <c r="C1272" s="42" t="str">
        <f>IFERROR(__xludf.DUMMYFUNCTION("""COMPUTED_VALUE"""),"Ganzu Poreido")</f>
        <v>Ganzu Poreido</v>
      </c>
      <c r="D1272" s="42" t="str">
        <f>IFERROR(__xludf.DUMMYFUNCTION("""COMPUTED_VALUE"""),"Cut N' Paste")</f>
        <v>Cut N' Paste</v>
      </c>
      <c r="E1272" s="42">
        <f>IFERROR(__xludf.DUMMYFUNCTION("""COMPUTED_VALUE"""),1.0)</f>
        <v>1</v>
      </c>
      <c r="F1272" s="42" t="str">
        <f>IFERROR(__xludf.DUMMYFUNCTION("""COMPUTED_VALUE"""),"A")</f>
        <v>A</v>
      </c>
      <c r="G1272" s="42" t="str">
        <f>IFERROR(__xludf.DUMMYFUNCTION("""COMPUTED_VALUE"""),"None")</f>
        <v>None</v>
      </c>
      <c r="H1272" s="42" t="str">
        <f>IFERROR(__xludf.DUMMYFUNCTION("""COMPUTED_VALUE"""),"-")</f>
        <v>-</v>
      </c>
      <c r="I1272" s="43" t="str">
        <f>IFERROR(__xludf.DUMMYFUNCTION("""COMPUTED_VALUE"""),"[STAY] Your opponent cannot apply the effects of their in-play cards with [Send this card to the Discard Pile] until the END PHASE of the next turn.")</f>
        <v>[STAY] Your opponent cannot apply the effects of their in-play cards with [Send this card to the Discard Pile] until the END PHASE of the next turn.</v>
      </c>
      <c r="J1272" s="42" t="str">
        <f>IFERROR(__xludf.DUMMYFUNCTION("""COMPUTED_VALUE"""),"Special")</f>
        <v>Special</v>
      </c>
      <c r="K1272" s="42" t="str">
        <f>IFERROR(__xludf.DUMMYFUNCTION("""COMPUTED_VALUE"""),"-")</f>
        <v>-</v>
      </c>
      <c r="L1272" s="42" t="str">
        <f>IFERROR(__xludf.DUMMYFUNCTION("""COMPUTED_VALUE"""),"Supreme Power of the Golden Spell, Series 2, Level 4")</f>
        <v>Supreme Power of the Golden Spell, Series 2, Level 4</v>
      </c>
      <c r="M1272" s="42" t="str">
        <f>IFERROR(__xludf.DUMMYFUNCTION("""COMPUTED_VALUE"""),"[C]")</f>
        <v>[C]</v>
      </c>
      <c r="N1272" s="42" t="str">
        <f>IFERROR(__xludf.DUMMYFUNCTION("""COMPUTED_VALUE"""),"A mamodo and his partner stick together by the power of the paste!")</f>
        <v>A mamodo and his partner stick together by the power of the paste!</v>
      </c>
      <c r="O1272" s="42"/>
      <c r="P1272" s="42"/>
      <c r="Q1272" s="42"/>
      <c r="R1272" s="42"/>
      <c r="S1272" s="42"/>
      <c r="T1272" s="42"/>
      <c r="U1272" s="42"/>
      <c r="V1272" s="42"/>
      <c r="W1272" s="42"/>
      <c r="X1272" s="42"/>
      <c r="Y1272" s="42"/>
      <c r="Z1272" s="42"/>
    </row>
    <row r="1273">
      <c r="A1273" s="41" t="str">
        <f>IFERROR(__xludf.DUMMYFUNCTION("""COMPUTED_VALUE"""),"S-145")</f>
        <v>S-145</v>
      </c>
      <c r="B1273" s="42" t="str">
        <f>IFERROR(__xludf.DUMMYFUNCTION("""COMPUTED_VALUE"""),"Spell")</f>
        <v>Spell</v>
      </c>
      <c r="C1273" s="42" t="str">
        <f>IFERROR(__xludf.DUMMYFUNCTION("""COMPUTED_VALUE"""),"Come Out!")</f>
        <v>Come Out!</v>
      </c>
      <c r="D1273" s="42" t="str">
        <f>IFERROR(__xludf.DUMMYFUNCTION("""COMPUTED_VALUE"""),"Command: All")</f>
        <v>Command: All</v>
      </c>
      <c r="E1273" s="42">
        <f>IFERROR(__xludf.DUMMYFUNCTION("""COMPUTED_VALUE"""),0.0)</f>
        <v>0</v>
      </c>
      <c r="F1273" s="42" t="str">
        <f>IFERROR(__xludf.DUMMYFUNCTION("""COMPUTED_VALUE"""),"A")</f>
        <v>A</v>
      </c>
      <c r="G1273" s="42" t="str">
        <f>IFERROR(__xludf.DUMMYFUNCTION("""COMPUTED_VALUE"""),"None")</f>
        <v>None</v>
      </c>
      <c r="H1273" s="42" t="str">
        <f>IFERROR(__xludf.DUMMYFUNCTION("""COMPUTED_VALUE"""),"-")</f>
        <v>-</v>
      </c>
      <c r="I1273" s="43" t="str">
        <f>IFERROR(__xludf.DUMMYFUNCTION("""COMPUTED_VALUE"""),"Flip a coin; if it's heads, apply the following effect: [STANDBY] In the next Battle this turn, 1 SPELL card can be played from any of the previous 4 pages of your Spell Book.")</f>
        <v>Flip a coin; if it's heads, apply the following effect: [STANDBY] In the next Battle this turn, 1 SPELL card can be played from any of the previous 4 pages of your Spell Book.</v>
      </c>
      <c r="J1273" s="42" t="str">
        <f>IFERROR(__xludf.DUMMYFUNCTION("""COMPUTED_VALUE"""),"Special")</f>
        <v>Special</v>
      </c>
      <c r="K1273" s="42" t="str">
        <f>IFERROR(__xludf.DUMMYFUNCTION("""COMPUTED_VALUE"""),"-")</f>
        <v>-</v>
      </c>
      <c r="L1273" s="42" t="str">
        <f>IFERROR(__xludf.DUMMYFUNCTION("""COMPUTED_VALUE"""),"Supreme Power of the Golden Spell, Series 2, Level 4")</f>
        <v>Supreme Power of the Golden Spell, Series 2, Level 4</v>
      </c>
      <c r="M1273" s="42" t="str">
        <f>IFERROR(__xludf.DUMMYFUNCTION("""COMPUTED_VALUE"""),"[U]")</f>
        <v>[U]</v>
      </c>
      <c r="N1273" s="42" t="str">
        <f>IFERROR(__xludf.DUMMYFUNCTION("""COMPUTED_VALUE"""),"""I don't call it a spell if it doesn't come out right now! Give me the power!""")</f>
        <v>"I don't call it a spell if it doesn't come out right now! Give me the power!"</v>
      </c>
      <c r="O1273" s="42"/>
      <c r="P1273" s="42"/>
      <c r="Q1273" s="42"/>
      <c r="R1273" s="42"/>
      <c r="S1273" s="42"/>
      <c r="T1273" s="42"/>
      <c r="U1273" s="42"/>
      <c r="V1273" s="42"/>
      <c r="W1273" s="42"/>
      <c r="X1273" s="42"/>
      <c r="Y1273" s="42"/>
      <c r="Z1273" s="42"/>
    </row>
    <row r="1274">
      <c r="A1274" s="41" t="str">
        <f>IFERROR(__xludf.DUMMYFUNCTION("""COMPUTED_VALUE"""),"S-146")</f>
        <v>S-146</v>
      </c>
      <c r="B1274" s="42" t="str">
        <f>IFERROR(__xludf.DUMMYFUNCTION("""COMPUTED_VALUE"""),"Spell")</f>
        <v>Spell</v>
      </c>
      <c r="C1274" s="42" t="str">
        <f>IFERROR(__xludf.DUMMYFUNCTION("""COMPUTED_VALUE"""),"Throw It Far Away!")</f>
        <v>Throw It Far Away!</v>
      </c>
      <c r="D1274" s="42" t="str">
        <f>IFERROR(__xludf.DUMMYFUNCTION("""COMPUTED_VALUE"""),"Command: All")</f>
        <v>Command: All</v>
      </c>
      <c r="E1274" s="42">
        <f>IFERROR(__xludf.DUMMYFUNCTION("""COMPUTED_VALUE"""),0.0)</f>
        <v>0</v>
      </c>
      <c r="F1274" s="42" t="str">
        <f>IFERROR(__xludf.DUMMYFUNCTION("""COMPUTED_VALUE"""),"A")</f>
        <v>A</v>
      </c>
      <c r="G1274" s="42" t="str">
        <f>IFERROR(__xludf.DUMMYFUNCTION("""COMPUTED_VALUE"""),"Superior")</f>
        <v>Superior</v>
      </c>
      <c r="H1274" s="42" t="str">
        <f>IFERROR(__xludf.DUMMYFUNCTION("""COMPUTED_VALUE"""),"-")</f>
        <v>-</v>
      </c>
      <c r="I1274" s="43" t="str">
        <f>IFERROR(__xludf.DUMMYFUNCTION("""COMPUTED_VALUE"""),"This SPELL card can be played only for a MAMODO card with Power that is 5000 or more greater than each of your opponent's in-play MAMODO cards. This SPELL card can be played only once per turn (per player). Move 1 of your opponent's in-play MAMODO (of the"&amp;"ir choice) to an empty page of their Spell Book when you win the Battle as an Attacker.")</f>
        <v>This SPELL card can be played only for a MAMODO card with Power that is 5000 or more greater than each of your opponent's in-play MAMODO cards. This SPELL card can be played only once per turn (per player). Move 1 of your opponent's in-play MAMODO (of their choice) to an empty page of their Spell Book when you win the Battle as an Attacker.</v>
      </c>
      <c r="J1274" s="42" t="str">
        <f>IFERROR(__xludf.DUMMYFUNCTION("""COMPUTED_VALUE"""),"Special")</f>
        <v>Special</v>
      </c>
      <c r="K1274" s="42" t="str">
        <f>IFERROR(__xludf.DUMMYFUNCTION("""COMPUTED_VALUE"""),"-")</f>
        <v>-</v>
      </c>
      <c r="L1274" s="42" t="str">
        <f>IFERROR(__xludf.DUMMYFUNCTION("""COMPUTED_VALUE"""),"The Gathering Storm, Series 3, Level 4, The Best Booster 1")</f>
        <v>The Gathering Storm, Series 3, Level 4, The Best Booster 1</v>
      </c>
      <c r="M1274" s="42" t="str">
        <f>IFERROR(__xludf.DUMMYFUNCTION("""COMPUTED_VALUE"""),"[U]")</f>
        <v>[U]</v>
      </c>
      <c r="N1274" s="42" t="str">
        <f>IFERROR(__xludf.DUMMYFUNCTION("""COMPUTED_VALUE"""),"""Throw him as far as you can!""")</f>
        <v>"Throw him as far as you can!"</v>
      </c>
      <c r="O1274" s="42"/>
      <c r="P1274" s="42"/>
      <c r="Q1274" s="42"/>
      <c r="R1274" s="42"/>
      <c r="S1274" s="42"/>
      <c r="T1274" s="42"/>
      <c r="U1274" s="42"/>
      <c r="V1274" s="42"/>
      <c r="W1274" s="42"/>
      <c r="X1274" s="42"/>
      <c r="Y1274" s="42"/>
      <c r="Z1274" s="42"/>
    </row>
    <row r="1275">
      <c r="A1275" s="41" t="str">
        <f>IFERROR(__xludf.DUMMYFUNCTION("""COMPUTED_VALUE"""),"S-147")</f>
        <v>S-147</v>
      </c>
      <c r="B1275" s="42" t="str">
        <f>IFERROR(__xludf.DUMMYFUNCTION("""COMPUTED_VALUE"""),"Spell")</f>
        <v>Spell</v>
      </c>
      <c r="C1275" s="42" t="str">
        <f>IFERROR(__xludf.DUMMYFUNCTION("""COMPUTED_VALUE"""),"Gishield")</f>
        <v>Gishield</v>
      </c>
      <c r="D1275" s="42" t="str">
        <f>IFERROR(__xludf.DUMMYFUNCTION("""COMPUTED_VALUE"""),"Reycom")</f>
        <v>Reycom</v>
      </c>
      <c r="E1275" s="42">
        <f>IFERROR(__xludf.DUMMYFUNCTION("""COMPUTED_VALUE"""),1.0)</f>
        <v>1</v>
      </c>
      <c r="F1275" s="42" t="str">
        <f>IFERROR(__xludf.DUMMYFUNCTION("""COMPUTED_VALUE"""),"D")</f>
        <v>D</v>
      </c>
      <c r="G1275" s="42" t="str">
        <f>IFERROR(__xludf.DUMMYFUNCTION("""COMPUTED_VALUE"""),"None")</f>
        <v>None</v>
      </c>
      <c r="H1275" s="42" t="str">
        <f>IFERROR(__xludf.DUMMYFUNCTION("""COMPUTED_VALUE"""),"Ice")</f>
        <v>Ice</v>
      </c>
      <c r="I1275" s="43" t="str">
        <f>IFERROR(__xludf.DUMMYFUNCTION("""COMPUTED_VALUE"""),"Negate your opponent's Attack when you win the Battle as a Defender.")</f>
        <v>Negate your opponent's Attack when you win the Battle as a Defender.</v>
      </c>
      <c r="J1275" s="42" t="str">
        <f>IFERROR(__xludf.DUMMYFUNCTION("""COMPUTED_VALUE"""),"+4000")</f>
        <v>+4000</v>
      </c>
      <c r="K1275" s="42" t="str">
        <f>IFERROR(__xludf.DUMMYFUNCTION("""COMPUTED_VALUE"""),"-")</f>
        <v>-</v>
      </c>
      <c r="L1275" s="42" t="str">
        <f>IFERROR(__xludf.DUMMYFUNCTION("""COMPUTED_VALUE"""),"Dawn of the Ancients, Series 4, Level 5")</f>
        <v>Dawn of the Ancients, Series 4, Level 5</v>
      </c>
      <c r="M1275" s="42" t="str">
        <f>IFERROR(__xludf.DUMMYFUNCTION("""COMPUTED_VALUE"""),"[C]")</f>
        <v>[C]</v>
      </c>
      <c r="N1275" s="42" t="str">
        <f>IFERROR(__xludf.DUMMYFUNCTION("""COMPUTED_VALUE"""),"Reycom's 3rd spell. It blocks the opponent's attack with an ice shield.")</f>
        <v>Reycom's 3rd spell. It blocks the opponent's attack with an ice shield.</v>
      </c>
      <c r="O1275" s="42"/>
      <c r="P1275" s="42"/>
      <c r="Q1275" s="42"/>
      <c r="R1275" s="42"/>
      <c r="S1275" s="42"/>
      <c r="T1275" s="42"/>
      <c r="U1275" s="42"/>
      <c r="V1275" s="42"/>
      <c r="W1275" s="42"/>
      <c r="X1275" s="42"/>
      <c r="Y1275" s="42"/>
      <c r="Z1275" s="42"/>
    </row>
    <row r="1276">
      <c r="A1276" s="41" t="str">
        <f>IFERROR(__xludf.DUMMYFUNCTION("""COMPUTED_VALUE"""),"S-148")</f>
        <v>S-148</v>
      </c>
      <c r="B1276" s="42" t="str">
        <f>IFERROR(__xludf.DUMMYFUNCTION("""COMPUTED_VALUE"""),"Spell")</f>
        <v>Spell</v>
      </c>
      <c r="C1276" s="42" t="str">
        <f>IFERROR(__xludf.DUMMYFUNCTION("""COMPUTED_VALUE"""),"Lagikor Fang")</f>
        <v>Lagikor Fang</v>
      </c>
      <c r="D1276" s="42" t="str">
        <f>IFERROR(__xludf.DUMMYFUNCTION("""COMPUTED_VALUE"""),"Reycom")</f>
        <v>Reycom</v>
      </c>
      <c r="E1276" s="42">
        <f>IFERROR(__xludf.DUMMYFUNCTION("""COMPUTED_VALUE"""),5.0)</f>
        <v>5</v>
      </c>
      <c r="F1276" s="42" t="str">
        <f>IFERROR(__xludf.DUMMYFUNCTION("""COMPUTED_VALUE"""),"AD")</f>
        <v>AD</v>
      </c>
      <c r="G1276" s="42" t="str">
        <f>IFERROR(__xludf.DUMMYFUNCTION("""COMPUTED_VALUE"""),"Superior")</f>
        <v>Superior</v>
      </c>
      <c r="H1276" s="42" t="str">
        <f>IFERROR(__xludf.DUMMYFUNCTION("""COMPUTED_VALUE"""),"Ice")</f>
        <v>Ice</v>
      </c>
      <c r="I1276" s="43" t="str">
        <f>IFERROR(__xludf.DUMMYFUNCTION("""COMPUTED_VALUE"""),"Damage your opponent's Spell Book when you win the Battle as an Attacker. When you inflict Damage or Injury, your opponent cannot play SPELL cards until the END PHASE of their next turn ([STAY]).")</f>
        <v>Damage your opponent's Spell Book when you win the Battle as an Attacker. When you inflict Damage or Injury, your opponent cannot play SPELL cards until the END PHASE of their next turn ([STAY]).</v>
      </c>
      <c r="J1276" s="42" t="str">
        <f>IFERROR(__xludf.DUMMYFUNCTION("""COMPUTED_VALUE"""),"+5000")</f>
        <v>+5000</v>
      </c>
      <c r="K1276" s="42">
        <f>IFERROR(__xludf.DUMMYFUNCTION("""COMPUTED_VALUE"""),3.0)</f>
        <v>3</v>
      </c>
      <c r="L1276" s="42" t="str">
        <f>IFERROR(__xludf.DUMMYFUNCTION("""COMPUTED_VALUE"""),"Dawn of the Ancients, Series 4, Level 5")</f>
        <v>Dawn of the Ancients, Series 4, Level 5</v>
      </c>
      <c r="M1276" s="42" t="str">
        <f>IFERROR(__xludf.DUMMYFUNCTION("""COMPUTED_VALUE"""),"[U]")</f>
        <v>[U]</v>
      </c>
      <c r="N1276" s="42" t="str">
        <f>IFERROR(__xludf.DUMMYFUNCTION("""COMPUTED_VALUE"""),"Reycom's 4th spell. It summons an ice beast from under the ground.")</f>
        <v>Reycom's 4th spell. It summons an ice beast from under the ground.</v>
      </c>
      <c r="O1276" s="42"/>
      <c r="P1276" s="42"/>
      <c r="Q1276" s="42"/>
      <c r="R1276" s="42"/>
      <c r="S1276" s="42"/>
      <c r="T1276" s="42"/>
      <c r="U1276" s="42"/>
      <c r="V1276" s="42"/>
      <c r="W1276" s="42"/>
      <c r="X1276" s="42"/>
      <c r="Y1276" s="42"/>
      <c r="Z1276" s="42"/>
    </row>
    <row r="1277">
      <c r="A1277" s="41" t="str">
        <f>IFERROR(__xludf.DUMMYFUNCTION("""COMPUTED_VALUE"""),"S-149")</f>
        <v>S-149</v>
      </c>
      <c r="B1277" s="42" t="str">
        <f>IFERROR(__xludf.DUMMYFUNCTION("""COMPUTED_VALUE"""),"Spell")</f>
        <v>Spell</v>
      </c>
      <c r="C1277" s="42" t="str">
        <f>IFERROR(__xludf.DUMMYFUNCTION("""COMPUTED_VALUE"""),"Gigor Garugo")</f>
        <v>Gigor Garugo</v>
      </c>
      <c r="D1277" s="42" t="str">
        <f>IFERROR(__xludf.DUMMYFUNCTION("""COMPUTED_VALUE"""),"Reycom")</f>
        <v>Reycom</v>
      </c>
      <c r="E1277" s="42">
        <f>IFERROR(__xludf.DUMMYFUNCTION("""COMPUTED_VALUE"""),2.0)</f>
        <v>2</v>
      </c>
      <c r="F1277" s="42" t="str">
        <f>IFERROR(__xludf.DUMMYFUNCTION("""COMPUTED_VALUE"""),"D")</f>
        <v>D</v>
      </c>
      <c r="G1277" s="42" t="str">
        <f>IFERROR(__xludf.DUMMYFUNCTION("""COMPUTED_VALUE"""),"None")</f>
        <v>None</v>
      </c>
      <c r="H1277" s="42" t="str">
        <f>IFERROR(__xludf.DUMMYFUNCTION("""COMPUTED_VALUE"""),"Ice")</f>
        <v>Ice</v>
      </c>
      <c r="I1277" s="43" t="str">
        <f>IFERROR(__xludf.DUMMYFUNCTION("""COMPUTED_VALUE"""),"[COUNTER] Negate your opponent's Attack and reduce your opponent's MP by 2 when you win the Battle as a Defender.")</f>
        <v>[COUNTER] Negate your opponent's Attack and reduce your opponent's MP by 2 when you win the Battle as a Defender.</v>
      </c>
      <c r="J1277" s="42" t="str">
        <f>IFERROR(__xludf.DUMMYFUNCTION("""COMPUTED_VALUE"""),"+5000")</f>
        <v>+5000</v>
      </c>
      <c r="K1277" s="42" t="str">
        <f>IFERROR(__xludf.DUMMYFUNCTION("""COMPUTED_VALUE"""),"-")</f>
        <v>-</v>
      </c>
      <c r="L1277" s="42" t="str">
        <f>IFERROR(__xludf.DUMMYFUNCTION("""COMPUTED_VALUE"""),"Dawn of the Ancients, Series 4, Level 5")</f>
        <v>Dawn of the Ancients, Series 4, Level 5</v>
      </c>
      <c r="M1277" s="42" t="str">
        <f>IFERROR(__xludf.DUMMYFUNCTION("""COMPUTED_VALUE"""),"[C]")</f>
        <v>[C]</v>
      </c>
      <c r="N1277" s="42" t="str">
        <f>IFERROR(__xludf.DUMMYFUNCTION("""COMPUTED_VALUE"""),"Reycom's 5th spell. It fires icicles from under the ground.")</f>
        <v>Reycom's 5th spell. It fires icicles from under the ground.</v>
      </c>
      <c r="O1277" s="42"/>
      <c r="P1277" s="42"/>
      <c r="Q1277" s="42"/>
      <c r="R1277" s="42"/>
      <c r="S1277" s="42"/>
      <c r="T1277" s="42"/>
      <c r="U1277" s="42"/>
      <c r="V1277" s="42"/>
      <c r="W1277" s="42"/>
      <c r="X1277" s="42"/>
      <c r="Y1277" s="42"/>
      <c r="Z1277" s="42"/>
    </row>
    <row r="1278">
      <c r="A1278" s="41" t="str">
        <f>IFERROR(__xludf.DUMMYFUNCTION("""COMPUTED_VALUE"""),"S-150")</f>
        <v>S-150</v>
      </c>
      <c r="B1278" s="42" t="str">
        <f>IFERROR(__xludf.DUMMYFUNCTION("""COMPUTED_VALUE"""),"Spell")</f>
        <v>Spell</v>
      </c>
      <c r="C1278" s="42" t="str">
        <f>IFERROR(__xludf.DUMMYFUNCTION("""COMPUTED_VALUE"""),"Ganzu Gikor")</f>
        <v>Ganzu Gikor</v>
      </c>
      <c r="D1278" s="42" t="str">
        <f>IFERROR(__xludf.DUMMYFUNCTION("""COMPUTED_VALUE"""),"Reycom")</f>
        <v>Reycom</v>
      </c>
      <c r="E1278" s="42">
        <f>IFERROR(__xludf.DUMMYFUNCTION("""COMPUTED_VALUE"""),3.0)</f>
        <v>3</v>
      </c>
      <c r="F1278" s="42" t="str">
        <f>IFERROR(__xludf.DUMMYFUNCTION("""COMPUTED_VALUE"""),"A")</f>
        <v>A</v>
      </c>
      <c r="G1278" s="42" t="str">
        <f>IFERROR(__xludf.DUMMYFUNCTION("""COMPUTED_VALUE"""),"Intermediate")</f>
        <v>Intermediate</v>
      </c>
      <c r="H1278" s="42" t="str">
        <f>IFERROR(__xludf.DUMMYFUNCTION("""COMPUTED_VALUE"""),"Ice")</f>
        <v>Ice</v>
      </c>
      <c r="I1278" s="43" t="str">
        <f>IFERROR(__xludf.DUMMYFUNCTION("""COMPUTED_VALUE"""),"Damage your opponent's Spell Book when you win the Battle as an Attacker. Flip a coin twice; if you get heads once, add 2000 Power to this SPELL card. If you get heads twice, add 2000 Power and 1 Damage to this SPELL card.")</f>
        <v>Damage your opponent's Spell Book when you win the Battle as an Attacker. Flip a coin twice; if you get heads once, add 2000 Power to this SPELL card. If you get heads twice, add 2000 Power and 1 Damage to this SPELL card.</v>
      </c>
      <c r="J1278" s="42" t="str">
        <f>IFERROR(__xludf.DUMMYFUNCTION("""COMPUTED_VALUE"""),"+3000")</f>
        <v>+3000</v>
      </c>
      <c r="K1278" s="42">
        <f>IFERROR(__xludf.DUMMYFUNCTION("""COMPUTED_VALUE"""),2.0)</f>
        <v>2</v>
      </c>
      <c r="L1278" s="42" t="str">
        <f>IFERROR(__xludf.DUMMYFUNCTION("""COMPUTED_VALUE"""),"Dawn of the Ancients, Series 4, Level 5")</f>
        <v>Dawn of the Ancients, Series 4, Level 5</v>
      </c>
      <c r="M1278" s="42" t="str">
        <f>IFERROR(__xludf.DUMMYFUNCTION("""COMPUTED_VALUE"""),"[C]")</f>
        <v>[C]</v>
      </c>
      <c r="N1278" s="42" t="str">
        <f>IFERROR(__xludf.DUMMYFUNCTION("""COMPUTED_VALUE"""),"Reycom's 6th spell. It casts Gikor continuosly and fires lumps of ice.")</f>
        <v>Reycom's 6th spell. It casts Gikor continuosly and fires lumps of ice.</v>
      </c>
      <c r="O1278" s="42"/>
      <c r="P1278" s="42"/>
      <c r="Q1278" s="42"/>
      <c r="R1278" s="42"/>
      <c r="S1278" s="42"/>
      <c r="T1278" s="42"/>
      <c r="U1278" s="42"/>
      <c r="V1278" s="42"/>
      <c r="W1278" s="42"/>
      <c r="X1278" s="42"/>
      <c r="Y1278" s="42"/>
      <c r="Z1278" s="42"/>
    </row>
    <row r="1279">
      <c r="A1279" s="41" t="str">
        <f>IFERROR(__xludf.DUMMYFUNCTION("""COMPUTED_VALUE"""),"S-151")</f>
        <v>S-151</v>
      </c>
      <c r="B1279" s="42" t="str">
        <f>IFERROR(__xludf.DUMMYFUNCTION("""COMPUTED_VALUE"""),"Spell")</f>
        <v>Spell</v>
      </c>
      <c r="C1279" s="42" t="str">
        <f>IFERROR(__xludf.DUMMYFUNCTION("""COMPUTED_VALUE"""),"Jugaro")</f>
        <v>Jugaro</v>
      </c>
      <c r="D1279" s="42" t="str">
        <f>IFERROR(__xludf.DUMMYFUNCTION("""COMPUTED_VALUE"""),"Sugino")</f>
        <v>Sugino</v>
      </c>
      <c r="E1279" s="42">
        <f>IFERROR(__xludf.DUMMYFUNCTION("""COMPUTED_VALUE"""),3.0)</f>
        <v>3</v>
      </c>
      <c r="F1279" s="42" t="str">
        <f>IFERROR(__xludf.DUMMYFUNCTION("""COMPUTED_VALUE"""),"AD")</f>
        <v>AD</v>
      </c>
      <c r="G1279" s="42" t="str">
        <f>IFERROR(__xludf.DUMMYFUNCTION("""COMPUTED_VALUE"""),"None")</f>
        <v>None</v>
      </c>
      <c r="H1279" s="42" t="str">
        <f>IFERROR(__xludf.DUMMYFUNCTION("""COMPUTED_VALUE"""),"Wood")</f>
        <v>Wood</v>
      </c>
      <c r="I1279" s="43" t="str">
        <f>IFERROR(__xludf.DUMMYFUNCTION("""COMPUTED_VALUE"""),"Damage your opponent's Spell Book when you win the Battle as an Attacker.")</f>
        <v>Damage your opponent's Spell Book when you win the Battle as an Attacker.</v>
      </c>
      <c r="J1279" s="42" t="str">
        <f>IFERROR(__xludf.DUMMYFUNCTION("""COMPUTED_VALUE"""),"+3000")</f>
        <v>+3000</v>
      </c>
      <c r="K1279" s="42">
        <f>IFERROR(__xludf.DUMMYFUNCTION("""COMPUTED_VALUE"""),2.0)</f>
        <v>2</v>
      </c>
      <c r="L1279" s="42" t="str">
        <f>IFERROR(__xludf.DUMMYFUNCTION("""COMPUTED_VALUE"""),"Dawn of the Ancients, Series 4, Level 5")</f>
        <v>Dawn of the Ancients, Series 4, Level 5</v>
      </c>
      <c r="M1279" s="42" t="str">
        <f>IFERROR(__xludf.DUMMYFUNCTION("""COMPUTED_VALUE"""),"[C]")</f>
        <v>[C]</v>
      </c>
      <c r="N1279" s="42" t="str">
        <f>IFERROR(__xludf.DUMMYFUNCTION("""COMPUTED_VALUE"""),"Sugino's 3rd spell. It fires seeds from the plants against the opponent.")</f>
        <v>Sugino's 3rd spell. It fires seeds from the plants against the opponent.</v>
      </c>
      <c r="O1279" s="42"/>
      <c r="P1279" s="42"/>
      <c r="Q1279" s="42"/>
      <c r="R1279" s="42"/>
      <c r="S1279" s="42"/>
      <c r="T1279" s="42"/>
      <c r="U1279" s="42"/>
      <c r="V1279" s="42"/>
      <c r="W1279" s="42"/>
      <c r="X1279" s="42"/>
      <c r="Y1279" s="42"/>
      <c r="Z1279" s="42"/>
    </row>
    <row r="1280">
      <c r="A1280" s="41" t="str">
        <f>IFERROR(__xludf.DUMMYFUNCTION("""COMPUTED_VALUE"""),"S-152")</f>
        <v>S-152</v>
      </c>
      <c r="B1280" s="42" t="str">
        <f>IFERROR(__xludf.DUMMYFUNCTION("""COMPUTED_VALUE"""),"Spell")</f>
        <v>Spell</v>
      </c>
      <c r="C1280" s="42" t="str">
        <f>IFERROR(__xludf.DUMMYFUNCTION("""COMPUTED_VALUE"""),"Barjuron")</f>
        <v>Barjuron</v>
      </c>
      <c r="D1280" s="42" t="str">
        <f>IFERROR(__xludf.DUMMYFUNCTION("""COMPUTED_VALUE"""),"Sugino")</f>
        <v>Sugino</v>
      </c>
      <c r="E1280" s="42">
        <f>IFERROR(__xludf.DUMMYFUNCTION("""COMPUTED_VALUE"""),1.0)</f>
        <v>1</v>
      </c>
      <c r="F1280" s="42" t="str">
        <f>IFERROR(__xludf.DUMMYFUNCTION("""COMPUTED_VALUE"""),"AD")</f>
        <v>AD</v>
      </c>
      <c r="G1280" s="42" t="str">
        <f>IFERROR(__xludf.DUMMYFUNCTION("""COMPUTED_VALUE"""),"None")</f>
        <v>None</v>
      </c>
      <c r="H1280" s="42" t="str">
        <f>IFERROR(__xludf.DUMMYFUNCTION("""COMPUTED_VALUE"""),"Wood")</f>
        <v>Wood</v>
      </c>
      <c r="I1280" s="43" t="str">
        <f>IFERROR(__xludf.DUMMYFUNCTION("""COMPUTED_VALUE"""),"Damage your opponent's Spell Book when you win the Battle as an Attacker. Add 2000 Power to this SPELL card each time you pay 1 additional MP (maximum 3 MP).")</f>
        <v>Damage your opponent's Spell Book when you win the Battle as an Attacker. Add 2000 Power to this SPELL card each time you pay 1 additional MP (maximum 3 MP).</v>
      </c>
      <c r="J1280" s="42" t="str">
        <f>IFERROR(__xludf.DUMMYFUNCTION("""COMPUTED_VALUE"""),"+2000")</f>
        <v>+2000</v>
      </c>
      <c r="K1280" s="42">
        <f>IFERROR(__xludf.DUMMYFUNCTION("""COMPUTED_VALUE"""),1.0)</f>
        <v>1</v>
      </c>
      <c r="L1280" s="42" t="str">
        <f>IFERROR(__xludf.DUMMYFUNCTION("""COMPUTED_VALUE"""),"Dawn of the Ancients, Series 4, Level 5")</f>
        <v>Dawn of the Ancients, Series 4, Level 5</v>
      </c>
      <c r="M1280" s="42" t="str">
        <f>IFERROR(__xludf.DUMMYFUNCTION("""COMPUTED_VALUE"""),"[C]")</f>
        <v>[C]</v>
      </c>
      <c r="N1280" s="42" t="str">
        <f>IFERROR(__xludf.DUMMYFUNCTION("""COMPUTED_VALUE"""),"Sugino's 4th spell. It summons a gigantic wooden warrior and lets it fight against the opponent.")</f>
        <v>Sugino's 4th spell. It summons a gigantic wooden warrior and lets it fight against the opponent.</v>
      </c>
      <c r="O1280" s="42"/>
      <c r="P1280" s="42"/>
      <c r="Q1280" s="42"/>
      <c r="R1280" s="42"/>
      <c r="S1280" s="42"/>
      <c r="T1280" s="42"/>
      <c r="U1280" s="42"/>
      <c r="V1280" s="42"/>
      <c r="W1280" s="42"/>
      <c r="X1280" s="42"/>
      <c r="Y1280" s="42"/>
      <c r="Z1280" s="42"/>
    </row>
    <row r="1281">
      <c r="A1281" s="41" t="str">
        <f>IFERROR(__xludf.DUMMYFUNCTION("""COMPUTED_VALUE"""),"S-153")</f>
        <v>S-153</v>
      </c>
      <c r="B1281" s="42" t="str">
        <f>IFERROR(__xludf.DUMMYFUNCTION("""COMPUTED_VALUE"""),"Spell")</f>
        <v>Spell</v>
      </c>
      <c r="C1281" s="42" t="str">
        <f>IFERROR(__xludf.DUMMYFUNCTION("""COMPUTED_VALUE"""),"Dio Jugaro")</f>
        <v>Dio Jugaro</v>
      </c>
      <c r="D1281" s="42" t="str">
        <f>IFERROR(__xludf.DUMMYFUNCTION("""COMPUTED_VALUE"""),"Sugino")</f>
        <v>Sugino</v>
      </c>
      <c r="E1281" s="42">
        <f>IFERROR(__xludf.DUMMYFUNCTION("""COMPUTED_VALUE"""),2.0)</f>
        <v>2</v>
      </c>
      <c r="F1281" s="42" t="str">
        <f>IFERROR(__xludf.DUMMYFUNCTION("""COMPUTED_VALUE"""),"A")</f>
        <v>A</v>
      </c>
      <c r="G1281" s="42" t="str">
        <f>IFERROR(__xludf.DUMMYFUNCTION("""COMPUTED_VALUE"""),"Intermediate")</f>
        <v>Intermediate</v>
      </c>
      <c r="H1281" s="42" t="str">
        <f>IFERROR(__xludf.DUMMYFUNCTION("""COMPUTED_VALUE"""),"Wood")</f>
        <v>Wood</v>
      </c>
      <c r="I1281" s="43" t="str">
        <f>IFERROR(__xludf.DUMMYFUNCTION("""COMPUTED_VALUE"""),"[STANDBY] When you win the Battle as an Attacker, your opponent flips a coin when they Attack during their next turn; if it's tails, negate your opponent's Attack and turn 2 pages of their Spell Book.")</f>
        <v>[STANDBY] When you win the Battle as an Attacker, your opponent flips a coin when they Attack during their next turn; if it's tails, negate your opponent's Attack and turn 2 pages of their Spell Book.</v>
      </c>
      <c r="J1281" s="42" t="str">
        <f>IFERROR(__xludf.DUMMYFUNCTION("""COMPUTED_VALUE"""),"+4000")</f>
        <v>+4000</v>
      </c>
      <c r="K1281" s="42" t="str">
        <f>IFERROR(__xludf.DUMMYFUNCTION("""COMPUTED_VALUE"""),"-")</f>
        <v>-</v>
      </c>
      <c r="L1281" s="42" t="str">
        <f>IFERROR(__xludf.DUMMYFUNCTION("""COMPUTED_VALUE"""),"Dawn of the Ancients, Series 4, Level 5")</f>
        <v>Dawn of the Ancients, Series 4, Level 5</v>
      </c>
      <c r="M1281" s="42" t="str">
        <f>IFERROR(__xludf.DUMMYFUNCTION("""COMPUTED_VALUE"""),"[C]")</f>
        <v>[C]</v>
      </c>
      <c r="N1281" s="42" t="str">
        <f>IFERROR(__xludf.DUMMYFUNCTION("""COMPUTED_VALUE"""),"Sugino's 5th spell. It scatters poisonous pollen and confuses the opponent.")</f>
        <v>Sugino's 5th spell. It scatters poisonous pollen and confuses the opponent.</v>
      </c>
      <c r="O1281" s="42"/>
      <c r="P1281" s="42"/>
      <c r="Q1281" s="42"/>
      <c r="R1281" s="42"/>
      <c r="S1281" s="42"/>
      <c r="T1281" s="42"/>
      <c r="U1281" s="42"/>
      <c r="V1281" s="42"/>
      <c r="W1281" s="42"/>
      <c r="X1281" s="42"/>
      <c r="Y1281" s="42"/>
      <c r="Z1281" s="42"/>
    </row>
    <row r="1282">
      <c r="A1282" s="41" t="str">
        <f>IFERROR(__xludf.DUMMYFUNCTION("""COMPUTED_VALUE"""),"S-154")</f>
        <v>S-154</v>
      </c>
      <c r="B1282" s="42" t="str">
        <f>IFERROR(__xludf.DUMMYFUNCTION("""COMPUTED_VALUE"""),"Spell")</f>
        <v>Spell</v>
      </c>
      <c r="C1282" s="42" t="str">
        <f>IFERROR(__xludf.DUMMYFUNCTION("""COMPUTED_VALUE"""),"Ganzu Jugaro")</f>
        <v>Ganzu Jugaro</v>
      </c>
      <c r="D1282" s="42" t="str">
        <f>IFERROR(__xludf.DUMMYFUNCTION("""COMPUTED_VALUE"""),"Sugino")</f>
        <v>Sugino</v>
      </c>
      <c r="E1282" s="42">
        <f>IFERROR(__xludf.DUMMYFUNCTION("""COMPUTED_VALUE"""),4.0)</f>
        <v>4</v>
      </c>
      <c r="F1282" s="42" t="str">
        <f>IFERROR(__xludf.DUMMYFUNCTION("""COMPUTED_VALUE"""),"AD")</f>
        <v>AD</v>
      </c>
      <c r="G1282" s="42" t="str">
        <f>IFERROR(__xludf.DUMMYFUNCTION("""COMPUTED_VALUE"""),"Intermediate")</f>
        <v>Intermediate</v>
      </c>
      <c r="H1282" s="42" t="str">
        <f>IFERROR(__xludf.DUMMYFUNCTION("""COMPUTED_VALUE"""),"Wood")</f>
        <v>Wood</v>
      </c>
      <c r="I1282" s="43" t="str">
        <f>IFERROR(__xludf.DUMMYFUNCTION("""COMPUTED_VALUE"""),"Damage your opponent's Spell Book when you win the Battle as an Attacker. Flip a coin twice; if you get heads twice, add 2000 Power and 2 Damage to this SPELL card.")</f>
        <v>Damage your opponent's Spell Book when you win the Battle as an Attacker. Flip a coin twice; if you get heads twice, add 2000 Power and 2 Damage to this SPELL card.</v>
      </c>
      <c r="J1282" s="42" t="str">
        <f>IFERROR(__xludf.DUMMYFUNCTION("""COMPUTED_VALUE"""),"+4000")</f>
        <v>+4000</v>
      </c>
      <c r="K1282" s="42">
        <f>IFERROR(__xludf.DUMMYFUNCTION("""COMPUTED_VALUE"""),2.0)</f>
        <v>2</v>
      </c>
      <c r="L1282" s="42" t="str">
        <f>IFERROR(__xludf.DUMMYFUNCTION("""COMPUTED_VALUE"""),"Dawn of the Ancients, Series 4, Level 5")</f>
        <v>Dawn of the Ancients, Series 4, Level 5</v>
      </c>
      <c r="M1282" s="42" t="str">
        <f>IFERROR(__xludf.DUMMYFUNCTION("""COMPUTED_VALUE"""),"[C]")</f>
        <v>[C]</v>
      </c>
      <c r="N1282" s="42" t="str">
        <f>IFERROR(__xludf.DUMMYFUNCTION("""COMPUTED_VALUE"""),"Sugino's 6th spell. The gigantic flower fires seeds.")</f>
        <v>Sugino's 6th spell. The gigantic flower fires seeds.</v>
      </c>
      <c r="O1282" s="42"/>
      <c r="P1282" s="42"/>
      <c r="Q1282" s="42"/>
      <c r="R1282" s="42"/>
      <c r="S1282" s="42"/>
      <c r="T1282" s="42"/>
      <c r="U1282" s="42"/>
      <c r="V1282" s="42"/>
      <c r="W1282" s="42"/>
      <c r="X1282" s="42"/>
      <c r="Y1282" s="42"/>
      <c r="Z1282" s="42"/>
    </row>
    <row r="1283">
      <c r="A1283" s="41" t="str">
        <f>IFERROR(__xludf.DUMMYFUNCTION("""COMPUTED_VALUE"""),"S-155")</f>
        <v>S-155</v>
      </c>
      <c r="B1283" s="42" t="str">
        <f>IFERROR(__xludf.DUMMYFUNCTION("""COMPUTED_VALUE"""),"Spell")</f>
        <v>Spell</v>
      </c>
      <c r="C1283" s="42" t="str">
        <f>IFERROR(__xludf.DUMMYFUNCTION("""COMPUTED_VALUE"""),"Zerurudo")</f>
        <v>Zerurudo</v>
      </c>
      <c r="D1283" s="42" t="str">
        <f>IFERROR(__xludf.DUMMYFUNCTION("""COMPUTED_VALUE"""),"Kolulu")</f>
        <v>Kolulu</v>
      </c>
      <c r="E1283" s="42">
        <f>IFERROR(__xludf.DUMMYFUNCTION("""COMPUTED_VALUE"""),1.0)</f>
        <v>1</v>
      </c>
      <c r="F1283" s="42" t="str">
        <f>IFERROR(__xludf.DUMMYFUNCTION("""COMPUTED_VALUE"""),"D")</f>
        <v>D</v>
      </c>
      <c r="G1283" s="42" t="str">
        <f>IFERROR(__xludf.DUMMYFUNCTION("""COMPUTED_VALUE"""),"None")</f>
        <v>None</v>
      </c>
      <c r="H1283" s="42" t="str">
        <f>IFERROR(__xludf.DUMMYFUNCTION("""COMPUTED_VALUE"""),"-")</f>
        <v>-</v>
      </c>
      <c r="I1283" s="43" t="str">
        <f>IFERROR(__xludf.DUMMYFUNCTION("""COMPUTED_VALUE"""),"Regardless of Power, your Kolulu MAMODO card can SACRIFICE or PROTECT your Spell Book from Damage even when it is prohibited to do so.")</f>
        <v>Regardless of Power, your Kolulu MAMODO card can SACRIFICE or PROTECT your Spell Book from Damage even when it is prohibited to do so.</v>
      </c>
      <c r="J1283" s="42" t="str">
        <f>IFERROR(__xludf.DUMMYFUNCTION("""COMPUTED_VALUE"""),"Special")</f>
        <v>Special</v>
      </c>
      <c r="K1283" s="42" t="str">
        <f>IFERROR(__xludf.DUMMYFUNCTION("""COMPUTED_VALUE"""),"-")</f>
        <v>-</v>
      </c>
      <c r="L1283" s="42" t="str">
        <f>IFERROR(__xludf.DUMMYFUNCTION("""COMPUTED_VALUE"""),"Secrets of the Ruins, Level 5")</f>
        <v>Secrets of the Ruins, Level 5</v>
      </c>
      <c r="M1283" s="42" t="str">
        <f>IFERROR(__xludf.DUMMYFUNCTION("""COMPUTED_VALUE"""),"[C]")</f>
        <v>[C]</v>
      </c>
      <c r="N1283" s="42" t="str">
        <f>IFERROR(__xludf.DUMMYFUNCTION("""COMPUTED_VALUE"""),"Kolulu's 3rd spell. She floats in the air, making herself immune to enemy attacks.")</f>
        <v>Kolulu's 3rd spell. She floats in the air, making herself immune to enemy attacks.</v>
      </c>
      <c r="O1283" s="42"/>
      <c r="P1283" s="42"/>
      <c r="Q1283" s="42"/>
      <c r="R1283" s="42"/>
      <c r="S1283" s="42"/>
      <c r="T1283" s="42"/>
      <c r="U1283" s="42"/>
      <c r="V1283" s="42"/>
      <c r="W1283" s="42"/>
      <c r="X1283" s="42"/>
      <c r="Y1283" s="42"/>
      <c r="Z1283" s="42"/>
    </row>
    <row r="1284">
      <c r="A1284" s="41" t="str">
        <f>IFERROR(__xludf.DUMMYFUNCTION("""COMPUTED_VALUE"""),"S-156")</f>
        <v>S-156</v>
      </c>
      <c r="B1284" s="42" t="str">
        <f>IFERROR(__xludf.DUMMYFUNCTION("""COMPUTED_VALUE"""),"Spell")</f>
        <v>Spell</v>
      </c>
      <c r="C1284" s="42" t="str">
        <f>IFERROR(__xludf.DUMMYFUNCTION("""COMPUTED_VALUE"""),"Raja Zerusen")</f>
        <v>Raja Zerusen</v>
      </c>
      <c r="D1284" s="42" t="str">
        <f>IFERROR(__xludf.DUMMYFUNCTION("""COMPUTED_VALUE"""),"Kolulu")</f>
        <v>Kolulu</v>
      </c>
      <c r="E1284" s="42">
        <f>IFERROR(__xludf.DUMMYFUNCTION("""COMPUTED_VALUE"""),5.0)</f>
        <v>5</v>
      </c>
      <c r="F1284" s="42" t="str">
        <f>IFERROR(__xludf.DUMMYFUNCTION("""COMPUTED_VALUE"""),"AD")</f>
        <v>AD</v>
      </c>
      <c r="G1284" s="42" t="str">
        <f>IFERROR(__xludf.DUMMYFUNCTION("""COMPUTED_VALUE"""),"Intermediate")</f>
        <v>Intermediate</v>
      </c>
      <c r="H1284" s="42" t="str">
        <f>IFERROR(__xludf.DUMMYFUNCTION("""COMPUTED_VALUE"""),"-")</f>
        <v>-</v>
      </c>
      <c r="I1284" s="43" t="str">
        <f>IFERROR(__xludf.DUMMYFUNCTION("""COMPUTED_VALUE"""),"Damage your opponent's Spell Book when you win the Battle as an Attacker. ")</f>
        <v>Damage your opponent's Spell Book when you win the Battle as an Attacker. </v>
      </c>
      <c r="J1284" s="42" t="str">
        <f>IFERROR(__xludf.DUMMYFUNCTION("""COMPUTED_VALUE"""),"+5000")</f>
        <v>+5000</v>
      </c>
      <c r="K1284" s="42">
        <f>IFERROR(__xludf.DUMMYFUNCTION("""COMPUTED_VALUE"""),3.0)</f>
        <v>3</v>
      </c>
      <c r="L1284" s="42" t="str">
        <f>IFERROR(__xludf.DUMMYFUNCTION("""COMPUTED_VALUE"""),"Secrets of the Ruins, Level 5")</f>
        <v>Secrets of the Ruins, Level 5</v>
      </c>
      <c r="M1284" s="42" t="str">
        <f>IFERROR(__xludf.DUMMYFUNCTION("""COMPUTED_VALUE"""),"[R]")</f>
        <v>[R]</v>
      </c>
      <c r="N1284" s="42" t="str">
        <f>IFERROR(__xludf.DUMMYFUNCTION("""COMPUTED_VALUE"""),"Kolulu's 4th spell. Discharges a giant rocket fist to smash the opponent!")</f>
        <v>Kolulu's 4th spell. Discharges a giant rocket fist to smash the opponent!</v>
      </c>
      <c r="O1284" s="42"/>
      <c r="P1284" s="42"/>
      <c r="Q1284" s="42"/>
      <c r="R1284" s="42"/>
      <c r="S1284" s="42"/>
      <c r="T1284" s="42"/>
      <c r="U1284" s="42"/>
      <c r="V1284" s="42"/>
      <c r="W1284" s="42"/>
      <c r="X1284" s="42"/>
      <c r="Y1284" s="42"/>
      <c r="Z1284" s="42"/>
    </row>
    <row r="1285">
      <c r="A1285" s="41" t="str">
        <f>IFERROR(__xludf.DUMMYFUNCTION("""COMPUTED_VALUE"""),"S-157")</f>
        <v>S-157</v>
      </c>
      <c r="B1285" s="42" t="str">
        <f>IFERROR(__xludf.DUMMYFUNCTION("""COMPUTED_VALUE"""),"Spell")</f>
        <v>Spell</v>
      </c>
      <c r="C1285" s="42" t="str">
        <f>IFERROR(__xludf.DUMMYFUNCTION("""COMPUTED_VALUE"""),"Geo La Zerudo")</f>
        <v>Geo La Zerudo</v>
      </c>
      <c r="D1285" s="42" t="str">
        <f>IFERROR(__xludf.DUMMYFUNCTION("""COMPUTED_VALUE"""),"Kolulu")</f>
        <v>Kolulu</v>
      </c>
      <c r="E1285" s="42">
        <f>IFERROR(__xludf.DUMMYFUNCTION("""COMPUTED_VALUE"""),1.0)</f>
        <v>1</v>
      </c>
      <c r="F1285" s="42" t="str">
        <f>IFERROR(__xludf.DUMMYFUNCTION("""COMPUTED_VALUE"""),"D")</f>
        <v>D</v>
      </c>
      <c r="G1285" s="42" t="str">
        <f>IFERROR(__xludf.DUMMYFUNCTION("""COMPUTED_VALUE"""),"Intermediate")</f>
        <v>Intermediate</v>
      </c>
      <c r="H1285" s="42" t="str">
        <f>IFERROR(__xludf.DUMMYFUNCTION("""COMPUTED_VALUE"""),"-")</f>
        <v>-</v>
      </c>
      <c r="I1285" s="43" t="str">
        <f>IFERROR(__xludf.DUMMYFUNCTION("""COMPUTED_VALUE"""),"[COUNTER] Negate your opponent's Attack when you win the Battle as a Defender. If your opponent Attacked without using a SPELL card, Injure the MAMODO card that Attacked in the Battle.")</f>
        <v>[COUNTER] Negate your opponent's Attack when you win the Battle as a Defender. If your opponent Attacked without using a SPELL card, Injure the MAMODO card that Attacked in the Battle.</v>
      </c>
      <c r="J1285" s="42" t="str">
        <f>IFERROR(__xludf.DUMMYFUNCTION("""COMPUTED_VALUE"""),"+6000")</f>
        <v>+6000</v>
      </c>
      <c r="K1285" s="42">
        <f>IFERROR(__xludf.DUMMYFUNCTION("""COMPUTED_VALUE"""),1.0)</f>
        <v>1</v>
      </c>
      <c r="L1285" s="42" t="str">
        <f>IFERROR(__xludf.DUMMYFUNCTION("""COMPUTED_VALUE"""),"Secrets of the Ruins, Level 5")</f>
        <v>Secrets of the Ruins, Level 5</v>
      </c>
      <c r="M1285" s="42" t="str">
        <f>IFERROR(__xludf.DUMMYFUNCTION("""COMPUTED_VALUE"""),"[U]")</f>
        <v>[U]</v>
      </c>
      <c r="N1285" s="42" t="str">
        <f>IFERROR(__xludf.DUMMYFUNCTION("""COMPUTED_VALUE"""),"Kolulu's 5th spell. Claws emerge from the ground to defend against enemy attacks.")</f>
        <v>Kolulu's 5th spell. Claws emerge from the ground to defend against enemy attacks.</v>
      </c>
      <c r="O1285" s="42"/>
      <c r="P1285" s="42"/>
      <c r="Q1285" s="42"/>
      <c r="R1285" s="42"/>
      <c r="S1285" s="42"/>
      <c r="T1285" s="42"/>
      <c r="U1285" s="42"/>
      <c r="V1285" s="42"/>
      <c r="W1285" s="42"/>
      <c r="X1285" s="42"/>
      <c r="Y1285" s="42"/>
      <c r="Z1285" s="42"/>
    </row>
    <row r="1286">
      <c r="A1286" s="41" t="str">
        <f>IFERROR(__xludf.DUMMYFUNCTION("""COMPUTED_VALUE"""),"S-158")</f>
        <v>S-158</v>
      </c>
      <c r="B1286" s="42" t="str">
        <f>IFERROR(__xludf.DUMMYFUNCTION("""COMPUTED_VALUE"""),"Spell")</f>
        <v>Spell</v>
      </c>
      <c r="C1286" s="42" t="str">
        <f>IFERROR(__xludf.DUMMYFUNCTION("""COMPUTED_VALUE"""),"Zerarusen")</f>
        <v>Zerarusen</v>
      </c>
      <c r="D1286" s="42" t="str">
        <f>IFERROR(__xludf.DUMMYFUNCTION("""COMPUTED_VALUE"""),"Kolulu")</f>
        <v>Kolulu</v>
      </c>
      <c r="E1286" s="42">
        <f>IFERROR(__xludf.DUMMYFUNCTION("""COMPUTED_VALUE"""),3.0)</f>
        <v>3</v>
      </c>
      <c r="F1286" s="42" t="str">
        <f>IFERROR(__xludf.DUMMYFUNCTION("""COMPUTED_VALUE"""),"AD")</f>
        <v>AD</v>
      </c>
      <c r="G1286" s="42" t="str">
        <f>IFERROR(__xludf.DUMMYFUNCTION("""COMPUTED_VALUE"""),"Intermediate")</f>
        <v>Intermediate</v>
      </c>
      <c r="H1286" s="42" t="str">
        <f>IFERROR(__xludf.DUMMYFUNCTION("""COMPUTED_VALUE"""),"-")</f>
        <v>-</v>
      </c>
      <c r="I1286" s="43" t="str">
        <f>IFERROR(__xludf.DUMMYFUNCTION("""COMPUTED_VALUE"""),"Damage your opponent's Spell Book when you win the Battle as an Attacker. Flip a coin; if it's heads, this SPELL card cannot be Defended.")</f>
        <v>Damage your opponent's Spell Book when you win the Battle as an Attacker. Flip a coin; if it's heads, this SPELL card cannot be Defended.</v>
      </c>
      <c r="J1286" s="42" t="str">
        <f>IFERROR(__xludf.DUMMYFUNCTION("""COMPUTED_VALUE"""),"+4000")</f>
        <v>+4000</v>
      </c>
      <c r="K1286" s="42">
        <f>IFERROR(__xludf.DUMMYFUNCTION("""COMPUTED_VALUE"""),2.0)</f>
        <v>2</v>
      </c>
      <c r="L1286" s="42" t="str">
        <f>IFERROR(__xludf.DUMMYFUNCTION("""COMPUTED_VALUE"""),"Secrets of the Ruins, Level 5")</f>
        <v>Secrets of the Ruins, Level 5</v>
      </c>
      <c r="M1286" s="42" t="str">
        <f>IFERROR(__xludf.DUMMYFUNCTION("""COMPUTED_VALUE"""),"[U]")</f>
        <v>[U]</v>
      </c>
      <c r="N1286" s="42" t="str">
        <f>IFERROR(__xludf.DUMMYFUNCTION("""COMPUTED_VALUE"""),"Kolulu's 6th spell. Shoots a barrage of claws at her opponent from both hands.")</f>
        <v>Kolulu's 6th spell. Shoots a barrage of claws at her opponent from both hands.</v>
      </c>
      <c r="O1286" s="42"/>
      <c r="P1286" s="42"/>
      <c r="Q1286" s="42"/>
      <c r="R1286" s="42"/>
      <c r="S1286" s="42"/>
      <c r="T1286" s="42"/>
      <c r="U1286" s="42"/>
      <c r="V1286" s="42"/>
      <c r="W1286" s="42"/>
      <c r="X1286" s="42"/>
      <c r="Y1286" s="42"/>
      <c r="Z1286" s="42"/>
    </row>
    <row r="1287">
      <c r="A1287" s="41" t="str">
        <f>IFERROR(__xludf.DUMMYFUNCTION("""COMPUTED_VALUE"""),"S-159")</f>
        <v>S-159</v>
      </c>
      <c r="B1287" s="42" t="str">
        <f>IFERROR(__xludf.DUMMYFUNCTION("""COMPUTED_VALUE"""),"Spell")</f>
        <v>Spell</v>
      </c>
      <c r="C1287" s="42" t="str">
        <f>IFERROR(__xludf.DUMMYFUNCTION("""COMPUTED_VALUE"""),"Redoruk")</f>
        <v>Redoruk</v>
      </c>
      <c r="D1287" s="42" t="str">
        <f>IFERROR(__xludf.DUMMYFUNCTION("""COMPUTED_VALUE"""),"Wonrei")</f>
        <v>Wonrei</v>
      </c>
      <c r="E1287" s="42">
        <f>IFERROR(__xludf.DUMMYFUNCTION("""COMPUTED_VALUE"""),1.0)</f>
        <v>1</v>
      </c>
      <c r="F1287" s="42" t="str">
        <f>IFERROR(__xludf.DUMMYFUNCTION("""COMPUTED_VALUE"""),"A")</f>
        <v>A</v>
      </c>
      <c r="G1287" s="42" t="str">
        <f>IFERROR(__xludf.DUMMYFUNCTION("""COMPUTED_VALUE"""),"None")</f>
        <v>None</v>
      </c>
      <c r="H1287" s="42" t="str">
        <f>IFERROR(__xludf.DUMMYFUNCTION("""COMPUTED_VALUE"""),"-")</f>
        <v>-</v>
      </c>
      <c r="I1287" s="43" t="str">
        <f>IFERROR(__xludf.DUMMYFUNCTION("""COMPUTED_VALUE"""),"Damage your opponent's Spell Book when you win the Battle as an Attacker. When you inflict Damage or Injury, the MP costs of your Go Redoruk and Gar Redoruk SPELL cards are considered to be 0 during this turn ([STAY]).")</f>
        <v>Damage your opponent's Spell Book when you win the Battle as an Attacker. When you inflict Damage or Injury, the MP costs of your Go Redoruk and Gar Redoruk SPELL cards are considered to be 0 during this turn ([STAY]).</v>
      </c>
      <c r="J1287" s="42" t="str">
        <f>IFERROR(__xludf.DUMMYFUNCTION("""COMPUTED_VALUE"""),"+2000")</f>
        <v>+2000</v>
      </c>
      <c r="K1287" s="42">
        <f>IFERROR(__xludf.DUMMYFUNCTION("""COMPUTED_VALUE"""),1.0)</f>
        <v>1</v>
      </c>
      <c r="L1287" s="42" t="str">
        <f>IFERROR(__xludf.DUMMYFUNCTION("""COMPUTED_VALUE"""),"Secrets of the Ruins, Level 5")</f>
        <v>Secrets of the Ruins, Level 5</v>
      </c>
      <c r="M1287" s="42" t="str">
        <f>IFERROR(__xludf.DUMMYFUNCTION("""COMPUTED_VALUE"""),"[C]")</f>
        <v>[C]</v>
      </c>
      <c r="N1287" s="42" t="str">
        <f>IFERROR(__xludf.DUMMYFUNCTION("""COMPUTED_VALUE"""),"Wonrei's 3rd spell. It reinforces his leg strength, enabling him to jump and kick with greater force!")</f>
        <v>Wonrei's 3rd spell. It reinforces his leg strength, enabling him to jump and kick with greater force!</v>
      </c>
      <c r="O1287" s="42"/>
      <c r="P1287" s="42"/>
      <c r="Q1287" s="42"/>
      <c r="R1287" s="42"/>
      <c r="S1287" s="42"/>
      <c r="T1287" s="42"/>
      <c r="U1287" s="42"/>
      <c r="V1287" s="42"/>
      <c r="W1287" s="42"/>
      <c r="X1287" s="42"/>
      <c r="Y1287" s="42"/>
      <c r="Z1287" s="42"/>
    </row>
    <row r="1288">
      <c r="A1288" s="41" t="str">
        <f>IFERROR(__xludf.DUMMYFUNCTION("""COMPUTED_VALUE"""),"S-160")</f>
        <v>S-160</v>
      </c>
      <c r="B1288" s="42" t="str">
        <f>IFERROR(__xludf.DUMMYFUNCTION("""COMPUTED_VALUE"""),"Spell")</f>
        <v>Spell</v>
      </c>
      <c r="C1288" s="42" t="str">
        <f>IFERROR(__xludf.DUMMYFUNCTION("""COMPUTED_VALUE"""),"Ganzu Boren")</f>
        <v>Ganzu Boren</v>
      </c>
      <c r="D1288" s="42" t="str">
        <f>IFERROR(__xludf.DUMMYFUNCTION("""COMPUTED_VALUE"""),"Wonrei")</f>
        <v>Wonrei</v>
      </c>
      <c r="E1288" s="42">
        <f>IFERROR(__xludf.DUMMYFUNCTION("""COMPUTED_VALUE"""),3.0)</f>
        <v>3</v>
      </c>
      <c r="F1288" s="42" t="str">
        <f>IFERROR(__xludf.DUMMYFUNCTION("""COMPUTED_VALUE"""),"AD")</f>
        <v>AD</v>
      </c>
      <c r="G1288" s="42" t="str">
        <f>IFERROR(__xludf.DUMMYFUNCTION("""COMPUTED_VALUE"""),"None")</f>
        <v>None</v>
      </c>
      <c r="H1288" s="42" t="str">
        <f>IFERROR(__xludf.DUMMYFUNCTION("""COMPUTED_VALUE"""),"-")</f>
        <v>-</v>
      </c>
      <c r="I1288" s="43" t="str">
        <f>IFERROR(__xludf.DUMMYFUNCTION("""COMPUTED_VALUE"""),"Damage your opponent's Spell Book when you win the Battle as an Attacker. Flip a coin 3 times; the Power of this SPELL card is considered to be equal to the number of heads you get times 3000, and its Damage is considered to be equal to the number of head"&amp;"s you get times 1.")</f>
        <v>Damage your opponent's Spell Book when you win the Battle as an Attacker. Flip a coin 3 times; the Power of this SPELL card is considered to be equal to the number of heads you get times 3000, and its Damage is considered to be equal to the number of heads you get times 1.</v>
      </c>
      <c r="J1288" s="42" t="str">
        <f>IFERROR(__xludf.DUMMYFUNCTION("""COMPUTED_VALUE"""),"x3000")</f>
        <v>x3000</v>
      </c>
      <c r="K1288" s="42" t="str">
        <f>IFERROR(__xludf.DUMMYFUNCTION("""COMPUTED_VALUE"""),"?")</f>
        <v>?</v>
      </c>
      <c r="L1288" s="42" t="str">
        <f>IFERROR(__xludf.DUMMYFUNCTION("""COMPUTED_VALUE"""),"Secrets of the Ruins, Level 5")</f>
        <v>Secrets of the Ruins, Level 5</v>
      </c>
      <c r="M1288" s="42" t="str">
        <f>IFERROR(__xludf.DUMMYFUNCTION("""COMPUTED_VALUE"""),"[R]")</f>
        <v>[R]</v>
      </c>
      <c r="N1288" s="42" t="str">
        <f>IFERROR(__xludf.DUMMYFUNCTION("""COMPUTED_VALUE"""),"Wonrei's 6th spell. It allows him to send out a flurry of continuous punches.")</f>
        <v>Wonrei's 6th spell. It allows him to send out a flurry of continuous punches.</v>
      </c>
      <c r="O1288" s="42"/>
      <c r="P1288" s="42"/>
      <c r="Q1288" s="42"/>
      <c r="R1288" s="42"/>
      <c r="S1288" s="42"/>
      <c r="T1288" s="42"/>
      <c r="U1288" s="42"/>
      <c r="V1288" s="42"/>
      <c r="W1288" s="42"/>
      <c r="X1288" s="42"/>
      <c r="Y1288" s="42"/>
      <c r="Z1288" s="42"/>
    </row>
    <row r="1289">
      <c r="A1289" s="41" t="str">
        <f>IFERROR(__xludf.DUMMYFUNCTION("""COMPUTED_VALUE"""),"S-161")</f>
        <v>S-161</v>
      </c>
      <c r="B1289" s="42" t="str">
        <f>IFERROR(__xludf.DUMMYFUNCTION("""COMPUTED_VALUE"""),"Spell")</f>
        <v>Spell</v>
      </c>
      <c r="C1289" s="42" t="str">
        <f>IFERROR(__xludf.DUMMYFUNCTION("""COMPUTED_VALUE"""),"Zonis")</f>
        <v>Zonis</v>
      </c>
      <c r="D1289" s="42" t="str">
        <f>IFERROR(__xludf.DUMMYFUNCTION("""COMPUTED_VALUE"""),"Bari")</f>
        <v>Bari</v>
      </c>
      <c r="E1289" s="42">
        <f>IFERROR(__xludf.DUMMYFUNCTION("""COMPUTED_VALUE"""),1.0)</f>
        <v>1</v>
      </c>
      <c r="F1289" s="42" t="str">
        <f>IFERROR(__xludf.DUMMYFUNCTION("""COMPUTED_VALUE"""),"A")</f>
        <v>A</v>
      </c>
      <c r="G1289" s="42" t="str">
        <f>IFERROR(__xludf.DUMMYFUNCTION("""COMPUTED_VALUE"""),"None")</f>
        <v>None</v>
      </c>
      <c r="H1289" s="42" t="str">
        <f>IFERROR(__xludf.DUMMYFUNCTION("""COMPUTED_VALUE"""),"-")</f>
        <v>-</v>
      </c>
      <c r="I1289" s="43" t="str">
        <f>IFERROR(__xludf.DUMMYFUNCTION("""COMPUTED_VALUE"""),"Damage your opponent's Spell Book when you win the Battle as an Attacker.")</f>
        <v>Damage your opponent's Spell Book when you win the Battle as an Attacker.</v>
      </c>
      <c r="J1289" s="42" t="str">
        <f>IFERROR(__xludf.DUMMYFUNCTION("""COMPUTED_VALUE"""),"+1000")</f>
        <v>+1000</v>
      </c>
      <c r="K1289" s="42">
        <f>IFERROR(__xludf.DUMMYFUNCTION("""COMPUTED_VALUE"""),2.0)</f>
        <v>2</v>
      </c>
      <c r="L1289" s="42" t="str">
        <f>IFERROR(__xludf.DUMMYFUNCTION("""COMPUTED_VALUE"""),"Secrets of the Ruins, Level 5")</f>
        <v>Secrets of the Ruins, Level 5</v>
      </c>
      <c r="M1289" s="42" t="str">
        <f>IFERROR(__xludf.DUMMYFUNCTION("""COMPUTED_VALUE"""),"[C]")</f>
        <v>[C]</v>
      </c>
      <c r="N1289" s="42" t="str">
        <f>IFERROR(__xludf.DUMMYFUNCTION("""COMPUTED_VALUE"""),"Bari's 1st spell. By firing Zonis while his horns are turned backward, he is capable of flight.")</f>
        <v>Bari's 1st spell. By firing Zonis while his horns are turned backward, he is capable of flight.</v>
      </c>
      <c r="O1289" s="42"/>
      <c r="P1289" s="42"/>
      <c r="Q1289" s="42"/>
      <c r="R1289" s="42"/>
      <c r="S1289" s="42"/>
      <c r="T1289" s="42"/>
      <c r="U1289" s="42"/>
      <c r="V1289" s="42"/>
      <c r="W1289" s="42"/>
      <c r="X1289" s="42"/>
      <c r="Y1289" s="42"/>
      <c r="Z1289" s="42"/>
    </row>
    <row r="1290">
      <c r="A1290" s="41" t="str">
        <f>IFERROR(__xludf.DUMMYFUNCTION("""COMPUTED_VALUE"""),"S-162")</f>
        <v>S-162</v>
      </c>
      <c r="B1290" s="42" t="str">
        <f>IFERROR(__xludf.DUMMYFUNCTION("""COMPUTED_VALUE"""),"Spell")</f>
        <v>Spell</v>
      </c>
      <c r="C1290" s="42" t="str">
        <f>IFERROR(__xludf.DUMMYFUNCTION("""COMPUTED_VALUE"""),"Garazonis")</f>
        <v>Garazonis</v>
      </c>
      <c r="D1290" s="42" t="str">
        <f>IFERROR(__xludf.DUMMYFUNCTION("""COMPUTED_VALUE"""),"Bari")</f>
        <v>Bari</v>
      </c>
      <c r="E1290" s="42">
        <f>IFERROR(__xludf.DUMMYFUNCTION("""COMPUTED_VALUE"""),2.0)</f>
        <v>2</v>
      </c>
      <c r="F1290" s="42" t="str">
        <f>IFERROR(__xludf.DUMMYFUNCTION("""COMPUTED_VALUE"""),"AD")</f>
        <v>AD</v>
      </c>
      <c r="G1290" s="42" t="str">
        <f>IFERROR(__xludf.DUMMYFUNCTION("""COMPUTED_VALUE"""),"None")</f>
        <v>None</v>
      </c>
      <c r="H1290" s="42" t="str">
        <f>IFERROR(__xludf.DUMMYFUNCTION("""COMPUTED_VALUE"""),"-")</f>
        <v>-</v>
      </c>
      <c r="I1290" s="43" t="str">
        <f>IFERROR(__xludf.DUMMYFUNCTION("""COMPUTED_VALUE"""),"Damage your opponent's Spell Book when you win the Battle as an Attacker. Look at the currently open pages of your opponent's Spell Book; if there are no SPELL cards, increase the Damage of this SPELL card by 2.")</f>
        <v>Damage your opponent's Spell Book when you win the Battle as an Attacker. Look at the currently open pages of your opponent's Spell Book; if there are no SPELL cards, increase the Damage of this SPELL card by 2.</v>
      </c>
      <c r="J1290" s="42" t="str">
        <f>IFERROR(__xludf.DUMMYFUNCTION("""COMPUTED_VALUE"""),"+2000")</f>
        <v>+2000</v>
      </c>
      <c r="K1290" s="42">
        <f>IFERROR(__xludf.DUMMYFUNCTION("""COMPUTED_VALUE"""),1.0)</f>
        <v>1</v>
      </c>
      <c r="L1290" s="42" t="str">
        <f>IFERROR(__xludf.DUMMYFUNCTION("""COMPUTED_VALUE"""),"Secrets of the Ruins, Level 5")</f>
        <v>Secrets of the Ruins, Level 5</v>
      </c>
      <c r="M1290" s="42" t="str">
        <f>IFERROR(__xludf.DUMMYFUNCTION("""COMPUTED_VALUE"""),"[U]")</f>
        <v>[U]</v>
      </c>
      <c r="N1290" s="42" t="str">
        <f>IFERROR(__xludf.DUMMYFUNCTION("""COMPUTED_VALUE"""),"Bari's 2nd spell. He rushes the opponent as his body spins.")</f>
        <v>Bari's 2nd spell. He rushes the opponent as his body spins.</v>
      </c>
      <c r="O1290" s="42"/>
      <c r="P1290" s="42"/>
      <c r="Q1290" s="42"/>
      <c r="R1290" s="42"/>
      <c r="S1290" s="42"/>
      <c r="T1290" s="42"/>
      <c r="U1290" s="42"/>
      <c r="V1290" s="42"/>
      <c r="W1290" s="42"/>
      <c r="X1290" s="42"/>
      <c r="Y1290" s="42"/>
      <c r="Z1290" s="42"/>
    </row>
    <row r="1291">
      <c r="A1291" s="41" t="str">
        <f>IFERROR(__xludf.DUMMYFUNCTION("""COMPUTED_VALUE"""),"S-163")</f>
        <v>S-163</v>
      </c>
      <c r="B1291" s="42" t="str">
        <f>IFERROR(__xludf.DUMMYFUNCTION("""COMPUTED_VALUE"""),"Spell")</f>
        <v>Spell</v>
      </c>
      <c r="C1291" s="42" t="str">
        <f>IFERROR(__xludf.DUMMYFUNCTION("""COMPUTED_VALUE"""),"Zerusen")</f>
        <v>Zerusen</v>
      </c>
      <c r="D1291" s="42" t="str">
        <f>IFERROR(__xludf.DUMMYFUNCTION("""COMPUTED_VALUE"""),"Kido")</f>
        <v>Kido</v>
      </c>
      <c r="E1291" s="42">
        <f>IFERROR(__xludf.DUMMYFUNCTION("""COMPUTED_VALUE"""),3.0)</f>
        <v>3</v>
      </c>
      <c r="F1291" s="42" t="str">
        <f>IFERROR(__xludf.DUMMYFUNCTION("""COMPUTED_VALUE"""),"AD")</f>
        <v>AD</v>
      </c>
      <c r="G1291" s="42" t="str">
        <f>IFERROR(__xludf.DUMMYFUNCTION("""COMPUTED_VALUE"""),"None")</f>
        <v>None</v>
      </c>
      <c r="H1291" s="42" t="str">
        <f>IFERROR(__xludf.DUMMYFUNCTION("""COMPUTED_VALUE"""),"-")</f>
        <v>-</v>
      </c>
      <c r="I1291" s="43" t="str">
        <f>IFERROR(__xludf.DUMMYFUNCTION("""COMPUTED_VALUE"""),"Damage your opponent's Spell Book when you win the Battle as an Attacker. When Defending, add 2000 Power to this SPELL card.")</f>
        <v>Damage your opponent's Spell Book when you win the Battle as an Attacker. When Defending, add 2000 Power to this SPELL card.</v>
      </c>
      <c r="J1291" s="42" t="str">
        <f>IFERROR(__xludf.DUMMYFUNCTION("""COMPUTED_VALUE"""),"+3000")</f>
        <v>+3000</v>
      </c>
      <c r="K1291" s="42">
        <f>IFERROR(__xludf.DUMMYFUNCTION("""COMPUTED_VALUE"""),2.0)</f>
        <v>2</v>
      </c>
      <c r="L1291" s="42" t="str">
        <f>IFERROR(__xludf.DUMMYFUNCTION("""COMPUTED_VALUE"""),"Dawn of the Ancients, Series 4, Level 5")</f>
        <v>Dawn of the Ancients, Series 4, Level 5</v>
      </c>
      <c r="M1291" s="42" t="str">
        <f>IFERROR(__xludf.DUMMYFUNCTION("""COMPUTED_VALUE"""),"[C]")</f>
        <v>[C]</v>
      </c>
      <c r="N1291" s="42" t="str">
        <f>IFERROR(__xludf.DUMMYFUNCTION("""COMPUTED_VALUE"""),"Kido's 2nd spell. Both of his fists become rockets that are fired.")</f>
        <v>Kido's 2nd spell. Both of his fists become rockets that are fired.</v>
      </c>
      <c r="O1291" s="42"/>
      <c r="P1291" s="42"/>
      <c r="Q1291" s="42"/>
      <c r="R1291" s="42"/>
      <c r="S1291" s="42"/>
      <c r="T1291" s="42"/>
      <c r="U1291" s="42"/>
      <c r="V1291" s="42"/>
      <c r="W1291" s="42"/>
      <c r="X1291" s="42"/>
      <c r="Y1291" s="42"/>
      <c r="Z1291" s="42"/>
    </row>
    <row r="1292">
      <c r="A1292" s="41" t="str">
        <f>IFERROR(__xludf.DUMMYFUNCTION("""COMPUTED_VALUE"""),"S-164")</f>
        <v>S-164</v>
      </c>
      <c r="B1292" s="42" t="str">
        <f>IFERROR(__xludf.DUMMYFUNCTION("""COMPUTED_VALUE"""),"Spell")</f>
        <v>Spell</v>
      </c>
      <c r="C1292" s="42" t="str">
        <f>IFERROR(__xludf.DUMMYFUNCTION("""COMPUTED_VALUE"""),"Zeburuk")</f>
        <v>Zeburuk</v>
      </c>
      <c r="D1292" s="42" t="str">
        <f>IFERROR(__xludf.DUMMYFUNCTION("""COMPUTED_VALUE"""),"Kido")</f>
        <v>Kido</v>
      </c>
      <c r="E1292" s="42">
        <f>IFERROR(__xludf.DUMMYFUNCTION("""COMPUTED_VALUE"""),1.0)</f>
        <v>1</v>
      </c>
      <c r="F1292" s="42" t="str">
        <f>IFERROR(__xludf.DUMMYFUNCTION("""COMPUTED_VALUE"""),"D")</f>
        <v>D</v>
      </c>
      <c r="G1292" s="42" t="str">
        <f>IFERROR(__xludf.DUMMYFUNCTION("""COMPUTED_VALUE"""),"None")</f>
        <v>None</v>
      </c>
      <c r="H1292" s="42" t="str">
        <f>IFERROR(__xludf.DUMMYFUNCTION("""COMPUTED_VALUE"""),"-")</f>
        <v>-</v>
      </c>
      <c r="I1292" s="43" t="str">
        <f>IFERROR(__xludf.DUMMYFUNCTION("""COMPUTED_VALUE"""),"Flip a coin twice; if you get heads at least once, negate your opponent's Attack regardless of their Power. If you get tails twice, reduce your MP by 1.")</f>
        <v>Flip a coin twice; if you get heads at least once, negate your opponent's Attack regardless of their Power. If you get tails twice, reduce your MP by 1.</v>
      </c>
      <c r="J1292" s="42" t="str">
        <f>IFERROR(__xludf.DUMMYFUNCTION("""COMPUTED_VALUE"""),"Special")</f>
        <v>Special</v>
      </c>
      <c r="K1292" s="42" t="str">
        <f>IFERROR(__xludf.DUMMYFUNCTION("""COMPUTED_VALUE"""),"-")</f>
        <v>-</v>
      </c>
      <c r="L1292" s="42" t="str">
        <f>IFERROR(__xludf.DUMMYFUNCTION("""COMPUTED_VALUE"""),"Dawn of the Ancients, Series 4, Level 5")</f>
        <v>Dawn of the Ancients, Series 4, Level 5</v>
      </c>
      <c r="M1292" s="42" t="str">
        <f>IFERROR(__xludf.DUMMYFUNCTION("""COMPUTED_VALUE"""),"[C]")</f>
        <v>[C]</v>
      </c>
      <c r="N1292" s="42" t="str">
        <f>IFERROR(__xludf.DUMMYFUNCTION("""COMPUTED_VALUE"""),"Kido's 3rd spell. Kido splits into 2 to avoid an opponent's attack.")</f>
        <v>Kido's 3rd spell. Kido splits into 2 to avoid an opponent's attack.</v>
      </c>
      <c r="O1292" s="42"/>
      <c r="P1292" s="42"/>
      <c r="Q1292" s="42"/>
      <c r="R1292" s="42"/>
      <c r="S1292" s="42"/>
      <c r="T1292" s="42"/>
      <c r="U1292" s="42"/>
      <c r="V1292" s="42"/>
      <c r="W1292" s="42"/>
      <c r="X1292" s="42"/>
      <c r="Y1292" s="42"/>
      <c r="Z1292" s="42"/>
    </row>
    <row r="1293">
      <c r="A1293" s="41" t="str">
        <f>IFERROR(__xludf.DUMMYFUNCTION("""COMPUTED_VALUE"""),"S-165")</f>
        <v>S-165</v>
      </c>
      <c r="B1293" s="42" t="str">
        <f>IFERROR(__xludf.DUMMYFUNCTION("""COMPUTED_VALUE"""),"Spell")</f>
        <v>Spell</v>
      </c>
      <c r="C1293" s="42" t="str">
        <f>IFERROR(__xludf.DUMMYFUNCTION("""COMPUTED_VALUE"""),"Am Zegar")</f>
        <v>Am Zegar</v>
      </c>
      <c r="D1293" s="42" t="str">
        <f>IFERROR(__xludf.DUMMYFUNCTION("""COMPUTED_VALUE"""),"Kido")</f>
        <v>Kido</v>
      </c>
      <c r="E1293" s="42">
        <f>IFERROR(__xludf.DUMMYFUNCTION("""COMPUTED_VALUE"""),2.0)</f>
        <v>2</v>
      </c>
      <c r="F1293" s="42" t="str">
        <f>IFERROR(__xludf.DUMMYFUNCTION("""COMPUTED_VALUE"""),"A")</f>
        <v>A</v>
      </c>
      <c r="G1293" s="42" t="str">
        <f>IFERROR(__xludf.DUMMYFUNCTION("""COMPUTED_VALUE"""),"Intermediate")</f>
        <v>Intermediate</v>
      </c>
      <c r="H1293" s="42" t="str">
        <f>IFERROR(__xludf.DUMMYFUNCTION("""COMPUTED_VALUE"""),"-")</f>
        <v>-</v>
      </c>
      <c r="I1293" s="43" t="str">
        <f>IFERROR(__xludf.DUMMYFUNCTION("""COMPUTED_VALUE"""),"[STAY] Add the text below to your Kido MAMODO card until your next END PHASE: (Attack)[DECLARE TO USE) This card may Attack without using a SPELL card (Total Power=6000, Damage=2).")</f>
        <v>[STAY] Add the text below to your Kido MAMODO card until your next END PHASE: (Attack)[DECLARE TO USE) This card may Attack without using a SPELL card (Total Power=6000, Damage=2).</v>
      </c>
      <c r="J1293" s="42" t="str">
        <f>IFERROR(__xludf.DUMMYFUNCTION("""COMPUTED_VALUE"""),"Special")</f>
        <v>Special</v>
      </c>
      <c r="K1293" s="42" t="str">
        <f>IFERROR(__xludf.DUMMYFUNCTION("""COMPUTED_VALUE"""),"-")</f>
        <v>-</v>
      </c>
      <c r="L1293" s="42" t="str">
        <f>IFERROR(__xludf.DUMMYFUNCTION("""COMPUTED_VALUE"""),"Dawn of the Ancients, Series 4, Level 5")</f>
        <v>Dawn of the Ancients, Series 4, Level 5</v>
      </c>
      <c r="M1293" s="42" t="str">
        <f>IFERROR(__xludf.DUMMYFUNCTION("""COMPUTED_VALUE"""),"[C]")</f>
        <v>[C]</v>
      </c>
      <c r="N1293" s="42" t="str">
        <f>IFERROR(__xludf.DUMMYFUNCTION("""COMPUTED_VALUE"""),"Kido's 5th spell. ""Transform my arm into a gigantic one and hit the opponent!""")</f>
        <v>Kido's 5th spell. "Transform my arm into a gigantic one and hit the opponent!"</v>
      </c>
      <c r="O1293" s="42"/>
      <c r="P1293" s="42"/>
      <c r="Q1293" s="42"/>
      <c r="R1293" s="42"/>
      <c r="S1293" s="42"/>
      <c r="T1293" s="42"/>
      <c r="U1293" s="42"/>
      <c r="V1293" s="42"/>
      <c r="W1293" s="42"/>
      <c r="X1293" s="42"/>
      <c r="Y1293" s="42"/>
      <c r="Z1293" s="42"/>
    </row>
    <row r="1294">
      <c r="A1294" s="41" t="str">
        <f>IFERROR(__xludf.DUMMYFUNCTION("""COMPUTED_VALUE"""),"S-166")</f>
        <v>S-166</v>
      </c>
      <c r="B1294" s="42" t="str">
        <f>IFERROR(__xludf.DUMMYFUNCTION("""COMPUTED_VALUE"""),"Spell")</f>
        <v>Spell</v>
      </c>
      <c r="C1294" s="42" t="str">
        <f>IFERROR(__xludf.DUMMYFUNCTION("""COMPUTED_VALUE"""),"Koburuk")</f>
        <v>Koburuk</v>
      </c>
      <c r="D1294" s="42" t="str">
        <f>IFERROR(__xludf.DUMMYFUNCTION("""COMPUTED_VALUE"""),"Kido")</f>
        <v>Kido</v>
      </c>
      <c r="E1294" s="42">
        <f>IFERROR(__xludf.DUMMYFUNCTION("""COMPUTED_VALUE"""),3.0)</f>
        <v>3</v>
      </c>
      <c r="F1294" s="42" t="str">
        <f>IFERROR(__xludf.DUMMYFUNCTION("""COMPUTED_VALUE"""),"A")</f>
        <v>A</v>
      </c>
      <c r="G1294" s="42" t="str">
        <f>IFERROR(__xludf.DUMMYFUNCTION("""COMPUTED_VALUE"""),"Intermediate")</f>
        <v>Intermediate</v>
      </c>
      <c r="H1294" s="42" t="str">
        <f>IFERROR(__xludf.DUMMYFUNCTION("""COMPUTED_VALUE"""),"-")</f>
        <v>-</v>
      </c>
      <c r="I1294" s="43" t="str">
        <f>IFERROR(__xludf.DUMMYFUNCTION("""COMPUTED_VALUE"""),"Flip a coin for each of your opponent's in-play MAMODO cards when you win the Battle as an Attacker; if it's heads, Injure the MAMODO card.")</f>
        <v>Flip a coin for each of your opponent's in-play MAMODO cards when you win the Battle as an Attacker; if it's heads, Injure the MAMODO card.</v>
      </c>
      <c r="J1294" s="42" t="str">
        <f>IFERROR(__xludf.DUMMYFUNCTION("""COMPUTED_VALUE"""),"+3000")</f>
        <v>+3000</v>
      </c>
      <c r="K1294" s="42" t="str">
        <f>IFERROR(__xludf.DUMMYFUNCTION("""COMPUTED_VALUE"""),"-")</f>
        <v>-</v>
      </c>
      <c r="L1294" s="42" t="str">
        <f>IFERROR(__xludf.DUMMYFUNCTION("""COMPUTED_VALUE"""),"Dawn of the Ancients, Series 4, Level 5")</f>
        <v>Dawn of the Ancients, Series 4, Level 5</v>
      </c>
      <c r="M1294" s="42" t="str">
        <f>IFERROR(__xludf.DUMMYFUNCTION("""COMPUTED_VALUE"""),"[C]")</f>
        <v>[C]</v>
      </c>
      <c r="N1294" s="42" t="str">
        <f>IFERROR(__xludf.DUMMYFUNCTION("""COMPUTED_VALUE"""),"Kido's 6th spell. Tiny Kidos are much more powerful than they look.")</f>
        <v>Kido's 6th spell. Tiny Kidos are much more powerful than they look.</v>
      </c>
      <c r="O1294" s="42"/>
      <c r="P1294" s="42"/>
      <c r="Q1294" s="42"/>
      <c r="R1294" s="42"/>
      <c r="S1294" s="42"/>
      <c r="T1294" s="42"/>
      <c r="U1294" s="42"/>
      <c r="V1294" s="42"/>
      <c r="W1294" s="42"/>
      <c r="X1294" s="42"/>
      <c r="Y1294" s="42"/>
      <c r="Z1294" s="42"/>
    </row>
    <row r="1295">
      <c r="A1295" s="41" t="str">
        <f>IFERROR(__xludf.DUMMYFUNCTION("""COMPUTED_VALUE"""),"S-167")</f>
        <v>S-167</v>
      </c>
      <c r="B1295" s="42" t="str">
        <f>IFERROR(__xludf.DUMMYFUNCTION("""COMPUTED_VALUE"""),"Spell")</f>
        <v>Spell</v>
      </c>
      <c r="C1295" s="42" t="str">
        <f>IFERROR(__xludf.DUMMYFUNCTION("""COMPUTED_VALUE"""),"Ganzu Zegar")</f>
        <v>Ganzu Zegar</v>
      </c>
      <c r="D1295" s="42" t="str">
        <f>IFERROR(__xludf.DUMMYFUNCTION("""COMPUTED_VALUE"""),"Kido")</f>
        <v>Kido</v>
      </c>
      <c r="E1295" s="42">
        <f>IFERROR(__xludf.DUMMYFUNCTION("""COMPUTED_VALUE"""),3.0)</f>
        <v>3</v>
      </c>
      <c r="F1295" s="42" t="str">
        <f>IFERROR(__xludf.DUMMYFUNCTION("""COMPUTED_VALUE"""),"A")</f>
        <v>A</v>
      </c>
      <c r="G1295" s="42" t="str">
        <f>IFERROR(__xludf.DUMMYFUNCTION("""COMPUTED_VALUE"""),"Intermediate")</f>
        <v>Intermediate</v>
      </c>
      <c r="H1295" s="42" t="str">
        <f>IFERROR(__xludf.DUMMYFUNCTION("""COMPUTED_VALUE"""),"-")</f>
        <v>-</v>
      </c>
      <c r="I1295" s="43" t="str">
        <f>IFERROR(__xludf.DUMMYFUNCTION("""COMPUTED_VALUE"""),"Flip a coin three times when you win the Battle as an Attacker; send up to the same number of your opponent's in-play cards (except MAMODO cards) as heads you get to the Discard Pile.")</f>
        <v>Flip a coin three times when you win the Battle as an Attacker; send up to the same number of your opponent's in-play cards (except MAMODO cards) as heads you get to the Discard Pile.</v>
      </c>
      <c r="J1295" s="42" t="str">
        <f>IFERROR(__xludf.DUMMYFUNCTION("""COMPUTED_VALUE"""),"+4000")</f>
        <v>+4000</v>
      </c>
      <c r="K1295" s="42" t="str">
        <f>IFERROR(__xludf.DUMMYFUNCTION("""COMPUTED_VALUE"""),"-")</f>
        <v>-</v>
      </c>
      <c r="L1295" s="42" t="str">
        <f>IFERROR(__xludf.DUMMYFUNCTION("""COMPUTED_VALUE"""),"Dawn of the Ancients, Series 4, Level 5")</f>
        <v>Dawn of the Ancients, Series 4, Level 5</v>
      </c>
      <c r="M1295" s="42" t="str">
        <f>IFERROR(__xludf.DUMMYFUNCTION("""COMPUTED_VALUE"""),"[C]")</f>
        <v>[C]</v>
      </c>
      <c r="N1295" s="42" t="str">
        <f>IFERROR(__xludf.DUMMYFUNCTION("""COMPUTED_VALUE"""),"Kido's 7th spell. ""Transform my arm into a machine gun and DADADADADA...!""")</f>
        <v>Kido's 7th spell. "Transform my arm into a machine gun and DADADADADA...!"</v>
      </c>
      <c r="O1295" s="42"/>
      <c r="P1295" s="42"/>
      <c r="Q1295" s="42"/>
      <c r="R1295" s="42"/>
      <c r="S1295" s="42"/>
      <c r="T1295" s="42"/>
      <c r="U1295" s="42"/>
      <c r="V1295" s="42"/>
      <c r="W1295" s="42"/>
      <c r="X1295" s="42"/>
      <c r="Y1295" s="42"/>
      <c r="Z1295" s="42"/>
    </row>
    <row r="1296">
      <c r="A1296" s="41" t="str">
        <f>IFERROR(__xludf.DUMMYFUNCTION("""COMPUTED_VALUE"""),"S-168")</f>
        <v>S-168</v>
      </c>
      <c r="B1296" s="42" t="str">
        <f>IFERROR(__xludf.DUMMYFUNCTION("""COMPUTED_VALUE"""),"Spell")</f>
        <v>Spell</v>
      </c>
      <c r="C1296" s="42" t="str">
        <f>IFERROR(__xludf.DUMMYFUNCTION("""COMPUTED_VALUE"""),"Gigano Zegar")</f>
        <v>Gigano Zegar</v>
      </c>
      <c r="D1296" s="42" t="str">
        <f>IFERROR(__xludf.DUMMYFUNCTION("""COMPUTED_VALUE"""),"Kido")</f>
        <v>Kido</v>
      </c>
      <c r="E1296" s="42">
        <f>IFERROR(__xludf.DUMMYFUNCTION("""COMPUTED_VALUE"""),6.0)</f>
        <v>6</v>
      </c>
      <c r="F1296" s="42" t="str">
        <f>IFERROR(__xludf.DUMMYFUNCTION("""COMPUTED_VALUE"""),"A")</f>
        <v>A</v>
      </c>
      <c r="G1296" s="42" t="str">
        <f>IFERROR(__xludf.DUMMYFUNCTION("""COMPUTED_VALUE"""),"Superior")</f>
        <v>Superior</v>
      </c>
      <c r="H1296" s="42" t="str">
        <f>IFERROR(__xludf.DUMMYFUNCTION("""COMPUTED_VALUE"""),"-")</f>
        <v>-</v>
      </c>
      <c r="I1296" s="43" t="str">
        <f>IFERROR(__xludf.DUMMYFUNCTION("""COMPUTED_VALUE"""),"Apply both of the following effects in order when you win the Battle as an Attacker: ● Damage your opponent's Spell Book. ● Flip a coin for each of your opponent's in-play MAMODO cards; if it's heads, Injure the MAMODO card.")</f>
        <v>Apply both of the following effects in order when you win the Battle as an Attacker: ● Damage your opponent's Spell Book. ● Flip a coin for each of your opponent's in-play MAMODO cards; if it's heads, Injure the MAMODO card.</v>
      </c>
      <c r="J1296" s="42" t="str">
        <f>IFERROR(__xludf.DUMMYFUNCTION("""COMPUTED_VALUE"""),"+5000")</f>
        <v>+5000</v>
      </c>
      <c r="K1296" s="42">
        <f>IFERROR(__xludf.DUMMYFUNCTION("""COMPUTED_VALUE"""),2.0)</f>
        <v>2</v>
      </c>
      <c r="L1296" s="42" t="str">
        <f>IFERROR(__xludf.DUMMYFUNCTION("""COMPUTED_VALUE"""),"Dawn of the Ancients, Series 4, Level 5, The Best Booster 2")</f>
        <v>Dawn of the Ancients, Series 4, Level 5, The Best Booster 2</v>
      </c>
      <c r="M1296" s="42" t="str">
        <f>IFERROR(__xludf.DUMMYFUNCTION("""COMPUTED_VALUE"""),"[R]")</f>
        <v>[R]</v>
      </c>
      <c r="N1296" s="42" t="str">
        <f>IFERROR(__xludf.DUMMYFUNCTION("""COMPUTED_VALUE"""),"Kido's 9th spell. Reinforced spell of Zegar. It can crush an iceberg.")</f>
        <v>Kido's 9th spell. Reinforced spell of Zegar. It can crush an iceberg.</v>
      </c>
      <c r="O1296" s="42"/>
      <c r="P1296" s="42"/>
      <c r="Q1296" s="42"/>
      <c r="R1296" s="42"/>
      <c r="S1296" s="42"/>
      <c r="T1296" s="42"/>
      <c r="U1296" s="42"/>
      <c r="V1296" s="42"/>
      <c r="W1296" s="42"/>
      <c r="X1296" s="42"/>
      <c r="Y1296" s="42"/>
      <c r="Z1296" s="42"/>
    </row>
    <row r="1297">
      <c r="A1297" s="41" t="str">
        <f>IFERROR(__xludf.DUMMYFUNCTION("""COMPUTED_VALUE"""),"S-169")</f>
        <v>S-169</v>
      </c>
      <c r="B1297" s="42" t="str">
        <f>IFERROR(__xludf.DUMMYFUNCTION("""COMPUTED_VALUE"""),"Spell")</f>
        <v>Spell</v>
      </c>
      <c r="C1297" s="42" t="str">
        <f>IFERROR(__xludf.DUMMYFUNCTION("""COMPUTED_VALUE"""),"Oruda Kuran")</f>
        <v>Oruda Kuran</v>
      </c>
      <c r="D1297" s="42" t="str">
        <f>IFERROR(__xludf.DUMMYFUNCTION("""COMPUTED_VALUE"""),"Penny")</f>
        <v>Penny</v>
      </c>
      <c r="E1297" s="42">
        <f>IFERROR(__xludf.DUMMYFUNCTION("""COMPUTED_VALUE"""),2.0)</f>
        <v>2</v>
      </c>
      <c r="F1297" s="42" t="str">
        <f>IFERROR(__xludf.DUMMYFUNCTION("""COMPUTED_VALUE"""),"AD")</f>
        <v>AD</v>
      </c>
      <c r="G1297" s="42" t="str">
        <f>IFERROR(__xludf.DUMMYFUNCTION("""COMPUTED_VALUE"""),"None")</f>
        <v>None</v>
      </c>
      <c r="H1297" s="42" t="str">
        <f>IFERROR(__xludf.DUMMYFUNCTION("""COMPUTED_VALUE"""),"Water")</f>
        <v>Water</v>
      </c>
      <c r="I1297" s="43" t="str">
        <f>IFERROR(__xludf.DUMMYFUNCTION("""COMPUTED_VALUE"""),"Damage your opponent's Spell Book when you win the Battle as an Attacker. The Power of your opponent's ""Thunder"" Attribute SPELL cards played during the Battle are considered to be 0.")</f>
        <v>Damage your opponent's Spell Book when you win the Battle as an Attacker. The Power of your opponent's "Thunder" Attribute SPELL cards played during the Battle are considered to be 0.</v>
      </c>
      <c r="J1297" s="42" t="str">
        <f>IFERROR(__xludf.DUMMYFUNCTION("""COMPUTED_VALUE"""),"+3000")</f>
        <v>+3000</v>
      </c>
      <c r="K1297" s="42">
        <f>IFERROR(__xludf.DUMMYFUNCTION("""COMPUTED_VALUE"""),2.0)</f>
        <v>2</v>
      </c>
      <c r="L1297" s="42" t="str">
        <f>IFERROR(__xludf.DUMMYFUNCTION("""COMPUTED_VALUE"""),"Dawn of the Ancients, Series 4, Level 5")</f>
        <v>Dawn of the Ancients, Series 4, Level 5</v>
      </c>
      <c r="M1297" s="42" t="str">
        <f>IFERROR(__xludf.DUMMYFUNCTION("""COMPUTED_VALUE"""),"[C]")</f>
        <v>[C]</v>
      </c>
      <c r="N1297" s="42" t="str">
        <f>IFERROR(__xludf.DUMMYFUNCTION("""COMPUTED_VALUE"""),"Penny's 4th spell. A water whip that absorbs electric energy.")</f>
        <v>Penny's 4th spell. A water whip that absorbs electric energy.</v>
      </c>
      <c r="O1297" s="42"/>
      <c r="P1297" s="42"/>
      <c r="Q1297" s="42"/>
      <c r="R1297" s="42"/>
      <c r="S1297" s="42"/>
      <c r="T1297" s="42"/>
      <c r="U1297" s="42"/>
      <c r="V1297" s="42"/>
      <c r="W1297" s="42"/>
      <c r="X1297" s="42"/>
      <c r="Y1297" s="42"/>
      <c r="Z1297" s="42"/>
    </row>
    <row r="1298">
      <c r="A1298" s="41" t="str">
        <f>IFERROR(__xludf.DUMMYFUNCTION("""COMPUTED_VALUE"""),"S-170")</f>
        <v>S-170</v>
      </c>
      <c r="B1298" s="42" t="str">
        <f>IFERROR(__xludf.DUMMYFUNCTION("""COMPUTED_VALUE"""),"Spell")</f>
        <v>Spell</v>
      </c>
      <c r="C1298" s="42" t="str">
        <f>IFERROR(__xludf.DUMMYFUNCTION("""COMPUTED_VALUE"""),"Akur Kiro")</f>
        <v>Akur Kiro</v>
      </c>
      <c r="D1298" s="42" t="str">
        <f>IFERROR(__xludf.DUMMYFUNCTION("""COMPUTED_VALUE"""),"Penny")</f>
        <v>Penny</v>
      </c>
      <c r="E1298" s="42">
        <f>IFERROR(__xludf.DUMMYFUNCTION("""COMPUTED_VALUE"""),3.0)</f>
        <v>3</v>
      </c>
      <c r="F1298" s="42" t="str">
        <f>IFERROR(__xludf.DUMMYFUNCTION("""COMPUTED_VALUE"""),"AD")</f>
        <v>AD</v>
      </c>
      <c r="G1298" s="42" t="str">
        <f>IFERROR(__xludf.DUMMYFUNCTION("""COMPUTED_VALUE"""),"None")</f>
        <v>None</v>
      </c>
      <c r="H1298" s="42" t="str">
        <f>IFERROR(__xludf.DUMMYFUNCTION("""COMPUTED_VALUE"""),"Water")</f>
        <v>Water</v>
      </c>
      <c r="I1298" s="43" t="str">
        <f>IFERROR(__xludf.DUMMYFUNCTION("""COMPUTED_VALUE"""),"Damage your opponent's Spell Book when you win the Battle as an Attacker. Your opponent cannot apply the effects of their PARTNER and EVENT cards during the Battle.")</f>
        <v>Damage your opponent's Spell Book when you win the Battle as an Attacker. Your opponent cannot apply the effects of their PARTNER and EVENT cards during the Battle.</v>
      </c>
      <c r="J1298" s="42" t="str">
        <f>IFERROR(__xludf.DUMMYFUNCTION("""COMPUTED_VALUE"""),"+4000")</f>
        <v>+4000</v>
      </c>
      <c r="K1298" s="42">
        <f>IFERROR(__xludf.DUMMYFUNCTION("""COMPUTED_VALUE"""),2.0)</f>
        <v>2</v>
      </c>
      <c r="L1298" s="42" t="str">
        <f>IFERROR(__xludf.DUMMYFUNCTION("""COMPUTED_VALUE"""),"Dawn of the Ancients, Series 4, Level 5")</f>
        <v>Dawn of the Ancients, Series 4, Level 5</v>
      </c>
      <c r="M1298" s="42" t="str">
        <f>IFERROR(__xludf.DUMMYFUNCTION("""COMPUTED_VALUE"""),"[C]")</f>
        <v>[C]</v>
      </c>
      <c r="N1298" s="42" t="str">
        <f>IFERROR(__xludf.DUMMYFUNCTION("""COMPUTED_VALUE"""),"Penny's 5th spell. Many water blades attack the opponent.")</f>
        <v>Penny's 5th spell. Many water blades attack the opponent.</v>
      </c>
      <c r="O1298" s="42"/>
      <c r="P1298" s="42"/>
      <c r="Q1298" s="42"/>
      <c r="R1298" s="42"/>
      <c r="S1298" s="42"/>
      <c r="T1298" s="42"/>
      <c r="U1298" s="42"/>
      <c r="V1298" s="42"/>
      <c r="W1298" s="42"/>
      <c r="X1298" s="42"/>
      <c r="Y1298" s="42"/>
      <c r="Z1298" s="42"/>
    </row>
    <row r="1299">
      <c r="A1299" s="41" t="str">
        <f>IFERROR(__xludf.DUMMYFUNCTION("""COMPUTED_VALUE"""),"S-171")</f>
        <v>S-171</v>
      </c>
      <c r="B1299" s="42" t="str">
        <f>IFERROR(__xludf.DUMMYFUNCTION("""COMPUTED_VALUE"""),"Spell")</f>
        <v>Spell</v>
      </c>
      <c r="C1299" s="42" t="str">
        <f>IFERROR(__xludf.DUMMYFUNCTION("""COMPUTED_VALUE"""),"Aku Rouk")</f>
        <v>Aku Rouk</v>
      </c>
      <c r="D1299" s="42" t="str">
        <f>IFERROR(__xludf.DUMMYFUNCTION("""COMPUTED_VALUE"""),"Penny")</f>
        <v>Penny</v>
      </c>
      <c r="E1299" s="42">
        <f>IFERROR(__xludf.DUMMYFUNCTION("""COMPUTED_VALUE"""),1.0)</f>
        <v>1</v>
      </c>
      <c r="F1299" s="42" t="str">
        <f>IFERROR(__xludf.DUMMYFUNCTION("""COMPUTED_VALUE"""),"A")</f>
        <v>A</v>
      </c>
      <c r="G1299" s="42" t="str">
        <f>IFERROR(__xludf.DUMMYFUNCTION("""COMPUTED_VALUE"""),"None")</f>
        <v>None</v>
      </c>
      <c r="H1299" s="42" t="str">
        <f>IFERROR(__xludf.DUMMYFUNCTION("""COMPUTED_VALUE"""),"Water")</f>
        <v>Water</v>
      </c>
      <c r="I1299" s="43" t="str">
        <f>IFERROR(__xludf.DUMMYFUNCTION("""COMPUTED_VALUE"""),"[STAY] Add the text below to your Penny MAMODO card until your next END PHASE: (Attack)[DECLARE TO USE) This card may Attack without using a SPELL card (Total Power=6000, Damage=1).")</f>
        <v>[STAY] Add the text below to your Penny MAMODO card until your next END PHASE: (Attack)[DECLARE TO USE) This card may Attack without using a SPELL card (Total Power=6000, Damage=1).</v>
      </c>
      <c r="J1299" s="42" t="str">
        <f>IFERROR(__xludf.DUMMYFUNCTION("""COMPUTED_VALUE"""),"Special")</f>
        <v>Special</v>
      </c>
      <c r="K1299" s="42" t="str">
        <f>IFERROR(__xludf.DUMMYFUNCTION("""COMPUTED_VALUE"""),"-")</f>
        <v>-</v>
      </c>
      <c r="L1299" s="42" t="str">
        <f>IFERROR(__xludf.DUMMYFUNCTION("""COMPUTED_VALUE"""),"Dawn of the Ancients, Series 4, Level 5")</f>
        <v>Dawn of the Ancients, Series 4, Level 5</v>
      </c>
      <c r="M1299" s="42" t="str">
        <f>IFERROR(__xludf.DUMMYFUNCTION("""COMPUTED_VALUE"""),"[C]")</f>
        <v>[C]</v>
      </c>
      <c r="N1299" s="42" t="str">
        <f>IFERROR(__xludf.DUMMYFUNCTION("""COMPUTED_VALUE"""),"Penny's 6th spell. It equips Penny with evil water claws and enables her to attack with them.")</f>
        <v>Penny's 6th spell. It equips Penny with evil water claws and enables her to attack with them.</v>
      </c>
      <c r="O1299" s="42"/>
      <c r="P1299" s="42"/>
      <c r="Q1299" s="42"/>
      <c r="R1299" s="42"/>
      <c r="S1299" s="42"/>
      <c r="T1299" s="42"/>
      <c r="U1299" s="42"/>
      <c r="V1299" s="42"/>
      <c r="W1299" s="42"/>
      <c r="X1299" s="42"/>
      <c r="Y1299" s="42"/>
      <c r="Z1299" s="42"/>
    </row>
    <row r="1300">
      <c r="A1300" s="41" t="str">
        <f>IFERROR(__xludf.DUMMYFUNCTION("""COMPUTED_VALUE"""),"S-172")</f>
        <v>S-172</v>
      </c>
      <c r="B1300" s="42" t="str">
        <f>IFERROR(__xludf.DUMMYFUNCTION("""COMPUTED_VALUE"""),"Spell")</f>
        <v>Spell</v>
      </c>
      <c r="C1300" s="42" t="str">
        <f>IFERROR(__xludf.DUMMYFUNCTION("""COMPUTED_VALUE"""),"So Giaku")</f>
        <v>So Giaku</v>
      </c>
      <c r="D1300" s="42" t="str">
        <f>IFERROR(__xludf.DUMMYFUNCTION("""COMPUTED_VALUE"""),"Penny")</f>
        <v>Penny</v>
      </c>
      <c r="E1300" s="42">
        <f>IFERROR(__xludf.DUMMYFUNCTION("""COMPUTED_VALUE"""),6.0)</f>
        <v>6</v>
      </c>
      <c r="F1300" s="42" t="str">
        <f>IFERROR(__xludf.DUMMYFUNCTION("""COMPUTED_VALUE"""),"AD")</f>
        <v>AD</v>
      </c>
      <c r="G1300" s="42" t="str">
        <f>IFERROR(__xludf.DUMMYFUNCTION("""COMPUTED_VALUE"""),"Superior")</f>
        <v>Superior</v>
      </c>
      <c r="H1300" s="42" t="str">
        <f>IFERROR(__xludf.DUMMYFUNCTION("""COMPUTED_VALUE"""),"Water")</f>
        <v>Water</v>
      </c>
      <c r="I1300" s="43" t="str">
        <f>IFERROR(__xludf.DUMMYFUNCTION("""COMPUTED_VALUE"""),"Damage your opponent's Spell Book when you win the Battle as an Attacker. Your opponent can neither SACRIFICE nor PROTECT their Spell Book from this SPELL card's Damage unless they reduce their MP by 3.")</f>
        <v>Damage your opponent's Spell Book when you win the Battle as an Attacker. Your opponent can neither SACRIFICE nor PROTECT their Spell Book from this SPELL card's Damage unless they reduce their MP by 3.</v>
      </c>
      <c r="J1300" s="42" t="str">
        <f>IFERROR(__xludf.DUMMYFUNCTION("""COMPUTED_VALUE"""),"+6000")</f>
        <v>+6000</v>
      </c>
      <c r="K1300" s="42">
        <f>IFERROR(__xludf.DUMMYFUNCTION("""COMPUTED_VALUE"""),3.0)</f>
        <v>3</v>
      </c>
      <c r="L1300" s="42" t="str">
        <f>IFERROR(__xludf.DUMMYFUNCTION("""COMPUTED_VALUE"""),"Dawn of the Ancients, Series 4, Level 5")</f>
        <v>Dawn of the Ancients, Series 4, Level 5</v>
      </c>
      <c r="M1300" s="42" t="str">
        <f>IFERROR(__xludf.DUMMYFUNCTION("""COMPUTED_VALUE"""),"[R]")</f>
        <v>[R]</v>
      </c>
      <c r="N1300" s="42" t="str">
        <f>IFERROR(__xludf.DUMMYFUNCTION("""COMPUTED_VALUE"""),"Penny's 7th spell. ""Uri, we shall make it! Our best spell!""")</f>
        <v>Penny's 7th spell. "Uri, we shall make it! Our best spell!"</v>
      </c>
      <c r="O1300" s="42"/>
      <c r="P1300" s="42"/>
      <c r="Q1300" s="42"/>
      <c r="R1300" s="42"/>
      <c r="S1300" s="42"/>
      <c r="T1300" s="42"/>
      <c r="U1300" s="42"/>
      <c r="V1300" s="42"/>
      <c r="W1300" s="42"/>
      <c r="X1300" s="42"/>
      <c r="Y1300" s="42"/>
      <c r="Z1300" s="42"/>
    </row>
    <row r="1301">
      <c r="A1301" s="41" t="str">
        <f>IFERROR(__xludf.DUMMYFUNCTION("""COMPUTED_VALUE"""),"S-173")</f>
        <v>S-173</v>
      </c>
      <c r="B1301" s="42" t="str">
        <f>IFERROR(__xludf.DUMMYFUNCTION("""COMPUTED_VALUE"""),"Spell")</f>
        <v>Spell</v>
      </c>
      <c r="C1301" s="42" t="str">
        <f>IFERROR(__xludf.DUMMYFUNCTION("""COMPUTED_VALUE"""),"Radom")</f>
        <v>Radom</v>
      </c>
      <c r="D1301" s="42" t="str">
        <f>IFERROR(__xludf.DUMMYFUNCTION("""COMPUTED_VALUE"""),"Zofis")</f>
        <v>Zofis</v>
      </c>
      <c r="E1301" s="42">
        <f>IFERROR(__xludf.DUMMYFUNCTION("""COMPUTED_VALUE"""),3.0)</f>
        <v>3</v>
      </c>
      <c r="F1301" s="42" t="str">
        <f>IFERROR(__xludf.DUMMYFUNCTION("""COMPUTED_VALUE"""),"AD")</f>
        <v>AD</v>
      </c>
      <c r="G1301" s="42" t="str">
        <f>IFERROR(__xludf.DUMMYFUNCTION("""COMPUTED_VALUE"""),"None")</f>
        <v>None</v>
      </c>
      <c r="H1301" s="42" t="str">
        <f>IFERROR(__xludf.DUMMYFUNCTION("""COMPUTED_VALUE"""),"Fire")</f>
        <v>Fire</v>
      </c>
      <c r="I1301" s="43" t="str">
        <f>IFERROR(__xludf.DUMMYFUNCTION("""COMPUTED_VALUE"""),"Damage your opponent's Spell Book when you win the Battle as an Attacker. The Damage of this SPELL card is considered to be the same as the number of PARTNER cards in your opponent's Discard Pile times 1.")</f>
        <v>Damage your opponent's Spell Book when you win the Battle as an Attacker. The Damage of this SPELL card is considered to be the same as the number of PARTNER cards in your opponent's Discard Pile times 1.</v>
      </c>
      <c r="J1301" s="42" t="str">
        <f>IFERROR(__xludf.DUMMYFUNCTION("""COMPUTED_VALUE"""),"+4000")</f>
        <v>+4000</v>
      </c>
      <c r="K1301" s="42" t="str">
        <f>IFERROR(__xludf.DUMMYFUNCTION("""COMPUTED_VALUE"""),"?")</f>
        <v>?</v>
      </c>
      <c r="L1301" s="42" t="str">
        <f>IFERROR(__xludf.DUMMYFUNCTION("""COMPUTED_VALUE"""),"Dawn of the Ancients, Series 4, Level 5")</f>
        <v>Dawn of the Ancients, Series 4, Level 5</v>
      </c>
      <c r="M1301" s="42" t="str">
        <f>IFERROR(__xludf.DUMMYFUNCTION("""COMPUTED_VALUE"""),"[R]")</f>
        <v>[R]</v>
      </c>
      <c r="N1301" s="42" t="str">
        <f>IFERROR(__xludf.DUMMYFUNCTION("""COMPUTED_VALUE"""),"Zofis' 1st spell. It fires a flame that detonates like a bomb to blow the opponent away.")</f>
        <v>Zofis' 1st spell. It fires a flame that detonates like a bomb to blow the opponent away.</v>
      </c>
      <c r="O1301" s="42"/>
      <c r="P1301" s="42"/>
      <c r="Q1301" s="42"/>
      <c r="R1301" s="42"/>
      <c r="S1301" s="42"/>
      <c r="T1301" s="42"/>
      <c r="U1301" s="42"/>
      <c r="V1301" s="42"/>
      <c r="W1301" s="42"/>
      <c r="X1301" s="42"/>
      <c r="Y1301" s="42"/>
      <c r="Z1301" s="42"/>
    </row>
    <row r="1302">
      <c r="A1302" s="41" t="str">
        <f>IFERROR(__xludf.DUMMYFUNCTION("""COMPUTED_VALUE"""),"S-174")</f>
        <v>S-174</v>
      </c>
      <c r="B1302" s="42" t="str">
        <f>IFERROR(__xludf.DUMMYFUNCTION("""COMPUTED_VALUE"""),"Spell")</f>
        <v>Spell</v>
      </c>
      <c r="C1302" s="42" t="str">
        <f>IFERROR(__xludf.DUMMYFUNCTION("""COMPUTED_VALUE"""),"Blazudo")</f>
        <v>Blazudo</v>
      </c>
      <c r="D1302" s="42" t="str">
        <f>IFERROR(__xludf.DUMMYFUNCTION("""COMPUTED_VALUE"""),"Grisor")</f>
        <v>Grisor</v>
      </c>
      <c r="E1302" s="42">
        <f>IFERROR(__xludf.DUMMYFUNCTION("""COMPUTED_VALUE"""),2.0)</f>
        <v>2</v>
      </c>
      <c r="F1302" s="42" t="str">
        <f>IFERROR(__xludf.DUMMYFUNCTION("""COMPUTED_VALUE"""),"AD")</f>
        <v>AD</v>
      </c>
      <c r="G1302" s="42" t="str">
        <f>IFERROR(__xludf.DUMMYFUNCTION("""COMPUTED_VALUE"""),"None")</f>
        <v>None</v>
      </c>
      <c r="H1302" s="42" t="str">
        <f>IFERROR(__xludf.DUMMYFUNCTION("""COMPUTED_VALUE"""),"Fire")</f>
        <v>Fire</v>
      </c>
      <c r="I1302" s="43" t="str">
        <f>IFERROR(__xludf.DUMMYFUNCTION("""COMPUTED_VALUE"""),"Damage your opponent's Spell Book when you win the Battle as an Attacker. The Damage of this SPELL card is 0 when the Total Power of this SPELL card is less than 6000, the Damage is 2 when the Total Power is 6000 or more but less than 8000, the Damage is "&amp;"3 when the Total Power is 8000 or more but less than 10000, and the Damage is 4 when the Total Power is 10000 or more.")</f>
        <v>Damage your opponent's Spell Book when you win the Battle as an Attacker. The Damage of this SPELL card is 0 when the Total Power of this SPELL card is less than 6000, the Damage is 2 when the Total Power is 6000 or more but less than 8000, the Damage is 3 when the Total Power is 8000 or more but less than 10000, and the Damage is 4 when the Total Power is 10000 or more.</v>
      </c>
      <c r="J1302" s="42" t="str">
        <f>IFERROR(__xludf.DUMMYFUNCTION("""COMPUTED_VALUE"""),"+1000")</f>
        <v>+1000</v>
      </c>
      <c r="K1302" s="42" t="str">
        <f>IFERROR(__xludf.DUMMYFUNCTION("""COMPUTED_VALUE"""),"?")</f>
        <v>?</v>
      </c>
      <c r="L1302" s="42" t="str">
        <f>IFERROR(__xludf.DUMMYFUNCTION("""COMPUTED_VALUE"""),"-")</f>
        <v>-</v>
      </c>
      <c r="M1302" s="42" t="str">
        <f>IFERROR(__xludf.DUMMYFUNCTION("""COMPUTED_VALUE"""),"[C]")</f>
        <v>[C]</v>
      </c>
      <c r="N1302" s="42" t="str">
        <f>IFERROR(__xludf.DUMMYFUNCTION("""COMPUTED_VALUE"""),"Grisor's 1st spell. At first, it had no more power than the flame of a match...")</f>
        <v>Grisor's 1st spell. At first, it had no more power than the flame of a match...</v>
      </c>
      <c r="O1302" s="42"/>
      <c r="P1302" s="42"/>
      <c r="Q1302" s="42"/>
      <c r="R1302" s="42"/>
      <c r="S1302" s="42"/>
      <c r="T1302" s="42"/>
      <c r="U1302" s="42"/>
      <c r="V1302" s="42"/>
      <c r="W1302" s="42"/>
      <c r="X1302" s="42"/>
      <c r="Y1302" s="42"/>
      <c r="Z1302" s="42"/>
    </row>
    <row r="1303">
      <c r="A1303" s="41" t="str">
        <f>IFERROR(__xludf.DUMMYFUNCTION("""COMPUTED_VALUE"""),"S-175")</f>
        <v>S-175</v>
      </c>
      <c r="B1303" s="42" t="str">
        <f>IFERROR(__xludf.DUMMYFUNCTION("""COMPUTED_VALUE"""),"Spell")</f>
        <v>Spell</v>
      </c>
      <c r="C1303" s="42" t="str">
        <f>IFERROR(__xludf.DUMMYFUNCTION("""COMPUTED_VALUE"""),"Riapol")</f>
        <v>Riapol</v>
      </c>
      <c r="D1303" s="42" t="str">
        <f>IFERROR(__xludf.DUMMYFUNCTION("""COMPUTED_VALUE"""),"Grisor")</f>
        <v>Grisor</v>
      </c>
      <c r="E1303" s="42">
        <f>IFERROR(__xludf.DUMMYFUNCTION("""COMPUTED_VALUE"""),2.0)</f>
        <v>2</v>
      </c>
      <c r="F1303" s="42" t="str">
        <f>IFERROR(__xludf.DUMMYFUNCTION("""COMPUTED_VALUE"""),"A")</f>
        <v>A</v>
      </c>
      <c r="G1303" s="42" t="str">
        <f>IFERROR(__xludf.DUMMYFUNCTION("""COMPUTED_VALUE"""),"None")</f>
        <v>None</v>
      </c>
      <c r="H1303" s="42" t="str">
        <f>IFERROR(__xludf.DUMMYFUNCTION("""COMPUTED_VALUE"""),"-")</f>
        <v>-</v>
      </c>
      <c r="I1303" s="43" t="str">
        <f>IFERROR(__xludf.DUMMYFUNCTION("""COMPUTED_VALUE"""),"Select 1 Grisor (Transformed) MAMODO card from any page of your Spell Book and place it on a Grisor MAMODO card.")</f>
        <v>Select 1 Grisor (Transformed) MAMODO card from any page of your Spell Book and place it on a Grisor MAMODO card.</v>
      </c>
      <c r="J1303" s="42" t="str">
        <f>IFERROR(__xludf.DUMMYFUNCTION("""COMPUTED_VALUE"""),"Special")</f>
        <v>Special</v>
      </c>
      <c r="K1303" s="42" t="str">
        <f>IFERROR(__xludf.DUMMYFUNCTION("""COMPUTED_VALUE"""),"-")</f>
        <v>-</v>
      </c>
      <c r="L1303" s="42" t="str">
        <f>IFERROR(__xludf.DUMMYFUNCTION("""COMPUTED_VALUE"""),"-")</f>
        <v>-</v>
      </c>
      <c r="M1303" s="42" t="str">
        <f>IFERROR(__xludf.DUMMYFUNCTION("""COMPUTED_VALUE"""),"[C]")</f>
        <v>[C]</v>
      </c>
      <c r="N1303" s="42" t="str">
        <f>IFERROR(__xludf.DUMMYFUNCTION("""COMPUTED_VALUE"""),"Grisor's 2nd spell. Through the power of the magic mirror, Grisor transforms into a ferocious figure.")</f>
        <v>Grisor's 2nd spell. Through the power of the magic mirror, Grisor transforms into a ferocious figure.</v>
      </c>
      <c r="O1303" s="42"/>
      <c r="P1303" s="42"/>
      <c r="Q1303" s="42"/>
      <c r="R1303" s="42"/>
      <c r="S1303" s="42"/>
      <c r="T1303" s="42"/>
      <c r="U1303" s="42"/>
      <c r="V1303" s="42"/>
      <c r="W1303" s="42"/>
      <c r="X1303" s="42"/>
      <c r="Y1303" s="42"/>
      <c r="Z1303" s="42"/>
    </row>
    <row r="1304">
      <c r="A1304" s="41" t="str">
        <f>IFERROR(__xludf.DUMMYFUNCTION("""COMPUTED_VALUE"""),"S-176")</f>
        <v>S-176</v>
      </c>
      <c r="B1304" s="42" t="str">
        <f>IFERROR(__xludf.DUMMYFUNCTION("""COMPUTED_VALUE"""),"Spell")</f>
        <v>Spell</v>
      </c>
      <c r="C1304" s="42" t="str">
        <f>IFERROR(__xludf.DUMMYFUNCTION("""COMPUTED_VALUE"""),"Magma Garan")</f>
        <v>Magma Garan</v>
      </c>
      <c r="D1304" s="42" t="str">
        <f>IFERROR(__xludf.DUMMYFUNCTION("""COMPUTED_VALUE"""),"Grisor")</f>
        <v>Grisor</v>
      </c>
      <c r="E1304" s="42">
        <f>IFERROR(__xludf.DUMMYFUNCTION("""COMPUTED_VALUE"""),3.0)</f>
        <v>3</v>
      </c>
      <c r="F1304" s="42" t="str">
        <f>IFERROR(__xludf.DUMMYFUNCTION("""COMPUTED_VALUE"""),"A")</f>
        <v>A</v>
      </c>
      <c r="G1304" s="42" t="str">
        <f>IFERROR(__xludf.DUMMYFUNCTION("""COMPUTED_VALUE"""),"Intermediate")</f>
        <v>Intermediate</v>
      </c>
      <c r="H1304" s="42" t="str">
        <f>IFERROR(__xludf.DUMMYFUNCTION("""COMPUTED_VALUE"""),"Fire")</f>
        <v>Fire</v>
      </c>
      <c r="I1304" s="43" t="str">
        <f>IFERROR(__xludf.DUMMYFUNCTION("""COMPUTED_VALUE"""),"Damage your opponent's Spell Book when you win the Battle as an Attacker. [STAY] Regardless of your opponent's Power during this Battle, add 2000 Power to both players' ""Fire"" Attribute SPELL cards until the END PHASE of your next turn (this effect cann"&amp;"ot be duplicated).")</f>
        <v>Damage your opponent's Spell Book when you win the Battle as an Attacker. [STAY] Regardless of your opponent's Power during this Battle, add 2000 Power to both players' "Fire" Attribute SPELL cards until the END PHASE of your next turn (this effect cannot be duplicated).</v>
      </c>
      <c r="J1304" s="42" t="str">
        <f>IFERROR(__xludf.DUMMYFUNCTION("""COMPUTED_VALUE"""),"+4000")</f>
        <v>+4000</v>
      </c>
      <c r="K1304" s="42">
        <f>IFERROR(__xludf.DUMMYFUNCTION("""COMPUTED_VALUE"""),2.0)</f>
        <v>2</v>
      </c>
      <c r="L1304" s="42" t="str">
        <f>IFERROR(__xludf.DUMMYFUNCTION("""COMPUTED_VALUE"""),"-")</f>
        <v>-</v>
      </c>
      <c r="M1304" s="42" t="str">
        <f>IFERROR(__xludf.DUMMYFUNCTION("""COMPUTED_VALUE"""),"[R]")</f>
        <v>[R]</v>
      </c>
      <c r="N1304" s="42" t="str">
        <f>IFERROR(__xludf.DUMMYFUNCTION("""COMPUTED_VALUE"""),"Grisor's 3rd spell. A spell that controls lava. It upheaves the ground as magma erupts from below!")</f>
        <v>Grisor's 3rd spell. A spell that controls lava. It upheaves the ground as magma erupts from below!</v>
      </c>
      <c r="O1304" s="42"/>
      <c r="P1304" s="42"/>
      <c r="Q1304" s="42"/>
      <c r="R1304" s="42"/>
      <c r="S1304" s="42"/>
      <c r="T1304" s="42"/>
      <c r="U1304" s="42"/>
      <c r="V1304" s="42"/>
      <c r="W1304" s="42"/>
      <c r="X1304" s="42"/>
      <c r="Y1304" s="42"/>
      <c r="Z1304" s="42"/>
    </row>
    <row r="1305">
      <c r="A1305" s="41" t="str">
        <f>IFERROR(__xludf.DUMMYFUNCTION("""COMPUTED_VALUE"""),"S-177")</f>
        <v>S-177</v>
      </c>
      <c r="B1305" s="42" t="str">
        <f>IFERROR(__xludf.DUMMYFUNCTION("""COMPUTED_VALUE"""),"Spell")</f>
        <v>Spell</v>
      </c>
      <c r="C1305" s="42" t="str">
        <f>IFERROR(__xludf.DUMMYFUNCTION("""COMPUTED_VALUE"""),"Gorgogeo")</f>
        <v>Gorgogeo</v>
      </c>
      <c r="D1305" s="42" t="str">
        <f>IFERROR(__xludf.DUMMYFUNCTION("""COMPUTED_VALUE"""),"Goren")</f>
        <v>Goren</v>
      </c>
      <c r="E1305" s="42">
        <f>IFERROR(__xludf.DUMMYFUNCTION("""COMPUTED_VALUE"""),1.0)</f>
        <v>1</v>
      </c>
      <c r="F1305" s="42" t="str">
        <f>IFERROR(__xludf.DUMMYFUNCTION("""COMPUTED_VALUE"""),"A")</f>
        <v>A</v>
      </c>
      <c r="G1305" s="42" t="str">
        <f>IFERROR(__xludf.DUMMYFUNCTION("""COMPUTED_VALUE"""),"None")</f>
        <v>None</v>
      </c>
      <c r="H1305" s="42" t="str">
        <f>IFERROR(__xludf.DUMMYFUNCTION("""COMPUTED_VALUE"""),"-")</f>
        <v>-</v>
      </c>
      <c r="I1305" s="43" t="str">
        <f>IFERROR(__xludf.DUMMYFUNCTION("""COMPUTED_VALUE"""),"[STAY] Select 1 of your opponent's in-play MAMODO cards when you win the Battle as an Attacker. Your opponent can neither play SPELL cards for, nor apply the effects of the selected MAMODO until the END PHASE of the next turn.")</f>
        <v>[STAY] Select 1 of your opponent's in-play MAMODO cards when you win the Battle as an Attacker. Your opponent can neither play SPELL cards for, nor apply the effects of the selected MAMODO until the END PHASE of the next turn.</v>
      </c>
      <c r="J1305" s="42" t="str">
        <f>IFERROR(__xludf.DUMMYFUNCTION("""COMPUTED_VALUE"""),"+2000")</f>
        <v>+2000</v>
      </c>
      <c r="K1305" s="42" t="str">
        <f>IFERROR(__xludf.DUMMYFUNCTION("""COMPUTED_VALUE"""),"-")</f>
        <v>-</v>
      </c>
      <c r="L1305" s="42" t="str">
        <f>IFERROR(__xludf.DUMMYFUNCTION("""COMPUTED_VALUE"""),"Dawn of the Ancients, Series 4, Level 5")</f>
        <v>Dawn of the Ancients, Series 4, Level 5</v>
      </c>
      <c r="M1305" s="42" t="str">
        <f>IFERROR(__xludf.DUMMYFUNCTION("""COMPUTED_VALUE"""),"[U]")</f>
        <v>[U]</v>
      </c>
      <c r="N1305" s="42" t="str">
        <f>IFERROR(__xludf.DUMMYFUNCTION("""COMPUTED_VALUE"""),"It petrifies the opponent temporarily and makes them freeze.")</f>
        <v>It petrifies the opponent temporarily and makes them freeze.</v>
      </c>
      <c r="O1305" s="42"/>
      <c r="P1305" s="42"/>
      <c r="Q1305" s="42"/>
      <c r="R1305" s="42"/>
      <c r="S1305" s="42"/>
      <c r="T1305" s="42"/>
      <c r="U1305" s="42"/>
      <c r="V1305" s="42"/>
      <c r="W1305" s="42"/>
      <c r="X1305" s="42"/>
      <c r="Y1305" s="42"/>
      <c r="Z1305" s="42"/>
    </row>
    <row r="1306">
      <c r="A1306" s="41" t="str">
        <f>IFERROR(__xludf.DUMMYFUNCTION("""COMPUTED_VALUE"""),"S-178")</f>
        <v>S-178</v>
      </c>
      <c r="B1306" s="42" t="str">
        <f>IFERROR(__xludf.DUMMYFUNCTION("""COMPUTED_VALUE"""),"Spell")</f>
        <v>Spell</v>
      </c>
      <c r="C1306" s="42" t="str">
        <f>IFERROR(__xludf.DUMMYFUNCTION("""COMPUTED_VALUE"""),"Medoruk")</f>
        <v>Medoruk</v>
      </c>
      <c r="D1306" s="42" t="str">
        <f>IFERROR(__xludf.DUMMYFUNCTION("""COMPUTED_VALUE"""),"Goren")</f>
        <v>Goren</v>
      </c>
      <c r="E1306" s="42">
        <f>IFERROR(__xludf.DUMMYFUNCTION("""COMPUTED_VALUE"""),1.0)</f>
        <v>1</v>
      </c>
      <c r="F1306" s="42" t="str">
        <f>IFERROR(__xludf.DUMMYFUNCTION("""COMPUTED_VALUE"""),"AD")</f>
        <v>AD</v>
      </c>
      <c r="G1306" s="42" t="str">
        <f>IFERROR(__xludf.DUMMYFUNCTION("""COMPUTED_VALUE"""),"None")</f>
        <v>None</v>
      </c>
      <c r="H1306" s="42" t="str">
        <f>IFERROR(__xludf.DUMMYFUNCTION("""COMPUTED_VALUE"""),"-")</f>
        <v>-</v>
      </c>
      <c r="I1306" s="43" t="str">
        <f>IFERROR(__xludf.DUMMYFUNCTION("""COMPUTED_VALUE"""),"Damage your opponent's Spell Book when you win the Battle as an Attacker.")</f>
        <v>Damage your opponent's Spell Book when you win the Battle as an Attacker.</v>
      </c>
      <c r="J1306" s="42" t="str">
        <f>IFERROR(__xludf.DUMMYFUNCTION("""COMPUTED_VALUE"""),"+2000")</f>
        <v>+2000</v>
      </c>
      <c r="K1306" s="42">
        <f>IFERROR(__xludf.DUMMYFUNCTION("""COMPUTED_VALUE"""),2.0)</f>
        <v>2</v>
      </c>
      <c r="L1306" s="42" t="str">
        <f>IFERROR(__xludf.DUMMYFUNCTION("""COMPUTED_VALUE"""),"Dawn of the Ancients, Series 4, Level 5")</f>
        <v>Dawn of the Ancients, Series 4, Level 5</v>
      </c>
      <c r="M1306" s="42" t="str">
        <f>IFERROR(__xludf.DUMMYFUNCTION("""COMPUTED_VALUE"""),"[R]")</f>
        <v>[R]</v>
      </c>
      <c r="N1306" s="42" t="str">
        <f>IFERROR(__xludf.DUMMYFUNCTION("""COMPUTED_VALUE"""),"It attacks opponents with snakes in its head.")</f>
        <v>It attacks opponents with snakes in its head.</v>
      </c>
      <c r="O1306" s="42"/>
      <c r="P1306" s="42"/>
      <c r="Q1306" s="42"/>
      <c r="R1306" s="42"/>
      <c r="S1306" s="42"/>
      <c r="T1306" s="42"/>
      <c r="U1306" s="42"/>
      <c r="V1306" s="42"/>
      <c r="W1306" s="42"/>
      <c r="X1306" s="42"/>
      <c r="Y1306" s="42"/>
      <c r="Z1306" s="42"/>
    </row>
    <row r="1307">
      <c r="A1307" s="41" t="str">
        <f>IFERROR(__xludf.DUMMYFUNCTION("""COMPUTED_VALUE"""),"S-179")</f>
        <v>S-179</v>
      </c>
      <c r="B1307" s="42" t="str">
        <f>IFERROR(__xludf.DUMMYFUNCTION("""COMPUTED_VALUE"""),"Spell")</f>
        <v>Spell</v>
      </c>
      <c r="C1307" s="42" t="str">
        <f>IFERROR(__xludf.DUMMYFUNCTION("""COMPUTED_VALUE"""),"Dioga Gorgogeo")</f>
        <v>Dioga Gorgogeo</v>
      </c>
      <c r="D1307" s="42" t="str">
        <f>IFERROR(__xludf.DUMMYFUNCTION("""COMPUTED_VALUE"""),"Goren")</f>
        <v>Goren</v>
      </c>
      <c r="E1307" s="42">
        <f>IFERROR(__xludf.DUMMYFUNCTION("""COMPUTED_VALUE"""),4.0)</f>
        <v>4</v>
      </c>
      <c r="F1307" s="42" t="str">
        <f>IFERROR(__xludf.DUMMYFUNCTION("""COMPUTED_VALUE"""),"A")</f>
        <v>A</v>
      </c>
      <c r="G1307" s="42" t="str">
        <f>IFERROR(__xludf.DUMMYFUNCTION("""COMPUTED_VALUE"""),"Intermediate")</f>
        <v>Intermediate</v>
      </c>
      <c r="H1307" s="42" t="str">
        <f>IFERROR(__xludf.DUMMYFUNCTION("""COMPUTED_VALUE"""),"-")</f>
        <v>-</v>
      </c>
      <c r="I1307" s="43" t="str">
        <f>IFERROR(__xludf.DUMMYFUNCTION("""COMPUTED_VALUE"""),"Petrify 1 of your opponent's MAMODO cards when you win the Battle as an Attacker.")</f>
        <v>Petrify 1 of your opponent's MAMODO cards when you win the Battle as an Attacker.</v>
      </c>
      <c r="J1307" s="42" t="str">
        <f>IFERROR(__xludf.DUMMYFUNCTION("""COMPUTED_VALUE"""),"+4000")</f>
        <v>+4000</v>
      </c>
      <c r="K1307" s="42" t="str">
        <f>IFERROR(__xludf.DUMMYFUNCTION("""COMPUTED_VALUE"""),"-")</f>
        <v>-</v>
      </c>
      <c r="L1307" s="42" t="str">
        <f>IFERROR(__xludf.DUMMYFUNCTION("""COMPUTED_VALUE"""),"Dawn of the Ancients, Series 4, Level 5, The Best Booster 2")</f>
        <v>Dawn of the Ancients, Series 4, Level 5, The Best Booster 2</v>
      </c>
      <c r="M1307" s="42" t="str">
        <f>IFERROR(__xludf.DUMMYFUNCTION("""COMPUTED_VALUE"""),"[SR]")</f>
        <v>[SR]</v>
      </c>
      <c r="N1307" s="42" t="str">
        <f>IFERROR(__xludf.DUMMYFUNCTION("""COMPUTED_VALUE"""),"Once one gets influence by this spell, they will immediately be trapped in a lithograph.")</f>
        <v>Once one gets influence by this spell, they will immediately be trapped in a lithograph.</v>
      </c>
      <c r="O1307" s="42"/>
      <c r="P1307" s="42"/>
      <c r="Q1307" s="42"/>
      <c r="R1307" s="42"/>
      <c r="S1307" s="42"/>
      <c r="T1307" s="42"/>
      <c r="U1307" s="42"/>
      <c r="V1307" s="42"/>
      <c r="W1307" s="42"/>
      <c r="X1307" s="42"/>
      <c r="Y1307" s="42"/>
      <c r="Z1307" s="42"/>
    </row>
    <row r="1308">
      <c r="A1308" s="41" t="str">
        <f>IFERROR(__xludf.DUMMYFUNCTION("""COMPUTED_VALUE"""),"S-180")</f>
        <v>S-180</v>
      </c>
      <c r="B1308" s="42" t="str">
        <f>IFERROR(__xludf.DUMMYFUNCTION("""COMPUTED_VALUE"""),"Spell")</f>
        <v>Spell</v>
      </c>
      <c r="C1308" s="42" t="str">
        <f>IFERROR(__xludf.DUMMYFUNCTION("""COMPUTED_VALUE"""),"Poruk")</f>
        <v>Poruk</v>
      </c>
      <c r="D1308" s="42" t="str">
        <f>IFERROR(__xludf.DUMMYFUNCTION("""COMPUTED_VALUE"""),"Kanchomé")</f>
        <v>Kanchomé</v>
      </c>
      <c r="E1308" s="42">
        <f>IFERROR(__xludf.DUMMYFUNCTION("""COMPUTED_VALUE"""),1.0)</f>
        <v>1</v>
      </c>
      <c r="F1308" s="42" t="str">
        <f>IFERROR(__xludf.DUMMYFUNCTION("""COMPUTED_VALUE"""),"D")</f>
        <v>D</v>
      </c>
      <c r="G1308" s="42" t="str">
        <f>IFERROR(__xludf.DUMMYFUNCTION("""COMPUTED_VALUE"""),"None")</f>
        <v>None</v>
      </c>
      <c r="H1308" s="42" t="str">
        <f>IFERROR(__xludf.DUMMYFUNCTION("""COMPUTED_VALUE"""),"-")</f>
        <v>-</v>
      </c>
      <c r="I1308" s="43" t="str">
        <f>IFERROR(__xludf.DUMMYFUNCTION("""COMPUTED_VALUE"""),"[COUNTER] Negate your opponent's Attack and reduce your opponent's MP by 3 (maximum) when you win the Battle as a Defender.")</f>
        <v>[COUNTER] Negate your opponent's Attack and reduce your opponent's MP by 3 (maximum) when you win the Battle as a Defender.</v>
      </c>
      <c r="J1308" s="42" t="str">
        <f>IFERROR(__xludf.DUMMYFUNCTION("""COMPUTED_VALUE"""),"+4000")</f>
        <v>+4000</v>
      </c>
      <c r="K1308" s="42" t="str">
        <f>IFERROR(__xludf.DUMMYFUNCTION("""COMPUTED_VALUE"""),"-")</f>
        <v>-</v>
      </c>
      <c r="L1308" s="42" t="str">
        <f>IFERROR(__xludf.DUMMYFUNCTION("""COMPUTED_VALUE"""),"-")</f>
        <v>-</v>
      </c>
      <c r="M1308" s="42" t="str">
        <f>IFERROR(__xludf.DUMMYFUNCTION("""COMPUTED_VALUE"""),"[R]")</f>
        <v>[R]</v>
      </c>
      <c r="N1308" s="42" t="str">
        <f>IFERROR(__xludf.DUMMYFUNCTION("""COMPUTED_VALUE"""),"Kanchome's 1st spell. The true power of transformation lies in the art of deception.")</f>
        <v>Kanchome's 1st spell. The true power of transformation lies in the art of deception.</v>
      </c>
      <c r="O1308" s="42"/>
      <c r="P1308" s="42"/>
      <c r="Q1308" s="42"/>
      <c r="R1308" s="42"/>
      <c r="S1308" s="42"/>
      <c r="T1308" s="42"/>
      <c r="U1308" s="42"/>
      <c r="V1308" s="42"/>
      <c r="W1308" s="42"/>
      <c r="X1308" s="42"/>
      <c r="Y1308" s="42"/>
      <c r="Z1308" s="42"/>
    </row>
    <row r="1309">
      <c r="A1309" s="41" t="str">
        <f>IFERROR(__xludf.DUMMYFUNCTION("""COMPUTED_VALUE"""),"S-181")</f>
        <v>S-181</v>
      </c>
      <c r="B1309" s="42" t="str">
        <f>IFERROR(__xludf.DUMMYFUNCTION("""COMPUTED_VALUE"""),"Spell")</f>
        <v>Spell</v>
      </c>
      <c r="C1309" s="42" t="str">
        <f>IFERROR(__xludf.DUMMYFUNCTION("""COMPUTED_VALUE"""),"Giga La Seoshi")</f>
        <v>Giga La Seoshi</v>
      </c>
      <c r="D1309" s="42" t="str">
        <f>IFERROR(__xludf.DUMMYFUNCTION("""COMPUTED_VALUE"""),"Tia")</f>
        <v>Tia</v>
      </c>
      <c r="E1309" s="42">
        <f>IFERROR(__xludf.DUMMYFUNCTION("""COMPUTED_VALUE"""),2.0)</f>
        <v>2</v>
      </c>
      <c r="F1309" s="42" t="str">
        <f>IFERROR(__xludf.DUMMYFUNCTION("""COMPUTED_VALUE"""),"D")</f>
        <v>D</v>
      </c>
      <c r="G1309" s="42" t="str">
        <f>IFERROR(__xludf.DUMMYFUNCTION("""COMPUTED_VALUE"""),"Intermediate")</f>
        <v>Intermediate</v>
      </c>
      <c r="H1309" s="42" t="str">
        <f>IFERROR(__xludf.DUMMYFUNCTION("""COMPUTED_VALUE"""),"-")</f>
        <v>-</v>
      </c>
      <c r="I1309" s="43" t="str">
        <f>IFERROR(__xludf.DUMMYFUNCTION("""COMPUTED_VALUE"""),"Negate your opponent's Attack regardless of their Power if the Damage of their Attack is 2 or more. Then, Injure the MAMODO card that Attacked in the Battle.")</f>
        <v>Negate your opponent's Attack regardless of their Power if the Damage of their Attack is 2 or more. Then, Injure the MAMODO card that Attacked in the Battle.</v>
      </c>
      <c r="J1309" s="42" t="str">
        <f>IFERROR(__xludf.DUMMYFUNCTION("""COMPUTED_VALUE"""),"Special")</f>
        <v>Special</v>
      </c>
      <c r="K1309" s="42" t="str">
        <f>IFERROR(__xludf.DUMMYFUNCTION("""COMPUTED_VALUE"""),"-")</f>
        <v>-</v>
      </c>
      <c r="L1309" s="42" t="str">
        <f>IFERROR(__xludf.DUMMYFUNCTION("""COMPUTED_VALUE"""),"-")</f>
        <v>-</v>
      </c>
      <c r="M1309" s="42" t="str">
        <f>IFERROR(__xludf.DUMMYFUNCTION("""COMPUTED_VALUE"""),"[R]")</f>
        <v>[R]</v>
      </c>
      <c r="N1309" s="42" t="str">
        <f>IFERROR(__xludf.DUMMYFUNCTION("""COMPUTED_VALUE"""),"Tia's 4th spell. It bounces an opponent's attack right back at them. After a certain amount of time, the barrier will disappear.")</f>
        <v>Tia's 4th spell. It bounces an opponent's attack right back at them. After a certain amount of time, the barrier will disappear.</v>
      </c>
      <c r="O1309" s="42"/>
      <c r="P1309" s="42"/>
      <c r="Q1309" s="42"/>
      <c r="R1309" s="42"/>
      <c r="S1309" s="42"/>
      <c r="T1309" s="42"/>
      <c r="U1309" s="42"/>
      <c r="V1309" s="42"/>
      <c r="W1309" s="42"/>
      <c r="X1309" s="42"/>
      <c r="Y1309" s="42"/>
      <c r="Z1309" s="42"/>
    </row>
    <row r="1310">
      <c r="A1310" s="41" t="str">
        <f>IFERROR(__xludf.DUMMYFUNCTION("""COMPUTED_VALUE"""),"S-182")</f>
        <v>S-182</v>
      </c>
      <c r="B1310" s="42" t="str">
        <f>IFERROR(__xludf.DUMMYFUNCTION("""COMPUTED_VALUE"""),"Spell")</f>
        <v>Spell</v>
      </c>
      <c r="C1310" s="42" t="str">
        <f>IFERROR(__xludf.DUMMYFUNCTION("""COMPUTED_VALUE"""),"Wieshir")</f>
        <v>Wieshir</v>
      </c>
      <c r="D1310" s="42" t="str">
        <f>IFERROR(__xludf.DUMMYFUNCTION("""COMPUTED_VALUE"""),"Fein")</f>
        <v>Fein</v>
      </c>
      <c r="E1310" s="42">
        <f>IFERROR(__xludf.DUMMYFUNCTION("""COMPUTED_VALUE"""),1.0)</f>
        <v>1</v>
      </c>
      <c r="F1310" s="42" t="str">
        <f>IFERROR(__xludf.DUMMYFUNCTION("""COMPUTED_VALUE"""),"D")</f>
        <v>D</v>
      </c>
      <c r="G1310" s="42" t="str">
        <f>IFERROR(__xludf.DUMMYFUNCTION("""COMPUTED_VALUE"""),"None")</f>
        <v>None</v>
      </c>
      <c r="H1310" s="42" t="str">
        <f>IFERROR(__xludf.DUMMYFUNCTION("""COMPUTED_VALUE"""),"Wind")</f>
        <v>Wind</v>
      </c>
      <c r="I1310" s="43" t="str">
        <f>IFERROR(__xludf.DUMMYFUNCTION("""COMPUTED_VALUE"""),"Negate your opponent's Attack when you win the Battle as a Defender.")</f>
        <v>Negate your opponent's Attack when you win the Battle as a Defender.</v>
      </c>
      <c r="J1310" s="42" t="str">
        <f>IFERROR(__xludf.DUMMYFUNCTION("""COMPUTED_VALUE"""),"+5000")</f>
        <v>+5000</v>
      </c>
      <c r="K1310" s="42" t="str">
        <f>IFERROR(__xludf.DUMMYFUNCTION("""COMPUTED_VALUE"""),"-")</f>
        <v>-</v>
      </c>
      <c r="L1310" s="42" t="str">
        <f>IFERROR(__xludf.DUMMYFUNCTION("""COMPUTED_VALUE"""),"-")</f>
        <v>-</v>
      </c>
      <c r="M1310" s="42" t="str">
        <f>IFERROR(__xludf.DUMMYFUNCTION("""COMPUTED_VALUE"""),"[C]")</f>
        <v>[C]</v>
      </c>
      <c r="N1310" s="42" t="str">
        <f>IFERROR(__xludf.DUMMYFUNCTION("""COMPUTED_VALUE"""),"Fein's 3rd spell. It creates a wall of solid air.")</f>
        <v>Fein's 3rd spell. It creates a wall of solid air.</v>
      </c>
      <c r="O1310" s="42"/>
      <c r="P1310" s="42"/>
      <c r="Q1310" s="42"/>
      <c r="R1310" s="42"/>
      <c r="S1310" s="42"/>
      <c r="T1310" s="42"/>
      <c r="U1310" s="42"/>
      <c r="V1310" s="42"/>
      <c r="W1310" s="42"/>
      <c r="X1310" s="42"/>
      <c r="Y1310" s="42"/>
      <c r="Z1310" s="42"/>
    </row>
    <row r="1311">
      <c r="A1311" s="41" t="str">
        <f>IFERROR(__xludf.DUMMYFUNCTION("""COMPUTED_VALUE"""),"S-183")</f>
        <v>S-183</v>
      </c>
      <c r="B1311" s="42" t="str">
        <f>IFERROR(__xludf.DUMMYFUNCTION("""COMPUTED_VALUE"""),"Spell")</f>
        <v>Spell</v>
      </c>
      <c r="C1311" s="42" t="str">
        <f>IFERROR(__xludf.DUMMYFUNCTION("""COMPUTED_VALUE"""),"Gigano Wigaruga")</f>
        <v>Gigano Wigaruga</v>
      </c>
      <c r="D1311" s="42" t="str">
        <f>IFERROR(__xludf.DUMMYFUNCTION("""COMPUTED_VALUE"""),"Fein")</f>
        <v>Fein</v>
      </c>
      <c r="E1311" s="42">
        <f>IFERROR(__xludf.DUMMYFUNCTION("""COMPUTED_VALUE"""),2.0)</f>
        <v>2</v>
      </c>
      <c r="F1311" s="42" t="str">
        <f>IFERROR(__xludf.DUMMYFUNCTION("""COMPUTED_VALUE"""),"AD")</f>
        <v>AD</v>
      </c>
      <c r="G1311" s="42" t="str">
        <f>IFERROR(__xludf.DUMMYFUNCTION("""COMPUTED_VALUE"""),"Intermediate")</f>
        <v>Intermediate</v>
      </c>
      <c r="H1311" s="42" t="str">
        <f>IFERROR(__xludf.DUMMYFUNCTION("""COMPUTED_VALUE"""),"Wind")</f>
        <v>Wind</v>
      </c>
      <c r="I1311" s="43" t="str">
        <f>IFERROR(__xludf.DUMMYFUNCTION("""COMPUTED_VALUE"""),"Damage your opponent's Spell Book when you win the Battle as an Attacker. When you declare the play of this SPELL card, you may pay this SPELL card's MP cost again to increase the Damage of this card by 1 (maximum 2 times).")</f>
        <v>Damage your opponent's Spell Book when you win the Battle as an Attacker. When you declare the play of this SPELL card, you may pay this SPELL card's MP cost again to increase the Damage of this card by 1 (maximum 2 times).</v>
      </c>
      <c r="J1311" s="42" t="str">
        <f>IFERROR(__xludf.DUMMYFUNCTION("""COMPUTED_VALUE"""),"+5000")</f>
        <v>+5000</v>
      </c>
      <c r="K1311" s="42">
        <f>IFERROR(__xludf.DUMMYFUNCTION("""COMPUTED_VALUE"""),1.0)</f>
        <v>1</v>
      </c>
      <c r="L1311" s="42" t="str">
        <f>IFERROR(__xludf.DUMMYFUNCTION("""COMPUTED_VALUE"""),"-")</f>
        <v>-</v>
      </c>
      <c r="M1311" s="42" t="str">
        <f>IFERROR(__xludf.DUMMYFUNCTION("""COMPUTED_VALUE"""),"[U]")</f>
        <v>[U]</v>
      </c>
      <c r="N1311" s="42" t="str">
        <f>IFERROR(__xludf.DUMMYFUNCTION("""COMPUTED_VALUE"""),"Fein's 4th spell. It summons forth a tornado.")</f>
        <v>Fein's 4th spell. It summons forth a tornado.</v>
      </c>
      <c r="O1311" s="42"/>
      <c r="P1311" s="42"/>
      <c r="Q1311" s="42"/>
      <c r="R1311" s="42"/>
      <c r="S1311" s="42"/>
      <c r="T1311" s="42"/>
      <c r="U1311" s="42"/>
      <c r="V1311" s="42"/>
      <c r="W1311" s="42"/>
      <c r="X1311" s="42"/>
      <c r="Y1311" s="42"/>
      <c r="Z1311" s="42"/>
    </row>
    <row r="1312">
      <c r="A1312" s="41" t="str">
        <f>IFERROR(__xludf.DUMMYFUNCTION("""COMPUTED_VALUE"""),"S-184")</f>
        <v>S-184</v>
      </c>
      <c r="B1312" s="42" t="str">
        <f>IFERROR(__xludf.DUMMYFUNCTION("""COMPUTED_VALUE"""),"Spell")</f>
        <v>Spell</v>
      </c>
      <c r="C1312" s="42" t="str">
        <f>IFERROR(__xludf.DUMMYFUNCTION("""COMPUTED_VALUE"""),"Oru Wigar")</f>
        <v>Oru Wigar</v>
      </c>
      <c r="D1312" s="42" t="str">
        <f>IFERROR(__xludf.DUMMYFUNCTION("""COMPUTED_VALUE"""),"Fein")</f>
        <v>Fein</v>
      </c>
      <c r="E1312" s="42">
        <f>IFERROR(__xludf.DUMMYFUNCTION("""COMPUTED_VALUE"""),3.0)</f>
        <v>3</v>
      </c>
      <c r="F1312" s="42" t="str">
        <f>IFERROR(__xludf.DUMMYFUNCTION("""COMPUTED_VALUE"""),"AD")</f>
        <v>AD</v>
      </c>
      <c r="G1312" s="42" t="str">
        <f>IFERROR(__xludf.DUMMYFUNCTION("""COMPUTED_VALUE"""),"None")</f>
        <v>None</v>
      </c>
      <c r="H1312" s="42" t="str">
        <f>IFERROR(__xludf.DUMMYFUNCTION("""COMPUTED_VALUE"""),"Wind")</f>
        <v>Wind</v>
      </c>
      <c r="I1312" s="43" t="str">
        <f>IFERROR(__xludf.DUMMYFUNCTION("""COMPUTED_VALUE"""),"Damage your opponent's Spell Book when you win the Battle as an Attacker. Flip a coin; if it's heads, your opponent can neither SACRIFICE nor PROTECT their Spell Book from this SPELL card's Damage.")</f>
        <v>Damage your opponent's Spell Book when you win the Battle as an Attacker. Flip a coin; if it's heads, your opponent can neither SACRIFICE nor PROTECT their Spell Book from this SPELL card's Damage.</v>
      </c>
      <c r="J1312" s="42" t="str">
        <f>IFERROR(__xludf.DUMMYFUNCTION("""COMPUTED_VALUE"""),"+3000")</f>
        <v>+3000</v>
      </c>
      <c r="K1312" s="42">
        <f>IFERROR(__xludf.DUMMYFUNCTION("""COMPUTED_VALUE"""),2.0)</f>
        <v>2</v>
      </c>
      <c r="L1312" s="42" t="str">
        <f>IFERROR(__xludf.DUMMYFUNCTION("""COMPUTED_VALUE"""),"-")</f>
        <v>-</v>
      </c>
      <c r="M1312" s="42" t="str">
        <f>IFERROR(__xludf.DUMMYFUNCTION("""COMPUTED_VALUE"""),"[C]")</f>
        <v>[C]</v>
      </c>
      <c r="N1312" s="42" t="str">
        <f>IFERROR(__xludf.DUMMYFUNCTION("""COMPUTED_VALUE"""),"Fein's 5th spell. The opponent is struck by a shockwave of wind.")</f>
        <v>Fein's 5th spell. The opponent is struck by a shockwave of wind.</v>
      </c>
      <c r="O1312" s="42"/>
      <c r="P1312" s="42"/>
      <c r="Q1312" s="42"/>
      <c r="R1312" s="42"/>
      <c r="S1312" s="42"/>
      <c r="T1312" s="42"/>
      <c r="U1312" s="42"/>
      <c r="V1312" s="42"/>
      <c r="W1312" s="42"/>
      <c r="X1312" s="42"/>
      <c r="Y1312" s="42"/>
      <c r="Z1312" s="42"/>
    </row>
    <row r="1313">
      <c r="A1313" s="41" t="str">
        <f>IFERROR(__xludf.DUMMYFUNCTION("""COMPUTED_VALUE"""),"S-185")</f>
        <v>S-185</v>
      </c>
      <c r="B1313" s="42" t="str">
        <f>IFERROR(__xludf.DUMMYFUNCTION("""COMPUTED_VALUE"""),"Spell")</f>
        <v>Spell</v>
      </c>
      <c r="C1313" s="42" t="str">
        <f>IFERROR(__xludf.DUMMYFUNCTION("""COMPUTED_VALUE"""),"Garu Yuruk")</f>
        <v>Garu Yuruk</v>
      </c>
      <c r="D1313" s="42" t="str">
        <f>IFERROR(__xludf.DUMMYFUNCTION("""COMPUTED_VALUE"""),"Fein")</f>
        <v>Fein</v>
      </c>
      <c r="E1313" s="42">
        <f>IFERROR(__xludf.DUMMYFUNCTION("""COMPUTED_VALUE"""),1.0)</f>
        <v>1</v>
      </c>
      <c r="F1313" s="42" t="str">
        <f>IFERROR(__xludf.DUMMYFUNCTION("""COMPUTED_VALUE"""),"A")</f>
        <v>A</v>
      </c>
      <c r="G1313" s="42" t="str">
        <f>IFERROR(__xludf.DUMMYFUNCTION("""COMPUTED_VALUE"""),"None")</f>
        <v>None</v>
      </c>
      <c r="H1313" s="42" t="str">
        <f>IFERROR(__xludf.DUMMYFUNCTION("""COMPUTED_VALUE"""),"Wind")</f>
        <v>Wind</v>
      </c>
      <c r="I1313" s="43" t="str">
        <f>IFERROR(__xludf.DUMMYFUNCTION("""COMPUTED_VALUE"""),"Damage your opponent's Spell Book when you win the Battle as an Attacker. Injure your Fein MAMODO card when you lose the Battle as an Attacker.")</f>
        <v>Damage your opponent's Spell Book when you win the Battle as an Attacker. Injure your Fein MAMODO card when you lose the Battle as an Attacker.</v>
      </c>
      <c r="J1313" s="42" t="str">
        <f>IFERROR(__xludf.DUMMYFUNCTION("""COMPUTED_VALUE"""),"+2000")</f>
        <v>+2000</v>
      </c>
      <c r="K1313" s="42">
        <f>IFERROR(__xludf.DUMMYFUNCTION("""COMPUTED_VALUE"""),2.0)</f>
        <v>2</v>
      </c>
      <c r="L1313" s="42" t="str">
        <f>IFERROR(__xludf.DUMMYFUNCTION("""COMPUTED_VALUE"""),"-")</f>
        <v>-</v>
      </c>
      <c r="M1313" s="42" t="str">
        <f>IFERROR(__xludf.DUMMYFUNCTION("""COMPUTED_VALUE"""),"[C]")</f>
        <v>[C]</v>
      </c>
      <c r="N1313" s="42" t="str">
        <f>IFERROR(__xludf.DUMMYFUNCTION("""COMPUTED_VALUE"""),"Fein's 6th spell. The opponent is struck at high speed.")</f>
        <v>Fein's 6th spell. The opponent is struck at high speed.</v>
      </c>
      <c r="O1313" s="42"/>
      <c r="P1313" s="42"/>
      <c r="Q1313" s="42"/>
      <c r="R1313" s="42"/>
      <c r="S1313" s="42"/>
      <c r="T1313" s="42"/>
      <c r="U1313" s="42"/>
      <c r="V1313" s="42"/>
      <c r="W1313" s="42"/>
      <c r="X1313" s="42"/>
      <c r="Y1313" s="42"/>
      <c r="Z1313" s="42"/>
    </row>
    <row r="1314">
      <c r="A1314" s="41" t="str">
        <f>IFERROR(__xludf.DUMMYFUNCTION("""COMPUTED_VALUE"""),"S-186")</f>
        <v>S-186</v>
      </c>
      <c r="B1314" s="42" t="str">
        <f>IFERROR(__xludf.DUMMYFUNCTION("""COMPUTED_VALUE"""),"Spell")</f>
        <v>Spell</v>
      </c>
      <c r="C1314" s="42" t="str">
        <f>IFERROR(__xludf.DUMMYFUNCTION("""COMPUTED_VALUE"""),"Gashield")</f>
        <v>Gashield</v>
      </c>
      <c r="D1314" s="42" t="str">
        <f>IFERROR(__xludf.DUMMYFUNCTION("""COMPUTED_VALUE"""),"Maruss")</f>
        <v>Maruss</v>
      </c>
      <c r="E1314" s="42">
        <f>IFERROR(__xludf.DUMMYFUNCTION("""COMPUTED_VALUE"""),1.0)</f>
        <v>1</v>
      </c>
      <c r="F1314" s="42" t="str">
        <f>IFERROR(__xludf.DUMMYFUNCTION("""COMPUTED_VALUE"""),"D")</f>
        <v>D</v>
      </c>
      <c r="G1314" s="42" t="str">
        <f>IFERROR(__xludf.DUMMYFUNCTION("""COMPUTED_VALUE"""),"None")</f>
        <v>None</v>
      </c>
      <c r="H1314" s="42" t="str">
        <f>IFERROR(__xludf.DUMMYFUNCTION("""COMPUTED_VALUE"""),"-")</f>
        <v>-</v>
      </c>
      <c r="I1314" s="43" t="str">
        <f>IFERROR(__xludf.DUMMYFUNCTION("""COMPUTED_VALUE"""),"Negate your opponent's Attack when you win the Battle as a Defender.")</f>
        <v>Negate your opponent's Attack when you win the Battle as a Defender.</v>
      </c>
      <c r="J1314" s="42" t="str">
        <f>IFERROR(__xludf.DUMMYFUNCTION("""COMPUTED_VALUE"""),"+5000")</f>
        <v>+5000</v>
      </c>
      <c r="K1314" s="42" t="str">
        <f>IFERROR(__xludf.DUMMYFUNCTION("""COMPUTED_VALUE"""),"-")</f>
        <v>-</v>
      </c>
      <c r="L1314" s="42" t="str">
        <f>IFERROR(__xludf.DUMMYFUNCTION("""COMPUTED_VALUE"""),"-")</f>
        <v>-</v>
      </c>
      <c r="M1314" s="42" t="str">
        <f>IFERROR(__xludf.DUMMYFUNCTION("""COMPUTED_VALUE"""),"[C]")</f>
        <v>[C]</v>
      </c>
      <c r="N1314" s="42" t="str">
        <f>IFERROR(__xludf.DUMMYFUNCTION("""COMPUTED_VALUE"""),"Maruss' 5th spell. His defensive spell, he is protected by a shield of iron pillars.")</f>
        <v>Maruss' 5th spell. His defensive spell, he is protected by a shield of iron pillars.</v>
      </c>
      <c r="O1314" s="42"/>
      <c r="P1314" s="42"/>
      <c r="Q1314" s="42"/>
      <c r="R1314" s="42"/>
      <c r="S1314" s="42"/>
      <c r="T1314" s="42"/>
      <c r="U1314" s="42"/>
      <c r="V1314" s="42"/>
      <c r="W1314" s="42"/>
      <c r="X1314" s="42"/>
      <c r="Y1314" s="42"/>
      <c r="Z1314" s="42"/>
    </row>
    <row r="1315">
      <c r="A1315" s="41" t="str">
        <f>IFERROR(__xludf.DUMMYFUNCTION("""COMPUTED_VALUE"""),"S-187")</f>
        <v>S-187</v>
      </c>
      <c r="B1315" s="42" t="str">
        <f>IFERROR(__xludf.DUMMYFUNCTION("""COMPUTED_VALUE"""),"Spell")</f>
        <v>Spell</v>
      </c>
      <c r="C1315" s="42" t="str">
        <f>IFERROR(__xludf.DUMMYFUNCTION("""COMPUTED_VALUE"""),"Darai Garon")</f>
        <v>Darai Garon</v>
      </c>
      <c r="D1315" s="42" t="str">
        <f>IFERROR(__xludf.DUMMYFUNCTION("""COMPUTED_VALUE"""),"Maruss")</f>
        <v>Maruss</v>
      </c>
      <c r="E1315" s="42">
        <f>IFERROR(__xludf.DUMMYFUNCTION("""COMPUTED_VALUE"""),6.0)</f>
        <v>6</v>
      </c>
      <c r="F1315" s="42" t="str">
        <f>IFERROR(__xludf.DUMMYFUNCTION("""COMPUTED_VALUE"""),"A")</f>
        <v>A</v>
      </c>
      <c r="G1315" s="42" t="str">
        <f>IFERROR(__xludf.DUMMYFUNCTION("""COMPUTED_VALUE"""),"Superior")</f>
        <v>Superior</v>
      </c>
      <c r="H1315" s="42" t="str">
        <f>IFERROR(__xludf.DUMMYFUNCTION("""COMPUTED_VALUE"""),"-")</f>
        <v>-</v>
      </c>
      <c r="I1315" s="43" t="str">
        <f>IFERROR(__xludf.DUMMYFUNCTION("""COMPUTED_VALUE"""),"Flip a coin when you win the Battle as an Attacker: ● Heads:Damage your opponent's Spell Book. ● Tails:Injure 1 of your opponent's MAMODO cards. Regardess of the result of the coin toss, your opponent can neither SACRIFICE nor PROTECT their Spell Book fro"&amp;"m this card's Damage.")</f>
        <v>Flip a coin when you win the Battle as an Attacker: ● Heads:Damage your opponent's Spell Book. ● Tails:Injure 1 of your opponent's MAMODO cards. Regardess of the result of the coin toss, your opponent can neither SACRIFICE nor PROTECT their Spell Book from this card's Damage.</v>
      </c>
      <c r="J1315" s="42" t="str">
        <f>IFERROR(__xludf.DUMMYFUNCTION("""COMPUTED_VALUE"""),"+6000")</f>
        <v>+6000</v>
      </c>
      <c r="K1315" s="42">
        <f>IFERROR(__xludf.DUMMYFUNCTION("""COMPUTED_VALUE"""),3.0)</f>
        <v>3</v>
      </c>
      <c r="L1315" s="42" t="str">
        <f>IFERROR(__xludf.DUMMYFUNCTION("""COMPUTED_VALUE"""),"-")</f>
        <v>-</v>
      </c>
      <c r="M1315" s="42" t="str">
        <f>IFERROR(__xludf.DUMMYFUNCTION("""COMPUTED_VALUE"""),"[U]")</f>
        <v>[U]</v>
      </c>
      <c r="N1315" s="42" t="str">
        <f>IFERROR(__xludf.DUMMYFUNCTION("""COMPUTED_VALUE"""),"Maruss' 6th spell. A powerful spell that drops a gigantic iron ball on the opponent.")</f>
        <v>Maruss' 6th spell. A powerful spell that drops a gigantic iron ball on the opponent.</v>
      </c>
      <c r="O1315" s="42"/>
      <c r="P1315" s="42"/>
      <c r="Q1315" s="42"/>
      <c r="R1315" s="42"/>
      <c r="S1315" s="42"/>
      <c r="T1315" s="42"/>
      <c r="U1315" s="42"/>
      <c r="V1315" s="42"/>
      <c r="W1315" s="42"/>
      <c r="X1315" s="42"/>
      <c r="Y1315" s="42"/>
      <c r="Z1315" s="42"/>
    </row>
    <row r="1316">
      <c r="A1316" s="41" t="str">
        <f>IFERROR(__xludf.DUMMYFUNCTION("""COMPUTED_VALUE"""),"S-188")</f>
        <v>S-188</v>
      </c>
      <c r="B1316" s="42" t="str">
        <f>IFERROR(__xludf.DUMMYFUNCTION("""COMPUTED_VALUE"""),"Spell")</f>
        <v>Spell</v>
      </c>
      <c r="C1316" s="42" t="str">
        <f>IFERROR(__xludf.DUMMYFUNCTION("""COMPUTED_VALUE"""),"Gigano Zegar")</f>
        <v>Gigano Zegar</v>
      </c>
      <c r="D1316" s="42" t="str">
        <f>IFERROR(__xludf.DUMMYFUNCTION("""COMPUTED_VALUE"""),"Kido")</f>
        <v>Kido</v>
      </c>
      <c r="E1316" s="42">
        <f>IFERROR(__xludf.DUMMYFUNCTION("""COMPUTED_VALUE"""),6.0)</f>
        <v>6</v>
      </c>
      <c r="F1316" s="42" t="str">
        <f>IFERROR(__xludf.DUMMYFUNCTION("""COMPUTED_VALUE"""),"AD")</f>
        <v>AD</v>
      </c>
      <c r="G1316" s="42" t="str">
        <f>IFERROR(__xludf.DUMMYFUNCTION("""COMPUTED_VALUE"""),"Superior")</f>
        <v>Superior</v>
      </c>
      <c r="H1316" s="42" t="str">
        <f>IFERROR(__xludf.DUMMYFUNCTION("""COMPUTED_VALUE"""),"-")</f>
        <v>-</v>
      </c>
      <c r="I1316" s="43" t="str">
        <f>IFERROR(__xludf.DUMMYFUNCTION("""COMPUTED_VALUE"""),"Damage your opponent's Spell Book and Injure 1 of your opponent's MAMODO cards when you win the Battle as an Attacker.")</f>
        <v>Damage your opponent's Spell Book and Injure 1 of your opponent's MAMODO cards when you win the Battle as an Attacker.</v>
      </c>
      <c r="J1316" s="42" t="str">
        <f>IFERROR(__xludf.DUMMYFUNCTION("""COMPUTED_VALUE"""),"+6000")</f>
        <v>+6000</v>
      </c>
      <c r="K1316" s="42">
        <f>IFERROR(__xludf.DUMMYFUNCTION("""COMPUTED_VALUE"""),2.0)</f>
        <v>2</v>
      </c>
      <c r="L1316" s="42" t="str">
        <f>IFERROR(__xludf.DUMMYFUNCTION("""COMPUTED_VALUE"""),"-")</f>
        <v>-</v>
      </c>
      <c r="M1316" s="42" t="str">
        <f>IFERROR(__xludf.DUMMYFUNCTION("""COMPUTED_VALUE"""),"[R]")</f>
        <v>[R]</v>
      </c>
      <c r="N1316" s="42" t="str">
        <f>IFERROR(__xludf.DUMMYFUNCTION("""COMPUTED_VALUE"""),"Kido's 9th spell. It fires a huge energy bullet from his chest.")</f>
        <v>Kido's 9th spell. It fires a huge energy bullet from his chest.</v>
      </c>
      <c r="O1316" s="42"/>
      <c r="P1316" s="42"/>
      <c r="Q1316" s="42"/>
      <c r="R1316" s="42"/>
      <c r="S1316" s="42"/>
      <c r="T1316" s="42"/>
      <c r="U1316" s="42"/>
      <c r="V1316" s="42"/>
      <c r="W1316" s="42"/>
      <c r="X1316" s="42"/>
      <c r="Y1316" s="42"/>
      <c r="Z1316" s="42"/>
    </row>
    <row r="1317">
      <c r="A1317" s="41" t="str">
        <f>IFERROR(__xludf.DUMMYFUNCTION("""COMPUTED_VALUE"""),"S-189")</f>
        <v>S-189</v>
      </c>
      <c r="B1317" s="42" t="str">
        <f>IFERROR(__xludf.DUMMYFUNCTION("""COMPUTED_VALUE"""),"Spell")</f>
        <v>Spell</v>
      </c>
      <c r="C1317" s="42" t="str">
        <f>IFERROR(__xludf.DUMMYFUNCTION("""COMPUTED_VALUE"""),"Mikor Ma Zegaruga")</f>
        <v>Mikor Ma Zegaruga</v>
      </c>
      <c r="D1317" s="42" t="str">
        <f>IFERROR(__xludf.DUMMYFUNCTION("""COMPUTED_VALUE"""),"Kido")</f>
        <v>Kido</v>
      </c>
      <c r="E1317" s="42">
        <f>IFERROR(__xludf.DUMMYFUNCTION("""COMPUTED_VALUE"""),5.0)</f>
        <v>5</v>
      </c>
      <c r="F1317" s="42" t="str">
        <f>IFERROR(__xludf.DUMMYFUNCTION("""COMPUTED_VALUE"""),"AD")</f>
        <v>AD</v>
      </c>
      <c r="G1317" s="42" t="str">
        <f>IFERROR(__xludf.DUMMYFUNCTION("""COMPUTED_VALUE"""),"Superior")</f>
        <v>Superior</v>
      </c>
      <c r="H1317" s="42" t="str">
        <f>IFERROR(__xludf.DUMMYFUNCTION("""COMPUTED_VALUE"""),"-")</f>
        <v>-</v>
      </c>
      <c r="I1317" s="43" t="str">
        <f>IFERROR(__xludf.DUMMYFUNCTION("""COMPUTED_VALUE"""),"[COUNTER] Send 1 of your opponent's in-play MAMODO cards to the Discard Pile when you win the Battle as an Attacker or as a Defender. Then, send the Kido MAMODO card you played this SPELL card for to the Discard Pile.")</f>
        <v>[COUNTER] Send 1 of your opponent's in-play MAMODO cards to the Discard Pile when you win the Battle as an Attacker or as a Defender. Then, send the Kido MAMODO card you played this SPELL card for to the Discard Pile.</v>
      </c>
      <c r="J1317" s="42" t="str">
        <f>IFERROR(__xludf.DUMMYFUNCTION("""COMPUTED_VALUE"""),"+6000")</f>
        <v>+6000</v>
      </c>
      <c r="K1317" s="42" t="str">
        <f>IFERROR(__xludf.DUMMYFUNCTION("""COMPUTED_VALUE"""),"-")</f>
        <v>-</v>
      </c>
      <c r="L1317" s="42" t="str">
        <f>IFERROR(__xludf.DUMMYFUNCTION("""COMPUTED_VALUE"""),"-")</f>
        <v>-</v>
      </c>
      <c r="M1317" s="42" t="str">
        <f>IFERROR(__xludf.DUMMYFUNCTION("""COMPUTED_VALUE"""),"[SR]")</f>
        <v>[SR]</v>
      </c>
      <c r="N1317" s="42" t="str">
        <f>IFERROR(__xludf.DUMMYFUNCTION("""COMPUTED_VALUE"""),"Kido's 10th spell. His most powerful spell, which summons forth a magnificent mechanical goddess.")</f>
        <v>Kido's 10th spell. His most powerful spell, which summons forth a magnificent mechanical goddess.</v>
      </c>
      <c r="O1317" s="42"/>
      <c r="P1317" s="42"/>
      <c r="Q1317" s="42"/>
      <c r="R1317" s="42"/>
      <c r="S1317" s="42"/>
      <c r="T1317" s="42"/>
      <c r="U1317" s="42"/>
      <c r="V1317" s="42"/>
      <c r="W1317" s="42"/>
      <c r="X1317" s="42"/>
      <c r="Y1317" s="42"/>
      <c r="Z1317" s="42"/>
    </row>
    <row r="1318">
      <c r="A1318" s="41" t="str">
        <f>IFERROR(__xludf.DUMMYFUNCTION("""COMPUTED_VALUE"""),"S-190")</f>
        <v>S-190</v>
      </c>
      <c r="B1318" s="42" t="str">
        <f>IFERROR(__xludf.DUMMYFUNCTION("""COMPUTED_VALUE"""),"Spell")</f>
        <v>Spell</v>
      </c>
      <c r="C1318" s="42" t="str">
        <f>IFERROR(__xludf.DUMMYFUNCTION("""COMPUTED_VALUE"""),"Shizaruk")</f>
        <v>Shizaruk</v>
      </c>
      <c r="D1318" s="42" t="str">
        <f>IFERROR(__xludf.DUMMYFUNCTION("""COMPUTED_VALUE"""),"Cut n' Paste")</f>
        <v>Cut n' Paste</v>
      </c>
      <c r="E1318" s="42">
        <f>IFERROR(__xludf.DUMMYFUNCTION("""COMPUTED_VALUE"""),2.0)</f>
        <v>2</v>
      </c>
      <c r="F1318" s="42" t="str">
        <f>IFERROR(__xludf.DUMMYFUNCTION("""COMPUTED_VALUE"""),"A")</f>
        <v>A</v>
      </c>
      <c r="G1318" s="42" t="str">
        <f>IFERROR(__xludf.DUMMYFUNCTION("""COMPUTED_VALUE"""),"None")</f>
        <v>None</v>
      </c>
      <c r="H1318" s="42" t="str">
        <f>IFERROR(__xludf.DUMMYFUNCTION("""COMPUTED_VALUE"""),"-")</f>
        <v>-</v>
      </c>
      <c r="I1318" s="43" t="str">
        <f>IFERROR(__xludf.DUMMYFUNCTION("""COMPUTED_VALUE"""),"Damage your opponent's Spell Book when you win the Battle as an Attacker. Flip a coin twice; increase the Damage of this SPELL card by the number of heads you get times 1.")</f>
        <v>Damage your opponent's Spell Book when you win the Battle as an Attacker. Flip a coin twice; increase the Damage of this SPELL card by the number of heads you get times 1.</v>
      </c>
      <c r="J1318" s="42" t="str">
        <f>IFERROR(__xludf.DUMMYFUNCTION("""COMPUTED_VALUE"""),"+3000")</f>
        <v>+3000</v>
      </c>
      <c r="K1318" s="42">
        <f>IFERROR(__xludf.DUMMYFUNCTION("""COMPUTED_VALUE"""),1.0)</f>
        <v>1</v>
      </c>
      <c r="L1318" s="42" t="str">
        <f>IFERROR(__xludf.DUMMYFUNCTION("""COMPUTED_VALUE"""),"-")</f>
        <v>-</v>
      </c>
      <c r="M1318" s="42" t="str">
        <f>IFERROR(__xludf.DUMMYFUNCTION("""COMPUTED_VALUE"""),"[C]")</f>
        <v>[C]</v>
      </c>
      <c r="N1318" s="42" t="str">
        <f>IFERROR(__xludf.DUMMYFUNCTION("""COMPUTED_VALUE"""),"Cut n' Paste's 2nd spell. Attacks the opponent with large pairs of scissors.")</f>
        <v>Cut n' Paste's 2nd spell. Attacks the opponent with large pairs of scissors.</v>
      </c>
      <c r="O1318" s="42"/>
      <c r="P1318" s="42"/>
      <c r="Q1318" s="42"/>
      <c r="R1318" s="42"/>
      <c r="S1318" s="42"/>
      <c r="T1318" s="42"/>
      <c r="U1318" s="42"/>
      <c r="V1318" s="42"/>
      <c r="W1318" s="42"/>
      <c r="X1318" s="42"/>
      <c r="Y1318" s="42"/>
      <c r="Z1318" s="42"/>
    </row>
    <row r="1319">
      <c r="A1319" s="41" t="str">
        <f>IFERROR(__xludf.DUMMYFUNCTION("""COMPUTED_VALUE"""),"S-191")</f>
        <v>S-191</v>
      </c>
      <c r="B1319" s="42" t="str">
        <f>IFERROR(__xludf.DUMMYFUNCTION("""COMPUTED_VALUE"""),"Spell")</f>
        <v>Spell</v>
      </c>
      <c r="C1319" s="42" t="str">
        <f>IFERROR(__xludf.DUMMYFUNCTION("""COMPUTED_VALUE"""),"Gigano Shizaruk")</f>
        <v>Gigano Shizaruk</v>
      </c>
      <c r="D1319" s="42" t="str">
        <f>IFERROR(__xludf.DUMMYFUNCTION("""COMPUTED_VALUE"""),"Cut n' Paste")</f>
        <v>Cut n' Paste</v>
      </c>
      <c r="E1319" s="42">
        <f>IFERROR(__xludf.DUMMYFUNCTION("""COMPUTED_VALUE"""),6.0)</f>
        <v>6</v>
      </c>
      <c r="F1319" s="42" t="str">
        <f>IFERROR(__xludf.DUMMYFUNCTION("""COMPUTED_VALUE"""),"AD")</f>
        <v>AD</v>
      </c>
      <c r="G1319" s="42" t="str">
        <f>IFERROR(__xludf.DUMMYFUNCTION("""COMPUTED_VALUE"""),"Superior")</f>
        <v>Superior</v>
      </c>
      <c r="H1319" s="42" t="str">
        <f>IFERROR(__xludf.DUMMYFUNCTION("""COMPUTED_VALUE"""),"-")</f>
        <v>-</v>
      </c>
      <c r="I1319" s="43" t="str">
        <f>IFERROR(__xludf.DUMMYFUNCTION("""COMPUTED_VALUE"""),"Flip a coin 3 times; if you get heads at least once, Damage your opponent's Spell Book when you win the Battle as an Attacker. If you don't get any heads, Damage your Spell Book when you win the Battle as an Attacker.")</f>
        <v>Flip a coin 3 times; if you get heads at least once, Damage your opponent's Spell Book when you win the Battle as an Attacker. If you don't get any heads, Damage your Spell Book when you win the Battle as an Attacker.</v>
      </c>
      <c r="J1319" s="42" t="str">
        <f>IFERROR(__xludf.DUMMYFUNCTION("""COMPUTED_VALUE"""),"+6000")</f>
        <v>+6000</v>
      </c>
      <c r="K1319" s="42">
        <f>IFERROR(__xludf.DUMMYFUNCTION("""COMPUTED_VALUE"""),4.0)</f>
        <v>4</v>
      </c>
      <c r="L1319" s="42" t="str">
        <f>IFERROR(__xludf.DUMMYFUNCTION("""COMPUTED_VALUE"""),"-")</f>
        <v>-</v>
      </c>
      <c r="M1319" s="42" t="str">
        <f>IFERROR(__xludf.DUMMYFUNCTION("""COMPUTED_VALUE"""),"[R]")</f>
        <v>[R]</v>
      </c>
      <c r="N1319" s="42" t="str">
        <f>IFERROR(__xludf.DUMMYFUNCTION("""COMPUTED_VALUE"""),"Cut n' Paste's 6th spell. An enormous beast forged from clusters of scissors lunges toward the opponent.")</f>
        <v>Cut n' Paste's 6th spell. An enormous beast forged from clusters of scissors lunges toward the opponent.</v>
      </c>
      <c r="O1319" s="42"/>
      <c r="P1319" s="42"/>
      <c r="Q1319" s="42"/>
      <c r="R1319" s="42"/>
      <c r="S1319" s="42"/>
      <c r="T1319" s="42"/>
      <c r="U1319" s="42"/>
      <c r="V1319" s="42"/>
      <c r="W1319" s="42"/>
      <c r="X1319" s="42"/>
      <c r="Y1319" s="42"/>
      <c r="Z1319" s="42"/>
    </row>
    <row r="1320">
      <c r="A1320" s="41" t="str">
        <f>IFERROR(__xludf.DUMMYFUNCTION("""COMPUTED_VALUE"""),"S-192")</f>
        <v>S-192</v>
      </c>
      <c r="B1320" s="42" t="str">
        <f>IFERROR(__xludf.DUMMYFUNCTION("""COMPUTED_VALUE"""),"Spell")</f>
        <v>Spell</v>
      </c>
      <c r="C1320" s="42" t="str">
        <f>IFERROR(__xludf.DUMMYFUNCTION("""COMPUTED_VALUE"""),"Garon")</f>
        <v>Garon</v>
      </c>
      <c r="D1320" s="42" t="str">
        <f>IFERROR(__xludf.DUMMYFUNCTION("""COMPUTED_VALUE"""),"Borubora")</f>
        <v>Borubora</v>
      </c>
      <c r="E1320" s="42">
        <f>IFERROR(__xludf.DUMMYFUNCTION("""COMPUTED_VALUE"""),1.0)</f>
        <v>1</v>
      </c>
      <c r="F1320" s="42" t="str">
        <f>IFERROR(__xludf.DUMMYFUNCTION("""COMPUTED_VALUE"""),"A")</f>
        <v>A</v>
      </c>
      <c r="G1320" s="42" t="str">
        <f>IFERROR(__xludf.DUMMYFUNCTION("""COMPUTED_VALUE"""),"None")</f>
        <v>None</v>
      </c>
      <c r="H1320" s="42" t="str">
        <f>IFERROR(__xludf.DUMMYFUNCTION("""COMPUTED_VALUE"""),"-")</f>
        <v>-</v>
      </c>
      <c r="I1320" s="43" t="str">
        <f>IFERROR(__xludf.DUMMYFUNCTION("""COMPUTED_VALUE"""),"Damage your opponent's Spell Book when you win the Battle as an Attacker.")</f>
        <v>Damage your opponent's Spell Book when you win the Battle as an Attacker.</v>
      </c>
      <c r="J1320" s="42" t="str">
        <f>IFERROR(__xludf.DUMMYFUNCTION("""COMPUTED_VALUE"""),"+2000")</f>
        <v>+2000</v>
      </c>
      <c r="K1320" s="42">
        <f>IFERROR(__xludf.DUMMYFUNCTION("""COMPUTED_VALUE"""),2.0)</f>
        <v>2</v>
      </c>
      <c r="L1320" s="42" t="str">
        <f>IFERROR(__xludf.DUMMYFUNCTION("""COMPUTED_VALUE"""),"-")</f>
        <v>-</v>
      </c>
      <c r="M1320" s="42" t="str">
        <f>IFERROR(__xludf.DUMMYFUNCTION("""COMPUTED_VALUE"""),"[C]")</f>
        <v>[C]</v>
      </c>
      <c r="N1320" s="42" t="str">
        <f>IFERROR(__xludf.DUMMYFUNCTION("""COMPUTED_VALUE"""),"Borubora's 1st spell. It shoots a metallic column covered with razor-sharp spikes.")</f>
        <v>Borubora's 1st spell. It shoots a metallic column covered with razor-sharp spikes.</v>
      </c>
      <c r="O1320" s="42"/>
      <c r="P1320" s="42"/>
      <c r="Q1320" s="42"/>
      <c r="R1320" s="42"/>
      <c r="S1320" s="42"/>
      <c r="T1320" s="42"/>
      <c r="U1320" s="42"/>
      <c r="V1320" s="42"/>
      <c r="W1320" s="42"/>
      <c r="X1320" s="42"/>
      <c r="Y1320" s="42"/>
      <c r="Z1320" s="42"/>
    </row>
    <row r="1321">
      <c r="A1321" s="41" t="str">
        <f>IFERROR(__xludf.DUMMYFUNCTION("""COMPUTED_VALUE"""),"S-193")</f>
        <v>S-193</v>
      </c>
      <c r="B1321" s="42" t="str">
        <f>IFERROR(__xludf.DUMMYFUNCTION("""COMPUTED_VALUE"""),"Spell")</f>
        <v>Spell</v>
      </c>
      <c r="C1321" s="42" t="str">
        <f>IFERROR(__xludf.DUMMYFUNCTION("""COMPUTED_VALUE"""),"Gigano Garanzu")</f>
        <v>Gigano Garanzu</v>
      </c>
      <c r="D1321" s="42" t="str">
        <f>IFERROR(__xludf.DUMMYFUNCTION("""COMPUTED_VALUE"""),"Borubora")</f>
        <v>Borubora</v>
      </c>
      <c r="E1321" s="42">
        <f>IFERROR(__xludf.DUMMYFUNCTION("""COMPUTED_VALUE"""),6.0)</f>
        <v>6</v>
      </c>
      <c r="F1321" s="42" t="str">
        <f>IFERROR(__xludf.DUMMYFUNCTION("""COMPUTED_VALUE"""),"AD")</f>
        <v>AD</v>
      </c>
      <c r="G1321" s="42" t="str">
        <f>IFERROR(__xludf.DUMMYFUNCTION("""COMPUTED_VALUE"""),"Superior")</f>
        <v>Superior</v>
      </c>
      <c r="H1321" s="42" t="str">
        <f>IFERROR(__xludf.DUMMYFUNCTION("""COMPUTED_VALUE"""),"-")</f>
        <v>-</v>
      </c>
      <c r="I1321" s="43" t="str">
        <f>IFERROR(__xludf.DUMMYFUNCTION("""COMPUTED_VALUE"""),"Damage your opponent's Spell Book when you win the Battle as an Attacker.")</f>
        <v>Damage your opponent's Spell Book when you win the Battle as an Attacker.</v>
      </c>
      <c r="J1321" s="42" t="str">
        <f>IFERROR(__xludf.DUMMYFUNCTION("""COMPUTED_VALUE"""),"+6000")</f>
        <v>+6000</v>
      </c>
      <c r="K1321" s="42">
        <f>IFERROR(__xludf.DUMMYFUNCTION("""COMPUTED_VALUE"""),4.0)</f>
        <v>4</v>
      </c>
      <c r="L1321" s="42" t="str">
        <f>IFERROR(__xludf.DUMMYFUNCTION("""COMPUTED_VALUE"""),"-")</f>
        <v>-</v>
      </c>
      <c r="M1321" s="42" t="str">
        <f>IFERROR(__xludf.DUMMYFUNCTION("""COMPUTED_VALUE"""),"[R]")</f>
        <v>[R]</v>
      </c>
      <c r="N1321" s="42" t="str">
        <f>IFERROR(__xludf.DUMMYFUNCTION("""COMPUTED_VALUE"""),"Borubora's 2nd spell. It crushes the enemy with a giant metal screw propeller.")</f>
        <v>Borubora's 2nd spell. It crushes the enemy with a giant metal screw propeller.</v>
      </c>
      <c r="O1321" s="42"/>
      <c r="P1321" s="42"/>
      <c r="Q1321" s="42"/>
      <c r="R1321" s="42"/>
      <c r="S1321" s="42"/>
      <c r="T1321" s="42"/>
      <c r="U1321" s="42"/>
      <c r="V1321" s="42"/>
      <c r="W1321" s="42"/>
      <c r="X1321" s="42"/>
      <c r="Y1321" s="42"/>
      <c r="Z1321" s="42"/>
    </row>
    <row r="1322">
      <c r="A1322" s="41" t="str">
        <f>IFERROR(__xludf.DUMMYFUNCTION("""COMPUTED_VALUE"""),"S-194")</f>
        <v>S-194</v>
      </c>
      <c r="B1322" s="42" t="str">
        <f>IFERROR(__xludf.DUMMYFUNCTION("""COMPUTED_VALUE"""),"Spell")</f>
        <v>Spell</v>
      </c>
      <c r="C1322" s="42" t="str">
        <f>IFERROR(__xludf.DUMMYFUNCTION("""COMPUTED_VALUE"""),"Grandsen")</f>
        <v>Grandsen</v>
      </c>
      <c r="D1322" s="42" t="str">
        <f>IFERROR(__xludf.DUMMYFUNCTION("""COMPUTED_VALUE"""),"Dogmos")</f>
        <v>Dogmos</v>
      </c>
      <c r="E1322" s="42">
        <f>IFERROR(__xludf.DUMMYFUNCTION("""COMPUTED_VALUE"""),1.0)</f>
        <v>1</v>
      </c>
      <c r="F1322" s="42" t="str">
        <f>IFERROR(__xludf.DUMMYFUNCTION("""COMPUTED_VALUE"""),"AD")</f>
        <v>AD</v>
      </c>
      <c r="G1322" s="42" t="str">
        <f>IFERROR(__xludf.DUMMYFUNCTION("""COMPUTED_VALUE"""),"None")</f>
        <v>None</v>
      </c>
      <c r="H1322" s="42" t="str">
        <f>IFERROR(__xludf.DUMMYFUNCTION("""COMPUTED_VALUE"""),"Ground")</f>
        <v>Ground</v>
      </c>
      <c r="I1322" s="43" t="str">
        <f>IFERROR(__xludf.DUMMYFUNCTION("""COMPUTED_VALUE"""),"Damage your opponent's Spell Book when you win the Battle as an Attacker. Flip a coin; if it's heads, increase the Damage of this SPELL card by 1.")</f>
        <v>Damage your opponent's Spell Book when you win the Battle as an Attacker. Flip a coin; if it's heads, increase the Damage of this SPELL card by 1.</v>
      </c>
      <c r="J1322" s="42" t="str">
        <f>IFERROR(__xludf.DUMMYFUNCTION("""COMPUTED_VALUE"""),"+3000")</f>
        <v>+3000</v>
      </c>
      <c r="K1322" s="42">
        <f>IFERROR(__xludf.DUMMYFUNCTION("""COMPUTED_VALUE"""),1.0)</f>
        <v>1</v>
      </c>
      <c r="L1322" s="42" t="str">
        <f>IFERROR(__xludf.DUMMYFUNCTION("""COMPUTED_VALUE"""),"-")</f>
        <v>-</v>
      </c>
      <c r="M1322" s="42" t="str">
        <f>IFERROR(__xludf.DUMMYFUNCTION("""COMPUTED_VALUE"""),"[C]")</f>
        <v>[C]</v>
      </c>
      <c r="N1322" s="42" t="str">
        <f>IFERROR(__xludf.DUMMYFUNCTION("""COMPUTED_VALUE"""),"Dogmos' 1st spell. Bombards the opponent with huge chunks of stone fired by an earthen cannon.")</f>
        <v>Dogmos' 1st spell. Bombards the opponent with huge chunks of stone fired by an earthen cannon.</v>
      </c>
      <c r="O1322" s="42"/>
      <c r="P1322" s="42"/>
      <c r="Q1322" s="42"/>
      <c r="R1322" s="42"/>
      <c r="S1322" s="42"/>
      <c r="T1322" s="42"/>
      <c r="U1322" s="42"/>
      <c r="V1322" s="42"/>
      <c r="W1322" s="42"/>
      <c r="X1322" s="42"/>
      <c r="Y1322" s="42"/>
      <c r="Z1322" s="42"/>
    </row>
    <row r="1323">
      <c r="A1323" s="41" t="str">
        <f>IFERROR(__xludf.DUMMYFUNCTION("""COMPUTED_VALUE"""),"S-195")</f>
        <v>S-195</v>
      </c>
      <c r="B1323" s="42" t="str">
        <f>IFERROR(__xludf.DUMMYFUNCTION("""COMPUTED_VALUE"""),"Spell")</f>
        <v>Spell</v>
      </c>
      <c r="C1323" s="42" t="str">
        <f>IFERROR(__xludf.DUMMYFUNCTION("""COMPUTED_VALUE"""),"Groundga Cobra")</f>
        <v>Groundga Cobra</v>
      </c>
      <c r="D1323" s="42" t="str">
        <f>IFERROR(__xludf.DUMMYFUNCTION("""COMPUTED_VALUE"""),"Dogmos")</f>
        <v>Dogmos</v>
      </c>
      <c r="E1323" s="42">
        <f>IFERROR(__xludf.DUMMYFUNCTION("""COMPUTED_VALUE"""),5.0)</f>
        <v>5</v>
      </c>
      <c r="F1323" s="42" t="str">
        <f>IFERROR(__xludf.DUMMYFUNCTION("""COMPUTED_VALUE"""),"AD")</f>
        <v>AD</v>
      </c>
      <c r="G1323" s="42" t="str">
        <f>IFERROR(__xludf.DUMMYFUNCTION("""COMPUTED_VALUE"""),"Intermediate")</f>
        <v>Intermediate</v>
      </c>
      <c r="H1323" s="42" t="str">
        <f>IFERROR(__xludf.DUMMYFUNCTION("""COMPUTED_VALUE"""),"Ground")</f>
        <v>Ground</v>
      </c>
      <c r="I1323" s="43" t="str">
        <f>IFERROR(__xludf.DUMMYFUNCTION("""COMPUTED_VALUE"""),"Damage your opponent's Spell Book when you win the Battle as an Attacker. When you inflict Damage or Injury, your opponent cannot apply the effects of their MAMODO cards during their next turn. This effect is [STANDBY] during this turn, and [STAY] during "&amp;"the next turn.")</f>
        <v>Damage your opponent's Spell Book when you win the Battle as an Attacker. When you inflict Damage or Injury, your opponent cannot apply the effects of their MAMODO cards during their next turn. This effect is [STANDBY] during this turn, and [STAY] during the next turn.</v>
      </c>
      <c r="J1323" s="42" t="str">
        <f>IFERROR(__xludf.DUMMYFUNCTION("""COMPUTED_VALUE"""),"+5000")</f>
        <v>+5000</v>
      </c>
      <c r="K1323" s="42">
        <f>IFERROR(__xludf.DUMMYFUNCTION("""COMPUTED_VALUE"""),3.0)</f>
        <v>3</v>
      </c>
      <c r="L1323" s="42" t="str">
        <f>IFERROR(__xludf.DUMMYFUNCTION("""COMPUTED_VALUE"""),"-")</f>
        <v>-</v>
      </c>
      <c r="M1323" s="42" t="str">
        <f>IFERROR(__xludf.DUMMYFUNCTION("""COMPUTED_VALUE"""),"[R]")</f>
        <v>[R]</v>
      </c>
      <c r="N1323" s="42" t="str">
        <f>IFERROR(__xludf.DUMMYFUNCTION("""COMPUTED_VALUE"""),"Dogmos' 2nd spell. A massive cobra made from stone bares its fangs at its prey.")</f>
        <v>Dogmos' 2nd spell. A massive cobra made from stone bares its fangs at its prey.</v>
      </c>
      <c r="O1323" s="42"/>
      <c r="P1323" s="42"/>
      <c r="Q1323" s="42"/>
      <c r="R1323" s="42"/>
      <c r="S1323" s="42"/>
      <c r="T1323" s="42"/>
      <c r="U1323" s="42"/>
      <c r="V1323" s="42"/>
      <c r="W1323" s="42"/>
      <c r="X1323" s="42"/>
      <c r="Y1323" s="42"/>
      <c r="Z1323" s="42"/>
    </row>
    <row r="1324">
      <c r="A1324" s="41" t="str">
        <f>IFERROR(__xludf.DUMMYFUNCTION("""COMPUTED_VALUE"""),"S-196")</f>
        <v>S-196</v>
      </c>
      <c r="B1324" s="42" t="str">
        <f>IFERROR(__xludf.DUMMYFUNCTION("""COMPUTED_VALUE"""),"Spell")</f>
        <v>Spell</v>
      </c>
      <c r="C1324" s="42" t="str">
        <f>IFERROR(__xludf.DUMMYFUNCTION("""COMPUTED_VALUE"""),"Biraitsu")</f>
        <v>Biraitsu</v>
      </c>
      <c r="D1324" s="42" t="str">
        <f>IFERROR(__xludf.DUMMYFUNCTION("""COMPUTED_VALUE"""),"Erujo")</f>
        <v>Erujo</v>
      </c>
      <c r="E1324" s="42">
        <f>IFERROR(__xludf.DUMMYFUNCTION("""COMPUTED_VALUE"""),1.0)</f>
        <v>1</v>
      </c>
      <c r="F1324" s="42" t="str">
        <f>IFERROR(__xludf.DUMMYFUNCTION("""COMPUTED_VALUE"""),"A")</f>
        <v>A</v>
      </c>
      <c r="G1324" s="42" t="str">
        <f>IFERROR(__xludf.DUMMYFUNCTION("""COMPUTED_VALUE"""),"None")</f>
        <v>None</v>
      </c>
      <c r="H1324" s="42" t="str">
        <f>IFERROR(__xludf.DUMMYFUNCTION("""COMPUTED_VALUE"""),"-")</f>
        <v>-</v>
      </c>
      <c r="I1324" s="43" t="str">
        <f>IFERROR(__xludf.DUMMYFUNCTION("""COMPUTED_VALUE"""),"Damage your opponent's Spell Book when you win the Battle as an Attacker. Flip a coin; if it's heads, add 2000 Power to this SPELL card.")</f>
        <v>Damage your opponent's Spell Book when you win the Battle as an Attacker. Flip a coin; if it's heads, add 2000 Power to this SPELL card.</v>
      </c>
      <c r="J1324" s="42" t="str">
        <f>IFERROR(__xludf.DUMMYFUNCTION("""COMPUTED_VALUE"""),"+3000")</f>
        <v>+3000</v>
      </c>
      <c r="K1324" s="42">
        <f>IFERROR(__xludf.DUMMYFUNCTION("""COMPUTED_VALUE"""),1.0)</f>
        <v>1</v>
      </c>
      <c r="L1324" s="42" t="str">
        <f>IFERROR(__xludf.DUMMYFUNCTION("""COMPUTED_VALUE"""),"-")</f>
        <v>-</v>
      </c>
      <c r="M1324" s="42" t="str">
        <f>IFERROR(__xludf.DUMMYFUNCTION("""COMPUTED_VALUE"""),"[C]")</f>
        <v>[C]</v>
      </c>
      <c r="N1324" s="42" t="str">
        <f>IFERROR(__xludf.DUMMYFUNCTION("""COMPUTED_VALUE"""),"Erujo's 1st spell. He joins both hands together and fires a light ray from his fingertips.")</f>
        <v>Erujo's 1st spell. He joins both hands together and fires a light ray from his fingertips.</v>
      </c>
      <c r="O1324" s="42"/>
      <c r="P1324" s="42"/>
      <c r="Q1324" s="42"/>
      <c r="R1324" s="42"/>
      <c r="S1324" s="42"/>
      <c r="T1324" s="42"/>
      <c r="U1324" s="42"/>
      <c r="V1324" s="42"/>
      <c r="W1324" s="42"/>
      <c r="X1324" s="42"/>
      <c r="Y1324" s="42"/>
      <c r="Z1324" s="42"/>
    </row>
    <row r="1325">
      <c r="A1325" s="41" t="str">
        <f>IFERROR(__xludf.DUMMYFUNCTION("""COMPUTED_VALUE"""),"S-197")</f>
        <v>S-197</v>
      </c>
      <c r="B1325" s="42" t="str">
        <f>IFERROR(__xludf.DUMMYFUNCTION("""COMPUTED_VALUE"""),"Spell")</f>
        <v>Spell</v>
      </c>
      <c r="C1325" s="42" t="str">
        <f>IFERROR(__xludf.DUMMYFUNCTION("""COMPUTED_VALUE"""),"Bireiorudo")</f>
        <v>Bireiorudo</v>
      </c>
      <c r="D1325" s="42" t="str">
        <f>IFERROR(__xludf.DUMMYFUNCTION("""COMPUTED_VALUE"""),"Erujo")</f>
        <v>Erujo</v>
      </c>
      <c r="E1325" s="42">
        <f>IFERROR(__xludf.DUMMYFUNCTION("""COMPUTED_VALUE"""),3.0)</f>
        <v>3</v>
      </c>
      <c r="F1325" s="42" t="str">
        <f>IFERROR(__xludf.DUMMYFUNCTION("""COMPUTED_VALUE"""),"AD")</f>
        <v>AD</v>
      </c>
      <c r="G1325" s="42" t="str">
        <f>IFERROR(__xludf.DUMMYFUNCTION("""COMPUTED_VALUE"""),"None")</f>
        <v>None</v>
      </c>
      <c r="H1325" s="42" t="str">
        <f>IFERROR(__xludf.DUMMYFUNCTION("""COMPUTED_VALUE"""),"-")</f>
        <v>-</v>
      </c>
      <c r="I1325" s="43" t="str">
        <f>IFERROR(__xludf.DUMMYFUNCTION("""COMPUTED_VALUE"""),"● When used for Attacking, Damage your opponent's Spell Book when you win the Battle as an Attacker. ● When used for Defending, if the Total Power of your opponent's Attack is 7500 or less, negate the Attack.")</f>
        <v>● When used for Attacking, Damage your opponent's Spell Book when you win the Battle as an Attacker. ● When used for Defending, if the Total Power of your opponent's Attack is 7500 or less, negate the Attack.</v>
      </c>
      <c r="J1325" s="42" t="str">
        <f>IFERROR(__xludf.DUMMYFUNCTION("""COMPUTED_VALUE"""),"+3000")</f>
        <v>+3000</v>
      </c>
      <c r="K1325" s="42">
        <f>IFERROR(__xludf.DUMMYFUNCTION("""COMPUTED_VALUE"""),2.0)</f>
        <v>2</v>
      </c>
      <c r="L1325" s="42" t="str">
        <f>IFERROR(__xludf.DUMMYFUNCTION("""COMPUTED_VALUE"""),"-")</f>
        <v>-</v>
      </c>
      <c r="M1325" s="42" t="str">
        <f>IFERROR(__xludf.DUMMYFUNCTION("""COMPUTED_VALUE"""),"[C]")</f>
        <v>[C]</v>
      </c>
      <c r="N1325" s="42" t="str">
        <f>IFERROR(__xludf.DUMMYFUNCTION("""COMPUTED_VALUE"""),"Erujo's 2nd spell. A ring of light that can be wielded like a disc to repel enemy attacks.")</f>
        <v>Erujo's 2nd spell. A ring of light that can be wielded like a disc to repel enemy attacks.</v>
      </c>
      <c r="O1325" s="42"/>
      <c r="P1325" s="42"/>
      <c r="Q1325" s="42"/>
      <c r="R1325" s="42"/>
      <c r="S1325" s="42"/>
      <c r="T1325" s="42"/>
      <c r="U1325" s="42"/>
      <c r="V1325" s="42"/>
      <c r="W1325" s="42"/>
      <c r="X1325" s="42"/>
      <c r="Y1325" s="42"/>
      <c r="Z1325" s="42"/>
    </row>
    <row r="1326">
      <c r="A1326" s="41" t="str">
        <f>IFERROR(__xludf.DUMMYFUNCTION("""COMPUTED_VALUE"""),"S-198")</f>
        <v>S-198</v>
      </c>
      <c r="B1326" s="42" t="str">
        <f>IFERROR(__xludf.DUMMYFUNCTION("""COMPUTED_VALUE"""),"Spell")</f>
        <v>Spell</v>
      </c>
      <c r="C1326" s="42" t="str">
        <f>IFERROR(__xludf.DUMMYFUNCTION("""COMPUTED_VALUE"""),"Ganzu Biraitsu")</f>
        <v>Ganzu Biraitsu</v>
      </c>
      <c r="D1326" s="42" t="str">
        <f>IFERROR(__xludf.DUMMYFUNCTION("""COMPUTED_VALUE"""),"Erujo")</f>
        <v>Erujo</v>
      </c>
      <c r="E1326" s="42">
        <f>IFERROR(__xludf.DUMMYFUNCTION("""COMPUTED_VALUE"""),3.0)</f>
        <v>3</v>
      </c>
      <c r="F1326" s="42" t="str">
        <f>IFERROR(__xludf.DUMMYFUNCTION("""COMPUTED_VALUE"""),"A")</f>
        <v>A</v>
      </c>
      <c r="G1326" s="42" t="str">
        <f>IFERROR(__xludf.DUMMYFUNCTION("""COMPUTED_VALUE"""),"Intermediate")</f>
        <v>Intermediate</v>
      </c>
      <c r="H1326" s="42" t="str">
        <f>IFERROR(__xludf.DUMMYFUNCTION("""COMPUTED_VALUE"""),"-")</f>
        <v>-</v>
      </c>
      <c r="I1326" s="43" t="str">
        <f>IFERROR(__xludf.DUMMYFUNCTION("""COMPUTED_VALUE"""),"When you win the Battle as an Attacker, select 1 of your opponent's MAMODO cards and flip a coin: ● Heads: Injure the selected MAMODO card. ● Tails: Send the PARTNER card attached to the selected MAMODO card to the Discard Pile.")</f>
        <v>When you win the Battle as an Attacker, select 1 of your opponent's MAMODO cards and flip a coin: ● Heads: Injure the selected MAMODO card. ● Tails: Send the PARTNER card attached to the selected MAMODO card to the Discard Pile.</v>
      </c>
      <c r="J1326" s="42" t="str">
        <f>IFERROR(__xludf.DUMMYFUNCTION("""COMPUTED_VALUE"""),"+3000")</f>
        <v>+3000</v>
      </c>
      <c r="K1326" s="42" t="str">
        <f>IFERROR(__xludf.DUMMYFUNCTION("""COMPUTED_VALUE"""),"-")</f>
        <v>-</v>
      </c>
      <c r="L1326" s="42" t="str">
        <f>IFERROR(__xludf.DUMMYFUNCTION("""COMPUTED_VALUE"""),"-")</f>
        <v>-</v>
      </c>
      <c r="M1326" s="42" t="str">
        <f>IFERROR(__xludf.DUMMYFUNCTION("""COMPUTED_VALUE"""),"[U]")</f>
        <v>[U]</v>
      </c>
      <c r="N1326" s="42" t="str">
        <f>IFERROR(__xludf.DUMMYFUNCTION("""COMPUTED_VALUE"""),"Erujo's 3rd spell. An attack that bombards the enemy with countless light beams from multiple directions.")</f>
        <v>Erujo's 3rd spell. An attack that bombards the enemy with countless light beams from multiple directions.</v>
      </c>
      <c r="O1326" s="42"/>
      <c r="P1326" s="42"/>
      <c r="Q1326" s="42"/>
      <c r="R1326" s="42"/>
      <c r="S1326" s="42"/>
      <c r="T1326" s="42"/>
      <c r="U1326" s="42"/>
      <c r="V1326" s="42"/>
      <c r="W1326" s="42"/>
      <c r="X1326" s="42"/>
      <c r="Y1326" s="42"/>
      <c r="Z1326" s="42"/>
    </row>
    <row r="1327">
      <c r="A1327" s="41" t="str">
        <f>IFERROR(__xludf.DUMMYFUNCTION("""COMPUTED_VALUE"""),"S-199")</f>
        <v>S-199</v>
      </c>
      <c r="B1327" s="42" t="str">
        <f>IFERROR(__xludf.DUMMYFUNCTION("""COMPUTED_VALUE"""),"Spell")</f>
        <v>Spell</v>
      </c>
      <c r="C1327" s="42" t="str">
        <f>IFERROR(__xludf.DUMMYFUNCTION("""COMPUTED_VALUE"""),"Daibara Biranga")</f>
        <v>Daibara Biranga</v>
      </c>
      <c r="D1327" s="42" t="str">
        <f>IFERROR(__xludf.DUMMYFUNCTION("""COMPUTED_VALUE"""),"Erujo")</f>
        <v>Erujo</v>
      </c>
      <c r="E1327" s="42">
        <f>IFERROR(__xludf.DUMMYFUNCTION("""COMPUTED_VALUE"""),7.0)</f>
        <v>7</v>
      </c>
      <c r="F1327" s="42" t="str">
        <f>IFERROR(__xludf.DUMMYFUNCTION("""COMPUTED_VALUE"""),"AD")</f>
        <v>AD</v>
      </c>
      <c r="G1327" s="42" t="str">
        <f>IFERROR(__xludf.DUMMYFUNCTION("""COMPUTED_VALUE"""),"Superior")</f>
        <v>Superior</v>
      </c>
      <c r="H1327" s="42" t="str">
        <f>IFERROR(__xludf.DUMMYFUNCTION("""COMPUTED_VALUE"""),"-")</f>
        <v>-</v>
      </c>
      <c r="I1327" s="43" t="str">
        <f>IFERROR(__xludf.DUMMYFUNCTION("""COMPUTED_VALUE"""),"Damage your opponent's Spell Book when you win the Battle as an Attacker. When you inflict Damage or Injury, send all of your opponent's in-play PARTNER cards to the Discard Pile.")</f>
        <v>Damage your opponent's Spell Book when you win the Battle as an Attacker. When you inflict Damage or Injury, send all of your opponent's in-play PARTNER cards to the Discard Pile.</v>
      </c>
      <c r="J1327" s="42" t="str">
        <f>IFERROR(__xludf.DUMMYFUNCTION("""COMPUTED_VALUE"""),"+7000")</f>
        <v>+7000</v>
      </c>
      <c r="K1327" s="42">
        <f>IFERROR(__xludf.DUMMYFUNCTION("""COMPUTED_VALUE"""),3.0)</f>
        <v>3</v>
      </c>
      <c r="L1327" s="42" t="str">
        <f>IFERROR(__xludf.DUMMYFUNCTION("""COMPUTED_VALUE"""),"-")</f>
        <v>-</v>
      </c>
      <c r="M1327" s="42" t="str">
        <f>IFERROR(__xludf.DUMMYFUNCTION("""COMPUTED_VALUE"""),"[R]")</f>
        <v>[R]</v>
      </c>
      <c r="N1327" s="42" t="str">
        <f>IFERROR(__xludf.DUMMYFUNCTION("""COMPUTED_VALUE"""),"Erujo's 4th spell. A beam of light morphs into a giant mysterious beast that lays waste to its enemies.")</f>
        <v>Erujo's 4th spell. A beam of light morphs into a giant mysterious beast that lays waste to its enemies.</v>
      </c>
      <c r="O1327" s="42"/>
      <c r="P1327" s="42"/>
      <c r="Q1327" s="42"/>
      <c r="R1327" s="42"/>
      <c r="S1327" s="42"/>
      <c r="T1327" s="42"/>
      <c r="U1327" s="42"/>
      <c r="V1327" s="42"/>
      <c r="W1327" s="42"/>
      <c r="X1327" s="42"/>
      <c r="Y1327" s="42"/>
      <c r="Z1327" s="42"/>
    </row>
    <row r="1328">
      <c r="A1328" s="41" t="str">
        <f>IFERROR(__xludf.DUMMYFUNCTION("""COMPUTED_VALUE"""),"S-200")</f>
        <v>S-200</v>
      </c>
      <c r="B1328" s="42" t="str">
        <f>IFERROR(__xludf.DUMMYFUNCTION("""COMPUTED_VALUE"""),"Spell")</f>
        <v>Spell</v>
      </c>
      <c r="C1328" s="42" t="str">
        <f>IFERROR(__xludf.DUMMYFUNCTION("""COMPUTED_VALUE"""),"Neshir")</f>
        <v>Neshir</v>
      </c>
      <c r="D1328" s="42" t="str">
        <f>IFERROR(__xludf.DUMMYFUNCTION("""COMPUTED_VALUE"""),"Alm")</f>
        <v>Alm</v>
      </c>
      <c r="E1328" s="42">
        <f>IFERROR(__xludf.DUMMYFUNCTION("""COMPUTED_VALUE"""),1.0)</f>
        <v>1</v>
      </c>
      <c r="F1328" s="42" t="str">
        <f>IFERROR(__xludf.DUMMYFUNCTION("""COMPUTED_VALUE"""),"AD")</f>
        <v>AD</v>
      </c>
      <c r="G1328" s="42" t="str">
        <f>IFERROR(__xludf.DUMMYFUNCTION("""COMPUTED_VALUE"""),"None")</f>
        <v>None</v>
      </c>
      <c r="H1328" s="42" t="str">
        <f>IFERROR(__xludf.DUMMYFUNCTION("""COMPUTED_VALUE"""),"-")</f>
        <v>-</v>
      </c>
      <c r="I1328" s="43" t="str">
        <f>IFERROR(__xludf.DUMMYFUNCTION("""COMPUTED_VALUE"""),"Damage your opponent's Spell Book when you win the Battle as an Attacker.")</f>
        <v>Damage your opponent's Spell Book when you win the Battle as an Attacker.</v>
      </c>
      <c r="J1328" s="42" t="str">
        <f>IFERROR(__xludf.DUMMYFUNCTION("""COMPUTED_VALUE"""),"+2000")</f>
        <v>+2000</v>
      </c>
      <c r="K1328" s="42">
        <f>IFERROR(__xludf.DUMMYFUNCTION("""COMPUTED_VALUE"""),1.0)</f>
        <v>1</v>
      </c>
      <c r="L1328" s="42" t="str">
        <f>IFERROR(__xludf.DUMMYFUNCTION("""COMPUTED_VALUE"""),"-")</f>
        <v>-</v>
      </c>
      <c r="M1328" s="42" t="str">
        <f>IFERROR(__xludf.DUMMYFUNCTION("""COMPUTED_VALUE"""),"[C]")</f>
        <v>[C]</v>
      </c>
      <c r="N1328" s="42" t="str">
        <f>IFERROR(__xludf.DUMMYFUNCTION("""COMPUTED_VALUE"""),"Alm's 1st spell. A highly destructive energy ball is launched at the opponent.")</f>
        <v>Alm's 1st spell. A highly destructive energy ball is launched at the opponent.</v>
      </c>
      <c r="O1328" s="42"/>
      <c r="P1328" s="42"/>
      <c r="Q1328" s="42"/>
      <c r="R1328" s="42"/>
      <c r="S1328" s="42"/>
      <c r="T1328" s="42"/>
      <c r="U1328" s="42"/>
      <c r="V1328" s="42"/>
      <c r="W1328" s="42"/>
      <c r="X1328" s="42"/>
      <c r="Y1328" s="42"/>
      <c r="Z1328" s="42"/>
    </row>
    <row r="1329">
      <c r="A1329" s="41" t="str">
        <f>IFERROR(__xludf.DUMMYFUNCTION("""COMPUTED_VALUE"""),"S-201")</f>
        <v>S-201</v>
      </c>
      <c r="B1329" s="42" t="str">
        <f>IFERROR(__xludf.DUMMYFUNCTION("""COMPUTED_VALUE"""),"Spell")</f>
        <v>Spell</v>
      </c>
      <c r="C1329" s="42" t="str">
        <f>IFERROR(__xludf.DUMMYFUNCTION("""COMPUTED_VALUE"""),"Neshiruga")</f>
        <v>Neshiruga</v>
      </c>
      <c r="D1329" s="42" t="str">
        <f>IFERROR(__xludf.DUMMYFUNCTION("""COMPUTED_VALUE"""),"Alm")</f>
        <v>Alm</v>
      </c>
      <c r="E1329" s="42">
        <f>IFERROR(__xludf.DUMMYFUNCTION("""COMPUTED_VALUE"""),2.0)</f>
        <v>2</v>
      </c>
      <c r="F1329" s="42" t="str">
        <f>IFERROR(__xludf.DUMMYFUNCTION("""COMPUTED_VALUE"""),"AD")</f>
        <v>AD</v>
      </c>
      <c r="G1329" s="42" t="str">
        <f>IFERROR(__xludf.DUMMYFUNCTION("""COMPUTED_VALUE"""),"None")</f>
        <v>None</v>
      </c>
      <c r="H1329" s="42" t="str">
        <f>IFERROR(__xludf.DUMMYFUNCTION("""COMPUTED_VALUE"""),"-")</f>
        <v>-</v>
      </c>
      <c r="I1329" s="43" t="str">
        <f>IFERROR(__xludf.DUMMYFUNCTION("""COMPUTED_VALUE"""),"Damage your opponent's Spell Book when you win the Battle as an Attacker. Flip a coin; if it's heads, this SPELL card cannot be Defended.")</f>
        <v>Damage your opponent's Spell Book when you win the Battle as an Attacker. Flip a coin; if it's heads, this SPELL card cannot be Defended.</v>
      </c>
      <c r="J1329" s="42" t="str">
        <f>IFERROR(__xludf.DUMMYFUNCTION("""COMPUTED_VALUE"""),"+3000")</f>
        <v>+3000</v>
      </c>
      <c r="K1329" s="42">
        <f>IFERROR(__xludf.DUMMYFUNCTION("""COMPUTED_VALUE"""),2.0)</f>
        <v>2</v>
      </c>
      <c r="L1329" s="42" t="str">
        <f>IFERROR(__xludf.DUMMYFUNCTION("""COMPUTED_VALUE"""),"-")</f>
        <v>-</v>
      </c>
      <c r="M1329" s="42" t="str">
        <f>IFERROR(__xludf.DUMMYFUNCTION("""COMPUTED_VALUE"""),"[C]")</f>
        <v>[C]</v>
      </c>
      <c r="N1329" s="42" t="str">
        <f>IFERROR(__xludf.DUMMYFUNCTION("""COMPUTED_VALUE"""),"Alm's 2nd spell. An energy sphere with even greater destructive force than Neshir.")</f>
        <v>Alm's 2nd spell. An energy sphere with even greater destructive force than Neshir.</v>
      </c>
      <c r="O1329" s="42"/>
      <c r="P1329" s="42"/>
      <c r="Q1329" s="42"/>
      <c r="R1329" s="42"/>
      <c r="S1329" s="42"/>
      <c r="T1329" s="42"/>
      <c r="U1329" s="42"/>
      <c r="V1329" s="42"/>
      <c r="W1329" s="42"/>
      <c r="X1329" s="42"/>
      <c r="Y1329" s="42"/>
      <c r="Z1329" s="42"/>
    </row>
    <row r="1330">
      <c r="A1330" s="41" t="str">
        <f>IFERROR(__xludf.DUMMYFUNCTION("""COMPUTED_VALUE"""),"S-202")</f>
        <v>S-202</v>
      </c>
      <c r="B1330" s="42" t="str">
        <f>IFERROR(__xludf.DUMMYFUNCTION("""COMPUTED_VALUE"""),"Spell")</f>
        <v>Spell</v>
      </c>
      <c r="C1330" s="42" t="str">
        <f>IFERROR(__xludf.DUMMYFUNCTION("""COMPUTED_VALUE"""),"Ganjas Neshiruga")</f>
        <v>Ganjas Neshiruga</v>
      </c>
      <c r="D1330" s="42" t="str">
        <f>IFERROR(__xludf.DUMMYFUNCTION("""COMPUTED_VALUE"""),"Alm")</f>
        <v>Alm</v>
      </c>
      <c r="E1330" s="42">
        <f>IFERROR(__xludf.DUMMYFUNCTION("""COMPUTED_VALUE"""),3.0)</f>
        <v>3</v>
      </c>
      <c r="F1330" s="42" t="str">
        <f>IFERROR(__xludf.DUMMYFUNCTION("""COMPUTED_VALUE"""),"AD")</f>
        <v>AD</v>
      </c>
      <c r="G1330" s="42" t="str">
        <f>IFERROR(__xludf.DUMMYFUNCTION("""COMPUTED_VALUE"""),"None")</f>
        <v>None</v>
      </c>
      <c r="H1330" s="42" t="str">
        <f>IFERROR(__xludf.DUMMYFUNCTION("""COMPUTED_VALUE"""),"-")</f>
        <v>-</v>
      </c>
      <c r="I1330" s="43" t="str">
        <f>IFERROR(__xludf.DUMMYFUNCTION("""COMPUTED_VALUE"""),"Damage your opponent's Spell Book when you win the Battle as an Attacker. When you inflict Damage or Injury, your opponent cannot apply the effects of their PARTNER cards until the END PHASE of their next turn ([STAY]).")</f>
        <v>Damage your opponent's Spell Book when you win the Battle as an Attacker. When you inflict Damage or Injury, your opponent cannot apply the effects of their PARTNER cards until the END PHASE of their next turn ([STAY]).</v>
      </c>
      <c r="J1330" s="42" t="str">
        <f>IFERROR(__xludf.DUMMYFUNCTION("""COMPUTED_VALUE"""),"+3000")</f>
        <v>+3000</v>
      </c>
      <c r="K1330" s="42">
        <f>IFERROR(__xludf.DUMMYFUNCTION("""COMPUTED_VALUE"""),2.0)</f>
        <v>2</v>
      </c>
      <c r="L1330" s="42" t="str">
        <f>IFERROR(__xludf.DUMMYFUNCTION("""COMPUTED_VALUE"""),"-")</f>
        <v>-</v>
      </c>
      <c r="M1330" s="42" t="str">
        <f>IFERROR(__xludf.DUMMYFUNCTION("""COMPUTED_VALUE"""),"[U]")</f>
        <v>[U]</v>
      </c>
      <c r="N1330" s="42" t="str">
        <f>IFERROR(__xludf.DUMMYFUNCTION("""COMPUTED_VALUE"""),"Alm's 3rd spell. Numerous energy bullets erupt from the ground in quick succession.")</f>
        <v>Alm's 3rd spell. Numerous energy bullets erupt from the ground in quick succession.</v>
      </c>
      <c r="O1330" s="42"/>
      <c r="P1330" s="42"/>
      <c r="Q1330" s="42"/>
      <c r="R1330" s="42"/>
      <c r="S1330" s="42"/>
      <c r="T1330" s="42"/>
      <c r="U1330" s="42"/>
      <c r="V1330" s="42"/>
      <c r="W1330" s="42"/>
      <c r="X1330" s="42"/>
      <c r="Y1330" s="42"/>
      <c r="Z1330" s="42"/>
    </row>
    <row r="1331">
      <c r="A1331" s="41" t="str">
        <f>IFERROR(__xludf.DUMMYFUNCTION("""COMPUTED_VALUE"""),"S-203")</f>
        <v>S-203</v>
      </c>
      <c r="B1331" s="42" t="str">
        <f>IFERROR(__xludf.DUMMYFUNCTION("""COMPUTED_VALUE"""),"Spell")</f>
        <v>Spell</v>
      </c>
      <c r="C1331" s="42" t="str">
        <f>IFERROR(__xludf.DUMMYFUNCTION("""COMPUTED_VALUE"""),"Egdoris Neshiruga")</f>
        <v>Egdoris Neshiruga</v>
      </c>
      <c r="D1331" s="42" t="str">
        <f>IFERROR(__xludf.DUMMYFUNCTION("""COMPUTED_VALUE"""),"Alm")</f>
        <v>Alm</v>
      </c>
      <c r="E1331" s="42">
        <f>IFERROR(__xludf.DUMMYFUNCTION("""COMPUTED_VALUE"""),6.0)</f>
        <v>6</v>
      </c>
      <c r="F1331" s="42" t="str">
        <f>IFERROR(__xludf.DUMMYFUNCTION("""COMPUTED_VALUE"""),"AD")</f>
        <v>AD</v>
      </c>
      <c r="G1331" s="42" t="str">
        <f>IFERROR(__xludf.DUMMYFUNCTION("""COMPUTED_VALUE"""),"Superior")</f>
        <v>Superior</v>
      </c>
      <c r="H1331" s="42" t="str">
        <f>IFERROR(__xludf.DUMMYFUNCTION("""COMPUTED_VALUE"""),"-")</f>
        <v>-</v>
      </c>
      <c r="I1331" s="43" t="str">
        <f>IFERROR(__xludf.DUMMYFUNCTION("""COMPUTED_VALUE"""),"Damage your opponent's Spell Book when you win the Battle as an Attacker. Flip a coin 3 times; the Damage of this SPELL card is considered to be the same as the number of heads you get times 2.")</f>
        <v>Damage your opponent's Spell Book when you win the Battle as an Attacker. Flip a coin 3 times; the Damage of this SPELL card is considered to be the same as the number of heads you get times 2.</v>
      </c>
      <c r="J1331" s="42" t="str">
        <f>IFERROR(__xludf.DUMMYFUNCTION("""COMPUTED_VALUE"""),"+6000")</f>
        <v>+6000</v>
      </c>
      <c r="K1331" s="42" t="str">
        <f>IFERROR(__xludf.DUMMYFUNCTION("""COMPUTED_VALUE"""),"?")</f>
        <v>?</v>
      </c>
      <c r="L1331" s="42" t="str">
        <f>IFERROR(__xludf.DUMMYFUNCTION("""COMPUTED_VALUE"""),"-")</f>
        <v>-</v>
      </c>
      <c r="M1331" s="42" t="str">
        <f>IFERROR(__xludf.DUMMYFUNCTION("""COMPUTED_VALUE"""),"[R]")</f>
        <v>[R]</v>
      </c>
      <c r="N1331" s="42" t="str">
        <f>IFERROR(__xludf.DUMMYFUNCTION("""COMPUTED_VALUE"""),"Alm's 4th spell. A giant, pyramid-shaped object appears and crashes into the enemy.")</f>
        <v>Alm's 4th spell. A giant, pyramid-shaped object appears and crashes into the enemy.</v>
      </c>
      <c r="O1331" s="42"/>
      <c r="P1331" s="42"/>
      <c r="Q1331" s="42"/>
      <c r="R1331" s="42"/>
      <c r="S1331" s="42"/>
      <c r="T1331" s="42"/>
      <c r="U1331" s="42"/>
      <c r="V1331" s="42"/>
      <c r="W1331" s="42"/>
      <c r="X1331" s="42"/>
      <c r="Y1331" s="42"/>
      <c r="Z1331" s="42"/>
    </row>
    <row r="1332">
      <c r="A1332" s="41" t="str">
        <f>IFERROR(__xludf.DUMMYFUNCTION("""COMPUTED_VALUE"""),"S-204")</f>
        <v>S-204</v>
      </c>
      <c r="B1332" s="42" t="str">
        <f>IFERROR(__xludf.DUMMYFUNCTION("""COMPUTED_VALUE"""),"Spell")</f>
        <v>Spell</v>
      </c>
      <c r="C1332" s="42" t="str">
        <f>IFERROR(__xludf.DUMMYFUNCTION("""COMPUTED_VALUE"""),"Degaruk")</f>
        <v>Degaruk</v>
      </c>
      <c r="D1332" s="42" t="str">
        <f>IFERROR(__xludf.DUMMYFUNCTION("""COMPUTED_VALUE"""),"Gelios")</f>
        <v>Gelios</v>
      </c>
      <c r="E1332" s="42">
        <f>IFERROR(__xludf.DUMMYFUNCTION("""COMPUTED_VALUE"""),2.0)</f>
        <v>2</v>
      </c>
      <c r="F1332" s="42" t="str">
        <f>IFERROR(__xludf.DUMMYFUNCTION("""COMPUTED_VALUE"""),"AD")</f>
        <v>AD</v>
      </c>
      <c r="G1332" s="42" t="str">
        <f>IFERROR(__xludf.DUMMYFUNCTION("""COMPUTED_VALUE"""),"None")</f>
        <v>None</v>
      </c>
      <c r="H1332" s="42" t="str">
        <f>IFERROR(__xludf.DUMMYFUNCTION("""COMPUTED_VALUE"""),"-")</f>
        <v>-</v>
      </c>
      <c r="I1332" s="43" t="str">
        <f>IFERROR(__xludf.DUMMYFUNCTION("""COMPUTED_VALUE"""),"Damage your opponent's Spell Book when you win the Battle as an Attacker. Flip a coin; if it's heads, apply one of the following effects: ● Add 2000 Power to this SPELL card. ● Increase the Damage of this SPELL card by 1.")</f>
        <v>Damage your opponent's Spell Book when you win the Battle as an Attacker. Flip a coin; if it's heads, apply one of the following effects: ● Add 2000 Power to this SPELL card. ● Increase the Damage of this SPELL card by 1.</v>
      </c>
      <c r="J1332" s="42" t="str">
        <f>IFERROR(__xludf.DUMMYFUNCTION("""COMPUTED_VALUE"""),"+2000")</f>
        <v>+2000</v>
      </c>
      <c r="K1332" s="42">
        <f>IFERROR(__xludf.DUMMYFUNCTION("""COMPUTED_VALUE"""),2.0)</f>
        <v>2</v>
      </c>
      <c r="L1332" s="42" t="str">
        <f>IFERROR(__xludf.DUMMYFUNCTION("""COMPUTED_VALUE"""),"-")</f>
        <v>-</v>
      </c>
      <c r="M1332" s="42" t="str">
        <f>IFERROR(__xludf.DUMMYFUNCTION("""COMPUTED_VALUE"""),"[C]")</f>
        <v>[C]</v>
      </c>
      <c r="N1332" s="42" t="str">
        <f>IFERROR(__xludf.DUMMYFUNCTION("""COMPUTED_VALUE"""),"Gelios' 1st spell. The horns on his head change shape as he enters battle mode.")</f>
        <v>Gelios' 1st spell. The horns on his head change shape as he enters battle mode.</v>
      </c>
      <c r="O1332" s="42"/>
      <c r="P1332" s="42"/>
      <c r="Q1332" s="42"/>
      <c r="R1332" s="42"/>
      <c r="S1332" s="42"/>
      <c r="T1332" s="42"/>
      <c r="U1332" s="42"/>
      <c r="V1332" s="42"/>
      <c r="W1332" s="42"/>
      <c r="X1332" s="42"/>
      <c r="Y1332" s="42"/>
      <c r="Z1332" s="42"/>
    </row>
    <row r="1333">
      <c r="A1333" s="41" t="str">
        <f>IFERROR(__xludf.DUMMYFUNCTION("""COMPUTED_VALUE"""),"S-205")</f>
        <v>S-205</v>
      </c>
      <c r="B1333" s="42" t="str">
        <f>IFERROR(__xludf.DUMMYFUNCTION("""COMPUTED_VALUE"""),"Spell")</f>
        <v>Spell</v>
      </c>
      <c r="C1333" s="42" t="str">
        <f>IFERROR(__xludf.DUMMYFUNCTION("""COMPUTED_VALUE"""),"Garuderuk")</f>
        <v>Garuderuk</v>
      </c>
      <c r="D1333" s="42" t="str">
        <f>IFERROR(__xludf.DUMMYFUNCTION("""COMPUTED_VALUE"""),"Gelios")</f>
        <v>Gelios</v>
      </c>
      <c r="E1333" s="42">
        <f>IFERROR(__xludf.DUMMYFUNCTION("""COMPUTED_VALUE"""),3.0)</f>
        <v>3</v>
      </c>
      <c r="F1333" s="42" t="str">
        <f>IFERROR(__xludf.DUMMYFUNCTION("""COMPUTED_VALUE"""),"A")</f>
        <v>A</v>
      </c>
      <c r="G1333" s="42" t="str">
        <f>IFERROR(__xludf.DUMMYFUNCTION("""COMPUTED_VALUE"""),"None")</f>
        <v>None</v>
      </c>
      <c r="H1333" s="42" t="str">
        <f>IFERROR(__xludf.DUMMYFUNCTION("""COMPUTED_VALUE"""),"-")</f>
        <v>-</v>
      </c>
      <c r="I1333" s="43" t="str">
        <f>IFERROR(__xludf.DUMMYFUNCTION("""COMPUTED_VALUE"""),"Damage your opponent's Spell Book when you win the Battle as an Attacker. Flip a coin; if it's heads, your opponent can neither SACRIFICE nor PROTECT their Spell Book from this SPELL card's Damage.")</f>
        <v>Damage your opponent's Spell Book when you win the Battle as an Attacker. Flip a coin; if it's heads, your opponent can neither SACRIFICE nor PROTECT their Spell Book from this SPELL card's Damage.</v>
      </c>
      <c r="J1333" s="42" t="str">
        <f>IFERROR(__xludf.DUMMYFUNCTION("""COMPUTED_VALUE"""),"+3000")</f>
        <v>+3000</v>
      </c>
      <c r="K1333" s="42">
        <f>IFERROR(__xludf.DUMMYFUNCTION("""COMPUTED_VALUE"""),2.0)</f>
        <v>2</v>
      </c>
      <c r="L1333" s="42" t="str">
        <f>IFERROR(__xludf.DUMMYFUNCTION("""COMPUTED_VALUE"""),"-")</f>
        <v>-</v>
      </c>
      <c r="M1333" s="42" t="str">
        <f>IFERROR(__xludf.DUMMYFUNCTION("""COMPUTED_VALUE"""),"[U]")</f>
        <v>[U]</v>
      </c>
      <c r="N1333" s="42" t="str">
        <f>IFERROR(__xludf.DUMMYFUNCTION("""COMPUTED_VALUE"""),"Gelios' 2nd spell. He rushes the opponent with his fangs bared, spinning at high speed.")</f>
        <v>Gelios' 2nd spell. He rushes the opponent with his fangs bared, spinning at high speed.</v>
      </c>
      <c r="O1333" s="42"/>
      <c r="P1333" s="42"/>
      <c r="Q1333" s="42"/>
      <c r="R1333" s="42"/>
      <c r="S1333" s="42"/>
      <c r="T1333" s="42"/>
      <c r="U1333" s="42"/>
      <c r="V1333" s="42"/>
      <c r="W1333" s="42"/>
      <c r="X1333" s="42"/>
      <c r="Y1333" s="42"/>
      <c r="Z1333" s="42"/>
    </row>
    <row r="1334">
      <c r="A1334" s="41" t="str">
        <f>IFERROR(__xludf.DUMMYFUNCTION("""COMPUTED_VALUE"""),"S-206")</f>
        <v>S-206</v>
      </c>
      <c r="B1334" s="42" t="str">
        <f>IFERROR(__xludf.DUMMYFUNCTION("""COMPUTED_VALUE"""),"Spell")</f>
        <v>Spell</v>
      </c>
      <c r="C1334" s="42" t="str">
        <f>IFERROR(__xludf.DUMMYFUNCTION("""COMPUTED_VALUE"""),"Gigano Dioderuk")</f>
        <v>Gigano Dioderuk</v>
      </c>
      <c r="D1334" s="42" t="str">
        <f>IFERROR(__xludf.DUMMYFUNCTION("""COMPUTED_VALUE"""),"Gelios")</f>
        <v>Gelios</v>
      </c>
      <c r="E1334" s="42">
        <f>IFERROR(__xludf.DUMMYFUNCTION("""COMPUTED_VALUE"""),6.0)</f>
        <v>6</v>
      </c>
      <c r="F1334" s="42" t="str">
        <f>IFERROR(__xludf.DUMMYFUNCTION("""COMPUTED_VALUE"""),"AD")</f>
        <v>AD</v>
      </c>
      <c r="G1334" s="42" t="str">
        <f>IFERROR(__xludf.DUMMYFUNCTION("""COMPUTED_VALUE"""),"Superior")</f>
        <v>Superior</v>
      </c>
      <c r="H1334" s="42" t="str">
        <f>IFERROR(__xludf.DUMMYFUNCTION("""COMPUTED_VALUE"""),"-")</f>
        <v>-</v>
      </c>
      <c r="I1334" s="43" t="str">
        <f>IFERROR(__xludf.DUMMYFUNCTION("""COMPUTED_VALUE"""),"Damage your opponent's Spell Book when you win the Battle as an Attacker. When you inflict Damage or Injury, look at your opponent's Spell Book. Select 1 EVENT card from any of the pages and send it to the Discard Pile.")</f>
        <v>Damage your opponent's Spell Book when you win the Battle as an Attacker. When you inflict Damage or Injury, look at your opponent's Spell Book. Select 1 EVENT card from any of the pages and send it to the Discard Pile.</v>
      </c>
      <c r="J1334" s="42" t="str">
        <f>IFERROR(__xludf.DUMMYFUNCTION("""COMPUTED_VALUE"""),"+4000")</f>
        <v>+4000</v>
      </c>
      <c r="K1334" s="42">
        <f>IFERROR(__xludf.DUMMYFUNCTION("""COMPUTED_VALUE"""),2.0)</f>
        <v>2</v>
      </c>
      <c r="L1334" s="42" t="str">
        <f>IFERROR(__xludf.DUMMYFUNCTION("""COMPUTED_VALUE"""),"-")</f>
        <v>-</v>
      </c>
      <c r="M1334" s="42" t="str">
        <f>IFERROR(__xludf.DUMMYFUNCTION("""COMPUTED_VALUE"""),"[R]")</f>
        <v>[R]</v>
      </c>
      <c r="N1334" s="42" t="str">
        <f>IFERROR(__xludf.DUMMYFUNCTION("""COMPUTED_VALUE"""),"Gelios' 3rd spell. One of the most powerful attack spells that strengthens and enlarges the head.")</f>
        <v>Gelios' 3rd spell. One of the most powerful attack spells that strengthens and enlarges the head.</v>
      </c>
      <c r="O1334" s="42"/>
      <c r="P1334" s="42"/>
      <c r="Q1334" s="42"/>
      <c r="R1334" s="42"/>
      <c r="S1334" s="42"/>
      <c r="T1334" s="42"/>
      <c r="U1334" s="42"/>
      <c r="V1334" s="42"/>
      <c r="W1334" s="42"/>
      <c r="X1334" s="42"/>
      <c r="Y1334" s="42"/>
      <c r="Z1334" s="42"/>
    </row>
    <row r="1335">
      <c r="A1335" s="41" t="str">
        <f>IFERROR(__xludf.DUMMYFUNCTION("""COMPUTED_VALUE"""),"S-207")</f>
        <v>S-207</v>
      </c>
      <c r="B1335" s="42" t="str">
        <f>IFERROR(__xludf.DUMMYFUNCTION("""COMPUTED_VALUE"""),"Spell")</f>
        <v>Spell</v>
      </c>
      <c r="C1335" s="42" t="str">
        <f>IFERROR(__xludf.DUMMYFUNCTION("""COMPUTED_VALUE"""),"Amuruk")</f>
        <v>Amuruk</v>
      </c>
      <c r="D1335" s="42" t="str">
        <f>IFERROR(__xludf.DUMMYFUNCTION("""COMPUTED_VALUE"""),"Gantz")</f>
        <v>Gantz</v>
      </c>
      <c r="E1335" s="42">
        <f>IFERROR(__xludf.DUMMYFUNCTION("""COMPUTED_VALUE"""),2.0)</f>
        <v>2</v>
      </c>
      <c r="F1335" s="42" t="str">
        <f>IFERROR(__xludf.DUMMYFUNCTION("""COMPUTED_VALUE"""),"A")</f>
        <v>A</v>
      </c>
      <c r="G1335" s="42" t="str">
        <f>IFERROR(__xludf.DUMMYFUNCTION("""COMPUTED_VALUE"""),"None")</f>
        <v>None</v>
      </c>
      <c r="H1335" s="42" t="str">
        <f>IFERROR(__xludf.DUMMYFUNCTION("""COMPUTED_VALUE"""),"-")</f>
        <v>-</v>
      </c>
      <c r="I1335" s="43" t="str">
        <f>IFERROR(__xludf.DUMMYFUNCTION("""COMPUTED_VALUE"""),"Add the text below to your Gantz MAMODO card until the END PHASE of your next turn: ● (Attack) [DECLARE TO USE] This card may Attack without using a SPELL card (Total Power=6000, Damage=2).")</f>
        <v>Add the text below to your Gantz MAMODO card until the END PHASE of your next turn: ● (Attack) [DECLARE TO USE] This card may Attack without using a SPELL card (Total Power=6000, Damage=2).</v>
      </c>
      <c r="J1335" s="42" t="str">
        <f>IFERROR(__xludf.DUMMYFUNCTION("""COMPUTED_VALUE"""),"Special")</f>
        <v>Special</v>
      </c>
      <c r="K1335" s="42" t="str">
        <f>IFERROR(__xludf.DUMMYFUNCTION("""COMPUTED_VALUE"""),"-")</f>
        <v>-</v>
      </c>
      <c r="L1335" s="42" t="str">
        <f>IFERROR(__xludf.DUMMYFUNCTION("""COMPUTED_VALUE"""),"-")</f>
        <v>-</v>
      </c>
      <c r="M1335" s="42" t="str">
        <f>IFERROR(__xludf.DUMMYFUNCTION("""COMPUTED_VALUE"""),"[C]")</f>
        <v>[C]</v>
      </c>
      <c r="N1335" s="42" t="str">
        <f>IFERROR(__xludf.DUMMYFUNCTION("""COMPUTED_VALUE"""),"Gantz's 1st spell. An enormous punch is thrown at the opponent.")</f>
        <v>Gantz's 1st spell. An enormous punch is thrown at the opponent.</v>
      </c>
      <c r="O1335" s="42"/>
      <c r="P1335" s="42"/>
      <c r="Q1335" s="42"/>
      <c r="R1335" s="42"/>
      <c r="S1335" s="42"/>
      <c r="T1335" s="42"/>
      <c r="U1335" s="42"/>
      <c r="V1335" s="42"/>
      <c r="W1335" s="42"/>
      <c r="X1335" s="42"/>
      <c r="Y1335" s="42"/>
      <c r="Z1335" s="42"/>
    </row>
    <row r="1336">
      <c r="A1336" s="41" t="str">
        <f>IFERROR(__xludf.DUMMYFUNCTION("""COMPUTED_VALUE"""),"S-208")</f>
        <v>S-208</v>
      </c>
      <c r="B1336" s="42" t="str">
        <f>IFERROR(__xludf.DUMMYFUNCTION("""COMPUTED_VALUE"""),"Spell")</f>
        <v>Spell</v>
      </c>
      <c r="C1336" s="42" t="str">
        <f>IFERROR(__xludf.DUMMYFUNCTION("""COMPUTED_VALUE"""),"Gigano Amuruk")</f>
        <v>Gigano Amuruk</v>
      </c>
      <c r="D1336" s="42" t="str">
        <f>IFERROR(__xludf.DUMMYFUNCTION("""COMPUTED_VALUE"""),"Gantz")</f>
        <v>Gantz</v>
      </c>
      <c r="E1336" s="42">
        <f>IFERROR(__xludf.DUMMYFUNCTION("""COMPUTED_VALUE"""),5.0)</f>
        <v>5</v>
      </c>
      <c r="F1336" s="42" t="str">
        <f>IFERROR(__xludf.DUMMYFUNCTION("""COMPUTED_VALUE"""),"A")</f>
        <v>A</v>
      </c>
      <c r="G1336" s="42" t="str">
        <f>IFERROR(__xludf.DUMMYFUNCTION("""COMPUTED_VALUE"""),"Superior")</f>
        <v>Superior</v>
      </c>
      <c r="H1336" s="42" t="str">
        <f>IFERROR(__xludf.DUMMYFUNCTION("""COMPUTED_VALUE"""),"-")</f>
        <v>-</v>
      </c>
      <c r="I1336" s="43" t="str">
        <f>IFERROR(__xludf.DUMMYFUNCTION("""COMPUTED_VALUE"""),"Add the text below to your Gantz MAMODO card until the END PHASE of your next turn: ● (Attack) [DECLARE TO USE] This card may Attack without using a SPELL card (Total Power=6000, Damage=3).")</f>
        <v>Add the text below to your Gantz MAMODO card until the END PHASE of your next turn: ● (Attack) [DECLARE TO USE] This card may Attack without using a SPELL card (Total Power=6000, Damage=3).</v>
      </c>
      <c r="J1336" s="42" t="str">
        <f>IFERROR(__xludf.DUMMYFUNCTION("""COMPUTED_VALUE"""),"Special")</f>
        <v>Special</v>
      </c>
      <c r="K1336" s="42" t="str">
        <f>IFERROR(__xludf.DUMMYFUNCTION("""COMPUTED_VALUE"""),"-")</f>
        <v>-</v>
      </c>
      <c r="L1336" s="42" t="str">
        <f>IFERROR(__xludf.DUMMYFUNCTION("""COMPUTED_VALUE"""),"-")</f>
        <v>-</v>
      </c>
      <c r="M1336" s="42" t="str">
        <f>IFERROR(__xludf.DUMMYFUNCTION("""COMPUTED_VALUE"""),"[R]")</f>
        <v>[R]</v>
      </c>
      <c r="N1336" s="42" t="str">
        <f>IFERROR(__xludf.DUMMYFUNCTION("""COMPUTED_VALUE"""),"Gantz's 2nd spell. A reinforced version of Amuruk that exerts immense destructive power.")</f>
        <v>Gantz's 2nd spell. A reinforced version of Amuruk that exerts immense destructive power.</v>
      </c>
      <c r="O1336" s="42"/>
      <c r="P1336" s="42"/>
      <c r="Q1336" s="42"/>
      <c r="R1336" s="42"/>
      <c r="S1336" s="42"/>
      <c r="T1336" s="42"/>
      <c r="U1336" s="42"/>
      <c r="V1336" s="42"/>
      <c r="W1336" s="42"/>
      <c r="X1336" s="42"/>
      <c r="Y1336" s="42"/>
      <c r="Z1336" s="42"/>
    </row>
    <row r="1337">
      <c r="A1337" s="41" t="str">
        <f>IFERROR(__xludf.DUMMYFUNCTION("""COMPUTED_VALUE"""),"S-209")</f>
        <v>S-209</v>
      </c>
      <c r="B1337" s="42" t="str">
        <f>IFERROR(__xludf.DUMMYFUNCTION("""COMPUTED_VALUE"""),"Spell")</f>
        <v>Spell</v>
      </c>
      <c r="C1337" s="42" t="str">
        <f>IFERROR(__xludf.DUMMYFUNCTION("""COMPUTED_VALUE"""),"Magurga")</f>
        <v>Magurga</v>
      </c>
      <c r="D1337" s="42" t="str">
        <f>IFERROR(__xludf.DUMMYFUNCTION("""COMPUTED_VALUE"""),"Victoream")</f>
        <v>Victoream</v>
      </c>
      <c r="E1337" s="42">
        <f>IFERROR(__xludf.DUMMYFUNCTION("""COMPUTED_VALUE"""),2.0)</f>
        <v>2</v>
      </c>
      <c r="F1337" s="42" t="str">
        <f>IFERROR(__xludf.DUMMYFUNCTION("""COMPUTED_VALUE"""),"A")</f>
        <v>A</v>
      </c>
      <c r="G1337" s="42" t="str">
        <f>IFERROR(__xludf.DUMMYFUNCTION("""COMPUTED_VALUE"""),"None")</f>
        <v>None</v>
      </c>
      <c r="H1337" s="42" t="str">
        <f>IFERROR(__xludf.DUMMYFUNCTION("""COMPUTED_VALUE"""),"-")</f>
        <v>-</v>
      </c>
      <c r="I1337" s="43" t="str">
        <f>IFERROR(__xludf.DUMMYFUNCTION("""COMPUTED_VALUE"""),"Damage your opponent's Spell Book when you win the Battle as an Attacker.")</f>
        <v>Damage your opponent's Spell Book when you win the Battle as an Attacker.</v>
      </c>
      <c r="J1337" s="42" t="str">
        <f>IFERROR(__xludf.DUMMYFUNCTION("""COMPUTED_VALUE"""),"+4000")</f>
        <v>+4000</v>
      </c>
      <c r="K1337" s="42">
        <f>IFERROR(__xludf.DUMMYFUNCTION("""COMPUTED_VALUE"""),2.0)</f>
        <v>2</v>
      </c>
      <c r="L1337" s="42" t="str">
        <f>IFERROR(__xludf.DUMMYFUNCTION("""COMPUTED_VALUE"""),"-")</f>
        <v>-</v>
      </c>
      <c r="M1337" s="42" t="str">
        <f>IFERROR(__xludf.DUMMYFUNCTION("""COMPUTED_VALUE"""),"[C]")</f>
        <v>[C]</v>
      </c>
      <c r="N1337" s="42" t="str">
        <f>IFERROR(__xludf.DUMMYFUNCTION("""COMPUTED_VALUE"""),"Victoream's 1st spell. This beautiful attack will leave a V-shaped mark on any surface.")</f>
        <v>Victoream's 1st spell. This beautiful attack will leave a V-shaped mark on any surface.</v>
      </c>
      <c r="O1337" s="42"/>
      <c r="P1337" s="42"/>
      <c r="Q1337" s="42"/>
      <c r="R1337" s="42"/>
      <c r="S1337" s="42"/>
      <c r="T1337" s="42"/>
      <c r="U1337" s="42"/>
      <c r="V1337" s="42"/>
      <c r="W1337" s="42"/>
      <c r="X1337" s="42"/>
      <c r="Y1337" s="42"/>
      <c r="Z1337" s="42"/>
    </row>
    <row r="1338">
      <c r="A1338" s="41" t="str">
        <f>IFERROR(__xludf.DUMMYFUNCTION("""COMPUTED_VALUE"""),"S-210")</f>
        <v>S-210</v>
      </c>
      <c r="B1338" s="42" t="str">
        <f>IFERROR(__xludf.DUMMYFUNCTION("""COMPUTED_VALUE"""),"Spell")</f>
        <v>Spell</v>
      </c>
      <c r="C1338" s="42" t="str">
        <f>IFERROR(__xludf.DUMMYFUNCTION("""COMPUTED_VALUE"""),"Magur Yoyo")</f>
        <v>Magur Yoyo</v>
      </c>
      <c r="D1338" s="42" t="str">
        <f>IFERROR(__xludf.DUMMYFUNCTION("""COMPUTED_VALUE"""),"Victoream")</f>
        <v>Victoream</v>
      </c>
      <c r="E1338" s="42">
        <f>IFERROR(__xludf.DUMMYFUNCTION("""COMPUTED_VALUE"""),2.0)</f>
        <v>2</v>
      </c>
      <c r="F1338" s="42" t="str">
        <f>IFERROR(__xludf.DUMMYFUNCTION("""COMPUTED_VALUE"""),"AD")</f>
        <v>AD</v>
      </c>
      <c r="G1338" s="42" t="str">
        <f>IFERROR(__xludf.DUMMYFUNCTION("""COMPUTED_VALUE"""),"None")</f>
        <v>None</v>
      </c>
      <c r="H1338" s="42" t="str">
        <f>IFERROR(__xludf.DUMMYFUNCTION("""COMPUTED_VALUE"""),"-")</f>
        <v>-</v>
      </c>
      <c r="I1338" s="43" t="str">
        <f>IFERROR(__xludf.DUMMYFUNCTION("""COMPUTED_VALUE"""),"This SPELL card can be played up to twice per turn (per player). When played a second time, the MP cost is considered to be 0. Damage your opponent's Spell Book when you win the Battle as an Attacker.")</f>
        <v>This SPELL card can be played up to twice per turn (per player). When played a second time, the MP cost is considered to be 0. Damage your opponent's Spell Book when you win the Battle as an Attacker.</v>
      </c>
      <c r="J1338" s="42" t="str">
        <f>IFERROR(__xludf.DUMMYFUNCTION("""COMPUTED_VALUE"""),"+2000")</f>
        <v>+2000</v>
      </c>
      <c r="K1338" s="42">
        <f>IFERROR(__xludf.DUMMYFUNCTION("""COMPUTED_VALUE"""),1.0)</f>
        <v>1</v>
      </c>
      <c r="L1338" s="42" t="str">
        <f>IFERROR(__xludf.DUMMYFUNCTION("""COMPUTED_VALUE"""),"-")</f>
        <v>-</v>
      </c>
      <c r="M1338" s="42" t="str">
        <f>IFERROR(__xludf.DUMMYFUNCTION("""COMPUTED_VALUE"""),"[C]")</f>
        <v>[C]</v>
      </c>
      <c r="N1338" s="42" t="str">
        <f>IFERROR(__xludf.DUMMYFUNCTION("""COMPUTED_VALUE"""),"Victoream's 2nd spell. Both of his arms become whip-like yo-yos that can be freely manipulated at will.")</f>
        <v>Victoream's 2nd spell. Both of his arms become whip-like yo-yos that can be freely manipulated at will.</v>
      </c>
      <c r="O1338" s="42"/>
      <c r="P1338" s="42"/>
      <c r="Q1338" s="42"/>
      <c r="R1338" s="42"/>
      <c r="S1338" s="42"/>
      <c r="T1338" s="42"/>
      <c r="U1338" s="42"/>
      <c r="V1338" s="42"/>
      <c r="W1338" s="42"/>
      <c r="X1338" s="42"/>
      <c r="Y1338" s="42"/>
      <c r="Z1338" s="42"/>
    </row>
    <row r="1339">
      <c r="A1339" s="41" t="str">
        <f>IFERROR(__xludf.DUMMYFUNCTION("""COMPUTED_VALUE"""),"S-211")</f>
        <v>S-211</v>
      </c>
      <c r="B1339" s="42" t="str">
        <f>IFERROR(__xludf.DUMMYFUNCTION("""COMPUTED_VALUE"""),"Spell")</f>
        <v>Spell</v>
      </c>
      <c r="C1339" s="42" t="str">
        <f>IFERROR(__xludf.DUMMYFUNCTION("""COMPUTED_VALUE"""),"Chagur")</f>
        <v>Chagur</v>
      </c>
      <c r="D1339" s="42" t="str">
        <f>IFERROR(__xludf.DUMMYFUNCTION("""COMPUTED_VALUE"""),"Victoream")</f>
        <v>Victoream</v>
      </c>
      <c r="E1339" s="42">
        <f>IFERROR(__xludf.DUMMYFUNCTION("""COMPUTED_VALUE"""),1.0)</f>
        <v>1</v>
      </c>
      <c r="F1339" s="42" t="str">
        <f>IFERROR(__xludf.DUMMYFUNCTION("""COMPUTED_VALUE"""),"A")</f>
        <v>A</v>
      </c>
      <c r="G1339" s="42" t="str">
        <f>IFERROR(__xludf.DUMMYFUNCTION("""COMPUTED_VALUE"""),"None")</f>
        <v>None</v>
      </c>
      <c r="H1339" s="42" t="str">
        <f>IFERROR(__xludf.DUMMYFUNCTION("""COMPUTED_VALUE"""),"-")</f>
        <v>-</v>
      </c>
      <c r="I1339" s="43" t="str">
        <f>IFERROR(__xludf.DUMMYFUNCTION("""COMPUTED_VALUE"""),"Place 1 MP counter on your in-play aVictoream MAMODO card. ● Your MP is not reduced when placing an MP counter. ● Up to 5 MP counters can be placed on the Victoream card. ● Remove all MP counters from your Victoream MAMODO card when your Victoream MAMODO "&amp;"card is sent to the Discard Pile.")</f>
        <v>Place 1 MP counter on your in-play aVictoream MAMODO card. ● Your MP is not reduced when placing an MP counter. ● Up to 5 MP counters can be placed on the Victoream card. ● Remove all MP counters from your Victoream MAMODO card when your Victoream MAMODO card is sent to the Discard Pile.</v>
      </c>
      <c r="J1339" s="42" t="str">
        <f>IFERROR(__xludf.DUMMYFUNCTION("""COMPUTED_VALUE"""),"Special")</f>
        <v>Special</v>
      </c>
      <c r="K1339" s="42" t="str">
        <f>IFERROR(__xludf.DUMMYFUNCTION("""COMPUTED_VALUE"""),"-")</f>
        <v>-</v>
      </c>
      <c r="L1339" s="42" t="str">
        <f>IFERROR(__xludf.DUMMYFUNCTION("""COMPUTED_VALUE"""),"-")</f>
        <v>-</v>
      </c>
      <c r="M1339" s="42" t="str">
        <f>IFERROR(__xludf.DUMMYFUNCTION("""COMPUTED_VALUE"""),"[R]")</f>
        <v>[R]</v>
      </c>
      <c r="N1339" s="42" t="str">
        <f>IFERROR(__xludf.DUMMYFUNCTION("""COMPUTED_VALUE"""),"Victoream's 3rd spell. As he fills up with energy, the five orbs on his body glow in turn.")</f>
        <v>Victoream's 3rd spell. As he fills up with energy, the five orbs on his body glow in turn.</v>
      </c>
      <c r="O1339" s="42"/>
      <c r="P1339" s="42"/>
      <c r="Q1339" s="42"/>
      <c r="R1339" s="42"/>
      <c r="S1339" s="42"/>
      <c r="T1339" s="42"/>
      <c r="U1339" s="42"/>
      <c r="V1339" s="42"/>
      <c r="W1339" s="42"/>
      <c r="X1339" s="42"/>
      <c r="Y1339" s="42"/>
      <c r="Z1339" s="42"/>
    </row>
    <row r="1340">
      <c r="A1340" s="41" t="str">
        <f>IFERROR(__xludf.DUMMYFUNCTION("""COMPUTED_VALUE"""),"S-212")</f>
        <v>S-212</v>
      </c>
      <c r="B1340" s="42" t="str">
        <f>IFERROR(__xludf.DUMMYFUNCTION("""COMPUTED_VALUE"""),"Spell")</f>
        <v>Spell</v>
      </c>
      <c r="C1340" s="42" t="str">
        <f>IFERROR(__xludf.DUMMYFUNCTION("""COMPUTED_VALUE"""),"Chagur Imisdon")</f>
        <v>Chagur Imisdon</v>
      </c>
      <c r="D1340" s="42" t="str">
        <f>IFERROR(__xludf.DUMMYFUNCTION("""COMPUTED_VALUE"""),"Victoream")</f>
        <v>Victoream</v>
      </c>
      <c r="E1340" s="42">
        <f>IFERROR(__xludf.DUMMYFUNCTION("""COMPUTED_VALUE"""),2.0)</f>
        <v>2</v>
      </c>
      <c r="F1340" s="42" t="str">
        <f>IFERROR(__xludf.DUMMYFUNCTION("""COMPUTED_VALUE"""),"AD")</f>
        <v>AD</v>
      </c>
      <c r="G1340" s="42" t="str">
        <f>IFERROR(__xludf.DUMMYFUNCTION("""COMPUTED_VALUE"""),"Superior")</f>
        <v>Superior</v>
      </c>
      <c r="H1340" s="42" t="str">
        <f>IFERROR(__xludf.DUMMYFUNCTION("""COMPUTED_VALUE"""),"-")</f>
        <v>-</v>
      </c>
      <c r="I1340" s="43" t="str">
        <f>IFERROR(__xludf.DUMMYFUNCTION("""COMPUTED_VALUE"""),"Damage your opponent's Spell Book when you win the Battle as an Attacker. Remove all MP counters on your Victoream MAMODO card when you declare the play of this SPELL card, and add 2000 Power and 2 Damage times the number of MP counters removed.")</f>
        <v>Damage your opponent's Spell Book when you win the Battle as an Attacker. Remove all MP counters on your Victoream MAMODO card when you declare the play of this SPELL card, and add 2000 Power and 2 Damage times the number of MP counters removed.</v>
      </c>
      <c r="J1340" s="42" t="str">
        <f>IFERROR(__xludf.DUMMYFUNCTION("""COMPUTED_VALUE"""),"+2000")</f>
        <v>+2000</v>
      </c>
      <c r="K1340" s="42">
        <f>IFERROR(__xludf.DUMMYFUNCTION("""COMPUTED_VALUE"""),0.0)</f>
        <v>0</v>
      </c>
      <c r="L1340" s="42" t="str">
        <f>IFERROR(__xludf.DUMMYFUNCTION("""COMPUTED_VALUE"""),"-")</f>
        <v>-</v>
      </c>
      <c r="M1340" s="42" t="str">
        <f>IFERROR(__xludf.DUMMYFUNCTION("""COMPUTED_VALUE"""),"[SR]")</f>
        <v>[SR]</v>
      </c>
      <c r="N1340" s="42" t="str">
        <f>IFERROR(__xludf.DUMMYFUNCTION("""COMPUTED_VALUE"""),"Victoream's 4th spell. All of the energy that the Chagur spell stored within the orbs on his body is unleashed all at once.")</f>
        <v>Victoream's 4th spell. All of the energy that the Chagur spell stored within the orbs on his body is unleashed all at once.</v>
      </c>
      <c r="O1340" s="42"/>
      <c r="P1340" s="42"/>
      <c r="Q1340" s="42"/>
      <c r="R1340" s="42"/>
      <c r="S1340" s="42"/>
      <c r="T1340" s="42"/>
      <c r="U1340" s="42"/>
      <c r="V1340" s="42"/>
      <c r="W1340" s="42"/>
      <c r="X1340" s="42"/>
      <c r="Y1340" s="42"/>
      <c r="Z1340" s="42"/>
    </row>
    <row r="1341">
      <c r="A1341" s="41" t="str">
        <f>IFERROR(__xludf.DUMMYFUNCTION("""COMPUTED_VALUE"""),"S-213")</f>
        <v>S-213</v>
      </c>
      <c r="B1341" s="42" t="str">
        <f>IFERROR(__xludf.DUMMYFUNCTION("""COMPUTED_VALUE"""),"Spell")</f>
        <v>Spell</v>
      </c>
      <c r="C1341" s="42" t="str">
        <f>IFERROR(__xludf.DUMMYFUNCTION("""COMPUTED_VALUE"""),"Detach!")</f>
        <v>Detach!</v>
      </c>
      <c r="D1341" s="42" t="str">
        <f>IFERROR(__xludf.DUMMYFUNCTION("""COMPUTED_VALUE"""),"Command: Victoream")</f>
        <v>Command: Victoream</v>
      </c>
      <c r="E1341" s="42">
        <f>IFERROR(__xludf.DUMMYFUNCTION("""COMPUTED_VALUE"""),0.0)</f>
        <v>0</v>
      </c>
      <c r="F1341" s="42" t="str">
        <f>IFERROR(__xludf.DUMMYFUNCTION("""COMPUTED_VALUE"""),"A")</f>
        <v>A</v>
      </c>
      <c r="G1341" s="42" t="str">
        <f>IFERROR(__xludf.DUMMYFUNCTION("""COMPUTED_VALUE"""),"None")</f>
        <v>None</v>
      </c>
      <c r="H1341" s="42" t="str">
        <f>IFERROR(__xludf.DUMMYFUNCTION("""COMPUTED_VALUE"""),"-")</f>
        <v>-</v>
      </c>
      <c r="I1341" s="43" t="str">
        <f>IFERROR(__xludf.DUMMYFUNCTION("""COMPUTED_VALUE"""),"Put your in-play Victoream MAMODO card in Detached Status. ● Attach this card to your Detached Victoream MAMODO card. ● No SPELL cards except Magurga and Glorious Revolution 3-6-O can be played for a Detached Victoream MAMODO card. ● With 1 Action during "&amp;"your BATTLE PHASE, this SPELL card can be moved to an empty page of your Spell Book to cancel the Detached Status.")</f>
        <v>Put your in-play Victoream MAMODO card in Detached Status. ● Attach this card to your Detached Victoream MAMODO card. ● No SPELL cards except Magurga and Glorious Revolution 3-6-O can be played for a Detached Victoream MAMODO card. ● With 1 Action during your BATTLE PHASE, this SPELL card can be moved to an empty page of your Spell Book to cancel the Detached Status.</v>
      </c>
      <c r="J1341" s="42" t="str">
        <f>IFERROR(__xludf.DUMMYFUNCTION("""COMPUTED_VALUE"""),"Special")</f>
        <v>Special</v>
      </c>
      <c r="K1341" s="42" t="str">
        <f>IFERROR(__xludf.DUMMYFUNCTION("""COMPUTED_VALUE"""),"-")</f>
        <v>-</v>
      </c>
      <c r="L1341" s="42" t="str">
        <f>IFERROR(__xludf.DUMMYFUNCTION("""COMPUTED_VALUE"""),"-")</f>
        <v>-</v>
      </c>
      <c r="M1341" s="42" t="str">
        <f>IFERROR(__xludf.DUMMYFUNCTION("""COMPUTED_VALUE"""),"[R]")</f>
        <v>[R]</v>
      </c>
      <c r="N1341" s="42" t="str">
        <f>IFERROR(__xludf.DUMMYFUNCTION("""COMPUTED_VALUE"""),"Victoream has the unique ability to separate his head from his body without the need for a spell.")</f>
        <v>Victoream has the unique ability to separate his head from his body without the need for a spell.</v>
      </c>
      <c r="O1341" s="42"/>
      <c r="P1341" s="42"/>
      <c r="Q1341" s="42"/>
      <c r="R1341" s="42"/>
      <c r="S1341" s="42"/>
      <c r="T1341" s="42"/>
      <c r="U1341" s="42"/>
      <c r="V1341" s="42"/>
      <c r="W1341" s="42"/>
      <c r="X1341" s="42"/>
      <c r="Y1341" s="42"/>
      <c r="Z1341" s="42"/>
    </row>
    <row r="1342">
      <c r="A1342" s="41" t="str">
        <f>IFERROR(__xludf.DUMMYFUNCTION("""COMPUTED_VALUE"""),"S-214")</f>
        <v>S-214</v>
      </c>
      <c r="B1342" s="42" t="str">
        <f>IFERROR(__xludf.DUMMYFUNCTION("""COMPUTED_VALUE"""),"Spell")</f>
        <v>Spell</v>
      </c>
      <c r="C1342" s="42" t="str">
        <f>IFERROR(__xludf.DUMMYFUNCTION("""COMPUTED_VALUE"""),"Glorious Revolution 3-6-O")</f>
        <v>Glorious Revolution 3-6-O</v>
      </c>
      <c r="D1342" s="42" t="str">
        <f>IFERROR(__xludf.DUMMYFUNCTION("""COMPUTED_VALUE"""),"Command: Victoream")</f>
        <v>Command: Victoream</v>
      </c>
      <c r="E1342" s="42">
        <f>IFERROR(__xludf.DUMMYFUNCTION("""COMPUTED_VALUE"""),1.0)</f>
        <v>1</v>
      </c>
      <c r="F1342" s="42" t="str">
        <f>IFERROR(__xludf.DUMMYFUNCTION("""COMPUTED_VALUE"""),"A")</f>
        <v>A</v>
      </c>
      <c r="G1342" s="42" t="str">
        <f>IFERROR(__xludf.DUMMYFUNCTION("""COMPUTED_VALUE"""),"None")</f>
        <v>None</v>
      </c>
      <c r="H1342" s="42" t="str">
        <f>IFERROR(__xludf.DUMMYFUNCTION("""COMPUTED_VALUE"""),"-")</f>
        <v>-</v>
      </c>
      <c r="I1342" s="43" t="str">
        <f>IFERROR(__xludf.DUMMYFUNCTION("""COMPUTED_VALUE"""),"This SPELL card can be played only if you have a Detached Victoream MAMODO card in play. [STAY] Add the text below to 1 Magurga SPELL card in a page of your Spell Book during this turn: When you win the Battle as an Attacker, flip a coin for each player's"&amp;" in-play MAMODO cards; if it's tails, Injure that MAMODO card.")</f>
        <v>This SPELL card can be played only if you have a Detached Victoream MAMODO card in play. [STAY] Add the text below to 1 Magurga SPELL card in a page of your Spell Book during this turn: When you win the Battle as an Attacker, flip a coin for each player's in-play MAMODO cards; if it's tails, Injure that MAMODO card.</v>
      </c>
      <c r="J1342" s="42" t="str">
        <f>IFERROR(__xludf.DUMMYFUNCTION("""COMPUTED_VALUE"""),"Special")</f>
        <v>Special</v>
      </c>
      <c r="K1342" s="42" t="str">
        <f>IFERROR(__xludf.DUMMYFUNCTION("""COMPUTED_VALUE"""),"-")</f>
        <v>-</v>
      </c>
      <c r="L1342" s="42" t="str">
        <f>IFERROR(__xludf.DUMMYFUNCTION("""COMPUTED_VALUE"""),"-")</f>
        <v>-</v>
      </c>
      <c r="M1342" s="42" t="str">
        <f>IFERROR(__xludf.DUMMYFUNCTION("""COMPUTED_VALUE"""),"[SR]")</f>
        <v>[SR]</v>
      </c>
      <c r="N1342" s="42" t="str">
        <f>IFERROR(__xludf.DUMMYFUNCTION("""COMPUTED_VALUE"""),"""Glorious Revolution, Three-Six-O! Accelerate, accelerate!""")</f>
        <v>"Glorious Revolution, Three-Six-O! Accelerate, accelerate!"</v>
      </c>
      <c r="O1342" s="42"/>
      <c r="P1342" s="42"/>
      <c r="Q1342" s="42"/>
      <c r="R1342" s="42"/>
      <c r="S1342" s="42"/>
      <c r="T1342" s="42"/>
      <c r="U1342" s="42"/>
      <c r="V1342" s="42"/>
      <c r="W1342" s="42"/>
      <c r="X1342" s="42"/>
      <c r="Y1342" s="42"/>
      <c r="Z1342" s="42"/>
    </row>
    <row r="1343">
      <c r="A1343" s="41" t="str">
        <f>IFERROR(__xludf.DUMMYFUNCTION("""COMPUTED_VALUE"""),"S-215")</f>
        <v>S-215</v>
      </c>
      <c r="B1343" s="42" t="str">
        <f>IFERROR(__xludf.DUMMYFUNCTION("""COMPUTED_VALUE"""),"Spell")</f>
        <v>Spell</v>
      </c>
      <c r="C1343" s="42" t="str">
        <f>IFERROR(__xludf.DUMMYFUNCTION("""COMPUTED_VALUE"""),"Zaker")</f>
        <v>Zaker</v>
      </c>
      <c r="D1343" s="42" t="str">
        <f>IFERROR(__xludf.DUMMYFUNCTION("""COMPUTED_VALUE"""),"Zatch Bell")</f>
        <v>Zatch Bell</v>
      </c>
      <c r="E1343" s="42">
        <f>IFERROR(__xludf.DUMMYFUNCTION("""COMPUTED_VALUE"""),1.0)</f>
        <v>1</v>
      </c>
      <c r="F1343" s="42" t="str">
        <f>IFERROR(__xludf.DUMMYFUNCTION("""COMPUTED_VALUE"""),"AD")</f>
        <v>AD</v>
      </c>
      <c r="G1343" s="42" t="str">
        <f>IFERROR(__xludf.DUMMYFUNCTION("""COMPUTED_VALUE"""),"None")</f>
        <v>None</v>
      </c>
      <c r="H1343" s="42" t="str">
        <f>IFERROR(__xludf.DUMMYFUNCTION("""COMPUTED_VALUE"""),"-")</f>
        <v>-</v>
      </c>
      <c r="I1343" s="43" t="str">
        <f>IFERROR(__xludf.DUMMYFUNCTION("""COMPUTED_VALUE"""),"Damage your opponent's Spell Book when you win the Battle as an Attacker.")</f>
        <v>Damage your opponent's Spell Book when you win the Battle as an Attacker.</v>
      </c>
      <c r="J1343" s="42" t="str">
        <f>IFERROR(__xludf.DUMMYFUNCTION("""COMPUTED_VALUE"""),"+2000")</f>
        <v>+2000</v>
      </c>
      <c r="K1343" s="42">
        <f>IFERROR(__xludf.DUMMYFUNCTION("""COMPUTED_VALUE"""),2.0)</f>
        <v>2</v>
      </c>
      <c r="L1343" s="42" t="str">
        <f>IFERROR(__xludf.DUMMYFUNCTION("""COMPUTED_VALUE"""),"Dawn of the Ancients, Series 4, Level 0, Revised Edition")</f>
        <v>Dawn of the Ancients, Series 4, Level 0, Revised Edition</v>
      </c>
      <c r="M1343" s="42" t="str">
        <f>IFERROR(__xludf.DUMMYFUNCTION("""COMPUTED_VALUE"""),"[U]")</f>
        <v>[U]</v>
      </c>
      <c r="N1343" s="42" t="str">
        <f>IFERROR(__xludf.DUMMYFUNCTION("""COMPUTED_VALUE"""),"Zatch's 1st spell. An electric spell that makes Zatch shoot lightning from his mouth.")</f>
        <v>Zatch's 1st spell. An electric spell that makes Zatch shoot lightning from his mouth.</v>
      </c>
      <c r="O1343" s="42"/>
      <c r="P1343" s="42"/>
      <c r="Q1343" s="42"/>
      <c r="R1343" s="42"/>
      <c r="S1343" s="42"/>
      <c r="T1343" s="42"/>
      <c r="U1343" s="42"/>
      <c r="V1343" s="42"/>
      <c r="W1343" s="42"/>
      <c r="X1343" s="42"/>
      <c r="Y1343" s="42"/>
      <c r="Z1343" s="42"/>
    </row>
    <row r="1344">
      <c r="A1344" s="41" t="str">
        <f>IFERROR(__xludf.DUMMYFUNCTION("""COMPUTED_VALUE"""),"S-216")</f>
        <v>S-216</v>
      </c>
      <c r="B1344" s="42" t="str">
        <f>IFERROR(__xludf.DUMMYFUNCTION("""COMPUTED_VALUE"""),"Spell")</f>
        <v>Spell</v>
      </c>
      <c r="C1344" s="42" t="str">
        <f>IFERROR(__xludf.DUMMYFUNCTION("""COMPUTED_VALUE"""),"Zaker")</f>
        <v>Zaker</v>
      </c>
      <c r="D1344" s="42" t="str">
        <f>IFERROR(__xludf.DUMMYFUNCTION("""COMPUTED_VALUE"""),"Zatch Bell")</f>
        <v>Zatch Bell</v>
      </c>
      <c r="E1344" s="42">
        <f>IFERROR(__xludf.DUMMYFUNCTION("""COMPUTED_VALUE"""),1.0)</f>
        <v>1</v>
      </c>
      <c r="F1344" s="42" t="str">
        <f>IFERROR(__xludf.DUMMYFUNCTION("""COMPUTED_VALUE"""),"AD")</f>
        <v>AD</v>
      </c>
      <c r="G1344" s="42" t="str">
        <f>IFERROR(__xludf.DUMMYFUNCTION("""COMPUTED_VALUE"""),"None")</f>
        <v>None</v>
      </c>
      <c r="H1344" s="42" t="str">
        <f>IFERROR(__xludf.DUMMYFUNCTION("""COMPUTED_VALUE"""),"Thunder")</f>
        <v>Thunder</v>
      </c>
      <c r="I1344" s="43" t="str">
        <f>IFERROR(__xludf.DUMMYFUNCTION("""COMPUTED_VALUE"""),"This SPELL card can be played up to twice per turn (per player). Damage your opponent's Spell Book when you win the Battle as an Attacker.")</f>
        <v>This SPELL card can be played up to twice per turn (per player). Damage your opponent's Spell Book when you win the Battle as an Attacker.</v>
      </c>
      <c r="J1344" s="42" t="str">
        <f>IFERROR(__xludf.DUMMYFUNCTION("""COMPUTED_VALUE"""),"+1000")</f>
        <v>+1000</v>
      </c>
      <c r="K1344" s="42">
        <f>IFERROR(__xludf.DUMMYFUNCTION("""COMPUTED_VALUE"""),1.0)</f>
        <v>1</v>
      </c>
      <c r="L1344" s="42" t="str">
        <f>IFERROR(__xludf.DUMMYFUNCTION("""COMPUTED_VALUE"""),"Secrets of the Ruins, Level 0")</f>
        <v>Secrets of the Ruins, Level 0</v>
      </c>
      <c r="M1344" s="42" t="str">
        <f>IFERROR(__xludf.DUMMYFUNCTION("""COMPUTED_VALUE"""),"[R]")</f>
        <v>[R]</v>
      </c>
      <c r="N1344" s="42" t="str">
        <f>IFERROR(__xludf.DUMMYFUNCTION("""COMPUTED_VALUE"""),"Zatch's 1st spell. ""Zatch! Don't waste power from within, just keep attacking!""")</f>
        <v>Zatch's 1st spell. "Zatch! Don't waste power from within, just keep attacking!"</v>
      </c>
      <c r="O1344" s="42"/>
      <c r="P1344" s="42"/>
      <c r="Q1344" s="42"/>
      <c r="R1344" s="42"/>
      <c r="S1344" s="42"/>
      <c r="T1344" s="42"/>
      <c r="U1344" s="42"/>
      <c r="V1344" s="42"/>
      <c r="W1344" s="42"/>
      <c r="X1344" s="42"/>
      <c r="Y1344" s="42"/>
      <c r="Z1344" s="42"/>
    </row>
    <row r="1345">
      <c r="A1345" s="41" t="str">
        <f>IFERROR(__xludf.DUMMYFUNCTION("""COMPUTED_VALUE"""),"S-217")</f>
        <v>S-217</v>
      </c>
      <c r="B1345" s="42" t="str">
        <f>IFERROR(__xludf.DUMMYFUNCTION("""COMPUTED_VALUE"""),"Spell")</f>
        <v>Spell</v>
      </c>
      <c r="C1345" s="42" t="str">
        <f>IFERROR(__xludf.DUMMYFUNCTION("""COMPUTED_VALUE"""),"Bao Zakeruga")</f>
        <v>Bao Zakeruga</v>
      </c>
      <c r="D1345" s="42" t="str">
        <f>IFERROR(__xludf.DUMMYFUNCTION("""COMPUTED_VALUE"""),"Zatch Bell")</f>
        <v>Zatch Bell</v>
      </c>
      <c r="E1345" s="42">
        <f>IFERROR(__xludf.DUMMYFUNCTION("""COMPUTED_VALUE"""),8.0)</f>
        <v>8</v>
      </c>
      <c r="F1345" s="42" t="str">
        <f>IFERROR(__xludf.DUMMYFUNCTION("""COMPUTED_VALUE"""),"AD")</f>
        <v>AD</v>
      </c>
      <c r="G1345" s="42" t="str">
        <f>IFERROR(__xludf.DUMMYFUNCTION("""COMPUTED_VALUE"""),"Superior")</f>
        <v>Superior</v>
      </c>
      <c r="H1345" s="42" t="str">
        <f>IFERROR(__xludf.DUMMYFUNCTION("""COMPUTED_VALUE"""),"Thunder")</f>
        <v>Thunder</v>
      </c>
      <c r="I1345" s="43" t="str">
        <f>IFERROR(__xludf.DUMMYFUNCTION("""COMPUTED_VALUE"""),"Damage your opponent's Spell Book when you win the Battle as an Attacker. Flip a coin; if it's heads, your opponent can neither SACRIFICE nor PROTECT their Spell Book from this SPELL card's Damage.")</f>
        <v>Damage your opponent's Spell Book when you win the Battle as an Attacker. Flip a coin; if it's heads, your opponent can neither SACRIFICE nor PROTECT their Spell Book from this SPELL card's Damage.</v>
      </c>
      <c r="J1345" s="42" t="str">
        <f>IFERROR(__xludf.DUMMYFUNCTION("""COMPUTED_VALUE"""),"+8000")</f>
        <v>+8000</v>
      </c>
      <c r="K1345" s="42">
        <f>IFERROR(__xludf.DUMMYFUNCTION("""COMPUTED_VALUE"""),3.0)</f>
        <v>3</v>
      </c>
      <c r="L1345" s="42" t="str">
        <f>IFERROR(__xludf.DUMMYFUNCTION("""COMPUTED_VALUE"""),"Dawn of the Ancients, Series 4, Level 0")</f>
        <v>Dawn of the Ancients, Series 4, Level 0</v>
      </c>
      <c r="M1345" s="42" t="str">
        <f>IFERROR(__xludf.DUMMYFUNCTION("""COMPUTED_VALUE"""),"[R]")</f>
        <v>[R]</v>
      </c>
      <c r="N1345" s="42" t="str">
        <f>IFERROR(__xludf.DUMMYFUNCTION("""COMPUTED_VALUE"""),"Zatch's 4th spell. When Zatch releases his mental power, it summons gigantic dragon-shaped lightning.")</f>
        <v>Zatch's 4th spell. When Zatch releases his mental power, it summons gigantic dragon-shaped lightning.</v>
      </c>
      <c r="O1345" s="42"/>
      <c r="P1345" s="42"/>
      <c r="Q1345" s="42"/>
      <c r="R1345" s="42"/>
      <c r="S1345" s="42"/>
      <c r="T1345" s="42"/>
      <c r="U1345" s="42"/>
      <c r="V1345" s="42"/>
      <c r="W1345" s="42"/>
      <c r="X1345" s="42"/>
      <c r="Y1345" s="42"/>
      <c r="Z1345" s="42"/>
    </row>
    <row r="1346">
      <c r="A1346" s="41" t="str">
        <f>IFERROR(__xludf.DUMMYFUNCTION("""COMPUTED_VALUE"""),"S-218")</f>
        <v>S-218</v>
      </c>
      <c r="B1346" s="42" t="str">
        <f>IFERROR(__xludf.DUMMYFUNCTION("""COMPUTED_VALUE"""),"Spell")</f>
        <v>Spell</v>
      </c>
      <c r="C1346" s="42" t="str">
        <f>IFERROR(__xludf.DUMMYFUNCTION("""COMPUTED_VALUE"""),"Zakeruga")</f>
        <v>Zakeruga</v>
      </c>
      <c r="D1346" s="42" t="str">
        <f>IFERROR(__xludf.DUMMYFUNCTION("""COMPUTED_VALUE"""),"Zatch Bell")</f>
        <v>Zatch Bell</v>
      </c>
      <c r="E1346" s="42">
        <f>IFERROR(__xludf.DUMMYFUNCTION("""COMPUTED_VALUE"""),2.0)</f>
        <v>2</v>
      </c>
      <c r="F1346" s="42" t="str">
        <f>IFERROR(__xludf.DUMMYFUNCTION("""COMPUTED_VALUE"""),"AD")</f>
        <v>AD</v>
      </c>
      <c r="G1346" s="42" t="str">
        <f>IFERROR(__xludf.DUMMYFUNCTION("""COMPUTED_VALUE"""),"Intermediate")</f>
        <v>Intermediate</v>
      </c>
      <c r="H1346" s="42" t="str">
        <f>IFERROR(__xludf.DUMMYFUNCTION("""COMPUTED_VALUE"""),"Thunder")</f>
        <v>Thunder</v>
      </c>
      <c r="I1346" s="43" t="str">
        <f>IFERROR(__xludf.DUMMYFUNCTION("""COMPUTED_VALUE"""),"Damage your opponent's Spell Book when you win the Battle as an Attacker. Flip a coin; if it's heads, any MAMODO cards that SACRIFICED or PROTECTED their Spell Book from this SPELL card's Damage are sent to the Discard Pile.")</f>
        <v>Damage your opponent's Spell Book when you win the Battle as an Attacker. Flip a coin; if it's heads, any MAMODO cards that SACRIFICED or PROTECTED their Spell Book from this SPELL card's Damage are sent to the Discard Pile.</v>
      </c>
      <c r="J1346" s="42" t="str">
        <f>IFERROR(__xludf.DUMMYFUNCTION("""COMPUTED_VALUE"""),"+3000")</f>
        <v>+3000</v>
      </c>
      <c r="K1346" s="42">
        <f>IFERROR(__xludf.DUMMYFUNCTION("""COMPUTED_VALUE"""),2.0)</f>
        <v>2</v>
      </c>
      <c r="L1346" s="42" t="str">
        <f>IFERROR(__xludf.DUMMYFUNCTION("""COMPUTED_VALUE"""),"Dawn of the Ancients, Series 4, Level 0")</f>
        <v>Dawn of the Ancients, Series 4, Level 0</v>
      </c>
      <c r="M1346" s="42" t="str">
        <f>IFERROR(__xludf.DUMMYFUNCTION("""COMPUTED_VALUE"""),"[C]")</f>
        <v>[C]</v>
      </c>
      <c r="N1346" s="42" t="str">
        <f>IFERROR(__xludf.DUMMYFUNCTION("""COMPUTED_VALUE"""),"Zatch's 5th spell. Penetrating Zaker. It can be fired continuosly.")</f>
        <v>Zatch's 5th spell. Penetrating Zaker. It can be fired continuosly.</v>
      </c>
      <c r="O1346" s="42"/>
      <c r="P1346" s="42"/>
      <c r="Q1346" s="42"/>
      <c r="R1346" s="42"/>
      <c r="S1346" s="42"/>
      <c r="T1346" s="42"/>
      <c r="U1346" s="42"/>
      <c r="V1346" s="42"/>
      <c r="W1346" s="42"/>
      <c r="X1346" s="42"/>
      <c r="Y1346" s="42"/>
      <c r="Z1346" s="42"/>
    </row>
    <row r="1347">
      <c r="A1347" s="41" t="str">
        <f>IFERROR(__xludf.DUMMYFUNCTION("""COMPUTED_VALUE"""),"S-219e")</f>
        <v>S-219e</v>
      </c>
      <c r="B1347" s="42" t="str">
        <f>IFERROR(__xludf.DUMMYFUNCTION("""COMPUTED_VALUE"""),"Spell")</f>
        <v>Spell</v>
      </c>
      <c r="C1347" s="42" t="str">
        <f>IFERROR(__xludf.DUMMYFUNCTION("""COMPUTED_VALUE"""),"Rauzaruk")</f>
        <v>Rauzaruk</v>
      </c>
      <c r="D1347" s="42" t="str">
        <f>IFERROR(__xludf.DUMMYFUNCTION("""COMPUTED_VALUE"""),"Zatch Bell")</f>
        <v>Zatch Bell</v>
      </c>
      <c r="E1347" s="42">
        <f>IFERROR(__xludf.DUMMYFUNCTION("""COMPUTED_VALUE"""),1.0)</f>
        <v>1</v>
      </c>
      <c r="F1347" s="42" t="str">
        <f>IFERROR(__xludf.DUMMYFUNCTION("""COMPUTED_VALUE"""),"D")</f>
        <v>D</v>
      </c>
      <c r="G1347" s="42" t="str">
        <f>IFERROR(__xludf.DUMMYFUNCTION("""COMPUTED_VALUE"""),"None")</f>
        <v>None</v>
      </c>
      <c r="H1347" s="42" t="str">
        <f>IFERROR(__xludf.DUMMYFUNCTION("""COMPUTED_VALUE"""),"Thunder")</f>
        <v>Thunder</v>
      </c>
      <c r="I1347" s="43" t="str">
        <f>IFERROR(__xludf.DUMMYFUNCTION("""COMPUTED_VALUE"""),"[COUNTER] Negate your opponent's Attack when you win the Battle as a Defender. Then, Injure your opponent's MAMODO card that Attacked in the Battle.")</f>
        <v>[COUNTER] Negate your opponent's Attack when you win the Battle as a Defender. Then, Injure your opponent's MAMODO card that Attacked in the Battle.</v>
      </c>
      <c r="J1347" s="42" t="str">
        <f>IFERROR(__xludf.DUMMYFUNCTION("""COMPUTED_VALUE"""),"+3000")</f>
        <v>+3000</v>
      </c>
      <c r="K1347" s="42">
        <f>IFERROR(__xludf.DUMMYFUNCTION("""COMPUTED_VALUE"""),2.0)</f>
        <v>2</v>
      </c>
      <c r="L1347" s="42" t="str">
        <f>IFERROR(__xludf.DUMMYFUNCTION("""COMPUTED_VALUE"""),"Dawn of the Ancients, Series 4, Level 0")</f>
        <v>Dawn of the Ancients, Series 4, Level 0</v>
      </c>
      <c r="M1347" s="42" t="str">
        <f>IFERROR(__xludf.DUMMYFUNCTION("""COMPUTED_VALUE"""),"[C]")</f>
        <v>[C]</v>
      </c>
      <c r="N1347" s="42" t="str">
        <f>IFERROR(__xludf.DUMMYFUNCTION("""COMPUTED_VALUE"""),"Zatch's 6th spell. ""Nuoooooo!""")</f>
        <v>Zatch's 6th spell. "Nuoooooo!"</v>
      </c>
      <c r="O1347" s="42"/>
      <c r="P1347" s="42"/>
      <c r="Q1347" s="42"/>
      <c r="R1347" s="42"/>
      <c r="S1347" s="42"/>
      <c r="T1347" s="42"/>
      <c r="U1347" s="42"/>
      <c r="V1347" s="42"/>
      <c r="W1347" s="42"/>
      <c r="X1347" s="42"/>
      <c r="Y1347" s="42"/>
      <c r="Z1347" s="42"/>
    </row>
    <row r="1348">
      <c r="A1348" s="41" t="str">
        <f>IFERROR(__xludf.DUMMYFUNCTION("""COMPUTED_VALUE"""),"S-219j")</f>
        <v>S-219j</v>
      </c>
      <c r="B1348" s="42" t="str">
        <f>IFERROR(__xludf.DUMMYFUNCTION("""COMPUTED_VALUE"""),"Spell")</f>
        <v>Spell</v>
      </c>
      <c r="C1348" s="42" t="str">
        <f>IFERROR(__xludf.DUMMYFUNCTION("""COMPUTED_VALUE"""),"Rauzaruk")</f>
        <v>Rauzaruk</v>
      </c>
      <c r="D1348" s="42" t="str">
        <f>IFERROR(__xludf.DUMMYFUNCTION("""COMPUTED_VALUE"""),"Zatch Bell")</f>
        <v>Zatch Bell</v>
      </c>
      <c r="E1348" s="42">
        <f>IFERROR(__xludf.DUMMYFUNCTION("""COMPUTED_VALUE"""),1.0)</f>
        <v>1</v>
      </c>
      <c r="F1348" s="42" t="str">
        <f>IFERROR(__xludf.DUMMYFUNCTION("""COMPUTED_VALUE"""),"D")</f>
        <v>D</v>
      </c>
      <c r="G1348" s="42" t="str">
        <f>IFERROR(__xludf.DUMMYFUNCTION("""COMPUTED_VALUE"""),"None")</f>
        <v>None</v>
      </c>
      <c r="H1348" s="42" t="str">
        <f>IFERROR(__xludf.DUMMYFUNCTION("""COMPUTED_VALUE"""),"Thunder")</f>
        <v>Thunder</v>
      </c>
      <c r="I1348" s="43" t="str">
        <f>IFERROR(__xludf.DUMMYFUNCTION("""COMPUTED_VALUE"""),"[COUNTER] Negate your opponent's Attack when you win the Battle as a Defender. Then, Injure the MAMODO card that Attacked in the Battle.")</f>
        <v>[COUNTER] Negate your opponent's Attack when you win the Battle as a Defender. Then, Injure the MAMODO card that Attacked in the Battle.</v>
      </c>
      <c r="J1348" s="42" t="str">
        <f>IFERROR(__xludf.DUMMYFUNCTION("""COMPUTED_VALUE"""),"+3000")</f>
        <v>+3000</v>
      </c>
      <c r="K1348" s="42">
        <f>IFERROR(__xludf.DUMMYFUNCTION("""COMPUTED_VALUE"""),2.0)</f>
        <v>2</v>
      </c>
      <c r="L1348" s="42" t="str">
        <f>IFERROR(__xludf.DUMMYFUNCTION("""COMPUTED_VALUE"""),"Dawn of the Ancients, Series 4, Level 0")</f>
        <v>Dawn of the Ancients, Series 4, Level 0</v>
      </c>
      <c r="M1348" s="42" t="str">
        <f>IFERROR(__xludf.DUMMYFUNCTION("""COMPUTED_VALUE"""),"[C]")</f>
        <v>[C]</v>
      </c>
      <c r="N1348" s="42" t="str">
        <f>IFERROR(__xludf.DUMMYFUNCTION("""COMPUTED_VALUE"""),"Zatch's 6th spell. ""Nuoooooo!""")</f>
        <v>Zatch's 6th spell. "Nuoooooo!"</v>
      </c>
      <c r="O1348" s="42"/>
      <c r="P1348" s="42"/>
      <c r="Q1348" s="42"/>
      <c r="R1348" s="42"/>
      <c r="S1348" s="42"/>
      <c r="T1348" s="42"/>
      <c r="U1348" s="42"/>
      <c r="V1348" s="42"/>
      <c r="W1348" s="42"/>
      <c r="X1348" s="42"/>
      <c r="Y1348" s="42"/>
      <c r="Z1348" s="42"/>
    </row>
    <row r="1349">
      <c r="A1349" s="41" t="str">
        <f>IFERROR(__xludf.DUMMYFUNCTION("""COMPUTED_VALUE"""),"S-220")</f>
        <v>S-220</v>
      </c>
      <c r="B1349" s="42" t="str">
        <f>IFERROR(__xludf.DUMMYFUNCTION("""COMPUTED_VALUE"""),"Spell")</f>
        <v>Spell</v>
      </c>
      <c r="C1349" s="42" t="str">
        <f>IFERROR(__xludf.DUMMYFUNCTION("""COMPUTED_VALUE"""),"Ma Seshield")</f>
        <v>Ma Seshield</v>
      </c>
      <c r="D1349" s="42" t="str">
        <f>IFERROR(__xludf.DUMMYFUNCTION("""COMPUTED_VALUE"""),"Tia")</f>
        <v>Tia</v>
      </c>
      <c r="E1349" s="42">
        <f>IFERROR(__xludf.DUMMYFUNCTION("""COMPUTED_VALUE"""),2.0)</f>
        <v>2</v>
      </c>
      <c r="F1349" s="42" t="str">
        <f>IFERROR(__xludf.DUMMYFUNCTION("""COMPUTED_VALUE"""),"D")</f>
        <v>D</v>
      </c>
      <c r="G1349" s="42" t="str">
        <f>IFERROR(__xludf.DUMMYFUNCTION("""COMPUTED_VALUE"""),"None")</f>
        <v>None</v>
      </c>
      <c r="H1349" s="42" t="str">
        <f>IFERROR(__xludf.DUMMYFUNCTION("""COMPUTED_VALUE"""),"-")</f>
        <v>-</v>
      </c>
      <c r="I1349" s="43" t="str">
        <f>IFERROR(__xludf.DUMMYFUNCTION("""COMPUTED_VALUE"""),"[COUNTER] Negate your opponent's Attack when you win the Battle as a Defender. In addition, your opponent cannot Attack again during this turn ([STAY]).")</f>
        <v>[COUNTER] Negate your opponent's Attack when you win the Battle as a Defender. In addition, your opponent cannot Attack again during this turn ([STAY]).</v>
      </c>
      <c r="J1349" s="42" t="str">
        <f>IFERROR(__xludf.DUMMYFUNCTION("""COMPUTED_VALUE"""),"+8000")</f>
        <v>+8000</v>
      </c>
      <c r="K1349" s="42" t="str">
        <f>IFERROR(__xludf.DUMMYFUNCTION("""COMPUTED_VALUE"""),"-")</f>
        <v>-</v>
      </c>
      <c r="L1349" s="42" t="str">
        <f>IFERROR(__xludf.DUMMYFUNCTION("""COMPUTED_VALUE"""),"Dawn of the Ancients, Series 4, Level 0")</f>
        <v>Dawn of the Ancients, Series 4, Level 0</v>
      </c>
      <c r="M1349" s="42" t="str">
        <f>IFERROR(__xludf.DUMMYFUNCTION("""COMPUTED_VALUE"""),"[U]")</f>
        <v>[U]</v>
      </c>
      <c r="N1349" s="42" t="str">
        <f>IFERROR(__xludf.DUMMYFUNCTION("""COMPUTED_VALUE"""),"Tia's 3rd spell. ""I will defend it!""")</f>
        <v>Tia's 3rd spell. "I will defend it!"</v>
      </c>
      <c r="O1349" s="42"/>
      <c r="P1349" s="42"/>
      <c r="Q1349" s="42"/>
      <c r="R1349" s="42"/>
      <c r="S1349" s="42"/>
      <c r="T1349" s="42"/>
      <c r="U1349" s="42"/>
      <c r="V1349" s="42"/>
      <c r="W1349" s="42"/>
      <c r="X1349" s="42"/>
      <c r="Y1349" s="42"/>
      <c r="Z1349" s="42"/>
    </row>
    <row r="1350">
      <c r="A1350" s="41" t="str">
        <f>IFERROR(__xludf.DUMMYFUNCTION("""COMPUTED_VALUE"""),"S-221")</f>
        <v>S-221</v>
      </c>
      <c r="B1350" s="42" t="str">
        <f>IFERROR(__xludf.DUMMYFUNCTION("""COMPUTED_VALUE"""),"Spell")</f>
        <v>Spell</v>
      </c>
      <c r="C1350" s="42" t="str">
        <f>IFERROR(__xludf.DUMMYFUNCTION("""COMPUTED_VALUE"""),"Saifogeo")</f>
        <v>Saifogeo</v>
      </c>
      <c r="D1350" s="42" t="str">
        <f>IFERROR(__xludf.DUMMYFUNCTION("""COMPUTED_VALUE"""),"Tia")</f>
        <v>Tia</v>
      </c>
      <c r="E1350" s="42">
        <f>IFERROR(__xludf.DUMMYFUNCTION("""COMPUTED_VALUE"""),1.0)</f>
        <v>1</v>
      </c>
      <c r="F1350" s="42" t="str">
        <f>IFERROR(__xludf.DUMMYFUNCTION("""COMPUTED_VALUE"""),"A")</f>
        <v>A</v>
      </c>
      <c r="G1350" s="42" t="str">
        <f>IFERROR(__xludf.DUMMYFUNCTION("""COMPUTED_VALUE"""),"Intermediate")</f>
        <v>Intermediate</v>
      </c>
      <c r="H1350" s="42" t="str">
        <f>IFERROR(__xludf.DUMMYFUNCTION("""COMPUTED_VALUE"""),"-")</f>
        <v>-</v>
      </c>
      <c r="I1350" s="43" t="str">
        <f>IFERROR(__xludf.DUMMYFUNCTION("""COMPUTED_VALUE"""),"Apply both of the following effects in any order: ● Turn 1 of your Injured MAMODO cards to Normal Status. ● Get 3 MP.")</f>
        <v>Apply both of the following effects in any order: ● Turn 1 of your Injured MAMODO cards to Normal Status. ● Get 3 MP.</v>
      </c>
      <c r="J1350" s="42" t="str">
        <f>IFERROR(__xludf.DUMMYFUNCTION("""COMPUTED_VALUE"""),"Special")</f>
        <v>Special</v>
      </c>
      <c r="K1350" s="42">
        <f>IFERROR(__xludf.DUMMYFUNCTION("""COMPUTED_VALUE"""),0.0)</f>
        <v>0</v>
      </c>
      <c r="L1350" s="42" t="str">
        <f>IFERROR(__xludf.DUMMYFUNCTION("""COMPUTED_VALUE"""),"Secrets of the Ruins, Level 0")</f>
        <v>Secrets of the Ruins, Level 0</v>
      </c>
      <c r="M1350" s="42" t="str">
        <f>IFERROR(__xludf.DUMMYFUNCTION("""COMPUTED_VALUE"""),"[R]")</f>
        <v>[R]</v>
      </c>
      <c r="N1350" s="42" t="str">
        <f>IFERROR(__xludf.DUMMYFUNCTION("""COMPUTED_VALUE"""),"Tia's 5th spell. ""How? This is a reliable spell, isn't it?""")</f>
        <v>Tia's 5th spell. "How? This is a reliable spell, isn't it?"</v>
      </c>
      <c r="O1350" s="42"/>
      <c r="P1350" s="42"/>
      <c r="Q1350" s="42"/>
      <c r="R1350" s="42"/>
      <c r="S1350" s="42"/>
      <c r="T1350" s="42"/>
      <c r="U1350" s="42"/>
      <c r="V1350" s="42"/>
      <c r="W1350" s="42"/>
      <c r="X1350" s="42"/>
      <c r="Y1350" s="42"/>
      <c r="Z1350" s="42"/>
    </row>
    <row r="1351">
      <c r="A1351" s="41" t="str">
        <f>IFERROR(__xludf.DUMMYFUNCTION("""COMPUTED_VALUE"""),"S-222")</f>
        <v>S-222</v>
      </c>
      <c r="B1351" s="42" t="str">
        <f>IFERROR(__xludf.DUMMYFUNCTION("""COMPUTED_VALUE"""),"Spell")</f>
        <v>Spell</v>
      </c>
      <c r="C1351" s="42" t="str">
        <f>IFERROR(__xludf.DUMMYFUNCTION("""COMPUTED_VALUE"""),"Baber Gravidon")</f>
        <v>Baber Gravidon</v>
      </c>
      <c r="D1351" s="42" t="str">
        <f>IFERROR(__xludf.DUMMYFUNCTION("""COMPUTED_VALUE"""),"Brago")</f>
        <v>Brago</v>
      </c>
      <c r="E1351" s="42">
        <f>IFERROR(__xludf.DUMMYFUNCTION("""COMPUTED_VALUE"""),1.0)</f>
        <v>1</v>
      </c>
      <c r="F1351" s="42" t="str">
        <f>IFERROR(__xludf.DUMMYFUNCTION("""COMPUTED_VALUE"""),"AD")</f>
        <v>AD</v>
      </c>
      <c r="G1351" s="42" t="str">
        <f>IFERROR(__xludf.DUMMYFUNCTION("""COMPUTED_VALUE"""),"Superior")</f>
        <v>Superior</v>
      </c>
      <c r="H1351" s="42" t="str">
        <f>IFERROR(__xludf.DUMMYFUNCTION("""COMPUTED_VALUE"""),"Down Force")</f>
        <v>Down Force</v>
      </c>
      <c r="I1351" s="43" t="str">
        <f>IFERROR(__xludf.DUMMYFUNCTION("""COMPUTED_VALUE"""),"Damage your opponent's Spell Book when you win the Battle as an Attacker. When you inflict Damage or Injury, select as many of your opponent's in-play MAMODO cards with 4000 Power or less as you desire and send them to the Discard Pile.")</f>
        <v>Damage your opponent's Spell Book when you win the Battle as an Attacker. When you inflict Damage or Injury, select as many of your opponent's in-play MAMODO cards with 4000 Power or less as you desire and send them to the Discard Pile.</v>
      </c>
      <c r="J1351" s="42" t="str">
        <f>IFERROR(__xludf.DUMMYFUNCTION("""COMPUTED_VALUE"""),"+7000")</f>
        <v>+7000</v>
      </c>
      <c r="K1351" s="42">
        <f>IFERROR(__xludf.DUMMYFUNCTION("""COMPUTED_VALUE"""),3.0)</f>
        <v>3</v>
      </c>
      <c r="L1351" s="42" t="str">
        <f>IFERROR(__xludf.DUMMYFUNCTION("""COMPUTED_VALUE"""),"-")</f>
        <v>-</v>
      </c>
      <c r="M1351" s="42" t="str">
        <f>IFERROR(__xludf.DUMMYFUNCTION("""COMPUTED_VALUE"""),"[SR]")</f>
        <v>[SR]</v>
      </c>
      <c r="N1351" s="42" t="str">
        <f>IFERROR(__xludf.DUMMYFUNCTION("""COMPUTED_VALUE"""),"Brago's 8th spell. It applies an intense gravitational force over a wide radius to wipe out his enemies.")</f>
        <v>Brago's 8th spell. It applies an intense gravitational force over a wide radius to wipe out his enemies.</v>
      </c>
      <c r="O1351" s="42"/>
      <c r="P1351" s="42"/>
      <c r="Q1351" s="42"/>
      <c r="R1351" s="42"/>
      <c r="S1351" s="42"/>
      <c r="T1351" s="42"/>
      <c r="U1351" s="42"/>
      <c r="V1351" s="42"/>
      <c r="W1351" s="42"/>
      <c r="X1351" s="42"/>
      <c r="Y1351" s="42"/>
      <c r="Z1351" s="42"/>
    </row>
    <row r="1352">
      <c r="A1352" s="41" t="str">
        <f>IFERROR(__xludf.DUMMYFUNCTION("""COMPUTED_VALUE"""),"S-223")</f>
        <v>S-223</v>
      </c>
      <c r="B1352" s="42" t="str">
        <f>IFERROR(__xludf.DUMMYFUNCTION("""COMPUTED_VALUE"""),"Spell")</f>
        <v>Spell</v>
      </c>
      <c r="C1352" s="42" t="str">
        <f>IFERROR(__xludf.DUMMYFUNCTION("""COMPUTED_VALUE"""),"Shudoruk")</f>
        <v>Shudoruk</v>
      </c>
      <c r="D1352" s="42" t="str">
        <f>IFERROR(__xludf.DUMMYFUNCTION("""COMPUTED_VALUE"""),"Ponygon")</f>
        <v>Ponygon</v>
      </c>
      <c r="E1352" s="42">
        <f>IFERROR(__xludf.DUMMYFUNCTION("""COMPUTED_VALUE"""),2.0)</f>
        <v>2</v>
      </c>
      <c r="F1352" s="42" t="str">
        <f>IFERROR(__xludf.DUMMYFUNCTION("""COMPUTED_VALUE"""),"AD")</f>
        <v>AD</v>
      </c>
      <c r="G1352" s="42" t="str">
        <f>IFERROR(__xludf.DUMMYFUNCTION("""COMPUTED_VALUE"""),"None")</f>
        <v>None</v>
      </c>
      <c r="H1352" s="42" t="str">
        <f>IFERROR(__xludf.DUMMYFUNCTION("""COMPUTED_VALUE"""),"-")</f>
        <v>-</v>
      </c>
      <c r="I1352" s="43" t="str">
        <f>IFERROR(__xludf.DUMMYFUNCTION("""COMPUTED_VALUE"""),"Damage your opponent's Spell Book when you win the Battle as an Attacker. Before comparing Total Power, select 1 Ponygon (Shudoruk Form) MAMODO card from any page of your Spell Book and place it on a regular Ponygon MAMODO card.")</f>
        <v>Damage your opponent's Spell Book when you win the Battle as an Attacker. Before comparing Total Power, select 1 Ponygon (Shudoruk Form) MAMODO card from any page of your Spell Book and place it on a regular Ponygon MAMODO card.</v>
      </c>
      <c r="J1352" s="42" t="str">
        <f>IFERROR(__xludf.DUMMYFUNCTION("""COMPUTED_VALUE"""),"+2000")</f>
        <v>+2000</v>
      </c>
      <c r="K1352" s="42">
        <f>IFERROR(__xludf.DUMMYFUNCTION("""COMPUTED_VALUE"""),1.0)</f>
        <v>1</v>
      </c>
      <c r="L1352" s="42" t="str">
        <f>IFERROR(__xludf.DUMMYFUNCTION("""COMPUTED_VALUE"""),"-")</f>
        <v>-</v>
      </c>
      <c r="M1352" s="42" t="str">
        <f>IFERROR(__xludf.DUMMYFUNCTION("""COMPUTED_VALUE"""),"[R]")</f>
        <v>[R]</v>
      </c>
      <c r="N1352" s="42" t="str">
        <f>IFERROR(__xludf.DUMMYFUNCTION("""COMPUTED_VALUE"""),"Ponygon's 1st spell. ""Now, let's show them your strength!""")</f>
        <v>Ponygon's 1st spell. "Now, let's show them your strength!"</v>
      </c>
      <c r="O1352" s="42"/>
      <c r="P1352" s="42"/>
      <c r="Q1352" s="42"/>
      <c r="R1352" s="42"/>
      <c r="S1352" s="42"/>
      <c r="T1352" s="42"/>
      <c r="U1352" s="42"/>
      <c r="V1352" s="42"/>
      <c r="W1352" s="42"/>
      <c r="X1352" s="42"/>
      <c r="Y1352" s="42"/>
      <c r="Z1352" s="42"/>
    </row>
    <row r="1353">
      <c r="A1353" s="41" t="str">
        <f>IFERROR(__xludf.DUMMYFUNCTION("""COMPUTED_VALUE"""),"S-224")</f>
        <v>S-224</v>
      </c>
      <c r="B1353" s="42" t="str">
        <f>IFERROR(__xludf.DUMMYFUNCTION("""COMPUTED_VALUE"""),"Spell")</f>
        <v>Spell</v>
      </c>
      <c r="C1353" s="42" t="str">
        <f>IFERROR(__xludf.DUMMYFUNCTION("""COMPUTED_VALUE"""),"Go Shudoruk")</f>
        <v>Go Shudoruk</v>
      </c>
      <c r="D1353" s="42" t="str">
        <f>IFERROR(__xludf.DUMMYFUNCTION("""COMPUTED_VALUE"""),"Ponygon")</f>
        <v>Ponygon</v>
      </c>
      <c r="E1353" s="42">
        <f>IFERROR(__xludf.DUMMYFUNCTION("""COMPUTED_VALUE"""),3.0)</f>
        <v>3</v>
      </c>
      <c r="F1353" s="42" t="str">
        <f>IFERROR(__xludf.DUMMYFUNCTION("""COMPUTED_VALUE"""),"AD")</f>
        <v>AD</v>
      </c>
      <c r="G1353" s="42" t="str">
        <f>IFERROR(__xludf.DUMMYFUNCTION("""COMPUTED_VALUE"""),"None")</f>
        <v>None</v>
      </c>
      <c r="H1353" s="42" t="str">
        <f>IFERROR(__xludf.DUMMYFUNCTION("""COMPUTED_VALUE"""),"-")</f>
        <v>-</v>
      </c>
      <c r="I1353" s="43" t="str">
        <f>IFERROR(__xludf.DUMMYFUNCTION("""COMPUTED_VALUE"""),"Damage your opponent's Spell Book when you win the Battle as an Attacker. Before comparing Total Power, select 1 Ponygon (Go Shudoruk Form) MAMODO card from any page of your Spell Book and place it on a regular Ponygon MAMODO card.")</f>
        <v>Damage your opponent's Spell Book when you win the Battle as an Attacker. Before comparing Total Power, select 1 Ponygon (Go Shudoruk Form) MAMODO card from any page of your Spell Book and place it on a regular Ponygon MAMODO card.</v>
      </c>
      <c r="J1353" s="42" t="str">
        <f>IFERROR(__xludf.DUMMYFUNCTION("""COMPUTED_VALUE"""),"+3000")</f>
        <v>+3000</v>
      </c>
      <c r="K1353" s="42">
        <f>IFERROR(__xludf.DUMMYFUNCTION("""COMPUTED_VALUE"""),2.0)</f>
        <v>2</v>
      </c>
      <c r="L1353" s="42" t="str">
        <f>IFERROR(__xludf.DUMMYFUNCTION("""COMPUTED_VALUE"""),"-")</f>
        <v>-</v>
      </c>
      <c r="M1353" s="42" t="str">
        <f>IFERROR(__xludf.DUMMYFUNCTION("""COMPUTED_VALUE"""),"[R]")</f>
        <v>[R]</v>
      </c>
      <c r="N1353" s="42" t="str">
        <f>IFERROR(__xludf.DUMMYFUNCTION("""COMPUTED_VALUE"""),"Ponygon's 2nd spell ""No way... In this short amount of time, he's already on his 2nd spell?!""")</f>
        <v>Ponygon's 2nd spell "No way... In this short amount of time, he's already on his 2nd spell?!"</v>
      </c>
      <c r="O1353" s="42"/>
      <c r="P1353" s="42"/>
      <c r="Q1353" s="42"/>
      <c r="R1353" s="42"/>
      <c r="S1353" s="42"/>
      <c r="T1353" s="42"/>
      <c r="U1353" s="42"/>
      <c r="V1353" s="42"/>
      <c r="W1353" s="42"/>
      <c r="X1353" s="42"/>
      <c r="Y1353" s="42"/>
      <c r="Z1353" s="42"/>
    </row>
    <row r="1354">
      <c r="A1354" s="41" t="str">
        <f>IFERROR(__xludf.DUMMYFUNCTION("""COMPUTED_VALUE"""),"S-225")</f>
        <v>S-225</v>
      </c>
      <c r="B1354" s="42" t="str">
        <f>IFERROR(__xludf.DUMMYFUNCTION("""COMPUTED_VALUE"""),"Spell")</f>
        <v>Spell</v>
      </c>
      <c r="C1354" s="42" t="str">
        <f>IFERROR(__xludf.DUMMYFUNCTION("""COMPUTED_VALUE"""),"Dezurga")</f>
        <v>Dezurga</v>
      </c>
      <c r="D1354" s="42" t="str">
        <f>IFERROR(__xludf.DUMMYFUNCTION("""COMPUTED_VALUE"""),"Ibaris")</f>
        <v>Ibaris</v>
      </c>
      <c r="E1354" s="42">
        <f>IFERROR(__xludf.DUMMYFUNCTION("""COMPUTED_VALUE"""),2.0)</f>
        <v>2</v>
      </c>
      <c r="F1354" s="42" t="str">
        <f>IFERROR(__xludf.DUMMYFUNCTION("""COMPUTED_VALUE"""),"AD")</f>
        <v>AD</v>
      </c>
      <c r="G1354" s="42" t="str">
        <f>IFERROR(__xludf.DUMMYFUNCTION("""COMPUTED_VALUE"""),"None")</f>
        <v>None</v>
      </c>
      <c r="H1354" s="42" t="str">
        <f>IFERROR(__xludf.DUMMYFUNCTION("""COMPUTED_VALUE"""),"-")</f>
        <v>-</v>
      </c>
      <c r="I1354" s="43" t="str">
        <f>IFERROR(__xludf.DUMMYFUNCTION("""COMPUTED_VALUE"""),"Damage your opponent's Spell Book when you win the Battle as an Attacker. If your opponent has 2 or less MAMODO cards in play, increase the Damage of this SPELL card by 1.")</f>
        <v>Damage your opponent's Spell Book when you win the Battle as an Attacker. If your opponent has 2 or less MAMODO cards in play, increase the Damage of this SPELL card by 1.</v>
      </c>
      <c r="J1354" s="42" t="str">
        <f>IFERROR(__xludf.DUMMYFUNCTION("""COMPUTED_VALUE"""),"+2000")</f>
        <v>+2000</v>
      </c>
      <c r="K1354" s="42">
        <f>IFERROR(__xludf.DUMMYFUNCTION("""COMPUTED_VALUE"""),1.0)</f>
        <v>1</v>
      </c>
      <c r="L1354" s="42" t="str">
        <f>IFERROR(__xludf.DUMMYFUNCTION("""COMPUTED_VALUE"""),"-")</f>
        <v>-</v>
      </c>
      <c r="M1354" s="42" t="str">
        <f>IFERROR(__xludf.DUMMYFUNCTION("""COMPUTED_VALUE"""),"[C]")</f>
        <v>[C]</v>
      </c>
      <c r="N1354" s="42" t="str">
        <f>IFERROR(__xludf.DUMMYFUNCTION("""COMPUTED_VALUE"""),"Ibaris' 1st spell. It launches a sharp energy wave that soars toward the opponent.")</f>
        <v>Ibaris' 1st spell. It launches a sharp energy wave that soars toward the opponent.</v>
      </c>
      <c r="O1354" s="42"/>
      <c r="P1354" s="42"/>
      <c r="Q1354" s="42"/>
      <c r="R1354" s="42"/>
      <c r="S1354" s="42"/>
      <c r="T1354" s="42"/>
      <c r="U1354" s="42"/>
      <c r="V1354" s="42"/>
      <c r="W1354" s="42"/>
      <c r="X1354" s="42"/>
      <c r="Y1354" s="42"/>
      <c r="Z1354" s="42"/>
    </row>
    <row r="1355">
      <c r="A1355" s="41" t="str">
        <f>IFERROR(__xludf.DUMMYFUNCTION("""COMPUTED_VALUE"""),"S-226")</f>
        <v>S-226</v>
      </c>
      <c r="B1355" s="42" t="str">
        <f>IFERROR(__xludf.DUMMYFUNCTION("""COMPUTED_VALUE"""),"Spell")</f>
        <v>Spell</v>
      </c>
      <c r="C1355" s="42" t="str">
        <f>IFERROR(__xludf.DUMMYFUNCTION("""COMPUTED_VALUE"""),"Gigano Dezur")</f>
        <v>Gigano Dezur</v>
      </c>
      <c r="D1355" s="42" t="str">
        <f>IFERROR(__xludf.DUMMYFUNCTION("""COMPUTED_VALUE"""),"Ibaris")</f>
        <v>Ibaris</v>
      </c>
      <c r="E1355" s="42">
        <f>IFERROR(__xludf.DUMMYFUNCTION("""COMPUTED_VALUE"""),4.0)</f>
        <v>4</v>
      </c>
      <c r="F1355" s="42" t="str">
        <f>IFERROR(__xludf.DUMMYFUNCTION("""COMPUTED_VALUE"""),"AD")</f>
        <v>AD</v>
      </c>
      <c r="G1355" s="42" t="str">
        <f>IFERROR(__xludf.DUMMYFUNCTION("""COMPUTED_VALUE"""),"Intermediate")</f>
        <v>Intermediate</v>
      </c>
      <c r="H1355" s="42" t="str">
        <f>IFERROR(__xludf.DUMMYFUNCTION("""COMPUTED_VALUE"""),"-")</f>
        <v>-</v>
      </c>
      <c r="I1355" s="43" t="str">
        <f>IFERROR(__xludf.DUMMYFUNCTION("""COMPUTED_VALUE"""),"Damage your opponent's Spell Book when you win the Battle as an Attacker. If your opponent has 2 or less MAMODO cards in play, increase the Damage of this SPELL card by 1.")</f>
        <v>Damage your opponent's Spell Book when you win the Battle as an Attacker. If your opponent has 2 or less MAMODO cards in play, increase the Damage of this SPELL card by 1.</v>
      </c>
      <c r="J1355" s="42" t="str">
        <f>IFERROR(__xludf.DUMMYFUNCTION("""COMPUTED_VALUE"""),"+5000")</f>
        <v>+5000</v>
      </c>
      <c r="K1355" s="42">
        <f>IFERROR(__xludf.DUMMYFUNCTION("""COMPUTED_VALUE"""),2.0)</f>
        <v>2</v>
      </c>
      <c r="L1355" s="42" t="str">
        <f>IFERROR(__xludf.DUMMYFUNCTION("""COMPUTED_VALUE"""),"-")</f>
        <v>-</v>
      </c>
      <c r="M1355" s="42" t="str">
        <f>IFERROR(__xludf.DUMMYFUNCTION("""COMPUTED_VALUE"""),"[U]")</f>
        <v>[U]</v>
      </c>
      <c r="N1355" s="42" t="str">
        <f>IFERROR(__xludf.DUMMYFUNCTION("""COMPUTED_VALUE"""),"Ibaris’ 2nd spell. A gigantic, square-shaped pyramid spins like a drill and charges toward the intruders.")</f>
        <v>Ibaris’ 2nd spell. A gigantic, square-shaped pyramid spins like a drill and charges toward the intruders.</v>
      </c>
      <c r="O1355" s="42"/>
      <c r="P1355" s="42"/>
      <c r="Q1355" s="42"/>
      <c r="R1355" s="42"/>
      <c r="S1355" s="42"/>
      <c r="T1355" s="42"/>
      <c r="U1355" s="42"/>
      <c r="V1355" s="42"/>
      <c r="W1355" s="42"/>
      <c r="X1355" s="42"/>
      <c r="Y1355" s="42"/>
      <c r="Z1355" s="42"/>
    </row>
    <row r="1356">
      <c r="A1356" s="41" t="str">
        <f>IFERROR(__xludf.DUMMYFUNCTION("""COMPUTED_VALUE"""),"S-227")</f>
        <v>S-227</v>
      </c>
      <c r="B1356" s="42" t="str">
        <f>IFERROR(__xludf.DUMMYFUNCTION("""COMPUTED_VALUE"""),"Spell")</f>
        <v>Spell</v>
      </c>
      <c r="C1356" s="42" t="str">
        <f>IFERROR(__xludf.DUMMYFUNCTION("""COMPUTED_VALUE"""),"Gigano Bireido")</f>
        <v>Gigano Bireido</v>
      </c>
      <c r="D1356" s="42" t="str">
        <f>IFERROR(__xludf.DUMMYFUNCTION("""COMPUTED_VALUE"""),"Denshin")</f>
        <v>Denshin</v>
      </c>
      <c r="E1356" s="42">
        <f>IFERROR(__xludf.DUMMYFUNCTION("""COMPUTED_VALUE"""),1.0)</f>
        <v>1</v>
      </c>
      <c r="F1356" s="42" t="str">
        <f>IFERROR(__xludf.DUMMYFUNCTION("""COMPUTED_VALUE"""),"A")</f>
        <v>A</v>
      </c>
      <c r="G1356" s="42" t="str">
        <f>IFERROR(__xludf.DUMMYFUNCTION("""COMPUTED_VALUE"""),"Intermediate")</f>
        <v>Intermediate</v>
      </c>
      <c r="H1356" s="42" t="str">
        <f>IFERROR(__xludf.DUMMYFUNCTION("""COMPUTED_VALUE"""),"-")</f>
        <v>-</v>
      </c>
      <c r="I1356" s="43" t="str">
        <f>IFERROR(__xludf.DUMMYFUNCTION("""COMPUTED_VALUE"""),"Damage your opponent's Spell Book when you win the Battle as an Attacker.")</f>
        <v>Damage your opponent's Spell Book when you win the Battle as an Attacker.</v>
      </c>
      <c r="J1356" s="42" t="str">
        <f>IFERROR(__xludf.DUMMYFUNCTION("""COMPUTED_VALUE"""),"+3000")</f>
        <v>+3000</v>
      </c>
      <c r="K1356" s="42">
        <f>IFERROR(__xludf.DUMMYFUNCTION("""COMPUTED_VALUE"""),2.0)</f>
        <v>2</v>
      </c>
      <c r="L1356" s="42" t="str">
        <f>IFERROR(__xludf.DUMMYFUNCTION("""COMPUTED_VALUE"""),"-")</f>
        <v>-</v>
      </c>
      <c r="M1356" s="42" t="str">
        <f>IFERROR(__xludf.DUMMYFUNCTION("""COMPUTED_VALUE"""),"[U]")</f>
        <v>[U]</v>
      </c>
      <c r="N1356" s="42" t="str">
        <f>IFERROR(__xludf.DUMMYFUNCTION("""COMPUTED_VALUE"""),"Denshin's 1st spell. It fires a beam from his horns that can be aimed from a long distance away.")</f>
        <v>Denshin's 1st spell. It fires a beam from his horns that can be aimed from a long distance away.</v>
      </c>
      <c r="O1356" s="42"/>
      <c r="P1356" s="42"/>
      <c r="Q1356" s="42"/>
      <c r="R1356" s="42"/>
      <c r="S1356" s="42"/>
      <c r="T1356" s="42"/>
      <c r="U1356" s="42"/>
      <c r="V1356" s="42"/>
      <c r="W1356" s="42"/>
      <c r="X1356" s="42"/>
      <c r="Y1356" s="42"/>
      <c r="Z1356" s="42"/>
    </row>
    <row r="1357">
      <c r="A1357" s="41" t="str">
        <f>IFERROR(__xludf.DUMMYFUNCTION("""COMPUTED_VALUE"""),"S-228")</f>
        <v>S-228</v>
      </c>
      <c r="B1357" s="42" t="str">
        <f>IFERROR(__xludf.DUMMYFUNCTION("""COMPUTED_VALUE"""),"Spell")</f>
        <v>Spell</v>
      </c>
      <c r="C1357" s="42" t="str">
        <f>IFERROR(__xludf.DUMMYFUNCTION("""COMPUTED_VALUE"""),"Oruda Bireiron")</f>
        <v>Oruda Bireiron</v>
      </c>
      <c r="D1357" s="42" t="str">
        <f>IFERROR(__xludf.DUMMYFUNCTION("""COMPUTED_VALUE"""),"Denshin")</f>
        <v>Denshin</v>
      </c>
      <c r="E1357" s="42">
        <f>IFERROR(__xludf.DUMMYFUNCTION("""COMPUTED_VALUE"""),3.0)</f>
        <v>3</v>
      </c>
      <c r="F1357" s="42" t="str">
        <f>IFERROR(__xludf.DUMMYFUNCTION("""COMPUTED_VALUE"""),"A")</f>
        <v>A</v>
      </c>
      <c r="G1357" s="42" t="str">
        <f>IFERROR(__xludf.DUMMYFUNCTION("""COMPUTED_VALUE"""),"Intermediate")</f>
        <v>Intermediate</v>
      </c>
      <c r="H1357" s="42" t="str">
        <f>IFERROR(__xludf.DUMMYFUNCTION("""COMPUTED_VALUE"""),"-")</f>
        <v>-</v>
      </c>
      <c r="I1357" s="43" t="str">
        <f>IFERROR(__xludf.DUMMYFUNCTION("""COMPUTED_VALUE"""),"This SPELL card can be played up to thrice per turn (per player). When played more than once, the MP cost is considered to be 0. Damage your opponent's Spell Book when you win the Battle as an Attacker.")</f>
        <v>This SPELL card can be played up to thrice per turn (per player). When played more than once, the MP cost is considered to be 0. Damage your opponent's Spell Book when you win the Battle as an Attacker.</v>
      </c>
      <c r="J1357" s="42" t="str">
        <f>IFERROR(__xludf.DUMMYFUNCTION("""COMPUTED_VALUE"""),"+2000")</f>
        <v>+2000</v>
      </c>
      <c r="K1357" s="42">
        <f>IFERROR(__xludf.DUMMYFUNCTION("""COMPUTED_VALUE"""),1.0)</f>
        <v>1</v>
      </c>
      <c r="L1357" s="42" t="str">
        <f>IFERROR(__xludf.DUMMYFUNCTION("""COMPUTED_VALUE"""),"-")</f>
        <v>-</v>
      </c>
      <c r="M1357" s="42" t="str">
        <f>IFERROR(__xludf.DUMMYFUNCTION("""COMPUTED_VALUE"""),"[U]")</f>
        <v>[U]</v>
      </c>
      <c r="N1357" s="42" t="str">
        <f>IFERROR(__xludf.DUMMYFUNCTION("""COMPUTED_VALUE"""),"Denshin’s 2nd spell. He lashes at his foes with erratic whips composed of light!")</f>
        <v>Denshin’s 2nd spell. He lashes at his foes with erratic whips composed of light!</v>
      </c>
      <c r="O1357" s="42"/>
      <c r="P1357" s="42"/>
      <c r="Q1357" s="42"/>
      <c r="R1357" s="42"/>
      <c r="S1357" s="42"/>
      <c r="T1357" s="42"/>
      <c r="U1357" s="42"/>
      <c r="V1357" s="42"/>
      <c r="W1357" s="42"/>
      <c r="X1357" s="42"/>
      <c r="Y1357" s="42"/>
      <c r="Z1357" s="42"/>
    </row>
    <row r="1358">
      <c r="A1358" s="41" t="str">
        <f>IFERROR(__xludf.DUMMYFUNCTION("""COMPUTED_VALUE"""),"S-229")</f>
        <v>S-229</v>
      </c>
      <c r="B1358" s="42" t="str">
        <f>IFERROR(__xludf.DUMMYFUNCTION("""COMPUTED_VALUE"""),"Spell")</f>
        <v>Spell</v>
      </c>
      <c r="C1358" s="42" t="str">
        <f>IFERROR(__xludf.DUMMYFUNCTION("""COMPUTED_VALUE"""),"Oru Rozurga")</f>
        <v>Oru Rozurga</v>
      </c>
      <c r="D1358" s="42" t="str">
        <f>IFERROR(__xludf.DUMMYFUNCTION("""COMPUTED_VALUE"""),"Kalura")</f>
        <v>Kalura</v>
      </c>
      <c r="E1358" s="42">
        <f>IFERROR(__xludf.DUMMYFUNCTION("""COMPUTED_VALUE"""),2.0)</f>
        <v>2</v>
      </c>
      <c r="F1358" s="42" t="str">
        <f>IFERROR(__xludf.DUMMYFUNCTION("""COMPUTED_VALUE"""),"AD")</f>
        <v>AD</v>
      </c>
      <c r="G1358" s="42" t="str">
        <f>IFERROR(__xludf.DUMMYFUNCTION("""COMPUTED_VALUE"""),"Intermediate")</f>
        <v>Intermediate</v>
      </c>
      <c r="H1358" s="42" t="str">
        <f>IFERROR(__xludf.DUMMYFUNCTION("""COMPUTED_VALUE"""),"Wood")</f>
        <v>Wood</v>
      </c>
      <c r="I1358" s="43" t="str">
        <f>IFERROR(__xludf.DUMMYFUNCTION("""COMPUTED_VALUE"""),"Damage your opponent's Spell Book when you win the Battle as an Attacker. During the Battle this SPELL card is played, your opponent cannot apply the effects of their in-play PARTNER cards.")</f>
        <v>Damage your opponent's Spell Book when you win the Battle as an Attacker. During the Battle this SPELL card is played, your opponent cannot apply the effects of their in-play PARTNER cards.</v>
      </c>
      <c r="J1358" s="42" t="str">
        <f>IFERROR(__xludf.DUMMYFUNCTION("""COMPUTED_VALUE"""),"+3000")</f>
        <v>+3000</v>
      </c>
      <c r="K1358" s="42">
        <f>IFERROR(__xludf.DUMMYFUNCTION("""COMPUTED_VALUE"""),2.0)</f>
        <v>2</v>
      </c>
      <c r="L1358" s="42" t="str">
        <f>IFERROR(__xludf.DUMMYFUNCTION("""COMPUTED_VALUE"""),"-")</f>
        <v>-</v>
      </c>
      <c r="M1358" s="42" t="str">
        <f>IFERROR(__xludf.DUMMYFUNCTION("""COMPUTED_VALUE"""),"[C]")</f>
        <v>[C]</v>
      </c>
      <c r="N1358" s="42" t="str">
        <f>IFERROR(__xludf.DUMMYFUNCTION("""COMPUTED_VALUE"""),"Kalura’s 1st spell. A graceful attack in which she sends a large rose flower after her foes.")</f>
        <v>Kalura’s 1st spell. A graceful attack in which she sends a large rose flower after her foes.</v>
      </c>
      <c r="O1358" s="42"/>
      <c r="P1358" s="42"/>
      <c r="Q1358" s="42"/>
      <c r="R1358" s="42"/>
      <c r="S1358" s="42"/>
      <c r="T1358" s="42"/>
      <c r="U1358" s="42"/>
      <c r="V1358" s="42"/>
      <c r="W1358" s="42"/>
      <c r="X1358" s="42"/>
      <c r="Y1358" s="42"/>
      <c r="Z1358" s="42"/>
    </row>
    <row r="1359">
      <c r="A1359" s="41" t="str">
        <f>IFERROR(__xludf.DUMMYFUNCTION("""COMPUTED_VALUE"""),"S-230")</f>
        <v>S-230</v>
      </c>
      <c r="B1359" s="42" t="str">
        <f>IFERROR(__xludf.DUMMYFUNCTION("""COMPUTED_VALUE"""),"Spell")</f>
        <v>Spell</v>
      </c>
      <c r="C1359" s="42" t="str">
        <f>IFERROR(__xludf.DUMMYFUNCTION("""COMPUTED_VALUE"""),"Bazu Agurozes")</f>
        <v>Bazu Agurozes</v>
      </c>
      <c r="D1359" s="42" t="str">
        <f>IFERROR(__xludf.DUMMYFUNCTION("""COMPUTED_VALUE"""),"Kalura")</f>
        <v>Kalura</v>
      </c>
      <c r="E1359" s="42">
        <f>IFERROR(__xludf.DUMMYFUNCTION("""COMPUTED_VALUE"""),5.0)</f>
        <v>5</v>
      </c>
      <c r="F1359" s="42" t="str">
        <f>IFERROR(__xludf.DUMMYFUNCTION("""COMPUTED_VALUE"""),"AD")</f>
        <v>AD</v>
      </c>
      <c r="G1359" s="42" t="str">
        <f>IFERROR(__xludf.DUMMYFUNCTION("""COMPUTED_VALUE"""),"Superior")</f>
        <v>Superior</v>
      </c>
      <c r="H1359" s="42" t="str">
        <f>IFERROR(__xludf.DUMMYFUNCTION("""COMPUTED_VALUE"""),"Wood")</f>
        <v>Wood</v>
      </c>
      <c r="I1359" s="43" t="str">
        <f>IFERROR(__xludf.DUMMYFUNCTION("""COMPUTED_VALUE"""),"Damage your opponent's Spell Book when you win the Battle as an Attacker. When you inflict Damage or Injury, send 1 of your opponent's in-play PARTNER cards to the Discard Pile.")</f>
        <v>Damage your opponent's Spell Book when you win the Battle as an Attacker. When you inflict Damage or Injury, send 1 of your opponent's in-play PARTNER cards to the Discard Pile.</v>
      </c>
      <c r="J1359" s="42" t="str">
        <f>IFERROR(__xludf.DUMMYFUNCTION("""COMPUTED_VALUE"""),"+5000")</f>
        <v>+5000</v>
      </c>
      <c r="K1359" s="42">
        <f>IFERROR(__xludf.DUMMYFUNCTION("""COMPUTED_VALUE"""),3.0)</f>
        <v>3</v>
      </c>
      <c r="L1359" s="42" t="str">
        <f>IFERROR(__xludf.DUMMYFUNCTION("""COMPUTED_VALUE"""),"-")</f>
        <v>-</v>
      </c>
      <c r="M1359" s="42" t="str">
        <f>IFERROR(__xludf.DUMMYFUNCTION("""COMPUTED_VALUE"""),"[U]")</f>
        <v>[U]</v>
      </c>
      <c r="N1359" s="42" t="str">
        <f>IFERROR(__xludf.DUMMYFUNCTION("""COMPUTED_VALUE"""),"Kalura’s 2nd spell. It summons a gigantic carnivorous plant to devour her enemies.")</f>
        <v>Kalura’s 2nd spell. It summons a gigantic carnivorous plant to devour her enemies.</v>
      </c>
      <c r="O1359" s="42"/>
      <c r="P1359" s="42"/>
      <c r="Q1359" s="42"/>
      <c r="R1359" s="42"/>
      <c r="S1359" s="42"/>
      <c r="T1359" s="42"/>
      <c r="U1359" s="42"/>
      <c r="V1359" s="42"/>
      <c r="W1359" s="42"/>
      <c r="X1359" s="42"/>
      <c r="Y1359" s="42"/>
      <c r="Z1359" s="42"/>
    </row>
    <row r="1360">
      <c r="A1360" s="41" t="str">
        <f>IFERROR(__xludf.DUMMYFUNCTION("""COMPUTED_VALUE"""),"S-231")</f>
        <v>S-231</v>
      </c>
      <c r="B1360" s="42" t="str">
        <f>IFERROR(__xludf.DUMMYFUNCTION("""COMPUTED_VALUE"""),"Spell")</f>
        <v>Spell</v>
      </c>
      <c r="C1360" s="42" t="str">
        <f>IFERROR(__xludf.DUMMYFUNCTION("""COMPUTED_VALUE"""),"Gigano Bogirga")</f>
        <v>Gigano Bogirga</v>
      </c>
      <c r="D1360" s="42" t="str">
        <f>IFERROR(__xludf.DUMMYFUNCTION("""COMPUTED_VALUE"""),"Babiru")</f>
        <v>Babiru</v>
      </c>
      <c r="E1360" s="42">
        <f>IFERROR(__xludf.DUMMYFUNCTION("""COMPUTED_VALUE"""),3.0)</f>
        <v>3</v>
      </c>
      <c r="F1360" s="42" t="str">
        <f>IFERROR(__xludf.DUMMYFUNCTION("""COMPUTED_VALUE"""),"AD")</f>
        <v>AD</v>
      </c>
      <c r="G1360" s="42" t="str">
        <f>IFERROR(__xludf.DUMMYFUNCTION("""COMPUTED_VALUE"""),"Intermediate")</f>
        <v>Intermediate</v>
      </c>
      <c r="H1360" s="42" t="str">
        <f>IFERROR(__xludf.DUMMYFUNCTION("""COMPUTED_VALUE"""),"-")</f>
        <v>-</v>
      </c>
      <c r="I1360" s="43" t="str">
        <f>IFERROR(__xludf.DUMMYFUNCTION("""COMPUTED_VALUE"""),"Damage your opponent's Spell Book when you win the Battle as an Attacker.")</f>
        <v>Damage your opponent's Spell Book when you win the Battle as an Attacker.</v>
      </c>
      <c r="J1360" s="42" t="str">
        <f>IFERROR(__xludf.DUMMYFUNCTION("""COMPUTED_VALUE"""),"+3000")</f>
        <v>+3000</v>
      </c>
      <c r="K1360" s="42">
        <f>IFERROR(__xludf.DUMMYFUNCTION("""COMPUTED_VALUE"""),3.0)</f>
        <v>3</v>
      </c>
      <c r="L1360" s="42" t="str">
        <f>IFERROR(__xludf.DUMMYFUNCTION("""COMPUTED_VALUE"""),"-")</f>
        <v>-</v>
      </c>
      <c r="M1360" s="42" t="str">
        <f>IFERROR(__xludf.DUMMYFUNCTION("""COMPUTED_VALUE"""),"[U]")</f>
        <v>[U]</v>
      </c>
      <c r="N1360" s="42" t="str">
        <f>IFERROR(__xludf.DUMMYFUNCTION("""COMPUTED_VALUE"""),"Babiru’s 2nd spell. He puts both arms together and fires a large energy wave.")</f>
        <v>Babiru’s 2nd spell. He puts both arms together and fires a large energy wave.</v>
      </c>
      <c r="O1360" s="42"/>
      <c r="P1360" s="42"/>
      <c r="Q1360" s="42"/>
      <c r="R1360" s="42"/>
      <c r="S1360" s="42"/>
      <c r="T1360" s="42"/>
      <c r="U1360" s="42"/>
      <c r="V1360" s="42"/>
      <c r="W1360" s="42"/>
      <c r="X1360" s="42"/>
      <c r="Y1360" s="42"/>
      <c r="Z1360" s="42"/>
    </row>
    <row r="1361">
      <c r="A1361" s="41" t="str">
        <f>IFERROR(__xludf.DUMMYFUNCTION("""COMPUTED_VALUE"""),"S-232")</f>
        <v>S-232</v>
      </c>
      <c r="B1361" s="42" t="str">
        <f>IFERROR(__xludf.DUMMYFUNCTION("""COMPUTED_VALUE"""),"Spell")</f>
        <v>Spell</v>
      </c>
      <c r="C1361" s="42" t="str">
        <f>IFERROR(__xludf.DUMMYFUNCTION("""COMPUTED_VALUE"""),"Or Migurga")</f>
        <v>Or Migurga</v>
      </c>
      <c r="D1361" s="42" t="str">
        <f>IFERROR(__xludf.DUMMYFUNCTION("""COMPUTED_VALUE"""),"Laila")</f>
        <v>Laila</v>
      </c>
      <c r="E1361" s="42">
        <f>IFERROR(__xludf.DUMMYFUNCTION("""COMPUTED_VALUE"""),2.0)</f>
        <v>2</v>
      </c>
      <c r="F1361" s="42" t="str">
        <f>IFERROR(__xludf.DUMMYFUNCTION("""COMPUTED_VALUE"""),"AD")</f>
        <v>AD</v>
      </c>
      <c r="G1361" s="42" t="str">
        <f>IFERROR(__xludf.DUMMYFUNCTION("""COMPUTED_VALUE"""),"Intermediate")</f>
        <v>Intermediate</v>
      </c>
      <c r="H1361" s="42" t="str">
        <f>IFERROR(__xludf.DUMMYFUNCTION("""COMPUTED_VALUE"""),"-")</f>
        <v>-</v>
      </c>
      <c r="I1361" s="43" t="str">
        <f>IFERROR(__xludf.DUMMYFUNCTION("""COMPUTED_VALUE"""),"When this SPELL card fails to inflict Damage or Injury (such as losing the Battle as an Attacker or being negated by a card effect), this SPELL card can be played once more this turn with the MP cost considered to be 0. Damage your opponent's Spell Book w"&amp;"hen you win the Battle as an Attacker.")</f>
        <v>When this SPELL card fails to inflict Damage or Injury (such as losing the Battle as an Attacker or being negated by a card effect), this SPELL card can be played once more this turn with the MP cost considered to be 0. Damage your opponent's Spell Book when you win the Battle as an Attacker.</v>
      </c>
      <c r="J1361" s="42" t="str">
        <f>IFERROR(__xludf.DUMMYFUNCTION("""COMPUTED_VALUE"""),"+3000")</f>
        <v>+3000</v>
      </c>
      <c r="K1361" s="42">
        <f>IFERROR(__xludf.DUMMYFUNCTION("""COMPUTED_VALUE"""),2.0)</f>
        <v>2</v>
      </c>
      <c r="L1361" s="42" t="str">
        <f>IFERROR(__xludf.DUMMYFUNCTION("""COMPUTED_VALUE"""),"-")</f>
        <v>-</v>
      </c>
      <c r="M1361" s="42" t="str">
        <f>IFERROR(__xludf.DUMMYFUNCTION("""COMPUTED_VALUE"""),"[R]")</f>
        <v>[R]</v>
      </c>
      <c r="N1361" s="42" t="str">
        <f>IFERROR(__xludf.DUMMYFUNCTION("""COMPUTED_VALUE"""),"Laila's 3rd spell. It impacts the opponent with a spinning, crescent moon-shaped projectile.")</f>
        <v>Laila's 3rd spell. It impacts the opponent with a spinning, crescent moon-shaped projectile.</v>
      </c>
      <c r="O1361" s="42"/>
      <c r="P1361" s="42"/>
      <c r="Q1361" s="42"/>
      <c r="R1361" s="42"/>
      <c r="S1361" s="42"/>
      <c r="T1361" s="42"/>
      <c r="U1361" s="42"/>
      <c r="V1361" s="42"/>
      <c r="W1361" s="42"/>
      <c r="X1361" s="42"/>
      <c r="Y1361" s="42"/>
      <c r="Z1361" s="42"/>
    </row>
    <row r="1362">
      <c r="A1362" s="41" t="str">
        <f>IFERROR(__xludf.DUMMYFUNCTION("""COMPUTED_VALUE"""),"S-233")</f>
        <v>S-233</v>
      </c>
      <c r="B1362" s="42" t="str">
        <f>IFERROR(__xludf.DUMMYFUNCTION("""COMPUTED_VALUE"""),"Spell")</f>
        <v>Spell</v>
      </c>
      <c r="C1362" s="42" t="str">
        <f>IFERROR(__xludf.DUMMYFUNCTION("""COMPUTED_VALUE"""),"Raja Migsen")</f>
        <v>Raja Migsen</v>
      </c>
      <c r="D1362" s="42" t="str">
        <f>IFERROR(__xludf.DUMMYFUNCTION("""COMPUTED_VALUE"""),"Laila")</f>
        <v>Laila</v>
      </c>
      <c r="E1362" s="42">
        <f>IFERROR(__xludf.DUMMYFUNCTION("""COMPUTED_VALUE"""),3.0)</f>
        <v>3</v>
      </c>
      <c r="F1362" s="42" t="str">
        <f>IFERROR(__xludf.DUMMYFUNCTION("""COMPUTED_VALUE"""),"AD")</f>
        <v>AD</v>
      </c>
      <c r="G1362" s="42" t="str">
        <f>IFERROR(__xludf.DUMMYFUNCTION("""COMPUTED_VALUE"""),"Intermediate")</f>
        <v>Intermediate</v>
      </c>
      <c r="H1362" s="42" t="str">
        <f>IFERROR(__xludf.DUMMYFUNCTION("""COMPUTED_VALUE"""),"-")</f>
        <v>-</v>
      </c>
      <c r="I1362" s="43" t="str">
        <f>IFERROR(__xludf.DUMMYFUNCTION("""COMPUTED_VALUE"""),"Damage your opponent's Spell Book when you win the Battle as an Attacker.")</f>
        <v>Damage your opponent's Spell Book when you win the Battle as an Attacker.</v>
      </c>
      <c r="J1362" s="42" t="str">
        <f>IFERROR(__xludf.DUMMYFUNCTION("""COMPUTED_VALUE"""),"+6000")</f>
        <v>+6000</v>
      </c>
      <c r="K1362" s="42">
        <f>IFERROR(__xludf.DUMMYFUNCTION("""COMPUTED_VALUE"""),3.0)</f>
        <v>3</v>
      </c>
      <c r="L1362" s="42" t="str">
        <f>IFERROR(__xludf.DUMMYFUNCTION("""COMPUTED_VALUE"""),"-")</f>
        <v>-</v>
      </c>
      <c r="M1362" s="42" t="str">
        <f>IFERROR(__xludf.DUMMYFUNCTION("""COMPUTED_VALUE"""),"[R]")</f>
        <v>[R]</v>
      </c>
      <c r="N1362" s="42" t="str">
        <f>IFERROR(__xludf.DUMMYFUNCTION("""COMPUTED_VALUE"""),"Laila's 4th spell. A huge crescent moon descends upon her opponents.")</f>
        <v>Laila's 4th spell. A huge crescent moon descends upon her opponents.</v>
      </c>
      <c r="O1362" s="42"/>
      <c r="P1362" s="42"/>
      <c r="Q1362" s="42"/>
      <c r="R1362" s="42"/>
      <c r="S1362" s="42"/>
      <c r="T1362" s="42"/>
      <c r="U1362" s="42"/>
      <c r="V1362" s="42"/>
      <c r="W1362" s="42"/>
      <c r="X1362" s="42"/>
      <c r="Y1362" s="42"/>
      <c r="Z1362" s="42"/>
    </row>
    <row r="1363">
      <c r="A1363" s="41" t="str">
        <f>IFERROR(__xludf.DUMMYFUNCTION("""COMPUTED_VALUE"""),"S-234")</f>
        <v>S-234</v>
      </c>
      <c r="B1363" s="42" t="str">
        <f>IFERROR(__xludf.DUMMYFUNCTION("""COMPUTED_VALUE"""),"Spell")</f>
        <v>Spell</v>
      </c>
      <c r="C1363" s="42" t="str">
        <f>IFERROR(__xludf.DUMMYFUNCTION("""COMPUTED_VALUE"""),"Miberna Ma Migron")</f>
        <v>Miberna Ma Migron</v>
      </c>
      <c r="D1363" s="42" t="str">
        <f>IFERROR(__xludf.DUMMYFUNCTION("""COMPUTED_VALUE"""),"Laila")</f>
        <v>Laila</v>
      </c>
      <c r="E1363" s="42">
        <f>IFERROR(__xludf.DUMMYFUNCTION("""COMPUTED_VALUE"""),1.0)</f>
        <v>1</v>
      </c>
      <c r="F1363" s="42" t="str">
        <f>IFERROR(__xludf.DUMMYFUNCTION("""COMPUTED_VALUE"""),"A")</f>
        <v>A</v>
      </c>
      <c r="G1363" s="42" t="str">
        <f>IFERROR(__xludf.DUMMYFUNCTION("""COMPUTED_VALUE"""),"Superior")</f>
        <v>Superior</v>
      </c>
      <c r="H1363" s="42" t="str">
        <f>IFERROR(__xludf.DUMMYFUNCTION("""COMPUTED_VALUE"""),"-")</f>
        <v>-</v>
      </c>
      <c r="I1363" s="43" t="str">
        <f>IFERROR(__xludf.DUMMYFUNCTION("""COMPUTED_VALUE"""),"If you have an Albert PARTNER card in play, this SPELL card can be played up to 3 times per turn (per player). Select 1 of your opponent's in-play MAMODO cards and apply one of the following effects: ● Roll:[STAY] Your opponent cannot apply the effects of"&amp;" the selected MAMODO card until the END PHASE of the next turn. ● Fire:Turn the selected MAMODO card to Injured Status. ● Connect:[STAY] Your opponent cannot play SPELL cards for the selected MAMODO card until the END PHASE of the next turn.")</f>
        <v>If you have an Albert PARTNER card in play, this SPELL card can be played up to 3 times per turn (per player). Select 1 of your opponent's in-play MAMODO cards and apply one of the following effects: ● Roll:[STAY] Your opponent cannot apply the effects of the selected MAMODO card until the END PHASE of the next turn. ● Fire:Turn the selected MAMODO card to Injured Status. ● Connect:[STAY] Your opponent cannot play SPELL cards for the selected MAMODO card until the END PHASE of the next turn.</v>
      </c>
      <c r="J1363" s="42" t="str">
        <f>IFERROR(__xludf.DUMMYFUNCTION("""COMPUTED_VALUE"""),"Special")</f>
        <v>Special</v>
      </c>
      <c r="K1363" s="42" t="str">
        <f>IFERROR(__xludf.DUMMYFUNCTION("""COMPUTED_VALUE"""),"-")</f>
        <v>-</v>
      </c>
      <c r="L1363" s="42" t="str">
        <f>IFERROR(__xludf.DUMMYFUNCTION("""COMPUTED_VALUE"""),"-")</f>
        <v>-</v>
      </c>
      <c r="M1363" s="42" t="str">
        <f>IFERROR(__xludf.DUMMYFUNCTION("""COMPUTED_VALUE"""),"[SR]")</f>
        <v>[SR]</v>
      </c>
      <c r="N1363" s="42" t="str">
        <f>IFERROR(__xludf.DUMMYFUNCTION("""COMPUTED_VALUE"""),"Laila's 5th spell. ""B, E, H, L, O, R, W! Roll! Fire!! Connect!!""")</f>
        <v>Laila's 5th spell. "B, E, H, L, O, R, W! Roll! Fire!! Connect!!"</v>
      </c>
      <c r="O1363" s="42"/>
      <c r="P1363" s="42"/>
      <c r="Q1363" s="42"/>
      <c r="R1363" s="42"/>
      <c r="S1363" s="42"/>
      <c r="T1363" s="42"/>
      <c r="U1363" s="42"/>
      <c r="V1363" s="42"/>
      <c r="W1363" s="42"/>
      <c r="X1363" s="42"/>
      <c r="Y1363" s="42"/>
      <c r="Z1363" s="42"/>
    </row>
    <row r="1364">
      <c r="A1364" s="41" t="str">
        <f>IFERROR(__xludf.DUMMYFUNCTION("""COMPUTED_VALUE"""),"S-235")</f>
        <v>S-235</v>
      </c>
      <c r="B1364" s="42" t="str">
        <f>IFERROR(__xludf.DUMMYFUNCTION("""COMPUTED_VALUE"""),"Spell")</f>
        <v>Spell</v>
      </c>
      <c r="C1364" s="42" t="str">
        <f>IFERROR(__xludf.DUMMYFUNCTION("""COMPUTED_VALUE"""),"Begirusen")</f>
        <v>Begirusen</v>
      </c>
      <c r="D1364" s="42" t="str">
        <f>IFERROR(__xludf.DUMMYFUNCTION("""COMPUTED_VALUE"""),"Dalmos")</f>
        <v>Dalmos</v>
      </c>
      <c r="E1364" s="42">
        <f>IFERROR(__xludf.DUMMYFUNCTION("""COMPUTED_VALUE"""),2.0)</f>
        <v>2</v>
      </c>
      <c r="F1364" s="42" t="str">
        <f>IFERROR(__xludf.DUMMYFUNCTION("""COMPUTED_VALUE"""),"AD")</f>
        <v>AD</v>
      </c>
      <c r="G1364" s="42" t="str">
        <f>IFERROR(__xludf.DUMMYFUNCTION("""COMPUTED_VALUE"""),"None")</f>
        <v>None</v>
      </c>
      <c r="H1364" s="42" t="str">
        <f>IFERROR(__xludf.DUMMYFUNCTION("""COMPUTED_VALUE"""),"-")</f>
        <v>-</v>
      </c>
      <c r="I1364" s="43" t="str">
        <f>IFERROR(__xludf.DUMMYFUNCTION("""COMPUTED_VALUE"""),"Damage your opponent's Spell Book when you win the Battle as an Attacker. Flip a coin; if it's heads, send the MAMODO card that SACRIFICED or PROTECTED their Spell Book from this card's Damage to the Discard Pile.")</f>
        <v>Damage your opponent's Spell Book when you win the Battle as an Attacker. Flip a coin; if it's heads, send the MAMODO card that SACRIFICED or PROTECTED their Spell Book from this card's Damage to the Discard Pile.</v>
      </c>
      <c r="J1364" s="42" t="str">
        <f>IFERROR(__xludf.DUMMYFUNCTION("""COMPUTED_VALUE"""),"+1000")</f>
        <v>+1000</v>
      </c>
      <c r="K1364" s="42">
        <f>IFERROR(__xludf.DUMMYFUNCTION("""COMPUTED_VALUE"""),2.0)</f>
        <v>2</v>
      </c>
      <c r="L1364" s="42" t="str">
        <f>IFERROR(__xludf.DUMMYFUNCTION("""COMPUTED_VALUE"""),"-")</f>
        <v>-</v>
      </c>
      <c r="M1364" s="42" t="str">
        <f>IFERROR(__xludf.DUMMYFUNCTION("""COMPUTED_VALUE"""),"[C]")</f>
        <v>[C]</v>
      </c>
      <c r="N1364" s="42" t="str">
        <f>IFERROR(__xludf.DUMMYFUNCTION("""COMPUTED_VALUE"""),"Dalmos' 1st spell. A bladed iron ball shoots from his stomach and spins like a drill.")</f>
        <v>Dalmos' 1st spell. A bladed iron ball shoots from his stomach and spins like a drill.</v>
      </c>
      <c r="O1364" s="42"/>
      <c r="P1364" s="42"/>
      <c r="Q1364" s="42"/>
      <c r="R1364" s="42"/>
      <c r="S1364" s="42"/>
      <c r="T1364" s="42"/>
      <c r="U1364" s="42"/>
      <c r="V1364" s="42"/>
      <c r="W1364" s="42"/>
      <c r="X1364" s="42"/>
      <c r="Y1364" s="42"/>
      <c r="Z1364" s="42"/>
    </row>
    <row r="1365">
      <c r="A1365" s="41" t="str">
        <f>IFERROR(__xludf.DUMMYFUNCTION("""COMPUTED_VALUE"""),"S-236")</f>
        <v>S-236</v>
      </c>
      <c r="B1365" s="42" t="str">
        <f>IFERROR(__xludf.DUMMYFUNCTION("""COMPUTED_VALUE"""),"Spell")</f>
        <v>Spell</v>
      </c>
      <c r="C1365" s="42" t="str">
        <f>IFERROR(__xludf.DUMMYFUNCTION("""COMPUTED_VALUE"""),"Ambegir")</f>
        <v>Ambegir</v>
      </c>
      <c r="D1365" s="42" t="str">
        <f>IFERROR(__xludf.DUMMYFUNCTION("""COMPUTED_VALUE"""),"Dalmos")</f>
        <v>Dalmos</v>
      </c>
      <c r="E1365" s="42">
        <f>IFERROR(__xludf.DUMMYFUNCTION("""COMPUTED_VALUE"""),1.0)</f>
        <v>1</v>
      </c>
      <c r="F1365" s="42" t="str">
        <f>IFERROR(__xludf.DUMMYFUNCTION("""COMPUTED_VALUE"""),"A")</f>
        <v>A</v>
      </c>
      <c r="G1365" s="42" t="str">
        <f>IFERROR(__xludf.DUMMYFUNCTION("""COMPUTED_VALUE"""),"None")</f>
        <v>None</v>
      </c>
      <c r="H1365" s="42" t="str">
        <f>IFERROR(__xludf.DUMMYFUNCTION("""COMPUTED_VALUE"""),"-")</f>
        <v>-</v>
      </c>
      <c r="I1365" s="43" t="str">
        <f>IFERROR(__xludf.DUMMYFUNCTION("""COMPUTED_VALUE"""),"Damage your opponent's Spell Book when you win the Battle as an Attacker.")</f>
        <v>Damage your opponent's Spell Book when you win the Battle as an Attacker.</v>
      </c>
      <c r="J1365" s="42" t="str">
        <f>IFERROR(__xludf.DUMMYFUNCTION("""COMPUTED_VALUE"""),"+2000")</f>
        <v>+2000</v>
      </c>
      <c r="K1365" s="42">
        <f>IFERROR(__xludf.DUMMYFUNCTION("""COMPUTED_VALUE"""),2.0)</f>
        <v>2</v>
      </c>
      <c r="L1365" s="42" t="str">
        <f>IFERROR(__xludf.DUMMYFUNCTION("""COMPUTED_VALUE"""),"-")</f>
        <v>-</v>
      </c>
      <c r="M1365" s="42" t="str">
        <f>IFERROR(__xludf.DUMMYFUNCTION("""COMPUTED_VALUE"""),"[C]")</f>
        <v>[C]</v>
      </c>
      <c r="N1365" s="42" t="str">
        <f>IFERROR(__xludf.DUMMYFUNCTION("""COMPUTED_VALUE"""),"Dalmos’ 2nd spell. It extends his arm to deliver a devastating punch!")</f>
        <v>Dalmos’ 2nd spell. It extends his arm to deliver a devastating punch!</v>
      </c>
      <c r="O1365" s="42"/>
      <c r="P1365" s="42"/>
      <c r="Q1365" s="42"/>
      <c r="R1365" s="42"/>
      <c r="S1365" s="42"/>
      <c r="T1365" s="42"/>
      <c r="U1365" s="42"/>
      <c r="V1365" s="42"/>
      <c r="W1365" s="42"/>
      <c r="X1365" s="42"/>
      <c r="Y1365" s="42"/>
      <c r="Z1365" s="42"/>
    </row>
    <row r="1366">
      <c r="A1366" s="41" t="str">
        <f>IFERROR(__xludf.DUMMYFUNCTION("""COMPUTED_VALUE"""),"S-237")</f>
        <v>S-237</v>
      </c>
      <c r="B1366" s="42" t="str">
        <f>IFERROR(__xludf.DUMMYFUNCTION("""COMPUTED_VALUE"""),"Spell")</f>
        <v>Spell</v>
      </c>
      <c r="C1366" s="42" t="str">
        <f>IFERROR(__xludf.DUMMYFUNCTION("""COMPUTED_VALUE"""),"Ganzu Begir")</f>
        <v>Ganzu Begir</v>
      </c>
      <c r="D1366" s="42" t="str">
        <f>IFERROR(__xludf.DUMMYFUNCTION("""COMPUTED_VALUE"""),"Dalmos")</f>
        <v>Dalmos</v>
      </c>
      <c r="E1366" s="42">
        <f>IFERROR(__xludf.DUMMYFUNCTION("""COMPUTED_VALUE"""),2.0)</f>
        <v>2</v>
      </c>
      <c r="F1366" s="42" t="str">
        <f>IFERROR(__xludf.DUMMYFUNCTION("""COMPUTED_VALUE"""),"A")</f>
        <v>A</v>
      </c>
      <c r="G1366" s="42" t="str">
        <f>IFERROR(__xludf.DUMMYFUNCTION("""COMPUTED_VALUE"""),"Intermediate")</f>
        <v>Intermediate</v>
      </c>
      <c r="H1366" s="42" t="str">
        <f>IFERROR(__xludf.DUMMYFUNCTION("""COMPUTED_VALUE"""),"-")</f>
        <v>-</v>
      </c>
      <c r="I1366" s="43" t="str">
        <f>IFERROR(__xludf.DUMMYFUNCTION("""COMPUTED_VALUE"""),"Damage your opponent's Spell Book when you win the Battle as an Attacker. Flip a coin until you get tails (maximum 6 times); the Damage of this SPELL card is considered to be the number of heads you get times 1.")</f>
        <v>Damage your opponent's Spell Book when you win the Battle as an Attacker. Flip a coin until you get tails (maximum 6 times); the Damage of this SPELL card is considered to be the number of heads you get times 1.</v>
      </c>
      <c r="J1366" s="42" t="str">
        <f>IFERROR(__xludf.DUMMYFUNCTION("""COMPUTED_VALUE"""),"+2000")</f>
        <v>+2000</v>
      </c>
      <c r="K1366" s="42" t="str">
        <f>IFERROR(__xludf.DUMMYFUNCTION("""COMPUTED_VALUE"""),"?")</f>
        <v>?</v>
      </c>
      <c r="L1366" s="42" t="str">
        <f>IFERROR(__xludf.DUMMYFUNCTION("""COMPUTED_VALUE"""),"-")</f>
        <v>-</v>
      </c>
      <c r="M1366" s="42" t="str">
        <f>IFERROR(__xludf.DUMMYFUNCTION("""COMPUTED_VALUE"""),"[C]")</f>
        <v>[C]</v>
      </c>
      <c r="N1366" s="42" t="str">
        <f>IFERROR(__xludf.DUMMYFUNCTION("""COMPUTED_VALUE"""),"Dalmos’ 4th spell. It turns his arm into a gatling gun with 6 chambers, which he then uses to shoot down his enemies.")</f>
        <v>Dalmos’ 4th spell. It turns his arm into a gatling gun with 6 chambers, which he then uses to shoot down his enemies.</v>
      </c>
      <c r="O1366" s="42"/>
      <c r="P1366" s="42"/>
      <c r="Q1366" s="42"/>
      <c r="R1366" s="42"/>
      <c r="S1366" s="42"/>
      <c r="T1366" s="42"/>
      <c r="U1366" s="42"/>
      <c r="V1366" s="42"/>
      <c r="W1366" s="42"/>
      <c r="X1366" s="42"/>
      <c r="Y1366" s="42"/>
      <c r="Z1366" s="42"/>
    </row>
    <row r="1367">
      <c r="A1367" s="41" t="str">
        <f>IFERROR(__xludf.DUMMYFUNCTION("""COMPUTED_VALUE"""),"S-238")</f>
        <v>S-238</v>
      </c>
      <c r="B1367" s="42" t="str">
        <f>IFERROR(__xludf.DUMMYFUNCTION("""COMPUTED_VALUE"""),"Spell")</f>
        <v>Spell</v>
      </c>
      <c r="C1367" s="42" t="str">
        <f>IFERROR(__xludf.DUMMYFUNCTION("""COMPUTED_VALUE"""),"Begirubao")</f>
        <v>Begirubao</v>
      </c>
      <c r="D1367" s="42" t="str">
        <f>IFERROR(__xludf.DUMMYFUNCTION("""COMPUTED_VALUE"""),"Dalmos")</f>
        <v>Dalmos</v>
      </c>
      <c r="E1367" s="42">
        <f>IFERROR(__xludf.DUMMYFUNCTION("""COMPUTED_VALUE"""),2.0)</f>
        <v>2</v>
      </c>
      <c r="F1367" s="42" t="str">
        <f>IFERROR(__xludf.DUMMYFUNCTION("""COMPUTED_VALUE"""),"D")</f>
        <v>D</v>
      </c>
      <c r="G1367" s="42" t="str">
        <f>IFERROR(__xludf.DUMMYFUNCTION("""COMPUTED_VALUE"""),"Intermediate")</f>
        <v>Intermediate</v>
      </c>
      <c r="H1367" s="42" t="str">
        <f>IFERROR(__xludf.DUMMYFUNCTION("""COMPUTED_VALUE"""),"-")</f>
        <v>-</v>
      </c>
      <c r="I1367" s="43" t="str">
        <f>IFERROR(__xludf.DUMMYFUNCTION("""COMPUTED_VALUE"""),"If your opponent Attacked without using a SPELL card, negate your opponent's Attack regardless of their Power. Then, Injure the MAMODO card that Attacked in the Battle (your opponent can neither SACRIFICE nor PROTECT from this Injury).")</f>
        <v>If your opponent Attacked without using a SPELL card, negate your opponent's Attack regardless of their Power. Then, Injure the MAMODO card that Attacked in the Battle (your opponent can neither SACRIFICE nor PROTECT from this Injury).</v>
      </c>
      <c r="J1367" s="42" t="str">
        <f>IFERROR(__xludf.DUMMYFUNCTION("""COMPUTED_VALUE"""),"Special")</f>
        <v>Special</v>
      </c>
      <c r="K1367" s="42" t="str">
        <f>IFERROR(__xludf.DUMMYFUNCTION("""COMPUTED_VALUE"""),"-")</f>
        <v>-</v>
      </c>
      <c r="L1367" s="42" t="str">
        <f>IFERROR(__xludf.DUMMYFUNCTION("""COMPUTED_VALUE"""),"-")</f>
        <v>-</v>
      </c>
      <c r="M1367" s="42" t="str">
        <f>IFERROR(__xludf.DUMMYFUNCTION("""COMPUTED_VALUE"""),"[C]")</f>
        <v>[C]</v>
      </c>
      <c r="N1367" s="42" t="str">
        <f>IFERROR(__xludf.DUMMYFUNCTION("""COMPUTED_VALUE"""),"Dalmos’ 6th spell. It generates an explosion around himself in order to damage approaching adversaries.")</f>
        <v>Dalmos’ 6th spell. It generates an explosion around himself in order to damage approaching adversaries.</v>
      </c>
      <c r="O1367" s="42"/>
      <c r="P1367" s="42"/>
      <c r="Q1367" s="42"/>
      <c r="R1367" s="42"/>
      <c r="S1367" s="42"/>
      <c r="T1367" s="42"/>
      <c r="U1367" s="42"/>
      <c r="V1367" s="42"/>
      <c r="W1367" s="42"/>
      <c r="X1367" s="42"/>
      <c r="Y1367" s="42"/>
      <c r="Z1367" s="42"/>
    </row>
    <row r="1368">
      <c r="A1368" s="41" t="str">
        <f>IFERROR(__xludf.DUMMYFUNCTION("""COMPUTED_VALUE"""),"S-239")</f>
        <v>S-239</v>
      </c>
      <c r="B1368" s="42" t="str">
        <f>IFERROR(__xludf.DUMMYFUNCTION("""COMPUTED_VALUE"""),"Spell")</f>
        <v>Spell</v>
      </c>
      <c r="C1368" s="42" t="str">
        <f>IFERROR(__xludf.DUMMYFUNCTION("""COMPUTED_VALUE"""),"Erudo")</f>
        <v>Erudo</v>
      </c>
      <c r="D1368" s="42" t="str">
        <f>IFERROR(__xludf.DUMMYFUNCTION("""COMPUTED_VALUE"""),"Tsao-lon")</f>
        <v>Tsao-lon</v>
      </c>
      <c r="E1368" s="42">
        <f>IFERROR(__xludf.DUMMYFUNCTION("""COMPUTED_VALUE"""),1.0)</f>
        <v>1</v>
      </c>
      <c r="F1368" s="42" t="str">
        <f>IFERROR(__xludf.DUMMYFUNCTION("""COMPUTED_VALUE"""),"A")</f>
        <v>A</v>
      </c>
      <c r="G1368" s="42" t="str">
        <f>IFERROR(__xludf.DUMMYFUNCTION("""COMPUTED_VALUE"""),"None")</f>
        <v>None</v>
      </c>
      <c r="H1368" s="42" t="str">
        <f>IFERROR(__xludf.DUMMYFUNCTION("""COMPUTED_VALUE"""),"-")</f>
        <v>-</v>
      </c>
      <c r="I1368" s="43" t="str">
        <f>IFERROR(__xludf.DUMMYFUNCTION("""COMPUTED_VALUE"""),"[STAY] Add 1000 Power and 1 Damage to the Total Power when your Tsao-lon MAMODO card Attacks or Defends without using a SPELL card until the END PHASE of the next turn (this effect cannot be duplicated).")</f>
        <v>[STAY] Add 1000 Power and 1 Damage to the Total Power when your Tsao-lon MAMODO card Attacks or Defends without using a SPELL card until the END PHASE of the next turn (this effect cannot be duplicated).</v>
      </c>
      <c r="J1368" s="42" t="str">
        <f>IFERROR(__xludf.DUMMYFUNCTION("""COMPUTED_VALUE"""),"Special")</f>
        <v>Special</v>
      </c>
      <c r="K1368" s="42" t="str">
        <f>IFERROR(__xludf.DUMMYFUNCTION("""COMPUTED_VALUE"""),"-")</f>
        <v>-</v>
      </c>
      <c r="L1368" s="42" t="str">
        <f>IFERROR(__xludf.DUMMYFUNCTION("""COMPUTED_VALUE"""),"-")</f>
        <v>-</v>
      </c>
      <c r="M1368" s="42" t="str">
        <f>IFERROR(__xludf.DUMMYFUNCTION("""COMPUTED_VALUE"""),"[C]")</f>
        <v>[C]</v>
      </c>
      <c r="N1368" s="42" t="str">
        <f>IFERROR(__xludf.DUMMYFUNCTION("""COMPUTED_VALUE"""),"Tsao-lon's 1st spell. It reinforces the power of the staff that he uses in combat.")</f>
        <v>Tsao-lon's 1st spell. It reinforces the power of the staff that he uses in combat.</v>
      </c>
      <c r="O1368" s="42"/>
      <c r="P1368" s="42"/>
      <c r="Q1368" s="42"/>
      <c r="R1368" s="42"/>
      <c r="S1368" s="42"/>
      <c r="T1368" s="42"/>
      <c r="U1368" s="42"/>
      <c r="V1368" s="42"/>
      <c r="W1368" s="42"/>
      <c r="X1368" s="42"/>
      <c r="Y1368" s="42"/>
      <c r="Z1368" s="42"/>
    </row>
    <row r="1369">
      <c r="A1369" s="41" t="str">
        <f>IFERROR(__xludf.DUMMYFUNCTION("""COMPUTED_VALUE"""),"S-240")</f>
        <v>S-240</v>
      </c>
      <c r="B1369" s="42" t="str">
        <f>IFERROR(__xludf.DUMMYFUNCTION("""COMPUTED_VALUE"""),"Spell")</f>
        <v>Spell</v>
      </c>
      <c r="C1369" s="42" t="str">
        <f>IFERROR(__xludf.DUMMYFUNCTION("""COMPUTED_VALUE"""),"Go Erudo")</f>
        <v>Go Erudo</v>
      </c>
      <c r="D1369" s="42" t="str">
        <f>IFERROR(__xludf.DUMMYFUNCTION("""COMPUTED_VALUE"""),"Tsao-lon")</f>
        <v>Tsao-lon</v>
      </c>
      <c r="E1369" s="42">
        <f>IFERROR(__xludf.DUMMYFUNCTION("""COMPUTED_VALUE"""),3.0)</f>
        <v>3</v>
      </c>
      <c r="F1369" s="42" t="str">
        <f>IFERROR(__xludf.DUMMYFUNCTION("""COMPUTED_VALUE"""),"A")</f>
        <v>A</v>
      </c>
      <c r="G1369" s="42" t="str">
        <f>IFERROR(__xludf.DUMMYFUNCTION("""COMPUTED_VALUE"""),"Intermediate")</f>
        <v>Intermediate</v>
      </c>
      <c r="H1369" s="42" t="str">
        <f>IFERROR(__xludf.DUMMYFUNCTION("""COMPUTED_VALUE"""),"-")</f>
        <v>-</v>
      </c>
      <c r="I1369" s="43" t="str">
        <f>IFERROR(__xludf.DUMMYFUNCTION("""COMPUTED_VALUE"""),"[STAY] Add 2000 Power and 2 Damage to the Total Power when your Tsao-lon MAMODO card Attacks or Defends without using a SPELL card until the END PHASE of the next turn (this effect cannot be duplicated).")</f>
        <v>[STAY] Add 2000 Power and 2 Damage to the Total Power when your Tsao-lon MAMODO card Attacks or Defends without using a SPELL card until the END PHASE of the next turn (this effect cannot be duplicated).</v>
      </c>
      <c r="J1369" s="42" t="str">
        <f>IFERROR(__xludf.DUMMYFUNCTION("""COMPUTED_VALUE"""),"Special")</f>
        <v>Special</v>
      </c>
      <c r="K1369" s="42" t="str">
        <f>IFERROR(__xludf.DUMMYFUNCTION("""COMPUTED_VALUE"""),"-")</f>
        <v>-</v>
      </c>
      <c r="L1369" s="42" t="str">
        <f>IFERROR(__xludf.DUMMYFUNCTION("""COMPUTED_VALUE"""),"-")</f>
        <v>-</v>
      </c>
      <c r="M1369" s="42" t="str">
        <f>IFERROR(__xludf.DUMMYFUNCTION("""COMPUTED_VALUE"""),"[U]")</f>
        <v>[U]</v>
      </c>
      <c r="N1369" s="42" t="str">
        <f>IFERROR(__xludf.DUMMYFUNCTION("""COMPUTED_VALUE"""),"Tsao-lon’s 2nd spell. An upgraded version of Erudo that strengthens the staff even further!")</f>
        <v>Tsao-lon’s 2nd spell. An upgraded version of Erudo that strengthens the staff even further!</v>
      </c>
      <c r="O1369" s="42"/>
      <c r="P1369" s="42"/>
      <c r="Q1369" s="42"/>
      <c r="R1369" s="42"/>
      <c r="S1369" s="42"/>
      <c r="T1369" s="42"/>
      <c r="U1369" s="42"/>
      <c r="V1369" s="42"/>
      <c r="W1369" s="42"/>
      <c r="X1369" s="42"/>
      <c r="Y1369" s="42"/>
      <c r="Z1369" s="42"/>
    </row>
    <row r="1370">
      <c r="A1370" s="41" t="str">
        <f>IFERROR(__xludf.DUMMYFUNCTION("""COMPUTED_VALUE"""),"S-241")</f>
        <v>S-241</v>
      </c>
      <c r="B1370" s="42" t="str">
        <f>IFERROR(__xludf.DUMMYFUNCTION("""COMPUTED_VALUE"""),"Spell")</f>
        <v>Spell</v>
      </c>
      <c r="C1370" s="42" t="str">
        <f>IFERROR(__xludf.DUMMYFUNCTION("""COMPUTED_VALUE"""),"Ganzu Erudo")</f>
        <v>Ganzu Erudo</v>
      </c>
      <c r="D1370" s="42" t="str">
        <f>IFERROR(__xludf.DUMMYFUNCTION("""COMPUTED_VALUE"""),"Tsao-lon")</f>
        <v>Tsao-lon</v>
      </c>
      <c r="E1370" s="42">
        <f>IFERROR(__xludf.DUMMYFUNCTION("""COMPUTED_VALUE"""),3.0)</f>
        <v>3</v>
      </c>
      <c r="F1370" s="42" t="str">
        <f>IFERROR(__xludf.DUMMYFUNCTION("""COMPUTED_VALUE"""),"A")</f>
        <v>A</v>
      </c>
      <c r="G1370" s="42" t="str">
        <f>IFERROR(__xludf.DUMMYFUNCTION("""COMPUTED_VALUE"""),"Intermediate")</f>
        <v>Intermediate</v>
      </c>
      <c r="H1370" s="42" t="str">
        <f>IFERROR(__xludf.DUMMYFUNCTION("""COMPUTED_VALUE"""),"-")</f>
        <v>-</v>
      </c>
      <c r="I1370" s="43" t="str">
        <f>IFERROR(__xludf.DUMMYFUNCTION("""COMPUTED_VALUE"""),"[STAY] The effects of your Tsao-lon MAMODO card with ""Attack"" and/or ""Defend"" Icons can be applied up to 3 times per turn (per player) until the END PHASE of the next turn.")</f>
        <v>[STAY] The effects of your Tsao-lon MAMODO card with "Attack" and/or "Defend" Icons can be applied up to 3 times per turn (per player) until the END PHASE of the next turn.</v>
      </c>
      <c r="J1370" s="42" t="str">
        <f>IFERROR(__xludf.DUMMYFUNCTION("""COMPUTED_VALUE"""),"Special")</f>
        <v>Special</v>
      </c>
      <c r="K1370" s="42" t="str">
        <f>IFERROR(__xludf.DUMMYFUNCTION("""COMPUTED_VALUE"""),"-")</f>
        <v>-</v>
      </c>
      <c r="L1370" s="42" t="str">
        <f>IFERROR(__xludf.DUMMYFUNCTION("""COMPUTED_VALUE"""),"-")</f>
        <v>-</v>
      </c>
      <c r="M1370" s="42" t="str">
        <f>IFERROR(__xludf.DUMMYFUNCTION("""COMPUTED_VALUE"""),"[U]")</f>
        <v>[U]</v>
      </c>
      <c r="N1370" s="42" t="str">
        <f>IFERROR(__xludf.DUMMYFUNCTION("""COMPUTED_VALUE"""),"Tsao-lon's 3rd spell. His staff unleashes a flurry of blows like a raging storm.")</f>
        <v>Tsao-lon's 3rd spell. His staff unleashes a flurry of blows like a raging storm.</v>
      </c>
      <c r="O1370" s="42"/>
      <c r="P1370" s="42"/>
      <c r="Q1370" s="42"/>
      <c r="R1370" s="42"/>
      <c r="S1370" s="42"/>
      <c r="T1370" s="42"/>
      <c r="U1370" s="42"/>
      <c r="V1370" s="42"/>
      <c r="W1370" s="42"/>
      <c r="X1370" s="42"/>
      <c r="Y1370" s="42"/>
      <c r="Z1370" s="42"/>
    </row>
    <row r="1371">
      <c r="A1371" s="41" t="str">
        <f>IFERROR(__xludf.DUMMYFUNCTION("""COMPUTED_VALUE"""),"S-242")</f>
        <v>S-242</v>
      </c>
      <c r="B1371" s="42" t="str">
        <f>IFERROR(__xludf.DUMMYFUNCTION("""COMPUTED_VALUE"""),"Spell")</f>
        <v>Spell</v>
      </c>
      <c r="C1371" s="42" t="str">
        <f>IFERROR(__xludf.DUMMYFUNCTION("""COMPUTED_VALUE"""),"Zao Gir Erudo")</f>
        <v>Zao Gir Erudo</v>
      </c>
      <c r="D1371" s="42" t="str">
        <f>IFERROR(__xludf.DUMMYFUNCTION("""COMPUTED_VALUE"""),"Tsao-lon")</f>
        <v>Tsao-lon</v>
      </c>
      <c r="E1371" s="42">
        <f>IFERROR(__xludf.DUMMYFUNCTION("""COMPUTED_VALUE"""),6.0)</f>
        <v>6</v>
      </c>
      <c r="F1371" s="42" t="str">
        <f>IFERROR(__xludf.DUMMYFUNCTION("""COMPUTED_VALUE"""),"AD")</f>
        <v>AD</v>
      </c>
      <c r="G1371" s="42" t="str">
        <f>IFERROR(__xludf.DUMMYFUNCTION("""COMPUTED_VALUE"""),"Superior")</f>
        <v>Superior</v>
      </c>
      <c r="H1371" s="42" t="str">
        <f>IFERROR(__xludf.DUMMYFUNCTION("""COMPUTED_VALUE"""),"-")</f>
        <v>-</v>
      </c>
      <c r="I1371" s="43" t="str">
        <f>IFERROR(__xludf.DUMMYFUNCTION("""COMPUTED_VALUE"""),"Damage your opponent's Spell Book when you win the Battle as an Attacker. If your opponent SACRIFICED or PROTECTED their Spell Book from this SPELL card's Damage, send up to 2 of your opponent's in-play cards to the Discard Pile (except MAMODO cards).")</f>
        <v>Damage your opponent's Spell Book when you win the Battle as an Attacker. If your opponent SACRIFICED or PROTECTED their Spell Book from this SPELL card's Damage, send up to 2 of your opponent's in-play cards to the Discard Pile (except MAMODO cards).</v>
      </c>
      <c r="J1371" s="42" t="str">
        <f>IFERROR(__xludf.DUMMYFUNCTION("""COMPUTED_VALUE"""),"+7000")</f>
        <v>+7000</v>
      </c>
      <c r="K1371" s="42">
        <f>IFERROR(__xludf.DUMMYFUNCTION("""COMPUTED_VALUE"""),3.0)</f>
        <v>3</v>
      </c>
      <c r="L1371" s="42" t="str">
        <f>IFERROR(__xludf.DUMMYFUNCTION("""COMPUTED_VALUE"""),"-")</f>
        <v>-</v>
      </c>
      <c r="M1371" s="42" t="str">
        <f>IFERROR(__xludf.DUMMYFUNCTION("""COMPUTED_VALUE"""),"[SR]")</f>
        <v>[SR]</v>
      </c>
      <c r="N1371" s="42" t="str">
        <f>IFERROR(__xludf.DUMMYFUNCTION("""COMPUTED_VALUE"""),"Tsao-lon’s 4th spell. It summons forth an enormous shark that skewers its prey.")</f>
        <v>Tsao-lon’s 4th spell. It summons forth an enormous shark that skewers its prey.</v>
      </c>
      <c r="O1371" s="42"/>
      <c r="P1371" s="42"/>
      <c r="Q1371" s="42"/>
      <c r="R1371" s="42"/>
      <c r="S1371" s="42"/>
      <c r="T1371" s="42"/>
      <c r="U1371" s="42"/>
      <c r="V1371" s="42"/>
      <c r="W1371" s="42"/>
      <c r="X1371" s="42"/>
      <c r="Y1371" s="42"/>
      <c r="Z1371" s="42"/>
    </row>
    <row r="1372">
      <c r="A1372" s="41" t="str">
        <f>IFERROR(__xludf.DUMMYFUNCTION("""COMPUTED_VALUE"""),"S-243")</f>
        <v>S-243</v>
      </c>
      <c r="B1372" s="42" t="str">
        <f>IFERROR(__xludf.DUMMYFUNCTION("""COMPUTED_VALUE"""),"Spell")</f>
        <v>Spell</v>
      </c>
      <c r="C1372" s="42" t="str">
        <f>IFERROR(__xludf.DUMMYFUNCTION("""COMPUTED_VALUE"""),"Gigano Ryusu")</f>
        <v>Gigano Ryusu</v>
      </c>
      <c r="D1372" s="42" t="str">
        <f>IFERROR(__xludf.DUMMYFUNCTION("""COMPUTED_VALUE"""),"Belgim E.O.")</f>
        <v>Belgim E.O.</v>
      </c>
      <c r="E1372" s="42">
        <f>IFERROR(__xludf.DUMMYFUNCTION("""COMPUTED_VALUE"""),3.0)</f>
        <v>3</v>
      </c>
      <c r="F1372" s="42" t="str">
        <f>IFERROR(__xludf.DUMMYFUNCTION("""COMPUTED_VALUE"""),"AD")</f>
        <v>AD</v>
      </c>
      <c r="G1372" s="42" t="str">
        <f>IFERROR(__xludf.DUMMYFUNCTION("""COMPUTED_VALUE"""),"Intermediate")</f>
        <v>Intermediate</v>
      </c>
      <c r="H1372" s="42" t="str">
        <f>IFERROR(__xludf.DUMMYFUNCTION("""COMPUTED_VALUE"""),"-")</f>
        <v>-</v>
      </c>
      <c r="I1372" s="43" t="str">
        <f>IFERROR(__xludf.DUMMYFUNCTION("""COMPUTED_VALUE"""),"Damage your opponent's Spell Book when you win the Battle as an Attacker. Flip a coin; if it's tails, send the MAMODO card that SACRIFICED or PROTECTED their Spell Book from this card's Damage to the Discard Pile.")</f>
        <v>Damage your opponent's Spell Book when you win the Battle as an Attacker. Flip a coin; if it's tails, send the MAMODO card that SACRIFICED or PROTECTED their Spell Book from this card's Damage to the Discard Pile.</v>
      </c>
      <c r="J1372" s="42" t="str">
        <f>IFERROR(__xludf.DUMMYFUNCTION("""COMPUTED_VALUE"""),"+4000")</f>
        <v>+4000</v>
      </c>
      <c r="K1372" s="42">
        <f>IFERROR(__xludf.DUMMYFUNCTION("""COMPUTED_VALUE"""),3.0)</f>
        <v>3</v>
      </c>
      <c r="L1372" s="42" t="str">
        <f>IFERROR(__xludf.DUMMYFUNCTION("""COMPUTED_VALUE"""),"-")</f>
        <v>-</v>
      </c>
      <c r="M1372" s="42" t="str">
        <f>IFERROR(__xludf.DUMMYFUNCTION("""COMPUTED_VALUE"""),"[R]")</f>
        <v>[R]</v>
      </c>
      <c r="N1372" s="42" t="str">
        <f>IFERROR(__xludf.DUMMYFUNCTION("""COMPUTED_VALUE"""),"Belgim E.O.'s 1st spell. It fires a sphere made of the energy of evil spirits.")</f>
        <v>Belgim E.O.'s 1st spell. It fires a sphere made of the energy of evil spirits.</v>
      </c>
      <c r="O1372" s="42"/>
      <c r="P1372" s="42"/>
      <c r="Q1372" s="42"/>
      <c r="R1372" s="42"/>
      <c r="S1372" s="42"/>
      <c r="T1372" s="42"/>
      <c r="U1372" s="42"/>
      <c r="V1372" s="42"/>
      <c r="W1372" s="42"/>
      <c r="X1372" s="42"/>
      <c r="Y1372" s="42"/>
      <c r="Z1372" s="42"/>
    </row>
    <row r="1373">
      <c r="A1373" s="41" t="str">
        <f>IFERROR(__xludf.DUMMYFUNCTION("""COMPUTED_VALUE"""),"S-244")</f>
        <v>S-244</v>
      </c>
      <c r="B1373" s="42" t="str">
        <f>IFERROR(__xludf.DUMMYFUNCTION("""COMPUTED_VALUE"""),"Spell")</f>
        <v>Spell</v>
      </c>
      <c r="C1373" s="42" t="str">
        <f>IFERROR(__xludf.DUMMYFUNCTION("""COMPUTED_VALUE"""),"Ganzu Go Ryuga")</f>
        <v>Ganzu Go Ryuga</v>
      </c>
      <c r="D1373" s="42" t="str">
        <f>IFERROR(__xludf.DUMMYFUNCTION("""COMPUTED_VALUE"""),"Belgim E.O.")</f>
        <v>Belgim E.O.</v>
      </c>
      <c r="E1373" s="42">
        <f>IFERROR(__xludf.DUMMYFUNCTION("""COMPUTED_VALUE"""),3.0)</f>
        <v>3</v>
      </c>
      <c r="F1373" s="42" t="str">
        <f>IFERROR(__xludf.DUMMYFUNCTION("""COMPUTED_VALUE"""),"A")</f>
        <v>A</v>
      </c>
      <c r="G1373" s="42" t="str">
        <f>IFERROR(__xludf.DUMMYFUNCTION("""COMPUTED_VALUE"""),"Intermediate")</f>
        <v>Intermediate</v>
      </c>
      <c r="H1373" s="42" t="str">
        <f>IFERROR(__xludf.DUMMYFUNCTION("""COMPUTED_VALUE"""),"-")</f>
        <v>-</v>
      </c>
      <c r="I1373" s="43" t="str">
        <f>IFERROR(__xludf.DUMMYFUNCTION("""COMPUTED_VALUE"""),"Flip a coin 3 times when you win the Battle as an Attacker; select as many of your opponent’s in-play cards as you desire (except MAMODO cards) up to the number of tails you get and send them to the Discard Pile.")</f>
        <v>Flip a coin 3 times when you win the Battle as an Attacker; select as many of your opponent’s in-play cards as you desire (except MAMODO cards) up to the number of tails you get and send them to the Discard Pile.</v>
      </c>
      <c r="J1373" s="42" t="str">
        <f>IFERROR(__xludf.DUMMYFUNCTION("""COMPUTED_VALUE"""),"+3000")</f>
        <v>+3000</v>
      </c>
      <c r="K1373" s="42" t="str">
        <f>IFERROR(__xludf.DUMMYFUNCTION("""COMPUTED_VALUE"""),"-")</f>
        <v>-</v>
      </c>
      <c r="L1373" s="42" t="str">
        <f>IFERROR(__xludf.DUMMYFUNCTION("""COMPUTED_VALUE"""),"-")</f>
        <v>-</v>
      </c>
      <c r="M1373" s="42" t="str">
        <f>IFERROR(__xludf.DUMMYFUNCTION("""COMPUTED_VALUE"""),"[R]")</f>
        <v>[R]</v>
      </c>
      <c r="N1373" s="42" t="str">
        <f>IFERROR(__xludf.DUMMYFUNCTION("""COMPUTED_VALUE"""),"Belgim E.O.’s 2nd spell. Two shoulder-mounted turrets appear and open fire on the surrounding area.")</f>
        <v>Belgim E.O.’s 2nd spell. Two shoulder-mounted turrets appear and open fire on the surrounding area.</v>
      </c>
      <c r="O1373" s="42"/>
      <c r="P1373" s="42"/>
      <c r="Q1373" s="42"/>
      <c r="R1373" s="42"/>
      <c r="S1373" s="42"/>
      <c r="T1373" s="42"/>
      <c r="U1373" s="42"/>
      <c r="V1373" s="42"/>
      <c r="W1373" s="42"/>
      <c r="X1373" s="42"/>
      <c r="Y1373" s="42"/>
      <c r="Z1373" s="42"/>
    </row>
    <row r="1374">
      <c r="A1374" s="41" t="str">
        <f>IFERROR(__xludf.DUMMYFUNCTION("""COMPUTED_VALUE"""),"S-245")</f>
        <v>S-245</v>
      </c>
      <c r="B1374" s="42" t="str">
        <f>IFERROR(__xludf.DUMMYFUNCTION("""COMPUTED_VALUE"""),"Spell")</f>
        <v>Spell</v>
      </c>
      <c r="C1374" s="42" t="str">
        <f>IFERROR(__xludf.DUMMYFUNCTION("""COMPUTED_VALUE"""),"Elm Ryuga")</f>
        <v>Elm Ryuga</v>
      </c>
      <c r="D1374" s="42" t="str">
        <f>IFERROR(__xludf.DUMMYFUNCTION("""COMPUTED_VALUE"""),"Belgim E.O.")</f>
        <v>Belgim E.O.</v>
      </c>
      <c r="E1374" s="42">
        <f>IFERROR(__xludf.DUMMYFUNCTION("""COMPUTED_VALUE"""),3.0)</f>
        <v>3</v>
      </c>
      <c r="F1374" s="42" t="str">
        <f>IFERROR(__xludf.DUMMYFUNCTION("""COMPUTED_VALUE"""),"A")</f>
        <v>A</v>
      </c>
      <c r="G1374" s="42" t="str">
        <f>IFERROR(__xludf.DUMMYFUNCTION("""COMPUTED_VALUE"""),"Intermediate")</f>
        <v>Intermediate</v>
      </c>
      <c r="H1374" s="42" t="str">
        <f>IFERROR(__xludf.DUMMYFUNCTION("""COMPUTED_VALUE"""),"Fire")</f>
        <v>Fire</v>
      </c>
      <c r="I1374" s="43" t="str">
        <f>IFERROR(__xludf.DUMMYFUNCTION("""COMPUTED_VALUE"""),"Damage your opponent's Spell Book when you win the Battle as an Attacker. Flip a coin; if it's tails, increase the Damage of this SPELL card by 2.")</f>
        <v>Damage your opponent's Spell Book when you win the Battle as an Attacker. Flip a coin; if it's tails, increase the Damage of this SPELL card by 2.</v>
      </c>
      <c r="J1374" s="42" t="str">
        <f>IFERROR(__xludf.DUMMYFUNCTION("""COMPUTED_VALUE"""),"+3000")</f>
        <v>+3000</v>
      </c>
      <c r="K1374" s="42">
        <f>IFERROR(__xludf.DUMMYFUNCTION("""COMPUTED_VALUE"""),2.0)</f>
        <v>2</v>
      </c>
      <c r="L1374" s="42" t="str">
        <f>IFERROR(__xludf.DUMMYFUNCTION("""COMPUTED_VALUE"""),"-")</f>
        <v>-</v>
      </c>
      <c r="M1374" s="42" t="str">
        <f>IFERROR(__xludf.DUMMYFUNCTION("""COMPUTED_VALUE"""),"[R]")</f>
        <v>[R]</v>
      </c>
      <c r="N1374" s="42" t="str">
        <f>IFERROR(__xludf.DUMMYFUNCTION("""COMPUTED_VALUE"""),"Belgim E.O.'s 3rd spell. He blows fire in all directions.")</f>
        <v>Belgim E.O.'s 3rd spell. He blows fire in all directions.</v>
      </c>
      <c r="O1374" s="42"/>
      <c r="P1374" s="42"/>
      <c r="Q1374" s="42"/>
      <c r="R1374" s="42"/>
      <c r="S1374" s="42"/>
      <c r="T1374" s="42"/>
      <c r="U1374" s="42"/>
      <c r="V1374" s="42"/>
      <c r="W1374" s="42"/>
      <c r="X1374" s="42"/>
      <c r="Y1374" s="42"/>
      <c r="Z1374" s="42"/>
    </row>
    <row r="1375">
      <c r="A1375" s="41" t="str">
        <f>IFERROR(__xludf.DUMMYFUNCTION("""COMPUTED_VALUE"""),"S-246")</f>
        <v>S-246</v>
      </c>
      <c r="B1375" s="42" t="str">
        <f>IFERROR(__xludf.DUMMYFUNCTION("""COMPUTED_VALUE"""),"Spell")</f>
        <v>Spell</v>
      </c>
      <c r="C1375" s="42" t="str">
        <f>IFERROR(__xludf.DUMMYFUNCTION("""COMPUTED_VALUE"""),"Ryuz Yo-Yo")</f>
        <v>Ryuz Yo-Yo</v>
      </c>
      <c r="D1375" s="42" t="str">
        <f>IFERROR(__xludf.DUMMYFUNCTION("""COMPUTED_VALUE"""),"Belgim E.O.")</f>
        <v>Belgim E.O.</v>
      </c>
      <c r="E1375" s="42">
        <f>IFERROR(__xludf.DUMMYFUNCTION("""COMPUTED_VALUE"""),3.0)</f>
        <v>3</v>
      </c>
      <c r="F1375" s="42" t="str">
        <f>IFERROR(__xludf.DUMMYFUNCTION("""COMPUTED_VALUE"""),"AD")</f>
        <v>AD</v>
      </c>
      <c r="G1375" s="42" t="str">
        <f>IFERROR(__xludf.DUMMYFUNCTION("""COMPUTED_VALUE"""),"Intermediate")</f>
        <v>Intermediate</v>
      </c>
      <c r="H1375" s="42" t="str">
        <f>IFERROR(__xludf.DUMMYFUNCTION("""COMPUTED_VALUE"""),"-")</f>
        <v>-</v>
      </c>
      <c r="I1375" s="43" t="str">
        <f>IFERROR(__xludf.DUMMYFUNCTION("""COMPUTED_VALUE"""),"This SPELL card can be played up to 3 times per turn (per player). When played twice or more, the MP cost is considered to be 0. Flip a coin; if it's tails, Damage your opponent's Spell Book when you win the Battle as an Attacker.")</f>
        <v>This SPELL card can be played up to 3 times per turn (per player). When played twice or more, the MP cost is considered to be 0. Flip a coin; if it's tails, Damage your opponent's Spell Book when you win the Battle as an Attacker.</v>
      </c>
      <c r="J1375" s="42" t="str">
        <f>IFERROR(__xludf.DUMMYFUNCTION("""COMPUTED_VALUE"""),"+3000")</f>
        <v>+3000</v>
      </c>
      <c r="K1375" s="42">
        <f>IFERROR(__xludf.DUMMYFUNCTION("""COMPUTED_VALUE"""),2.0)</f>
        <v>2</v>
      </c>
      <c r="L1375" s="42" t="str">
        <f>IFERROR(__xludf.DUMMYFUNCTION("""COMPUTED_VALUE"""),"-")</f>
        <v>-</v>
      </c>
      <c r="M1375" s="42" t="str">
        <f>IFERROR(__xludf.DUMMYFUNCTION("""COMPUTED_VALUE"""),"[R]")</f>
        <v>[R]</v>
      </c>
      <c r="N1375" s="42" t="str">
        <f>IFERROR(__xludf.DUMMYFUNCTION("""COMPUTED_VALUE"""),"Belgim E.O.’s 4th spell. It allows him to freely wield yoyo-like whips made from vindictive spirits to lash at the opponent.")</f>
        <v>Belgim E.O.’s 4th spell. It allows him to freely wield yoyo-like whips made from vindictive spirits to lash at the opponent.</v>
      </c>
      <c r="O1375" s="42"/>
      <c r="P1375" s="42"/>
      <c r="Q1375" s="42"/>
      <c r="R1375" s="42"/>
      <c r="S1375" s="42"/>
      <c r="T1375" s="42"/>
      <c r="U1375" s="42"/>
      <c r="V1375" s="42"/>
      <c r="W1375" s="42"/>
      <c r="X1375" s="42"/>
      <c r="Y1375" s="42"/>
      <c r="Z1375" s="42"/>
    </row>
    <row r="1376">
      <c r="A1376" s="41" t="str">
        <f>IFERROR(__xludf.DUMMYFUNCTION("""COMPUTED_VALUE"""),"S-247")</f>
        <v>S-247</v>
      </c>
      <c r="B1376" s="42" t="str">
        <f>IFERROR(__xludf.DUMMYFUNCTION("""COMPUTED_VALUE"""),"Spell")</f>
        <v>Spell</v>
      </c>
      <c r="C1376" s="42" t="str">
        <f>IFERROR(__xludf.DUMMYFUNCTION("""COMPUTED_VALUE"""),"Ryuzulade Kiroro")</f>
        <v>Ryuzulade Kiroro</v>
      </c>
      <c r="D1376" s="42" t="str">
        <f>IFERROR(__xludf.DUMMYFUNCTION("""COMPUTED_VALUE"""),"Belgim E.O.")</f>
        <v>Belgim E.O.</v>
      </c>
      <c r="E1376" s="42">
        <f>IFERROR(__xludf.DUMMYFUNCTION("""COMPUTED_VALUE"""),3.0)</f>
        <v>3</v>
      </c>
      <c r="F1376" s="42" t="str">
        <f>IFERROR(__xludf.DUMMYFUNCTION("""COMPUTED_VALUE"""),"A")</f>
        <v>A</v>
      </c>
      <c r="G1376" s="42" t="str">
        <f>IFERROR(__xludf.DUMMYFUNCTION("""COMPUTED_VALUE"""),"Intermediate")</f>
        <v>Intermediate</v>
      </c>
      <c r="H1376" s="42" t="str">
        <f>IFERROR(__xludf.DUMMYFUNCTION("""COMPUTED_VALUE"""),"-")</f>
        <v>-</v>
      </c>
      <c r="I1376" s="43" t="str">
        <f>IFERROR(__xludf.DUMMYFUNCTION("""COMPUTED_VALUE"""),"Flip a coin for each of your opponent's in-play MAMODO cards when you win the Battle as an Attacker; if it's tails, apply 1 of the following effects: ● Injure the MAMODO card. ● Send the MAMODO's attached PARTNER card to the Discard Pile.")</f>
        <v>Flip a coin for each of your opponent's in-play MAMODO cards when you win the Battle as an Attacker; if it's tails, apply 1 of the following effects: ● Injure the MAMODO card. ● Send the MAMODO's attached PARTNER card to the Discard Pile.</v>
      </c>
      <c r="J1376" s="42" t="str">
        <f>IFERROR(__xludf.DUMMYFUNCTION("""COMPUTED_VALUE"""),"+3000")</f>
        <v>+3000</v>
      </c>
      <c r="K1376" s="42" t="str">
        <f>IFERROR(__xludf.DUMMYFUNCTION("""COMPUTED_VALUE"""),"-")</f>
        <v>-</v>
      </c>
      <c r="L1376" s="42" t="str">
        <f>IFERROR(__xludf.DUMMYFUNCTION("""COMPUTED_VALUE"""),"-")</f>
        <v>-</v>
      </c>
      <c r="M1376" s="42" t="str">
        <f>IFERROR(__xludf.DUMMYFUNCTION("""COMPUTED_VALUE"""),"[R]")</f>
        <v>[R]</v>
      </c>
      <c r="N1376" s="42" t="str">
        <f>IFERROR(__xludf.DUMMYFUNCTION("""COMPUTED_VALUE"""),"Belgim E.O.'s 5th spell. A spinning circular blade materializes around his chair.")</f>
        <v>Belgim E.O.'s 5th spell. A spinning circular blade materializes around his chair.</v>
      </c>
      <c r="O1376" s="42"/>
      <c r="P1376" s="42"/>
      <c r="Q1376" s="42"/>
      <c r="R1376" s="42"/>
      <c r="S1376" s="42"/>
      <c r="T1376" s="42"/>
      <c r="U1376" s="42"/>
      <c r="V1376" s="42"/>
      <c r="W1376" s="42"/>
      <c r="X1376" s="42"/>
      <c r="Y1376" s="42"/>
      <c r="Z1376" s="42"/>
    </row>
    <row r="1377">
      <c r="A1377" s="41" t="str">
        <f>IFERROR(__xludf.DUMMYFUNCTION("""COMPUTED_VALUE"""),"S-248")</f>
        <v>S-248</v>
      </c>
      <c r="B1377" s="42" t="str">
        <f>IFERROR(__xludf.DUMMYFUNCTION("""COMPUTED_VALUE"""),"Spell")</f>
        <v>Spell</v>
      </c>
      <c r="C1377" s="42" t="str">
        <f>IFERROR(__xludf.DUMMYFUNCTION("""COMPUTED_VALUE"""),"Dioga Ryusdon")</f>
        <v>Dioga Ryusdon</v>
      </c>
      <c r="D1377" s="42" t="str">
        <f>IFERROR(__xludf.DUMMYFUNCTION("""COMPUTED_VALUE"""),"Belgim E.O.")</f>
        <v>Belgim E.O.</v>
      </c>
      <c r="E1377" s="42">
        <f>IFERROR(__xludf.DUMMYFUNCTION("""COMPUTED_VALUE"""),5.0)</f>
        <v>5</v>
      </c>
      <c r="F1377" s="42" t="str">
        <f>IFERROR(__xludf.DUMMYFUNCTION("""COMPUTED_VALUE"""),"A")</f>
        <v>A</v>
      </c>
      <c r="G1377" s="42" t="str">
        <f>IFERROR(__xludf.DUMMYFUNCTION("""COMPUTED_VALUE"""),"Superior")</f>
        <v>Superior</v>
      </c>
      <c r="H1377" s="42" t="str">
        <f>IFERROR(__xludf.DUMMYFUNCTION("""COMPUTED_VALUE"""),"-")</f>
        <v>-</v>
      </c>
      <c r="I1377" s="43" t="str">
        <f>IFERROR(__xludf.DUMMYFUNCTION("""COMPUTED_VALUE"""),"Flip a coin twice; if it's tails twice, Damage your opponent's Spell Book when you win the Battle as an Attacker.")</f>
        <v>Flip a coin twice; if it's tails twice, Damage your opponent's Spell Book when you win the Battle as an Attacker.</v>
      </c>
      <c r="J1377" s="42" t="str">
        <f>IFERROR(__xludf.DUMMYFUNCTION("""COMPUTED_VALUE"""),"+8000")</f>
        <v>+8000</v>
      </c>
      <c r="K1377" s="42">
        <f>IFERROR(__xludf.DUMMYFUNCTION("""COMPUTED_VALUE"""),5.0)</f>
        <v>5</v>
      </c>
      <c r="L1377" s="42" t="str">
        <f>IFERROR(__xludf.DUMMYFUNCTION("""COMPUTED_VALUE"""),"-")</f>
        <v>-</v>
      </c>
      <c r="M1377" s="42" t="str">
        <f>IFERROR(__xludf.DUMMYFUNCTION("""COMPUTED_VALUE"""),"[SR]")</f>
        <v>[SR]</v>
      </c>
      <c r="N1377" s="42" t="str">
        <f>IFERROR(__xludf.DUMMYFUNCTION("""COMPUTED_VALUE"""),"Belgim E.O.’s 6th spell. Its destructive power was enough to obliterate an entire room in the Devolo Ruins.")</f>
        <v>Belgim E.O.’s 6th spell. Its destructive power was enough to obliterate an entire room in the Devolo Ruins.</v>
      </c>
      <c r="O1377" s="42"/>
      <c r="P1377" s="42"/>
      <c r="Q1377" s="42"/>
      <c r="R1377" s="42"/>
      <c r="S1377" s="42"/>
      <c r="T1377" s="42"/>
      <c r="U1377" s="42"/>
      <c r="V1377" s="42"/>
      <c r="W1377" s="42"/>
      <c r="X1377" s="42"/>
      <c r="Y1377" s="42"/>
      <c r="Z1377" s="42"/>
    </row>
    <row r="1378">
      <c r="A1378" s="41" t="str">
        <f>IFERROR(__xludf.DUMMYFUNCTION("""COMPUTED_VALUE"""),"S-249")</f>
        <v>S-249</v>
      </c>
      <c r="B1378" s="42" t="str">
        <f>IFERROR(__xludf.DUMMYFUNCTION("""COMPUTED_VALUE"""),"Spell")</f>
        <v>Spell</v>
      </c>
      <c r="C1378" s="42" t="str">
        <f>IFERROR(__xludf.DUMMYFUNCTION("""COMPUTED_VALUE"""),"Farga")</f>
        <v>Farga</v>
      </c>
      <c r="D1378" s="42" t="str">
        <f>IFERROR(__xludf.DUMMYFUNCTION("""COMPUTED_VALUE"""),"Pamoon")</f>
        <v>Pamoon</v>
      </c>
      <c r="E1378" s="42">
        <f>IFERROR(__xludf.DUMMYFUNCTION("""COMPUTED_VALUE"""),1.0)</f>
        <v>1</v>
      </c>
      <c r="F1378" s="42" t="str">
        <f>IFERROR(__xludf.DUMMYFUNCTION("""COMPUTED_VALUE"""),"A")</f>
        <v>A</v>
      </c>
      <c r="G1378" s="42" t="str">
        <f>IFERROR(__xludf.DUMMYFUNCTION("""COMPUTED_VALUE"""),"None")</f>
        <v>None</v>
      </c>
      <c r="H1378" s="42" t="str">
        <f>IFERROR(__xludf.DUMMYFUNCTION("""COMPUTED_VALUE"""),"-")</f>
        <v>-</v>
      </c>
      <c r="I1378" s="43" t="str">
        <f>IFERROR(__xludf.DUMMYFUNCTION("""COMPUTED_VALUE"""),"This SPELL card can be played as many times per turn (per player) as the number of MP counters on your Pamoon MAMODO card. Damage your opponent's Spell Book when you win the Battle as an Attacker.")</f>
        <v>This SPELL card can be played as many times per turn (per player) as the number of MP counters on your Pamoon MAMODO card. Damage your opponent's Spell Book when you win the Battle as an Attacker.</v>
      </c>
      <c r="J1378" s="42" t="str">
        <f>IFERROR(__xludf.DUMMYFUNCTION("""COMPUTED_VALUE"""),"+0")</f>
        <v>+0</v>
      </c>
      <c r="K1378" s="42">
        <f>IFERROR(__xludf.DUMMYFUNCTION("""COMPUTED_VALUE"""),1.0)</f>
        <v>1</v>
      </c>
      <c r="L1378" s="42" t="str">
        <f>IFERROR(__xludf.DUMMYFUNCTION("""COMPUTED_VALUE"""),"-")</f>
        <v>-</v>
      </c>
      <c r="M1378" s="42" t="str">
        <f>IFERROR(__xludf.DUMMYFUNCTION("""COMPUTED_VALUE"""),"[C]")</f>
        <v>[C]</v>
      </c>
      <c r="N1378" s="42" t="str">
        <f>IFERROR(__xludf.DUMMYFUNCTION("""COMPUTED_VALUE"""),"Pamoon’s 1st spell. He can increase its attack power by spinning the rotating stars under his control as they fire several lasers.")</f>
        <v>Pamoon’s 1st spell. He can increase its attack power by spinning the rotating stars under his control as they fire several lasers.</v>
      </c>
      <c r="O1378" s="42"/>
      <c r="P1378" s="42"/>
      <c r="Q1378" s="42"/>
      <c r="R1378" s="42"/>
      <c r="S1378" s="42"/>
      <c r="T1378" s="42"/>
      <c r="U1378" s="42"/>
      <c r="V1378" s="42"/>
      <c r="W1378" s="42"/>
      <c r="X1378" s="42"/>
      <c r="Y1378" s="42"/>
      <c r="Z1378" s="42"/>
    </row>
    <row r="1379">
      <c r="A1379" s="41" t="str">
        <f>IFERROR(__xludf.DUMMYFUNCTION("""COMPUTED_VALUE"""),"S-250")</f>
        <v>S-250</v>
      </c>
      <c r="B1379" s="42" t="str">
        <f>IFERROR(__xludf.DUMMYFUNCTION("""COMPUTED_VALUE"""),"Spell")</f>
        <v>Spell</v>
      </c>
      <c r="C1379" s="42" t="str">
        <f>IFERROR(__xludf.DUMMYFUNCTION("""COMPUTED_VALUE"""),"Fashield")</f>
        <v>Fashield</v>
      </c>
      <c r="D1379" s="42" t="str">
        <f>IFERROR(__xludf.DUMMYFUNCTION("""COMPUTED_VALUE"""),"Pamoon")</f>
        <v>Pamoon</v>
      </c>
      <c r="E1379" s="42">
        <f>IFERROR(__xludf.DUMMYFUNCTION("""COMPUTED_VALUE"""),1.0)</f>
        <v>1</v>
      </c>
      <c r="F1379" s="42" t="str">
        <f>IFERROR(__xludf.DUMMYFUNCTION("""COMPUTED_VALUE"""),"D")</f>
        <v>D</v>
      </c>
      <c r="G1379" s="42" t="str">
        <f>IFERROR(__xludf.DUMMYFUNCTION("""COMPUTED_VALUE"""),"None")</f>
        <v>None</v>
      </c>
      <c r="H1379" s="42" t="str">
        <f>IFERROR(__xludf.DUMMYFUNCTION("""COMPUTED_VALUE"""),"-")</f>
        <v>-</v>
      </c>
      <c r="I1379" s="43" t="str">
        <f>IFERROR(__xludf.DUMMYFUNCTION("""COMPUTED_VALUE"""),"This SPELL card can be played as many times per turn (per player) as the number of MP counters on your Pamoon MAMODO card. Negate your opponent's Attack when you win the Battle as a Defender.")</f>
        <v>This SPELL card can be played as many times per turn (per player) as the number of MP counters on your Pamoon MAMODO card. Negate your opponent's Attack when you win the Battle as a Defender.</v>
      </c>
      <c r="J1379" s="42" t="str">
        <f>IFERROR(__xludf.DUMMYFUNCTION("""COMPUTED_VALUE"""),"+3000")</f>
        <v>+3000</v>
      </c>
      <c r="K1379" s="42" t="str">
        <f>IFERROR(__xludf.DUMMYFUNCTION("""COMPUTED_VALUE"""),"-")</f>
        <v>-</v>
      </c>
      <c r="L1379" s="42" t="str">
        <f>IFERROR(__xludf.DUMMYFUNCTION("""COMPUTED_VALUE"""),"-")</f>
        <v>-</v>
      </c>
      <c r="M1379" s="42" t="str">
        <f>IFERROR(__xludf.DUMMYFUNCTION("""COMPUTED_VALUE"""),"[C]")</f>
        <v>[C]</v>
      </c>
      <c r="N1379" s="42" t="str">
        <f>IFERROR(__xludf.DUMMYFUNCTION("""COMPUTED_VALUE"""),"Pamoon’s 2nd spell. Five of the stars that Pamoon controls split up to form a pyramid-shaped barrier.")</f>
        <v>Pamoon’s 2nd spell. Five of the stars that Pamoon controls split up to form a pyramid-shaped barrier.</v>
      </c>
      <c r="O1379" s="42"/>
      <c r="P1379" s="42"/>
      <c r="Q1379" s="42"/>
      <c r="R1379" s="42"/>
      <c r="S1379" s="42"/>
      <c r="T1379" s="42"/>
      <c r="U1379" s="42"/>
      <c r="V1379" s="42"/>
      <c r="W1379" s="42"/>
      <c r="X1379" s="42"/>
      <c r="Y1379" s="42"/>
      <c r="Z1379" s="42"/>
    </row>
    <row r="1380">
      <c r="A1380" s="41" t="str">
        <f>IFERROR(__xludf.DUMMYFUNCTION("""COMPUTED_VALUE"""),"S-251")</f>
        <v>S-251</v>
      </c>
      <c r="B1380" s="42" t="str">
        <f>IFERROR(__xludf.DUMMYFUNCTION("""COMPUTED_VALUE"""),"Spell")</f>
        <v>Spell</v>
      </c>
      <c r="C1380" s="42" t="str">
        <f>IFERROR(__xludf.DUMMYFUNCTION("""COMPUTED_VALUE"""),"Dame Farga")</f>
        <v>Dame Farga</v>
      </c>
      <c r="D1380" s="42" t="str">
        <f>IFERROR(__xludf.DUMMYFUNCTION("""COMPUTED_VALUE"""),"Pamoon")</f>
        <v>Pamoon</v>
      </c>
      <c r="E1380" s="42">
        <f>IFERROR(__xludf.DUMMYFUNCTION("""COMPUTED_VALUE"""),3.0)</f>
        <v>3</v>
      </c>
      <c r="F1380" s="42" t="str">
        <f>IFERROR(__xludf.DUMMYFUNCTION("""COMPUTED_VALUE"""),"A")</f>
        <v>A</v>
      </c>
      <c r="G1380" s="42" t="str">
        <f>IFERROR(__xludf.DUMMYFUNCTION("""COMPUTED_VALUE"""),"None")</f>
        <v>None</v>
      </c>
      <c r="H1380" s="42" t="str">
        <f>IFERROR(__xludf.DUMMYFUNCTION("""COMPUTED_VALUE"""),"-")</f>
        <v>-</v>
      </c>
      <c r="I1380" s="43" t="str">
        <f>IFERROR(__xludf.DUMMYFUNCTION("""COMPUTED_VALUE"""),"Apply both effects in order when you win the Battle as an Attacker: ● Damage your opponent's Spell Book. ● Select 1 of your opponent's in-play MAMODO cards for every 2 MP counters on your Pamoon MAMODO card and Injure those MAMODO.")</f>
        <v>Apply both effects in order when you win the Battle as an Attacker: ● Damage your opponent's Spell Book. ● Select 1 of your opponent's in-play MAMODO cards for every 2 MP counters on your Pamoon MAMODO card and Injure those MAMODO.</v>
      </c>
      <c r="J1380" s="42" t="str">
        <f>IFERROR(__xludf.DUMMYFUNCTION("""COMPUTED_VALUE"""),"+2000")</f>
        <v>+2000</v>
      </c>
      <c r="K1380" s="42">
        <f>IFERROR(__xludf.DUMMYFUNCTION("""COMPUTED_VALUE"""),2.0)</f>
        <v>2</v>
      </c>
      <c r="L1380" s="42" t="str">
        <f>IFERROR(__xludf.DUMMYFUNCTION("""COMPUTED_VALUE"""),"-")</f>
        <v>-</v>
      </c>
      <c r="M1380" s="42" t="str">
        <f>IFERROR(__xludf.DUMMYFUNCTION("""COMPUTED_VALUE"""),"[C]")</f>
        <v>[C]</v>
      </c>
      <c r="N1380" s="42" t="str">
        <f>IFERROR(__xludf.DUMMYFUNCTION("""COMPUTED_VALUE"""),"Pamoon’s 3rd spell. It fires controllable laser beams from countless floating stars.")</f>
        <v>Pamoon’s 3rd spell. It fires controllable laser beams from countless floating stars.</v>
      </c>
      <c r="O1380" s="42"/>
      <c r="P1380" s="42"/>
      <c r="Q1380" s="42"/>
      <c r="R1380" s="42"/>
      <c r="S1380" s="42"/>
      <c r="T1380" s="42"/>
      <c r="U1380" s="42"/>
      <c r="V1380" s="42"/>
      <c r="W1380" s="42"/>
      <c r="X1380" s="42"/>
      <c r="Y1380" s="42"/>
      <c r="Z1380" s="42"/>
    </row>
    <row r="1381">
      <c r="A1381" s="41" t="str">
        <f>IFERROR(__xludf.DUMMYFUNCTION("""COMPUTED_VALUE"""),"S-252")</f>
        <v>S-252</v>
      </c>
      <c r="B1381" s="42" t="str">
        <f>IFERROR(__xludf.DUMMYFUNCTION("""COMPUTED_VALUE"""),"Spell")</f>
        <v>Spell</v>
      </c>
      <c r="C1381" s="42" t="str">
        <f>IFERROR(__xludf.DUMMYFUNCTION("""COMPUTED_VALUE"""),"Excelles Farga")</f>
        <v>Excelles Farga</v>
      </c>
      <c r="D1381" s="42" t="str">
        <f>IFERROR(__xludf.DUMMYFUNCTION("""COMPUTED_VALUE"""),"Pamoon")</f>
        <v>Pamoon</v>
      </c>
      <c r="E1381" s="42">
        <f>IFERROR(__xludf.DUMMYFUNCTION("""COMPUTED_VALUE"""),4.0)</f>
        <v>4</v>
      </c>
      <c r="F1381" s="42" t="str">
        <f>IFERROR(__xludf.DUMMYFUNCTION("""COMPUTED_VALUE"""),"AD")</f>
        <v>AD</v>
      </c>
      <c r="G1381" s="42" t="str">
        <f>IFERROR(__xludf.DUMMYFUNCTION("""COMPUTED_VALUE"""),"Intermediate")</f>
        <v>Intermediate</v>
      </c>
      <c r="H1381" s="42" t="str">
        <f>IFERROR(__xludf.DUMMYFUNCTION("""COMPUTED_VALUE"""),"-")</f>
        <v>-</v>
      </c>
      <c r="I1381" s="43" t="str">
        <f>IFERROR(__xludf.DUMMYFUNCTION("""COMPUTED_VALUE"""),"Damage your opponent's Spell Book when you win the Battle as an Attacker. The Damage of this SPELL card is considered to be the same as the number of MP counters on your Pamoon MAMODO card times 1.")</f>
        <v>Damage your opponent's Spell Book when you win the Battle as an Attacker. The Damage of this SPELL card is considered to be the same as the number of MP counters on your Pamoon MAMODO card times 1.</v>
      </c>
      <c r="J1381" s="42" t="str">
        <f>IFERROR(__xludf.DUMMYFUNCTION("""COMPUTED_VALUE"""),"+4000")</f>
        <v>+4000</v>
      </c>
      <c r="K1381" s="42" t="str">
        <f>IFERROR(__xludf.DUMMYFUNCTION("""COMPUTED_VALUE"""),"?")</f>
        <v>?</v>
      </c>
      <c r="L1381" s="42" t="str">
        <f>IFERROR(__xludf.DUMMYFUNCTION("""COMPUTED_VALUE"""),"-")</f>
        <v>-</v>
      </c>
      <c r="M1381" s="42" t="str">
        <f>IFERROR(__xludf.DUMMYFUNCTION("""COMPUTED_VALUE"""),"[R]")</f>
        <v>[R]</v>
      </c>
      <c r="N1381" s="42" t="str">
        <f>IFERROR(__xludf.DUMMYFUNCTION("""COMPUTED_VALUE"""),"Pamoon’s 4th spell. His stars form the shape of an “X” and send forth a tremendous beam of energy.")</f>
        <v>Pamoon’s 4th spell. His stars form the shape of an “X” and send forth a tremendous beam of energy.</v>
      </c>
      <c r="O1381" s="42"/>
      <c r="P1381" s="42"/>
      <c r="Q1381" s="42"/>
      <c r="R1381" s="42"/>
      <c r="S1381" s="42"/>
      <c r="T1381" s="42"/>
      <c r="U1381" s="42"/>
      <c r="V1381" s="42"/>
      <c r="W1381" s="42"/>
      <c r="X1381" s="42"/>
      <c r="Y1381" s="42"/>
      <c r="Z1381" s="42"/>
    </row>
    <row r="1382">
      <c r="A1382" s="41" t="str">
        <f>IFERROR(__xludf.DUMMYFUNCTION("""COMPUTED_VALUE"""),"S-253")</f>
        <v>S-253</v>
      </c>
      <c r="B1382" s="42" t="str">
        <f>IFERROR(__xludf.DUMMYFUNCTION("""COMPUTED_VALUE"""),"Spell")</f>
        <v>Spell</v>
      </c>
      <c r="C1382" s="42" t="str">
        <f>IFERROR(__xludf.DUMMYFUNCTION("""COMPUTED_VALUE"""),"Zaker")</f>
        <v>Zaker</v>
      </c>
      <c r="D1382" s="42" t="str">
        <f>IFERROR(__xludf.DUMMYFUNCTION("""COMPUTED_VALUE"""),"Zatch Bell")</f>
        <v>Zatch Bell</v>
      </c>
      <c r="E1382" s="42">
        <f>IFERROR(__xludf.DUMMYFUNCTION("""COMPUTED_VALUE"""),2.0)</f>
        <v>2</v>
      </c>
      <c r="F1382" s="42" t="str">
        <f>IFERROR(__xludf.DUMMYFUNCTION("""COMPUTED_VALUE"""),"AD")</f>
        <v>AD</v>
      </c>
      <c r="G1382" s="42" t="str">
        <f>IFERROR(__xludf.DUMMYFUNCTION("""COMPUTED_VALUE"""),"None")</f>
        <v>None</v>
      </c>
      <c r="H1382" s="42" t="str">
        <f>IFERROR(__xludf.DUMMYFUNCTION("""COMPUTED_VALUE"""),"Thunder")</f>
        <v>Thunder</v>
      </c>
      <c r="I1382" s="43" t="str">
        <f>IFERROR(__xludf.DUMMYFUNCTION("""COMPUTED_VALUE"""),"Damage your opponent's Spell Book when you win the Battle as an Attacker. When you inflict Damage or Injury, get 2 MP.")</f>
        <v>Damage your opponent's Spell Book when you win the Battle as an Attacker. When you inflict Damage or Injury, get 2 MP.</v>
      </c>
      <c r="J1382" s="42" t="str">
        <f>IFERROR(__xludf.DUMMYFUNCTION("""COMPUTED_VALUE"""),"+1000")</f>
        <v>+1000</v>
      </c>
      <c r="K1382" s="42">
        <f>IFERROR(__xludf.DUMMYFUNCTION("""COMPUTED_VALUE"""),2.0)</f>
        <v>2</v>
      </c>
      <c r="L1382" s="42" t="str">
        <f>IFERROR(__xludf.DUMMYFUNCTION("""COMPUTED_VALUE"""),"-")</f>
        <v>-</v>
      </c>
      <c r="M1382" s="42" t="str">
        <f>IFERROR(__xludf.DUMMYFUNCTION("""COMPUTED_VALUE"""),"[C]")</f>
        <v>[C]</v>
      </c>
      <c r="N1382" s="42" t="str">
        <f>IFERROR(__xludf.DUMMYFUNCTION("""COMPUTED_VALUE"""),"Zatch's 1st spell. ""Let's go, Zatch! ZAKER!""")</f>
        <v>Zatch's 1st spell. "Let's go, Zatch! ZAKER!"</v>
      </c>
      <c r="O1382" s="42"/>
      <c r="P1382" s="42"/>
      <c r="Q1382" s="42"/>
      <c r="R1382" s="42"/>
      <c r="S1382" s="42"/>
      <c r="T1382" s="42"/>
      <c r="U1382" s="42"/>
      <c r="V1382" s="42"/>
      <c r="W1382" s="42"/>
      <c r="X1382" s="42"/>
      <c r="Y1382" s="42"/>
      <c r="Z1382" s="42"/>
    </row>
    <row r="1383">
      <c r="A1383" s="41" t="str">
        <f>IFERROR(__xludf.DUMMYFUNCTION("""COMPUTED_VALUE"""),"S-254")</f>
        <v>S-254</v>
      </c>
      <c r="B1383" s="42" t="str">
        <f>IFERROR(__xludf.DUMMYFUNCTION("""COMPUTED_VALUE"""),"Spell")</f>
        <v>Spell</v>
      </c>
      <c r="C1383" s="42" t="str">
        <f>IFERROR(__xludf.DUMMYFUNCTION("""COMPUTED_VALUE"""),"Zakeruga")</f>
        <v>Zakeruga</v>
      </c>
      <c r="D1383" s="42" t="str">
        <f>IFERROR(__xludf.DUMMYFUNCTION("""COMPUTED_VALUE"""),"Zatch Bell")</f>
        <v>Zatch Bell</v>
      </c>
      <c r="E1383" s="42">
        <f>IFERROR(__xludf.DUMMYFUNCTION("""COMPUTED_VALUE"""),2.0)</f>
        <v>2</v>
      </c>
      <c r="F1383" s="42" t="str">
        <f>IFERROR(__xludf.DUMMYFUNCTION("""COMPUTED_VALUE"""),"AD")</f>
        <v>AD</v>
      </c>
      <c r="G1383" s="42" t="str">
        <f>IFERROR(__xludf.DUMMYFUNCTION("""COMPUTED_VALUE"""),"Intermediate")</f>
        <v>Intermediate</v>
      </c>
      <c r="H1383" s="42" t="str">
        <f>IFERROR(__xludf.DUMMYFUNCTION("""COMPUTED_VALUE"""),"Thunder")</f>
        <v>Thunder</v>
      </c>
      <c r="I1383" s="43" t="str">
        <f>IFERROR(__xludf.DUMMYFUNCTION("""COMPUTED_VALUE"""),"Damage your opponent's Spell Book when you win the Battle as an Attacker. When you declare the play of this SPELL card, apply 1 or both of the following effects: ● Pay 1 MP:This SPELL card cannot be Defended. ● Pay 2 MP:Your opponent can neither SACRIFICE"&amp;" nor PROTECT their Spell Book from this SPELL card's Damage.")</f>
        <v>Damage your opponent's Spell Book when you win the Battle as an Attacker. When you declare the play of this SPELL card, apply 1 or both of the following effects: ● Pay 1 MP:This SPELL card cannot be Defended. ● Pay 2 MP:Your opponent can neither SACRIFICE nor PROTECT their Spell Book from this SPELL card's Damage.</v>
      </c>
      <c r="J1383" s="42" t="str">
        <f>IFERROR(__xludf.DUMMYFUNCTION("""COMPUTED_VALUE"""),"+4000")</f>
        <v>+4000</v>
      </c>
      <c r="K1383" s="42">
        <f>IFERROR(__xludf.DUMMYFUNCTION("""COMPUTED_VALUE"""),2.0)</f>
        <v>2</v>
      </c>
      <c r="L1383" s="42" t="str">
        <f>IFERROR(__xludf.DUMMYFUNCTION("""COMPUTED_VALUE"""),"-")</f>
        <v>-</v>
      </c>
      <c r="M1383" s="42" t="str">
        <f>IFERROR(__xludf.DUMMYFUNCTION("""COMPUTED_VALUE"""),"[U]")</f>
        <v>[U]</v>
      </c>
      <c r="N1383" s="42" t="str">
        <f>IFERROR(__xludf.DUMMYFUNCTION("""COMPUTED_VALUE"""),"Zatch's 5th spell. ""Let's go, Zatch! ZAKERUGA!""")</f>
        <v>Zatch's 5th spell. "Let's go, Zatch! ZAKERUGA!"</v>
      </c>
      <c r="O1383" s="42"/>
      <c r="P1383" s="42"/>
      <c r="Q1383" s="42"/>
      <c r="R1383" s="42"/>
      <c r="S1383" s="42"/>
      <c r="T1383" s="42"/>
      <c r="U1383" s="42"/>
      <c r="V1383" s="42"/>
      <c r="W1383" s="42"/>
      <c r="X1383" s="42"/>
      <c r="Y1383" s="42"/>
      <c r="Z1383" s="42"/>
    </row>
    <row r="1384">
      <c r="A1384" s="41" t="str">
        <f>IFERROR(__xludf.DUMMYFUNCTION("""COMPUTED_VALUE"""),"S-255")</f>
        <v>S-255</v>
      </c>
      <c r="B1384" s="42" t="str">
        <f>IFERROR(__xludf.DUMMYFUNCTION("""COMPUTED_VALUE"""),"Spell")</f>
        <v>Spell</v>
      </c>
      <c r="C1384" s="42" t="str">
        <f>IFERROR(__xludf.DUMMYFUNCTION("""COMPUTED_VALUE"""),"Uno Dezor")</f>
        <v>Uno Dezor</v>
      </c>
      <c r="D1384" s="42" t="str">
        <f>IFERROR(__xludf.DUMMYFUNCTION("""COMPUTED_VALUE"""),"Wiseman")</f>
        <v>Wiseman</v>
      </c>
      <c r="E1384" s="42">
        <f>IFERROR(__xludf.DUMMYFUNCTION("""COMPUTED_VALUE"""),2.0)</f>
        <v>2</v>
      </c>
      <c r="F1384" s="42" t="str">
        <f>IFERROR(__xludf.DUMMYFUNCTION("""COMPUTED_VALUE"""),"AD")</f>
        <v>AD</v>
      </c>
      <c r="G1384" s="42" t="str">
        <f>IFERROR(__xludf.DUMMYFUNCTION("""COMPUTED_VALUE"""),"None")</f>
        <v>None</v>
      </c>
      <c r="H1384" s="42" t="str">
        <f>IFERROR(__xludf.DUMMYFUNCTION("""COMPUTED_VALUE"""),"-")</f>
        <v>-</v>
      </c>
      <c r="I1384" s="43" t="str">
        <f>IFERROR(__xludf.DUMMYFUNCTION("""COMPUTED_VALUE"""),"Damage your opponent's Spell Book when you win the Battle as an Attacker. When you inflict Damage or Injury, reduce your opponent's MP by 2.")</f>
        <v>Damage your opponent's Spell Book when you win the Battle as an Attacker. When you inflict Damage or Injury, reduce your opponent's MP by 2.</v>
      </c>
      <c r="J1384" s="42" t="str">
        <f>IFERROR(__xludf.DUMMYFUNCTION("""COMPUTED_VALUE"""),"+2000")</f>
        <v>+2000</v>
      </c>
      <c r="K1384" s="42">
        <f>IFERROR(__xludf.DUMMYFUNCTION("""COMPUTED_VALUE"""),1.0)</f>
        <v>1</v>
      </c>
      <c r="L1384" s="42" t="str">
        <f>IFERROR(__xludf.DUMMYFUNCTION("""COMPUTED_VALUE"""),"-")</f>
        <v>-</v>
      </c>
      <c r="M1384" s="42" t="str">
        <f>IFERROR(__xludf.DUMMYFUNCTION("""COMPUTED_VALUE"""),"[C]")</f>
        <v>[C]</v>
      </c>
      <c r="N1384" s="42" t="str">
        <f>IFERROR(__xludf.DUMMYFUNCTION("""COMPUTED_VALUE"""),"Wiseman's 1st spell. An evil energy discharges from his palm.")</f>
        <v>Wiseman's 1st spell. An evil energy discharges from his palm.</v>
      </c>
      <c r="O1384" s="42"/>
      <c r="P1384" s="42"/>
      <c r="Q1384" s="42"/>
      <c r="R1384" s="42"/>
      <c r="S1384" s="42"/>
      <c r="T1384" s="42"/>
      <c r="U1384" s="42"/>
      <c r="V1384" s="42"/>
      <c r="W1384" s="42"/>
      <c r="X1384" s="42"/>
      <c r="Y1384" s="42"/>
      <c r="Z1384" s="42"/>
    </row>
    <row r="1385">
      <c r="A1385" s="41" t="str">
        <f>IFERROR(__xludf.DUMMYFUNCTION("""COMPUTED_VALUE"""),"S-256")</f>
        <v>S-256</v>
      </c>
      <c r="B1385" s="42" t="str">
        <f>IFERROR(__xludf.DUMMYFUNCTION("""COMPUTED_VALUE"""),"Spell")</f>
        <v>Spell</v>
      </c>
      <c r="C1385" s="42" t="str">
        <f>IFERROR(__xludf.DUMMYFUNCTION("""COMPUTED_VALUE"""),"Dos Delsor")</f>
        <v>Dos Delsor</v>
      </c>
      <c r="D1385" s="42" t="str">
        <f>IFERROR(__xludf.DUMMYFUNCTION("""COMPUTED_VALUE"""),"Wiseman")</f>
        <v>Wiseman</v>
      </c>
      <c r="E1385" s="42">
        <f>IFERROR(__xludf.DUMMYFUNCTION("""COMPUTED_VALUE"""),4.0)</f>
        <v>4</v>
      </c>
      <c r="F1385" s="42" t="str">
        <f>IFERROR(__xludf.DUMMYFUNCTION("""COMPUTED_VALUE"""),"AD")</f>
        <v>AD</v>
      </c>
      <c r="G1385" s="42" t="str">
        <f>IFERROR(__xludf.DUMMYFUNCTION("""COMPUTED_VALUE"""),"Intermediate")</f>
        <v>Intermediate</v>
      </c>
      <c r="H1385" s="42" t="str">
        <f>IFERROR(__xludf.DUMMYFUNCTION("""COMPUTED_VALUE"""),"-")</f>
        <v>-</v>
      </c>
      <c r="I1385" s="43" t="str">
        <f>IFERROR(__xludf.DUMMYFUNCTION("""COMPUTED_VALUE"""),"Damage your opponent's Spell Book when you win the Battle as an Attacker. When you inflict Damage or Injury, reduce your opponent's MP by 4.")</f>
        <v>Damage your opponent's Spell Book when you win the Battle as an Attacker. When you inflict Damage or Injury, reduce your opponent's MP by 4.</v>
      </c>
      <c r="J1385" s="42" t="str">
        <f>IFERROR(__xludf.DUMMYFUNCTION("""COMPUTED_VALUE"""),"+4000")</f>
        <v>+4000</v>
      </c>
      <c r="K1385" s="42">
        <f>IFERROR(__xludf.DUMMYFUNCTION("""COMPUTED_VALUE"""),2.0)</f>
        <v>2</v>
      </c>
      <c r="L1385" s="42" t="str">
        <f>IFERROR(__xludf.DUMMYFUNCTION("""COMPUTED_VALUE"""),"-")</f>
        <v>-</v>
      </c>
      <c r="M1385" s="42" t="str">
        <f>IFERROR(__xludf.DUMMYFUNCTION("""COMPUTED_VALUE"""),"[C]")</f>
        <v>[C]</v>
      </c>
      <c r="N1385" s="42" t="str">
        <f>IFERROR(__xludf.DUMMYFUNCTION("""COMPUTED_VALUE"""),"Wiseman's 2nd spell. It fires an elliptical bullet of evil energy that explodes upon impact.")</f>
        <v>Wiseman's 2nd spell. It fires an elliptical bullet of evil energy that explodes upon impact.</v>
      </c>
      <c r="O1385" s="42"/>
      <c r="P1385" s="42"/>
      <c r="Q1385" s="42"/>
      <c r="R1385" s="42"/>
      <c r="S1385" s="42"/>
      <c r="T1385" s="42"/>
      <c r="U1385" s="42"/>
      <c r="V1385" s="42"/>
      <c r="W1385" s="42"/>
      <c r="X1385" s="42"/>
      <c r="Y1385" s="42"/>
      <c r="Z1385" s="42"/>
    </row>
    <row r="1386">
      <c r="A1386" s="41" t="str">
        <f>IFERROR(__xludf.DUMMYFUNCTION("""COMPUTED_VALUE"""),"S-257")</f>
        <v>S-257</v>
      </c>
      <c r="B1386" s="42" t="str">
        <f>IFERROR(__xludf.DUMMYFUNCTION("""COMPUTED_VALUE"""),"Spell")</f>
        <v>Spell</v>
      </c>
      <c r="C1386" s="42" t="str">
        <f>IFERROR(__xludf.DUMMYFUNCTION("""COMPUTED_VALUE"""),"Kiru Dezor")</f>
        <v>Kiru Dezor</v>
      </c>
      <c r="D1386" s="42" t="str">
        <f>IFERROR(__xludf.DUMMYFUNCTION("""COMPUTED_VALUE"""),"Wiseman")</f>
        <v>Wiseman</v>
      </c>
      <c r="E1386" s="42">
        <f>IFERROR(__xludf.DUMMYFUNCTION("""COMPUTED_VALUE"""),6.0)</f>
        <v>6</v>
      </c>
      <c r="F1386" s="42" t="str">
        <f>IFERROR(__xludf.DUMMYFUNCTION("""COMPUTED_VALUE"""),"AD")</f>
        <v>AD</v>
      </c>
      <c r="G1386" s="42" t="str">
        <f>IFERROR(__xludf.DUMMYFUNCTION("""COMPUTED_VALUE"""),"Superior")</f>
        <v>Superior</v>
      </c>
      <c r="H1386" s="42" t="str">
        <f>IFERROR(__xludf.DUMMYFUNCTION("""COMPUTED_VALUE"""),"-")</f>
        <v>-</v>
      </c>
      <c r="I1386" s="43" t="str">
        <f>IFERROR(__xludf.DUMMYFUNCTION("""COMPUTED_VALUE"""),"[COUNTER] Damage your opponent's Spell Book when you win the Battle as an Attacker or as a Defender.")</f>
        <v>[COUNTER] Damage your opponent's Spell Book when you win the Battle as an Attacker or as a Defender.</v>
      </c>
      <c r="J1386" s="42" t="str">
        <f>IFERROR(__xludf.DUMMYFUNCTION("""COMPUTED_VALUE"""),"+6000")</f>
        <v>+6000</v>
      </c>
      <c r="K1386" s="42">
        <f>IFERROR(__xludf.DUMMYFUNCTION("""COMPUTED_VALUE"""),3.0)</f>
        <v>3</v>
      </c>
      <c r="L1386" s="42" t="str">
        <f>IFERROR(__xludf.DUMMYFUNCTION("""COMPUTED_VALUE"""),"-")</f>
        <v>-</v>
      </c>
      <c r="M1386" s="42" t="str">
        <f>IFERROR(__xludf.DUMMYFUNCTION("""COMPUTED_VALUE"""),"[R]")</f>
        <v>[R]</v>
      </c>
      <c r="N1386" s="42" t="str">
        <f>IFERROR(__xludf.DUMMYFUNCTION("""COMPUTED_VALUE"""),"Wiseman's 3rd spell. An enormous creature made of malevolent energy and the souls of the wicked casts judgment upon his foes.")</f>
        <v>Wiseman's 3rd spell. An enormous creature made of malevolent energy and the souls of the wicked casts judgment upon his foes.</v>
      </c>
      <c r="O1386" s="42"/>
      <c r="P1386" s="42"/>
      <c r="Q1386" s="42"/>
      <c r="R1386" s="42"/>
      <c r="S1386" s="42"/>
      <c r="T1386" s="42"/>
      <c r="U1386" s="42"/>
      <c r="V1386" s="42"/>
      <c r="W1386" s="42"/>
      <c r="X1386" s="42"/>
      <c r="Y1386" s="42"/>
      <c r="Z1386" s="42"/>
    </row>
    <row r="1387">
      <c r="A1387" s="41" t="str">
        <f>IFERROR(__xludf.DUMMYFUNCTION("""COMPUTED_VALUE"""),"S-258a")</f>
        <v>S-258a</v>
      </c>
      <c r="B1387" s="42" t="str">
        <f>IFERROR(__xludf.DUMMYFUNCTION("""COMPUTED_VALUE"""),"Spell")</f>
        <v>Spell</v>
      </c>
      <c r="C1387" s="42" t="str">
        <f>IFERROR(__xludf.DUMMYFUNCTION("""COMPUTED_VALUE"""),"Barudo Fours")</f>
        <v>Barudo Fours</v>
      </c>
      <c r="D1387" s="42" t="str">
        <f>IFERROR(__xludf.DUMMYFUNCTION("""COMPUTED_VALUE"""),"Zatch | Kanchomé | Tia | Ponygon")</f>
        <v>Zatch | Kanchomé | Tia | Ponygon</v>
      </c>
      <c r="E1387" s="42" t="str">
        <f>IFERROR(__xludf.DUMMYFUNCTION("""COMPUTED_VALUE"""),"-")</f>
        <v>-</v>
      </c>
      <c r="F1387" s="42" t="str">
        <f>IFERROR(__xludf.DUMMYFUNCTION("""COMPUTED_VALUE"""),"-")</f>
        <v>-</v>
      </c>
      <c r="G1387" s="42" t="str">
        <f>IFERROR(__xludf.DUMMYFUNCTION("""COMPUTED_VALUE"""),"Superior")</f>
        <v>Superior</v>
      </c>
      <c r="H1387" s="42" t="str">
        <f>IFERROR(__xludf.DUMMYFUNCTION("""COMPUTED_VALUE"""),"Thunder")</f>
        <v>Thunder</v>
      </c>
      <c r="I1387" s="43" t="str">
        <f>IFERROR(__xludf.DUMMYFUNCTION("""COMPUTED_VALUE"""),"This SPELL card can be played only when you have both S-258a and S-258b in the currently open pages of your Spell Book. Damage your opponent's Spell Book when you win the Battle as an Attacker. If your opponent SACRIFICED or PROTECTED their Spell Book fro"&amp;"m this SPELL card's Damage, turn 2 pages of their Spell Book.")</f>
        <v>This SPELL card can be played only when you have both S-258a and S-258b in the currently open pages of your Spell Book. Damage your opponent's Spell Book when you win the Battle as an Attacker. If your opponent SACRIFICED or PROTECTED their Spell Book from this SPELL card's Damage, turn 2 pages of their Spell Book.</v>
      </c>
      <c r="J1387" s="42" t="str">
        <f>IFERROR(__xludf.DUMMYFUNCTION("""COMPUTED_VALUE"""),"+9000")</f>
        <v>+9000</v>
      </c>
      <c r="K1387" s="42" t="str">
        <f>IFERROR(__xludf.DUMMYFUNCTION("""COMPUTED_VALUE"""),"-")</f>
        <v>-</v>
      </c>
      <c r="L1387" s="42" t="str">
        <f>IFERROR(__xludf.DUMMYFUNCTION("""COMPUTED_VALUE"""),"-")</f>
        <v>-</v>
      </c>
      <c r="M1387" s="42" t="str">
        <f>IFERROR(__xludf.DUMMYFUNCTION("""COMPUTED_VALUE"""),"[SR]")</f>
        <v>[SR]</v>
      </c>
      <c r="N1387" s="42" t="str">
        <f>IFERROR(__xludf.DUMMYFUNCTION("""COMPUTED_VALUE"""),"Tia, Kanchome, Ponygon, and Zatch...")</f>
        <v>Tia, Kanchome, Ponygon, and Zatch...</v>
      </c>
      <c r="O1387" s="42"/>
      <c r="P1387" s="42"/>
      <c r="Q1387" s="42"/>
      <c r="R1387" s="42"/>
      <c r="S1387" s="42"/>
      <c r="T1387" s="42"/>
      <c r="U1387" s="42"/>
      <c r="V1387" s="42"/>
      <c r="W1387" s="42"/>
      <c r="X1387" s="42"/>
      <c r="Y1387" s="42"/>
      <c r="Z1387" s="42"/>
    </row>
    <row r="1388">
      <c r="A1388" s="41" t="str">
        <f>IFERROR(__xludf.DUMMYFUNCTION("""COMPUTED_VALUE"""),"S-258b")</f>
        <v>S-258b</v>
      </c>
      <c r="B1388" s="42" t="str">
        <f>IFERROR(__xludf.DUMMYFUNCTION("""COMPUTED_VALUE"""),"Spell")</f>
        <v>Spell</v>
      </c>
      <c r="C1388" s="42" t="str">
        <f>IFERROR(__xludf.DUMMYFUNCTION("""COMPUTED_VALUE"""),"Barudo Fours")</f>
        <v>Barudo Fours</v>
      </c>
      <c r="D1388" s="42" t="str">
        <f>IFERROR(__xludf.DUMMYFUNCTION("""COMPUTED_VALUE"""),"Zatch | Kanchomé | Tia | Ponygon")</f>
        <v>Zatch | Kanchomé | Tia | Ponygon</v>
      </c>
      <c r="E1388" s="42">
        <f>IFERROR(__xludf.DUMMYFUNCTION("""COMPUTED_VALUE"""),4.0)</f>
        <v>4</v>
      </c>
      <c r="F1388" s="42" t="str">
        <f>IFERROR(__xludf.DUMMYFUNCTION("""COMPUTED_VALUE"""),"A")</f>
        <v>A</v>
      </c>
      <c r="G1388" s="42" t="str">
        <f>IFERROR(__xludf.DUMMYFUNCTION("""COMPUTED_VALUE"""),"None")</f>
        <v>None</v>
      </c>
      <c r="H1388" s="42" t="str">
        <f>IFERROR(__xludf.DUMMYFUNCTION("""COMPUTED_VALUE"""),"Thunder")</f>
        <v>Thunder</v>
      </c>
      <c r="I1388" s="43" t="str">
        <f>IFERROR(__xludf.DUMMYFUNCTION("""COMPUTED_VALUE"""),"This SPELL card can be played only when you have both S-258a and S-258b in the currently open pages of your Spell Book.")</f>
        <v>This SPELL card can be played only when you have both S-258a and S-258b in the currently open pages of your Spell Book.</v>
      </c>
      <c r="J1388" s="42" t="str">
        <f>IFERROR(__xludf.DUMMYFUNCTION("""COMPUTED_VALUE"""),"-")</f>
        <v>-</v>
      </c>
      <c r="K1388" s="42">
        <f>IFERROR(__xludf.DUMMYFUNCTION("""COMPUTED_VALUE"""),4.0)</f>
        <v>4</v>
      </c>
      <c r="L1388" s="42" t="str">
        <f>IFERROR(__xludf.DUMMYFUNCTION("""COMPUTED_VALUE"""),"-")</f>
        <v>-</v>
      </c>
      <c r="M1388" s="42" t="str">
        <f>IFERROR(__xludf.DUMMYFUNCTION("""COMPUTED_VALUE"""),"[SR]")</f>
        <v>[SR]</v>
      </c>
      <c r="N1388" s="42" t="str">
        <f>IFERROR(__xludf.DUMMYFUNCTION("""COMPUTED_VALUE"""),"When the thoughts of these four become one, a majestic bird of lightning soars toward its destiny.")</f>
        <v>When the thoughts of these four become one, a majestic bird of lightning soars toward its destiny.</v>
      </c>
      <c r="O1388" s="42"/>
      <c r="P1388" s="42"/>
      <c r="Q1388" s="42"/>
      <c r="R1388" s="42"/>
      <c r="S1388" s="42"/>
      <c r="T1388" s="42"/>
      <c r="U1388" s="42"/>
      <c r="V1388" s="42"/>
      <c r="W1388" s="42"/>
      <c r="X1388" s="42"/>
      <c r="Y1388" s="42"/>
      <c r="Z1388" s="42"/>
    </row>
    <row r="1389">
      <c r="A1389" s="41" t="str">
        <f>IFERROR(__xludf.DUMMYFUNCTION("""COMPUTED_VALUE"""),"S-259")</f>
        <v>S-259</v>
      </c>
      <c r="B1389" s="42" t="str">
        <f>IFERROR(__xludf.DUMMYFUNCTION("""COMPUTED_VALUE"""),"Spell")</f>
        <v>Spell</v>
      </c>
      <c r="C1389" s="42" t="str">
        <f>IFERROR(__xludf.DUMMYFUNCTION("""COMPUTED_VALUE"""),"Chagur")</f>
        <v>Chagur</v>
      </c>
      <c r="D1389" s="42" t="str">
        <f>IFERROR(__xludf.DUMMYFUNCTION("""COMPUTED_VALUE"""),"Victoream")</f>
        <v>Victoream</v>
      </c>
      <c r="E1389" s="42">
        <f>IFERROR(__xludf.DUMMYFUNCTION("""COMPUTED_VALUE"""),1.0)</f>
        <v>1</v>
      </c>
      <c r="F1389" s="42" t="str">
        <f>IFERROR(__xludf.DUMMYFUNCTION("""COMPUTED_VALUE"""),"A")</f>
        <v>A</v>
      </c>
      <c r="G1389" s="42" t="str">
        <f>IFERROR(__xludf.DUMMYFUNCTION("""COMPUTED_VALUE"""),"None")</f>
        <v>None</v>
      </c>
      <c r="H1389" s="42" t="str">
        <f>IFERROR(__xludf.DUMMYFUNCTION("""COMPUTED_VALUE"""),"-")</f>
        <v>-</v>
      </c>
      <c r="I1389" s="43" t="str">
        <f>IFERROR(__xludf.DUMMYFUNCTION("""COMPUTED_VALUE"""),"Place 1 MP counter on your in-play Victoream MAMODO card. ● Your MP is not reduced when placing an MP counter. ● Up to 5 MP counters can be placed on the Victoream card. ● Remove all MP counters from your Victoream MAMODO card when your Victoream MAMODO c"&amp;"ard is sent to the Discard Pile.")</f>
        <v>Place 1 MP counter on your in-play Victoream MAMODO card. ● Your MP is not reduced when placing an MP counter. ● Up to 5 MP counters can be placed on the Victoream card. ● Remove all MP counters from your Victoream MAMODO card when your Victoream MAMODO card is sent to the Discard Pile.</v>
      </c>
      <c r="J1389" s="42" t="str">
        <f>IFERROR(__xludf.DUMMYFUNCTION("""COMPUTED_VALUE"""),"Special")</f>
        <v>Special</v>
      </c>
      <c r="K1389" s="42" t="str">
        <f>IFERROR(__xludf.DUMMYFUNCTION("""COMPUTED_VALUE"""),"-")</f>
        <v>-</v>
      </c>
      <c r="L1389" s="42" t="str">
        <f>IFERROR(__xludf.DUMMYFUNCTION("""COMPUTED_VALUE"""),"-")</f>
        <v>-</v>
      </c>
      <c r="M1389" s="42" t="str">
        <f>IFERROR(__xludf.DUMMYFUNCTION("""COMPUTED_VALUE"""),"[U]")</f>
        <v>[U]</v>
      </c>
      <c r="N1389" s="42" t="str">
        <f>IFERROR(__xludf.DUMMYFUNCTION("""COMPUTED_VALUE"""),"Victoream's 3rd spell. ""The heart of great pride to my left shoulder! The power of my beauty to the final light!""")</f>
        <v>Victoream's 3rd spell. "The heart of great pride to my left shoulder! The power of my beauty to the final light!"</v>
      </c>
      <c r="O1389" s="42"/>
      <c r="P1389" s="42"/>
      <c r="Q1389" s="42"/>
      <c r="R1389" s="42"/>
      <c r="S1389" s="42"/>
      <c r="T1389" s="42"/>
      <c r="U1389" s="42"/>
      <c r="V1389" s="42"/>
      <c r="W1389" s="42"/>
      <c r="X1389" s="42"/>
      <c r="Y1389" s="42"/>
      <c r="Z1389" s="42"/>
    </row>
    <row r="1390">
      <c r="A1390" s="41" t="str">
        <f>IFERROR(__xludf.DUMMYFUNCTION("""COMPUTED_VALUE"""),"S-260")</f>
        <v>S-260</v>
      </c>
      <c r="B1390" s="42" t="str">
        <f>IFERROR(__xludf.DUMMYFUNCTION("""COMPUTED_VALUE"""),"Spell")</f>
        <v>Spell</v>
      </c>
      <c r="C1390" s="42" t="str">
        <f>IFERROR(__xludf.DUMMYFUNCTION("""COMPUTED_VALUE"""),"Chagur Imisdon")</f>
        <v>Chagur Imisdon</v>
      </c>
      <c r="D1390" s="42" t="str">
        <f>IFERROR(__xludf.DUMMYFUNCTION("""COMPUTED_VALUE"""),"Victoream")</f>
        <v>Victoream</v>
      </c>
      <c r="E1390" s="42">
        <f>IFERROR(__xludf.DUMMYFUNCTION("""COMPUTED_VALUE"""),2.0)</f>
        <v>2</v>
      </c>
      <c r="F1390" s="42" t="str">
        <f>IFERROR(__xludf.DUMMYFUNCTION("""COMPUTED_VALUE"""),"AD")</f>
        <v>AD</v>
      </c>
      <c r="G1390" s="42" t="str">
        <f>IFERROR(__xludf.DUMMYFUNCTION("""COMPUTED_VALUE"""),"Superior")</f>
        <v>Superior</v>
      </c>
      <c r="H1390" s="42" t="str">
        <f>IFERROR(__xludf.DUMMYFUNCTION("""COMPUTED_VALUE"""),"-")</f>
        <v>-</v>
      </c>
      <c r="I1390" s="43" t="str">
        <f>IFERROR(__xludf.DUMMYFUNCTION("""COMPUTED_VALUE"""),"Damage your opponent's Spell Book when you win the Battle as an Attacker. Add 1000 Power and 1 Damage to this SPELL card for each MP counter on your Victoream MAMODO card.")</f>
        <v>Damage your opponent's Spell Book when you win the Battle as an Attacker. Add 1000 Power and 1 Damage to this SPELL card for each MP counter on your Victoream MAMODO card.</v>
      </c>
      <c r="J1390" s="42" t="str">
        <f>IFERROR(__xludf.DUMMYFUNCTION("""COMPUTED_VALUE"""),"+0")</f>
        <v>+0</v>
      </c>
      <c r="K1390" s="42">
        <f>IFERROR(__xludf.DUMMYFUNCTION("""COMPUTED_VALUE"""),0.0)</f>
        <v>0</v>
      </c>
      <c r="L1390" s="42" t="str">
        <f>IFERROR(__xludf.DUMMYFUNCTION("""COMPUTED_VALUE"""),"-")</f>
        <v>-</v>
      </c>
      <c r="M1390" s="42" t="str">
        <f>IFERROR(__xludf.DUMMYFUNCTION("""COMPUTED_VALUE"""),"[SR]")</f>
        <v>[SR]</v>
      </c>
      <c r="N1390" s="42" t="str">
        <f>IFERROR(__xludf.DUMMYFUNCTION("""COMPUTED_VALUE"""),"Victoream's 4th spell. ""Now I'm going to completely oblierate you!""")</f>
        <v>Victoream's 4th spell. "Now I'm going to completely oblierate you!"</v>
      </c>
      <c r="O1390" s="42"/>
      <c r="P1390" s="42"/>
      <c r="Q1390" s="42"/>
      <c r="R1390" s="42"/>
      <c r="S1390" s="42"/>
      <c r="T1390" s="42"/>
      <c r="U1390" s="42"/>
      <c r="V1390" s="42"/>
      <c r="W1390" s="42"/>
      <c r="X1390" s="42"/>
      <c r="Y1390" s="42"/>
      <c r="Z1390" s="42"/>
    </row>
    <row r="1391">
      <c r="A1391" s="41" t="str">
        <f>IFERROR(__xludf.DUMMYFUNCTION("""COMPUTED_VALUE"""),"S-261")</f>
        <v>S-261</v>
      </c>
      <c r="B1391" s="42" t="str">
        <f>IFERROR(__xludf.DUMMYFUNCTION("""COMPUTED_VALUE"""),"Spell")</f>
        <v>Spell</v>
      </c>
      <c r="C1391" s="42" t="str">
        <f>IFERROR(__xludf.DUMMYFUNCTION("""COMPUTED_VALUE"""),"Migron")</f>
        <v>Migron</v>
      </c>
      <c r="D1391" s="42" t="str">
        <f>IFERROR(__xludf.DUMMYFUNCTION("""COMPUTED_VALUE"""),"Laila")</f>
        <v>Laila</v>
      </c>
      <c r="E1391" s="42">
        <f>IFERROR(__xludf.DUMMYFUNCTION("""COMPUTED_VALUE"""),1.0)</f>
        <v>1</v>
      </c>
      <c r="F1391" s="42" t="str">
        <f>IFERROR(__xludf.DUMMYFUNCTION("""COMPUTED_VALUE"""),"AD")</f>
        <v>AD</v>
      </c>
      <c r="G1391" s="42" t="str">
        <f>IFERROR(__xludf.DUMMYFUNCTION("""COMPUTED_VALUE"""),"None")</f>
        <v>None</v>
      </c>
      <c r="H1391" s="42" t="str">
        <f>IFERROR(__xludf.DUMMYFUNCTION("""COMPUTED_VALUE"""),"-")</f>
        <v>-</v>
      </c>
      <c r="I1391" s="43" t="str">
        <f>IFERROR(__xludf.DUMMYFUNCTION("""COMPUTED_VALUE"""),"Damage your opponent's Spell Book when you win the Battle as an Attacker. When you declare the play of this SPELL card, you may pay an additional 1 MP to add 2000 Power and 1 Damage to this SPELL card (maximum 2 MP).")</f>
        <v>Damage your opponent's Spell Book when you win the Battle as an Attacker. When you declare the play of this SPELL card, you may pay an additional 1 MP to add 2000 Power and 1 Damage to this SPELL card (maximum 2 MP).</v>
      </c>
      <c r="J1391" s="42" t="str">
        <f>IFERROR(__xludf.DUMMYFUNCTION("""COMPUTED_VALUE"""),"+1000")</f>
        <v>+1000</v>
      </c>
      <c r="K1391" s="42">
        <f>IFERROR(__xludf.DUMMYFUNCTION("""COMPUTED_VALUE"""),1.0)</f>
        <v>1</v>
      </c>
      <c r="L1391" s="42" t="str">
        <f>IFERROR(__xludf.DUMMYFUNCTION("""COMPUTED_VALUE"""),"-")</f>
        <v>-</v>
      </c>
      <c r="M1391" s="42" t="str">
        <f>IFERROR(__xludf.DUMMYFUNCTION("""COMPUTED_VALUE"""),"[C]")</f>
        <v>[C]</v>
      </c>
      <c r="N1391" s="42" t="str">
        <f>IFERROR(__xludf.DUMMYFUNCTION("""COMPUTED_VALUE"""),"Laila's 1st spell. It fires a beam of light from her wand in the shape of a crescent moon.")</f>
        <v>Laila's 1st spell. It fires a beam of light from her wand in the shape of a crescent moon.</v>
      </c>
      <c r="O1391" s="42"/>
      <c r="P1391" s="42"/>
      <c r="Q1391" s="42"/>
      <c r="R1391" s="42"/>
      <c r="S1391" s="42"/>
      <c r="T1391" s="42"/>
      <c r="U1391" s="42"/>
      <c r="V1391" s="42"/>
      <c r="W1391" s="42"/>
      <c r="X1391" s="42"/>
      <c r="Y1391" s="42"/>
      <c r="Z1391" s="42"/>
    </row>
    <row r="1392">
      <c r="A1392" s="41" t="str">
        <f>IFERROR(__xludf.DUMMYFUNCTION("""COMPUTED_VALUE"""),"S-262")</f>
        <v>S-262</v>
      </c>
      <c r="B1392" s="42" t="str">
        <f>IFERROR(__xludf.DUMMYFUNCTION("""COMPUTED_VALUE"""),"Spell")</f>
        <v>Spell</v>
      </c>
      <c r="C1392" s="42" t="str">
        <f>IFERROR(__xludf.DUMMYFUNCTION("""COMPUTED_VALUE"""),"Mishield")</f>
        <v>Mishield</v>
      </c>
      <c r="D1392" s="42" t="str">
        <f>IFERROR(__xludf.DUMMYFUNCTION("""COMPUTED_VALUE"""),"Laila")</f>
        <v>Laila</v>
      </c>
      <c r="E1392" s="42">
        <f>IFERROR(__xludf.DUMMYFUNCTION("""COMPUTED_VALUE"""),1.0)</f>
        <v>1</v>
      </c>
      <c r="F1392" s="42" t="str">
        <f>IFERROR(__xludf.DUMMYFUNCTION("""COMPUTED_VALUE"""),"D")</f>
        <v>D</v>
      </c>
      <c r="G1392" s="42" t="str">
        <f>IFERROR(__xludf.DUMMYFUNCTION("""COMPUTED_VALUE"""),"None")</f>
        <v>None</v>
      </c>
      <c r="H1392" s="42" t="str">
        <f>IFERROR(__xludf.DUMMYFUNCTION("""COMPUTED_VALUE"""),"-")</f>
        <v>-</v>
      </c>
      <c r="I1392" s="43" t="str">
        <f>IFERROR(__xludf.DUMMYFUNCTION("""COMPUTED_VALUE"""),"Negate your opponent's Attack when you win the Battle as a Defender.")</f>
        <v>Negate your opponent's Attack when you win the Battle as a Defender.</v>
      </c>
      <c r="J1392" s="42" t="str">
        <f>IFERROR(__xludf.DUMMYFUNCTION("""COMPUTED_VALUE"""),"+5000")</f>
        <v>+5000</v>
      </c>
      <c r="K1392" s="42" t="str">
        <f>IFERROR(__xludf.DUMMYFUNCTION("""COMPUTED_VALUE"""),"-")</f>
        <v>-</v>
      </c>
      <c r="L1392" s="42" t="str">
        <f>IFERROR(__xludf.DUMMYFUNCTION("""COMPUTED_VALUE"""),"-")</f>
        <v>-</v>
      </c>
      <c r="M1392" s="42" t="str">
        <f>IFERROR(__xludf.DUMMYFUNCTION("""COMPUTED_VALUE"""),"[C]")</f>
        <v>[C]</v>
      </c>
      <c r="N1392" s="42" t="str">
        <f>IFERROR(__xludf.DUMMYFUNCTION("""COMPUTED_VALUE"""),"Laila's 2nd spell. A shield shaped like a crescent moon that fends off an opponent's attack.")</f>
        <v>Laila's 2nd spell. A shield shaped like a crescent moon that fends off an opponent's attack.</v>
      </c>
      <c r="O1392" s="42"/>
      <c r="P1392" s="42"/>
      <c r="Q1392" s="42"/>
      <c r="R1392" s="42"/>
      <c r="S1392" s="42"/>
      <c r="T1392" s="42"/>
      <c r="U1392" s="42"/>
      <c r="V1392" s="42"/>
      <c r="W1392" s="42"/>
      <c r="X1392" s="42"/>
      <c r="Y1392" s="42"/>
      <c r="Z1392" s="42"/>
    </row>
    <row r="1393">
      <c r="A1393" s="41" t="str">
        <f>IFERROR(__xludf.DUMMYFUNCTION("""COMPUTED_VALUE"""),"S-263")</f>
        <v>S-263</v>
      </c>
      <c r="B1393" s="42" t="str">
        <f>IFERROR(__xludf.DUMMYFUNCTION("""COMPUTED_VALUE"""),"Spell")</f>
        <v>Spell</v>
      </c>
      <c r="C1393" s="42" t="str">
        <f>IFERROR(__xludf.DUMMYFUNCTION("""COMPUTED_VALUE"""),"Begiruk")</f>
        <v>Begiruk</v>
      </c>
      <c r="D1393" s="42" t="str">
        <f>IFERROR(__xludf.DUMMYFUNCTION("""COMPUTED_VALUE"""),"Dalmos")</f>
        <v>Dalmos</v>
      </c>
      <c r="E1393" s="42">
        <f>IFERROR(__xludf.DUMMYFUNCTION("""COMPUTED_VALUE"""),2.0)</f>
        <v>2</v>
      </c>
      <c r="F1393" s="42" t="str">
        <f>IFERROR(__xludf.DUMMYFUNCTION("""COMPUTED_VALUE"""),"A")</f>
        <v>A</v>
      </c>
      <c r="G1393" s="42" t="str">
        <f>IFERROR(__xludf.DUMMYFUNCTION("""COMPUTED_VALUE"""),"None")</f>
        <v>None</v>
      </c>
      <c r="H1393" s="42" t="str">
        <f>IFERROR(__xludf.DUMMYFUNCTION("""COMPUTED_VALUE"""),"-")</f>
        <v>-</v>
      </c>
      <c r="I1393" s="43" t="str">
        <f>IFERROR(__xludf.DUMMYFUNCTION("""COMPUTED_VALUE"""),"Select 1 Dalmos (Battle Mode) MAMODO card from any page of your Spell Book and place it on a regular Dalmos MAMODO card.")</f>
        <v>Select 1 Dalmos (Battle Mode) MAMODO card from any page of your Spell Book and place it on a regular Dalmos MAMODO card.</v>
      </c>
      <c r="J1393" s="42" t="str">
        <f>IFERROR(__xludf.DUMMYFUNCTION("""COMPUTED_VALUE"""),"Special")</f>
        <v>Special</v>
      </c>
      <c r="K1393" s="42" t="str">
        <f>IFERROR(__xludf.DUMMYFUNCTION("""COMPUTED_VALUE"""),"-")</f>
        <v>-</v>
      </c>
      <c r="L1393" s="42" t="str">
        <f>IFERROR(__xludf.DUMMYFUNCTION("""COMPUTED_VALUE"""),"-")</f>
        <v>-</v>
      </c>
      <c r="M1393" s="42" t="str">
        <f>IFERROR(__xludf.DUMMYFUNCTION("""COMPUTED_VALUE"""),"[C]")</f>
        <v>[C]</v>
      </c>
      <c r="N1393" s="42" t="str">
        <f>IFERROR(__xludf.DUMMYFUNCTION("""COMPUTED_VALUE"""),"Dalmos' 3rd spell. It morphs Dalmos into his upgraded battle form.")</f>
        <v>Dalmos' 3rd spell. It morphs Dalmos into his upgraded battle form.</v>
      </c>
      <c r="O1393" s="42"/>
      <c r="P1393" s="42"/>
      <c r="Q1393" s="42"/>
      <c r="R1393" s="42"/>
      <c r="S1393" s="42"/>
      <c r="T1393" s="42"/>
      <c r="U1393" s="42"/>
      <c r="V1393" s="42"/>
      <c r="W1393" s="42"/>
      <c r="X1393" s="42"/>
      <c r="Y1393" s="42"/>
      <c r="Z1393" s="42"/>
    </row>
    <row r="1394">
      <c r="A1394" s="41" t="str">
        <f>IFERROR(__xludf.DUMMYFUNCTION("""COMPUTED_VALUE"""),"S-264")</f>
        <v>S-264</v>
      </c>
      <c r="B1394" s="42" t="str">
        <f>IFERROR(__xludf.DUMMYFUNCTION("""COMPUTED_VALUE"""),"Spell")</f>
        <v>Spell</v>
      </c>
      <c r="C1394" s="42" t="str">
        <f>IFERROR(__xludf.DUMMYFUNCTION("""COMPUTED_VALUE"""),"Kiroro Ambegir")</f>
        <v>Kiroro Ambegir</v>
      </c>
      <c r="D1394" s="42" t="str">
        <f>IFERROR(__xludf.DUMMYFUNCTION("""COMPUTED_VALUE"""),"Dalmos")</f>
        <v>Dalmos</v>
      </c>
      <c r="E1394" s="42">
        <f>IFERROR(__xludf.DUMMYFUNCTION("""COMPUTED_VALUE"""),1.0)</f>
        <v>1</v>
      </c>
      <c r="F1394" s="42" t="str">
        <f>IFERROR(__xludf.DUMMYFUNCTION("""COMPUTED_VALUE"""),"A")</f>
        <v>A</v>
      </c>
      <c r="G1394" s="42" t="str">
        <f>IFERROR(__xludf.DUMMYFUNCTION("""COMPUTED_VALUE"""),"Intermediate")</f>
        <v>Intermediate</v>
      </c>
      <c r="H1394" s="42" t="str">
        <f>IFERROR(__xludf.DUMMYFUNCTION("""COMPUTED_VALUE"""),"-")</f>
        <v>-</v>
      </c>
      <c r="I1394" s="43" t="str">
        <f>IFERROR(__xludf.DUMMYFUNCTION("""COMPUTED_VALUE"""),"This SPELL card can be played only once per turn (per player). [STAY] Increase the Damage of your Dalmos MAMODO card's Attacks by 2 when it Attacks without using a SPELL card until the END PHASE of the next turn (this effect cannot be duplicated).")</f>
        <v>This SPELL card can be played only once per turn (per player). [STAY] Increase the Damage of your Dalmos MAMODO card's Attacks by 2 when it Attacks without using a SPELL card until the END PHASE of the next turn (this effect cannot be duplicated).</v>
      </c>
      <c r="J1394" s="42" t="str">
        <f>IFERROR(__xludf.DUMMYFUNCTION("""COMPUTED_VALUE"""),"Special")</f>
        <v>Special</v>
      </c>
      <c r="K1394" s="42" t="str">
        <f>IFERROR(__xludf.DUMMYFUNCTION("""COMPUTED_VALUE"""),"-")</f>
        <v>-</v>
      </c>
      <c r="L1394" s="42" t="str">
        <f>IFERROR(__xludf.DUMMYFUNCTION("""COMPUTED_VALUE"""),"-")</f>
        <v>-</v>
      </c>
      <c r="M1394" s="42" t="str">
        <f>IFERROR(__xludf.DUMMYFUNCTION("""COMPUTED_VALUE"""),"[R]")</f>
        <v>[R]</v>
      </c>
      <c r="N1394" s="42" t="str">
        <f>IFERROR(__xludf.DUMMYFUNCTION("""COMPUTED_VALUE"""),"Dalmos' 5th spell. A sharp blade extends from his arm, which he uses to rend his opponents.")</f>
        <v>Dalmos' 5th spell. A sharp blade extends from his arm, which he uses to rend his opponents.</v>
      </c>
      <c r="O1394" s="42"/>
      <c r="P1394" s="42"/>
      <c r="Q1394" s="42"/>
      <c r="R1394" s="42"/>
      <c r="S1394" s="42"/>
      <c r="T1394" s="42"/>
      <c r="U1394" s="42"/>
      <c r="V1394" s="42"/>
      <c r="W1394" s="42"/>
      <c r="X1394" s="42"/>
      <c r="Y1394" s="42"/>
      <c r="Z1394" s="42"/>
    </row>
    <row r="1395">
      <c r="A1395" s="41" t="str">
        <f>IFERROR(__xludf.DUMMYFUNCTION("""COMPUTED_VALUE"""),"S-265")</f>
        <v>S-265</v>
      </c>
      <c r="B1395" s="42" t="str">
        <f>IFERROR(__xludf.DUMMYFUNCTION("""COMPUTED_VALUE"""),"Spell")</f>
        <v>Spell</v>
      </c>
      <c r="C1395" s="42" t="str">
        <f>IFERROR(__xludf.DUMMYFUNCTION("""COMPUTED_VALUE"""),"Zaker")</f>
        <v>Zaker</v>
      </c>
      <c r="D1395" s="42" t="str">
        <f>IFERROR(__xludf.DUMMYFUNCTION("""COMPUTED_VALUE"""),"Zatch Bell")</f>
        <v>Zatch Bell</v>
      </c>
      <c r="E1395" s="42">
        <f>IFERROR(__xludf.DUMMYFUNCTION("""COMPUTED_VALUE"""),1.0)</f>
        <v>1</v>
      </c>
      <c r="F1395" s="42" t="str">
        <f>IFERROR(__xludf.DUMMYFUNCTION("""COMPUTED_VALUE"""),"A")</f>
        <v>A</v>
      </c>
      <c r="G1395" s="42" t="str">
        <f>IFERROR(__xludf.DUMMYFUNCTION("""COMPUTED_VALUE"""),"None")</f>
        <v>None</v>
      </c>
      <c r="H1395" s="42" t="str">
        <f>IFERROR(__xludf.DUMMYFUNCTION("""COMPUTED_VALUE"""),"Thunder")</f>
        <v>Thunder</v>
      </c>
      <c r="I1395" s="43" t="str">
        <f>IFERROR(__xludf.DUMMYFUNCTION("""COMPUTED_VALUE"""),"Damage your opponent's Spell Book when you win the Battle as an Attacker. When you declare the play of this SPELL card, you may pay an additional 2 MP; if you do, your opponent can neither SACRIFICE nor PROTECT their Spell Book from this SPELL card's Dama"&amp;"ge.")</f>
        <v>Damage your opponent's Spell Book when you win the Battle as an Attacker. When you declare the play of this SPELL card, you may pay an additional 2 MP; if you do, your opponent can neither SACRIFICE nor PROTECT their Spell Book from this SPELL card's Damage.</v>
      </c>
      <c r="J1395" s="42" t="str">
        <f>IFERROR(__xludf.DUMMYFUNCTION("""COMPUTED_VALUE"""),"+1000")</f>
        <v>+1000</v>
      </c>
      <c r="K1395" s="42">
        <f>IFERROR(__xludf.DUMMYFUNCTION("""COMPUTED_VALUE"""),2.0)</f>
        <v>2</v>
      </c>
      <c r="L1395" s="42" t="str">
        <f>IFERROR(__xludf.DUMMYFUNCTION("""COMPUTED_VALUE"""),"-")</f>
        <v>-</v>
      </c>
      <c r="M1395" s="42" t="str">
        <f>IFERROR(__xludf.DUMMYFUNCTION("""COMPUTED_VALUE"""),"[R]")</f>
        <v>[R]</v>
      </c>
      <c r="N1395" s="42" t="str">
        <f>IFERROR(__xludf.DUMMYFUNCTION("""COMPUTED_VALUE"""),"Zatch's 1st spell. The lightning that shoots out of his mouth spreads out in an erratic, radial path.")</f>
        <v>Zatch's 1st spell. The lightning that shoots out of his mouth spreads out in an erratic, radial path.</v>
      </c>
      <c r="O1395" s="42"/>
      <c r="P1395" s="42"/>
      <c r="Q1395" s="42"/>
      <c r="R1395" s="42"/>
      <c r="S1395" s="42"/>
      <c r="T1395" s="42"/>
      <c r="U1395" s="42"/>
      <c r="V1395" s="42"/>
      <c r="W1395" s="42"/>
      <c r="X1395" s="42"/>
      <c r="Y1395" s="42"/>
      <c r="Z1395" s="42"/>
    </row>
    <row r="1396">
      <c r="A1396" s="41" t="str">
        <f>IFERROR(__xludf.DUMMYFUNCTION("""COMPUTED_VALUE"""),"S-266")</f>
        <v>S-266</v>
      </c>
      <c r="B1396" s="42" t="str">
        <f>IFERROR(__xludf.DUMMYFUNCTION("""COMPUTED_VALUE"""),"Spell")</f>
        <v>Spell</v>
      </c>
      <c r="C1396" s="42" t="str">
        <f>IFERROR(__xludf.DUMMYFUNCTION("""COMPUTED_VALUE"""),"Dioga Gravidon")</f>
        <v>Dioga Gravidon</v>
      </c>
      <c r="D1396" s="42" t="str">
        <f>IFERROR(__xludf.DUMMYFUNCTION("""COMPUTED_VALUE"""),"Brago")</f>
        <v>Brago</v>
      </c>
      <c r="E1396" s="42">
        <f>IFERROR(__xludf.DUMMYFUNCTION("""COMPUTED_VALUE"""),8.0)</f>
        <v>8</v>
      </c>
      <c r="F1396" s="42" t="str">
        <f>IFERROR(__xludf.DUMMYFUNCTION("""COMPUTED_VALUE"""),"AD")</f>
        <v>AD</v>
      </c>
      <c r="G1396" s="42" t="str">
        <f>IFERROR(__xludf.DUMMYFUNCTION("""COMPUTED_VALUE"""),"Superior")</f>
        <v>Superior</v>
      </c>
      <c r="H1396" s="42" t="str">
        <f>IFERROR(__xludf.DUMMYFUNCTION("""COMPUTED_VALUE"""),"Down Force")</f>
        <v>Down Force</v>
      </c>
      <c r="I1396" s="43" t="str">
        <f>IFERROR(__xludf.DUMMYFUNCTION("""COMPUTED_VALUE"""),"Injure all of your opponent's MAMODO cards when you win the Battle as an Attacker. Flip a coin; if it's heads, your opponent cannot SACRIFICE against this SPELL's Injuries.")</f>
        <v>Injure all of your opponent's MAMODO cards when you win the Battle as an Attacker. Flip a coin; if it's heads, your opponent cannot SACRIFICE against this SPELL's Injuries.</v>
      </c>
      <c r="J1396" s="42" t="str">
        <f>IFERROR(__xludf.DUMMYFUNCTION("""COMPUTED_VALUE"""),"+6000")</f>
        <v>+6000</v>
      </c>
      <c r="K1396" s="42" t="str">
        <f>IFERROR(__xludf.DUMMYFUNCTION("""COMPUTED_VALUE"""),"-")</f>
        <v>-</v>
      </c>
      <c r="L1396" s="42" t="str">
        <f>IFERROR(__xludf.DUMMYFUNCTION("""COMPUTED_VALUE"""),"-")</f>
        <v>-</v>
      </c>
      <c r="M1396" s="42" t="str">
        <f>IFERROR(__xludf.DUMMYFUNCTION("""COMPUTED_VALUE"""),"[R]")</f>
        <v>[R]</v>
      </c>
      <c r="N1396" s="42" t="str">
        <f>IFERROR(__xludf.DUMMYFUNCTION("""COMPUTED_VALUE"""),"Brago's 5th spell. The tremendous amount of power contained within this black sphere is a sight to behold!")</f>
        <v>Brago's 5th spell. The tremendous amount of power contained within this black sphere is a sight to behold!</v>
      </c>
      <c r="O1396" s="42"/>
      <c r="P1396" s="42"/>
      <c r="Q1396" s="42"/>
      <c r="R1396" s="42"/>
      <c r="S1396" s="42"/>
      <c r="T1396" s="42"/>
      <c r="U1396" s="42"/>
      <c r="V1396" s="42"/>
      <c r="W1396" s="42"/>
      <c r="X1396" s="42"/>
      <c r="Y1396" s="42"/>
      <c r="Z1396" s="42"/>
    </row>
    <row r="1397">
      <c r="A1397" s="41" t="str">
        <f>IFERROR(__xludf.DUMMYFUNCTION("""COMPUTED_VALUE"""),"S-267")</f>
        <v>S-267</v>
      </c>
      <c r="B1397" s="42" t="str">
        <f>IFERROR(__xludf.DUMMYFUNCTION("""COMPUTED_VALUE"""),"Spell")</f>
        <v>Spell</v>
      </c>
      <c r="C1397" s="42" t="str">
        <f>IFERROR(__xludf.DUMMYFUNCTION("""COMPUTED_VALUE"""),"Zaker")</f>
        <v>Zaker</v>
      </c>
      <c r="D1397" s="42" t="str">
        <f>IFERROR(__xludf.DUMMYFUNCTION("""COMPUTED_VALUE"""),"Zeno")</f>
        <v>Zeno</v>
      </c>
      <c r="E1397" s="42">
        <f>IFERROR(__xludf.DUMMYFUNCTION("""COMPUTED_VALUE"""),3.0)</f>
        <v>3</v>
      </c>
      <c r="F1397" s="42" t="str">
        <f>IFERROR(__xludf.DUMMYFUNCTION("""COMPUTED_VALUE"""),"A")</f>
        <v>A</v>
      </c>
      <c r="G1397" s="42" t="str">
        <f>IFERROR(__xludf.DUMMYFUNCTION("""COMPUTED_VALUE"""),"Intermediate")</f>
        <v>Intermediate</v>
      </c>
      <c r="H1397" s="42" t="str">
        <f>IFERROR(__xludf.DUMMYFUNCTION("""COMPUTED_VALUE"""),"-")</f>
        <v>-</v>
      </c>
      <c r="I1397" s="43" t="str">
        <f>IFERROR(__xludf.DUMMYFUNCTION("""COMPUTED_VALUE"""),"Injure 1 of your opponent's MAMODO cards when you win the Battle as an Attacker. Flip a coin; if it's heads, your opponent cannot SACRIFICE against this SPELL's Injury.")</f>
        <v>Injure 1 of your opponent's MAMODO cards when you win the Battle as an Attacker. Flip a coin; if it's heads, your opponent cannot SACRIFICE against this SPELL's Injury.</v>
      </c>
      <c r="J1397" s="42" t="str">
        <f>IFERROR(__xludf.DUMMYFUNCTION("""COMPUTED_VALUE"""),"+3000")</f>
        <v>+3000</v>
      </c>
      <c r="K1397" s="42" t="str">
        <f>IFERROR(__xludf.DUMMYFUNCTION("""COMPUTED_VALUE"""),"-")</f>
        <v>-</v>
      </c>
      <c r="L1397" s="42" t="str">
        <f>IFERROR(__xludf.DUMMYFUNCTION("""COMPUTED_VALUE"""),"-")</f>
        <v>-</v>
      </c>
      <c r="M1397" s="42" t="str">
        <f>IFERROR(__xludf.DUMMYFUNCTION("""COMPUTED_VALUE"""),"[R]")</f>
        <v>[R]</v>
      </c>
      <c r="N1397" s="42" t="str">
        <f>IFERROR(__xludf.DUMMYFUNCTION("""COMPUTED_VALUE"""),"Zeno's 1st spell. It exceeds Zatch's Zaker in both power and speed.")</f>
        <v>Zeno's 1st spell. It exceeds Zatch's Zaker in both power and speed.</v>
      </c>
      <c r="O1397" s="42"/>
      <c r="P1397" s="42"/>
      <c r="Q1397" s="42"/>
      <c r="R1397" s="42"/>
      <c r="S1397" s="42"/>
      <c r="T1397" s="42"/>
      <c r="U1397" s="42"/>
      <c r="V1397" s="42"/>
      <c r="W1397" s="42"/>
      <c r="X1397" s="42"/>
      <c r="Y1397" s="42"/>
      <c r="Z1397" s="42"/>
    </row>
    <row r="1398">
      <c r="A1398" s="41" t="str">
        <f>IFERROR(__xludf.DUMMYFUNCTION("""COMPUTED_VALUE"""),"S-268")</f>
        <v>S-268</v>
      </c>
      <c r="B1398" s="42" t="str">
        <f>IFERROR(__xludf.DUMMYFUNCTION("""COMPUTED_VALUE"""),"Spell")</f>
        <v>Spell</v>
      </c>
      <c r="C1398" s="42" t="str">
        <f>IFERROR(__xludf.DUMMYFUNCTION("""COMPUTED_VALUE"""),"Gigano Zegar")</f>
        <v>Gigano Zegar</v>
      </c>
      <c r="D1398" s="42" t="str">
        <f>IFERROR(__xludf.DUMMYFUNCTION("""COMPUTED_VALUE"""),"Kido")</f>
        <v>Kido</v>
      </c>
      <c r="E1398" s="42">
        <f>IFERROR(__xludf.DUMMYFUNCTION("""COMPUTED_VALUE"""),8.0)</f>
        <v>8</v>
      </c>
      <c r="F1398" s="42" t="str">
        <f>IFERROR(__xludf.DUMMYFUNCTION("""COMPUTED_VALUE"""),"AD")</f>
        <v>AD</v>
      </c>
      <c r="G1398" s="42" t="str">
        <f>IFERROR(__xludf.DUMMYFUNCTION("""COMPUTED_VALUE"""),"Superior")</f>
        <v>Superior</v>
      </c>
      <c r="H1398" s="42" t="str">
        <f>IFERROR(__xludf.DUMMYFUNCTION("""COMPUTED_VALUE"""),"-")</f>
        <v>-</v>
      </c>
      <c r="I1398" s="43" t="str">
        <f>IFERROR(__xludf.DUMMYFUNCTION("""COMPUTED_VALUE"""),"Damage your opponent's Spell Book when you win the Battle as an Attacker. When you inflict Damage or Injury, send 1 of your opponent's in-play MAMODO cards to the Discard Pile.")</f>
        <v>Damage your opponent's Spell Book when you win the Battle as an Attacker. When you inflict Damage or Injury, send 1 of your opponent's in-play MAMODO cards to the Discard Pile.</v>
      </c>
      <c r="J1398" s="42" t="str">
        <f>IFERROR(__xludf.DUMMYFUNCTION("""COMPUTED_VALUE"""),"+6000")</f>
        <v>+6000</v>
      </c>
      <c r="K1398" s="42">
        <f>IFERROR(__xludf.DUMMYFUNCTION("""COMPUTED_VALUE"""),3.0)</f>
        <v>3</v>
      </c>
      <c r="L1398" s="42" t="str">
        <f>IFERROR(__xludf.DUMMYFUNCTION("""COMPUTED_VALUE"""),"-")</f>
        <v>-</v>
      </c>
      <c r="M1398" s="42" t="str">
        <f>IFERROR(__xludf.DUMMYFUNCTION("""COMPUTED_VALUE"""),"[R]")</f>
        <v>[R]</v>
      </c>
      <c r="N1398" s="42" t="str">
        <f>IFERROR(__xludf.DUMMYFUNCTION("""COMPUTED_VALUE"""),"Kido's 9th spell. His chest opens up to reveal a high-powered turret!")</f>
        <v>Kido's 9th spell. His chest opens up to reveal a high-powered turret!</v>
      </c>
      <c r="O1398" s="42"/>
      <c r="P1398" s="42"/>
      <c r="Q1398" s="42"/>
      <c r="R1398" s="42"/>
      <c r="S1398" s="42"/>
      <c r="T1398" s="42"/>
      <c r="U1398" s="42"/>
      <c r="V1398" s="42"/>
      <c r="W1398" s="42"/>
      <c r="X1398" s="42"/>
      <c r="Y1398" s="42"/>
      <c r="Z1398" s="42"/>
    </row>
    <row r="1399">
      <c r="A1399" s="41" t="str">
        <f>IFERROR(__xludf.DUMMYFUNCTION("""COMPUTED_VALUE"""),"S-269")</f>
        <v>S-269</v>
      </c>
      <c r="B1399" s="42" t="str">
        <f>IFERROR(__xludf.DUMMYFUNCTION("""COMPUTED_VALUE"""),"Spell")</f>
        <v>Spell</v>
      </c>
      <c r="C1399" s="42" t="str">
        <f>IFERROR(__xludf.DUMMYFUNCTION("""COMPUTED_VALUE"""),"So Giaku")</f>
        <v>So Giaku</v>
      </c>
      <c r="D1399" s="42" t="str">
        <f>IFERROR(__xludf.DUMMYFUNCTION("""COMPUTED_VALUE"""),"Penny")</f>
        <v>Penny</v>
      </c>
      <c r="E1399" s="42">
        <f>IFERROR(__xludf.DUMMYFUNCTION("""COMPUTED_VALUE"""),6.0)</f>
        <v>6</v>
      </c>
      <c r="F1399" s="42" t="str">
        <f>IFERROR(__xludf.DUMMYFUNCTION("""COMPUTED_VALUE"""),"AD")</f>
        <v>AD</v>
      </c>
      <c r="G1399" s="42" t="str">
        <f>IFERROR(__xludf.DUMMYFUNCTION("""COMPUTED_VALUE"""),"None")</f>
        <v>None</v>
      </c>
      <c r="H1399" s="42" t="str">
        <f>IFERROR(__xludf.DUMMYFUNCTION("""COMPUTED_VALUE"""),"Water")</f>
        <v>Water</v>
      </c>
      <c r="I1399" s="43" t="str">
        <f>IFERROR(__xludf.DUMMYFUNCTION("""COMPUTED_VALUE"""),"Damage your opponent's Spell Book when you win the Battle as an Attacker. If a Bao Zakeruga SPELL card was played during this turn, your opponent can neither SACRIFICE nor PROTECT their Spell Book from this SPELL card's Damage.")</f>
        <v>Damage your opponent's Spell Book when you win the Battle as an Attacker. If a Bao Zakeruga SPELL card was played during this turn, your opponent can neither SACRIFICE nor PROTECT their Spell Book from this SPELL card's Damage.</v>
      </c>
      <c r="J1399" s="42" t="str">
        <f>IFERROR(__xludf.DUMMYFUNCTION("""COMPUTED_VALUE"""),"+6000")</f>
        <v>+6000</v>
      </c>
      <c r="K1399" s="42">
        <f>IFERROR(__xludf.DUMMYFUNCTION("""COMPUTED_VALUE"""),3.0)</f>
        <v>3</v>
      </c>
      <c r="L1399" s="42" t="str">
        <f>IFERROR(__xludf.DUMMYFUNCTION("""COMPUTED_VALUE"""),"-")</f>
        <v>-</v>
      </c>
      <c r="M1399" s="42" t="str">
        <f>IFERROR(__xludf.DUMMYFUNCTION("""COMPUTED_VALUE"""),"[R]")</f>
        <v>[R]</v>
      </c>
      <c r="N1399" s="42" t="str">
        <f>IFERROR(__xludf.DUMMYFUNCTION("""COMPUTED_VALUE"""),"Penny's 7th spell. She calls forth an enormous blue water dragon.")</f>
        <v>Penny's 7th spell. She calls forth an enormous blue water dragon.</v>
      </c>
      <c r="O1399" s="42"/>
      <c r="P1399" s="42"/>
      <c r="Q1399" s="42"/>
      <c r="R1399" s="42"/>
      <c r="S1399" s="42"/>
      <c r="T1399" s="42"/>
      <c r="U1399" s="42"/>
      <c r="V1399" s="42"/>
      <c r="W1399" s="42"/>
      <c r="X1399" s="42"/>
      <c r="Y1399" s="42"/>
      <c r="Z1399" s="42"/>
    </row>
    <row r="1400">
      <c r="A1400" s="41" t="str">
        <f>IFERROR(__xludf.DUMMYFUNCTION("""COMPUTED_VALUE"""),"S-270")</f>
        <v>S-270</v>
      </c>
      <c r="B1400" s="42" t="str">
        <f>IFERROR(__xludf.DUMMYFUNCTION("""COMPUTED_VALUE"""),"Spell")</f>
        <v>Spell</v>
      </c>
      <c r="C1400" s="42" t="str">
        <f>IFERROR(__xludf.DUMMYFUNCTION("""COMPUTED_VALUE"""),"Zagurzem")</f>
        <v>Zagurzem</v>
      </c>
      <c r="D1400" s="42" t="str">
        <f>IFERROR(__xludf.DUMMYFUNCTION("""COMPUTED_VALUE"""),"Zatch Bell")</f>
        <v>Zatch Bell</v>
      </c>
      <c r="E1400" s="42">
        <f>IFERROR(__xludf.DUMMYFUNCTION("""COMPUTED_VALUE"""),1.0)</f>
        <v>1</v>
      </c>
      <c r="F1400" s="42" t="str">
        <f>IFERROR(__xludf.DUMMYFUNCTION("""COMPUTED_VALUE"""),"A")</f>
        <v>A</v>
      </c>
      <c r="G1400" s="42" t="str">
        <f>IFERROR(__xludf.DUMMYFUNCTION("""COMPUTED_VALUE"""),"None")</f>
        <v>None</v>
      </c>
      <c r="H1400" s="42" t="str">
        <f>IFERROR(__xludf.DUMMYFUNCTION("""COMPUTED_VALUE"""),"Thunder")</f>
        <v>Thunder</v>
      </c>
      <c r="I1400" s="43" t="str">
        <f>IFERROR(__xludf.DUMMYFUNCTION("""COMPUTED_VALUE"""),"[STANDBY] Select 1 of your opponent's in-play MAMODO cards when you win the Battle as an Attacker. When the selected MAMODO card receives Damage or Injury from a ""Thunder"" Attribute SPELL card, that MAMODO card is sent to the Discard Pile.")</f>
        <v>[STANDBY] Select 1 of your opponent's in-play MAMODO cards when you win the Battle as an Attacker. When the selected MAMODO card receives Damage or Injury from a "Thunder" Attribute SPELL card, that MAMODO card is sent to the Discard Pile.</v>
      </c>
      <c r="J1400" s="42" t="str">
        <f>IFERROR(__xludf.DUMMYFUNCTION("""COMPUTED_VALUE"""),"+3000")</f>
        <v>+3000</v>
      </c>
      <c r="K1400" s="42" t="str">
        <f>IFERROR(__xludf.DUMMYFUNCTION("""COMPUTED_VALUE"""),"-")</f>
        <v>-</v>
      </c>
      <c r="L1400" s="42" t="str">
        <f>IFERROR(__xludf.DUMMYFUNCTION("""COMPUTED_VALUE"""),"-")</f>
        <v>-</v>
      </c>
      <c r="M1400" s="42" t="str">
        <f>IFERROR(__xludf.DUMMYFUNCTION("""COMPUTED_VALUE"""),"[SR]")</f>
        <v>[SR]</v>
      </c>
      <c r="N1400" s="42" t="str">
        <f>IFERROR(__xludf.DUMMYFUNCTION("""COMPUTED_VALUE"""),"Zatch's 7th spell. ""A sphere of light! A different shape than Jikerdor!""")</f>
        <v>Zatch's 7th spell. "A sphere of light! A different shape than Jikerdor!"</v>
      </c>
      <c r="O1400" s="42"/>
      <c r="P1400" s="42"/>
      <c r="Q1400" s="42"/>
      <c r="R1400" s="42"/>
      <c r="S1400" s="42"/>
      <c r="T1400" s="42"/>
      <c r="U1400" s="42"/>
      <c r="V1400" s="42"/>
      <c r="W1400" s="42"/>
      <c r="X1400" s="42"/>
      <c r="Y1400" s="42"/>
      <c r="Z1400" s="42"/>
    </row>
    <row r="1401">
      <c r="A1401" s="41" t="str">
        <f>IFERROR(__xludf.DUMMYFUNCTION("""COMPUTED_VALUE"""),"S-271")</f>
        <v>S-271</v>
      </c>
      <c r="B1401" s="42" t="str">
        <f>IFERROR(__xludf.DUMMYFUNCTION("""COMPUTED_VALUE"""),"Spell")</f>
        <v>Spell</v>
      </c>
      <c r="C1401" s="42" t="str">
        <f>IFERROR(__xludf.DUMMYFUNCTION("""COMPUTED_VALUE"""),"Giganoreis")</f>
        <v>Giganoreis</v>
      </c>
      <c r="D1401" s="42" t="str">
        <f>IFERROR(__xludf.DUMMYFUNCTION("""COMPUTED_VALUE"""),"Brago")</f>
        <v>Brago</v>
      </c>
      <c r="E1401" s="42">
        <f>IFERROR(__xludf.DUMMYFUNCTION("""COMPUTED_VALUE"""),3.0)</f>
        <v>3</v>
      </c>
      <c r="F1401" s="42" t="str">
        <f>IFERROR(__xludf.DUMMYFUNCTION("""COMPUTED_VALUE"""),"A")</f>
        <v>A</v>
      </c>
      <c r="G1401" s="42" t="str">
        <f>IFERROR(__xludf.DUMMYFUNCTION("""COMPUTED_VALUE"""),"Intermediate")</f>
        <v>Intermediate</v>
      </c>
      <c r="H1401" s="42" t="str">
        <f>IFERROR(__xludf.DUMMYFUNCTION("""COMPUTED_VALUE"""),"Down Force")</f>
        <v>Down Force</v>
      </c>
      <c r="I1401" s="43" t="str">
        <f>IFERROR(__xludf.DUMMYFUNCTION("""COMPUTED_VALUE"""),"Send 1 of your opponent's Injured MAMODO cards with a Power of 3000 or less to the Discard Pile when you win the Battle as an Attacker.")</f>
        <v>Send 1 of your opponent's Injured MAMODO cards with a Power of 3000 or less to the Discard Pile when you win the Battle as an Attacker.</v>
      </c>
      <c r="J1401" s="42" t="str">
        <f>IFERROR(__xludf.DUMMYFUNCTION("""COMPUTED_VALUE"""),"+3000")</f>
        <v>+3000</v>
      </c>
      <c r="K1401" s="42" t="str">
        <f>IFERROR(__xludf.DUMMYFUNCTION("""COMPUTED_VALUE"""),"-")</f>
        <v>-</v>
      </c>
      <c r="L1401" s="42" t="str">
        <f>IFERROR(__xludf.DUMMYFUNCTION("""COMPUTED_VALUE"""),"-")</f>
        <v>-</v>
      </c>
      <c r="M1401" s="42" t="str">
        <f>IFERROR(__xludf.DUMMYFUNCTION("""COMPUTED_VALUE"""),"[C]")</f>
        <v>[C]</v>
      </c>
      <c r="N1401" s="42" t="str">
        <f>IFERROR(__xludf.DUMMYFUNCTION("""COMPUTED_VALUE"""),"Brago’s 3rd spell. He used Giganoreis to eliminate the mamodo from a thousand years ago, one by one.")</f>
        <v>Brago’s 3rd spell. He used Giganoreis to eliminate the mamodo from a thousand years ago, one by one.</v>
      </c>
      <c r="O1401" s="42"/>
      <c r="P1401" s="42"/>
      <c r="Q1401" s="42"/>
      <c r="R1401" s="42"/>
      <c r="S1401" s="42"/>
      <c r="T1401" s="42"/>
      <c r="U1401" s="42"/>
      <c r="V1401" s="42"/>
      <c r="W1401" s="42"/>
      <c r="X1401" s="42"/>
      <c r="Y1401" s="42"/>
      <c r="Z1401" s="42"/>
    </row>
    <row r="1402">
      <c r="A1402" s="41" t="str">
        <f>IFERROR(__xludf.DUMMYFUNCTION("""COMPUTED_VALUE"""),"S-272")</f>
        <v>S-272</v>
      </c>
      <c r="B1402" s="42" t="str">
        <f>IFERROR(__xludf.DUMMYFUNCTION("""COMPUTED_VALUE"""),"Spell")</f>
        <v>Spell</v>
      </c>
      <c r="C1402" s="42" t="str">
        <f>IFERROR(__xludf.DUMMYFUNCTION("""COMPUTED_VALUE"""),"Ion Gravirei")</f>
        <v>Ion Gravirei</v>
      </c>
      <c r="D1402" s="42" t="str">
        <f>IFERROR(__xludf.DUMMYFUNCTION("""COMPUTED_VALUE"""),"Brago")</f>
        <v>Brago</v>
      </c>
      <c r="E1402" s="42">
        <f>IFERROR(__xludf.DUMMYFUNCTION("""COMPUTED_VALUE"""),3.0)</f>
        <v>3</v>
      </c>
      <c r="F1402" s="42" t="str">
        <f>IFERROR(__xludf.DUMMYFUNCTION("""COMPUTED_VALUE"""),"A")</f>
        <v>A</v>
      </c>
      <c r="G1402" s="42" t="str">
        <f>IFERROR(__xludf.DUMMYFUNCTION("""COMPUTED_VALUE"""),"Intermediate")</f>
        <v>Intermediate</v>
      </c>
      <c r="H1402" s="42" t="str">
        <f>IFERROR(__xludf.DUMMYFUNCTION("""COMPUTED_VALUE"""),"Down Force")</f>
        <v>Down Force</v>
      </c>
      <c r="I1402" s="43" t="str">
        <f>IFERROR(__xludf.DUMMYFUNCTION("""COMPUTED_VALUE"""),"Damage your opponent’s Spell Book when you win the Battle as an Attacker. If your opponent SACRIFICED or PROTECTED their Spell Book from this card’s Damage, your opponent cannot apply the effects of their MAMODO card that SACRIFICED or PROTECTED against t"&amp;"he Damage during this game ([STAY]).")</f>
        <v>Damage your opponent’s Spell Book when you win the Battle as an Attacker. If your opponent SACRIFICED or PROTECTED their Spell Book from this card’s Damage, your opponent cannot apply the effects of their MAMODO card that SACRIFICED or PROTECTED against the Damage during this game ([STAY]).</v>
      </c>
      <c r="J1402" s="42" t="str">
        <f>IFERROR(__xludf.DUMMYFUNCTION("""COMPUTED_VALUE"""),"+4000")</f>
        <v>+4000</v>
      </c>
      <c r="K1402" s="42">
        <f>IFERROR(__xludf.DUMMYFUNCTION("""COMPUTED_VALUE"""),2.0)</f>
        <v>2</v>
      </c>
      <c r="L1402" s="42" t="str">
        <f>IFERROR(__xludf.DUMMYFUNCTION("""COMPUTED_VALUE"""),"-")</f>
        <v>-</v>
      </c>
      <c r="M1402" s="42" t="str">
        <f>IFERROR(__xludf.DUMMYFUNCTION("""COMPUTED_VALUE"""),"[U]")</f>
        <v>[U]</v>
      </c>
      <c r="N1402" s="42" t="str">
        <f>IFERROR(__xludf.DUMMYFUNCTION("""COMPUTED_VALUE"""),"Brago’s 4th spell. A powerful gravitational force crushes the enemy mamodo and renders them immobile.")</f>
        <v>Brago’s 4th spell. A powerful gravitational force crushes the enemy mamodo and renders them immobile.</v>
      </c>
      <c r="O1402" s="42"/>
      <c r="P1402" s="42"/>
      <c r="Q1402" s="42"/>
      <c r="R1402" s="42"/>
      <c r="S1402" s="42"/>
      <c r="T1402" s="42"/>
      <c r="U1402" s="42"/>
      <c r="V1402" s="42"/>
      <c r="W1402" s="42"/>
      <c r="X1402" s="42"/>
      <c r="Y1402" s="42"/>
      <c r="Z1402" s="42"/>
    </row>
    <row r="1403">
      <c r="A1403" s="41" t="str">
        <f>IFERROR(__xludf.DUMMYFUNCTION("""COMPUTED_VALUE"""),"S-273")</f>
        <v>S-273</v>
      </c>
      <c r="B1403" s="42" t="str">
        <f>IFERROR(__xludf.DUMMYFUNCTION("""COMPUTED_VALUE"""),"Spell")</f>
        <v>Spell</v>
      </c>
      <c r="C1403" s="42" t="str">
        <f>IFERROR(__xludf.DUMMYFUNCTION("""COMPUTED_VALUE"""),"Bidom Gravirei")</f>
        <v>Bidom Gravirei</v>
      </c>
      <c r="D1403" s="42" t="str">
        <f>IFERROR(__xludf.DUMMYFUNCTION("""COMPUTED_VALUE"""),"Brago")</f>
        <v>Brago</v>
      </c>
      <c r="E1403" s="42">
        <f>IFERROR(__xludf.DUMMYFUNCTION("""COMPUTED_VALUE"""),1.0)</f>
        <v>1</v>
      </c>
      <c r="F1403" s="42" t="str">
        <f>IFERROR(__xludf.DUMMYFUNCTION("""COMPUTED_VALUE"""),"A")</f>
        <v>A</v>
      </c>
      <c r="G1403" s="42" t="str">
        <f>IFERROR(__xludf.DUMMYFUNCTION("""COMPUTED_VALUE"""),"None")</f>
        <v>None</v>
      </c>
      <c r="H1403" s="42" t="str">
        <f>IFERROR(__xludf.DUMMYFUNCTION("""COMPUTED_VALUE"""),"Down Force")</f>
        <v>Down Force</v>
      </c>
      <c r="I1403" s="43" t="str">
        <f>IFERROR(__xludf.DUMMYFUNCTION("""COMPUTED_VALUE"""),"[STAY] Your opponent's MAMODO cards cannot be in Flight Status during this game.")</f>
        <v>[STAY] Your opponent's MAMODO cards cannot be in Flight Status during this game.</v>
      </c>
      <c r="J1403" s="42" t="str">
        <f>IFERROR(__xludf.DUMMYFUNCTION("""COMPUTED_VALUE"""),"Special")</f>
        <v>Special</v>
      </c>
      <c r="K1403" s="42" t="str">
        <f>IFERROR(__xludf.DUMMYFUNCTION("""COMPUTED_VALUE"""),"-")</f>
        <v>-</v>
      </c>
      <c r="L1403" s="42" t="str">
        <f>IFERROR(__xludf.DUMMYFUNCTION("""COMPUTED_VALUE"""),"-")</f>
        <v>-</v>
      </c>
      <c r="M1403" s="42" t="str">
        <f>IFERROR(__xludf.DUMMYFUNCTION("""COMPUTED_VALUE"""),"[R]")</f>
        <v>[R]</v>
      </c>
      <c r="N1403" s="42" t="str">
        <f>IFERROR(__xludf.DUMMYFUNCTION("""COMPUTED_VALUE"""),"Brago's 6th spell. ""They're in the way... Let's get them down from there.""")</f>
        <v>Brago's 6th spell. "They're in the way... Let's get them down from there."</v>
      </c>
      <c r="O1403" s="42"/>
      <c r="P1403" s="42"/>
      <c r="Q1403" s="42"/>
      <c r="R1403" s="42"/>
      <c r="S1403" s="42"/>
      <c r="T1403" s="42"/>
      <c r="U1403" s="42"/>
      <c r="V1403" s="42"/>
      <c r="W1403" s="42"/>
      <c r="X1403" s="42"/>
      <c r="Y1403" s="42"/>
      <c r="Z1403" s="42"/>
    </row>
    <row r="1404">
      <c r="A1404" s="41" t="str">
        <f>IFERROR(__xludf.DUMMYFUNCTION("""COMPUTED_VALUE"""),"S-274")</f>
        <v>S-274</v>
      </c>
      <c r="B1404" s="42" t="str">
        <f>IFERROR(__xludf.DUMMYFUNCTION("""COMPUTED_VALUE"""),"Spell")</f>
        <v>Spell</v>
      </c>
      <c r="C1404" s="42" t="str">
        <f>IFERROR(__xludf.DUMMYFUNCTION("""COMPUTED_VALUE"""),"Rior Reis")</f>
        <v>Rior Reis</v>
      </c>
      <c r="D1404" s="42" t="str">
        <f>IFERROR(__xludf.DUMMYFUNCTION("""COMPUTED_VALUE"""),"Brago")</f>
        <v>Brago</v>
      </c>
      <c r="E1404" s="42">
        <f>IFERROR(__xludf.DUMMYFUNCTION("""COMPUTED_VALUE"""),2.0)</f>
        <v>2</v>
      </c>
      <c r="F1404" s="42" t="str">
        <f>IFERROR(__xludf.DUMMYFUNCTION("""COMPUTED_VALUE"""),"AD")</f>
        <v>AD</v>
      </c>
      <c r="G1404" s="42" t="str">
        <f>IFERROR(__xludf.DUMMYFUNCTION("""COMPUTED_VALUE"""),"None")</f>
        <v>None</v>
      </c>
      <c r="H1404" s="42" t="str">
        <f>IFERROR(__xludf.DUMMYFUNCTION("""COMPUTED_VALUE"""),"Down Force")</f>
        <v>Down Force</v>
      </c>
      <c r="I1404" s="43" t="str">
        <f>IFERROR(__xludf.DUMMYFUNCTION("""COMPUTED_VALUE"""),"This SPELL card can be played up to twice per turn (per player). When played a second time, the MP cost is considered to be 0. Damage your opponent's Spell Book when you win the Battle as an Attacker.")</f>
        <v>This SPELL card can be played up to twice per turn (per player). When played a second time, the MP cost is considered to be 0. Damage your opponent's Spell Book when you win the Battle as an Attacker.</v>
      </c>
      <c r="J1404" s="42" t="str">
        <f>IFERROR(__xludf.DUMMYFUNCTION("""COMPUTED_VALUE"""),"+2000")</f>
        <v>+2000</v>
      </c>
      <c r="K1404" s="42">
        <f>IFERROR(__xludf.DUMMYFUNCTION("""COMPUTED_VALUE"""),1.0)</f>
        <v>1</v>
      </c>
      <c r="L1404" s="42" t="str">
        <f>IFERROR(__xludf.DUMMYFUNCTION("""COMPUTED_VALUE"""),"-")</f>
        <v>-</v>
      </c>
      <c r="M1404" s="42" t="str">
        <f>IFERROR(__xludf.DUMMYFUNCTION("""COMPUTED_VALUE"""),"[R]")</f>
        <v>[R]</v>
      </c>
      <c r="N1404" s="42" t="str">
        <f>IFERROR(__xludf.DUMMYFUNCTION("""COMPUTED_VALUE"""),"Brago's 7th spell. An enhanced version of Reis that fires from both of his hands.")</f>
        <v>Brago's 7th spell. An enhanced version of Reis that fires from both of his hands.</v>
      </c>
      <c r="O1404" s="42"/>
      <c r="P1404" s="42"/>
      <c r="Q1404" s="42"/>
      <c r="R1404" s="42"/>
      <c r="S1404" s="42"/>
      <c r="T1404" s="42"/>
      <c r="U1404" s="42"/>
      <c r="V1404" s="42"/>
      <c r="W1404" s="42"/>
      <c r="X1404" s="42"/>
      <c r="Y1404" s="42"/>
      <c r="Z1404" s="42"/>
    </row>
    <row r="1405">
      <c r="A1405" s="41" t="str">
        <f>IFERROR(__xludf.DUMMYFUNCTION("""COMPUTED_VALUE"""),"S-275")</f>
        <v>S-275</v>
      </c>
      <c r="B1405" s="42" t="str">
        <f>IFERROR(__xludf.DUMMYFUNCTION("""COMPUTED_VALUE"""),"Spell")</f>
        <v>Spell</v>
      </c>
      <c r="C1405" s="42" t="str">
        <f>IFERROR(__xludf.DUMMYFUNCTION("""COMPUTED_VALUE"""),"Oruga Reis")</f>
        <v>Oruga Reis</v>
      </c>
      <c r="D1405" s="42" t="str">
        <f>IFERROR(__xludf.DUMMYFUNCTION("""COMPUTED_VALUE"""),"Brago")</f>
        <v>Brago</v>
      </c>
      <c r="E1405" s="42">
        <f>IFERROR(__xludf.DUMMYFUNCTION("""COMPUTED_VALUE"""),3.0)</f>
        <v>3</v>
      </c>
      <c r="F1405" s="42" t="str">
        <f>IFERROR(__xludf.DUMMYFUNCTION("""COMPUTED_VALUE"""),"AD")</f>
        <v>AD</v>
      </c>
      <c r="G1405" s="42" t="str">
        <f>IFERROR(__xludf.DUMMYFUNCTION("""COMPUTED_VALUE"""),"Intermediate")</f>
        <v>Intermediate</v>
      </c>
      <c r="H1405" s="42" t="str">
        <f>IFERROR(__xludf.DUMMYFUNCTION("""COMPUTED_VALUE"""),"Down Force")</f>
        <v>Down Force</v>
      </c>
      <c r="I1405" s="43" t="str">
        <f>IFERROR(__xludf.DUMMYFUNCTION("""COMPUTED_VALUE"""),"Damage your opponent's Spell Book when you win the Battle as an Attacker. If your opponent SACRIFICED or PROTECTED their Spell Book from this SPELL card's Damage, turn 1 page of your opponent's Spell Book.")</f>
        <v>Damage your opponent's Spell Book when you win the Battle as an Attacker. If your opponent SACRIFICED or PROTECTED their Spell Book from this SPELL card's Damage, turn 1 page of your opponent's Spell Book.</v>
      </c>
      <c r="J1405" s="42" t="str">
        <f>IFERROR(__xludf.DUMMYFUNCTION("""COMPUTED_VALUE"""),"+3000")</f>
        <v>+3000</v>
      </c>
      <c r="K1405" s="42">
        <f>IFERROR(__xludf.DUMMYFUNCTION("""COMPUTED_VALUE"""),2.0)</f>
        <v>2</v>
      </c>
      <c r="L1405" s="42" t="str">
        <f>IFERROR(__xludf.DUMMYFUNCTION("""COMPUTED_VALUE"""),"-")</f>
        <v>-</v>
      </c>
      <c r="M1405" s="42" t="str">
        <f>IFERROR(__xludf.DUMMYFUNCTION("""COMPUTED_VALUE"""),"[R]")</f>
        <v>[R]</v>
      </c>
      <c r="N1405" s="42" t="str">
        <f>IFERROR(__xludf.DUMMYFUNCTION("""COMPUTED_VALUE"""),"Brago's 9th spell. It blasts the opponent with a barrage of spiraling gravity waves.")</f>
        <v>Brago's 9th spell. It blasts the opponent with a barrage of spiraling gravity waves.</v>
      </c>
      <c r="O1405" s="42"/>
      <c r="P1405" s="42"/>
      <c r="Q1405" s="42"/>
      <c r="R1405" s="42"/>
      <c r="S1405" s="42"/>
      <c r="T1405" s="42"/>
      <c r="U1405" s="42"/>
      <c r="V1405" s="42"/>
      <c r="W1405" s="42"/>
      <c r="X1405" s="42"/>
      <c r="Y1405" s="42"/>
      <c r="Z1405" s="42"/>
    </row>
    <row r="1406">
      <c r="A1406" s="41" t="str">
        <f>IFERROR(__xludf.DUMMYFUNCTION("""COMPUTED_VALUE"""),"S-276")</f>
        <v>S-276</v>
      </c>
      <c r="B1406" s="42" t="str">
        <f>IFERROR(__xludf.DUMMYFUNCTION("""COMPUTED_VALUE"""),"Spell")</f>
        <v>Spell</v>
      </c>
      <c r="C1406" s="42" t="str">
        <f>IFERROR(__xludf.DUMMYFUNCTION("""COMPUTED_VALUE"""),"So Giaku")</f>
        <v>So Giaku</v>
      </c>
      <c r="D1406" s="42" t="str">
        <f>IFERROR(__xludf.DUMMYFUNCTION("""COMPUTED_VALUE"""),"Penny")</f>
        <v>Penny</v>
      </c>
      <c r="E1406" s="42">
        <f>IFERROR(__xludf.DUMMYFUNCTION("""COMPUTED_VALUE"""),5.0)</f>
        <v>5</v>
      </c>
      <c r="F1406" s="42" t="str">
        <f>IFERROR(__xludf.DUMMYFUNCTION("""COMPUTED_VALUE"""),"AD")</f>
        <v>AD</v>
      </c>
      <c r="G1406" s="42" t="str">
        <f>IFERROR(__xludf.DUMMYFUNCTION("""COMPUTED_VALUE"""),"Superior")</f>
        <v>Superior</v>
      </c>
      <c r="H1406" s="42" t="str">
        <f>IFERROR(__xludf.DUMMYFUNCTION("""COMPUTED_VALUE"""),"Water")</f>
        <v>Water</v>
      </c>
      <c r="I1406" s="43" t="str">
        <f>IFERROR(__xludf.DUMMYFUNCTION("""COMPUTED_VALUE"""),"Damage your opponent's Spell Book when you win the Battle as an Attacker. When you inflict Damage or Injury, your opponent cannot get MP with their card effects during this game ([STAY]).")</f>
        <v>Damage your opponent's Spell Book when you win the Battle as an Attacker. When you inflict Damage or Injury, your opponent cannot get MP with their card effects during this game ([STAY]).</v>
      </c>
      <c r="J1406" s="42" t="str">
        <f>IFERROR(__xludf.DUMMYFUNCTION("""COMPUTED_VALUE"""),"+5000")</f>
        <v>+5000</v>
      </c>
      <c r="K1406" s="42">
        <f>IFERROR(__xludf.DUMMYFUNCTION("""COMPUTED_VALUE"""),3.0)</f>
        <v>3</v>
      </c>
      <c r="L1406" s="42" t="str">
        <f>IFERROR(__xludf.DUMMYFUNCTION("""COMPUTED_VALUE"""),"-")</f>
        <v>-</v>
      </c>
      <c r="M1406" s="42" t="str">
        <f>IFERROR(__xludf.DUMMYFUNCTION("""COMPUTED_VALUE"""),"[R]")</f>
        <v>[R]</v>
      </c>
      <c r="N1406" s="42" t="str">
        <f>IFERROR(__xludf.DUMMYFUNCTION("""COMPUTED_VALUE"""),"Penny's 7th spell. ""Come on, Uri, shoot! Hurry!!""")</f>
        <v>Penny's 7th spell. "Come on, Uri, shoot! Hurry!!"</v>
      </c>
      <c r="O1406" s="42"/>
      <c r="P1406" s="42"/>
      <c r="Q1406" s="42"/>
      <c r="R1406" s="42"/>
      <c r="S1406" s="42"/>
      <c r="T1406" s="42"/>
      <c r="U1406" s="42"/>
      <c r="V1406" s="42"/>
      <c r="W1406" s="42"/>
      <c r="X1406" s="42"/>
      <c r="Y1406" s="42"/>
      <c r="Z1406" s="42"/>
    </row>
    <row r="1407">
      <c r="A1407" s="41" t="str">
        <f>IFERROR(__xludf.DUMMYFUNCTION("""COMPUTED_VALUE"""),"S-277")</f>
        <v>S-277</v>
      </c>
      <c r="B1407" s="42" t="str">
        <f>IFERROR(__xludf.DUMMYFUNCTION("""COMPUTED_VALUE"""),"Spell")</f>
        <v>Spell</v>
      </c>
      <c r="C1407" s="42" t="str">
        <f>IFERROR(__xludf.DUMMYFUNCTION("""COMPUTED_VALUE"""),"Ganzu Akur")</f>
        <v>Ganzu Akur</v>
      </c>
      <c r="D1407" s="42" t="str">
        <f>IFERROR(__xludf.DUMMYFUNCTION("""COMPUTED_VALUE"""),"Penny")</f>
        <v>Penny</v>
      </c>
      <c r="E1407" s="42">
        <f>IFERROR(__xludf.DUMMYFUNCTION("""COMPUTED_VALUE"""),3.0)</f>
        <v>3</v>
      </c>
      <c r="F1407" s="42" t="str">
        <f>IFERROR(__xludf.DUMMYFUNCTION("""COMPUTED_VALUE"""),"A")</f>
        <v>A</v>
      </c>
      <c r="G1407" s="42" t="str">
        <f>IFERROR(__xludf.DUMMYFUNCTION("""COMPUTED_VALUE"""),"Intermediate")</f>
        <v>Intermediate</v>
      </c>
      <c r="H1407" s="42" t="str">
        <f>IFERROR(__xludf.DUMMYFUNCTION("""COMPUTED_VALUE"""),"Water")</f>
        <v>Water</v>
      </c>
      <c r="I1407" s="43" t="str">
        <f>IFERROR(__xludf.DUMMYFUNCTION("""COMPUTED_VALUE"""),"Flip a coin 3 times when you win the Battle as an Attacker; select as many of your opponent’s in-play cards as you desire (except MAMODO cards) up to the number of heads you get and send them to the Discard Pile.")</f>
        <v>Flip a coin 3 times when you win the Battle as an Attacker; select as many of your opponent’s in-play cards as you desire (except MAMODO cards) up to the number of heads you get and send them to the Discard Pile.</v>
      </c>
      <c r="J1407" s="42" t="str">
        <f>IFERROR(__xludf.DUMMYFUNCTION("""COMPUTED_VALUE"""),"+4000")</f>
        <v>+4000</v>
      </c>
      <c r="K1407" s="42" t="str">
        <f>IFERROR(__xludf.DUMMYFUNCTION("""COMPUTED_VALUE"""),"-")</f>
        <v>-</v>
      </c>
      <c r="L1407" s="42" t="str">
        <f>IFERROR(__xludf.DUMMYFUNCTION("""COMPUTED_VALUE"""),"-")</f>
        <v>-</v>
      </c>
      <c r="M1407" s="42" t="str">
        <f>IFERROR(__xludf.DUMMYFUNCTION("""COMPUTED_VALUE"""),"[C]")</f>
        <v>[C]</v>
      </c>
      <c r="N1407" s="42" t="str">
        <f>IFERROR(__xludf.DUMMYFUNCTION("""COMPUTED_VALUE"""),"Penny's 8th spell. Enables her to shoot countless water bullets every which way.")</f>
        <v>Penny's 8th spell. Enables her to shoot countless water bullets every which way.</v>
      </c>
      <c r="O1407" s="42"/>
      <c r="P1407" s="42"/>
      <c r="Q1407" s="42"/>
      <c r="R1407" s="42"/>
      <c r="S1407" s="42"/>
      <c r="T1407" s="42"/>
      <c r="U1407" s="42"/>
      <c r="V1407" s="42"/>
      <c r="W1407" s="42"/>
      <c r="X1407" s="42"/>
      <c r="Y1407" s="42"/>
      <c r="Z1407" s="42"/>
    </row>
    <row r="1408">
      <c r="A1408" s="41" t="str">
        <f>IFERROR(__xludf.DUMMYFUNCTION("""COMPUTED_VALUE"""),"S-278")</f>
        <v>S-278</v>
      </c>
      <c r="B1408" s="42" t="str">
        <f>IFERROR(__xludf.DUMMYFUNCTION("""COMPUTED_VALUE"""),"Spell")</f>
        <v>Spell</v>
      </c>
      <c r="C1408" s="42" t="str">
        <f>IFERROR(__xludf.DUMMYFUNCTION("""COMPUTED_VALUE"""),"Akuruga")</f>
        <v>Akuruga</v>
      </c>
      <c r="D1408" s="42" t="str">
        <f>IFERROR(__xludf.DUMMYFUNCTION("""COMPUTED_VALUE"""),"Penny")</f>
        <v>Penny</v>
      </c>
      <c r="E1408" s="42">
        <f>IFERROR(__xludf.DUMMYFUNCTION("""COMPUTED_VALUE"""),3.0)</f>
        <v>3</v>
      </c>
      <c r="F1408" s="42" t="str">
        <f>IFERROR(__xludf.DUMMYFUNCTION("""COMPUTED_VALUE"""),"AD")</f>
        <v>AD</v>
      </c>
      <c r="G1408" s="42" t="str">
        <f>IFERROR(__xludf.DUMMYFUNCTION("""COMPUTED_VALUE"""),"Intermediate")</f>
        <v>Intermediate</v>
      </c>
      <c r="H1408" s="42" t="str">
        <f>IFERROR(__xludf.DUMMYFUNCTION("""COMPUTED_VALUE"""),"Water")</f>
        <v>Water</v>
      </c>
      <c r="I1408" s="43" t="str">
        <f>IFERROR(__xludf.DUMMYFUNCTION("""COMPUTED_VALUE"""),"Damage your opponent's Spell Book when you win the Battle as an Attacker. If your opponent SACRIFICED or PROTECTED their Spell Book from this SPELL card's Damage, turn 1 page of your opponent's Spell Book.")</f>
        <v>Damage your opponent's Spell Book when you win the Battle as an Attacker. If your opponent SACRIFICED or PROTECTED their Spell Book from this SPELL card's Damage, turn 1 page of your opponent's Spell Book.</v>
      </c>
      <c r="J1408" s="42" t="str">
        <f>IFERROR(__xludf.DUMMYFUNCTION("""COMPUTED_VALUE"""),"+3000")</f>
        <v>+3000</v>
      </c>
      <c r="K1408" s="42">
        <f>IFERROR(__xludf.DUMMYFUNCTION("""COMPUTED_VALUE"""),2.0)</f>
        <v>2</v>
      </c>
      <c r="L1408" s="42" t="str">
        <f>IFERROR(__xludf.DUMMYFUNCTION("""COMPUTED_VALUE"""),"-")</f>
        <v>-</v>
      </c>
      <c r="M1408" s="42" t="str">
        <f>IFERROR(__xludf.DUMMYFUNCTION("""COMPUTED_VALUE"""),"[C]")</f>
        <v>[C]</v>
      </c>
      <c r="N1408" s="42" t="str">
        <f>IFERROR(__xludf.DUMMYFUNCTION("""COMPUTED_VALUE"""),"Penny's 9th spell. A concentrated stream of water discharges from the palms of her hands.")</f>
        <v>Penny's 9th spell. A concentrated stream of water discharges from the palms of her hands.</v>
      </c>
      <c r="O1408" s="42"/>
      <c r="P1408" s="42"/>
      <c r="Q1408" s="42"/>
      <c r="R1408" s="42"/>
      <c r="S1408" s="42"/>
      <c r="T1408" s="42"/>
      <c r="U1408" s="42"/>
      <c r="V1408" s="42"/>
      <c r="W1408" s="42"/>
      <c r="X1408" s="42"/>
      <c r="Y1408" s="42"/>
      <c r="Z1408" s="42"/>
    </row>
    <row r="1409">
      <c r="A1409" s="41" t="str">
        <f>IFERROR(__xludf.DUMMYFUNCTION("""COMPUTED_VALUE"""),"S-279")</f>
        <v>S-279</v>
      </c>
      <c r="B1409" s="42" t="str">
        <f>IFERROR(__xludf.DUMMYFUNCTION("""COMPUTED_VALUE"""),"Spell")</f>
        <v>Spell</v>
      </c>
      <c r="C1409" s="42" t="str">
        <f>IFERROR(__xludf.DUMMYFUNCTION("""COMPUTED_VALUE"""),"Gigalolo Nyululuk")</f>
        <v>Gigalolo Nyululuk</v>
      </c>
      <c r="D1409" s="42" t="str">
        <f>IFERROR(__xludf.DUMMYFUNCTION("""COMPUTED_VALUE"""),"Byonko")</f>
        <v>Byonko</v>
      </c>
      <c r="E1409" s="42">
        <f>IFERROR(__xludf.DUMMYFUNCTION("""COMPUTED_VALUE"""),2.0)</f>
        <v>2</v>
      </c>
      <c r="F1409" s="42" t="str">
        <f>IFERROR(__xludf.DUMMYFUNCTION("""COMPUTED_VALUE"""),"AD")</f>
        <v>AD</v>
      </c>
      <c r="G1409" s="42" t="str">
        <f>IFERROR(__xludf.DUMMYFUNCTION("""COMPUTED_VALUE"""),"None")</f>
        <v>None</v>
      </c>
      <c r="H1409" s="42" t="str">
        <f>IFERROR(__xludf.DUMMYFUNCTION("""COMPUTED_VALUE"""),"-")</f>
        <v>-</v>
      </c>
      <c r="I1409" s="43" t="str">
        <f>IFERROR(__xludf.DUMMYFUNCTION("""COMPUTED_VALUE"""),"Damage your opponent's Spell Book when you win the Battle as an Attacker. [COUNTER] Inflict 1 Damage on your opponent when you win the Battle as a Defender.")</f>
        <v>Damage your opponent's Spell Book when you win the Battle as an Attacker. [COUNTER] Inflict 1 Damage on your opponent when you win the Battle as a Defender.</v>
      </c>
      <c r="J1409" s="42" t="str">
        <f>IFERROR(__xludf.DUMMYFUNCTION("""COMPUTED_VALUE"""),"+3000")</f>
        <v>+3000</v>
      </c>
      <c r="K1409" s="42">
        <f>IFERROR(__xludf.DUMMYFUNCTION("""COMPUTED_VALUE"""),2.0)</f>
        <v>2</v>
      </c>
      <c r="L1409" s="42" t="str">
        <f>IFERROR(__xludf.DUMMYFUNCTION("""COMPUTED_VALUE"""),"-")</f>
        <v>-</v>
      </c>
      <c r="M1409" s="42" t="str">
        <f>IFERROR(__xludf.DUMMYFUNCTION("""COMPUTED_VALUE"""),"[C]")</f>
        <v>[C]</v>
      </c>
      <c r="N1409" s="42" t="str">
        <f>IFERROR(__xludf.DUMMYFUNCTION("""COMPUTED_VALUE"""),"Byonko's 1st spell. His arms and legs expand, slamming the opponent.")</f>
        <v>Byonko's 1st spell. His arms and legs expand, slamming the opponent.</v>
      </c>
      <c r="O1409" s="42"/>
      <c r="P1409" s="42"/>
      <c r="Q1409" s="42"/>
      <c r="R1409" s="42"/>
      <c r="S1409" s="42"/>
      <c r="T1409" s="42"/>
      <c r="U1409" s="42"/>
      <c r="V1409" s="42"/>
      <c r="W1409" s="42"/>
      <c r="X1409" s="42"/>
      <c r="Y1409" s="42"/>
      <c r="Z1409" s="42"/>
    </row>
    <row r="1410">
      <c r="A1410" s="41" t="str">
        <f>IFERROR(__xludf.DUMMYFUNCTION("""COMPUTED_VALUE"""),"S-280")</f>
        <v>S-280</v>
      </c>
      <c r="B1410" s="42" t="str">
        <f>IFERROR(__xludf.DUMMYFUNCTION("""COMPUTED_VALUE"""),"Spell")</f>
        <v>Spell</v>
      </c>
      <c r="C1410" s="42" t="str">
        <f>IFERROR(__xludf.DUMMYFUNCTION("""COMPUTED_VALUE"""),"Raja Nyulusen")</f>
        <v>Raja Nyulusen</v>
      </c>
      <c r="D1410" s="42" t="str">
        <f>IFERROR(__xludf.DUMMYFUNCTION("""COMPUTED_VALUE"""),"Byonko")</f>
        <v>Byonko</v>
      </c>
      <c r="E1410" s="42">
        <f>IFERROR(__xludf.DUMMYFUNCTION("""COMPUTED_VALUE"""),4.0)</f>
        <v>4</v>
      </c>
      <c r="F1410" s="42" t="str">
        <f>IFERROR(__xludf.DUMMYFUNCTION("""COMPUTED_VALUE"""),"AD")</f>
        <v>AD</v>
      </c>
      <c r="G1410" s="42" t="str">
        <f>IFERROR(__xludf.DUMMYFUNCTION("""COMPUTED_VALUE"""),"Intermediate")</f>
        <v>Intermediate</v>
      </c>
      <c r="H1410" s="42" t="str">
        <f>IFERROR(__xludf.DUMMYFUNCTION("""COMPUTED_VALUE"""),"-")</f>
        <v>-</v>
      </c>
      <c r="I1410" s="43" t="str">
        <f>IFERROR(__xludf.DUMMYFUNCTION("""COMPUTED_VALUE"""),"Damage your opponent's Spell Book when you win the Battle as an Attacker. When you inflict Damage or Injury, your opponent cannot apply the effects of their MAMODO cards until the END PHASE of the next turn ([STAY]).")</f>
        <v>Damage your opponent's Spell Book when you win the Battle as an Attacker. When you inflict Damage or Injury, your opponent cannot apply the effects of their MAMODO cards until the END PHASE of the next turn ([STAY]).</v>
      </c>
      <c r="J1410" s="42" t="str">
        <f>IFERROR(__xludf.DUMMYFUNCTION("""COMPUTED_VALUE"""),"+5000")</f>
        <v>+5000</v>
      </c>
      <c r="K1410" s="42">
        <f>IFERROR(__xludf.DUMMYFUNCTION("""COMPUTED_VALUE"""),3.0)</f>
        <v>3</v>
      </c>
      <c r="L1410" s="42" t="str">
        <f>IFERROR(__xludf.DUMMYFUNCTION("""COMPUTED_VALUE"""),"-")</f>
        <v>-</v>
      </c>
      <c r="M1410" s="42" t="str">
        <f>IFERROR(__xludf.DUMMYFUNCTION("""COMPUTED_VALUE"""),"[C]")</f>
        <v>[C]</v>
      </c>
      <c r="N1410" s="42" t="str">
        <f>IFERROR(__xludf.DUMMYFUNCTION("""COMPUTED_VALUE"""),"Byonko's 2nd spell. It attacks with a slimy foam!""")</f>
        <v>Byonko's 2nd spell. It attacks with a slimy foam!"</v>
      </c>
      <c r="O1410" s="42"/>
      <c r="P1410" s="42"/>
      <c r="Q1410" s="42"/>
      <c r="R1410" s="42"/>
      <c r="S1410" s="42"/>
      <c r="T1410" s="42"/>
      <c r="U1410" s="42"/>
      <c r="V1410" s="42"/>
      <c r="W1410" s="42"/>
      <c r="X1410" s="42"/>
      <c r="Y1410" s="42"/>
      <c r="Z1410" s="42"/>
    </row>
    <row r="1411">
      <c r="A1411" s="41" t="str">
        <f>IFERROR(__xludf.DUMMYFUNCTION("""COMPUTED_VALUE"""),"S-281")</f>
        <v>S-281</v>
      </c>
      <c r="B1411" s="42" t="str">
        <f>IFERROR(__xludf.DUMMYFUNCTION("""COMPUTED_VALUE"""),"Spell")</f>
        <v>Spell</v>
      </c>
      <c r="C1411" s="42" t="str">
        <f>IFERROR(__xludf.DUMMYFUNCTION("""COMPUTED_VALUE"""),"Gigano Nyushield")</f>
        <v>Gigano Nyushield</v>
      </c>
      <c r="D1411" s="42" t="str">
        <f>IFERROR(__xludf.DUMMYFUNCTION("""COMPUTED_VALUE"""),"Byonko")</f>
        <v>Byonko</v>
      </c>
      <c r="E1411" s="42">
        <f>IFERROR(__xludf.DUMMYFUNCTION("""COMPUTED_VALUE"""),2.0)</f>
        <v>2</v>
      </c>
      <c r="F1411" s="42" t="str">
        <f>IFERROR(__xludf.DUMMYFUNCTION("""COMPUTED_VALUE"""),"D")</f>
        <v>D</v>
      </c>
      <c r="G1411" s="42" t="str">
        <f>IFERROR(__xludf.DUMMYFUNCTION("""COMPUTED_VALUE"""),"Intermediate")</f>
        <v>Intermediate</v>
      </c>
      <c r="H1411" s="42" t="str">
        <f>IFERROR(__xludf.DUMMYFUNCTION("""COMPUTED_VALUE"""),"-")</f>
        <v>-</v>
      </c>
      <c r="I1411" s="43" t="str">
        <f>IFERROR(__xludf.DUMMYFUNCTION("""COMPUTED_VALUE"""),"Negate your opponent's Attack when you win the Battle as a Defender. Regardless of their Power, you can SACRIFICE or PROTECT your Spell Book from the Damage of your opponent's Attack even when you are prohibited to do so.")</f>
        <v>Negate your opponent's Attack when you win the Battle as a Defender. Regardless of their Power, you can SACRIFICE or PROTECT your Spell Book from the Damage of your opponent's Attack even when you are prohibited to do so.</v>
      </c>
      <c r="J1411" s="42" t="str">
        <f>IFERROR(__xludf.DUMMYFUNCTION("""COMPUTED_VALUE"""),"+5000")</f>
        <v>+5000</v>
      </c>
      <c r="K1411" s="42" t="str">
        <f>IFERROR(__xludf.DUMMYFUNCTION("""COMPUTED_VALUE"""),"-")</f>
        <v>-</v>
      </c>
      <c r="L1411" s="42" t="str">
        <f>IFERROR(__xludf.DUMMYFUNCTION("""COMPUTED_VALUE"""),"-")</f>
        <v>-</v>
      </c>
      <c r="M1411" s="42" t="str">
        <f>IFERROR(__xludf.DUMMYFUNCTION("""COMPUTED_VALUE"""),"[U]")</f>
        <v>[U]</v>
      </c>
      <c r="N1411" s="42" t="str">
        <f>IFERROR(__xludf.DUMMYFUNCTION("""COMPUTED_VALUE"""),"Byonko's 3rd spell. This slimy shield is capable of nullifying even the most powerful attacks.")</f>
        <v>Byonko's 3rd spell. This slimy shield is capable of nullifying even the most powerful attacks.</v>
      </c>
      <c r="O1411" s="42"/>
      <c r="P1411" s="42"/>
      <c r="Q1411" s="42"/>
      <c r="R1411" s="42"/>
      <c r="S1411" s="42"/>
      <c r="T1411" s="42"/>
      <c r="U1411" s="42"/>
      <c r="V1411" s="42"/>
      <c r="W1411" s="42"/>
      <c r="X1411" s="42"/>
      <c r="Y1411" s="42"/>
      <c r="Z1411" s="42"/>
    </row>
    <row r="1412">
      <c r="A1412" s="41" t="str">
        <f>IFERROR(__xludf.DUMMYFUNCTION("""COMPUTED_VALUE"""),"S-282")</f>
        <v>S-282</v>
      </c>
      <c r="B1412" s="42" t="str">
        <f>IFERROR(__xludf.DUMMYFUNCTION("""COMPUTED_VALUE"""),"Spell")</f>
        <v>Spell</v>
      </c>
      <c r="C1412" s="42" t="str">
        <f>IFERROR(__xludf.DUMMYFUNCTION("""COMPUTED_VALUE"""),"Gigano Ribbisto")</f>
        <v>Gigano Ribbisto</v>
      </c>
      <c r="D1412" s="42" t="str">
        <f>IFERROR(__xludf.DUMMYFUNCTION("""COMPUTED_VALUE"""),"Command: Byonko")</f>
        <v>Command: Byonko</v>
      </c>
      <c r="E1412" s="42">
        <f>IFERROR(__xludf.DUMMYFUNCTION("""COMPUTED_VALUE"""),0.0)</f>
        <v>0</v>
      </c>
      <c r="F1412" s="42" t="str">
        <f>IFERROR(__xludf.DUMMYFUNCTION("""COMPUTED_VALUE"""),"D")</f>
        <v>D</v>
      </c>
      <c r="G1412" s="42" t="str">
        <f>IFERROR(__xludf.DUMMYFUNCTION("""COMPUTED_VALUE"""),"None")</f>
        <v>None</v>
      </c>
      <c r="H1412" s="42" t="str">
        <f>IFERROR(__xludf.DUMMYFUNCTION("""COMPUTED_VALUE"""),"-")</f>
        <v>-</v>
      </c>
      <c r="I1412" s="43" t="str">
        <f>IFERROR(__xludf.DUMMYFUNCTION("""COMPUTED_VALUE"""),"Get 4 MP regardless of Power.")</f>
        <v>Get 4 MP regardless of Power.</v>
      </c>
      <c r="J1412" s="42" t="str">
        <f>IFERROR(__xludf.DUMMYFUNCTION("""COMPUTED_VALUE"""),"Special")</f>
        <v>Special</v>
      </c>
      <c r="K1412" s="42" t="str">
        <f>IFERROR(__xludf.DUMMYFUNCTION("""COMPUTED_VALUE"""),"-")</f>
        <v>-</v>
      </c>
      <c r="L1412" s="42" t="str">
        <f>IFERROR(__xludf.DUMMYFUNCTION("""COMPUTED_VALUE"""),"-")</f>
        <v>-</v>
      </c>
      <c r="M1412" s="42" t="str">
        <f>IFERROR(__xludf.DUMMYFUNCTION("""COMPUTED_VALUE"""),"[R]")</f>
        <v>[R]</v>
      </c>
      <c r="N1412" s="42" t="str">
        <f>IFERROR(__xludf.DUMMYFUNCTION("""COMPUTED_VALUE"""),"A ""super cool"" imaginary spell that Byonko came up with all on his own.")</f>
        <v>A "super cool" imaginary spell that Byonko came up with all on his own.</v>
      </c>
      <c r="O1412" s="42"/>
      <c r="P1412" s="42"/>
      <c r="Q1412" s="42"/>
      <c r="R1412" s="42"/>
      <c r="S1412" s="42"/>
      <c r="T1412" s="42"/>
      <c r="U1412" s="42"/>
      <c r="V1412" s="42"/>
      <c r="W1412" s="42"/>
      <c r="X1412" s="42"/>
      <c r="Y1412" s="42"/>
      <c r="Z1412" s="42"/>
    </row>
    <row r="1413">
      <c r="A1413" s="41" t="str">
        <f>IFERROR(__xludf.DUMMYFUNCTION("""COMPUTED_VALUE"""),"S-283")</f>
        <v>S-283</v>
      </c>
      <c r="B1413" s="42" t="str">
        <f>IFERROR(__xludf.DUMMYFUNCTION("""COMPUTED_VALUE"""),"Spell")</f>
        <v>Spell</v>
      </c>
      <c r="C1413" s="42" t="str">
        <f>IFERROR(__xludf.DUMMYFUNCTION("""COMPUTED_VALUE"""),"Oru Fureiga")</f>
        <v>Oru Fureiga</v>
      </c>
      <c r="D1413" s="42" t="str">
        <f>IFERROR(__xludf.DUMMYFUNCTION("""COMPUTED_VALUE"""),"Bamu")</f>
        <v>Bamu</v>
      </c>
      <c r="E1413" s="42">
        <f>IFERROR(__xludf.DUMMYFUNCTION("""COMPUTED_VALUE"""),2.0)</f>
        <v>2</v>
      </c>
      <c r="F1413" s="42" t="str">
        <f>IFERROR(__xludf.DUMMYFUNCTION("""COMPUTED_VALUE"""),"AD")</f>
        <v>AD</v>
      </c>
      <c r="G1413" s="42" t="str">
        <f>IFERROR(__xludf.DUMMYFUNCTION("""COMPUTED_VALUE"""),"None")</f>
        <v>None</v>
      </c>
      <c r="H1413" s="42" t="str">
        <f>IFERROR(__xludf.DUMMYFUNCTION("""COMPUTED_VALUE"""),"Fire")</f>
        <v>Fire</v>
      </c>
      <c r="I1413" s="43" t="str">
        <f>IFERROR(__xludf.DUMMYFUNCTION("""COMPUTED_VALUE"""),"Damage your opponent's Spell Book when you win the Battle as an Attacker. If your opponent Defends with a SPELL card during this Battle, they flip a coin; if it's tails, negate your opponent's SPELL card.")</f>
        <v>Damage your opponent's Spell Book when you win the Battle as an Attacker. If your opponent Defends with a SPELL card during this Battle, they flip a coin; if it's tails, negate your opponent's SPELL card.</v>
      </c>
      <c r="J1413" s="42" t="str">
        <f>IFERROR(__xludf.DUMMYFUNCTION("""COMPUTED_VALUE"""),"+3000")</f>
        <v>+3000</v>
      </c>
      <c r="K1413" s="42">
        <f>IFERROR(__xludf.DUMMYFUNCTION("""COMPUTED_VALUE"""),2.0)</f>
        <v>2</v>
      </c>
      <c r="L1413" s="42" t="str">
        <f>IFERROR(__xludf.DUMMYFUNCTION("""COMPUTED_VALUE"""),"-")</f>
        <v>-</v>
      </c>
      <c r="M1413" s="42" t="str">
        <f>IFERROR(__xludf.DUMMYFUNCTION("""COMPUTED_VALUE"""),"[C]")</f>
        <v>[C]</v>
      </c>
      <c r="N1413" s="42" t="str">
        <f>IFERROR(__xludf.DUMMYFUNCTION("""COMPUTED_VALUE"""),"Bamu's 1st spell. He fires an energy wave, and can control its trajectory at will.")</f>
        <v>Bamu's 1st spell. He fires an energy wave, and can control its trajectory at will.</v>
      </c>
      <c r="O1413" s="42"/>
      <c r="P1413" s="42"/>
      <c r="Q1413" s="42"/>
      <c r="R1413" s="42"/>
      <c r="S1413" s="42"/>
      <c r="T1413" s="42"/>
      <c r="U1413" s="42"/>
      <c r="V1413" s="42"/>
      <c r="W1413" s="42"/>
      <c r="X1413" s="42"/>
      <c r="Y1413" s="42"/>
      <c r="Z1413" s="42"/>
    </row>
    <row r="1414">
      <c r="A1414" s="41" t="str">
        <f>IFERROR(__xludf.DUMMYFUNCTION("""COMPUTED_VALUE"""),"S-284")</f>
        <v>S-284</v>
      </c>
      <c r="B1414" s="42" t="str">
        <f>IFERROR(__xludf.DUMMYFUNCTION("""COMPUTED_VALUE"""),"Spell")</f>
        <v>Spell</v>
      </c>
      <c r="C1414" s="42" t="str">
        <f>IFERROR(__xludf.DUMMYFUNCTION("""COMPUTED_VALUE"""),"Ganjas Barufrei")</f>
        <v>Ganjas Barufrei</v>
      </c>
      <c r="D1414" s="42" t="str">
        <f>IFERROR(__xludf.DUMMYFUNCTION("""COMPUTED_VALUE"""),"Bamu")</f>
        <v>Bamu</v>
      </c>
      <c r="E1414" s="42">
        <f>IFERROR(__xludf.DUMMYFUNCTION("""COMPUTED_VALUE"""),3.0)</f>
        <v>3</v>
      </c>
      <c r="F1414" s="42" t="str">
        <f>IFERROR(__xludf.DUMMYFUNCTION("""COMPUTED_VALUE"""),"AD")</f>
        <v>AD</v>
      </c>
      <c r="G1414" s="42" t="str">
        <f>IFERROR(__xludf.DUMMYFUNCTION("""COMPUTED_VALUE"""),"None")</f>
        <v>None</v>
      </c>
      <c r="H1414" s="42" t="str">
        <f>IFERROR(__xludf.DUMMYFUNCTION("""COMPUTED_VALUE"""),"Fire")</f>
        <v>Fire</v>
      </c>
      <c r="I1414" s="43" t="str">
        <f>IFERROR(__xludf.DUMMYFUNCTION("""COMPUTED_VALUE"""),"Damage your opponent's Spell Book when you win the Battle as an Attacker. When you Damage your opponent's Spell Book, send up to 2 of your opponent's in-play PARTNER cards to the Discard Pile.")</f>
        <v>Damage your opponent's Spell Book when you win the Battle as an Attacker. When you Damage your opponent's Spell Book, send up to 2 of your opponent's in-play PARTNER cards to the Discard Pile.</v>
      </c>
      <c r="J1414" s="42" t="str">
        <f>IFERROR(__xludf.DUMMYFUNCTION("""COMPUTED_VALUE"""),"+3000")</f>
        <v>+3000</v>
      </c>
      <c r="K1414" s="42">
        <f>IFERROR(__xludf.DUMMYFUNCTION("""COMPUTED_VALUE"""),2.0)</f>
        <v>2</v>
      </c>
      <c r="L1414" s="42" t="str">
        <f>IFERROR(__xludf.DUMMYFUNCTION("""COMPUTED_VALUE"""),"-")</f>
        <v>-</v>
      </c>
      <c r="M1414" s="42" t="str">
        <f>IFERROR(__xludf.DUMMYFUNCTION("""COMPUTED_VALUE"""),"[C]")</f>
        <v>[C]</v>
      </c>
      <c r="N1414" s="42" t="str">
        <f>IFERROR(__xludf.DUMMYFUNCTION("""COMPUTED_VALUE"""),"Bamu's 2nd spell. Several energy beams erupt from the ground, targeting Sherry.")</f>
        <v>Bamu's 2nd spell. Several energy beams erupt from the ground, targeting Sherry.</v>
      </c>
      <c r="O1414" s="42"/>
      <c r="P1414" s="42"/>
      <c r="Q1414" s="42"/>
      <c r="R1414" s="42"/>
      <c r="S1414" s="42"/>
      <c r="T1414" s="42"/>
      <c r="U1414" s="42"/>
      <c r="V1414" s="42"/>
      <c r="W1414" s="42"/>
      <c r="X1414" s="42"/>
      <c r="Y1414" s="42"/>
      <c r="Z1414" s="42"/>
    </row>
    <row r="1415">
      <c r="A1415" s="41" t="str">
        <f>IFERROR(__xludf.DUMMYFUNCTION("""COMPUTED_VALUE"""),"S-285")</f>
        <v>S-285</v>
      </c>
      <c r="B1415" s="42" t="str">
        <f>IFERROR(__xludf.DUMMYFUNCTION("""COMPUTED_VALUE"""),"Spell")</f>
        <v>Spell</v>
      </c>
      <c r="C1415" s="42" t="str">
        <f>IFERROR(__xludf.DUMMYFUNCTION("""COMPUTED_VALUE"""),"Gashield")</f>
        <v>Gashield</v>
      </c>
      <c r="D1415" s="42" t="str">
        <f>IFERROR(__xludf.DUMMYFUNCTION("""COMPUTED_VALUE"""),"Faust")</f>
        <v>Faust</v>
      </c>
      <c r="E1415" s="42">
        <f>IFERROR(__xludf.DUMMYFUNCTION("""COMPUTED_VALUE"""),1.0)</f>
        <v>1</v>
      </c>
      <c r="F1415" s="42" t="str">
        <f>IFERROR(__xludf.DUMMYFUNCTION("""COMPUTED_VALUE"""),"A")</f>
        <v>A</v>
      </c>
      <c r="G1415" s="42" t="str">
        <f>IFERROR(__xludf.DUMMYFUNCTION("""COMPUTED_VALUE"""),"None")</f>
        <v>None</v>
      </c>
      <c r="H1415" s="42" t="str">
        <f>IFERROR(__xludf.DUMMYFUNCTION("""COMPUTED_VALUE"""),"-")</f>
        <v>-</v>
      </c>
      <c r="I1415" s="43" t="str">
        <f>IFERROR(__xludf.DUMMYFUNCTION("""COMPUTED_VALUE"""),"[STAY] Add the text below to your Faust MAMODO card until the END PHASE of your next turn: (Attack) [DECLARE TO USE] This card may Attack wihtout using a SPELL card (Total Power=7000, Damage=2).")</f>
        <v>[STAY] Add the text below to your Faust MAMODO card until the END PHASE of your next turn: (Attack) [DECLARE TO USE] This card may Attack wihtout using a SPELL card (Total Power=7000, Damage=2).</v>
      </c>
      <c r="J1415" s="42" t="str">
        <f>IFERROR(__xludf.DUMMYFUNCTION("""COMPUTED_VALUE"""),"Special")</f>
        <v>Special</v>
      </c>
      <c r="K1415" s="42" t="str">
        <f>IFERROR(__xludf.DUMMYFUNCTION("""COMPUTED_VALUE"""),"-")</f>
        <v>-</v>
      </c>
      <c r="L1415" s="42" t="str">
        <f>IFERROR(__xludf.DUMMYFUNCTION("""COMPUTED_VALUE"""),"-")</f>
        <v>-</v>
      </c>
      <c r="M1415" s="42" t="str">
        <f>IFERROR(__xludf.DUMMYFUNCTION("""COMPUTED_VALUE"""),"[C]")</f>
        <v>[C]</v>
      </c>
      <c r="N1415" s="42" t="str">
        <f>IFERROR(__xludf.DUMMYFUNCTION("""COMPUTED_VALUE"""),"Faust's 1st spell. He strengthens his sword to slash away at his foes.")</f>
        <v>Faust's 1st spell. He strengthens his sword to slash away at his foes.</v>
      </c>
      <c r="O1415" s="42"/>
      <c r="P1415" s="42"/>
      <c r="Q1415" s="42"/>
      <c r="R1415" s="42"/>
      <c r="S1415" s="42"/>
      <c r="T1415" s="42"/>
      <c r="U1415" s="42"/>
      <c r="V1415" s="42"/>
      <c r="W1415" s="42"/>
      <c r="X1415" s="42"/>
      <c r="Y1415" s="42"/>
      <c r="Z1415" s="42"/>
    </row>
    <row r="1416">
      <c r="A1416" s="41" t="str">
        <f>IFERROR(__xludf.DUMMYFUNCTION("""COMPUTED_VALUE"""),"S-286")</f>
        <v>S-286</v>
      </c>
      <c r="B1416" s="42" t="str">
        <f>IFERROR(__xludf.DUMMYFUNCTION("""COMPUTED_VALUE"""),"Spell")</f>
        <v>Spell</v>
      </c>
      <c r="C1416" s="42" t="str">
        <f>IFERROR(__xludf.DUMMYFUNCTION("""COMPUTED_VALUE"""),"Zerusen")</f>
        <v>Zerusen</v>
      </c>
      <c r="D1416" s="42" t="str">
        <f>IFERROR(__xludf.DUMMYFUNCTION("""COMPUTED_VALUE"""),"Faust")</f>
        <v>Faust</v>
      </c>
      <c r="E1416" s="42">
        <f>IFERROR(__xludf.DUMMYFUNCTION("""COMPUTED_VALUE"""),1.0)</f>
        <v>1</v>
      </c>
      <c r="F1416" s="42" t="str">
        <f>IFERROR(__xludf.DUMMYFUNCTION("""COMPUTED_VALUE"""),"AD")</f>
        <v>AD</v>
      </c>
      <c r="G1416" s="42" t="str">
        <f>IFERROR(__xludf.DUMMYFUNCTION("""COMPUTED_VALUE"""),"None")</f>
        <v>None</v>
      </c>
      <c r="H1416" s="42" t="str">
        <f>IFERROR(__xludf.DUMMYFUNCTION("""COMPUTED_VALUE"""),"-")</f>
        <v>-</v>
      </c>
      <c r="I1416" s="43" t="str">
        <f>IFERROR(__xludf.DUMMYFUNCTION("""COMPUTED_VALUE"""),"Damage your opponent's Spell Book when you win the Battle as an Attacker. When you declare the play of this SPELL card, you may pay an additional 2 MP to add 2000 Power and 1 Damage to this SPELL card.")</f>
        <v>Damage your opponent's Spell Book when you win the Battle as an Attacker. When you declare the play of this SPELL card, you may pay an additional 2 MP to add 2000 Power and 1 Damage to this SPELL card.</v>
      </c>
      <c r="J1416" s="42" t="str">
        <f>IFERROR(__xludf.DUMMYFUNCTION("""COMPUTED_VALUE"""),"+2000")</f>
        <v>+2000</v>
      </c>
      <c r="K1416" s="42">
        <f>IFERROR(__xludf.DUMMYFUNCTION("""COMPUTED_VALUE"""),1.0)</f>
        <v>1</v>
      </c>
      <c r="L1416" s="42" t="str">
        <f>IFERROR(__xludf.DUMMYFUNCTION("""COMPUTED_VALUE"""),"-")</f>
        <v>-</v>
      </c>
      <c r="M1416" s="42" t="str">
        <f>IFERROR(__xludf.DUMMYFUNCTION("""COMPUTED_VALUE"""),"[C]")</f>
        <v>[C]</v>
      </c>
      <c r="N1416" s="42" t="str">
        <f>IFERROR(__xludf.DUMMYFUNCTION("""COMPUTED_VALUE"""),"Faust's 2nd spell. Converts his fist into an energy ball that rockets toward the opponent.")</f>
        <v>Faust's 2nd spell. Converts his fist into an energy ball that rockets toward the opponent.</v>
      </c>
      <c r="O1416" s="42"/>
      <c r="P1416" s="42"/>
      <c r="Q1416" s="42"/>
      <c r="R1416" s="42"/>
      <c r="S1416" s="42"/>
      <c r="T1416" s="42"/>
      <c r="U1416" s="42"/>
      <c r="V1416" s="42"/>
      <c r="W1416" s="42"/>
      <c r="X1416" s="42"/>
      <c r="Y1416" s="42"/>
      <c r="Z1416" s="42"/>
    </row>
    <row r="1417">
      <c r="A1417" s="41" t="str">
        <f>IFERROR(__xludf.DUMMYFUNCTION("""COMPUTED_VALUE"""),"S-287")</f>
        <v>S-287</v>
      </c>
      <c r="B1417" s="42" t="str">
        <f>IFERROR(__xludf.DUMMYFUNCTION("""COMPUTED_VALUE"""),"Spell")</f>
        <v>Spell</v>
      </c>
      <c r="C1417" s="42" t="str">
        <f>IFERROR(__xludf.DUMMYFUNCTION("""COMPUTED_VALUE"""),"Garuk")</f>
        <v>Garuk</v>
      </c>
      <c r="D1417" s="42" t="str">
        <f>IFERROR(__xludf.DUMMYFUNCTION("""COMPUTED_VALUE"""),"Zwei")</f>
        <v>Zwei</v>
      </c>
      <c r="E1417" s="42">
        <f>IFERROR(__xludf.DUMMYFUNCTION("""COMPUTED_VALUE"""),1.0)</f>
        <v>1</v>
      </c>
      <c r="F1417" s="42" t="str">
        <f>IFERROR(__xludf.DUMMYFUNCTION("""COMPUTED_VALUE"""),"AD")</f>
        <v>AD</v>
      </c>
      <c r="G1417" s="42" t="str">
        <f>IFERROR(__xludf.DUMMYFUNCTION("""COMPUTED_VALUE"""),"None")</f>
        <v>None</v>
      </c>
      <c r="H1417" s="42" t="str">
        <f>IFERROR(__xludf.DUMMYFUNCTION("""COMPUTED_VALUE"""),"-")</f>
        <v>-</v>
      </c>
      <c r="I1417" s="43" t="str">
        <f>IFERROR(__xludf.DUMMYFUNCTION("""COMPUTED_VALUE"""),"Damage your opponent's Spell Book when you win the Battle as an Attacker. Injure your Zwei MAMODO card when you lose the Battle as an Attacker or as a Defender.")</f>
        <v>Damage your opponent's Spell Book when you win the Battle as an Attacker. Injure your Zwei MAMODO card when you lose the Battle as an Attacker or as a Defender.</v>
      </c>
      <c r="J1417" s="42" t="str">
        <f>IFERROR(__xludf.DUMMYFUNCTION("""COMPUTED_VALUE"""),"+4000")</f>
        <v>+4000</v>
      </c>
      <c r="K1417" s="42">
        <f>IFERROR(__xludf.DUMMYFUNCTION("""COMPUTED_VALUE"""),2.0)</f>
        <v>2</v>
      </c>
      <c r="L1417" s="42" t="str">
        <f>IFERROR(__xludf.DUMMYFUNCTION("""COMPUTED_VALUE"""),"-")</f>
        <v>-</v>
      </c>
      <c r="M1417" s="42" t="str">
        <f>IFERROR(__xludf.DUMMYFUNCTION("""COMPUTED_VALUE"""),"[C]")</f>
        <v>[C]</v>
      </c>
      <c r="N1417" s="42" t="str">
        <f>IFERROR(__xludf.DUMMYFUNCTION("""COMPUTED_VALUE"""),"Zwei's 1st spell. He rolls up into a spiked ball and barrels toward the opponent.")</f>
        <v>Zwei's 1st spell. He rolls up into a spiked ball and barrels toward the opponent.</v>
      </c>
      <c r="O1417" s="42"/>
      <c r="P1417" s="42"/>
      <c r="Q1417" s="42"/>
      <c r="R1417" s="42"/>
      <c r="S1417" s="42"/>
      <c r="T1417" s="42"/>
      <c r="U1417" s="42"/>
      <c r="V1417" s="42"/>
      <c r="W1417" s="42"/>
      <c r="X1417" s="42"/>
      <c r="Y1417" s="42"/>
      <c r="Z1417" s="42"/>
    </row>
    <row r="1418">
      <c r="A1418" s="41" t="str">
        <f>IFERROR(__xludf.DUMMYFUNCTION("""COMPUTED_VALUE"""),"S-288")</f>
        <v>S-288</v>
      </c>
      <c r="B1418" s="42" t="str">
        <f>IFERROR(__xludf.DUMMYFUNCTION("""COMPUTED_VALUE"""),"Spell")</f>
        <v>Spell</v>
      </c>
      <c r="C1418" s="42" t="str">
        <f>IFERROR(__xludf.DUMMYFUNCTION("""COMPUTED_VALUE"""),"Chainsen")</f>
        <v>Chainsen</v>
      </c>
      <c r="D1418" s="42" t="str">
        <f>IFERROR(__xludf.DUMMYFUNCTION("""COMPUTED_VALUE"""),"Zwei")</f>
        <v>Zwei</v>
      </c>
      <c r="E1418" s="42">
        <f>IFERROR(__xludf.DUMMYFUNCTION("""COMPUTED_VALUE"""),3.0)</f>
        <v>3</v>
      </c>
      <c r="F1418" s="42" t="str">
        <f>IFERROR(__xludf.DUMMYFUNCTION("""COMPUTED_VALUE"""),"A")</f>
        <v>A</v>
      </c>
      <c r="G1418" s="42" t="str">
        <f>IFERROR(__xludf.DUMMYFUNCTION("""COMPUTED_VALUE"""),"None")</f>
        <v>None</v>
      </c>
      <c r="H1418" s="42" t="str">
        <f>IFERROR(__xludf.DUMMYFUNCTION("""COMPUTED_VALUE"""),"-")</f>
        <v>-</v>
      </c>
      <c r="I1418" s="43" t="str">
        <f>IFERROR(__xludf.DUMMYFUNCTION("""COMPUTED_VALUE"""),"Flip a coin when you win the Battle as an Attacker; if it's tails, Damage your opponent's Spell Book. If it's heads, apply 1 of the following effects: ● Damage your opponent's Spell Book. ● Injure 1 of your opponent's MAMODO cards.")</f>
        <v>Flip a coin when you win the Battle as an Attacker; if it's tails, Damage your opponent's Spell Book. If it's heads, apply 1 of the following effects: ● Damage your opponent's Spell Book. ● Injure 1 of your opponent's MAMODO cards.</v>
      </c>
      <c r="J1418" s="42" t="str">
        <f>IFERROR(__xludf.DUMMYFUNCTION("""COMPUTED_VALUE"""),"+3000")</f>
        <v>+3000</v>
      </c>
      <c r="K1418" s="42">
        <f>IFERROR(__xludf.DUMMYFUNCTION("""COMPUTED_VALUE"""),2.0)</f>
        <v>2</v>
      </c>
      <c r="L1418" s="42" t="str">
        <f>IFERROR(__xludf.DUMMYFUNCTION("""COMPUTED_VALUE"""),"-")</f>
        <v>-</v>
      </c>
      <c r="M1418" s="42" t="str">
        <f>IFERROR(__xludf.DUMMYFUNCTION("""COMPUTED_VALUE"""),"[C]")</f>
        <v>[C]</v>
      </c>
      <c r="N1418" s="42" t="str">
        <f>IFERROR(__xludf.DUMMYFUNCTION("""COMPUTED_VALUE"""),"Zwei's 2nd spell. Chains lash out from underground to restrain the opponent.")</f>
        <v>Zwei's 2nd spell. Chains lash out from underground to restrain the opponent.</v>
      </c>
      <c r="O1418" s="42"/>
      <c r="P1418" s="42"/>
      <c r="Q1418" s="42"/>
      <c r="R1418" s="42"/>
      <c r="S1418" s="42"/>
      <c r="T1418" s="42"/>
      <c r="U1418" s="42"/>
      <c r="V1418" s="42"/>
      <c r="W1418" s="42"/>
      <c r="X1418" s="42"/>
      <c r="Y1418" s="42"/>
      <c r="Z1418" s="42"/>
    </row>
    <row r="1419">
      <c r="A1419" s="41" t="str">
        <f>IFERROR(__xludf.DUMMYFUNCTION("""COMPUTED_VALUE"""),"S-289")</f>
        <v>S-289</v>
      </c>
      <c r="B1419" s="42" t="str">
        <f>IFERROR(__xludf.DUMMYFUNCTION("""COMPUTED_VALUE"""),"Spell")</f>
        <v>Spell</v>
      </c>
      <c r="C1419" s="42" t="str">
        <f>IFERROR(__xludf.DUMMYFUNCTION("""COMPUTED_VALUE"""),"Biraitsu")</f>
        <v>Biraitsu</v>
      </c>
      <c r="D1419" s="42" t="str">
        <f>IFERROR(__xludf.DUMMYFUNCTION("""COMPUTED_VALUE"""),"Trois")</f>
        <v>Trois</v>
      </c>
      <c r="E1419" s="42">
        <f>IFERROR(__xludf.DUMMYFUNCTION("""COMPUTED_VALUE"""),2.0)</f>
        <v>2</v>
      </c>
      <c r="F1419" s="42" t="str">
        <f>IFERROR(__xludf.DUMMYFUNCTION("""COMPUTED_VALUE"""),"A")</f>
        <v>A</v>
      </c>
      <c r="G1419" s="42" t="str">
        <f>IFERROR(__xludf.DUMMYFUNCTION("""COMPUTED_VALUE"""),"None")</f>
        <v>None</v>
      </c>
      <c r="H1419" s="42" t="str">
        <f>IFERROR(__xludf.DUMMYFUNCTION("""COMPUTED_VALUE"""),"-")</f>
        <v>-</v>
      </c>
      <c r="I1419" s="43" t="str">
        <f>IFERROR(__xludf.DUMMYFUNCTION("""COMPUTED_VALUE"""),"Damage your opponent's Spell Book when you win the Battle as an Attacker. If your opponent does not Defend during the Battle, increase the Damage of this SPELL card by 2.")</f>
        <v>Damage your opponent's Spell Book when you win the Battle as an Attacker. If your opponent does not Defend during the Battle, increase the Damage of this SPELL card by 2.</v>
      </c>
      <c r="J1419" s="42" t="str">
        <f>IFERROR(__xludf.DUMMYFUNCTION("""COMPUTED_VALUE"""),"+3000")</f>
        <v>+3000</v>
      </c>
      <c r="K1419" s="42">
        <f>IFERROR(__xludf.DUMMYFUNCTION("""COMPUTED_VALUE"""),1.0)</f>
        <v>1</v>
      </c>
      <c r="L1419" s="42" t="str">
        <f>IFERROR(__xludf.DUMMYFUNCTION("""COMPUTED_VALUE"""),"-")</f>
        <v>-</v>
      </c>
      <c r="M1419" s="42" t="str">
        <f>IFERROR(__xludf.DUMMYFUNCTION("""COMPUTED_VALUE"""),"[C]")</f>
        <v>[C]</v>
      </c>
      <c r="N1419" s="42" t="str">
        <f>IFERROR(__xludf.DUMMYFUNCTION("""COMPUTED_VALUE"""),"Trois' 1st spell. It fires a basic ray of light from his hands.")</f>
        <v>Trois' 1st spell. It fires a basic ray of light from his hands.</v>
      </c>
      <c r="O1419" s="42"/>
      <c r="P1419" s="42"/>
      <c r="Q1419" s="42"/>
      <c r="R1419" s="42"/>
      <c r="S1419" s="42"/>
      <c r="T1419" s="42"/>
      <c r="U1419" s="42"/>
      <c r="V1419" s="42"/>
      <c r="W1419" s="42"/>
      <c r="X1419" s="42"/>
      <c r="Y1419" s="42"/>
      <c r="Z1419" s="42"/>
    </row>
    <row r="1420">
      <c r="A1420" s="41" t="str">
        <f>IFERROR(__xludf.DUMMYFUNCTION("""COMPUTED_VALUE"""),"S-290")</f>
        <v>S-290</v>
      </c>
      <c r="B1420" s="42" t="str">
        <f>IFERROR(__xludf.DUMMYFUNCTION("""COMPUTED_VALUE"""),"Spell")</f>
        <v>Spell</v>
      </c>
      <c r="C1420" s="42" t="str">
        <f>IFERROR(__xludf.DUMMYFUNCTION("""COMPUTED_VALUE"""),"Ganzu Biraitsu")</f>
        <v>Ganzu Biraitsu</v>
      </c>
      <c r="D1420" s="42" t="str">
        <f>IFERROR(__xludf.DUMMYFUNCTION("""COMPUTED_VALUE"""),"Trois")</f>
        <v>Trois</v>
      </c>
      <c r="E1420" s="42">
        <f>IFERROR(__xludf.DUMMYFUNCTION("""COMPUTED_VALUE"""),3.0)</f>
        <v>3</v>
      </c>
      <c r="F1420" s="42" t="str">
        <f>IFERROR(__xludf.DUMMYFUNCTION("""COMPUTED_VALUE"""),"A")</f>
        <v>A</v>
      </c>
      <c r="G1420" s="42" t="str">
        <f>IFERROR(__xludf.DUMMYFUNCTION("""COMPUTED_VALUE"""),"None")</f>
        <v>None</v>
      </c>
      <c r="H1420" s="42" t="str">
        <f>IFERROR(__xludf.DUMMYFUNCTION("""COMPUTED_VALUE"""),"-")</f>
        <v>-</v>
      </c>
      <c r="I1420" s="43" t="str">
        <f>IFERROR(__xludf.DUMMYFUNCTION("""COMPUTED_VALUE"""),"Damage your opponent's Spell Book when you win the Battle as an Attacker. When you inflict Damage or Injury, flip a coin; if it's heads, Injure 1 of your opponent's MAMODO cards.")</f>
        <v>Damage your opponent's Spell Book when you win the Battle as an Attacker. When you inflict Damage or Injury, flip a coin; if it's heads, Injure 1 of your opponent's MAMODO cards.</v>
      </c>
      <c r="J1420" s="42" t="str">
        <f>IFERROR(__xludf.DUMMYFUNCTION("""COMPUTED_VALUE"""),"+3000")</f>
        <v>+3000</v>
      </c>
      <c r="K1420" s="42">
        <f>IFERROR(__xludf.DUMMYFUNCTION("""COMPUTED_VALUE"""),1.0)</f>
        <v>1</v>
      </c>
      <c r="L1420" s="42" t="str">
        <f>IFERROR(__xludf.DUMMYFUNCTION("""COMPUTED_VALUE"""),"-")</f>
        <v>-</v>
      </c>
      <c r="M1420" s="42" t="str">
        <f>IFERROR(__xludf.DUMMYFUNCTION("""COMPUTED_VALUE"""),"[C]")</f>
        <v>[C]</v>
      </c>
      <c r="N1420" s="42" t="str">
        <f>IFERROR(__xludf.DUMMYFUNCTION("""COMPUTED_VALUE"""),"Trois' 2nd spell. It enables him to rain down multiple Biraitsu blasts in quick succession.")</f>
        <v>Trois' 2nd spell. It enables him to rain down multiple Biraitsu blasts in quick succession.</v>
      </c>
      <c r="O1420" s="42"/>
      <c r="P1420" s="42"/>
      <c r="Q1420" s="42"/>
      <c r="R1420" s="42"/>
      <c r="S1420" s="42"/>
      <c r="T1420" s="42"/>
      <c r="U1420" s="42"/>
      <c r="V1420" s="42"/>
      <c r="W1420" s="42"/>
      <c r="X1420" s="42"/>
      <c r="Y1420" s="42"/>
      <c r="Z1420" s="42"/>
    </row>
    <row r="1421">
      <c r="A1421" s="41" t="str">
        <f>IFERROR(__xludf.DUMMYFUNCTION("""COMPUTED_VALUE"""),"S-291")</f>
        <v>S-291</v>
      </c>
      <c r="B1421" s="42" t="str">
        <f>IFERROR(__xludf.DUMMYFUNCTION("""COMPUTED_VALUE"""),"Spell")</f>
        <v>Spell</v>
      </c>
      <c r="C1421" s="42" t="str">
        <f>IFERROR(__xludf.DUMMYFUNCTION("""COMPUTED_VALUE"""),"Raud")</f>
        <v>Raud</v>
      </c>
      <c r="D1421" s="42" t="str">
        <f>IFERROR(__xludf.DUMMYFUNCTION("""COMPUTED_VALUE"""),"Faust/Zwei/Trois")</f>
        <v>Faust/Zwei/Trois</v>
      </c>
      <c r="E1421" s="42">
        <f>IFERROR(__xludf.DUMMYFUNCTION("""COMPUTED_VALUE"""),2.0)</f>
        <v>2</v>
      </c>
      <c r="F1421" s="42" t="str">
        <f>IFERROR(__xludf.DUMMYFUNCTION("""COMPUTED_VALUE"""),"A")</f>
        <v>A</v>
      </c>
      <c r="G1421" s="42" t="str">
        <f>IFERROR(__xludf.DUMMYFUNCTION("""COMPUTED_VALUE"""),"None")</f>
        <v>None</v>
      </c>
      <c r="H1421" s="42" t="str">
        <f>IFERROR(__xludf.DUMMYFUNCTION("""COMPUTED_VALUE"""),"-")</f>
        <v>-</v>
      </c>
      <c r="I1421" s="43" t="str">
        <f>IFERROR(__xludf.DUMMYFUNCTION("""COMPUTED_VALUE"""),"[STAY] Your opponent cannot apply the effects of their MAMODO cards. The duration of this effect is determined by the total number of Faust, Zwei, and Trois MAMODO cards you have in play: ● 1 card:Until the END PHASE of this turn. ● 2 cards:Until the END "&amp;"PHASE of the next turn. ● 3 cards:Until the END PHASE of your next turn.")</f>
        <v>[STAY] Your opponent cannot apply the effects of their MAMODO cards. The duration of this effect is determined by the total number of Faust, Zwei, and Trois MAMODO cards you have in play: ● 1 card:Until the END PHASE of this turn. ● 2 cards:Until the END PHASE of the next turn. ● 3 cards:Until the END PHASE of your next turn.</v>
      </c>
      <c r="J1421" s="42" t="str">
        <f>IFERROR(__xludf.DUMMYFUNCTION("""COMPUTED_VALUE"""),"Special")</f>
        <v>Special</v>
      </c>
      <c r="K1421" s="42" t="str">
        <f>IFERROR(__xludf.DUMMYFUNCTION("""COMPUTED_VALUE"""),"-")</f>
        <v>-</v>
      </c>
      <c r="L1421" s="42" t="str">
        <f>IFERROR(__xludf.DUMMYFUNCTION("""COMPUTED_VALUE"""),"-")</f>
        <v>-</v>
      </c>
      <c r="M1421" s="42" t="str">
        <f>IFERROR(__xludf.DUMMYFUNCTION("""COMPUTED_VALUE"""),"[U]")</f>
        <v>[U]</v>
      </c>
      <c r="N1421" s="42" t="str">
        <f>IFERROR(__xludf.DUMMYFUNCTION("""COMPUTED_VALUE"""),"The secret weapon of the Silent Rulers. Creates a dome that blocks out sound for anyone inside of it.")</f>
        <v>The secret weapon of the Silent Rulers. Creates a dome that blocks out sound for anyone inside of it.</v>
      </c>
      <c r="O1421" s="42"/>
      <c r="P1421" s="42"/>
      <c r="Q1421" s="42"/>
      <c r="R1421" s="42"/>
      <c r="S1421" s="42"/>
      <c r="T1421" s="42"/>
      <c r="U1421" s="42"/>
      <c r="V1421" s="42"/>
      <c r="W1421" s="42"/>
      <c r="X1421" s="42"/>
      <c r="Y1421" s="42"/>
      <c r="Z1421" s="42"/>
    </row>
    <row r="1422">
      <c r="A1422" s="41" t="str">
        <f>IFERROR(__xludf.DUMMYFUNCTION("""COMPUTED_VALUE"""),"S-292")</f>
        <v>S-292</v>
      </c>
      <c r="B1422" s="42" t="str">
        <f>IFERROR(__xludf.DUMMYFUNCTION("""COMPUTED_VALUE"""),"Spell")</f>
        <v>Spell</v>
      </c>
      <c r="C1422" s="42" t="str">
        <f>IFERROR(__xludf.DUMMYFUNCTION("""COMPUTED_VALUE"""),"Orugo Farzeruk")</f>
        <v>Orugo Farzeruk</v>
      </c>
      <c r="D1422" s="42" t="str">
        <f>IFERROR(__xludf.DUMMYFUNCTION("""COMPUTED_VALUE"""),"Pamoon")</f>
        <v>Pamoon</v>
      </c>
      <c r="E1422" s="42">
        <f>IFERROR(__xludf.DUMMYFUNCTION("""COMPUTED_VALUE"""),2.0)</f>
        <v>2</v>
      </c>
      <c r="F1422" s="42" t="str">
        <f>IFERROR(__xludf.DUMMYFUNCTION("""COMPUTED_VALUE"""),"A")</f>
        <v>A</v>
      </c>
      <c r="G1422" s="42" t="str">
        <f>IFERROR(__xludf.DUMMYFUNCTION("""COMPUTED_VALUE"""),"None")</f>
        <v>None</v>
      </c>
      <c r="H1422" s="42" t="str">
        <f>IFERROR(__xludf.DUMMYFUNCTION("""COMPUTED_VALUE"""),"-")</f>
        <v>-</v>
      </c>
      <c r="I1422" s="43" t="str">
        <f>IFERROR(__xludf.DUMMYFUNCTION("""COMPUTED_VALUE"""),"[STAY] Add the text below to your Pamoon MAMODO card until the END PHASE of your next turn: (Attack) (Defend) [DECLARE TO USE] This card may Attack wihtout using a SPELL card (Total Power=9000, Damage=2) OR, Defend without using a SPELL card (Total Power="&amp;"9000).")</f>
        <v>[STAY] Add the text below to your Pamoon MAMODO card until the END PHASE of your next turn: (Attack) (Defend) [DECLARE TO USE] This card may Attack wihtout using a SPELL card (Total Power=9000, Damage=2) OR, Defend without using a SPELL card (Total Power=9000).</v>
      </c>
      <c r="J1422" s="42" t="str">
        <f>IFERROR(__xludf.DUMMYFUNCTION("""COMPUTED_VALUE"""),"Special")</f>
        <v>Special</v>
      </c>
      <c r="K1422" s="42" t="str">
        <f>IFERROR(__xludf.DUMMYFUNCTION("""COMPUTED_VALUE"""),"-")</f>
        <v>-</v>
      </c>
      <c r="L1422" s="42" t="str">
        <f>IFERROR(__xludf.DUMMYFUNCTION("""COMPUTED_VALUE"""),"-")</f>
        <v>-</v>
      </c>
      <c r="M1422" s="42" t="str">
        <f>IFERROR(__xludf.DUMMYFUNCTION("""COMPUTED_VALUE"""),"[U]")</f>
        <v>[U]</v>
      </c>
      <c r="N1422" s="42" t="str">
        <f>IFERROR(__xludf.DUMMYFUNCTION("""COMPUTED_VALUE"""),"Pamoon's 5th spell. A section of stars cling to his body and form solid armor for close combat situations.")</f>
        <v>Pamoon's 5th spell. A section of stars cling to his body and form solid armor for close combat situations.</v>
      </c>
      <c r="O1422" s="42"/>
      <c r="P1422" s="42"/>
      <c r="Q1422" s="42"/>
      <c r="R1422" s="42"/>
      <c r="S1422" s="42"/>
      <c r="T1422" s="42"/>
      <c r="U1422" s="42"/>
      <c r="V1422" s="42"/>
      <c r="W1422" s="42"/>
      <c r="X1422" s="42"/>
      <c r="Y1422" s="42"/>
      <c r="Z1422" s="42"/>
    </row>
    <row r="1423">
      <c r="A1423" s="41" t="str">
        <f>IFERROR(__xludf.DUMMYFUNCTION("""COMPUTED_VALUE"""),"S-293")</f>
        <v>S-293</v>
      </c>
      <c r="B1423" s="42" t="str">
        <f>IFERROR(__xludf.DUMMYFUNCTION("""COMPUTED_VALUE"""),"Spell")</f>
        <v>Spell</v>
      </c>
      <c r="C1423" s="42" t="str">
        <f>IFERROR(__xludf.DUMMYFUNCTION("""COMPUTED_VALUE"""),"Dioga Farisdon")</f>
        <v>Dioga Farisdon</v>
      </c>
      <c r="D1423" s="42" t="str">
        <f>IFERROR(__xludf.DUMMYFUNCTION("""COMPUTED_VALUE"""),"Pamoon")</f>
        <v>Pamoon</v>
      </c>
      <c r="E1423" s="42">
        <f>IFERROR(__xludf.DUMMYFUNCTION("""COMPUTED_VALUE"""),5.0)</f>
        <v>5</v>
      </c>
      <c r="F1423" s="42" t="str">
        <f>IFERROR(__xludf.DUMMYFUNCTION("""COMPUTED_VALUE"""),"AD")</f>
        <v>AD</v>
      </c>
      <c r="G1423" s="42" t="str">
        <f>IFERROR(__xludf.DUMMYFUNCTION("""COMPUTED_VALUE"""),"Intermediate")</f>
        <v>Intermediate</v>
      </c>
      <c r="H1423" s="42" t="str">
        <f>IFERROR(__xludf.DUMMYFUNCTION("""COMPUTED_VALUE"""),"-")</f>
        <v>-</v>
      </c>
      <c r="I1423" s="43" t="str">
        <f>IFERROR(__xludf.DUMMYFUNCTION("""COMPUTED_VALUE"""),"Damage your opponent's Spell Book when you win the Battle as an Attacker. Increase the Damage of this SPELL card by the amount of MP counters on your Pamoon MAMODO card times 1.")</f>
        <v>Damage your opponent's Spell Book when you win the Battle as an Attacker. Increase the Damage of this SPELL card by the amount of MP counters on your Pamoon MAMODO card times 1.</v>
      </c>
      <c r="J1423" s="42" t="str">
        <f>IFERROR(__xludf.DUMMYFUNCTION("""COMPUTED_VALUE"""),"+2000")</f>
        <v>+2000</v>
      </c>
      <c r="K1423" s="42">
        <f>IFERROR(__xludf.DUMMYFUNCTION("""COMPUTED_VALUE"""),2.0)</f>
        <v>2</v>
      </c>
      <c r="L1423" s="42" t="str">
        <f>IFERROR(__xludf.DUMMYFUNCTION("""COMPUTED_VALUE"""),"-")</f>
        <v>-</v>
      </c>
      <c r="M1423" s="42" t="str">
        <f>IFERROR(__xludf.DUMMYFUNCTION("""COMPUTED_VALUE"""),"[SR]")</f>
        <v>[SR]</v>
      </c>
      <c r="N1423" s="42" t="str">
        <f>IFERROR(__xludf.DUMMYFUNCTION("""COMPUTED_VALUE"""),"Pamoon's 6th spell. ""Separate! Aim! Fire!""")</f>
        <v>Pamoon's 6th spell. "Separate! Aim! Fire!"</v>
      </c>
      <c r="O1423" s="42"/>
      <c r="P1423" s="42"/>
      <c r="Q1423" s="42"/>
      <c r="R1423" s="42"/>
      <c r="S1423" s="42"/>
      <c r="T1423" s="42"/>
      <c r="U1423" s="42"/>
      <c r="V1423" s="42"/>
      <c r="W1423" s="42"/>
      <c r="X1423" s="42"/>
      <c r="Y1423" s="42"/>
      <c r="Z1423" s="42"/>
    </row>
    <row r="1424">
      <c r="A1424" s="41" t="str">
        <f>IFERROR(__xludf.DUMMYFUNCTION("""COMPUTED_VALUE"""),"S-294")</f>
        <v>S-294</v>
      </c>
      <c r="B1424" s="42" t="str">
        <f>IFERROR(__xludf.DUMMYFUNCTION("""COMPUTED_VALUE"""),"Spell")</f>
        <v>Spell</v>
      </c>
      <c r="C1424" s="42" t="str">
        <f>IFERROR(__xludf.DUMMYFUNCTION("""COMPUTED_VALUE"""),"Pentalum Farga")</f>
        <v>Pentalum Farga</v>
      </c>
      <c r="D1424" s="42" t="str">
        <f>IFERROR(__xludf.DUMMYFUNCTION("""COMPUTED_VALUE"""),"Pamoon")</f>
        <v>Pamoon</v>
      </c>
      <c r="E1424" s="42">
        <f>IFERROR(__xludf.DUMMYFUNCTION("""COMPUTED_VALUE"""),5.0)</f>
        <v>5</v>
      </c>
      <c r="F1424" s="42" t="str">
        <f>IFERROR(__xludf.DUMMYFUNCTION("""COMPUTED_VALUE"""),"AD")</f>
        <v>AD</v>
      </c>
      <c r="G1424" s="42" t="str">
        <f>IFERROR(__xludf.DUMMYFUNCTION("""COMPUTED_VALUE"""),"Superion")</f>
        <v>Superion</v>
      </c>
      <c r="H1424" s="42" t="str">
        <f>IFERROR(__xludf.DUMMYFUNCTION("""COMPUTED_VALUE"""),"-")</f>
        <v>-</v>
      </c>
      <c r="I1424" s="43" t="str">
        <f>IFERROR(__xludf.DUMMYFUNCTION("""COMPUTED_VALUE"""),"Damage your opponent's Spell Book 5 times when you win the Battle as an Attacker.")</f>
        <v>Damage your opponent's Spell Book 5 times when you win the Battle as an Attacker.</v>
      </c>
      <c r="J1424" s="42" t="str">
        <f>IFERROR(__xludf.DUMMYFUNCTION("""COMPUTED_VALUE"""),"+6000")</f>
        <v>+6000</v>
      </c>
      <c r="K1424" s="42">
        <f>IFERROR(__xludf.DUMMYFUNCTION("""COMPUTED_VALUE"""),1.0)</f>
        <v>1</v>
      </c>
      <c r="L1424" s="42" t="str">
        <f>IFERROR(__xludf.DUMMYFUNCTION("""COMPUTED_VALUE"""),"-")</f>
        <v>-</v>
      </c>
      <c r="M1424" s="42" t="str">
        <f>IFERROR(__xludf.DUMMYFUNCTION("""COMPUTED_VALUE"""),"[SR]")</f>
        <v>[SR]</v>
      </c>
      <c r="N1424" s="42" t="str">
        <f>IFERROR(__xludf.DUMMYFUNCTION("""COMPUTED_VALUE"""),"Pamoon's 7th spell. An enormous amalgamation of five star-shaped fairies slowly descends upon his opponents.")</f>
        <v>Pamoon's 7th spell. An enormous amalgamation of five star-shaped fairies slowly descends upon his opponents.</v>
      </c>
      <c r="O1424" s="42"/>
      <c r="P1424" s="42"/>
      <c r="Q1424" s="42"/>
      <c r="R1424" s="42"/>
      <c r="S1424" s="42"/>
      <c r="T1424" s="42"/>
      <c r="U1424" s="42"/>
      <c r="V1424" s="42"/>
      <c r="W1424" s="42"/>
      <c r="X1424" s="42"/>
      <c r="Y1424" s="42"/>
      <c r="Z1424" s="42"/>
    </row>
    <row r="1425">
      <c r="A1425" s="41" t="str">
        <f>IFERROR(__xludf.DUMMYFUNCTION("""COMPUTED_VALUE"""),"S-295")</f>
        <v>S-295</v>
      </c>
      <c r="B1425" s="42" t="str">
        <f>IFERROR(__xludf.DUMMYFUNCTION("""COMPUTED_VALUE"""),"Spell")</f>
        <v>Spell</v>
      </c>
      <c r="C1425" s="42" t="str">
        <f>IFERROR(__xludf.DUMMYFUNCTION("""COMPUTED_VALUE"""),"Fei Farug")</f>
        <v>Fei Farug</v>
      </c>
      <c r="D1425" s="42" t="str">
        <f>IFERROR(__xludf.DUMMYFUNCTION("""COMPUTED_VALUE"""),"Pamoon")</f>
        <v>Pamoon</v>
      </c>
      <c r="E1425" s="42">
        <f>IFERROR(__xludf.DUMMYFUNCTION("""COMPUTED_VALUE"""),1.0)</f>
        <v>1</v>
      </c>
      <c r="F1425" s="42" t="str">
        <f>IFERROR(__xludf.DUMMYFUNCTION("""COMPUTED_VALUE"""),"A")</f>
        <v>A</v>
      </c>
      <c r="G1425" s="42" t="str">
        <f>IFERROR(__xludf.DUMMYFUNCTION("""COMPUTED_VALUE"""),"None")</f>
        <v>None</v>
      </c>
      <c r="H1425" s="42" t="str">
        <f>IFERROR(__xludf.DUMMYFUNCTION("""COMPUTED_VALUE"""),"-")</f>
        <v>-</v>
      </c>
      <c r="I1425" s="43" t="str">
        <f>IFERROR(__xludf.DUMMYFUNCTION("""COMPUTED_VALUE"""),"[STAY] Put all of your in-play MAMODO cards in Flight Status until the END PHASE of your next turn.")</f>
        <v>[STAY] Put all of your in-play MAMODO cards in Flight Status until the END PHASE of your next turn.</v>
      </c>
      <c r="J1425" s="42" t="str">
        <f>IFERROR(__xludf.DUMMYFUNCTION("""COMPUTED_VALUE"""),"Special")</f>
        <v>Special</v>
      </c>
      <c r="K1425" s="42" t="str">
        <f>IFERROR(__xludf.DUMMYFUNCTION("""COMPUTED_VALUE"""),"-")</f>
        <v>-</v>
      </c>
      <c r="L1425" s="42" t="str">
        <f>IFERROR(__xludf.DUMMYFUNCTION("""COMPUTED_VALUE"""),"-")</f>
        <v>-</v>
      </c>
      <c r="M1425" s="42" t="str">
        <f>IFERROR(__xludf.DUMMYFUNCTION("""COMPUTED_VALUE"""),"[U]")</f>
        <v>[U]</v>
      </c>
      <c r="N1425" s="42" t="str">
        <f>IFERROR(__xludf.DUMMYFUNCTION("""COMPUTED_VALUE"""),"Pamoon's 8th spell. As an ethereal light surrounds Zatch's body, he begins to levitate in the air.")</f>
        <v>Pamoon's 8th spell. As an ethereal light surrounds Zatch's body, he begins to levitate in the air.</v>
      </c>
      <c r="O1425" s="42"/>
      <c r="P1425" s="42"/>
      <c r="Q1425" s="42"/>
      <c r="R1425" s="42"/>
      <c r="S1425" s="42"/>
      <c r="T1425" s="42"/>
      <c r="U1425" s="42"/>
      <c r="V1425" s="42"/>
      <c r="W1425" s="42"/>
      <c r="X1425" s="42"/>
      <c r="Y1425" s="42"/>
      <c r="Z1425" s="42"/>
    </row>
    <row r="1426">
      <c r="A1426" s="41" t="str">
        <f>IFERROR(__xludf.DUMMYFUNCTION("""COMPUTED_VALUE"""),"S-296")</f>
        <v>S-296</v>
      </c>
      <c r="B1426" s="42" t="str">
        <f>IFERROR(__xludf.DUMMYFUNCTION("""COMPUTED_VALUE"""),"Spell")</f>
        <v>Spell</v>
      </c>
      <c r="C1426" s="42" t="str">
        <f>IFERROR(__xludf.DUMMYFUNCTION("""COMPUTED_VALUE"""),"Lalalalaaai!")</f>
        <v>Lalalalaaai!</v>
      </c>
      <c r="D1426" s="42" t="str">
        <f>IFERROR(__xludf.DUMMYFUNCTION("""COMPUTED_VALUE"""),"Pamoon")</f>
        <v>Pamoon</v>
      </c>
      <c r="E1426" s="42">
        <f>IFERROR(__xludf.DUMMYFUNCTION("""COMPUTED_VALUE"""),2.0)</f>
        <v>2</v>
      </c>
      <c r="F1426" s="42" t="str">
        <f>IFERROR(__xludf.DUMMYFUNCTION("""COMPUTED_VALUE"""),"A")</f>
        <v>A</v>
      </c>
      <c r="G1426" s="42" t="str">
        <f>IFERROR(__xludf.DUMMYFUNCTION("""COMPUTED_VALUE"""),"None")</f>
        <v>None</v>
      </c>
      <c r="H1426" s="42" t="str">
        <f>IFERROR(__xludf.DUMMYFUNCTION("""COMPUTED_VALUE"""),"-")</f>
        <v>-</v>
      </c>
      <c r="I1426" s="43" t="str">
        <f>IFERROR(__xludf.DUMMYFUNCTION("""COMPUTED_VALUE"""),"When you win the Battle as an Attacker, select a number of your opponent's in-play MAMODO and PARTNER cards equal to the amount of MP counters on your Pamoon MAMODO card times 1. [STAY] Your opponent cannot apply the effects of the selected cards until th"&amp;"e END PHASE of the next turn.")</f>
        <v>When you win the Battle as an Attacker, select a number of your opponent's in-play MAMODO and PARTNER cards equal to the amount of MP counters on your Pamoon MAMODO card times 1. [STAY] Your opponent cannot apply the effects of the selected cards until the END PHASE of the next turn.</v>
      </c>
      <c r="J1426" s="42" t="str">
        <f>IFERROR(__xludf.DUMMYFUNCTION("""COMPUTED_VALUE"""),"+2000")</f>
        <v>+2000</v>
      </c>
      <c r="K1426" s="42" t="str">
        <f>IFERROR(__xludf.DUMMYFUNCTION("""COMPUTED_VALUE"""),"-")</f>
        <v>-</v>
      </c>
      <c r="L1426" s="42" t="str">
        <f>IFERROR(__xludf.DUMMYFUNCTION("""COMPUTED_VALUE"""),"-")</f>
        <v>-</v>
      </c>
      <c r="M1426" s="42" t="str">
        <f>IFERROR(__xludf.DUMMYFUNCTION("""COMPUTED_VALUE"""),"[U]")</f>
        <v>[U]</v>
      </c>
      <c r="N1426" s="42" t="str">
        <f>IFERROR(__xludf.DUMMYFUNCTION("""COMPUTED_VALUE"""),"Command:Pamoon")</f>
        <v>Command:Pamoon</v>
      </c>
      <c r="O1426" s="42"/>
      <c r="P1426" s="42"/>
      <c r="Q1426" s="42"/>
      <c r="R1426" s="42"/>
      <c r="S1426" s="42"/>
      <c r="T1426" s="42"/>
      <c r="U1426" s="42"/>
      <c r="V1426" s="42"/>
      <c r="W1426" s="42"/>
      <c r="X1426" s="42"/>
      <c r="Y1426" s="42"/>
      <c r="Z1426" s="42"/>
    </row>
    <row r="1427">
      <c r="A1427" s="41" t="str">
        <f>IFERROR(__xludf.DUMMYFUNCTION("""COMPUTED_VALUE"""),"S-297")</f>
        <v>S-297</v>
      </c>
      <c r="B1427" s="42" t="str">
        <f>IFERROR(__xludf.DUMMYFUNCTION("""COMPUTED_VALUE"""),"Spell")</f>
        <v>Spell</v>
      </c>
      <c r="C1427" s="42" t="str">
        <f>IFERROR(__xludf.DUMMYFUNCTION("""COMPUTED_VALUE"""),"Zemoruk")</f>
        <v>Zemoruk</v>
      </c>
      <c r="D1427" s="42" t="str">
        <f>IFERROR(__xludf.DUMMYFUNCTION("""COMPUTED_VALUE"""),"Demolt")</f>
        <v>Demolt</v>
      </c>
      <c r="E1427" s="42">
        <f>IFERROR(__xludf.DUMMYFUNCTION("""COMPUTED_VALUE"""),1.0)</f>
        <v>1</v>
      </c>
      <c r="F1427" s="42" t="str">
        <f>IFERROR(__xludf.DUMMYFUNCTION("""COMPUTED_VALUE"""),"A")</f>
        <v>A</v>
      </c>
      <c r="G1427" s="42" t="str">
        <f>IFERROR(__xludf.DUMMYFUNCTION("""COMPUTED_VALUE"""),"None")</f>
        <v>None</v>
      </c>
      <c r="H1427" s="42" t="str">
        <f>IFERROR(__xludf.DUMMYFUNCTION("""COMPUTED_VALUE"""),"-")</f>
        <v>-</v>
      </c>
      <c r="I1427" s="43" t="str">
        <f>IFERROR(__xludf.DUMMYFUNCTION("""COMPUTED_VALUE"""),"Damage your opponent's Spell Book when you win the Battle as an Attacker.")</f>
        <v>Damage your opponent's Spell Book when you win the Battle as an Attacker.</v>
      </c>
      <c r="J1427" s="42" t="str">
        <f>IFERROR(__xludf.DUMMYFUNCTION("""COMPUTED_VALUE"""),"+2000")</f>
        <v>+2000</v>
      </c>
      <c r="K1427" s="42">
        <f>IFERROR(__xludf.DUMMYFUNCTION("""COMPUTED_VALUE"""),1.0)</f>
        <v>1</v>
      </c>
      <c r="L1427" s="42" t="str">
        <f>IFERROR(__xludf.DUMMYFUNCTION("""COMPUTED_VALUE"""),"-")</f>
        <v>-</v>
      </c>
      <c r="M1427" s="42" t="str">
        <f>IFERROR(__xludf.DUMMYFUNCTION("""COMPUTED_VALUE"""),"[C]")</f>
        <v>[C]</v>
      </c>
      <c r="N1427" s="42" t="str">
        <f>IFERROR(__xludf.DUMMYFUNCTION("""COMPUTED_VALUE"""),"Demolt's 1st spell. He attacks with a telescoping weapon on his arm.")</f>
        <v>Demolt's 1st spell. He attacks with a telescoping weapon on his arm.</v>
      </c>
      <c r="O1427" s="42"/>
      <c r="P1427" s="42"/>
      <c r="Q1427" s="42"/>
      <c r="R1427" s="42"/>
      <c r="S1427" s="42"/>
      <c r="T1427" s="42"/>
      <c r="U1427" s="42"/>
      <c r="V1427" s="42"/>
      <c r="W1427" s="42"/>
      <c r="X1427" s="42"/>
      <c r="Y1427" s="42"/>
      <c r="Z1427" s="42"/>
    </row>
    <row r="1428">
      <c r="A1428" s="41" t="str">
        <f>IFERROR(__xludf.DUMMYFUNCTION("""COMPUTED_VALUE"""),"S-298")</f>
        <v>S-298</v>
      </c>
      <c r="B1428" s="42" t="str">
        <f>IFERROR(__xludf.DUMMYFUNCTION("""COMPUTED_VALUE"""),"Spell")</f>
        <v>Spell</v>
      </c>
      <c r="C1428" s="42" t="str">
        <f>IFERROR(__xludf.DUMMYFUNCTION("""COMPUTED_VALUE"""),"Oruda Zemoruk")</f>
        <v>Oruda Zemoruk</v>
      </c>
      <c r="D1428" s="42" t="str">
        <f>IFERROR(__xludf.DUMMYFUNCTION("""COMPUTED_VALUE"""),"Demolt")</f>
        <v>Demolt</v>
      </c>
      <c r="E1428" s="42">
        <f>IFERROR(__xludf.DUMMYFUNCTION("""COMPUTED_VALUE"""),2.0)</f>
        <v>2</v>
      </c>
      <c r="F1428" s="42" t="str">
        <f>IFERROR(__xludf.DUMMYFUNCTION("""COMPUTED_VALUE"""),"A")</f>
        <v>A</v>
      </c>
      <c r="G1428" s="42" t="str">
        <f>IFERROR(__xludf.DUMMYFUNCTION("""COMPUTED_VALUE"""),"None")</f>
        <v>None</v>
      </c>
      <c r="H1428" s="42" t="str">
        <f>IFERROR(__xludf.DUMMYFUNCTION("""COMPUTED_VALUE"""),"-")</f>
        <v>-</v>
      </c>
      <c r="I1428" s="43" t="str">
        <f>IFERROR(__xludf.DUMMYFUNCTION("""COMPUTED_VALUE"""),"Damage your opponent's Spell Book when you win the Battle as an Attacker.")</f>
        <v>Damage your opponent's Spell Book when you win the Battle as an Attacker.</v>
      </c>
      <c r="J1428" s="42" t="str">
        <f>IFERROR(__xludf.DUMMYFUNCTION("""COMPUTED_VALUE"""),"+4000")</f>
        <v>+4000</v>
      </c>
      <c r="K1428" s="42">
        <f>IFERROR(__xludf.DUMMYFUNCTION("""COMPUTED_VALUE"""),2.0)</f>
        <v>2</v>
      </c>
      <c r="L1428" s="42" t="str">
        <f>IFERROR(__xludf.DUMMYFUNCTION("""COMPUTED_VALUE"""),"-")</f>
        <v>-</v>
      </c>
      <c r="M1428" s="42" t="str">
        <f>IFERROR(__xludf.DUMMYFUNCTION("""COMPUTED_VALUE"""),"[U]")</f>
        <v>[U]</v>
      </c>
      <c r="N1428" s="42" t="str">
        <f>IFERROR(__xludf.DUMMYFUNCTION("""COMPUTED_VALUE"""),"Demolt's 2nd spell. A reinforced Zemoruk that manipulations weapons with multiple arms.")</f>
        <v>Demolt's 2nd spell. A reinforced Zemoruk that manipulations weapons with multiple arms.</v>
      </c>
      <c r="O1428" s="42"/>
      <c r="P1428" s="42"/>
      <c r="Q1428" s="42"/>
      <c r="R1428" s="42"/>
      <c r="S1428" s="42"/>
      <c r="T1428" s="42"/>
      <c r="U1428" s="42"/>
      <c r="V1428" s="42"/>
      <c r="W1428" s="42"/>
      <c r="X1428" s="42"/>
      <c r="Y1428" s="42"/>
      <c r="Z1428" s="42"/>
    </row>
    <row r="1429">
      <c r="A1429" s="41" t="str">
        <f>IFERROR(__xludf.DUMMYFUNCTION("""COMPUTED_VALUE"""),"S-299")</f>
        <v>S-299</v>
      </c>
      <c r="B1429" s="42" t="str">
        <f>IFERROR(__xludf.DUMMYFUNCTION("""COMPUTED_VALUE"""),"Spell")</f>
        <v>Spell</v>
      </c>
      <c r="C1429" s="42" t="str">
        <f>IFERROR(__xludf.DUMMYFUNCTION("""COMPUTED_VALUE"""),"Rigon Zemoruk")</f>
        <v>Rigon Zemoruk</v>
      </c>
      <c r="D1429" s="42" t="str">
        <f>IFERROR(__xludf.DUMMYFUNCTION("""COMPUTED_VALUE"""),"Demolt")</f>
        <v>Demolt</v>
      </c>
      <c r="E1429" s="42">
        <f>IFERROR(__xludf.DUMMYFUNCTION("""COMPUTED_VALUE"""),3.0)</f>
        <v>3</v>
      </c>
      <c r="F1429" s="42" t="str">
        <f>IFERROR(__xludf.DUMMYFUNCTION("""COMPUTED_VALUE"""),"A")</f>
        <v>A</v>
      </c>
      <c r="G1429" s="42" t="str">
        <f>IFERROR(__xludf.DUMMYFUNCTION("""COMPUTED_VALUE"""),"None")</f>
        <v>None</v>
      </c>
      <c r="H1429" s="42" t="str">
        <f>IFERROR(__xludf.DUMMYFUNCTION("""COMPUTED_VALUE"""),"-")</f>
        <v>-</v>
      </c>
      <c r="I1429" s="43" t="str">
        <f>IFERROR(__xludf.DUMMYFUNCTION("""COMPUTED_VALUE"""),"[STAY] Add the text below to your Demolt MAMODO card until the END PHASE of your next turn: (Attack) (Defend) [DECLARE TO USE] This card may Attack wihtout using a SPELL card (Total Power=10000, Damage=2) OR, Defend without using a SPELL card (Total Power"&amp;"=10000).")</f>
        <v>[STAY] Add the text below to your Demolt MAMODO card until the END PHASE of your next turn: (Attack) (Defend) [DECLARE TO USE] This card may Attack wihtout using a SPELL card (Total Power=10000, Damage=2) OR, Defend without using a SPELL card (Total Power=10000).</v>
      </c>
      <c r="J1429" s="42" t="str">
        <f>IFERROR(__xludf.DUMMYFUNCTION("""COMPUTED_VALUE"""),"Special")</f>
        <v>Special</v>
      </c>
      <c r="K1429" s="42" t="str">
        <f>IFERROR(__xludf.DUMMYFUNCTION("""COMPUTED_VALUE"""),"-")</f>
        <v>-</v>
      </c>
      <c r="L1429" s="42" t="str">
        <f>IFERROR(__xludf.DUMMYFUNCTION("""COMPUTED_VALUE"""),"-")</f>
        <v>-</v>
      </c>
      <c r="M1429" s="42" t="str">
        <f>IFERROR(__xludf.DUMMYFUNCTION("""COMPUTED_VALUE"""),"[R]")</f>
        <v>[R]</v>
      </c>
      <c r="N1429" s="42" t="str">
        <f>IFERROR(__xludf.DUMMYFUNCTION("""COMPUTED_VALUE"""),"Demolt's 3rd spell. ""The horns from his arms... They're weapons now?!""")</f>
        <v>Demolt's 3rd spell. "The horns from his arms... They're weapons now?!"</v>
      </c>
      <c r="O1429" s="42"/>
      <c r="P1429" s="42"/>
      <c r="Q1429" s="42"/>
      <c r="R1429" s="42"/>
      <c r="S1429" s="42"/>
      <c r="T1429" s="42"/>
      <c r="U1429" s="42"/>
      <c r="V1429" s="42"/>
      <c r="W1429" s="42"/>
      <c r="X1429" s="42"/>
      <c r="Y1429" s="42"/>
      <c r="Z1429" s="42"/>
    </row>
    <row r="1430">
      <c r="A1430" s="41" t="str">
        <f>IFERROR(__xludf.DUMMYFUNCTION("""COMPUTED_VALUE"""),"S-300")</f>
        <v>S-300</v>
      </c>
      <c r="B1430" s="42" t="str">
        <f>IFERROR(__xludf.DUMMYFUNCTION("""COMPUTED_VALUE"""),"Spell")</f>
        <v>Spell</v>
      </c>
      <c r="C1430" s="42" t="str">
        <f>IFERROR(__xludf.DUMMYFUNCTION("""COMPUTED_VALUE"""),"Hedyun Zemoruk")</f>
        <v>Hedyun Zemoruk</v>
      </c>
      <c r="D1430" s="42" t="str">
        <f>IFERROR(__xludf.DUMMYFUNCTION("""COMPUTED_VALUE"""),"Demolt")</f>
        <v>Demolt</v>
      </c>
      <c r="E1430" s="42">
        <f>IFERROR(__xludf.DUMMYFUNCTION("""COMPUTED_VALUE"""),3.0)</f>
        <v>3</v>
      </c>
      <c r="F1430" s="42" t="str">
        <f>IFERROR(__xludf.DUMMYFUNCTION("""COMPUTED_VALUE"""),"D")</f>
        <v>D</v>
      </c>
      <c r="G1430" s="42" t="str">
        <f>IFERROR(__xludf.DUMMYFUNCTION("""COMPUTED_VALUE"""),"None")</f>
        <v>None</v>
      </c>
      <c r="H1430" s="42" t="str">
        <f>IFERROR(__xludf.DUMMYFUNCTION("""COMPUTED_VALUE"""),"-")</f>
        <v>-</v>
      </c>
      <c r="I1430" s="43" t="str">
        <f>IFERROR(__xludf.DUMMYFUNCTION("""COMPUTED_VALUE"""),"Your Demolt MAMODO card does not receive Damage or Injury during this Battle ([STAY]).")</f>
        <v>Your Demolt MAMODO card does not receive Damage or Injury during this Battle ([STAY]).</v>
      </c>
      <c r="J1430" s="42" t="str">
        <f>IFERROR(__xludf.DUMMYFUNCTION("""COMPUTED_VALUE"""),"Special")</f>
        <v>Special</v>
      </c>
      <c r="K1430" s="42" t="str">
        <f>IFERROR(__xludf.DUMMYFUNCTION("""COMPUTED_VALUE"""),"-")</f>
        <v>-</v>
      </c>
      <c r="L1430" s="42" t="str">
        <f>IFERROR(__xludf.DUMMYFUNCTION("""COMPUTED_VALUE"""),"-")</f>
        <v>-</v>
      </c>
      <c r="M1430" s="42" t="str">
        <f>IFERROR(__xludf.DUMMYFUNCTION("""COMPUTED_VALUE"""),"[U]")</f>
        <v>[U]</v>
      </c>
      <c r="N1430" s="42" t="str">
        <f>IFERROR(__xludf.DUMMYFUNCTION("""COMPUTED_VALUE"""),"Demolt’s 4th spell. Demolt’s weak spot is the back of his neck… In order to protect this vulnerable area, the horns on his head extend outward to fend off attacks.")</f>
        <v>Demolt’s 4th spell. Demolt’s weak spot is the back of his neck… In order to protect this vulnerable area, the horns on his head extend outward to fend off attacks.</v>
      </c>
      <c r="O1430" s="42"/>
      <c r="P1430" s="42"/>
      <c r="Q1430" s="42"/>
      <c r="R1430" s="42"/>
      <c r="S1430" s="42"/>
      <c r="T1430" s="42"/>
      <c r="U1430" s="42"/>
      <c r="V1430" s="42"/>
      <c r="W1430" s="42"/>
      <c r="X1430" s="42"/>
      <c r="Y1430" s="42"/>
      <c r="Z1430" s="42"/>
    </row>
    <row r="1431">
      <c r="A1431" s="41" t="str">
        <f>IFERROR(__xludf.DUMMYFUNCTION("""COMPUTED_VALUE"""),"S-301")</f>
        <v>S-301</v>
      </c>
      <c r="B1431" s="42" t="str">
        <f>IFERROR(__xludf.DUMMYFUNCTION("""COMPUTED_VALUE"""),"Spell")</f>
        <v>Spell</v>
      </c>
      <c r="C1431" s="42" t="str">
        <f>IFERROR(__xludf.DUMMYFUNCTION("""COMPUTED_VALUE"""),"Ragiant Ji Zemoruk")</f>
        <v>Ragiant Ji Zemoruk</v>
      </c>
      <c r="D1431" s="42" t="str">
        <f>IFERROR(__xludf.DUMMYFUNCTION("""COMPUTED_VALUE"""),"Demolt")</f>
        <v>Demolt</v>
      </c>
      <c r="E1431" s="42">
        <f>IFERROR(__xludf.DUMMYFUNCTION("""COMPUTED_VALUE"""),6.0)</f>
        <v>6</v>
      </c>
      <c r="F1431" s="42" t="str">
        <f>IFERROR(__xludf.DUMMYFUNCTION("""COMPUTED_VALUE"""),"A")</f>
        <v>A</v>
      </c>
      <c r="G1431" s="42" t="str">
        <f>IFERROR(__xludf.DUMMYFUNCTION("""COMPUTED_VALUE"""),"Superior")</f>
        <v>Superior</v>
      </c>
      <c r="H1431" s="42" t="str">
        <f>IFERROR(__xludf.DUMMYFUNCTION("""COMPUTED_VALUE"""),"-")</f>
        <v>-</v>
      </c>
      <c r="I1431" s="43" t="str">
        <f>IFERROR(__xludf.DUMMYFUNCTION("""COMPUTED_VALUE"""),"Damage your opponent's Spell Book and Injure all of your opponent's MAMODO cards when you win the Battle as an Attacker.")</f>
        <v>Damage your opponent's Spell Book and Injure all of your opponent's MAMODO cards when you win the Battle as an Attacker.</v>
      </c>
      <c r="J1431" s="42" t="str">
        <f>IFERROR(__xludf.DUMMYFUNCTION("""COMPUTED_VALUE"""),"+5000")</f>
        <v>+5000</v>
      </c>
      <c r="K1431" s="42">
        <f>IFERROR(__xludf.DUMMYFUNCTION("""COMPUTED_VALUE"""),2.0)</f>
        <v>2</v>
      </c>
      <c r="L1431" s="42" t="str">
        <f>IFERROR(__xludf.DUMMYFUNCTION("""COMPUTED_VALUE"""),"-")</f>
        <v>-</v>
      </c>
      <c r="M1431" s="42" t="str">
        <f>IFERROR(__xludf.DUMMYFUNCTION("""COMPUTED_VALUE"""),"[SR]")</f>
        <v>[SR]</v>
      </c>
      <c r="N1431" s="42" t="str">
        <f>IFERROR(__xludf.DUMMYFUNCTION("""COMPUTED_VALUE"""),"Demolt's 5th spell. It mounts a huge cannon on his arm that fires four consecutive shots. ""MAXIMUM!""")</f>
        <v>Demolt's 5th spell. It mounts a huge cannon on his arm that fires four consecutive shots. "MAXIMUM!"</v>
      </c>
      <c r="O1431" s="42"/>
      <c r="P1431" s="42"/>
      <c r="Q1431" s="42"/>
      <c r="R1431" s="42"/>
      <c r="S1431" s="42"/>
      <c r="T1431" s="42"/>
      <c r="U1431" s="42"/>
      <c r="V1431" s="42"/>
      <c r="W1431" s="42"/>
      <c r="X1431" s="42"/>
      <c r="Y1431" s="42"/>
      <c r="Z1431" s="42"/>
    </row>
    <row r="1432">
      <c r="A1432" s="41" t="str">
        <f>IFERROR(__xludf.DUMMYFUNCTION("""COMPUTED_VALUE"""),"S-302")</f>
        <v>S-302</v>
      </c>
      <c r="B1432" s="42" t="str">
        <f>IFERROR(__xludf.DUMMYFUNCTION("""COMPUTED_VALUE"""),"Spell")</f>
        <v>Spell</v>
      </c>
      <c r="C1432" s="42" t="str">
        <f>IFERROR(__xludf.DUMMYFUNCTION("""COMPUTED_VALUE"""),"Diolem Zemoruk")</f>
        <v>Diolem Zemoruk</v>
      </c>
      <c r="D1432" s="42" t="str">
        <f>IFERROR(__xludf.DUMMYFUNCTION("""COMPUTED_VALUE"""),"Demolt")</f>
        <v>Demolt</v>
      </c>
      <c r="E1432" s="42">
        <f>IFERROR(__xludf.DUMMYFUNCTION("""COMPUTED_VALUE"""),8.0)</f>
        <v>8</v>
      </c>
      <c r="F1432" s="42" t="str">
        <f>IFERROR(__xludf.DUMMYFUNCTION("""COMPUTED_VALUE"""),"A")</f>
        <v>A</v>
      </c>
      <c r="G1432" s="42" t="str">
        <f>IFERROR(__xludf.DUMMYFUNCTION("""COMPUTED_VALUE"""),"Superior")</f>
        <v>Superior</v>
      </c>
      <c r="H1432" s="42" t="str">
        <f>IFERROR(__xludf.DUMMYFUNCTION("""COMPUTED_VALUE"""),"Fire")</f>
        <v>Fire</v>
      </c>
      <c r="I1432" s="43" t="str">
        <f>IFERROR(__xludf.DUMMYFUNCTION("""COMPUTED_VALUE"""),"Damage your opponent's Spell Book when you win the Battle as an Attacker. If your opponent SACRIFICED or PROTECTED their Spell Book from this SPELL card's Damage, turn 2 pages of your opponent's Spell Book.")</f>
        <v>Damage your opponent's Spell Book when you win the Battle as an Attacker. If your opponent SACRIFICED or PROTECTED their Spell Book from this SPELL card's Damage, turn 2 pages of your opponent's Spell Book.</v>
      </c>
      <c r="J1432" s="42" t="str">
        <f>IFERROR(__xludf.DUMMYFUNCTION("""COMPUTED_VALUE"""),"+5000")</f>
        <v>+5000</v>
      </c>
      <c r="K1432" s="42">
        <f>IFERROR(__xludf.DUMMYFUNCTION("""COMPUTED_VALUE"""),4.0)</f>
        <v>4</v>
      </c>
      <c r="L1432" s="42" t="str">
        <f>IFERROR(__xludf.DUMMYFUNCTION("""COMPUTED_VALUE"""),"-")</f>
        <v>-</v>
      </c>
      <c r="M1432" s="42" t="str">
        <f>IFERROR(__xludf.DUMMYFUNCTION("""COMPUTED_VALUE"""),"[SR]")</f>
        <v>[SR]</v>
      </c>
      <c r="N1432" s="42" t="str">
        <f>IFERROR(__xludf.DUMMYFUNCTION("""COMPUTED_VALUE"""),"Demolt's 6th spell. Ignites his huge fists in massive flames that can burn away spell books with barely a graze.")</f>
        <v>Demolt's 6th spell. Ignites his huge fists in massive flames that can burn away spell books with barely a graze.</v>
      </c>
      <c r="O1432" s="42"/>
      <c r="P1432" s="42"/>
      <c r="Q1432" s="42"/>
      <c r="R1432" s="42"/>
      <c r="S1432" s="42"/>
      <c r="T1432" s="42"/>
      <c r="U1432" s="42"/>
      <c r="V1432" s="42"/>
      <c r="W1432" s="42"/>
      <c r="X1432" s="42"/>
      <c r="Y1432" s="42"/>
      <c r="Z1432" s="42"/>
    </row>
    <row r="1433">
      <c r="A1433" s="41" t="str">
        <f>IFERROR(__xludf.DUMMYFUNCTION("""COMPUTED_VALUE"""),"S-303")</f>
        <v>S-303</v>
      </c>
      <c r="B1433" s="42" t="str">
        <f>IFERROR(__xludf.DUMMYFUNCTION("""COMPUTED_VALUE"""),"Spell")</f>
        <v>Spell</v>
      </c>
      <c r="C1433" s="42" t="str">
        <f>IFERROR(__xludf.DUMMYFUNCTION("""COMPUTED_VALUE"""),"Baulo Yuruk")</f>
        <v>Baulo Yuruk</v>
      </c>
      <c r="D1433" s="42" t="str">
        <f>IFERROR(__xludf.DUMMYFUNCTION("""COMPUTED_VALUE"""),"Demolt")</f>
        <v>Demolt</v>
      </c>
      <c r="E1433" s="42">
        <f>IFERROR(__xludf.DUMMYFUNCTION("""COMPUTED_VALUE"""),1.0)</f>
        <v>1</v>
      </c>
      <c r="F1433" s="42" t="str">
        <f>IFERROR(__xludf.DUMMYFUNCTION("""COMPUTED_VALUE"""),"A")</f>
        <v>A</v>
      </c>
      <c r="G1433" s="42" t="str">
        <f>IFERROR(__xludf.DUMMYFUNCTION("""COMPUTED_VALUE"""),"None")</f>
        <v>None</v>
      </c>
      <c r="H1433" s="42" t="str">
        <f>IFERROR(__xludf.DUMMYFUNCTION("""COMPUTED_VALUE"""),"-")</f>
        <v>-</v>
      </c>
      <c r="I1433" s="43" t="str">
        <f>IFERROR(__xludf.DUMMYFUNCTION("""COMPUTED_VALUE"""),"[STAY] Put your Demolt MAMODO card in Flight Status during this turn.")</f>
        <v>[STAY] Put your Demolt MAMODO card in Flight Status during this turn.</v>
      </c>
      <c r="J1433" s="42" t="str">
        <f>IFERROR(__xludf.DUMMYFUNCTION("""COMPUTED_VALUE"""),"Special")</f>
        <v>Special</v>
      </c>
      <c r="K1433" s="42" t="str">
        <f>IFERROR(__xludf.DUMMYFUNCTION("""COMPUTED_VALUE"""),"-")</f>
        <v>-</v>
      </c>
      <c r="L1433" s="42" t="str">
        <f>IFERROR(__xludf.DUMMYFUNCTION("""COMPUTED_VALUE"""),"-")</f>
        <v>-</v>
      </c>
      <c r="M1433" s="42" t="str">
        <f>IFERROR(__xludf.DUMMYFUNCTION("""COMPUTED_VALUE"""),"[C]")</f>
        <v>[C]</v>
      </c>
      <c r="N1433" s="42" t="str">
        <f>IFERROR(__xludf.DUMMYFUNCTION("""COMPUTED_VALUE"""),"Demolt's 7th spell. Demolt's wings open and allow him to fly.")</f>
        <v>Demolt's 7th spell. Demolt's wings open and allow him to fly.</v>
      </c>
      <c r="O1433" s="42"/>
      <c r="P1433" s="42"/>
      <c r="Q1433" s="42"/>
      <c r="R1433" s="42"/>
      <c r="S1433" s="42"/>
      <c r="T1433" s="42"/>
      <c r="U1433" s="42"/>
      <c r="V1433" s="42"/>
      <c r="W1433" s="42"/>
      <c r="X1433" s="42"/>
      <c r="Y1433" s="42"/>
      <c r="Z1433" s="42"/>
    </row>
    <row r="1434">
      <c r="A1434" s="41" t="str">
        <f>IFERROR(__xludf.DUMMYFUNCTION("""COMPUTED_VALUE"""),"S-304")</f>
        <v>S-304</v>
      </c>
      <c r="B1434" s="42" t="str">
        <f>IFERROR(__xludf.DUMMYFUNCTION("""COMPUTED_VALUE"""),"Spell")</f>
        <v>Spell</v>
      </c>
      <c r="C1434" s="42" t="str">
        <f>IFERROR(__xludf.DUMMYFUNCTION("""COMPUTED_VALUE"""),"Girgadom Barsuruk")</f>
        <v>Girgadom Barsuruk</v>
      </c>
      <c r="D1434" s="42" t="str">
        <f>IFERROR(__xludf.DUMMYFUNCTION("""COMPUTED_VALUE"""),"Demolt")</f>
        <v>Demolt</v>
      </c>
      <c r="E1434" s="42">
        <f>IFERROR(__xludf.DUMMYFUNCTION("""COMPUTED_VALUE"""),1.0)</f>
        <v>1</v>
      </c>
      <c r="F1434" s="42" t="str">
        <f>IFERROR(__xludf.DUMMYFUNCTION("""COMPUTED_VALUE"""),"A")</f>
        <v>A</v>
      </c>
      <c r="G1434" s="42" t="str">
        <f>IFERROR(__xludf.DUMMYFUNCTION("""COMPUTED_VALUE"""),"Superior")</f>
        <v>Superior</v>
      </c>
      <c r="H1434" s="42" t="str">
        <f>IFERROR(__xludf.DUMMYFUNCTION("""COMPUTED_VALUE"""),"-")</f>
        <v>-</v>
      </c>
      <c r="I1434" s="43" t="str">
        <f>IFERROR(__xludf.DUMMYFUNCTION("""COMPUTED_VALUE"""),"Select 1 Demolt (Berserker) MAMODO card from any page of your Spell Book and place it on a regular Demolt MAMODO card.")</f>
        <v>Select 1 Demolt (Berserker) MAMODO card from any page of your Spell Book and place it on a regular Demolt MAMODO card.</v>
      </c>
      <c r="J1434" s="42" t="str">
        <f>IFERROR(__xludf.DUMMYFUNCTION("""COMPUTED_VALUE"""),"Special")</f>
        <v>Special</v>
      </c>
      <c r="K1434" s="42" t="str">
        <f>IFERROR(__xludf.DUMMYFUNCTION("""COMPUTED_VALUE"""),"-")</f>
        <v>-</v>
      </c>
      <c r="L1434" s="42" t="str">
        <f>IFERROR(__xludf.DUMMYFUNCTION("""COMPUTED_VALUE"""),"-")</f>
        <v>-</v>
      </c>
      <c r="M1434" s="42" t="str">
        <f>IFERROR(__xludf.DUMMYFUNCTION("""COMPUTED_VALUE"""),"[R]")</f>
        <v>[R]</v>
      </c>
      <c r="N1434" s="42" t="str">
        <f>IFERROR(__xludf.DUMMYFUNCTION("""COMPUTED_VALUE"""),"Demolt's 8th spell. A forbidden spell that strengthens Demolt's entire body.")</f>
        <v>Demolt's 8th spell. A forbidden spell that strengthens Demolt's entire body.</v>
      </c>
      <c r="O1434" s="42"/>
      <c r="P1434" s="42"/>
      <c r="Q1434" s="42"/>
      <c r="R1434" s="42"/>
      <c r="S1434" s="42"/>
      <c r="T1434" s="42"/>
      <c r="U1434" s="42"/>
      <c r="V1434" s="42"/>
      <c r="W1434" s="42"/>
      <c r="X1434" s="42"/>
      <c r="Y1434" s="42"/>
      <c r="Z1434" s="42"/>
    </row>
    <row r="1435">
      <c r="A1435" s="41" t="str">
        <f>IFERROR(__xludf.DUMMYFUNCTION("""COMPUTED_VALUE"""),"S-305")</f>
        <v>S-305</v>
      </c>
      <c r="B1435" s="42" t="str">
        <f>IFERROR(__xludf.DUMMYFUNCTION("""COMPUTED_VALUE"""),"Spell")</f>
        <v>Spell</v>
      </c>
      <c r="C1435" s="42" t="str">
        <f>IFERROR(__xludf.DUMMYFUNCTION("""COMPUTED_VALUE"""),"Teoradom")</f>
        <v>Teoradom</v>
      </c>
      <c r="D1435" s="42" t="str">
        <f>IFERROR(__xludf.DUMMYFUNCTION("""COMPUTED_VALUE"""),"Zofis")</f>
        <v>Zofis</v>
      </c>
      <c r="E1435" s="42">
        <f>IFERROR(__xludf.DUMMYFUNCTION("""COMPUTED_VALUE"""),2.0)</f>
        <v>2</v>
      </c>
      <c r="F1435" s="42" t="str">
        <f>IFERROR(__xludf.DUMMYFUNCTION("""COMPUTED_VALUE"""),"AD")</f>
        <v>AD</v>
      </c>
      <c r="G1435" s="42" t="str">
        <f>IFERROR(__xludf.DUMMYFUNCTION("""COMPUTED_VALUE"""),"Intermediate")</f>
        <v>Intermediate</v>
      </c>
      <c r="H1435" s="42" t="str">
        <f>IFERROR(__xludf.DUMMYFUNCTION("""COMPUTED_VALUE"""),"-")</f>
        <v>-</v>
      </c>
      <c r="I1435" s="43" t="str">
        <f>IFERROR(__xludf.DUMMYFUNCTION("""COMPUTED_VALUE"""),"Damage your opponent's Spell Book when you win the Battle as an Attacker.")</f>
        <v>Damage your opponent's Spell Book when you win the Battle as an Attacker.</v>
      </c>
      <c r="J1435" s="42" t="str">
        <f>IFERROR(__xludf.DUMMYFUNCTION("""COMPUTED_VALUE"""),"+2000")</f>
        <v>+2000</v>
      </c>
      <c r="K1435" s="42">
        <f>IFERROR(__xludf.DUMMYFUNCTION("""COMPUTED_VALUE"""),3.0)</f>
        <v>3</v>
      </c>
      <c r="L1435" s="42" t="str">
        <f>IFERROR(__xludf.DUMMYFUNCTION("""COMPUTED_VALUE"""),"-")</f>
        <v>-</v>
      </c>
      <c r="M1435" s="42" t="str">
        <f>IFERROR(__xludf.DUMMYFUNCTION("""COMPUTED_VALUE"""),"[R]")</f>
        <v>[R]</v>
      </c>
      <c r="N1435" s="42" t="str">
        <f>IFERROR(__xludf.DUMMYFUNCTION("""COMPUTED_VALUE"""),"Zofis' 3rd spell. ""Oh, my... What's wrong? Your spell isn't as powerful as usual.""")</f>
        <v>Zofis' 3rd spell. "Oh, my... What's wrong? Your spell isn't as powerful as usual."</v>
      </c>
      <c r="O1435" s="42"/>
      <c r="P1435" s="42"/>
      <c r="Q1435" s="42"/>
      <c r="R1435" s="42"/>
      <c r="S1435" s="42"/>
      <c r="T1435" s="42"/>
      <c r="U1435" s="42"/>
      <c r="V1435" s="42"/>
      <c r="W1435" s="42"/>
      <c r="X1435" s="42"/>
      <c r="Y1435" s="42"/>
      <c r="Z1435" s="42"/>
    </row>
    <row r="1436">
      <c r="A1436" s="41" t="str">
        <f>IFERROR(__xludf.DUMMYFUNCTION("""COMPUTED_VALUE"""),"S-306")</f>
        <v>S-306</v>
      </c>
      <c r="B1436" s="42" t="str">
        <f>IFERROR(__xludf.DUMMYFUNCTION("""COMPUTED_VALUE"""),"Spell")</f>
        <v>Spell</v>
      </c>
      <c r="C1436" s="42" t="str">
        <f>IFERROR(__xludf.DUMMYFUNCTION("""COMPUTED_VALUE"""),"Dioga Teoradom")</f>
        <v>Dioga Teoradom</v>
      </c>
      <c r="D1436" s="42" t="str">
        <f>IFERROR(__xludf.DUMMYFUNCTION("""COMPUTED_VALUE"""),"Zofis")</f>
        <v>Zofis</v>
      </c>
      <c r="E1436" s="42">
        <f>IFERROR(__xludf.DUMMYFUNCTION("""COMPUTED_VALUE"""),8.0)</f>
        <v>8</v>
      </c>
      <c r="F1436" s="42" t="str">
        <f>IFERROR(__xludf.DUMMYFUNCTION("""COMPUTED_VALUE"""),"AD")</f>
        <v>AD</v>
      </c>
      <c r="G1436" s="42" t="str">
        <f>IFERROR(__xludf.DUMMYFUNCTION("""COMPUTED_VALUE"""),"Superior")</f>
        <v>Superior</v>
      </c>
      <c r="H1436" s="42" t="str">
        <f>IFERROR(__xludf.DUMMYFUNCTION("""COMPUTED_VALUE"""),"-")</f>
        <v>-</v>
      </c>
      <c r="I1436" s="43" t="str">
        <f>IFERROR(__xludf.DUMMYFUNCTION("""COMPUTED_VALUE"""),"Damage your opponent's Spell Book when you win the Battle as an Attacker. When you inflict Damage or Injury, send all of your opponent's in-play cards (except MAMODO cards) to the Discard Pile.")</f>
        <v>Damage your opponent's Spell Book when you win the Battle as an Attacker. When you inflict Damage or Injury, send all of your opponent's in-play cards (except MAMODO cards) to the Discard Pile.</v>
      </c>
      <c r="J1436" s="42" t="str">
        <f>IFERROR(__xludf.DUMMYFUNCTION("""COMPUTED_VALUE"""),"+8000")</f>
        <v>+8000</v>
      </c>
      <c r="K1436" s="42">
        <f>IFERROR(__xludf.DUMMYFUNCTION("""COMPUTED_VALUE"""),3.0)</f>
        <v>3</v>
      </c>
      <c r="L1436" s="42" t="str">
        <f>IFERROR(__xludf.DUMMYFUNCTION("""COMPUTED_VALUE"""),"-")</f>
        <v>-</v>
      </c>
      <c r="M1436" s="42" t="str">
        <f>IFERROR(__xludf.DUMMYFUNCTION("""COMPUTED_VALUE"""),"[SR]")</f>
        <v>[SR]</v>
      </c>
      <c r="N1436" s="42" t="str">
        <f>IFERROR(__xludf.DUMMYFUNCTION("""COMPUTED_VALUE"""),"Zofis' 4th spell. ""Don't you understand that I'm the one who's furious?!""")</f>
        <v>Zofis' 4th spell. "Don't you understand that I'm the one who's furious?!"</v>
      </c>
      <c r="O1436" s="42"/>
      <c r="P1436" s="42"/>
      <c r="Q1436" s="42"/>
      <c r="R1436" s="42"/>
      <c r="S1436" s="42"/>
      <c r="T1436" s="42"/>
      <c r="U1436" s="42"/>
      <c r="V1436" s="42"/>
      <c r="W1436" s="42"/>
      <c r="X1436" s="42"/>
      <c r="Y1436" s="42"/>
      <c r="Z1436" s="42"/>
    </row>
    <row r="1437">
      <c r="A1437" s="41" t="str">
        <f>IFERROR(__xludf.DUMMYFUNCTION("""COMPUTED_VALUE"""),"S-307")</f>
        <v>S-307</v>
      </c>
      <c r="B1437" s="42" t="str">
        <f>IFERROR(__xludf.DUMMYFUNCTION("""COMPUTED_VALUE"""),"Spell")</f>
        <v>Spell</v>
      </c>
      <c r="C1437" s="42" t="str">
        <f>IFERROR(__xludf.DUMMYFUNCTION("""COMPUTED_VALUE"""),"Oruga Radom")</f>
        <v>Oruga Radom</v>
      </c>
      <c r="D1437" s="42" t="str">
        <f>IFERROR(__xludf.DUMMYFUNCTION("""COMPUTED_VALUE"""),"Zofis")</f>
        <v>Zofis</v>
      </c>
      <c r="E1437" s="42">
        <f>IFERROR(__xludf.DUMMYFUNCTION("""COMPUTED_VALUE"""),3.0)</f>
        <v>3</v>
      </c>
      <c r="F1437" s="42" t="str">
        <f>IFERROR(__xludf.DUMMYFUNCTION("""COMPUTED_VALUE"""),"AD")</f>
        <v>AD</v>
      </c>
      <c r="G1437" s="42" t="str">
        <f>IFERROR(__xludf.DUMMYFUNCTION("""COMPUTED_VALUE"""),"Intermediate")</f>
        <v>Intermediate</v>
      </c>
      <c r="H1437" s="42" t="str">
        <f>IFERROR(__xludf.DUMMYFUNCTION("""COMPUTED_VALUE"""),"-")</f>
        <v>-</v>
      </c>
      <c r="I1437" s="43" t="str">
        <f>IFERROR(__xludf.DUMMYFUNCTION("""COMPUTED_VALUE"""),"Damage your opponent's Spell Book when you win the Battle as an Attacker. Any MAMODO card Injured by this SPELL card is sent to the Discard Pile. Power+3000")</f>
        <v>Damage your opponent's Spell Book when you win the Battle as an Attacker. Any MAMODO card Injured by this SPELL card is sent to the Discard Pile. Power+3000</v>
      </c>
      <c r="J1437" s="42" t="str">
        <f>IFERROR(__xludf.DUMMYFUNCTION("""COMPUTED_VALUE"""),"-")</f>
        <v>-</v>
      </c>
      <c r="K1437" s="42">
        <f>IFERROR(__xludf.DUMMYFUNCTION("""COMPUTED_VALUE"""),2.0)</f>
        <v>2</v>
      </c>
      <c r="L1437" s="42" t="str">
        <f>IFERROR(__xludf.DUMMYFUNCTION("""COMPUTED_VALUE"""),"-")</f>
        <v>-</v>
      </c>
      <c r="M1437" s="42" t="str">
        <f>IFERROR(__xludf.DUMMYFUNCTION("""COMPUTED_VALUE"""),"[R]")</f>
        <v>[R]</v>
      </c>
      <c r="N1437" s="42" t="str">
        <f>IFERROR(__xludf.DUMMYFUNCTION("""COMPUTED_VALUE"""),"Zofis' 6th spell. Like Oruga Reis, it fires spiralling energy.")</f>
        <v>Zofis' 6th spell. Like Oruga Reis, it fires spiralling energy.</v>
      </c>
      <c r="O1437" s="42"/>
      <c r="P1437" s="42"/>
      <c r="Q1437" s="42"/>
      <c r="R1437" s="42"/>
      <c r="S1437" s="42"/>
      <c r="T1437" s="42"/>
      <c r="U1437" s="42"/>
      <c r="V1437" s="42"/>
      <c r="W1437" s="42"/>
      <c r="X1437" s="42"/>
      <c r="Y1437" s="42"/>
      <c r="Z1437" s="42"/>
    </row>
    <row r="1438">
      <c r="A1438" s="41" t="str">
        <f>IFERROR(__xludf.DUMMYFUNCTION("""COMPUTED_VALUE"""),"S-308")</f>
        <v>S-308</v>
      </c>
      <c r="B1438" s="42" t="str">
        <f>IFERROR(__xludf.DUMMYFUNCTION("""COMPUTED_VALUE"""),"Spell")</f>
        <v>Spell</v>
      </c>
      <c r="C1438" s="42" t="str">
        <f>IFERROR(__xludf.DUMMYFUNCTION("""COMPUTED_VALUE"""),"Gigano Radom")</f>
        <v>Gigano Radom</v>
      </c>
      <c r="D1438" s="42" t="str">
        <f>IFERROR(__xludf.DUMMYFUNCTION("""COMPUTED_VALUE"""),"Zofis")</f>
        <v>Zofis</v>
      </c>
      <c r="E1438" s="42">
        <f>IFERROR(__xludf.DUMMYFUNCTION("""COMPUTED_VALUE"""),4.0)</f>
        <v>4</v>
      </c>
      <c r="F1438" s="42" t="str">
        <f>IFERROR(__xludf.DUMMYFUNCTION("""COMPUTED_VALUE"""),"AD")</f>
        <v>AD</v>
      </c>
      <c r="G1438" s="42" t="str">
        <f>IFERROR(__xludf.DUMMYFUNCTION("""COMPUTED_VALUE"""),"Intermediate")</f>
        <v>Intermediate</v>
      </c>
      <c r="H1438" s="42" t="str">
        <f>IFERROR(__xludf.DUMMYFUNCTION("""COMPUTED_VALUE"""),"-")</f>
        <v>-</v>
      </c>
      <c r="I1438" s="43" t="str">
        <f>IFERROR(__xludf.DUMMYFUNCTION("""COMPUTED_VALUE"""),"Damage your opponent's Spell Book when you win the Battle as an Attacker. When you inflict Damage or Injury, send all of your opponent's in-play PARTNER cards to the Discard Pile until your opponent has only 1 PARTNER card in play.")</f>
        <v>Damage your opponent's Spell Book when you win the Battle as an Attacker. When you inflict Damage or Injury, send all of your opponent's in-play PARTNER cards to the Discard Pile until your opponent has only 1 PARTNER card in play.</v>
      </c>
      <c r="J1438" s="42" t="str">
        <f>IFERROR(__xludf.DUMMYFUNCTION("""COMPUTED_VALUE"""),"+3000")</f>
        <v>+3000</v>
      </c>
      <c r="K1438" s="42">
        <f>IFERROR(__xludf.DUMMYFUNCTION("""COMPUTED_VALUE"""),3.0)</f>
        <v>3</v>
      </c>
      <c r="L1438" s="42" t="str">
        <f>IFERROR(__xludf.DUMMYFUNCTION("""COMPUTED_VALUE"""),"-")</f>
        <v>-</v>
      </c>
      <c r="M1438" s="42" t="str">
        <f>IFERROR(__xludf.DUMMYFUNCTION("""COMPUTED_VALUE"""),"[R]")</f>
        <v>[R]</v>
      </c>
      <c r="N1438" s="42" t="str">
        <f>IFERROR(__xludf.DUMMYFUNCTION("""COMPUTED_VALUE"""),"Zofis' 7th spell. An exploding sphere with a degree of power equal to Gigano Reis!")</f>
        <v>Zofis' 7th spell. An exploding sphere with a degree of power equal to Gigano Reis!</v>
      </c>
      <c r="O1438" s="42"/>
      <c r="P1438" s="42"/>
      <c r="Q1438" s="42"/>
      <c r="R1438" s="42"/>
      <c r="S1438" s="42"/>
      <c r="T1438" s="42"/>
      <c r="U1438" s="42"/>
      <c r="V1438" s="42"/>
      <c r="W1438" s="42"/>
      <c r="X1438" s="42"/>
      <c r="Y1438" s="42"/>
      <c r="Z1438" s="42"/>
    </row>
    <row r="1439">
      <c r="A1439" s="41" t="str">
        <f>IFERROR(__xludf.DUMMYFUNCTION("""COMPUTED_VALUE"""),"S-309")</f>
        <v>S-309</v>
      </c>
      <c r="B1439" s="42" t="str">
        <f>IFERROR(__xludf.DUMMYFUNCTION("""COMPUTED_VALUE"""),"Spell")</f>
        <v>Spell</v>
      </c>
      <c r="C1439" s="42" t="str">
        <f>IFERROR(__xludf.DUMMYFUNCTION("""COMPUTED_VALUE"""),"Digan Teoradom")</f>
        <v>Digan Teoradom</v>
      </c>
      <c r="D1439" s="42" t="str">
        <f>IFERROR(__xludf.DUMMYFUNCTION("""COMPUTED_VALUE"""),"Zofis")</f>
        <v>Zofis</v>
      </c>
      <c r="E1439" s="42">
        <f>IFERROR(__xludf.DUMMYFUNCTION("""COMPUTED_VALUE"""),8.0)</f>
        <v>8</v>
      </c>
      <c r="F1439" s="42" t="str">
        <f>IFERROR(__xludf.DUMMYFUNCTION("""COMPUTED_VALUE"""),"AD")</f>
        <v>AD</v>
      </c>
      <c r="G1439" s="42" t="str">
        <f>IFERROR(__xludf.DUMMYFUNCTION("""COMPUTED_VALUE"""),"Superior")</f>
        <v>Superior</v>
      </c>
      <c r="H1439" s="42" t="str">
        <f>IFERROR(__xludf.DUMMYFUNCTION("""COMPUTED_VALUE"""),"-")</f>
        <v>-</v>
      </c>
      <c r="I1439" s="43" t="str">
        <f>IFERROR(__xludf.DUMMYFUNCTION("""COMPUTED_VALUE"""),"This SPELL card can be played up to 4 times per turn (per player). Damage your opponent's Spell Book when you win the Battle as an Attacker.")</f>
        <v>This SPELL card can be played up to 4 times per turn (per player). Damage your opponent's Spell Book when you win the Battle as an Attacker.</v>
      </c>
      <c r="J1439" s="42" t="str">
        <f>IFERROR(__xludf.DUMMYFUNCTION("""COMPUTED_VALUE"""),"+8000")</f>
        <v>+8000</v>
      </c>
      <c r="K1439" s="42">
        <f>IFERROR(__xludf.DUMMYFUNCTION("""COMPUTED_VALUE"""),3.0)</f>
        <v>3</v>
      </c>
      <c r="L1439" s="42" t="str">
        <f>IFERROR(__xludf.DUMMYFUNCTION("""COMPUTED_VALUE"""),"-")</f>
        <v>-</v>
      </c>
      <c r="M1439" s="42" t="str">
        <f>IFERROR(__xludf.DUMMYFUNCTION("""COMPUTED_VALUE"""),"[SR]")</f>
        <v>[SR]</v>
      </c>
      <c r="N1439" s="42" t="str">
        <f>IFERROR(__xludf.DUMMYFUNCTION("""COMPUTED_VALUE"""),"Zofis' 8th spell. ""I wonder how many more times can you withstand this attack?""")</f>
        <v>Zofis' 8th spell. "I wonder how many more times can you withstand this attack?"</v>
      </c>
      <c r="O1439" s="42"/>
      <c r="P1439" s="42"/>
      <c r="Q1439" s="42"/>
      <c r="R1439" s="42"/>
      <c r="S1439" s="42"/>
      <c r="T1439" s="42"/>
      <c r="U1439" s="42"/>
      <c r="V1439" s="42"/>
      <c r="W1439" s="42"/>
      <c r="X1439" s="42"/>
      <c r="Y1439" s="42"/>
      <c r="Z1439" s="42"/>
    </row>
    <row r="1440">
      <c r="A1440" s="41" t="str">
        <f>IFERROR(__xludf.DUMMYFUNCTION("""COMPUTED_VALUE"""),"S-310")</f>
        <v>S-310</v>
      </c>
      <c r="B1440" s="42" t="str">
        <f>IFERROR(__xludf.DUMMYFUNCTION("""COMPUTED_VALUE"""),"Spell")</f>
        <v>Spell</v>
      </c>
      <c r="C1440" s="42" t="str">
        <f>IFERROR(__xludf.DUMMYFUNCTION("""COMPUTED_VALUE"""),"Reis")</f>
        <v>Reis</v>
      </c>
      <c r="D1440" s="42" t="str">
        <f>IFERROR(__xludf.DUMMYFUNCTION("""COMPUTED_VALUE"""),"Brago")</f>
        <v>Brago</v>
      </c>
      <c r="E1440" s="42">
        <f>IFERROR(__xludf.DUMMYFUNCTION("""COMPUTED_VALUE"""),1.0)</f>
        <v>1</v>
      </c>
      <c r="F1440" s="42" t="str">
        <f>IFERROR(__xludf.DUMMYFUNCTION("""COMPUTED_VALUE"""),"AD")</f>
        <v>AD</v>
      </c>
      <c r="G1440" s="42" t="str">
        <f>IFERROR(__xludf.DUMMYFUNCTION("""COMPUTED_VALUE"""),"None")</f>
        <v>None</v>
      </c>
      <c r="H1440" s="42" t="str">
        <f>IFERROR(__xludf.DUMMYFUNCTION("""COMPUTED_VALUE"""),"Down Force")</f>
        <v>Down Force</v>
      </c>
      <c r="I1440" s="43" t="str">
        <f>IFERROR(__xludf.DUMMYFUNCTION("""COMPUTED_VALUE"""),"Damage your opponent's Spell Book when you win the Battle as an Attacker.")</f>
        <v>Damage your opponent's Spell Book when you win the Battle as an Attacker.</v>
      </c>
      <c r="J1440" s="42" t="str">
        <f>IFERROR(__xludf.DUMMYFUNCTION("""COMPUTED_VALUE"""),"+1000")</f>
        <v>+1000</v>
      </c>
      <c r="K1440" s="42">
        <f>IFERROR(__xludf.DUMMYFUNCTION("""COMPUTED_VALUE"""),1.0)</f>
        <v>1</v>
      </c>
      <c r="L1440" s="42" t="str">
        <f>IFERROR(__xludf.DUMMYFUNCTION("""COMPUTED_VALUE"""),"-")</f>
        <v>-</v>
      </c>
      <c r="M1440" s="42" t="str">
        <f>IFERROR(__xludf.DUMMYFUNCTION("""COMPUTED_VALUE"""),"[C]")</f>
        <v>[C]</v>
      </c>
      <c r="N1440" s="42" t="str">
        <f>IFERROR(__xludf.DUMMYFUNCTION("""COMPUTED_VALUE"""),"Brago's 1st spell. A gravity cluster that can have its power suppressed on command.")</f>
        <v>Brago's 1st spell. A gravity cluster that can have its power suppressed on command.</v>
      </c>
      <c r="O1440" s="42"/>
      <c r="P1440" s="42"/>
      <c r="Q1440" s="42"/>
      <c r="R1440" s="42"/>
      <c r="S1440" s="42"/>
      <c r="T1440" s="42"/>
      <c r="U1440" s="42"/>
      <c r="V1440" s="42"/>
      <c r="W1440" s="42"/>
      <c r="X1440" s="42"/>
      <c r="Y1440" s="42"/>
      <c r="Z1440" s="42"/>
    </row>
    <row r="1441">
      <c r="A1441" s="41" t="str">
        <f>IFERROR(__xludf.DUMMYFUNCTION("""COMPUTED_VALUE"""),"S-311")</f>
        <v>S-311</v>
      </c>
      <c r="B1441" s="42" t="str">
        <f>IFERROR(__xludf.DUMMYFUNCTION("""COMPUTED_VALUE"""),"Spell")</f>
        <v>Spell</v>
      </c>
      <c r="C1441" s="42" t="str">
        <f>IFERROR(__xludf.DUMMYFUNCTION("""COMPUTED_VALUE"""),"Gravirei")</f>
        <v>Gravirei</v>
      </c>
      <c r="D1441" s="42" t="str">
        <f>IFERROR(__xludf.DUMMYFUNCTION("""COMPUTED_VALUE"""),"Brago")</f>
        <v>Brago</v>
      </c>
      <c r="E1441" s="42">
        <f>IFERROR(__xludf.DUMMYFUNCTION("""COMPUTED_VALUE"""),2.0)</f>
        <v>2</v>
      </c>
      <c r="F1441" s="42" t="str">
        <f>IFERROR(__xludf.DUMMYFUNCTION("""COMPUTED_VALUE"""),"A")</f>
        <v>A</v>
      </c>
      <c r="G1441" s="42" t="str">
        <f>IFERROR(__xludf.DUMMYFUNCTION("""COMPUTED_VALUE"""),"None")</f>
        <v>None</v>
      </c>
      <c r="H1441" s="42" t="str">
        <f>IFERROR(__xludf.DUMMYFUNCTION("""COMPUTED_VALUE"""),"Down Force")</f>
        <v>Down Force</v>
      </c>
      <c r="I1441" s="43" t="str">
        <f>IFERROR(__xludf.DUMMYFUNCTION("""COMPUTED_VALUE"""),"[STAY] Select 1 of your opponent's in-play cards when you win the Battle as an Attacker. Your opponent cannot apply the effects with [In Play] of the selected card during this game.")</f>
        <v>[STAY] Select 1 of your opponent's in-play cards when you win the Battle as an Attacker. Your opponent cannot apply the effects with [In Play] of the selected card during this game.</v>
      </c>
      <c r="J1441" s="42" t="str">
        <f>IFERROR(__xludf.DUMMYFUNCTION("""COMPUTED_VALUE"""),"+2000")</f>
        <v>+2000</v>
      </c>
      <c r="K1441" s="42" t="str">
        <f>IFERROR(__xludf.DUMMYFUNCTION("""COMPUTED_VALUE"""),"-")</f>
        <v>-</v>
      </c>
      <c r="L1441" s="42" t="str">
        <f>IFERROR(__xludf.DUMMYFUNCTION("""COMPUTED_VALUE"""),"-")</f>
        <v>-</v>
      </c>
      <c r="M1441" s="42" t="str">
        <f>IFERROR(__xludf.DUMMYFUNCTION("""COMPUTED_VALUE"""),"[C]")</f>
        <v>[C]</v>
      </c>
      <c r="N1441" s="42" t="str">
        <f>IFERROR(__xludf.DUMMYFUNCTION("""COMPUTED_VALUE"""),"Brago's 2nd spell. Humans can survive being crushed under its gravity, but are unable to take further action.")</f>
        <v>Brago's 2nd spell. Humans can survive being crushed under its gravity, but are unable to take further action.</v>
      </c>
      <c r="O1441" s="42"/>
      <c r="P1441" s="42"/>
      <c r="Q1441" s="42"/>
      <c r="R1441" s="42"/>
      <c r="S1441" s="42"/>
      <c r="T1441" s="42"/>
      <c r="U1441" s="42"/>
      <c r="V1441" s="42"/>
      <c r="W1441" s="42"/>
      <c r="X1441" s="42"/>
      <c r="Y1441" s="42"/>
      <c r="Z1441" s="42"/>
    </row>
    <row r="1442">
      <c r="A1442" s="41" t="str">
        <f>IFERROR(__xludf.DUMMYFUNCTION("""COMPUTED_VALUE"""),"S-312")</f>
        <v>S-312</v>
      </c>
      <c r="B1442" s="42" t="str">
        <f>IFERROR(__xludf.DUMMYFUNCTION("""COMPUTED_VALUE"""),"Spell")</f>
        <v>Spell</v>
      </c>
      <c r="C1442" s="42" t="str">
        <f>IFERROR(__xludf.DUMMYFUNCTION("""COMPUTED_VALUE"""),"Dioga Gravidon")</f>
        <v>Dioga Gravidon</v>
      </c>
      <c r="D1442" s="42" t="str">
        <f>IFERROR(__xludf.DUMMYFUNCTION("""COMPUTED_VALUE"""),"Brago")</f>
        <v>Brago</v>
      </c>
      <c r="E1442" s="42">
        <f>IFERROR(__xludf.DUMMYFUNCTION("""COMPUTED_VALUE"""),6.0)</f>
        <v>6</v>
      </c>
      <c r="F1442" s="42" t="str">
        <f>IFERROR(__xludf.DUMMYFUNCTION("""COMPUTED_VALUE"""),"AD")</f>
        <v>AD</v>
      </c>
      <c r="G1442" s="42" t="str">
        <f>IFERROR(__xludf.DUMMYFUNCTION("""COMPUTED_VALUE"""),"Superior")</f>
        <v>Superior</v>
      </c>
      <c r="H1442" s="42" t="str">
        <f>IFERROR(__xludf.DUMMYFUNCTION("""COMPUTED_VALUE"""),"Down Force")</f>
        <v>Down Force</v>
      </c>
      <c r="I1442" s="43" t="str">
        <f>IFERROR(__xludf.DUMMYFUNCTION("""COMPUTED_VALUE"""),"Apply both of the following effects in order when you win the Battle as an Attacker: ● Damage your opponent's Spell Book. ● Send 1 of your opponent's Injured MAMODO to the Discard Pile. Power+6000")</f>
        <v>Apply both of the following effects in order when you win the Battle as an Attacker: ● Damage your opponent's Spell Book. ● Send 1 of your opponent's Injured MAMODO to the Discard Pile. Power+6000</v>
      </c>
      <c r="J1442" s="42" t="str">
        <f>IFERROR(__xludf.DUMMYFUNCTION("""COMPUTED_VALUE"""),"-")</f>
        <v>-</v>
      </c>
      <c r="K1442" s="42">
        <f>IFERROR(__xludf.DUMMYFUNCTION("""COMPUTED_VALUE"""),2.0)</f>
        <v>2</v>
      </c>
      <c r="L1442" s="42" t="str">
        <f>IFERROR(__xludf.DUMMYFUNCTION("""COMPUTED_VALUE"""),"-")</f>
        <v>-</v>
      </c>
      <c r="M1442" s="42" t="str">
        <f>IFERROR(__xludf.DUMMYFUNCTION("""COMPUTED_VALUE"""),"[SR]")</f>
        <v>[SR]</v>
      </c>
      <c r="N1442" s="42" t="str">
        <f>IFERROR(__xludf.DUMMYFUNCTION("""COMPUTED_VALUE"""),"Brago's 5th spell. It has enough power to instantly obliterate any spell in its path.")</f>
        <v>Brago's 5th spell. It has enough power to instantly obliterate any spell in its path.</v>
      </c>
      <c r="O1442" s="42"/>
      <c r="P1442" s="42"/>
      <c r="Q1442" s="42"/>
      <c r="R1442" s="42"/>
      <c r="S1442" s="42"/>
      <c r="T1442" s="42"/>
      <c r="U1442" s="42"/>
      <c r="V1442" s="42"/>
      <c r="W1442" s="42"/>
      <c r="X1442" s="42"/>
      <c r="Y1442" s="42"/>
      <c r="Z1442" s="42"/>
    </row>
    <row r="1443">
      <c r="A1443" s="41" t="str">
        <f>IFERROR(__xludf.DUMMYFUNCTION("""COMPUTED_VALUE"""),"S-313")</f>
        <v>S-313</v>
      </c>
      <c r="B1443" s="42" t="str">
        <f>IFERROR(__xludf.DUMMYFUNCTION("""COMPUTED_VALUE"""),"Spell")</f>
        <v>Spell</v>
      </c>
      <c r="C1443" s="42" t="str">
        <f>IFERROR(__xludf.DUMMYFUNCTION("""COMPUTED_VALUE"""),"Baber Gravidon")</f>
        <v>Baber Gravidon</v>
      </c>
      <c r="D1443" s="42" t="str">
        <f>IFERROR(__xludf.DUMMYFUNCTION("""COMPUTED_VALUE"""),"Brago")</f>
        <v>Brago</v>
      </c>
      <c r="E1443" s="42">
        <f>IFERROR(__xludf.DUMMYFUNCTION("""COMPUTED_VALUE"""),1.0)</f>
        <v>1</v>
      </c>
      <c r="F1443" s="42" t="str">
        <f>IFERROR(__xludf.DUMMYFUNCTION("""COMPUTED_VALUE"""),"A")</f>
        <v>A</v>
      </c>
      <c r="G1443" s="42" t="str">
        <f>IFERROR(__xludf.DUMMYFUNCTION("""COMPUTED_VALUE"""),"Superior")</f>
        <v>Superior</v>
      </c>
      <c r="H1443" s="42" t="str">
        <f>IFERROR(__xludf.DUMMYFUNCTION("""COMPUTED_VALUE"""),"Down Force")</f>
        <v>Down Force</v>
      </c>
      <c r="I1443" s="43" t="str">
        <f>IFERROR(__xludf.DUMMYFUNCTION("""COMPUTED_VALUE"""),"Apply both of the following effects in order when you win the Battle as an Attacker: ● Injure all of your opponent's MAMODO cards. ● Damage your opponent's Spell Book.")</f>
        <v>Apply both of the following effects in order when you win the Battle as an Attacker: ● Injure all of your opponent's MAMODO cards. ● Damage your opponent's Spell Book.</v>
      </c>
      <c r="J1443" s="42" t="str">
        <f>IFERROR(__xludf.DUMMYFUNCTION("""COMPUTED_VALUE"""),"+7000")</f>
        <v>+7000</v>
      </c>
      <c r="K1443" s="42">
        <f>IFERROR(__xludf.DUMMYFUNCTION("""COMPUTED_VALUE"""),4.0)</f>
        <v>4</v>
      </c>
      <c r="L1443" s="42" t="str">
        <f>IFERROR(__xludf.DUMMYFUNCTION("""COMPUTED_VALUE"""),"-")</f>
        <v>-</v>
      </c>
      <c r="M1443" s="42" t="str">
        <f>IFERROR(__xludf.DUMMYFUNCTION("""COMPUTED_VALUE"""),"[SR]")</f>
        <v>[SR]</v>
      </c>
      <c r="N1443" s="42" t="str">
        <f>IFERROR(__xludf.DUMMYFUNCTION("""COMPUTED_VALUE"""),"Brago's 8th spell. Now that Sherry has heard Koko's heart crying out to her... what is the true extent of its power?!")</f>
        <v>Brago's 8th spell. Now that Sherry has heard Koko's heart crying out to her... what is the true extent of its power?!</v>
      </c>
      <c r="O1443" s="42"/>
      <c r="P1443" s="42"/>
      <c r="Q1443" s="42"/>
      <c r="R1443" s="42"/>
      <c r="S1443" s="42"/>
      <c r="T1443" s="42"/>
      <c r="U1443" s="42"/>
      <c r="V1443" s="42"/>
      <c r="W1443" s="42"/>
      <c r="X1443" s="42"/>
      <c r="Y1443" s="42"/>
      <c r="Z1443" s="42"/>
    </row>
    <row r="1444">
      <c r="A1444" s="41" t="str">
        <f>IFERROR(__xludf.DUMMYFUNCTION("""COMPUTED_VALUE"""),"S-314")</f>
        <v>S-314</v>
      </c>
      <c r="B1444" s="42" t="str">
        <f>IFERROR(__xludf.DUMMYFUNCTION("""COMPUTED_VALUE"""),"Spell")</f>
        <v>Spell</v>
      </c>
      <c r="C1444" s="42" t="str">
        <f>IFERROR(__xludf.DUMMYFUNCTION("""COMPUTED_VALUE"""),"Radom")</f>
        <v>Radom</v>
      </c>
      <c r="D1444" s="42" t="str">
        <f>IFERROR(__xludf.DUMMYFUNCTION("""COMPUTED_VALUE"""),"Zofis")</f>
        <v>Zofis</v>
      </c>
      <c r="E1444" s="42">
        <f>IFERROR(__xludf.DUMMYFUNCTION("""COMPUTED_VALUE"""),1.0)</f>
        <v>1</v>
      </c>
      <c r="F1444" s="42" t="str">
        <f>IFERROR(__xludf.DUMMYFUNCTION("""COMPUTED_VALUE"""),"AD")</f>
        <v>AD</v>
      </c>
      <c r="G1444" s="42" t="str">
        <f>IFERROR(__xludf.DUMMYFUNCTION("""COMPUTED_VALUE"""),"None")</f>
        <v>None</v>
      </c>
      <c r="H1444" s="42" t="str">
        <f>IFERROR(__xludf.DUMMYFUNCTION("""COMPUTED_VALUE"""),"-")</f>
        <v>-</v>
      </c>
      <c r="I1444" s="43" t="str">
        <f>IFERROR(__xludf.DUMMYFUNCTION("""COMPUTED_VALUE"""),"Damage your opponent's Spell Book when you win the Battle as an Attacker.")</f>
        <v>Damage your opponent's Spell Book when you win the Battle as an Attacker.</v>
      </c>
      <c r="J1444" s="42" t="str">
        <f>IFERROR(__xludf.DUMMYFUNCTION("""COMPUTED_VALUE"""),"+1000")</f>
        <v>+1000</v>
      </c>
      <c r="K1444" s="42">
        <f>IFERROR(__xludf.DUMMYFUNCTION("""COMPUTED_VALUE"""),2.0)</f>
        <v>2</v>
      </c>
      <c r="L1444" s="42" t="str">
        <f>IFERROR(__xludf.DUMMYFUNCTION("""COMPUTED_VALUE"""),"-")</f>
        <v>-</v>
      </c>
      <c r="M1444" s="42" t="str">
        <f>IFERROR(__xludf.DUMMYFUNCTION("""COMPUTED_VALUE"""),"[C]")</f>
        <v>[C]</v>
      </c>
      <c r="N1444" s="42" t="str">
        <f>IFERROR(__xludf.DUMMYFUNCTION("""COMPUTED_VALUE"""),"Zofis' 1st spell. An exploding orb of light is discharged from the palm of his hand.")</f>
        <v>Zofis' 1st spell. An exploding orb of light is discharged from the palm of his hand.</v>
      </c>
      <c r="O1444" s="42"/>
      <c r="P1444" s="42"/>
      <c r="Q1444" s="42"/>
      <c r="R1444" s="42"/>
      <c r="S1444" s="42"/>
      <c r="T1444" s="42"/>
      <c r="U1444" s="42"/>
      <c r="V1444" s="42"/>
      <c r="W1444" s="42"/>
      <c r="X1444" s="42"/>
      <c r="Y1444" s="42"/>
      <c r="Z1444" s="42"/>
    </row>
    <row r="1445">
      <c r="A1445" s="41" t="str">
        <f>IFERROR(__xludf.DUMMYFUNCTION("""COMPUTED_VALUE"""),"S-315")</f>
        <v>S-315</v>
      </c>
      <c r="B1445" s="42" t="str">
        <f>IFERROR(__xludf.DUMMYFUNCTION("""COMPUTED_VALUE"""),"Spell")</f>
        <v>Spell</v>
      </c>
      <c r="C1445" s="42" t="str">
        <f>IFERROR(__xludf.DUMMYFUNCTION("""COMPUTED_VALUE"""),"Rond Radom")</f>
        <v>Rond Radom</v>
      </c>
      <c r="D1445" s="42" t="str">
        <f>IFERROR(__xludf.DUMMYFUNCTION("""COMPUTED_VALUE"""),"Zofis")</f>
        <v>Zofis</v>
      </c>
      <c r="E1445" s="42">
        <f>IFERROR(__xludf.DUMMYFUNCTION("""COMPUTED_VALUE"""),2.0)</f>
        <v>2</v>
      </c>
      <c r="F1445" s="42" t="str">
        <f>IFERROR(__xludf.DUMMYFUNCTION("""COMPUTED_VALUE"""),"AD")</f>
        <v>AD</v>
      </c>
      <c r="G1445" s="42" t="str">
        <f>IFERROR(__xludf.DUMMYFUNCTION("""COMPUTED_VALUE"""),"Intermediate")</f>
        <v>Intermediate</v>
      </c>
      <c r="H1445" s="42" t="str">
        <f>IFERROR(__xludf.DUMMYFUNCTION("""COMPUTED_VALUE"""),"-")</f>
        <v>-</v>
      </c>
      <c r="I1445" s="43" t="str">
        <f>IFERROR(__xludf.DUMMYFUNCTION("""COMPUTED_VALUE"""),"Apply 1 of the following effects when you win the Battle as an Attacker: ● Damage your opponent's Spell Book. ● Injure 1 of your opponent's MAMODO cards.")</f>
        <v>Apply 1 of the following effects when you win the Battle as an Attacker: ● Damage your opponent's Spell Book. ● Injure 1 of your opponent's MAMODO cards.</v>
      </c>
      <c r="J1445" s="42" t="str">
        <f>IFERROR(__xludf.DUMMYFUNCTION("""COMPUTED_VALUE"""),"+2000")</f>
        <v>+2000</v>
      </c>
      <c r="K1445" s="42">
        <f>IFERROR(__xludf.DUMMYFUNCTION("""COMPUTED_VALUE"""),2.0)</f>
        <v>2</v>
      </c>
      <c r="L1445" s="42" t="str">
        <f>IFERROR(__xludf.DUMMYFUNCTION("""COMPUTED_VALUE"""),"-")</f>
        <v>-</v>
      </c>
      <c r="M1445" s="42" t="str">
        <f>IFERROR(__xludf.DUMMYFUNCTION("""COMPUTED_VALUE"""),"[C]")</f>
        <v>[C]</v>
      </c>
      <c r="N1445" s="42" t="str">
        <f>IFERROR(__xludf.DUMMYFUNCTION("""COMPUTED_VALUE"""),"Zofis' 2nd spell. Enables him to wield a whip of light that explodes on contact.")</f>
        <v>Zofis' 2nd spell. Enables him to wield a whip of light that explodes on contact.</v>
      </c>
      <c r="O1445" s="42"/>
      <c r="P1445" s="42"/>
      <c r="Q1445" s="42"/>
      <c r="R1445" s="42"/>
      <c r="S1445" s="42"/>
      <c r="T1445" s="42"/>
      <c r="U1445" s="42"/>
      <c r="V1445" s="42"/>
      <c r="W1445" s="42"/>
      <c r="X1445" s="42"/>
      <c r="Y1445" s="42"/>
      <c r="Z1445" s="42"/>
    </row>
    <row r="1446">
      <c r="A1446" s="41" t="str">
        <f>IFERROR(__xludf.DUMMYFUNCTION("""COMPUTED_VALUE"""),"S-316")</f>
        <v>S-316</v>
      </c>
      <c r="B1446" s="42" t="str">
        <f>IFERROR(__xludf.DUMMYFUNCTION("""COMPUTED_VALUE"""),"Spell")</f>
        <v>Spell</v>
      </c>
      <c r="C1446" s="42" t="str">
        <f>IFERROR(__xludf.DUMMYFUNCTION("""COMPUTED_VALUE"""),"Gigarado Shield")</f>
        <v>Gigarado Shield</v>
      </c>
      <c r="D1446" s="42" t="str">
        <f>IFERROR(__xludf.DUMMYFUNCTION("""COMPUTED_VALUE"""),"Zofis")</f>
        <v>Zofis</v>
      </c>
      <c r="E1446" s="42">
        <f>IFERROR(__xludf.DUMMYFUNCTION("""COMPUTED_VALUE"""),2.0)</f>
        <v>2</v>
      </c>
      <c r="F1446" s="42" t="str">
        <f>IFERROR(__xludf.DUMMYFUNCTION("""COMPUTED_VALUE"""),"D")</f>
        <v>D</v>
      </c>
      <c r="G1446" s="42" t="str">
        <f>IFERROR(__xludf.DUMMYFUNCTION("""COMPUTED_VALUE"""),"None")</f>
        <v>None</v>
      </c>
      <c r="H1446" s="42" t="str">
        <f>IFERROR(__xludf.DUMMYFUNCTION("""COMPUTED_VALUE"""),"-")</f>
        <v>-</v>
      </c>
      <c r="I1446" s="43" t="str">
        <f>IFERROR(__xludf.DUMMYFUNCTION("""COMPUTED_VALUE"""),"Negate your opponent's Attack when you win the Battle as a Defender.")</f>
        <v>Negate your opponent's Attack when you win the Battle as a Defender.</v>
      </c>
      <c r="J1446" s="42" t="str">
        <f>IFERROR(__xludf.DUMMYFUNCTION("""COMPUTED_VALUE"""),"+8000")</f>
        <v>+8000</v>
      </c>
      <c r="K1446" s="42" t="str">
        <f>IFERROR(__xludf.DUMMYFUNCTION("""COMPUTED_VALUE"""),"-")</f>
        <v>-</v>
      </c>
      <c r="L1446" s="42" t="str">
        <f>IFERROR(__xludf.DUMMYFUNCTION("""COMPUTED_VALUE"""),"-")</f>
        <v>-</v>
      </c>
      <c r="M1446" s="42" t="str">
        <f>IFERROR(__xludf.DUMMYFUNCTION("""COMPUTED_VALUE"""),"[C]")</f>
        <v>[C]</v>
      </c>
      <c r="N1446" s="42" t="str">
        <f>IFERROR(__xludf.DUMMYFUNCTION("""COMPUTED_VALUE"""),"Zofis' 5th spell. Its defensive power is formidable enough to even stop Brago's Dioga Gravidon.")</f>
        <v>Zofis' 5th spell. Its defensive power is formidable enough to even stop Brago's Dioga Gravidon.</v>
      </c>
      <c r="O1446" s="42"/>
      <c r="P1446" s="42"/>
      <c r="Q1446" s="42"/>
      <c r="R1446" s="42"/>
      <c r="S1446" s="42"/>
      <c r="T1446" s="42"/>
      <c r="U1446" s="42"/>
      <c r="V1446" s="42"/>
      <c r="W1446" s="42"/>
      <c r="X1446" s="42"/>
      <c r="Y1446" s="42"/>
      <c r="Z1446" s="42"/>
    </row>
    <row r="1447">
      <c r="A1447" s="41" t="str">
        <f>IFERROR(__xludf.DUMMYFUNCTION("""COMPUTED_VALUE"""),"S-317")</f>
        <v>S-317</v>
      </c>
      <c r="B1447" s="42" t="str">
        <f>IFERROR(__xludf.DUMMYFUNCTION("""COMPUTED_VALUE"""),"Spell")</f>
        <v>Spell</v>
      </c>
      <c r="C1447" s="42" t="str">
        <f>IFERROR(__xludf.DUMMYFUNCTION("""COMPUTED_VALUE"""),"Rashield")</f>
        <v>Rashield</v>
      </c>
      <c r="D1447" s="42" t="str">
        <f>IFERROR(__xludf.DUMMYFUNCTION("""COMPUTED_VALUE"""),"Zatch Bell")</f>
        <v>Zatch Bell</v>
      </c>
      <c r="E1447" s="42">
        <f>IFERROR(__xludf.DUMMYFUNCTION("""COMPUTED_VALUE"""),1.0)</f>
        <v>1</v>
      </c>
      <c r="F1447" s="42" t="str">
        <f>IFERROR(__xludf.DUMMYFUNCTION("""COMPUTED_VALUE"""),"D")</f>
        <v>D</v>
      </c>
      <c r="G1447" s="42" t="str">
        <f>IFERROR(__xludf.DUMMYFUNCTION("""COMPUTED_VALUE"""),"None")</f>
        <v>None</v>
      </c>
      <c r="H1447" s="42" t="str">
        <f>IFERROR(__xludf.DUMMYFUNCTION("""COMPUTED_VALUE"""),"Thunder")</f>
        <v>Thunder</v>
      </c>
      <c r="I1447" s="43" t="str">
        <f>IFERROR(__xludf.DUMMYFUNCTION("""COMPUTED_VALUE"""),"Negate your opponent's Attack when you win the Battle as a Defender.")</f>
        <v>Negate your opponent's Attack when you win the Battle as a Defender.</v>
      </c>
      <c r="J1447" s="42" t="str">
        <f>IFERROR(__xludf.DUMMYFUNCTION("""COMPUTED_VALUE"""),"+6000")</f>
        <v>+6000</v>
      </c>
      <c r="K1447" s="42" t="str">
        <f>IFERROR(__xludf.DUMMYFUNCTION("""COMPUTED_VALUE"""),"-")</f>
        <v>-</v>
      </c>
      <c r="L1447" s="42" t="str">
        <f>IFERROR(__xludf.DUMMYFUNCTION("""COMPUTED_VALUE"""),"-")</f>
        <v>-</v>
      </c>
      <c r="M1447" s="42" t="str">
        <f>IFERROR(__xludf.DUMMYFUNCTION("""COMPUTED_VALUE"""),"[U]")</f>
        <v>[U]</v>
      </c>
      <c r="N1447" s="42" t="str">
        <f>IFERROR(__xludf.DUMMYFUNCTION("""COMPUTED_VALUE"""),"Zatch's 2nd spell. ""If we protect from the front, that's all we need to give us a clear path in the back!""")</f>
        <v>Zatch's 2nd spell. "If we protect from the front, that's all we need to give us a clear path in the back!"</v>
      </c>
      <c r="O1447" s="42"/>
      <c r="P1447" s="42"/>
      <c r="Q1447" s="42"/>
      <c r="R1447" s="42"/>
      <c r="S1447" s="42"/>
      <c r="T1447" s="42"/>
      <c r="U1447" s="42"/>
      <c r="V1447" s="42"/>
      <c r="W1447" s="42"/>
      <c r="X1447" s="42"/>
      <c r="Y1447" s="42"/>
      <c r="Z1447" s="42"/>
    </row>
    <row r="1448">
      <c r="A1448" s="41" t="str">
        <f>IFERROR(__xludf.DUMMYFUNCTION("""COMPUTED_VALUE"""),"S-318")</f>
        <v>S-318</v>
      </c>
      <c r="B1448" s="42" t="str">
        <f>IFERROR(__xludf.DUMMYFUNCTION("""COMPUTED_VALUE"""),"Spell")</f>
        <v>Spell</v>
      </c>
      <c r="C1448" s="42" t="str">
        <f>IFERROR(__xludf.DUMMYFUNCTION("""COMPUTED_VALUE"""),"Bao Zakeruga")</f>
        <v>Bao Zakeruga</v>
      </c>
      <c r="D1448" s="42" t="str">
        <f>IFERROR(__xludf.DUMMYFUNCTION("""COMPUTED_VALUE"""),"Zatch Bell")</f>
        <v>Zatch Bell</v>
      </c>
      <c r="E1448" s="42">
        <f>IFERROR(__xludf.DUMMYFUNCTION("""COMPUTED_VALUE"""),7.0)</f>
        <v>7</v>
      </c>
      <c r="F1448" s="42" t="str">
        <f>IFERROR(__xludf.DUMMYFUNCTION("""COMPUTED_VALUE"""),"AD")</f>
        <v>AD</v>
      </c>
      <c r="G1448" s="42" t="str">
        <f>IFERROR(__xludf.DUMMYFUNCTION("""COMPUTED_VALUE"""),"Superior")</f>
        <v>Superior</v>
      </c>
      <c r="H1448" s="42" t="str">
        <f>IFERROR(__xludf.DUMMYFUNCTION("""COMPUTED_VALUE"""),"Thunder")</f>
        <v>Thunder</v>
      </c>
      <c r="I1448" s="43" t="str">
        <f>IFERROR(__xludf.DUMMYFUNCTION("""COMPUTED_VALUE"""),"Apply 1 of the following effects when you win the Battle as an Attacker: ● Damage your opponent's Spell Book. ● Injure 1 of your opponent's MAMODO cards.")</f>
        <v>Apply 1 of the following effects when you win the Battle as an Attacker: ● Damage your opponent's Spell Book. ● Injure 1 of your opponent's MAMODO cards.</v>
      </c>
      <c r="J1448" s="42" t="str">
        <f>IFERROR(__xludf.DUMMYFUNCTION("""COMPUTED_VALUE"""),"+7000")</f>
        <v>+7000</v>
      </c>
      <c r="K1448" s="42">
        <f>IFERROR(__xludf.DUMMYFUNCTION("""COMPUTED_VALUE"""),4.0)</f>
        <v>4</v>
      </c>
      <c r="L1448" s="42" t="str">
        <f>IFERROR(__xludf.DUMMYFUNCTION("""COMPUTED_VALUE"""),"-")</f>
        <v>-</v>
      </c>
      <c r="M1448" s="42" t="str">
        <f>IFERROR(__xludf.DUMMYFUNCTION("""COMPUTED_VALUE"""),"[R]")</f>
        <v>[R]</v>
      </c>
      <c r="N1448" s="42" t="str">
        <f>IFERROR(__xludf.DUMMYFUNCTION("""COMPUTED_VALUE"""),"Zatch's 4th spell. ""Our combined efforts will lead us to victory!""")</f>
        <v>Zatch's 4th spell. "Our combined efforts will lead us to victory!"</v>
      </c>
      <c r="O1448" s="42"/>
      <c r="P1448" s="42"/>
      <c r="Q1448" s="42"/>
      <c r="R1448" s="42"/>
      <c r="S1448" s="42"/>
      <c r="T1448" s="42"/>
      <c r="U1448" s="42"/>
      <c r="V1448" s="42"/>
      <c r="W1448" s="42"/>
      <c r="X1448" s="42"/>
      <c r="Y1448" s="42"/>
      <c r="Z1448" s="42"/>
    </row>
    <row r="1449">
      <c r="A1449" s="41" t="str">
        <f>IFERROR(__xludf.DUMMYFUNCTION("""COMPUTED_VALUE"""),"S-319")</f>
        <v>S-319</v>
      </c>
      <c r="B1449" s="42" t="str">
        <f>IFERROR(__xludf.DUMMYFUNCTION("""COMPUTED_VALUE"""),"Spell")</f>
        <v>Spell</v>
      </c>
      <c r="C1449" s="42" t="str">
        <f>IFERROR(__xludf.DUMMYFUNCTION("""COMPUTED_VALUE"""),"Zakeruga")</f>
        <v>Zakeruga</v>
      </c>
      <c r="D1449" s="42" t="str">
        <f>IFERROR(__xludf.DUMMYFUNCTION("""COMPUTED_VALUE"""),"Zatch Bell")</f>
        <v>Zatch Bell</v>
      </c>
      <c r="E1449" s="42">
        <f>IFERROR(__xludf.DUMMYFUNCTION("""COMPUTED_VALUE"""),1.0)</f>
        <v>1</v>
      </c>
      <c r="F1449" s="42" t="str">
        <f>IFERROR(__xludf.DUMMYFUNCTION("""COMPUTED_VALUE"""),"AD")</f>
        <v>AD</v>
      </c>
      <c r="G1449" s="42" t="str">
        <f>IFERROR(__xludf.DUMMYFUNCTION("""COMPUTED_VALUE"""),"None")</f>
        <v>None</v>
      </c>
      <c r="H1449" s="42" t="str">
        <f>IFERROR(__xludf.DUMMYFUNCTION("""COMPUTED_VALUE"""),"Thunder")</f>
        <v>Thunder</v>
      </c>
      <c r="I1449" s="43" t="str">
        <f>IFERROR(__xludf.DUMMYFUNCTION("""COMPUTED_VALUE"""),"Damage your opponent's Spell Book when you win the Battle as an Attacker. When you declare the play of this SPELL card, you may pay an additional 2 MP to increase the Damage of this SPELL card by 2.")</f>
        <v>Damage your opponent's Spell Book when you win the Battle as an Attacker. When you declare the play of this SPELL card, you may pay an additional 2 MP to increase the Damage of this SPELL card by 2.</v>
      </c>
      <c r="J1449" s="42" t="str">
        <f>IFERROR(__xludf.DUMMYFUNCTION("""COMPUTED_VALUE"""),"+4000")</f>
        <v>+4000</v>
      </c>
      <c r="K1449" s="42">
        <f>IFERROR(__xludf.DUMMYFUNCTION("""COMPUTED_VALUE"""),1.0)</f>
        <v>1</v>
      </c>
      <c r="L1449" s="42" t="str">
        <f>IFERROR(__xludf.DUMMYFUNCTION("""COMPUTED_VALUE"""),"-")</f>
        <v>-</v>
      </c>
      <c r="M1449" s="42" t="str">
        <f>IFERROR(__xludf.DUMMYFUNCTION("""COMPUTED_VALUE"""),"[C]")</f>
        <v>[C]</v>
      </c>
      <c r="N1449" s="42" t="str">
        <f>IFERROR(__xludf.DUMMYFUNCTION("""COMPUTED_VALUE"""),"Zatch's 5th spell. ""We have to attack, there's no time!""")</f>
        <v>Zatch's 5th spell. "We have to attack, there's no time!"</v>
      </c>
      <c r="O1449" s="42"/>
      <c r="P1449" s="42"/>
      <c r="Q1449" s="42"/>
      <c r="R1449" s="42"/>
      <c r="S1449" s="42"/>
      <c r="T1449" s="42"/>
      <c r="U1449" s="42"/>
      <c r="V1449" s="42"/>
      <c r="W1449" s="42"/>
      <c r="X1449" s="42"/>
      <c r="Y1449" s="42"/>
      <c r="Z1449" s="42"/>
    </row>
    <row r="1450">
      <c r="A1450" s="41" t="str">
        <f>IFERROR(__xludf.DUMMYFUNCTION("""COMPUTED_VALUE"""),"S-320")</f>
        <v>S-320</v>
      </c>
      <c r="B1450" s="42" t="str">
        <f>IFERROR(__xludf.DUMMYFUNCTION("""COMPUTED_VALUE"""),"Spell")</f>
        <v>Spell</v>
      </c>
      <c r="C1450" s="42" t="str">
        <f>IFERROR(__xludf.DUMMYFUNCTION("""COMPUTED_VALUE"""),"Rauzaruk")</f>
        <v>Rauzaruk</v>
      </c>
      <c r="D1450" s="42" t="str">
        <f>IFERROR(__xludf.DUMMYFUNCTION("""COMPUTED_VALUE"""),"Zatch Bell")</f>
        <v>Zatch Bell</v>
      </c>
      <c r="E1450" s="42">
        <f>IFERROR(__xludf.DUMMYFUNCTION("""COMPUTED_VALUE"""),1.0)</f>
        <v>1</v>
      </c>
      <c r="F1450" s="42" t="str">
        <f>IFERROR(__xludf.DUMMYFUNCTION("""COMPUTED_VALUE"""),"A")</f>
        <v>A</v>
      </c>
      <c r="G1450" s="42" t="str">
        <f>IFERROR(__xludf.DUMMYFUNCTION("""COMPUTED_VALUE"""),"Intermediate")</f>
        <v>Intermediate</v>
      </c>
      <c r="H1450" s="42" t="str">
        <f>IFERROR(__xludf.DUMMYFUNCTION("""COMPUTED_VALUE"""),"-")</f>
        <v>-</v>
      </c>
      <c r="I1450" s="43" t="str">
        <f>IFERROR(__xludf.DUMMYFUNCTION("""COMPUTED_VALUE"""),"Damage your opponent's Spell Book when you win the Battle as an Attacker. [STAY] Regardless of their Power, until the END PHASE of your next turn, you can neither play SPELL cards with Zatch Bell as their MAMODO name, nor can your Zatch Bell MAMODO card r"&amp;"eceive Damage or Injury.")</f>
        <v>Damage your opponent's Spell Book when you win the Battle as an Attacker. [STAY] Regardless of their Power, until the END PHASE of your next turn, you can neither play SPELL cards with Zatch Bell as their MAMODO name, nor can your Zatch Bell MAMODO card receive Damage or Injury.</v>
      </c>
      <c r="J1450" s="42" t="str">
        <f>IFERROR(__xludf.DUMMYFUNCTION("""COMPUTED_VALUE"""),"+3000")</f>
        <v>+3000</v>
      </c>
      <c r="K1450" s="42">
        <f>IFERROR(__xludf.DUMMYFUNCTION("""COMPUTED_VALUE"""),2.0)</f>
        <v>2</v>
      </c>
      <c r="L1450" s="42" t="str">
        <f>IFERROR(__xludf.DUMMYFUNCTION("""COMPUTED_VALUE"""),"-")</f>
        <v>-</v>
      </c>
      <c r="M1450" s="42" t="str">
        <f>IFERROR(__xludf.DUMMYFUNCTION("""COMPUTED_VALUE"""),"[U]")</f>
        <v>[U]</v>
      </c>
      <c r="N1450" s="42" t="str">
        <f>IFERROR(__xludf.DUMMYFUNCTION("""COMPUTED_VALUE"""),"Zatch's 6th spell. He can't be damaged after using this body strengthening spell.")</f>
        <v>Zatch's 6th spell. He can't be damaged after using this body strengthening spell.</v>
      </c>
      <c r="O1450" s="42"/>
      <c r="P1450" s="42"/>
      <c r="Q1450" s="42"/>
      <c r="R1450" s="42"/>
      <c r="S1450" s="42"/>
      <c r="T1450" s="42"/>
      <c r="U1450" s="42"/>
      <c r="V1450" s="42"/>
      <c r="W1450" s="42"/>
      <c r="X1450" s="42"/>
      <c r="Y1450" s="42"/>
      <c r="Z1450" s="42"/>
    </row>
    <row r="1451">
      <c r="A1451" s="41" t="str">
        <f>IFERROR(__xludf.DUMMYFUNCTION("""COMPUTED_VALUE"""),"S-321")</f>
        <v>S-321</v>
      </c>
      <c r="B1451" s="42" t="str">
        <f>IFERROR(__xludf.DUMMYFUNCTION("""COMPUTED_VALUE"""),"Spell")</f>
        <v>Spell</v>
      </c>
      <c r="C1451" s="42" t="str">
        <f>IFERROR(__xludf.DUMMYFUNCTION("""COMPUTED_VALUE"""),"Zagurzem")</f>
        <v>Zagurzem</v>
      </c>
      <c r="D1451" s="42" t="str">
        <f>IFERROR(__xludf.DUMMYFUNCTION("""COMPUTED_VALUE"""),"Zatch Bell")</f>
        <v>Zatch Bell</v>
      </c>
      <c r="E1451" s="42">
        <f>IFERROR(__xludf.DUMMYFUNCTION("""COMPUTED_VALUE"""),1.0)</f>
        <v>1</v>
      </c>
      <c r="F1451" s="42" t="str">
        <f>IFERROR(__xludf.DUMMYFUNCTION("""COMPUTED_VALUE"""),"A")</f>
        <v>A</v>
      </c>
      <c r="G1451" s="42" t="str">
        <f>IFERROR(__xludf.DUMMYFUNCTION("""COMPUTED_VALUE"""),"Intermediate")</f>
        <v>Intermediate</v>
      </c>
      <c r="H1451" s="42" t="str">
        <f>IFERROR(__xludf.DUMMYFUNCTION("""COMPUTED_VALUE"""),"Thunder")</f>
        <v>Thunder</v>
      </c>
      <c r="I1451" s="43" t="str">
        <f>IFERROR(__xludf.DUMMYFUNCTION("""COMPUTED_VALUE"""),"[STANDBY] When you win the Battle as an Attacker, when the next ""Thunder"" Attribute SPELL card you play during this turn inflicts Damage or Injury to any of your opponent's MAMODO cards, send that MAMODO card to the Discard Pile.")</f>
        <v>[STANDBY] When you win the Battle as an Attacker, when the next "Thunder" Attribute SPELL card you play during this turn inflicts Damage or Injury to any of your opponent's MAMODO cards, send that MAMODO card to the Discard Pile.</v>
      </c>
      <c r="J1451" s="42" t="str">
        <f>IFERROR(__xludf.DUMMYFUNCTION("""COMPUTED_VALUE"""),"+3000")</f>
        <v>+3000</v>
      </c>
      <c r="K1451" s="42" t="str">
        <f>IFERROR(__xludf.DUMMYFUNCTION("""COMPUTED_VALUE"""),"-")</f>
        <v>-</v>
      </c>
      <c r="L1451" s="42" t="str">
        <f>IFERROR(__xludf.DUMMYFUNCTION("""COMPUTED_VALUE"""),"-")</f>
        <v>-</v>
      </c>
      <c r="M1451" s="42" t="str">
        <f>IFERROR(__xludf.DUMMYFUNCTION("""COMPUTED_VALUE"""),"[U]")</f>
        <v>[U]</v>
      </c>
      <c r="N1451" s="42" t="str">
        <f>IFERROR(__xludf.DUMMYFUNCTION("""COMPUTED_VALUE"""),"Zatch's 7th spell. ""Zagurzem alone doesn't do any damage, but...""")</f>
        <v>Zatch's 7th spell. "Zagurzem alone doesn't do any damage, but..."</v>
      </c>
      <c r="O1451" s="42"/>
      <c r="P1451" s="42"/>
      <c r="Q1451" s="42"/>
      <c r="R1451" s="42"/>
      <c r="S1451" s="42"/>
      <c r="T1451" s="42"/>
      <c r="U1451" s="42"/>
      <c r="V1451" s="42"/>
      <c r="W1451" s="42"/>
      <c r="X1451" s="42"/>
      <c r="Y1451" s="42"/>
      <c r="Z1451" s="42"/>
    </row>
    <row r="1452">
      <c r="A1452" s="41" t="str">
        <f>IFERROR(__xludf.DUMMYFUNCTION("""COMPUTED_VALUE"""),"S-322")</f>
        <v>S-322</v>
      </c>
      <c r="B1452" s="42" t="str">
        <f>IFERROR(__xludf.DUMMYFUNCTION("""COMPUTED_VALUE"""),"Spell")</f>
        <v>Spell</v>
      </c>
      <c r="C1452" s="42" t="str">
        <f>IFERROR(__xludf.DUMMYFUNCTION("""COMPUTED_VALUE"""),"Radom")</f>
        <v>Radom</v>
      </c>
      <c r="D1452" s="42" t="str">
        <f>IFERROR(__xludf.DUMMYFUNCTION("""COMPUTED_VALUE"""),"Zofis")</f>
        <v>Zofis</v>
      </c>
      <c r="E1452" s="42">
        <f>IFERROR(__xludf.DUMMYFUNCTION("""COMPUTED_VALUE"""),1.0)</f>
        <v>1</v>
      </c>
      <c r="F1452" s="42" t="str">
        <f>IFERROR(__xludf.DUMMYFUNCTION("""COMPUTED_VALUE"""),"A")</f>
        <v>A</v>
      </c>
      <c r="G1452" s="42" t="str">
        <f>IFERROR(__xludf.DUMMYFUNCTION("""COMPUTED_VALUE"""),"None")</f>
        <v>None</v>
      </c>
      <c r="H1452" s="42" t="str">
        <f>IFERROR(__xludf.DUMMYFUNCTION("""COMPUTED_VALUE"""),"-")</f>
        <v>-</v>
      </c>
      <c r="I1452" s="43" t="str">
        <f>IFERROR(__xludf.DUMMYFUNCTION("""COMPUTED_VALUE"""),"Damage your opponent's Spell Book when you win the Battle as an Attacker.")</f>
        <v>Damage your opponent's Spell Book when you win the Battle as an Attacker.</v>
      </c>
      <c r="J1452" s="42" t="str">
        <f>IFERROR(__xludf.DUMMYFUNCTION("""COMPUTED_VALUE"""),"+2000")</f>
        <v>+2000</v>
      </c>
      <c r="K1452" s="42">
        <f>IFERROR(__xludf.DUMMYFUNCTION("""COMPUTED_VALUE"""),2.0)</f>
        <v>2</v>
      </c>
      <c r="L1452" s="42" t="str">
        <f>IFERROR(__xludf.DUMMYFUNCTION("""COMPUTED_VALUE"""),"-")</f>
        <v>-</v>
      </c>
      <c r="M1452" s="42" t="str">
        <f>IFERROR(__xludf.DUMMYFUNCTION("""COMPUTED_VALUE"""),"[C]")</f>
        <v>[C]</v>
      </c>
      <c r="N1452" s="42" t="str">
        <f>IFERROR(__xludf.DUMMYFUNCTION("""COMPUTED_VALUE"""),"Zofis' 1st spell. Though the projectile is small, it explodes and inflicts great damage on impact.")</f>
        <v>Zofis' 1st spell. Though the projectile is small, it explodes and inflicts great damage on impact.</v>
      </c>
      <c r="O1452" s="42"/>
      <c r="P1452" s="42"/>
      <c r="Q1452" s="42"/>
      <c r="R1452" s="42"/>
      <c r="S1452" s="42"/>
      <c r="T1452" s="42"/>
      <c r="U1452" s="42"/>
      <c r="V1452" s="42"/>
      <c r="W1452" s="42"/>
      <c r="X1452" s="42"/>
      <c r="Y1452" s="42"/>
      <c r="Z1452" s="42"/>
    </row>
    <row r="1453">
      <c r="A1453" s="41" t="str">
        <f>IFERROR(__xludf.DUMMYFUNCTION("""COMPUTED_VALUE"""),"S-323")</f>
        <v>S-323</v>
      </c>
      <c r="B1453" s="42" t="str">
        <f>IFERROR(__xludf.DUMMYFUNCTION("""COMPUTED_VALUE"""),"Spell")</f>
        <v>Spell</v>
      </c>
      <c r="C1453" s="42" t="str">
        <f>IFERROR(__xludf.DUMMYFUNCTION("""COMPUTED_VALUE"""),"Rond Radom")</f>
        <v>Rond Radom</v>
      </c>
      <c r="D1453" s="42" t="str">
        <f>IFERROR(__xludf.DUMMYFUNCTION("""COMPUTED_VALUE"""),"Zofis")</f>
        <v>Zofis</v>
      </c>
      <c r="E1453" s="42">
        <f>IFERROR(__xludf.DUMMYFUNCTION("""COMPUTED_VALUE"""),3.0)</f>
        <v>3</v>
      </c>
      <c r="F1453" s="42" t="str">
        <f>IFERROR(__xludf.DUMMYFUNCTION("""COMPUTED_VALUE"""),"A")</f>
        <v>A</v>
      </c>
      <c r="G1453" s="42" t="str">
        <f>IFERROR(__xludf.DUMMYFUNCTION("""COMPUTED_VALUE"""),"None")</f>
        <v>None</v>
      </c>
      <c r="H1453" s="42" t="str">
        <f>IFERROR(__xludf.DUMMYFUNCTION("""COMPUTED_VALUE"""),"-")</f>
        <v>-</v>
      </c>
      <c r="I1453" s="43" t="str">
        <f>IFERROR(__xludf.DUMMYFUNCTION("""COMPUTED_VALUE"""),"This SPELL card can be played up to twice per turn (per player). When played a second time, the MP cost is considered to be 0. Damage your opponent's Spell Book when you win the Battle as an Attacker.")</f>
        <v>This SPELL card can be played up to twice per turn (per player). When played a second time, the MP cost is considered to be 0. Damage your opponent's Spell Book when you win the Battle as an Attacker.</v>
      </c>
      <c r="J1453" s="42">
        <f>IFERROR(__xludf.DUMMYFUNCTION("""COMPUTED_VALUE"""),2000.0)</f>
        <v>2000</v>
      </c>
      <c r="K1453" s="42">
        <f>IFERROR(__xludf.DUMMYFUNCTION("""COMPUTED_VALUE"""),2.0)</f>
        <v>2</v>
      </c>
      <c r="L1453" s="42" t="str">
        <f>IFERROR(__xludf.DUMMYFUNCTION("""COMPUTED_VALUE"""),"-")</f>
        <v>-</v>
      </c>
      <c r="M1453" s="42" t="str">
        <f>IFERROR(__xludf.DUMMYFUNCTION("""COMPUTED_VALUE"""),"[C]")</f>
        <v>[C]</v>
      </c>
      <c r="N1453" s="42" t="str">
        <f>IFERROR(__xludf.DUMMYFUNCTION("""COMPUTED_VALUE"""),"Zofis' 2nd spell. ""Hmm, you've managed to avoid my explosion whip...""")</f>
        <v>Zofis' 2nd spell. "Hmm, you've managed to avoid my explosion whip..."</v>
      </c>
      <c r="O1453" s="42"/>
      <c r="P1453" s="42"/>
      <c r="Q1453" s="42"/>
      <c r="R1453" s="42"/>
      <c r="S1453" s="42"/>
      <c r="T1453" s="42"/>
      <c r="U1453" s="42"/>
      <c r="V1453" s="42"/>
      <c r="W1453" s="42"/>
      <c r="X1453" s="42"/>
      <c r="Y1453" s="42"/>
      <c r="Z1453" s="42"/>
    </row>
    <row r="1454">
      <c r="A1454" s="41" t="str">
        <f>IFERROR(__xludf.DUMMYFUNCTION("""COMPUTED_VALUE"""),"S-324")</f>
        <v>S-324</v>
      </c>
      <c r="B1454" s="42" t="str">
        <f>IFERROR(__xludf.DUMMYFUNCTION("""COMPUTED_VALUE"""),"Spell")</f>
        <v>Spell</v>
      </c>
      <c r="C1454" s="42" t="str">
        <f>IFERROR(__xludf.DUMMYFUNCTION("""COMPUTED_VALUE"""),"Teoradom")</f>
        <v>Teoradom</v>
      </c>
      <c r="D1454" s="42" t="str">
        <f>IFERROR(__xludf.DUMMYFUNCTION("""COMPUTED_VALUE"""),"Zofis")</f>
        <v>Zofis</v>
      </c>
      <c r="E1454" s="42">
        <f>IFERROR(__xludf.DUMMYFUNCTION("""COMPUTED_VALUE"""),3.0)</f>
        <v>3</v>
      </c>
      <c r="F1454" s="42" t="str">
        <f>IFERROR(__xludf.DUMMYFUNCTION("""COMPUTED_VALUE"""),"AD")</f>
        <v>AD</v>
      </c>
      <c r="G1454" s="42" t="str">
        <f>IFERROR(__xludf.DUMMYFUNCTION("""COMPUTED_VALUE"""),"Intermediate")</f>
        <v>Intermediate</v>
      </c>
      <c r="H1454" s="42" t="str">
        <f>IFERROR(__xludf.DUMMYFUNCTION("""COMPUTED_VALUE"""),"-")</f>
        <v>-</v>
      </c>
      <c r="I1454" s="43" t="str">
        <f>IFERROR(__xludf.DUMMYFUNCTION("""COMPUTED_VALUE"""),"Damage your opponent's Spell Book when you win the Battle as an Attacker. When you inflict Damage or Injury, your opponent cannot apply the effects of their MAMODO cards until the END PHASE of their next turn ([STAY]).")</f>
        <v>Damage your opponent's Spell Book when you win the Battle as an Attacker. When you inflict Damage or Injury, your opponent cannot apply the effects of their MAMODO cards until the END PHASE of their next turn ([STAY]).</v>
      </c>
      <c r="J1454" s="42" t="str">
        <f>IFERROR(__xludf.DUMMYFUNCTION("""COMPUTED_VALUE"""),"+3000")</f>
        <v>+3000</v>
      </c>
      <c r="K1454" s="42">
        <f>IFERROR(__xludf.DUMMYFUNCTION("""COMPUTED_VALUE"""),2.0)</f>
        <v>2</v>
      </c>
      <c r="L1454" s="42" t="str">
        <f>IFERROR(__xludf.DUMMYFUNCTION("""COMPUTED_VALUE"""),"-")</f>
        <v>-</v>
      </c>
      <c r="M1454" s="42" t="str">
        <f>IFERROR(__xludf.DUMMYFUNCTION("""COMPUTED_VALUE"""),"[U]")</f>
        <v>[U]</v>
      </c>
      <c r="N1454" s="42" t="str">
        <f>IFERROR(__xludf.DUMMYFUNCTION("""COMPUTED_VALUE"""),"Zofis' 3rd spell. An explosive projectile that is faster and larger than Radom.")</f>
        <v>Zofis' 3rd spell. An explosive projectile that is faster and larger than Radom.</v>
      </c>
      <c r="O1454" s="42"/>
      <c r="P1454" s="42"/>
      <c r="Q1454" s="42"/>
      <c r="R1454" s="42"/>
      <c r="S1454" s="42"/>
      <c r="T1454" s="42"/>
      <c r="U1454" s="42"/>
      <c r="V1454" s="42"/>
      <c r="W1454" s="42"/>
      <c r="X1454" s="42"/>
      <c r="Y1454" s="42"/>
      <c r="Z1454" s="42"/>
    </row>
    <row r="1455">
      <c r="A1455" s="41" t="str">
        <f>IFERROR(__xludf.DUMMYFUNCTION("""COMPUTED_VALUE"""),"S-325")</f>
        <v>S-325</v>
      </c>
      <c r="B1455" s="42" t="str">
        <f>IFERROR(__xludf.DUMMYFUNCTION("""COMPUTED_VALUE"""),"Spell")</f>
        <v>Spell</v>
      </c>
      <c r="C1455" s="42" t="str">
        <f>IFERROR(__xludf.DUMMYFUNCTION("""COMPUTED_VALUE"""),"Dioga Teoradom")</f>
        <v>Dioga Teoradom</v>
      </c>
      <c r="D1455" s="42" t="str">
        <f>IFERROR(__xludf.DUMMYFUNCTION("""COMPUTED_VALUE"""),"Zofis")</f>
        <v>Zofis</v>
      </c>
      <c r="E1455" s="42">
        <f>IFERROR(__xludf.DUMMYFUNCTION("""COMPUTED_VALUE"""),7.0)</f>
        <v>7</v>
      </c>
      <c r="F1455" s="42" t="str">
        <f>IFERROR(__xludf.DUMMYFUNCTION("""COMPUTED_VALUE"""),"AD")</f>
        <v>AD</v>
      </c>
      <c r="G1455" s="42" t="str">
        <f>IFERROR(__xludf.DUMMYFUNCTION("""COMPUTED_VALUE"""),"Superior")</f>
        <v>Superior</v>
      </c>
      <c r="H1455" s="42" t="str">
        <f>IFERROR(__xludf.DUMMYFUNCTION("""COMPUTED_VALUE"""),"-")</f>
        <v>-</v>
      </c>
      <c r="I1455" s="43" t="str">
        <f>IFERROR(__xludf.DUMMYFUNCTION("""COMPUTED_VALUE"""),"Damage your opponent's Spell Book and Injure all of your opponent's MAMODO cards when you win the Battle as an Attacker.")</f>
        <v>Damage your opponent's Spell Book and Injure all of your opponent's MAMODO cards when you win the Battle as an Attacker.</v>
      </c>
      <c r="J1455" s="42" t="str">
        <f>IFERROR(__xludf.DUMMYFUNCTION("""COMPUTED_VALUE"""),"+7000")</f>
        <v>+7000</v>
      </c>
      <c r="K1455" s="42">
        <f>IFERROR(__xludf.DUMMYFUNCTION("""COMPUTED_VALUE"""),3.0)</f>
        <v>3</v>
      </c>
      <c r="L1455" s="42" t="str">
        <f>IFERROR(__xludf.DUMMYFUNCTION("""COMPUTED_VALUE"""),"-")</f>
        <v>-</v>
      </c>
      <c r="M1455" s="42" t="str">
        <f>IFERROR(__xludf.DUMMYFUNCTION("""COMPUTED_VALUE"""),"[R]")</f>
        <v>[R]</v>
      </c>
      <c r="N1455" s="42" t="str">
        <f>IFERROR(__xludf.DUMMYFUNCTION("""COMPUTED_VALUE"""),"Zofis' 4th spell. ""I have enough power to completely destroy you all...""")</f>
        <v>Zofis' 4th spell. "I have enough power to completely destroy you all..."</v>
      </c>
      <c r="O1455" s="42"/>
      <c r="P1455" s="42"/>
      <c r="Q1455" s="42"/>
      <c r="R1455" s="42"/>
      <c r="S1455" s="42"/>
      <c r="T1455" s="42"/>
      <c r="U1455" s="42"/>
      <c r="V1455" s="42"/>
      <c r="W1455" s="42"/>
      <c r="X1455" s="42"/>
      <c r="Y1455" s="42"/>
      <c r="Z1455" s="42"/>
    </row>
    <row r="1456">
      <c r="A1456" s="41" t="str">
        <f>IFERROR(__xludf.DUMMYFUNCTION("""COMPUTED_VALUE"""),"S-326")</f>
        <v>S-326</v>
      </c>
      <c r="B1456" s="42" t="str">
        <f>IFERROR(__xludf.DUMMYFUNCTION("""COMPUTED_VALUE"""),"Spell")</f>
        <v>Spell</v>
      </c>
      <c r="C1456" s="42" t="str">
        <f>IFERROR(__xludf.DUMMYFUNCTION("""COMPUTED_VALUE"""),"Gigarado Shield")</f>
        <v>Gigarado Shield</v>
      </c>
      <c r="D1456" s="42" t="str">
        <f>IFERROR(__xludf.DUMMYFUNCTION("""COMPUTED_VALUE"""),"Zofis")</f>
        <v>Zofis</v>
      </c>
      <c r="E1456" s="42">
        <f>IFERROR(__xludf.DUMMYFUNCTION("""COMPUTED_VALUE"""),1.0)</f>
        <v>1</v>
      </c>
      <c r="F1456" s="42" t="str">
        <f>IFERROR(__xludf.DUMMYFUNCTION("""COMPUTED_VALUE"""),"D")</f>
        <v>D</v>
      </c>
      <c r="G1456" s="42" t="str">
        <f>IFERROR(__xludf.DUMMYFUNCTION("""COMPUTED_VALUE"""),"None")</f>
        <v>None</v>
      </c>
      <c r="H1456" s="42" t="str">
        <f>IFERROR(__xludf.DUMMYFUNCTION("""COMPUTED_VALUE"""),"-")</f>
        <v>-</v>
      </c>
      <c r="I1456" s="43" t="str">
        <f>IFERROR(__xludf.DUMMYFUNCTION("""COMPUTED_VALUE"""),"Negate your opponent's Attack when you win the Battle as a Defender.")</f>
        <v>Negate your opponent's Attack when you win the Battle as a Defender.</v>
      </c>
      <c r="J1456" s="42" t="str">
        <f>IFERROR(__xludf.DUMMYFUNCTION("""COMPUTED_VALUE"""),"+6000")</f>
        <v>+6000</v>
      </c>
      <c r="K1456" s="42" t="str">
        <f>IFERROR(__xludf.DUMMYFUNCTION("""COMPUTED_VALUE"""),"-")</f>
        <v>-</v>
      </c>
      <c r="L1456" s="42" t="str">
        <f>IFERROR(__xludf.DUMMYFUNCTION("""COMPUTED_VALUE"""),"-")</f>
        <v>-</v>
      </c>
      <c r="M1456" s="42" t="str">
        <f>IFERROR(__xludf.DUMMYFUNCTION("""COMPUTED_VALUE"""),"[U]")</f>
        <v>[U]</v>
      </c>
      <c r="N1456" s="42" t="str">
        <f>IFERROR(__xludf.DUMMYFUNCTION("""COMPUTED_VALUE"""),"Zofis' 5th spell. ""Heh... They're starting to use some of their more powerful spells.""")</f>
        <v>Zofis' 5th spell. "Heh... They're starting to use some of their more powerful spells."</v>
      </c>
      <c r="O1456" s="42"/>
      <c r="P1456" s="42"/>
      <c r="Q1456" s="42"/>
      <c r="R1456" s="42"/>
      <c r="S1456" s="42"/>
      <c r="T1456" s="42"/>
      <c r="U1456" s="42"/>
      <c r="V1456" s="42"/>
      <c r="W1456" s="42"/>
      <c r="X1456" s="42"/>
      <c r="Y1456" s="42"/>
      <c r="Z1456" s="42"/>
    </row>
    <row r="1457">
      <c r="A1457" s="41" t="str">
        <f>IFERROR(__xludf.DUMMYFUNCTION("""COMPUTED_VALUE"""),"S-327")</f>
        <v>S-327</v>
      </c>
      <c r="B1457" s="42" t="str">
        <f>IFERROR(__xludf.DUMMYFUNCTION("""COMPUTED_VALUE"""),"Spell")</f>
        <v>Spell</v>
      </c>
      <c r="C1457" s="42" t="str">
        <f>IFERROR(__xludf.DUMMYFUNCTION("""COMPUTED_VALUE"""),"Bao Zakeruga (Reinforced)")</f>
        <v>Bao Zakeruga (Reinforced)</v>
      </c>
      <c r="D1457" s="42" t="str">
        <f>IFERROR(__xludf.DUMMYFUNCTION("""COMPUTED_VALUE"""),"Zatch Bell")</f>
        <v>Zatch Bell</v>
      </c>
      <c r="E1457" s="42">
        <f>IFERROR(__xludf.DUMMYFUNCTION("""COMPUTED_VALUE"""),6.0)</f>
        <v>6</v>
      </c>
      <c r="F1457" s="42" t="str">
        <f>IFERROR(__xludf.DUMMYFUNCTION("""COMPUTED_VALUE"""),"AD")</f>
        <v>AD</v>
      </c>
      <c r="G1457" s="42" t="str">
        <f>IFERROR(__xludf.DUMMYFUNCTION("""COMPUTED_VALUE"""),"Superior")</f>
        <v>Superior</v>
      </c>
      <c r="H1457" s="42" t="str">
        <f>IFERROR(__xludf.DUMMYFUNCTION("""COMPUTED_VALUE"""),"Thunder")</f>
        <v>Thunder</v>
      </c>
      <c r="I1457" s="43" t="str">
        <f>IFERROR(__xludf.DUMMYFUNCTION("""COMPUTED_VALUE"""),"Damage your opponent's Spell Book when you win the Battle as an Attacker. If the power of this SPELL card is increased by the effects of a Zagurzem SPELL card, your opponent can neither SACRIFICE nor PROTECT their Spell Book from the Damage of this SPELL "&amp;"card.")</f>
        <v>Damage your opponent's Spell Book when you win the Battle as an Attacker. If the power of this SPELL card is increased by the effects of a Zagurzem SPELL card, your opponent can neither SACRIFICE nor PROTECT their Spell Book from the Damage of this SPELL card.</v>
      </c>
      <c r="J1457" s="42" t="str">
        <f>IFERROR(__xludf.DUMMYFUNCTION("""COMPUTED_VALUE"""),"+6000")</f>
        <v>+6000</v>
      </c>
      <c r="K1457" s="42">
        <f>IFERROR(__xludf.DUMMYFUNCTION("""COMPUTED_VALUE"""),3.0)</f>
        <v>3</v>
      </c>
      <c r="L1457" s="42" t="str">
        <f>IFERROR(__xludf.DUMMYFUNCTION("""COMPUTED_VALUE"""),"-")</f>
        <v>-</v>
      </c>
      <c r="M1457" s="42" t="str">
        <f>IFERROR(__xludf.DUMMYFUNCTION("""COMPUTED_VALUE"""),"[SR]")</f>
        <v>[SR]</v>
      </c>
      <c r="N1457" s="42" t="str">
        <f>IFERROR(__xludf.DUMMYFUNCTION("""COMPUTED_VALUE"""),"Zatch’s 4th spell. “After absorbing the charge from Zagurzem’s chain reaction... Bao... changed its form?!”")</f>
        <v>Zatch’s 4th spell. “After absorbing the charge from Zagurzem’s chain reaction... Bao... changed its form?!”</v>
      </c>
      <c r="O1457" s="42"/>
      <c r="P1457" s="42"/>
      <c r="Q1457" s="42"/>
      <c r="R1457" s="42"/>
      <c r="S1457" s="42"/>
      <c r="T1457" s="42"/>
      <c r="U1457" s="42"/>
      <c r="V1457" s="42"/>
      <c r="W1457" s="42"/>
      <c r="X1457" s="42"/>
      <c r="Y1457" s="42"/>
      <c r="Z1457" s="42"/>
    </row>
    <row r="1458">
      <c r="A1458" s="41" t="str">
        <f>IFERROR(__xludf.DUMMYFUNCTION("""COMPUTED_VALUE"""),"S-328")</f>
        <v>S-328</v>
      </c>
      <c r="B1458" s="42" t="str">
        <f>IFERROR(__xludf.DUMMYFUNCTION("""COMPUTED_VALUE"""),"Spell")</f>
        <v>Spell</v>
      </c>
      <c r="C1458" s="42" t="str">
        <f>IFERROR(__xludf.DUMMYFUNCTION("""COMPUTED_VALUE"""),"Zagurzem")</f>
        <v>Zagurzem</v>
      </c>
      <c r="D1458" s="42" t="str">
        <f>IFERROR(__xludf.DUMMYFUNCTION("""COMPUTED_VALUE"""),"Zatch Bell")</f>
        <v>Zatch Bell</v>
      </c>
      <c r="E1458" s="42">
        <f>IFERROR(__xludf.DUMMYFUNCTION("""COMPUTED_VALUE"""),1.0)</f>
        <v>1</v>
      </c>
      <c r="F1458" s="42" t="str">
        <f>IFERROR(__xludf.DUMMYFUNCTION("""COMPUTED_VALUE"""),"AD")</f>
        <v>AD</v>
      </c>
      <c r="G1458" s="42" t="str">
        <f>IFERROR(__xludf.DUMMYFUNCTION("""COMPUTED_VALUE"""),"None")</f>
        <v>None</v>
      </c>
      <c r="H1458" s="42" t="str">
        <f>IFERROR(__xludf.DUMMYFUNCTION("""COMPUTED_VALUE"""),"Thunder")</f>
        <v>Thunder</v>
      </c>
      <c r="I1458" s="43" t="str">
        <f>IFERROR(__xludf.DUMMYFUNCTION("""COMPUTED_VALUE"""),"Apply the following effect when you win the Battle as an Attacker or as a Defender: [STANDBY] Add 1000 Power and 1 Damage to the next Bao Zakeruga (Reinforced) SPELL card you play during this game (this effect can be duplicated).")</f>
        <v>Apply the following effect when you win the Battle as an Attacker or as a Defender: [STANDBY] Add 1000 Power and 1 Damage to the next Bao Zakeruga (Reinforced) SPELL card you play during this game (this effect can be duplicated).</v>
      </c>
      <c r="J1458" s="42" t="str">
        <f>IFERROR(__xludf.DUMMYFUNCTION("""COMPUTED_VALUE"""),"+4000")</f>
        <v>+4000</v>
      </c>
      <c r="K1458" s="42" t="str">
        <f>IFERROR(__xludf.DUMMYFUNCTION("""COMPUTED_VALUE"""),"-")</f>
        <v>-</v>
      </c>
      <c r="L1458" s="42" t="str">
        <f>IFERROR(__xludf.DUMMYFUNCTION("""COMPUTED_VALUE"""),"-")</f>
        <v>-</v>
      </c>
      <c r="M1458" s="42" t="str">
        <f>IFERROR(__xludf.DUMMYFUNCTION("""COMPUTED_VALUE"""),"[SR]")</f>
        <v>[SR]</v>
      </c>
      <c r="N1458" s="42" t="str">
        <f>IFERROR(__xludf.DUMMYFUNCTION("""COMPUTED_VALUE"""),"Zatch’s 7th spell. Zagurzem has the hidden power to set off chain reaction explosions!")</f>
        <v>Zatch’s 7th spell. Zagurzem has the hidden power to set off chain reaction explosions!</v>
      </c>
      <c r="O1458" s="42"/>
      <c r="P1458" s="42"/>
      <c r="Q1458" s="42"/>
      <c r="R1458" s="42"/>
      <c r="S1458" s="42"/>
      <c r="T1458" s="42"/>
      <c r="U1458" s="42"/>
      <c r="V1458" s="42"/>
      <c r="W1458" s="42"/>
      <c r="X1458" s="42"/>
      <c r="Y1458" s="42"/>
      <c r="Z1458" s="42"/>
    </row>
    <row r="1459">
      <c r="A1459" s="41" t="str">
        <f>IFERROR(__xludf.DUMMYFUNCTION("""COMPUTED_VALUE"""),"S-329")</f>
        <v>S-329</v>
      </c>
      <c r="B1459" s="42" t="str">
        <f>IFERROR(__xludf.DUMMYFUNCTION("""COMPUTED_VALUE"""),"Spell")</f>
        <v>Spell</v>
      </c>
      <c r="C1459" s="42" t="str">
        <f>IFERROR(__xludf.DUMMYFUNCTION("""COMPUTED_VALUE"""),"Project A")</f>
        <v>Project A</v>
      </c>
      <c r="D1459" s="42" t="str">
        <f>IFERROR(__xludf.DUMMYFUNCTION("""COMPUTED_VALUE"""),"Ponygon")</f>
        <v>Ponygon</v>
      </c>
      <c r="E1459" s="42">
        <f>IFERROR(__xludf.DUMMYFUNCTION("""COMPUTED_VALUE"""),0.0)</f>
        <v>0</v>
      </c>
      <c r="F1459" s="42" t="str">
        <f>IFERROR(__xludf.DUMMYFUNCTION("""COMPUTED_VALUE"""),"A")</f>
        <v>A</v>
      </c>
      <c r="G1459" s="42" t="str">
        <f>IFERROR(__xludf.DUMMYFUNCTION("""COMPUTED_VALUE"""),"Intermediate")</f>
        <v>Intermediate</v>
      </c>
      <c r="H1459" s="42" t="str">
        <f>IFERROR(__xludf.DUMMYFUNCTION("""COMPUTED_VALUE"""),"-")</f>
        <v>-</v>
      </c>
      <c r="I1459" s="43" t="str">
        <f>IFERROR(__xludf.DUMMYFUNCTION("""COMPUTED_VALUE"""),"Flip a coin; if it's heads, apply the following effect: [STANDBY] During the next Battle this turn when your Ponygon MAMODO card Attacks, your opponent can neither Defend nor can they SACRIFICE or PROTECT their Spell Book from Damage.")</f>
        <v>Flip a coin; if it's heads, apply the following effect: [STANDBY] During the next Battle this turn when your Ponygon MAMODO card Attacks, your opponent can neither Defend nor can they SACRIFICE or PROTECT their Spell Book from Damage.</v>
      </c>
      <c r="J1459" s="42" t="str">
        <f>IFERROR(__xludf.DUMMYFUNCTION("""COMPUTED_VALUE"""),"Special")</f>
        <v>Special</v>
      </c>
      <c r="K1459" s="42" t="str">
        <f>IFERROR(__xludf.DUMMYFUNCTION("""COMPUTED_VALUE"""),"-")</f>
        <v>-</v>
      </c>
      <c r="L1459" s="42" t="str">
        <f>IFERROR(__xludf.DUMMYFUNCTION("""COMPUTED_VALUE"""),"-")</f>
        <v>-</v>
      </c>
      <c r="M1459" s="42" t="str">
        <f>IFERROR(__xludf.DUMMYFUNCTION("""COMPUTED_VALUE"""),"[R]")</f>
        <v>[R]</v>
      </c>
      <c r="N1459" s="42" t="str">
        <f>IFERROR(__xludf.DUMMYFUNCTION("""COMPUTED_VALUE"""),"Command:Ponygon")</f>
        <v>Command:Ponygon</v>
      </c>
      <c r="O1459" s="42"/>
      <c r="P1459" s="42"/>
      <c r="Q1459" s="42"/>
      <c r="R1459" s="42"/>
      <c r="S1459" s="42"/>
      <c r="T1459" s="42"/>
      <c r="U1459" s="42"/>
      <c r="V1459" s="42"/>
      <c r="W1459" s="42"/>
      <c r="X1459" s="42"/>
      <c r="Y1459" s="42"/>
      <c r="Z1459" s="42"/>
    </row>
    <row r="1460">
      <c r="A1460" s="41" t="str">
        <f>IFERROR(__xludf.DUMMYFUNCTION("""COMPUTED_VALUE"""),"S-330")</f>
        <v>S-330</v>
      </c>
      <c r="B1460" s="42" t="str">
        <f>IFERROR(__xludf.DUMMYFUNCTION("""COMPUTED_VALUE"""),"Spell")</f>
        <v>Spell</v>
      </c>
      <c r="C1460" s="42" t="str">
        <f>IFERROR(__xludf.DUMMYFUNCTION("""COMPUTED_VALUE"""),"Medoru")</f>
        <v>Medoru</v>
      </c>
      <c r="D1460" s="42" t="str">
        <f>IFERROR(__xludf.DUMMYFUNCTION("""COMPUTED_VALUE"""),"Goren")</f>
        <v>Goren</v>
      </c>
      <c r="E1460" s="42">
        <f>IFERROR(__xludf.DUMMYFUNCTION("""COMPUTED_VALUE"""),1.0)</f>
        <v>1</v>
      </c>
      <c r="F1460" s="42" t="str">
        <f>IFERROR(__xludf.DUMMYFUNCTION("""COMPUTED_VALUE"""),"AD")</f>
        <v>AD</v>
      </c>
      <c r="G1460" s="42" t="str">
        <f>IFERROR(__xludf.DUMMYFUNCTION("""COMPUTED_VALUE"""),"None")</f>
        <v>None</v>
      </c>
      <c r="H1460" s="42" t="str">
        <f>IFERROR(__xludf.DUMMYFUNCTION("""COMPUTED_VALUE"""),"-")</f>
        <v>-</v>
      </c>
      <c r="I1460" s="43" t="str">
        <f>IFERROR(__xludf.DUMMYFUNCTION("""COMPUTED_VALUE"""),"Turn as many of either player's Petrified MAMODO cards as you desire to Normal Status.")</f>
        <v>Turn as many of either player's Petrified MAMODO cards as you desire to Normal Status.</v>
      </c>
      <c r="J1460" s="42" t="str">
        <f>IFERROR(__xludf.DUMMYFUNCTION("""COMPUTED_VALUE"""),"Special")</f>
        <v>Special</v>
      </c>
      <c r="K1460" s="42" t="str">
        <f>IFERROR(__xludf.DUMMYFUNCTION("""COMPUTED_VALUE"""),"-")</f>
        <v>-</v>
      </c>
      <c r="L1460" s="42" t="str">
        <f>IFERROR(__xludf.DUMMYFUNCTION("""COMPUTED_VALUE"""),"-")</f>
        <v>-</v>
      </c>
      <c r="M1460" s="42" t="str">
        <f>IFERROR(__xludf.DUMMYFUNCTION("""COMPUTED_VALUE"""),"[R]")</f>
        <v>[R]</v>
      </c>
      <c r="N1460" s="42" t="str">
        <f>IFERROR(__xludf.DUMMYFUNCTION("""COMPUTED_VALUE"""),"Goren’s 4th spell. He also possessed the ability to free his own victims from their stone tablet prisons.")</f>
        <v>Goren’s 4th spell. He also possessed the ability to free his own victims from their stone tablet prisons.</v>
      </c>
      <c r="O1460" s="42"/>
      <c r="P1460" s="42"/>
      <c r="Q1460" s="42"/>
      <c r="R1460" s="42"/>
      <c r="S1460" s="42"/>
      <c r="T1460" s="42"/>
      <c r="U1460" s="42"/>
      <c r="V1460" s="42"/>
      <c r="W1460" s="42"/>
      <c r="X1460" s="42"/>
      <c r="Y1460" s="42"/>
      <c r="Z1460" s="42"/>
    </row>
    <row r="1461">
      <c r="A1461" s="41" t="str">
        <f>IFERROR(__xludf.DUMMYFUNCTION("""COMPUTED_VALUE"""),"S-331")</f>
        <v>S-331</v>
      </c>
      <c r="B1461" s="42" t="str">
        <f>IFERROR(__xludf.DUMMYFUNCTION("""COMPUTED_VALUE"""),"Spell")</f>
        <v>Spell</v>
      </c>
      <c r="C1461" s="42" t="str">
        <f>IFERROR(__xludf.DUMMYFUNCTION("""COMPUTED_VALUE"""),"Garneshir")</f>
        <v>Garneshir</v>
      </c>
      <c r="D1461" s="42" t="str">
        <f>IFERROR(__xludf.DUMMYFUNCTION("""COMPUTED_VALUE"""),"Paramakiron")</f>
        <v>Paramakiron</v>
      </c>
      <c r="E1461" s="42">
        <f>IFERROR(__xludf.DUMMYFUNCTION("""COMPUTED_VALUE"""),1.0)</f>
        <v>1</v>
      </c>
      <c r="F1461" s="42" t="str">
        <f>IFERROR(__xludf.DUMMYFUNCTION("""COMPUTED_VALUE"""),"A")</f>
        <v>A</v>
      </c>
      <c r="G1461" s="42" t="str">
        <f>IFERROR(__xludf.DUMMYFUNCTION("""COMPUTED_VALUE"""),"None")</f>
        <v>None</v>
      </c>
      <c r="H1461" s="42" t="str">
        <f>IFERROR(__xludf.DUMMYFUNCTION("""COMPUTED_VALUE"""),"-")</f>
        <v>-</v>
      </c>
      <c r="I1461" s="43" t="str">
        <f>IFERROR(__xludf.DUMMYFUNCTION("""COMPUTED_VALUE"""),"Damage your opponent's Spell Book when you win the Battle as an Attacker. Flip a coin; if it's heads, increase the Damage of this SPELL card by 1. If it's tails, this SPELL card Damages your Spell Book after inflicting Damage or Injury.")</f>
        <v>Damage your opponent's Spell Book when you win the Battle as an Attacker. Flip a coin; if it's heads, increase the Damage of this SPELL card by 1. If it's tails, this SPELL card Damages your Spell Book after inflicting Damage or Injury.</v>
      </c>
      <c r="J1461" s="42" t="str">
        <f>IFERROR(__xludf.DUMMYFUNCTION("""COMPUTED_VALUE"""),"+2000")</f>
        <v>+2000</v>
      </c>
      <c r="K1461" s="42">
        <f>IFERROR(__xludf.DUMMYFUNCTION("""COMPUTED_VALUE"""),1.0)</f>
        <v>1</v>
      </c>
      <c r="L1461" s="42" t="str">
        <f>IFERROR(__xludf.DUMMYFUNCTION("""COMPUTED_VALUE"""),"-")</f>
        <v>-</v>
      </c>
      <c r="M1461" s="42" t="str">
        <f>IFERROR(__xludf.DUMMYFUNCTION("""COMPUTED_VALUE"""),"[C]")</f>
        <v>[C]</v>
      </c>
      <c r="N1461" s="42" t="str">
        <f>IFERROR(__xludf.DUMMYFUNCTION("""COMPUTED_VALUE"""),"His body thrusts forward as he spins like a high-speed drill.")</f>
        <v>His body thrusts forward as he spins like a high-speed drill.</v>
      </c>
      <c r="O1461" s="42"/>
      <c r="P1461" s="42"/>
      <c r="Q1461" s="42"/>
      <c r="R1461" s="42"/>
      <c r="S1461" s="42"/>
      <c r="T1461" s="42"/>
      <c r="U1461" s="42"/>
      <c r="V1461" s="42"/>
      <c r="W1461" s="42"/>
      <c r="X1461" s="42"/>
      <c r="Y1461" s="42"/>
      <c r="Z1461" s="42"/>
    </row>
    <row r="1462">
      <c r="A1462" s="41" t="str">
        <f>IFERROR(__xludf.DUMMYFUNCTION("""COMPUTED_VALUE"""),"S-332")</f>
        <v>S-332</v>
      </c>
      <c r="B1462" s="42" t="str">
        <f>IFERROR(__xludf.DUMMYFUNCTION("""COMPUTED_VALUE"""),"Spell")</f>
        <v>Spell</v>
      </c>
      <c r="C1462" s="42" t="str">
        <f>IFERROR(__xludf.DUMMYFUNCTION("""COMPUTED_VALUE"""),"Akur")</f>
        <v>Akur</v>
      </c>
      <c r="D1462" s="42" t="str">
        <f>IFERROR(__xludf.DUMMYFUNCTION("""COMPUTED_VALUE"""),"Gelios")</f>
        <v>Gelios</v>
      </c>
      <c r="E1462" s="42">
        <f>IFERROR(__xludf.DUMMYFUNCTION("""COMPUTED_VALUE"""),1.0)</f>
        <v>1</v>
      </c>
      <c r="F1462" s="42" t="str">
        <f>IFERROR(__xludf.DUMMYFUNCTION("""COMPUTED_VALUE"""),"AD")</f>
        <v>AD</v>
      </c>
      <c r="G1462" s="42" t="str">
        <f>IFERROR(__xludf.DUMMYFUNCTION("""COMPUTED_VALUE"""),"None")</f>
        <v>None</v>
      </c>
      <c r="H1462" s="42" t="str">
        <f>IFERROR(__xludf.DUMMYFUNCTION("""COMPUTED_VALUE"""),"Water")</f>
        <v>Water</v>
      </c>
      <c r="I1462" s="43" t="str">
        <f>IFERROR(__xludf.DUMMYFUNCTION("""COMPUTED_VALUE"""),"Damage your opponent's Spell Book when you win the Battle as an Attacker. [STAY] Regardless of your opponent's Power during this Battle, add 2000 Power to both players' ""Water"" Attribute SPELL cards until the END PHASE of your next turn (this effect can"&amp;"not be duplicated).")</f>
        <v>Damage your opponent's Spell Book when you win the Battle as an Attacker. [STAY] Regardless of your opponent's Power during this Battle, add 2000 Power to both players' "Water" Attribute SPELL cards until the END PHASE of your next turn (this effect cannot be duplicated).</v>
      </c>
      <c r="J1462" s="42" t="str">
        <f>IFERROR(__xludf.DUMMYFUNCTION("""COMPUTED_VALUE"""),"+2000")</f>
        <v>+2000</v>
      </c>
      <c r="K1462" s="42">
        <f>IFERROR(__xludf.DUMMYFUNCTION("""COMPUTED_VALUE"""),1.0)</f>
        <v>1</v>
      </c>
      <c r="L1462" s="42" t="str">
        <f>IFERROR(__xludf.DUMMYFUNCTION("""COMPUTED_VALUE"""),"-")</f>
        <v>-</v>
      </c>
      <c r="M1462" s="42" t="str">
        <f>IFERROR(__xludf.DUMMYFUNCTION("""COMPUTED_VALUE"""),"[C]")</f>
        <v>[C]</v>
      </c>
      <c r="N1462" s="42" t="str">
        <f>IFERROR(__xludf.DUMMYFUNCTION("""COMPUTED_VALUE"""),"Gelios’ 4th spell. It discharges a torrent of water from his mouth, flooding the entire surrounding area.")</f>
        <v>Gelios’ 4th spell. It discharges a torrent of water from his mouth, flooding the entire surrounding area.</v>
      </c>
      <c r="O1462" s="42"/>
      <c r="P1462" s="42"/>
      <c r="Q1462" s="42"/>
      <c r="R1462" s="42"/>
      <c r="S1462" s="42"/>
      <c r="T1462" s="42"/>
      <c r="U1462" s="42"/>
      <c r="V1462" s="42"/>
      <c r="W1462" s="42"/>
      <c r="X1462" s="42"/>
      <c r="Y1462" s="42"/>
      <c r="Z1462" s="42"/>
    </row>
    <row r="1463">
      <c r="A1463" s="41" t="str">
        <f>IFERROR(__xludf.DUMMYFUNCTION("""COMPUTED_VALUE"""),"S-333")</f>
        <v>S-333</v>
      </c>
      <c r="B1463" s="42" t="str">
        <f>IFERROR(__xludf.DUMMYFUNCTION("""COMPUTED_VALUE"""),"Spell")</f>
        <v>Spell</v>
      </c>
      <c r="C1463" s="42" t="str">
        <f>IFERROR(__xludf.DUMMYFUNCTION("""COMPUTED_VALUE"""),"Zadon Begirusen")</f>
        <v>Zadon Begirusen</v>
      </c>
      <c r="D1463" s="42" t="str">
        <f>IFERROR(__xludf.DUMMYFUNCTION("""COMPUTED_VALUE"""),"Dalmos")</f>
        <v>Dalmos</v>
      </c>
      <c r="E1463" s="42">
        <f>IFERROR(__xludf.DUMMYFUNCTION("""COMPUTED_VALUE"""),2.0)</f>
        <v>2</v>
      </c>
      <c r="F1463" s="42" t="str">
        <f>IFERROR(__xludf.DUMMYFUNCTION("""COMPUTED_VALUE"""),"A")</f>
        <v>A</v>
      </c>
      <c r="G1463" s="42" t="str">
        <f>IFERROR(__xludf.DUMMYFUNCTION("""COMPUTED_VALUE"""),"Intermediate")</f>
        <v>Intermediate</v>
      </c>
      <c r="H1463" s="42" t="str">
        <f>IFERROR(__xludf.DUMMYFUNCTION("""COMPUTED_VALUE"""),"-")</f>
        <v>-</v>
      </c>
      <c r="I1463" s="43" t="str">
        <f>IFERROR(__xludf.DUMMYFUNCTION("""COMPUTED_VALUE"""),"Damage your opponent's Spell Book twice when you win the Battle as an Attacker.")</f>
        <v>Damage your opponent's Spell Book twice when you win the Battle as an Attacker.</v>
      </c>
      <c r="J1463" s="42" t="str">
        <f>IFERROR(__xludf.DUMMYFUNCTION("""COMPUTED_VALUE"""),"+3000")</f>
        <v>+3000</v>
      </c>
      <c r="K1463" s="42">
        <f>IFERROR(__xludf.DUMMYFUNCTION("""COMPUTED_VALUE"""),1.0)</f>
        <v>1</v>
      </c>
      <c r="L1463" s="42" t="str">
        <f>IFERROR(__xludf.DUMMYFUNCTION("""COMPUTED_VALUE"""),"-")</f>
        <v>-</v>
      </c>
      <c r="M1463" s="42" t="str">
        <f>IFERROR(__xludf.DUMMYFUNCTION("""COMPUTED_VALUE"""),"[C]")</f>
        <v>[C]</v>
      </c>
      <c r="N1463" s="42" t="str">
        <f>IFERROR(__xludf.DUMMYFUNCTION("""COMPUTED_VALUE"""),"Dalmos' 7th spell. Enables him to fire dual missiles that can dive into the sand.")</f>
        <v>Dalmos' 7th spell. Enables him to fire dual missiles that can dive into the sand.</v>
      </c>
      <c r="O1463" s="42"/>
      <c r="P1463" s="42"/>
      <c r="Q1463" s="42"/>
      <c r="R1463" s="42"/>
      <c r="S1463" s="42"/>
      <c r="T1463" s="42"/>
      <c r="U1463" s="42"/>
      <c r="V1463" s="42"/>
      <c r="W1463" s="42"/>
      <c r="X1463" s="42"/>
      <c r="Y1463" s="42"/>
      <c r="Z1463" s="42"/>
    </row>
    <row r="1464">
      <c r="A1464" s="41" t="str">
        <f>IFERROR(__xludf.DUMMYFUNCTION("""COMPUTED_VALUE"""),"S-334")</f>
        <v>S-334</v>
      </c>
      <c r="B1464" s="42" t="str">
        <f>IFERROR(__xludf.DUMMYFUNCTION("""COMPUTED_VALUE"""),"Spell")</f>
        <v>Spell</v>
      </c>
      <c r="C1464" s="42" t="str">
        <f>IFERROR(__xludf.DUMMYFUNCTION("""COMPUTED_VALUE"""),"Detoza Begirusen")</f>
        <v>Detoza Begirusen</v>
      </c>
      <c r="D1464" s="42" t="str">
        <f>IFERROR(__xludf.DUMMYFUNCTION("""COMPUTED_VALUE"""),"Dalmos")</f>
        <v>Dalmos</v>
      </c>
      <c r="E1464" s="42">
        <f>IFERROR(__xludf.DUMMYFUNCTION("""COMPUTED_VALUE"""),1.0)</f>
        <v>1</v>
      </c>
      <c r="F1464" s="42" t="str">
        <f>IFERROR(__xludf.DUMMYFUNCTION("""COMPUTED_VALUE"""),"A")</f>
        <v>A</v>
      </c>
      <c r="G1464" s="42" t="str">
        <f>IFERROR(__xludf.DUMMYFUNCTION("""COMPUTED_VALUE"""),"None")</f>
        <v>None</v>
      </c>
      <c r="H1464" s="42" t="str">
        <f>IFERROR(__xludf.DUMMYFUNCTION("""COMPUTED_VALUE"""),"Ground")</f>
        <v>Ground</v>
      </c>
      <c r="I1464" s="43" t="str">
        <f>IFERROR(__xludf.DUMMYFUNCTION("""COMPUTED_VALUE"""),"Send 1 of your opponent's in-play cards (except MAMODO cards) to the Discard Pile when you win the Battle as an Attacker. [STAY] Regardless of your opponent's Power during this Battle, add 2000 Power to both players' ""Ground"" Attribute SPELL cards until"&amp;" the END PHASE of your next turn (this effect cannot be duplicated).")</f>
        <v>Send 1 of your opponent's in-play cards (except MAMODO cards) to the Discard Pile when you win the Battle as an Attacker. [STAY] Regardless of your opponent's Power during this Battle, add 2000 Power to both players' "Ground" Attribute SPELL cards until the END PHASE of your next turn (this effect cannot be duplicated).</v>
      </c>
      <c r="J1464" s="42" t="str">
        <f>IFERROR(__xludf.DUMMYFUNCTION("""COMPUTED_VALUE"""),"+2000")</f>
        <v>+2000</v>
      </c>
      <c r="K1464" s="42" t="str">
        <f>IFERROR(__xludf.DUMMYFUNCTION("""COMPUTED_VALUE"""),"-")</f>
        <v>-</v>
      </c>
      <c r="L1464" s="42" t="str">
        <f>IFERROR(__xludf.DUMMYFUNCTION("""COMPUTED_VALUE"""),"-")</f>
        <v>-</v>
      </c>
      <c r="M1464" s="42" t="str">
        <f>IFERROR(__xludf.DUMMYFUNCTION("""COMPUTED_VALUE"""),"[C]")</f>
        <v>[C]</v>
      </c>
      <c r="N1464" s="42" t="str">
        <f>IFERROR(__xludf.DUMMYFUNCTION("""COMPUTED_VALUE"""),"Dalmos’ 8th spell. An amalgamation of drills shoots from his chest cavity and burrows into the ground to create an antlion pit from which there is no escape.")</f>
        <v>Dalmos’ 8th spell. An amalgamation of drills shoots from his chest cavity and burrows into the ground to create an antlion pit from which there is no escape.</v>
      </c>
      <c r="O1464" s="42"/>
      <c r="P1464" s="42"/>
      <c r="Q1464" s="42"/>
      <c r="R1464" s="42"/>
      <c r="S1464" s="42"/>
      <c r="T1464" s="42"/>
      <c r="U1464" s="42"/>
      <c r="V1464" s="42"/>
      <c r="W1464" s="42"/>
      <c r="X1464" s="42"/>
      <c r="Y1464" s="42"/>
      <c r="Z1464" s="42"/>
    </row>
    <row r="1465">
      <c r="A1465" s="41" t="str">
        <f>IFERROR(__xludf.DUMMYFUNCTION("""COMPUTED_VALUE"""),"S-335")</f>
        <v>S-335</v>
      </c>
      <c r="B1465" s="42" t="str">
        <f>IFERROR(__xludf.DUMMYFUNCTION("""COMPUTED_VALUE"""),"Spell")</f>
        <v>Spell</v>
      </c>
      <c r="C1465" s="42" t="str">
        <f>IFERROR(__xludf.DUMMYFUNCTION("""COMPUTED_VALUE"""),"Bogiruga")</f>
        <v>Bogiruga</v>
      </c>
      <c r="D1465" s="42" t="str">
        <f>IFERROR(__xludf.DUMMYFUNCTION("""COMPUTED_VALUE"""),"Babiru")</f>
        <v>Babiru</v>
      </c>
      <c r="E1465" s="42">
        <f>IFERROR(__xludf.DUMMYFUNCTION("""COMPUTED_VALUE"""),1.0)</f>
        <v>1</v>
      </c>
      <c r="F1465" s="42" t="str">
        <f>IFERROR(__xludf.DUMMYFUNCTION("""COMPUTED_VALUE"""),"AD")</f>
        <v>AD</v>
      </c>
      <c r="G1465" s="42" t="str">
        <f>IFERROR(__xludf.DUMMYFUNCTION("""COMPUTED_VALUE"""),"None")</f>
        <v>None</v>
      </c>
      <c r="H1465" s="42" t="str">
        <f>IFERROR(__xludf.DUMMYFUNCTION("""COMPUTED_VALUE"""),"-")</f>
        <v>-</v>
      </c>
      <c r="I1465" s="43" t="str">
        <f>IFERROR(__xludf.DUMMYFUNCTION("""COMPUTED_VALUE"""),"Damage your opponent's Spell Book when you win the Battle as an Attacker.")</f>
        <v>Damage your opponent's Spell Book when you win the Battle as an Attacker.</v>
      </c>
      <c r="J1465" s="42" t="str">
        <f>IFERROR(__xludf.DUMMYFUNCTION("""COMPUTED_VALUE"""),"+3000")</f>
        <v>+3000</v>
      </c>
      <c r="K1465" s="42">
        <f>IFERROR(__xludf.DUMMYFUNCTION("""COMPUTED_VALUE"""),1.0)</f>
        <v>1</v>
      </c>
      <c r="L1465" s="42" t="str">
        <f>IFERROR(__xludf.DUMMYFUNCTION("""COMPUTED_VALUE"""),"-")</f>
        <v>-</v>
      </c>
      <c r="M1465" s="42" t="str">
        <f>IFERROR(__xludf.DUMMYFUNCTION("""COMPUTED_VALUE"""),"[C]")</f>
        <v>[C]</v>
      </c>
      <c r="N1465" s="42" t="str">
        <f>IFERROR(__xludf.DUMMYFUNCTION("""COMPUTED_VALUE"""),"Babiru's 1st spell. He puts his arms together and shoots out a cross-shaped energy beam.")</f>
        <v>Babiru's 1st spell. He puts his arms together and shoots out a cross-shaped energy beam.</v>
      </c>
      <c r="O1465" s="42"/>
      <c r="P1465" s="42"/>
      <c r="Q1465" s="42"/>
      <c r="R1465" s="42"/>
      <c r="S1465" s="42"/>
      <c r="T1465" s="42"/>
      <c r="U1465" s="42"/>
      <c r="V1465" s="42"/>
      <c r="W1465" s="42"/>
      <c r="X1465" s="42"/>
      <c r="Y1465" s="42"/>
      <c r="Z1465" s="42"/>
    </row>
    <row r="1466">
      <c r="A1466" s="41" t="str">
        <f>IFERROR(__xludf.DUMMYFUNCTION("""COMPUTED_VALUE"""),"S-336")</f>
        <v>S-336</v>
      </c>
      <c r="B1466" s="42" t="str">
        <f>IFERROR(__xludf.DUMMYFUNCTION("""COMPUTED_VALUE"""),"Spell")</f>
        <v>Spell</v>
      </c>
      <c r="C1466" s="42" t="str">
        <f>IFERROR(__xludf.DUMMYFUNCTION("""COMPUTED_VALUE"""),"Go Gairon")</f>
        <v>Go Gairon</v>
      </c>
      <c r="D1466" s="42" t="str">
        <f>IFERROR(__xludf.DUMMYFUNCTION("""COMPUTED_VALUE"""),"Zami")</f>
        <v>Zami</v>
      </c>
      <c r="E1466" s="42">
        <f>IFERROR(__xludf.DUMMYFUNCTION("""COMPUTED_VALUE"""),2.0)</f>
        <v>2</v>
      </c>
      <c r="F1466" s="42" t="str">
        <f>IFERROR(__xludf.DUMMYFUNCTION("""COMPUTED_VALUE"""),"AD")</f>
        <v>AD</v>
      </c>
      <c r="G1466" s="42" t="str">
        <f>IFERROR(__xludf.DUMMYFUNCTION("""COMPUTED_VALUE"""),"None")</f>
        <v>None</v>
      </c>
      <c r="H1466" s="42" t="str">
        <f>IFERROR(__xludf.DUMMYFUNCTION("""COMPUTED_VALUE"""),"-")</f>
        <v>-</v>
      </c>
      <c r="I1466" s="43" t="str">
        <f>IFERROR(__xludf.DUMMYFUNCTION("""COMPUTED_VALUE"""),"This SPELL card can be played up to twice per turn (per player). When played a second time, the MP cost is considered to be 0. Damage your opponent's Spell Book when you win the Battle as an Attacker.")</f>
        <v>This SPELL card can be played up to twice per turn (per player). When played a second time, the MP cost is considered to be 0. Damage your opponent's Spell Book when you win the Battle as an Attacker.</v>
      </c>
      <c r="J1466" s="42" t="str">
        <f>IFERROR(__xludf.DUMMYFUNCTION("""COMPUTED_VALUE"""),"+2000")</f>
        <v>+2000</v>
      </c>
      <c r="K1466" s="42">
        <f>IFERROR(__xludf.DUMMYFUNCTION("""COMPUTED_VALUE"""),1.0)</f>
        <v>1</v>
      </c>
      <c r="L1466" s="42" t="str">
        <f>IFERROR(__xludf.DUMMYFUNCTION("""COMPUTED_VALUE"""),"-")</f>
        <v>-</v>
      </c>
      <c r="M1466" s="42" t="str">
        <f>IFERROR(__xludf.DUMMYFUNCTION("""COMPUTED_VALUE"""),"[C]")</f>
        <v>[C]</v>
      </c>
      <c r="N1466" s="42" t="str">
        <f>IFERROR(__xludf.DUMMYFUNCTION("""COMPUTED_VALUE"""),"Zami's 1st spell. The claws on his arms morph into energy whips to lash at his adversaries.")</f>
        <v>Zami's 1st spell. The claws on his arms morph into energy whips to lash at his adversaries.</v>
      </c>
      <c r="O1466" s="42"/>
      <c r="P1466" s="42"/>
      <c r="Q1466" s="42"/>
      <c r="R1466" s="42"/>
      <c r="S1466" s="42"/>
      <c r="T1466" s="42"/>
      <c r="U1466" s="42"/>
      <c r="V1466" s="42"/>
      <c r="W1466" s="42"/>
      <c r="X1466" s="42"/>
      <c r="Y1466" s="42"/>
      <c r="Z1466" s="42"/>
    </row>
    <row r="1467">
      <c r="A1467" s="41" t="str">
        <f>IFERROR(__xludf.DUMMYFUNCTION("""COMPUTED_VALUE"""),"S-337")</f>
        <v>S-337</v>
      </c>
      <c r="B1467" s="42" t="str">
        <f>IFERROR(__xludf.DUMMYFUNCTION("""COMPUTED_VALUE"""),"Spell")</f>
        <v>Spell</v>
      </c>
      <c r="C1467" s="42" t="str">
        <f>IFERROR(__xludf.DUMMYFUNCTION("""COMPUTED_VALUE"""),"Girudoruk")</f>
        <v>Girudoruk</v>
      </c>
      <c r="D1467" s="42" t="str">
        <f>IFERROR(__xludf.DUMMYFUNCTION("""COMPUTED_VALUE"""),"Baraho")</f>
        <v>Baraho</v>
      </c>
      <c r="E1467" s="42">
        <f>IFERROR(__xludf.DUMMYFUNCTION("""COMPUTED_VALUE"""),1.0)</f>
        <v>1</v>
      </c>
      <c r="F1467" s="42" t="str">
        <f>IFERROR(__xludf.DUMMYFUNCTION("""COMPUTED_VALUE"""),"AD")</f>
        <v>AD</v>
      </c>
      <c r="G1467" s="42" t="str">
        <f>IFERROR(__xludf.DUMMYFUNCTION("""COMPUTED_VALUE"""),"None")</f>
        <v>None</v>
      </c>
      <c r="H1467" s="42" t="str">
        <f>IFERROR(__xludf.DUMMYFUNCTION("""COMPUTED_VALUE"""),"-")</f>
        <v>-</v>
      </c>
      <c r="I1467" s="43" t="str">
        <f>IFERROR(__xludf.DUMMYFUNCTION("""COMPUTED_VALUE"""),"Damage your opponent's Spell Book when you win the Battle as an Attacker. When used for Defending, reduce the Damage of your opponent's Attack by 1 regardless of their Power.")</f>
        <v>Damage your opponent's Spell Book when you win the Battle as an Attacker. When used for Defending, reduce the Damage of your opponent's Attack by 1 regardless of their Power.</v>
      </c>
      <c r="J1467" s="42" t="str">
        <f>IFERROR(__xludf.DUMMYFUNCTION("""COMPUTED_VALUE"""),"+2000")</f>
        <v>+2000</v>
      </c>
      <c r="K1467" s="42">
        <f>IFERROR(__xludf.DUMMYFUNCTION("""COMPUTED_VALUE"""),1.0)</f>
        <v>1</v>
      </c>
      <c r="L1467" s="42" t="str">
        <f>IFERROR(__xludf.DUMMYFUNCTION("""COMPUTED_VALUE"""),"-")</f>
        <v>-</v>
      </c>
      <c r="M1467" s="42" t="str">
        <f>IFERROR(__xludf.DUMMYFUNCTION("""COMPUTED_VALUE"""),"[C]")</f>
        <v>[C]</v>
      </c>
      <c r="N1467" s="42" t="str">
        <f>IFERROR(__xludf.DUMMYFUNCTION("""COMPUTED_VALUE"""),"Baraho's 1st spell. The armor on his face and arms combine to form a massive shield, which he uses to lunge toward the enemy.")</f>
        <v>Baraho's 1st spell. The armor on his face and arms combine to form a massive shield, which he uses to lunge toward the enemy.</v>
      </c>
      <c r="O1467" s="42"/>
      <c r="P1467" s="42"/>
      <c r="Q1467" s="42"/>
      <c r="R1467" s="42"/>
      <c r="S1467" s="42"/>
      <c r="T1467" s="42"/>
      <c r="U1467" s="42"/>
      <c r="V1467" s="42"/>
      <c r="W1467" s="42"/>
      <c r="X1467" s="42"/>
      <c r="Y1467" s="42"/>
      <c r="Z1467" s="42"/>
    </row>
    <row r="1468">
      <c r="A1468" s="41" t="str">
        <f>IFERROR(__xludf.DUMMYFUNCTION("""COMPUTED_VALUE"""),"S-338")</f>
        <v>S-338</v>
      </c>
      <c r="B1468" s="42" t="str">
        <f>IFERROR(__xludf.DUMMYFUNCTION("""COMPUTED_VALUE"""),"Spell")</f>
        <v>Spell</v>
      </c>
      <c r="C1468" s="42" t="str">
        <f>IFERROR(__xludf.DUMMYFUNCTION("""COMPUTED_VALUE"""),"Neshiruga")</f>
        <v>Neshiruga</v>
      </c>
      <c r="D1468" s="42" t="str">
        <f>IFERROR(__xludf.DUMMYFUNCTION("""COMPUTED_VALUE"""),"Ninnin")</f>
        <v>Ninnin</v>
      </c>
      <c r="E1468" s="42">
        <f>IFERROR(__xludf.DUMMYFUNCTION("""COMPUTED_VALUE"""),1.0)</f>
        <v>1</v>
      </c>
      <c r="F1468" s="42" t="str">
        <f>IFERROR(__xludf.DUMMYFUNCTION("""COMPUTED_VALUE"""),"A")</f>
        <v>A</v>
      </c>
      <c r="G1468" s="42" t="str">
        <f>IFERROR(__xludf.DUMMYFUNCTION("""COMPUTED_VALUE"""),"None")</f>
        <v>None</v>
      </c>
      <c r="H1468" s="42" t="str">
        <f>IFERROR(__xludf.DUMMYFUNCTION("""COMPUTED_VALUE"""),"-")</f>
        <v>-</v>
      </c>
      <c r="I1468" s="43" t="str">
        <f>IFERROR(__xludf.DUMMYFUNCTION("""COMPUTED_VALUE"""),"Damage your opponent's Spell Book when you win the Battle as an Attacker.")</f>
        <v>Damage your opponent's Spell Book when you win the Battle as an Attacker.</v>
      </c>
      <c r="J1468" s="42" t="str">
        <f>IFERROR(__xludf.DUMMYFUNCTION("""COMPUTED_VALUE"""),"+4000")</f>
        <v>+4000</v>
      </c>
      <c r="K1468" s="42">
        <f>IFERROR(__xludf.DUMMYFUNCTION("""COMPUTED_VALUE"""),1.0)</f>
        <v>1</v>
      </c>
      <c r="L1468" s="42" t="str">
        <f>IFERROR(__xludf.DUMMYFUNCTION("""COMPUTED_VALUE"""),"-")</f>
        <v>-</v>
      </c>
      <c r="M1468" s="42" t="str">
        <f>IFERROR(__xludf.DUMMYFUNCTION("""COMPUTED_VALUE"""),"[C]")</f>
        <v>[C]</v>
      </c>
      <c r="N1468" s="42" t="str">
        <f>IFERROR(__xludf.DUMMYFUNCTION("""COMPUTED_VALUE"""),"Ninnin’s 1st spell. Emits an energy wave from his arm with the power to pierce through most other spells of its caliber.")</f>
        <v>Ninnin’s 1st spell. Emits an energy wave from his arm with the power to pierce through most other spells of its caliber.</v>
      </c>
      <c r="O1468" s="42"/>
      <c r="P1468" s="42"/>
      <c r="Q1468" s="42"/>
      <c r="R1468" s="42"/>
      <c r="S1468" s="42"/>
      <c r="T1468" s="42"/>
      <c r="U1468" s="42"/>
      <c r="V1468" s="42"/>
      <c r="W1468" s="42"/>
      <c r="X1468" s="42"/>
      <c r="Y1468" s="42"/>
      <c r="Z1468" s="42"/>
    </row>
    <row r="1469">
      <c r="A1469" s="41" t="str">
        <f>IFERROR(__xludf.DUMMYFUNCTION("""COMPUTED_VALUE"""),"S-339")</f>
        <v>S-339</v>
      </c>
      <c r="B1469" s="42" t="str">
        <f>IFERROR(__xludf.DUMMYFUNCTION("""COMPUTED_VALUE"""),"Spell")</f>
        <v>Spell</v>
      </c>
      <c r="C1469" s="42" t="str">
        <f>IFERROR(__xludf.DUMMYFUNCTION("""COMPUTED_VALUE"""),"Giga La Rerudo")</f>
        <v>Giga La Rerudo</v>
      </c>
      <c r="D1469" s="42" t="str">
        <f>IFERROR(__xludf.DUMMYFUNCTION("""COMPUTED_VALUE"""),"Kamack")</f>
        <v>Kamack</v>
      </c>
      <c r="E1469" s="42">
        <f>IFERROR(__xludf.DUMMYFUNCTION("""COMPUTED_VALUE"""),1.0)</f>
        <v>1</v>
      </c>
      <c r="F1469" s="42" t="str">
        <f>IFERROR(__xludf.DUMMYFUNCTION("""COMPUTED_VALUE"""),"D")</f>
        <v>D</v>
      </c>
      <c r="G1469" s="42" t="str">
        <f>IFERROR(__xludf.DUMMYFUNCTION("""COMPUTED_VALUE"""),"None")</f>
        <v>None</v>
      </c>
      <c r="H1469" s="42" t="str">
        <f>IFERROR(__xludf.DUMMYFUNCTION("""COMPUTED_VALUE"""),"-")</f>
        <v>-</v>
      </c>
      <c r="I1469" s="43" t="str">
        <f>IFERROR(__xludf.DUMMYFUNCTION("""COMPUTED_VALUE"""),"Negate your opponent's Attack when you win the Battle as a Defender.")</f>
        <v>Negate your opponent's Attack when you win the Battle as a Defender.</v>
      </c>
      <c r="J1469" s="42" t="str">
        <f>IFERROR(__xludf.DUMMYFUNCTION("""COMPUTED_VALUE"""),"+6000")</f>
        <v>+6000</v>
      </c>
      <c r="K1469" s="42" t="str">
        <f>IFERROR(__xludf.DUMMYFUNCTION("""COMPUTED_VALUE"""),"-")</f>
        <v>-</v>
      </c>
      <c r="L1469" s="42" t="str">
        <f>IFERROR(__xludf.DUMMYFUNCTION("""COMPUTED_VALUE"""),"-")</f>
        <v>-</v>
      </c>
      <c r="M1469" s="42" t="str">
        <f>IFERROR(__xludf.DUMMYFUNCTION("""COMPUTED_VALUE"""),"[C]")</f>
        <v>[C]</v>
      </c>
      <c r="N1469" s="42" t="str">
        <f>IFERROR(__xludf.DUMMYFUNCTION("""COMPUTED_VALUE"""),"A shield made up of compressed energy stops the opponent's attack dead in its tracks.")</f>
        <v>A shield made up of compressed energy stops the opponent's attack dead in its tracks.</v>
      </c>
      <c r="O1469" s="42"/>
      <c r="P1469" s="42"/>
      <c r="Q1469" s="42"/>
      <c r="R1469" s="42"/>
      <c r="S1469" s="42"/>
      <c r="T1469" s="42"/>
      <c r="U1469" s="42"/>
      <c r="V1469" s="42"/>
      <c r="W1469" s="42"/>
      <c r="X1469" s="42"/>
      <c r="Y1469" s="42"/>
      <c r="Z1469" s="42"/>
    </row>
    <row r="1470">
      <c r="A1470" s="41" t="str">
        <f>IFERROR(__xludf.DUMMYFUNCTION("""COMPUTED_VALUE"""),"S-340")</f>
        <v>S-340</v>
      </c>
      <c r="B1470" s="42" t="str">
        <f>IFERROR(__xludf.DUMMYFUNCTION("""COMPUTED_VALUE"""),"Spell")</f>
        <v>Spell</v>
      </c>
      <c r="C1470" s="42" t="str">
        <f>IFERROR(__xludf.DUMMYFUNCTION("""COMPUTED_VALUE"""),"Roboruk")</f>
        <v>Roboruk</v>
      </c>
      <c r="D1470" s="42" t="str">
        <f>IFERROR(__xludf.DUMMYFUNCTION("""COMPUTED_VALUE"""),"Koral Q")</f>
        <v>Koral Q</v>
      </c>
      <c r="E1470" s="42">
        <f>IFERROR(__xludf.DUMMYFUNCTION("""COMPUTED_VALUE"""),1.0)</f>
        <v>1</v>
      </c>
      <c r="F1470" s="42" t="str">
        <f>IFERROR(__xludf.DUMMYFUNCTION("""COMPUTED_VALUE"""),"AD")</f>
        <v>AD</v>
      </c>
      <c r="G1470" s="42" t="str">
        <f>IFERROR(__xludf.DUMMYFUNCTION("""COMPUTED_VALUE"""),"None")</f>
        <v>None</v>
      </c>
      <c r="H1470" s="42" t="str">
        <f>IFERROR(__xludf.DUMMYFUNCTION("""COMPUTED_VALUE"""),"-")</f>
        <v>-</v>
      </c>
      <c r="I1470" s="43" t="str">
        <f>IFERROR(__xludf.DUMMYFUNCTION("""COMPUTED_VALUE"""),"Apply both of the following effects in order: ● Move all cards placed on your regular Koral Q MAMODO card to empty pages of your Spell Book. ● Select 1 Koral Q (Battle Formation) MAMODO card from any page of your Spell Book and place it on a regular Koral"&amp;" Q MAMODO card.")</f>
        <v>Apply both of the following effects in order: ● Move all cards placed on your regular Koral Q MAMODO card to empty pages of your Spell Book. ● Select 1 Koral Q (Battle Formation) MAMODO card from any page of your Spell Book and place it on a regular Koral Q MAMODO card.</v>
      </c>
      <c r="J1470" s="42" t="str">
        <f>IFERROR(__xludf.DUMMYFUNCTION("""COMPUTED_VALUE"""),"Special")</f>
        <v>Special</v>
      </c>
      <c r="K1470" s="42" t="str">
        <f>IFERROR(__xludf.DUMMYFUNCTION("""COMPUTED_VALUE"""),"-")</f>
        <v>-</v>
      </c>
      <c r="L1470" s="42" t="str">
        <f>IFERROR(__xludf.DUMMYFUNCTION("""COMPUTED_VALUE"""),"-")</f>
        <v>-</v>
      </c>
      <c r="M1470" s="42" t="str">
        <f>IFERROR(__xludf.DUMMYFUNCTION("""COMPUTED_VALUE"""),"[C]")</f>
        <v>[C]</v>
      </c>
      <c r="N1470" s="42" t="str">
        <f>IFERROR(__xludf.DUMMYFUNCTION("""COMPUTED_VALUE"""),"Koral Q’s 2nd spell. It transforms him into battle formation. The process that goes into it is quite the head-scratcher.")</f>
        <v>Koral Q’s 2nd spell. It transforms him into battle formation. The process that goes into it is quite the head-scratcher.</v>
      </c>
      <c r="O1470" s="42"/>
      <c r="P1470" s="42"/>
      <c r="Q1470" s="42"/>
      <c r="R1470" s="42"/>
      <c r="S1470" s="42"/>
      <c r="T1470" s="42"/>
      <c r="U1470" s="42"/>
      <c r="V1470" s="42"/>
      <c r="W1470" s="42"/>
      <c r="X1470" s="42"/>
      <c r="Y1470" s="42"/>
      <c r="Z1470" s="42"/>
    </row>
    <row r="1471">
      <c r="A1471" s="41" t="str">
        <f>IFERROR(__xludf.DUMMYFUNCTION("""COMPUTED_VALUE"""),"S-341")</f>
        <v>S-341</v>
      </c>
      <c r="B1471" s="42" t="str">
        <f>IFERROR(__xludf.DUMMYFUNCTION("""COMPUTED_VALUE"""),"Spell")</f>
        <v>Spell</v>
      </c>
      <c r="C1471" s="42" t="str">
        <f>IFERROR(__xludf.DUMMYFUNCTION("""COMPUTED_VALUE"""),"La Robogargu")</f>
        <v>La Robogargu</v>
      </c>
      <c r="D1471" s="42" t="str">
        <f>IFERROR(__xludf.DUMMYFUNCTION("""COMPUTED_VALUE"""),"Koral Q")</f>
        <v>Koral Q</v>
      </c>
      <c r="E1471" s="42">
        <f>IFERROR(__xludf.DUMMYFUNCTION("""COMPUTED_VALUE"""),1.0)</f>
        <v>1</v>
      </c>
      <c r="F1471" s="42" t="str">
        <f>IFERROR(__xludf.DUMMYFUNCTION("""COMPUTED_VALUE"""),"AD")</f>
        <v>AD</v>
      </c>
      <c r="G1471" s="42" t="str">
        <f>IFERROR(__xludf.DUMMYFUNCTION("""COMPUTED_VALUE"""),"None")</f>
        <v>None</v>
      </c>
      <c r="H1471" s="42" t="str">
        <f>IFERROR(__xludf.DUMMYFUNCTION("""COMPUTED_VALUE"""),"-")</f>
        <v>-</v>
      </c>
      <c r="I1471" s="43" t="str">
        <f>IFERROR(__xludf.DUMMYFUNCTION("""COMPUTED_VALUE"""),"Apply both of the following effects in order: ● Move all cards placed on your regular Koral Q MAMODO card to empty pages of your Spell Book. ● Select 1 Koral Q (La Robogargu Form) MAMODO card from any page of your Spell Book and place it on a regular Kora"&amp;"l Q MAMODO card.")</f>
        <v>Apply both of the following effects in order: ● Move all cards placed on your regular Koral Q MAMODO card to empty pages of your Spell Book. ● Select 1 Koral Q (La Robogargu Form) MAMODO card from any page of your Spell Book and place it on a regular Koral Q MAMODO card.</v>
      </c>
      <c r="J1471" s="42" t="str">
        <f>IFERROR(__xludf.DUMMYFUNCTION("""COMPUTED_VALUE"""),"Special")</f>
        <v>Special</v>
      </c>
      <c r="K1471" s="42" t="str">
        <f>IFERROR(__xludf.DUMMYFUNCTION("""COMPUTED_VALUE"""),"-")</f>
        <v>-</v>
      </c>
      <c r="L1471" s="42" t="str">
        <f>IFERROR(__xludf.DUMMYFUNCTION("""COMPUTED_VALUE"""),"-")</f>
        <v>-</v>
      </c>
      <c r="M1471" s="42" t="str">
        <f>IFERROR(__xludf.DUMMYFUNCTION("""COMPUTED_VALUE"""),"[C]")</f>
        <v>[C]</v>
      </c>
      <c r="N1471" s="42" t="str">
        <f>IFERROR(__xludf.DUMMYFUNCTION("""COMPUTED_VALUE"""),"Koral Q's 3rd spell. It transforms Koral Q into his reflector form. The process is still as confusing as ever.")</f>
        <v>Koral Q's 3rd spell. It transforms Koral Q into his reflector form. The process is still as confusing as ever.</v>
      </c>
      <c r="O1471" s="42"/>
      <c r="P1471" s="42"/>
      <c r="Q1471" s="42"/>
      <c r="R1471" s="42"/>
      <c r="S1471" s="42"/>
      <c r="T1471" s="42"/>
      <c r="U1471" s="42"/>
      <c r="V1471" s="42"/>
      <c r="W1471" s="42"/>
      <c r="X1471" s="42"/>
      <c r="Y1471" s="42"/>
      <c r="Z1471" s="42"/>
    </row>
    <row r="1472">
      <c r="A1472" s="41" t="str">
        <f>IFERROR(__xludf.DUMMYFUNCTION("""COMPUTED_VALUE"""),"S-342")</f>
        <v>S-342</v>
      </c>
      <c r="B1472" s="42" t="str">
        <f>IFERROR(__xludf.DUMMYFUNCTION("""COMPUTED_VALUE"""),"Spell")</f>
        <v>Spell</v>
      </c>
      <c r="C1472" s="42" t="str">
        <f>IFERROR(__xludf.DUMMYFUNCTION("""COMPUTED_VALUE"""),"Bizam Roboruga")</f>
        <v>Bizam Roboruga</v>
      </c>
      <c r="D1472" s="42" t="str">
        <f>IFERROR(__xludf.DUMMYFUNCTION("""COMPUTED_VALUE"""),"Koral Q")</f>
        <v>Koral Q</v>
      </c>
      <c r="E1472" s="42">
        <f>IFERROR(__xludf.DUMMYFUNCTION("""COMPUTED_VALUE"""),1.0)</f>
        <v>1</v>
      </c>
      <c r="F1472" s="42" t="str">
        <f>IFERROR(__xludf.DUMMYFUNCTION("""COMPUTED_VALUE"""),"A")</f>
        <v>A</v>
      </c>
      <c r="G1472" s="42" t="str">
        <f>IFERROR(__xludf.DUMMYFUNCTION("""COMPUTED_VALUE"""),"None")</f>
        <v>None</v>
      </c>
      <c r="H1472" s="42" t="str">
        <f>IFERROR(__xludf.DUMMYFUNCTION("""COMPUTED_VALUE"""),"-")</f>
        <v>-</v>
      </c>
      <c r="I1472" s="43" t="str">
        <f>IFERROR(__xludf.DUMMYFUNCTION("""COMPUTED_VALUE"""),"Damage your opponent's Spell Book when you win the Battle as an Attacker. When you declare the play of this SPELL card, move all cards placed on your regular Koral Q MAMODO card to empty pages of your Spell Book. You may reduce the Damage of this SPELL ca"&amp;"rd by 1 to negate your opponent's Defense.")</f>
        <v>Damage your opponent's Spell Book when you win the Battle as an Attacker. When you declare the play of this SPELL card, move all cards placed on your regular Koral Q MAMODO card to empty pages of your Spell Book. You may reduce the Damage of this SPELL card by 1 to negate your opponent's Defense.</v>
      </c>
      <c r="J1472" s="42" t="str">
        <f>IFERROR(__xludf.DUMMYFUNCTION("""COMPUTED_VALUE"""),"+3000")</f>
        <v>+3000</v>
      </c>
      <c r="K1472" s="42">
        <f>IFERROR(__xludf.DUMMYFUNCTION("""COMPUTED_VALUE"""),2.0)</f>
        <v>2</v>
      </c>
      <c r="L1472" s="42" t="str">
        <f>IFERROR(__xludf.DUMMYFUNCTION("""COMPUTED_VALUE"""),"-")</f>
        <v>-</v>
      </c>
      <c r="M1472" s="42" t="str">
        <f>IFERROR(__xludf.DUMMYFUNCTION("""COMPUTED_VALUE"""),"[C]")</f>
        <v>[C]</v>
      </c>
      <c r="N1472" s="42" t="str">
        <f>IFERROR(__xludf.DUMMYFUNCTION("""COMPUTED_VALUE"""),"Koral Q’s 4th spell. Launches a missile that can split into two parts. The first missile can penetrate enemy shields.")</f>
        <v>Koral Q’s 4th spell. Launches a missile that can split into two parts. The first missile can penetrate enemy shields.</v>
      </c>
      <c r="O1472" s="42"/>
      <c r="P1472" s="42"/>
      <c r="Q1472" s="42"/>
      <c r="R1472" s="42"/>
      <c r="S1472" s="42"/>
      <c r="T1472" s="42"/>
      <c r="U1472" s="42"/>
      <c r="V1472" s="42"/>
      <c r="W1472" s="42"/>
      <c r="X1472" s="42"/>
      <c r="Y1472" s="42"/>
      <c r="Z1472" s="42"/>
    </row>
    <row r="1473">
      <c r="A1473" s="41" t="str">
        <f>IFERROR(__xludf.DUMMYFUNCTION("""COMPUTED_VALUE"""),"S-343")</f>
        <v>S-343</v>
      </c>
      <c r="B1473" s="42" t="str">
        <f>IFERROR(__xludf.DUMMYFUNCTION("""COMPUTED_VALUE"""),"Spell")</f>
        <v>Spell</v>
      </c>
      <c r="C1473" s="42" t="str">
        <f>IFERROR(__xludf.DUMMYFUNCTION("""COMPUTED_VALUE"""),"Gigano Roboruga")</f>
        <v>Gigano Roboruga</v>
      </c>
      <c r="D1473" s="42" t="str">
        <f>IFERROR(__xludf.DUMMYFUNCTION("""COMPUTED_VALUE"""),"Koral Q")</f>
        <v>Koral Q</v>
      </c>
      <c r="E1473" s="42">
        <f>IFERROR(__xludf.DUMMYFUNCTION("""COMPUTED_VALUE"""),5.0)</f>
        <v>5</v>
      </c>
      <c r="F1473" s="42" t="str">
        <f>IFERROR(__xludf.DUMMYFUNCTION("""COMPUTED_VALUE"""),"AD")</f>
        <v>AD</v>
      </c>
      <c r="G1473" s="42" t="str">
        <f>IFERROR(__xludf.DUMMYFUNCTION("""COMPUTED_VALUE"""),"Superior")</f>
        <v>Superior</v>
      </c>
      <c r="H1473" s="42" t="str">
        <f>IFERROR(__xludf.DUMMYFUNCTION("""COMPUTED_VALUE"""),"-")</f>
        <v>-</v>
      </c>
      <c r="I1473" s="43" t="str">
        <f>IFERROR(__xludf.DUMMYFUNCTION("""COMPUTED_VALUE"""),"Damage your opponent's Spell Book when you win the Battle as an Attacker. When you declare the play of this SPELL card, move all cards placed on your regular Koral Q MAMODO card to empty pages of your Spell Book.")</f>
        <v>Damage your opponent's Spell Book when you win the Battle as an Attacker. When you declare the play of this SPELL card, move all cards placed on your regular Koral Q MAMODO card to empty pages of your Spell Book.</v>
      </c>
      <c r="J1473" s="42" t="str">
        <f>IFERROR(__xludf.DUMMYFUNCTION("""COMPUTED_VALUE"""),"+6000")</f>
        <v>+6000</v>
      </c>
      <c r="K1473" s="42">
        <f>IFERROR(__xludf.DUMMYFUNCTION("""COMPUTED_VALUE"""),4.0)</f>
        <v>4</v>
      </c>
      <c r="L1473" s="42" t="str">
        <f>IFERROR(__xludf.DUMMYFUNCTION("""COMPUTED_VALUE"""),"-")</f>
        <v>-</v>
      </c>
      <c r="M1473" s="42" t="str">
        <f>IFERROR(__xludf.DUMMYFUNCTION("""COMPUTED_VALUE"""),"[U]")</f>
        <v>[U]</v>
      </c>
      <c r="N1473" s="42" t="str">
        <f>IFERROR(__xludf.DUMMYFUNCTION("""COMPUTED_VALUE"""),"Koral Q's 7th spell. It shoots forth a colossal beam of light to vaporize his foes!")</f>
        <v>Koral Q's 7th spell. It shoots forth a colossal beam of light to vaporize his foes!</v>
      </c>
      <c r="O1473" s="42"/>
      <c r="P1473" s="42"/>
      <c r="Q1473" s="42"/>
      <c r="R1473" s="42"/>
      <c r="S1473" s="42"/>
      <c r="T1473" s="42"/>
      <c r="U1473" s="42"/>
      <c r="V1473" s="42"/>
      <c r="W1473" s="42"/>
      <c r="X1473" s="42"/>
      <c r="Y1473" s="42"/>
      <c r="Z1473" s="42"/>
    </row>
    <row r="1474">
      <c r="A1474" s="41" t="str">
        <f>IFERROR(__xludf.DUMMYFUNCTION("""COMPUTED_VALUE"""),"S-344")</f>
        <v>S-344</v>
      </c>
      <c r="B1474" s="42" t="str">
        <f>IFERROR(__xludf.DUMMYFUNCTION("""COMPUTED_VALUE"""),"Spell")</f>
        <v>Spell</v>
      </c>
      <c r="C1474" s="42" t="str">
        <f>IFERROR(__xludf.DUMMYFUNCTION("""COMPUTED_VALUE"""),"Dragner Nagur")</f>
        <v>Dragner Nagur</v>
      </c>
      <c r="D1474" s="42" t="str">
        <f>IFERROR(__xludf.DUMMYFUNCTION("""COMPUTED_VALUE"""),"Ted")</f>
        <v>Ted</v>
      </c>
      <c r="E1474" s="42">
        <f>IFERROR(__xludf.DUMMYFUNCTION("""COMPUTED_VALUE"""),0.0)</f>
        <v>0</v>
      </c>
      <c r="F1474" s="42" t="str">
        <f>IFERROR(__xludf.DUMMYFUNCTION("""COMPUTED_VALUE"""),"A")</f>
        <v>A</v>
      </c>
      <c r="G1474" s="42" t="str">
        <f>IFERROR(__xludf.DUMMYFUNCTION("""COMPUTED_VALUE"""),"None")</f>
        <v>None</v>
      </c>
      <c r="H1474" s="42" t="str">
        <f>IFERROR(__xludf.DUMMYFUNCTION("""COMPUTED_VALUE"""),"-")</f>
        <v>-</v>
      </c>
      <c r="I1474" s="43" t="str">
        <f>IFERROR(__xludf.DUMMYFUNCTION("""COMPUTED_VALUE"""),"Adjust the number of MP counters on your Ted MAMODO card until there is 1 MP counter.")</f>
        <v>Adjust the number of MP counters on your Ted MAMODO card until there is 1 MP counter.</v>
      </c>
      <c r="J1474" s="42" t="str">
        <f>IFERROR(__xludf.DUMMYFUNCTION("""COMPUTED_VALUE"""),"Special")</f>
        <v>Special</v>
      </c>
      <c r="K1474" s="42" t="str">
        <f>IFERROR(__xludf.DUMMYFUNCTION("""COMPUTED_VALUE"""),"-")</f>
        <v>-</v>
      </c>
      <c r="L1474" s="42" t="str">
        <f>IFERROR(__xludf.DUMMYFUNCTION("""COMPUTED_VALUE"""),"-")</f>
        <v>-</v>
      </c>
      <c r="M1474" s="42" t="str">
        <f>IFERROR(__xludf.DUMMYFUNCTION("""COMPUTED_VALUE"""),"[C]")</f>
        <v>[C]</v>
      </c>
      <c r="N1474" s="42" t="str">
        <f>IFERROR(__xludf.DUMMYFUNCTION("""COMPUTED_VALUE"""),"Ted's 1st spell. The first body strengthening spell that starts Ted's engine.")</f>
        <v>Ted's 1st spell. The first body strengthening spell that starts Ted's engine.</v>
      </c>
      <c r="O1474" s="42"/>
      <c r="P1474" s="42"/>
      <c r="Q1474" s="42"/>
      <c r="R1474" s="42"/>
      <c r="S1474" s="42"/>
      <c r="T1474" s="42"/>
      <c r="U1474" s="42"/>
      <c r="V1474" s="42"/>
      <c r="W1474" s="42"/>
      <c r="X1474" s="42"/>
      <c r="Y1474" s="42"/>
      <c r="Z1474" s="42"/>
    </row>
    <row r="1475">
      <c r="A1475" s="41" t="str">
        <f>IFERROR(__xludf.DUMMYFUNCTION("""COMPUTED_VALUE"""),"S-345")</f>
        <v>S-345</v>
      </c>
      <c r="B1475" s="42" t="str">
        <f>IFERROR(__xludf.DUMMYFUNCTION("""COMPUTED_VALUE"""),"Spell")</f>
        <v>Spell</v>
      </c>
      <c r="C1475" s="42" t="str">
        <f>IFERROR(__xludf.DUMMYFUNCTION("""COMPUTED_VALUE"""),"Secon Nagur")</f>
        <v>Secon Nagur</v>
      </c>
      <c r="D1475" s="42" t="str">
        <f>IFERROR(__xludf.DUMMYFUNCTION("""COMPUTED_VALUE"""),"Ted")</f>
        <v>Ted</v>
      </c>
      <c r="E1475" s="42">
        <f>IFERROR(__xludf.DUMMYFUNCTION("""COMPUTED_VALUE"""),1.0)</f>
        <v>1</v>
      </c>
      <c r="F1475" s="42" t="str">
        <f>IFERROR(__xludf.DUMMYFUNCTION("""COMPUTED_VALUE"""),"A")</f>
        <v>A</v>
      </c>
      <c r="G1475" s="42" t="str">
        <f>IFERROR(__xludf.DUMMYFUNCTION("""COMPUTED_VALUE"""),"None")</f>
        <v>None</v>
      </c>
      <c r="H1475" s="42" t="str">
        <f>IFERROR(__xludf.DUMMYFUNCTION("""COMPUTED_VALUE"""),"-")</f>
        <v>-</v>
      </c>
      <c r="I1475" s="43" t="str">
        <f>IFERROR(__xludf.DUMMYFUNCTION("""COMPUTED_VALUE"""),"This SPELL card can be played only if you successfully played a Dragner Nagur SPELL card during this game. Adjust the number of MP counters on your Ted MAMODO card until there are 2 MP counters.")</f>
        <v>This SPELL card can be played only if you successfully played a Dragner Nagur SPELL card during this game. Adjust the number of MP counters on your Ted MAMODO card until there are 2 MP counters.</v>
      </c>
      <c r="J1475" s="42" t="str">
        <f>IFERROR(__xludf.DUMMYFUNCTION("""COMPUTED_VALUE"""),"Special")</f>
        <v>Special</v>
      </c>
      <c r="K1475" s="42" t="str">
        <f>IFERROR(__xludf.DUMMYFUNCTION("""COMPUTED_VALUE"""),"-")</f>
        <v>-</v>
      </c>
      <c r="L1475" s="42" t="str">
        <f>IFERROR(__xludf.DUMMYFUNCTION("""COMPUTED_VALUE"""),"-")</f>
        <v>-</v>
      </c>
      <c r="M1475" s="42" t="str">
        <f>IFERROR(__xludf.DUMMYFUNCTION("""COMPUTED_VALUE"""),"[C]")</f>
        <v>[C]</v>
      </c>
      <c r="N1475" s="42" t="str">
        <f>IFERROR(__xludf.DUMMYFUNCTION("""COMPUTED_VALUE"""),"Ted's 2nd spell. ""Jido! Raise the gear!""")</f>
        <v>Ted's 2nd spell. "Jido! Raise the gear!"</v>
      </c>
      <c r="O1475" s="42"/>
      <c r="P1475" s="42"/>
      <c r="Q1475" s="42"/>
      <c r="R1475" s="42"/>
      <c r="S1475" s="42"/>
      <c r="T1475" s="42"/>
      <c r="U1475" s="42"/>
      <c r="V1475" s="42"/>
      <c r="W1475" s="42"/>
      <c r="X1475" s="42"/>
      <c r="Y1475" s="42"/>
      <c r="Z1475" s="42"/>
    </row>
    <row r="1476">
      <c r="A1476" s="41" t="str">
        <f>IFERROR(__xludf.DUMMYFUNCTION("""COMPUTED_VALUE"""),"S-346")</f>
        <v>S-346</v>
      </c>
      <c r="B1476" s="42" t="str">
        <f>IFERROR(__xludf.DUMMYFUNCTION("""COMPUTED_VALUE"""),"Spell")</f>
        <v>Spell</v>
      </c>
      <c r="C1476" s="42" t="str">
        <f>IFERROR(__xludf.DUMMYFUNCTION("""COMPUTED_VALUE"""),"Thirds Nagur")</f>
        <v>Thirds Nagur</v>
      </c>
      <c r="D1476" s="42" t="str">
        <f>IFERROR(__xludf.DUMMYFUNCTION("""COMPUTED_VALUE"""),"Ted")</f>
        <v>Ted</v>
      </c>
      <c r="E1476" s="42">
        <f>IFERROR(__xludf.DUMMYFUNCTION("""COMPUTED_VALUE"""),2.0)</f>
        <v>2</v>
      </c>
      <c r="F1476" s="42" t="str">
        <f>IFERROR(__xludf.DUMMYFUNCTION("""COMPUTED_VALUE"""),"A")</f>
        <v>A</v>
      </c>
      <c r="G1476" s="42" t="str">
        <f>IFERROR(__xludf.DUMMYFUNCTION("""COMPUTED_VALUE"""),"None")</f>
        <v>None</v>
      </c>
      <c r="H1476" s="42" t="str">
        <f>IFERROR(__xludf.DUMMYFUNCTION("""COMPUTED_VALUE"""),"-")</f>
        <v>-</v>
      </c>
      <c r="I1476" s="43" t="str">
        <f>IFERROR(__xludf.DUMMYFUNCTION("""COMPUTED_VALUE"""),"This SPELL card can be played only if you have successfully played a Secon Nagur SPELL card during this game. Adjust the number of MP counters on your Ted MAMODO card until there are 3 MP counters.")</f>
        <v>This SPELL card can be played only if you have successfully played a Secon Nagur SPELL card during this game. Adjust the number of MP counters on your Ted MAMODO card until there are 3 MP counters.</v>
      </c>
      <c r="J1476" s="42" t="str">
        <f>IFERROR(__xludf.DUMMYFUNCTION("""COMPUTED_VALUE"""),"Special")</f>
        <v>Special</v>
      </c>
      <c r="K1476" s="42" t="str">
        <f>IFERROR(__xludf.DUMMYFUNCTION("""COMPUTED_VALUE"""),"-")</f>
        <v>-</v>
      </c>
      <c r="L1476" s="42" t="str">
        <f>IFERROR(__xludf.DUMMYFUNCTION("""COMPUTED_VALUE"""),"-")</f>
        <v>-</v>
      </c>
      <c r="M1476" s="42" t="str">
        <f>IFERROR(__xludf.DUMMYFUNCTION("""COMPUTED_VALUE"""),"[C]")</f>
        <v>[C]</v>
      </c>
      <c r="N1476" s="42" t="str">
        <f>IFERROR(__xludf.DUMMYFUNCTION("""COMPUTED_VALUE"""),"Ted's 3rd spell. Ted's strengthening level raises one by one.")</f>
        <v>Ted's 3rd spell. Ted's strengthening level raises one by one.</v>
      </c>
      <c r="O1476" s="42"/>
      <c r="P1476" s="42"/>
      <c r="Q1476" s="42"/>
      <c r="R1476" s="42"/>
      <c r="S1476" s="42"/>
      <c r="T1476" s="42"/>
      <c r="U1476" s="42"/>
      <c r="V1476" s="42"/>
      <c r="W1476" s="42"/>
      <c r="X1476" s="42"/>
      <c r="Y1476" s="42"/>
      <c r="Z1476" s="42"/>
    </row>
    <row r="1477">
      <c r="A1477" s="41" t="str">
        <f>IFERROR(__xludf.DUMMYFUNCTION("""COMPUTED_VALUE"""),"S-347")</f>
        <v>S-347</v>
      </c>
      <c r="B1477" s="42" t="str">
        <f>IFERROR(__xludf.DUMMYFUNCTION("""COMPUTED_VALUE"""),"Spell")</f>
        <v>Spell</v>
      </c>
      <c r="C1477" s="42" t="str">
        <f>IFERROR(__xludf.DUMMYFUNCTION("""COMPUTED_VALUE"""),"Fours Nagur")</f>
        <v>Fours Nagur</v>
      </c>
      <c r="D1477" s="42" t="str">
        <f>IFERROR(__xludf.DUMMYFUNCTION("""COMPUTED_VALUE"""),"Ted")</f>
        <v>Ted</v>
      </c>
      <c r="E1477" s="42">
        <f>IFERROR(__xludf.DUMMYFUNCTION("""COMPUTED_VALUE"""),3.0)</f>
        <v>3</v>
      </c>
      <c r="F1477" s="42" t="str">
        <f>IFERROR(__xludf.DUMMYFUNCTION("""COMPUTED_VALUE"""),"A")</f>
        <v>A</v>
      </c>
      <c r="G1477" s="42" t="str">
        <f>IFERROR(__xludf.DUMMYFUNCTION("""COMPUTED_VALUE"""),"Intermediate")</f>
        <v>Intermediate</v>
      </c>
      <c r="H1477" s="42" t="str">
        <f>IFERROR(__xludf.DUMMYFUNCTION("""COMPUTED_VALUE"""),"-")</f>
        <v>-</v>
      </c>
      <c r="I1477" s="43" t="str">
        <f>IFERROR(__xludf.DUMMYFUNCTION("""COMPUTED_VALUE"""),"This SPELL card can be played only if you have successfully played a Thirds Nagur SPELL card during this game. Adjust the number of MP counters on your Ted MAMODO card until there are 4 MP counters.")</f>
        <v>This SPELL card can be played only if you have successfully played a Thirds Nagur SPELL card during this game. Adjust the number of MP counters on your Ted MAMODO card until there are 4 MP counters.</v>
      </c>
      <c r="J1477" s="42" t="str">
        <f>IFERROR(__xludf.DUMMYFUNCTION("""COMPUTED_VALUE"""),"Special")</f>
        <v>Special</v>
      </c>
      <c r="K1477" s="42" t="str">
        <f>IFERROR(__xludf.DUMMYFUNCTION("""COMPUTED_VALUE"""),"-")</f>
        <v>-</v>
      </c>
      <c r="L1477" s="42" t="str">
        <f>IFERROR(__xludf.DUMMYFUNCTION("""COMPUTED_VALUE"""),"-")</f>
        <v>-</v>
      </c>
      <c r="M1477" s="42" t="str">
        <f>IFERROR(__xludf.DUMMYFUNCTION("""COMPUTED_VALUE"""),"[U]")</f>
        <v>[U]</v>
      </c>
      <c r="N1477" s="42" t="str">
        <f>IFERROR(__xludf.DUMMYFUNCTION("""COMPUTED_VALUE"""),"Ted's 4th spell. ""At the 4th stage, you might be able to avoid his invisible sword!""")</f>
        <v>Ted's 4th spell. "At the 4th stage, you might be able to avoid his invisible sword!"</v>
      </c>
      <c r="O1477" s="42"/>
      <c r="P1477" s="42"/>
      <c r="Q1477" s="42"/>
      <c r="R1477" s="42"/>
      <c r="S1477" s="42"/>
      <c r="T1477" s="42"/>
      <c r="U1477" s="42"/>
      <c r="V1477" s="42"/>
      <c r="W1477" s="42"/>
      <c r="X1477" s="42"/>
      <c r="Y1477" s="42"/>
      <c r="Z1477" s="42"/>
    </row>
    <row r="1478">
      <c r="A1478" s="41" t="str">
        <f>IFERROR(__xludf.DUMMYFUNCTION("""COMPUTED_VALUE"""),"S-348")</f>
        <v>S-348</v>
      </c>
      <c r="B1478" s="42" t="str">
        <f>IFERROR(__xludf.DUMMYFUNCTION("""COMPUTED_VALUE"""),"Spell")</f>
        <v>Spell</v>
      </c>
      <c r="C1478" s="42" t="str">
        <f>IFERROR(__xludf.DUMMYFUNCTION("""COMPUTED_VALUE"""),"One, Two")</f>
        <v>One, Two</v>
      </c>
      <c r="D1478" s="42" t="str">
        <f>IFERROR(__xludf.DUMMYFUNCTION("""COMPUTED_VALUE"""),"Ted")</f>
        <v>Ted</v>
      </c>
      <c r="E1478" s="42">
        <f>IFERROR(__xludf.DUMMYFUNCTION("""COMPUTED_VALUE"""),0.0)</f>
        <v>0</v>
      </c>
      <c r="F1478" s="42" t="str">
        <f>IFERROR(__xludf.DUMMYFUNCTION("""COMPUTED_VALUE"""),"A")</f>
        <v>A</v>
      </c>
      <c r="G1478" s="42" t="str">
        <f>IFERROR(__xludf.DUMMYFUNCTION("""COMPUTED_VALUE"""),"None")</f>
        <v>None</v>
      </c>
      <c r="H1478" s="42" t="str">
        <f>IFERROR(__xludf.DUMMYFUNCTION("""COMPUTED_VALUE"""),"-")</f>
        <v>-</v>
      </c>
      <c r="I1478" s="43" t="str">
        <f>IFERROR(__xludf.DUMMYFUNCTION("""COMPUTED_VALUE"""),"[STAY] During this turn, you can apply the effects of your in-play Ted MAMODO card that allow it to Attack or Defend without using a SPELL card up to twice per turn (per player).")</f>
        <v>[STAY] During this turn, you can apply the effects of your in-play Ted MAMODO card that allow it to Attack or Defend without using a SPELL card up to twice per turn (per player).</v>
      </c>
      <c r="J1478" s="42" t="str">
        <f>IFERROR(__xludf.DUMMYFUNCTION("""COMPUTED_VALUE"""),"Special")</f>
        <v>Special</v>
      </c>
      <c r="K1478" s="42" t="str">
        <f>IFERROR(__xludf.DUMMYFUNCTION("""COMPUTED_VALUE"""),"-")</f>
        <v>-</v>
      </c>
      <c r="L1478" s="42" t="str">
        <f>IFERROR(__xludf.DUMMYFUNCTION("""COMPUTED_VALUE"""),"-")</f>
        <v>-</v>
      </c>
      <c r="M1478" s="42" t="str">
        <f>IFERROR(__xludf.DUMMYFUNCTION("""COMPUTED_VALUE"""),"[R]")</f>
        <v>[R]</v>
      </c>
      <c r="N1478" s="42" t="str">
        <f>IFERROR(__xludf.DUMMYFUNCTION("""COMPUTED_VALUE"""),"Command:Ted")</f>
        <v>Command:Ted</v>
      </c>
      <c r="O1478" s="42"/>
      <c r="P1478" s="42"/>
      <c r="Q1478" s="42"/>
      <c r="R1478" s="42"/>
      <c r="S1478" s="42"/>
      <c r="T1478" s="42"/>
      <c r="U1478" s="42"/>
      <c r="V1478" s="42"/>
      <c r="W1478" s="42"/>
      <c r="X1478" s="42"/>
      <c r="Y1478" s="42"/>
      <c r="Z1478" s="42"/>
    </row>
    <row r="1479">
      <c r="A1479" s="41" t="str">
        <f>IFERROR(__xludf.DUMMYFUNCTION("""COMPUTED_VALUE"""),"S-349")</f>
        <v>S-349</v>
      </c>
      <c r="B1479" s="42" t="str">
        <f>IFERROR(__xludf.DUMMYFUNCTION("""COMPUTED_VALUE"""),"Spell")</f>
        <v>Spell</v>
      </c>
      <c r="C1479" s="42" t="str">
        <f>IFERROR(__xludf.DUMMYFUNCTION("""COMPUTED_VALUE"""),"Sworsen")</f>
        <v>Sworsen</v>
      </c>
      <c r="D1479" s="42" t="str">
        <f>IFERROR(__xludf.DUMMYFUNCTION("""COMPUTED_VALUE"""),"Arth")</f>
        <v>Arth</v>
      </c>
      <c r="E1479" s="42">
        <f>IFERROR(__xludf.DUMMYFUNCTION("""COMPUTED_VALUE"""),1.0)</f>
        <v>1</v>
      </c>
      <c r="F1479" s="42" t="str">
        <f>IFERROR(__xludf.DUMMYFUNCTION("""COMPUTED_VALUE"""),"AD")</f>
        <v>AD</v>
      </c>
      <c r="G1479" s="42" t="str">
        <f>IFERROR(__xludf.DUMMYFUNCTION("""COMPUTED_VALUE"""),"None")</f>
        <v>None</v>
      </c>
      <c r="H1479" s="42" t="str">
        <f>IFERROR(__xludf.DUMMYFUNCTION("""COMPUTED_VALUE"""),"-")</f>
        <v>-</v>
      </c>
      <c r="I1479" s="43" t="str">
        <f>IFERROR(__xludf.DUMMYFUNCTION("""COMPUTED_VALUE"""),"Damage your opponent's Spell Book when you win the Battle as an Attacker.")</f>
        <v>Damage your opponent's Spell Book when you win the Battle as an Attacker.</v>
      </c>
      <c r="J1479" s="42" t="str">
        <f>IFERROR(__xludf.DUMMYFUNCTION("""COMPUTED_VALUE"""),"+1000")</f>
        <v>+1000</v>
      </c>
      <c r="K1479" s="42">
        <f>IFERROR(__xludf.DUMMYFUNCTION("""COMPUTED_VALUE"""),1.0)</f>
        <v>1</v>
      </c>
      <c r="L1479" s="42" t="str">
        <f>IFERROR(__xludf.DUMMYFUNCTION("""COMPUTED_VALUE"""),"-")</f>
        <v>-</v>
      </c>
      <c r="M1479" s="42" t="str">
        <f>IFERROR(__xludf.DUMMYFUNCTION("""COMPUTED_VALUE"""),"[C]")</f>
        <v>[C]</v>
      </c>
      <c r="N1479" s="42" t="str">
        <f>IFERROR(__xludf.DUMMYFUNCTION("""COMPUTED_VALUE"""),"Arth's 1st spell. A swing of his sword fires a sword-shaped shock wave.")</f>
        <v>Arth's 1st spell. A swing of his sword fires a sword-shaped shock wave.</v>
      </c>
      <c r="O1479" s="42"/>
      <c r="P1479" s="42"/>
      <c r="Q1479" s="42"/>
      <c r="R1479" s="42"/>
      <c r="S1479" s="42"/>
      <c r="T1479" s="42"/>
      <c r="U1479" s="42"/>
      <c r="V1479" s="42"/>
      <c r="W1479" s="42"/>
      <c r="X1479" s="42"/>
      <c r="Y1479" s="42"/>
      <c r="Z1479" s="42"/>
    </row>
    <row r="1480">
      <c r="A1480" s="41" t="str">
        <f>IFERROR(__xludf.DUMMYFUNCTION("""COMPUTED_VALUE"""),"S-350")</f>
        <v>S-350</v>
      </c>
      <c r="B1480" s="42" t="str">
        <f>IFERROR(__xludf.DUMMYFUNCTION("""COMPUTED_VALUE"""),"Spell")</f>
        <v>Spell</v>
      </c>
      <c r="C1480" s="42" t="str">
        <f>IFERROR(__xludf.DUMMYFUNCTION("""COMPUTED_VALUE"""),"Go Swordo")</f>
        <v>Go Swordo</v>
      </c>
      <c r="D1480" s="42" t="str">
        <f>IFERROR(__xludf.DUMMYFUNCTION("""COMPUTED_VALUE"""),"Arth")</f>
        <v>Arth</v>
      </c>
      <c r="E1480" s="42">
        <f>IFERROR(__xludf.DUMMYFUNCTION("""COMPUTED_VALUE"""),1.0)</f>
        <v>1</v>
      </c>
      <c r="F1480" s="42" t="str">
        <f>IFERROR(__xludf.DUMMYFUNCTION("""COMPUTED_VALUE"""),"A")</f>
        <v>A</v>
      </c>
      <c r="G1480" s="42" t="str">
        <f>IFERROR(__xludf.DUMMYFUNCTION("""COMPUTED_VALUE"""),"None")</f>
        <v>None</v>
      </c>
      <c r="H1480" s="42" t="str">
        <f>IFERROR(__xludf.DUMMYFUNCTION("""COMPUTED_VALUE"""),"-")</f>
        <v>-</v>
      </c>
      <c r="I1480" s="43" t="str">
        <f>IFERROR(__xludf.DUMMYFUNCTION("""COMPUTED_VALUE"""),"[STAY] Increase the Damage of your Arth MAMODO card's effects that allow it to Attack without using a SPELL card by 2 until the END PHASE of your next turn (this effect cannot be duplicated).")</f>
        <v>[STAY] Increase the Damage of your Arth MAMODO card's effects that allow it to Attack without using a SPELL card by 2 until the END PHASE of your next turn (this effect cannot be duplicated).</v>
      </c>
      <c r="J1480" s="42" t="str">
        <f>IFERROR(__xludf.DUMMYFUNCTION("""COMPUTED_VALUE"""),"Special")</f>
        <v>Special</v>
      </c>
      <c r="K1480" s="42" t="str">
        <f>IFERROR(__xludf.DUMMYFUNCTION("""COMPUTED_VALUE"""),"-")</f>
        <v>-</v>
      </c>
      <c r="L1480" s="42" t="str">
        <f>IFERROR(__xludf.DUMMYFUNCTION("""COMPUTED_VALUE"""),"-")</f>
        <v>-</v>
      </c>
      <c r="M1480" s="42" t="str">
        <f>IFERROR(__xludf.DUMMYFUNCTION("""COMPUTED_VALUE"""),"[U]")</f>
        <v>[U]</v>
      </c>
      <c r="N1480" s="42" t="str">
        <f>IFERROR(__xludf.DUMMYFUNCTION("""COMPUTED_VALUE"""),"Arth's 2nd spell. The spell's power reinforces his sword.")</f>
        <v>Arth's 2nd spell. The spell's power reinforces his sword.</v>
      </c>
      <c r="O1480" s="42"/>
      <c r="P1480" s="42"/>
      <c r="Q1480" s="42"/>
      <c r="R1480" s="42"/>
      <c r="S1480" s="42"/>
      <c r="T1480" s="42"/>
      <c r="U1480" s="42"/>
      <c r="V1480" s="42"/>
      <c r="W1480" s="42"/>
      <c r="X1480" s="42"/>
      <c r="Y1480" s="42"/>
      <c r="Z1480" s="42"/>
    </row>
    <row r="1481">
      <c r="A1481" s="41" t="str">
        <f>IFERROR(__xludf.DUMMYFUNCTION("""COMPUTED_VALUE"""),"S-351")</f>
        <v>S-351</v>
      </c>
      <c r="B1481" s="42" t="str">
        <f>IFERROR(__xludf.DUMMYFUNCTION("""COMPUTED_VALUE"""),"Spell")</f>
        <v>Spell</v>
      </c>
      <c r="C1481" s="42" t="str">
        <f>IFERROR(__xludf.DUMMYFUNCTION("""COMPUTED_VALUE"""),"Jan Ji Swordo")</f>
        <v>Jan Ji Swordo</v>
      </c>
      <c r="D1481" s="42" t="str">
        <f>IFERROR(__xludf.DUMMYFUNCTION("""COMPUTED_VALUE"""),"Arth")</f>
        <v>Arth</v>
      </c>
      <c r="E1481" s="42">
        <f>IFERROR(__xludf.DUMMYFUNCTION("""COMPUTED_VALUE"""),4.0)</f>
        <v>4</v>
      </c>
      <c r="F1481" s="42" t="str">
        <f>IFERROR(__xludf.DUMMYFUNCTION("""COMPUTED_VALUE"""),"A")</f>
        <v>A</v>
      </c>
      <c r="G1481" s="42" t="str">
        <f>IFERROR(__xludf.DUMMYFUNCTION("""COMPUTED_VALUE"""),"Intermediate")</f>
        <v>Intermediate</v>
      </c>
      <c r="H1481" s="42" t="str">
        <f>IFERROR(__xludf.DUMMYFUNCTION("""COMPUTED_VALUE"""),"-")</f>
        <v>-</v>
      </c>
      <c r="I1481" s="43" t="str">
        <f>IFERROR(__xludf.DUMMYFUNCTION("""COMPUTED_VALUE"""),"Apply 1 of the following effects when you win the Battle as an Attacker: ● Damage your opponent's Spell Book. ● Injure 1 of your opponent's MAMODO cards.")</f>
        <v>Apply 1 of the following effects when you win the Battle as an Attacker: ● Damage your opponent's Spell Book. ● Injure 1 of your opponent's MAMODO cards.</v>
      </c>
      <c r="J1481" s="42" t="str">
        <f>IFERROR(__xludf.DUMMYFUNCTION("""COMPUTED_VALUE"""),"+4000")</f>
        <v>+4000</v>
      </c>
      <c r="K1481" s="42">
        <f>IFERROR(__xludf.DUMMYFUNCTION("""COMPUTED_VALUE"""),3.0)</f>
        <v>3</v>
      </c>
      <c r="L1481" s="42" t="str">
        <f>IFERROR(__xludf.DUMMYFUNCTION("""COMPUTED_VALUE"""),"-")</f>
        <v>-</v>
      </c>
      <c r="M1481" s="42" t="str">
        <f>IFERROR(__xludf.DUMMYFUNCTION("""COMPUTED_VALUE"""),"[R]")</f>
        <v>[R]</v>
      </c>
      <c r="N1481" s="42" t="str">
        <f>IFERROR(__xludf.DUMMYFUNCTION("""COMPUTED_VALUE"""),"Arth’s 3rd spell. It materializes an enormous astral blade that crashes down on his foes.")</f>
        <v>Arth’s 3rd spell. It materializes an enormous astral blade that crashes down on his foes.</v>
      </c>
      <c r="O1481" s="42"/>
      <c r="P1481" s="42"/>
      <c r="Q1481" s="42"/>
      <c r="R1481" s="42"/>
      <c r="S1481" s="42"/>
      <c r="T1481" s="42"/>
      <c r="U1481" s="42"/>
      <c r="V1481" s="42"/>
      <c r="W1481" s="42"/>
      <c r="X1481" s="42"/>
      <c r="Y1481" s="42"/>
      <c r="Z1481" s="42"/>
    </row>
    <row r="1482">
      <c r="A1482" s="41" t="str">
        <f>IFERROR(__xludf.DUMMYFUNCTION("""COMPUTED_VALUE"""),"S-352")</f>
        <v>S-352</v>
      </c>
      <c r="B1482" s="42" t="str">
        <f>IFERROR(__xludf.DUMMYFUNCTION("""COMPUTED_VALUE"""),"Spell")</f>
        <v>Spell</v>
      </c>
      <c r="C1482" s="42" t="str">
        <f>IFERROR(__xludf.DUMMYFUNCTION("""COMPUTED_VALUE"""),"Borusen")</f>
        <v>Borusen</v>
      </c>
      <c r="D1482" s="42" t="str">
        <f>IFERROR(__xludf.DUMMYFUNCTION("""COMPUTED_VALUE"""),"Arth")</f>
        <v>Arth</v>
      </c>
      <c r="E1482" s="42">
        <f>IFERROR(__xludf.DUMMYFUNCTION("""COMPUTED_VALUE"""),1.0)</f>
        <v>1</v>
      </c>
      <c r="F1482" s="42" t="str">
        <f>IFERROR(__xludf.DUMMYFUNCTION("""COMPUTED_VALUE"""),"A")</f>
        <v>A</v>
      </c>
      <c r="G1482" s="42" t="str">
        <f>IFERROR(__xludf.DUMMYFUNCTION("""COMPUTED_VALUE"""),"None")</f>
        <v>None</v>
      </c>
      <c r="H1482" s="42" t="str">
        <f>IFERROR(__xludf.DUMMYFUNCTION("""COMPUTED_VALUE"""),"-")</f>
        <v>-</v>
      </c>
      <c r="I1482" s="43" t="str">
        <f>IFERROR(__xludf.DUMMYFUNCTION("""COMPUTED_VALUE"""),"Damage your opponent's Spell Book when you win the Battle as an Attacker. When you declare the play of this SPELL card, look at the currently open pages of your opponent's Spell Book. If there is a SPELL card with a ""Defend"" Icon or an EVENT card with a"&amp;" ""Battle"" Icon, select 1 of those cards. Your opponent must plays that card in the Battle when possible.")</f>
        <v>Damage your opponent's Spell Book when you win the Battle as an Attacker. When you declare the play of this SPELL card, look at the currently open pages of your opponent's Spell Book. If there is a SPELL card with a "Defend" Icon or an EVENT card with a "Battle" Icon, select 1 of those cards. Your opponent must plays that card in the Battle when possible.</v>
      </c>
      <c r="J1482" s="42" t="str">
        <f>IFERROR(__xludf.DUMMYFUNCTION("""COMPUTED_VALUE"""),"+0")</f>
        <v>+0</v>
      </c>
      <c r="K1482" s="42">
        <f>IFERROR(__xludf.DUMMYFUNCTION("""COMPUTED_VALUE"""),1.0)</f>
        <v>1</v>
      </c>
      <c r="L1482" s="42" t="str">
        <f>IFERROR(__xludf.DUMMYFUNCTION("""COMPUTED_VALUE"""),"-")</f>
        <v>-</v>
      </c>
      <c r="M1482" s="42" t="str">
        <f>IFERROR(__xludf.DUMMYFUNCTION("""COMPUTED_VALUE"""),"[C]")</f>
        <v>[C]</v>
      </c>
      <c r="N1482" s="42" t="str">
        <f>IFERROR(__xludf.DUMMYFUNCTION("""COMPUTED_VALUE"""),"Arth’s 4th spell. It generates an illusion in his image that charges toward the enemy.")</f>
        <v>Arth’s 4th spell. It generates an illusion in his image that charges toward the enemy.</v>
      </c>
      <c r="O1482" s="42"/>
      <c r="P1482" s="42"/>
      <c r="Q1482" s="42"/>
      <c r="R1482" s="42"/>
      <c r="S1482" s="42"/>
      <c r="T1482" s="42"/>
      <c r="U1482" s="42"/>
      <c r="V1482" s="42"/>
      <c r="W1482" s="42"/>
      <c r="X1482" s="42"/>
      <c r="Y1482" s="42"/>
      <c r="Z1482" s="42"/>
    </row>
    <row r="1483">
      <c r="A1483" s="41" t="str">
        <f>IFERROR(__xludf.DUMMYFUNCTION("""COMPUTED_VALUE"""),"S-353")</f>
        <v>S-353</v>
      </c>
      <c r="B1483" s="42" t="str">
        <f>IFERROR(__xludf.DUMMYFUNCTION("""COMPUTED_VALUE"""),"Spell")</f>
        <v>Spell</v>
      </c>
      <c r="C1483" s="42" t="str">
        <f>IFERROR(__xludf.DUMMYFUNCTION("""COMPUTED_VALUE"""),"Urusworto")</f>
        <v>Urusworto</v>
      </c>
      <c r="D1483" s="42" t="str">
        <f>IFERROR(__xludf.DUMMYFUNCTION("""COMPUTED_VALUE"""),"Arth")</f>
        <v>Arth</v>
      </c>
      <c r="E1483" s="42">
        <f>IFERROR(__xludf.DUMMYFUNCTION("""COMPUTED_VALUE"""),1.0)</f>
        <v>1</v>
      </c>
      <c r="F1483" s="42" t="str">
        <f>IFERROR(__xludf.DUMMYFUNCTION("""COMPUTED_VALUE"""),"A")</f>
        <v>A</v>
      </c>
      <c r="G1483" s="42" t="str">
        <f>IFERROR(__xludf.DUMMYFUNCTION("""COMPUTED_VALUE"""),"None")</f>
        <v>None</v>
      </c>
      <c r="H1483" s="42" t="str">
        <f>IFERROR(__xludf.DUMMYFUNCTION("""COMPUTED_VALUE"""),"-")</f>
        <v>-</v>
      </c>
      <c r="I1483" s="43" t="str">
        <f>IFERROR(__xludf.DUMMYFUNCTION("""COMPUTED_VALUE"""),"[STAY] Add 3000 Power to the Total Power of your Arth MAMODO card's effects that allow it to Attack or Defend without using a SPELL card until the END PHASE of your next turn (this effect cannot be duplicated).")</f>
        <v>[STAY] Add 3000 Power to the Total Power of your Arth MAMODO card's effects that allow it to Attack or Defend without using a SPELL card until the END PHASE of your next turn (this effect cannot be duplicated).</v>
      </c>
      <c r="J1483" s="42" t="str">
        <f>IFERROR(__xludf.DUMMYFUNCTION("""COMPUTED_VALUE"""),"Special")</f>
        <v>Special</v>
      </c>
      <c r="K1483" s="42" t="str">
        <f>IFERROR(__xludf.DUMMYFUNCTION("""COMPUTED_VALUE"""),"-")</f>
        <v>-</v>
      </c>
      <c r="L1483" s="42" t="str">
        <f>IFERROR(__xludf.DUMMYFUNCTION("""COMPUTED_VALUE"""),"-")</f>
        <v>-</v>
      </c>
      <c r="M1483" s="42" t="str">
        <f>IFERROR(__xludf.DUMMYFUNCTION("""COMPUTED_VALUE"""),"[U]")</f>
        <v>[U]</v>
      </c>
      <c r="N1483" s="42" t="str">
        <f>IFERROR(__xludf.DUMMYFUNCTION("""COMPUTED_VALUE"""),"Arth's 5th spell. ""Ellie! Instead of power, give me speed!""")</f>
        <v>Arth's 5th spell. "Ellie! Instead of power, give me speed!"</v>
      </c>
      <c r="O1483" s="42"/>
      <c r="P1483" s="42"/>
      <c r="Q1483" s="42"/>
      <c r="R1483" s="42"/>
      <c r="S1483" s="42"/>
      <c r="T1483" s="42"/>
      <c r="U1483" s="42"/>
      <c r="V1483" s="42"/>
      <c r="W1483" s="42"/>
      <c r="X1483" s="42"/>
      <c r="Y1483" s="42"/>
      <c r="Z1483" s="42"/>
    </row>
    <row r="1484">
      <c r="A1484" s="41" t="str">
        <f>IFERROR(__xludf.DUMMYFUNCTION("""COMPUTED_VALUE"""),"S-354")</f>
        <v>S-354</v>
      </c>
      <c r="B1484" s="42" t="str">
        <f>IFERROR(__xludf.DUMMYFUNCTION("""COMPUTED_VALUE"""),"Spell")</f>
        <v>Spell</v>
      </c>
      <c r="C1484" s="42" t="str">
        <f>IFERROR(__xludf.DUMMYFUNCTION("""COMPUTED_VALUE"""),"Jerudo Ma Swordo")</f>
        <v>Jerudo Ma Swordo</v>
      </c>
      <c r="D1484" s="42" t="str">
        <f>IFERROR(__xludf.DUMMYFUNCTION("""COMPUTED_VALUE"""),"Arth")</f>
        <v>Arth</v>
      </c>
      <c r="E1484" s="42">
        <f>IFERROR(__xludf.DUMMYFUNCTION("""COMPUTED_VALUE"""),1.0)</f>
        <v>1</v>
      </c>
      <c r="F1484" s="42" t="str">
        <f>IFERROR(__xludf.DUMMYFUNCTION("""COMPUTED_VALUE"""),"D")</f>
        <v>D</v>
      </c>
      <c r="G1484" s="42" t="str">
        <f>IFERROR(__xludf.DUMMYFUNCTION("""COMPUTED_VALUE"""),"None")</f>
        <v>None</v>
      </c>
      <c r="H1484" s="42" t="str">
        <f>IFERROR(__xludf.DUMMYFUNCTION("""COMPUTED_VALUE"""),"-")</f>
        <v>-</v>
      </c>
      <c r="I1484" s="43" t="str">
        <f>IFERROR(__xludf.DUMMYFUNCTION("""COMPUTED_VALUE"""),"[COUNTER] Apply 1 of the following effects when you win the Battle as a Defender: ● Damage your opponent's Spell Book. ● Injure the MAMODO card that Attacked in the Battle.")</f>
        <v>[COUNTER] Apply 1 of the following effects when you win the Battle as a Defender: ● Damage your opponent's Spell Book. ● Injure the MAMODO card that Attacked in the Battle.</v>
      </c>
      <c r="J1484" s="42" t="str">
        <f>IFERROR(__xludf.DUMMYFUNCTION("""COMPUTED_VALUE"""),"+4000")</f>
        <v>+4000</v>
      </c>
      <c r="K1484" s="42">
        <f>IFERROR(__xludf.DUMMYFUNCTION("""COMPUTED_VALUE"""),1.0)</f>
        <v>1</v>
      </c>
      <c r="L1484" s="42" t="str">
        <f>IFERROR(__xludf.DUMMYFUNCTION("""COMPUTED_VALUE"""),"-")</f>
        <v>-</v>
      </c>
      <c r="M1484" s="42" t="str">
        <f>IFERROR(__xludf.DUMMYFUNCTION("""COMPUTED_VALUE"""),"[R]")</f>
        <v>[R]</v>
      </c>
      <c r="N1484" s="42" t="str">
        <f>IFERROR(__xludf.DUMMYFUNCTION("""COMPUTED_VALUE"""),"Arth’s 6th spell. The Japanese samurai used to call it “iai,” a technique that involves slicing your foe the moment you draw your sword.")</f>
        <v>Arth’s 6th spell. The Japanese samurai used to call it “iai,” a technique that involves slicing your foe the moment you draw your sword.</v>
      </c>
      <c r="O1484" s="42"/>
      <c r="P1484" s="42"/>
      <c r="Q1484" s="42"/>
      <c r="R1484" s="42"/>
      <c r="S1484" s="42"/>
      <c r="T1484" s="42"/>
      <c r="U1484" s="42"/>
      <c r="V1484" s="42"/>
      <c r="W1484" s="42"/>
      <c r="X1484" s="42"/>
      <c r="Y1484" s="42"/>
      <c r="Z1484" s="42"/>
    </row>
    <row r="1485">
      <c r="A1485" s="41" t="str">
        <f>IFERROR(__xludf.DUMMYFUNCTION("""COMPUTED_VALUE"""),"S-355")</f>
        <v>S-355</v>
      </c>
      <c r="B1485" s="42" t="str">
        <f>IFERROR(__xludf.DUMMYFUNCTION("""COMPUTED_VALUE"""),"Spell")</f>
        <v>Spell</v>
      </c>
      <c r="C1485" s="42" t="str">
        <f>IFERROR(__xludf.DUMMYFUNCTION("""COMPUTED_VALUE"""),"Barbaros Swordon")</f>
        <v>Barbaros Swordon</v>
      </c>
      <c r="D1485" s="42" t="str">
        <f>IFERROR(__xludf.DUMMYFUNCTION("""COMPUTED_VALUE"""),"Arth")</f>
        <v>Arth</v>
      </c>
      <c r="E1485" s="42">
        <f>IFERROR(__xludf.DUMMYFUNCTION("""COMPUTED_VALUE"""),7.0)</f>
        <v>7</v>
      </c>
      <c r="F1485" s="42" t="str">
        <f>IFERROR(__xludf.DUMMYFUNCTION("""COMPUTED_VALUE"""),"AD")</f>
        <v>AD</v>
      </c>
      <c r="G1485" s="42" t="str">
        <f>IFERROR(__xludf.DUMMYFUNCTION("""COMPUTED_VALUE"""),"Superior")</f>
        <v>Superior</v>
      </c>
      <c r="H1485" s="42" t="str">
        <f>IFERROR(__xludf.DUMMYFUNCTION("""COMPUTED_VALUE"""),"-")</f>
        <v>-</v>
      </c>
      <c r="I1485" s="43" t="str">
        <f>IFERROR(__xludf.DUMMYFUNCTION("""COMPUTED_VALUE"""),"Damage your opponent's Spell Book when you win the Battle as an Attacker. When used for Defending, any effects applied by your opponent's Attack (except effects that Damage your Spell Book) are negated, regardless of power (effects that inflict Injury to "&amp;"any MAMODO cards are also negated).")</f>
        <v>Damage your opponent's Spell Book when you win the Battle as an Attacker. When used for Defending, any effects applied by your opponent's Attack (except effects that Damage your Spell Book) are negated, regardless of power (effects that inflict Injury to any MAMODO cards are also negated).</v>
      </c>
      <c r="J1485" s="42" t="str">
        <f>IFERROR(__xludf.DUMMYFUNCTION("""COMPUTED_VALUE"""),"+7000")</f>
        <v>+7000</v>
      </c>
      <c r="K1485" s="42">
        <f>IFERROR(__xludf.DUMMYFUNCTION("""COMPUTED_VALUE"""),4.0)</f>
        <v>4</v>
      </c>
      <c r="L1485" s="42" t="str">
        <f>IFERROR(__xludf.DUMMYFUNCTION("""COMPUTED_VALUE"""),"-")</f>
        <v>-</v>
      </c>
      <c r="M1485" s="42" t="str">
        <f>IFERROR(__xludf.DUMMYFUNCTION("""COMPUTED_VALUE"""),"[SR]")</f>
        <v>[SR]</v>
      </c>
      <c r="N1485" s="42" t="str">
        <f>IFERROR(__xludf.DUMMYFUNCTION("""COMPUTED_VALUE"""),"Arth’s 7th spell. It summons forth a gigantic arm wielding a tremendous sword that can skewer even the most ardent of foes.")</f>
        <v>Arth’s 7th spell. It summons forth a gigantic arm wielding a tremendous sword that can skewer even the most ardent of foes.</v>
      </c>
      <c r="O1485" s="42"/>
      <c r="P1485" s="42"/>
      <c r="Q1485" s="42"/>
      <c r="R1485" s="42"/>
      <c r="S1485" s="42"/>
      <c r="T1485" s="42"/>
      <c r="U1485" s="42"/>
      <c r="V1485" s="42"/>
      <c r="W1485" s="42"/>
      <c r="X1485" s="42"/>
      <c r="Y1485" s="42"/>
      <c r="Z1485" s="42"/>
    </row>
    <row r="1486">
      <c r="A1486" s="41" t="str">
        <f>IFERROR(__xludf.DUMMYFUNCTION("""COMPUTED_VALUE"""),"S-356")</f>
        <v>S-356</v>
      </c>
      <c r="B1486" s="42" t="str">
        <f>IFERROR(__xludf.DUMMYFUNCTION("""COMPUTED_VALUE"""),"Spell")</f>
        <v>Spell</v>
      </c>
      <c r="C1486" s="42" t="str">
        <f>IFERROR(__xludf.DUMMYFUNCTION("""COMPUTED_VALUE"""),"Shuffling Feet")</f>
        <v>Shuffling Feet</v>
      </c>
      <c r="D1486" s="42" t="str">
        <f>IFERROR(__xludf.DUMMYFUNCTION("""COMPUTED_VALUE"""),"Arth")</f>
        <v>Arth</v>
      </c>
      <c r="E1486" s="42">
        <f>IFERROR(__xludf.DUMMYFUNCTION("""COMPUTED_VALUE"""),0.0)</f>
        <v>0</v>
      </c>
      <c r="F1486" s="42" t="str">
        <f>IFERROR(__xludf.DUMMYFUNCTION("""COMPUTED_VALUE"""),"A")</f>
        <v>A</v>
      </c>
      <c r="G1486" s="42" t="str">
        <f>IFERROR(__xludf.DUMMYFUNCTION("""COMPUTED_VALUE"""),"None")</f>
        <v>None</v>
      </c>
      <c r="H1486" s="42" t="str">
        <f>IFERROR(__xludf.DUMMYFUNCTION("""COMPUTED_VALUE"""),"-")</f>
        <v>-</v>
      </c>
      <c r="I1486" s="43" t="str">
        <f>IFERROR(__xludf.DUMMYFUNCTION("""COMPUTED_VALUE"""),"If your opponent did not Attack during the previous turn, your opponent can neither Defend nor play EVENT cards during the next Battle when your Arth MAMODO card Attacks. This effect is [STANDBY] until the next time your Arth MAMODO card Attacks during th"&amp;"is turn, and [STAY] during the Battle.")</f>
        <v>If your opponent did not Attack during the previous turn, your opponent can neither Defend nor play EVENT cards during the next Battle when your Arth MAMODO card Attacks. This effect is [STANDBY] until the next time your Arth MAMODO card Attacks during this turn, and [STAY] during the Battle.</v>
      </c>
      <c r="J1486" s="42" t="str">
        <f>IFERROR(__xludf.DUMMYFUNCTION("""COMPUTED_VALUE"""),"Special")</f>
        <v>Special</v>
      </c>
      <c r="K1486" s="42" t="str">
        <f>IFERROR(__xludf.DUMMYFUNCTION("""COMPUTED_VALUE"""),"-")</f>
        <v>-</v>
      </c>
      <c r="L1486" s="42" t="str">
        <f>IFERROR(__xludf.DUMMYFUNCTION("""COMPUTED_VALUE"""),"-")</f>
        <v>-</v>
      </c>
      <c r="M1486" s="42" t="str">
        <f>IFERROR(__xludf.DUMMYFUNCTION("""COMPUTED_VALUE"""),"[R]")</f>
        <v>[R]</v>
      </c>
      <c r="N1486" s="42" t="str">
        <f>IFERROR(__xludf.DUMMYFUNCTION("""COMPUTED_VALUE"""),"Command:Arth")</f>
        <v>Command:Arth</v>
      </c>
      <c r="O1486" s="42"/>
      <c r="P1486" s="42"/>
      <c r="Q1486" s="42"/>
      <c r="R1486" s="42"/>
      <c r="S1486" s="42"/>
      <c r="T1486" s="42"/>
      <c r="U1486" s="42"/>
      <c r="V1486" s="42"/>
      <c r="W1486" s="42"/>
      <c r="X1486" s="42"/>
      <c r="Y1486" s="42"/>
      <c r="Z1486" s="42"/>
    </row>
    <row r="1487">
      <c r="A1487" s="41" t="str">
        <f>IFERROR(__xludf.DUMMYFUNCTION("""COMPUTED_VALUE"""),"S-357")</f>
        <v>S-357</v>
      </c>
      <c r="B1487" s="42" t="str">
        <f>IFERROR(__xludf.DUMMYFUNCTION("""COMPUTED_VALUE"""),"Spell")</f>
        <v>Spell</v>
      </c>
      <c r="C1487" s="42" t="str">
        <f>IFERROR(__xludf.DUMMYFUNCTION("""COMPUTED_VALUE"""),"Zagurzem")</f>
        <v>Zagurzem</v>
      </c>
      <c r="D1487" s="42" t="str">
        <f>IFERROR(__xludf.DUMMYFUNCTION("""COMPUTED_VALUE"""),"Zatch Bell")</f>
        <v>Zatch Bell</v>
      </c>
      <c r="E1487" s="42">
        <f>IFERROR(__xludf.DUMMYFUNCTION("""COMPUTED_VALUE"""),1.0)</f>
        <v>1</v>
      </c>
      <c r="F1487" s="42" t="str">
        <f>IFERROR(__xludf.DUMMYFUNCTION("""COMPUTED_VALUE"""),"D")</f>
        <v>D</v>
      </c>
      <c r="G1487" s="42" t="str">
        <f>IFERROR(__xludf.DUMMYFUNCTION("""COMPUTED_VALUE"""),"None")</f>
        <v>None</v>
      </c>
      <c r="H1487" s="42" t="str">
        <f>IFERROR(__xludf.DUMMYFUNCTION("""COMPUTED_VALUE"""),"Thunder")</f>
        <v>Thunder</v>
      </c>
      <c r="I1487" s="43" t="str">
        <f>IFERROR(__xludf.DUMMYFUNCTION("""COMPUTED_VALUE"""),"Negate your opponent’s Attack when you win the Battle as a Defender. When you declare the play of this SPELL card, select 1 SPELL card with Zatch Bell as its MAMODO name and that has a “Defend” icon from any page of your Spell Book. Pay the MP cost of the"&amp;" selected card to add its Power to the Total Power of your Defense during the Battle.")</f>
        <v>Negate your opponent’s Attack when you win the Battle as a Defender. When you declare the play of this SPELL card, select 1 SPELL card with Zatch Bell as its MAMODO name and that has a “Defend” icon from any page of your Spell Book. Pay the MP cost of the selected card to add its Power to the Total Power of your Defense during the Battle.</v>
      </c>
      <c r="J1487" s="42" t="str">
        <f>IFERROR(__xludf.DUMMYFUNCTION("""COMPUTED_VALUE"""),"+4000")</f>
        <v>+4000</v>
      </c>
      <c r="K1487" s="42" t="str">
        <f>IFERROR(__xludf.DUMMYFUNCTION("""COMPUTED_VALUE"""),"-")</f>
        <v>-</v>
      </c>
      <c r="L1487" s="42" t="str">
        <f>IFERROR(__xludf.DUMMYFUNCTION("""COMPUTED_VALUE"""),"-")</f>
        <v>-</v>
      </c>
      <c r="M1487" s="42" t="str">
        <f>IFERROR(__xludf.DUMMYFUNCTION("""COMPUTED_VALUE"""),"[U]")</f>
        <v>[U]</v>
      </c>
      <c r="N1487" s="42" t="str">
        <f>IFERROR(__xludf.DUMMYFUNCTION("""COMPUTED_VALUE"""),"Zatch's 7th spell. Zagurzem is also effective against enemy attack spells.")</f>
        <v>Zatch's 7th spell. Zagurzem is also effective against enemy attack spells.</v>
      </c>
      <c r="O1487" s="42"/>
      <c r="P1487" s="42"/>
      <c r="Q1487" s="42"/>
      <c r="R1487" s="42"/>
      <c r="S1487" s="42"/>
      <c r="T1487" s="42"/>
      <c r="U1487" s="42"/>
      <c r="V1487" s="42"/>
      <c r="W1487" s="42"/>
      <c r="X1487" s="42"/>
      <c r="Y1487" s="42"/>
      <c r="Z1487" s="42"/>
    </row>
    <row r="1488">
      <c r="A1488" s="41" t="str">
        <f>IFERROR(__xludf.DUMMYFUNCTION("""COMPUTED_VALUE"""),"S-358")</f>
        <v>S-358</v>
      </c>
      <c r="B1488" s="42" t="str">
        <f>IFERROR(__xludf.DUMMYFUNCTION("""COMPUTED_VALUE"""),"Spell")</f>
        <v>Spell</v>
      </c>
      <c r="C1488" s="42" t="str">
        <f>IFERROR(__xludf.DUMMYFUNCTION("""COMPUTED_VALUE"""),"Knockout Blow!")</f>
        <v>Knockout Blow!</v>
      </c>
      <c r="D1488" s="42" t="str">
        <f>IFERROR(__xludf.DUMMYFUNCTION("""COMPUTED_VALUE"""),"Ted")</f>
        <v>Ted</v>
      </c>
      <c r="E1488" s="42">
        <f>IFERROR(__xludf.DUMMYFUNCTION("""COMPUTED_VALUE"""),0.0)</f>
        <v>0</v>
      </c>
      <c r="F1488" s="42" t="str">
        <f>IFERROR(__xludf.DUMMYFUNCTION("""COMPUTED_VALUE"""),"A")</f>
        <v>A</v>
      </c>
      <c r="G1488" s="42" t="str">
        <f>IFERROR(__xludf.DUMMYFUNCTION("""COMPUTED_VALUE"""),"None")</f>
        <v>None</v>
      </c>
      <c r="H1488" s="42" t="str">
        <f>IFERROR(__xludf.DUMMYFUNCTION("""COMPUTED_VALUE"""),"-")</f>
        <v>-</v>
      </c>
      <c r="I1488" s="43" t="str">
        <f>IFERROR(__xludf.DUMMYFUNCTION("""COMPUTED_VALUE"""),"Damage your opponent's Spell Book when you win the Battle as an Attacker. The Power of this SPELL card is equal to the number of MP counters on your Ted MAMODO card times 1000, and the Damage of this SPELL card is equal to the number of MP counters on you"&amp;"r Ted MAMODO card times 1.")</f>
        <v>Damage your opponent's Spell Book when you win the Battle as an Attacker. The Power of this SPELL card is equal to the number of MP counters on your Ted MAMODO card times 1000, and the Damage of this SPELL card is equal to the number of MP counters on your Ted MAMODO card times 1.</v>
      </c>
      <c r="J1488" s="42" t="str">
        <f>IFERROR(__xludf.DUMMYFUNCTION("""COMPUTED_VALUE"""),"1000x")</f>
        <v>1000x</v>
      </c>
      <c r="K1488" s="42" t="str">
        <f>IFERROR(__xludf.DUMMYFUNCTION("""COMPUTED_VALUE"""),"-")</f>
        <v>-</v>
      </c>
      <c r="L1488" s="42" t="str">
        <f>IFERROR(__xludf.DUMMYFUNCTION("""COMPUTED_VALUE"""),"-")</f>
        <v>-</v>
      </c>
      <c r="M1488" s="42" t="str">
        <f>IFERROR(__xludf.DUMMYFUNCTION("""COMPUTED_VALUE"""),"[U]")</f>
        <v>[U]</v>
      </c>
      <c r="N1488" s="42" t="str">
        <f>IFERROR(__xludf.DUMMYFUNCTION("""COMPUTED_VALUE"""),"Command:Ted")</f>
        <v>Command:Ted</v>
      </c>
      <c r="O1488" s="42"/>
      <c r="P1488" s="42"/>
      <c r="Q1488" s="42"/>
      <c r="R1488" s="42"/>
      <c r="S1488" s="42"/>
      <c r="T1488" s="42"/>
      <c r="U1488" s="42"/>
      <c r="V1488" s="42"/>
      <c r="W1488" s="42"/>
      <c r="X1488" s="42"/>
      <c r="Y1488" s="42"/>
      <c r="Z1488" s="42"/>
    </row>
    <row r="1489">
      <c r="A1489" s="41" t="str">
        <f>IFERROR(__xludf.DUMMYFUNCTION("""COMPUTED_VALUE"""),"S-359")</f>
        <v>S-359</v>
      </c>
      <c r="B1489" s="42" t="str">
        <f>IFERROR(__xludf.DUMMYFUNCTION("""COMPUTED_VALUE"""),"Spell")</f>
        <v>Spell</v>
      </c>
      <c r="C1489" s="42" t="str">
        <f>IFERROR(__xludf.DUMMYFUNCTION("""COMPUTED_VALUE"""),"Jan Ji Swordo")</f>
        <v>Jan Ji Swordo</v>
      </c>
      <c r="D1489" s="42" t="str">
        <f>IFERROR(__xludf.DUMMYFUNCTION("""COMPUTED_VALUE"""),"Arth")</f>
        <v>Arth</v>
      </c>
      <c r="E1489" s="42">
        <f>IFERROR(__xludf.DUMMYFUNCTION("""COMPUTED_VALUE"""),3.0)</f>
        <v>3</v>
      </c>
      <c r="F1489" s="42" t="str">
        <f>IFERROR(__xludf.DUMMYFUNCTION("""COMPUTED_VALUE"""),"A")</f>
        <v>A</v>
      </c>
      <c r="G1489" s="42" t="str">
        <f>IFERROR(__xludf.DUMMYFUNCTION("""COMPUTED_VALUE"""),"None")</f>
        <v>None</v>
      </c>
      <c r="H1489" s="42" t="str">
        <f>IFERROR(__xludf.DUMMYFUNCTION("""COMPUTED_VALUE"""),"-")</f>
        <v>-</v>
      </c>
      <c r="I1489" s="43" t="str">
        <f>IFERROR(__xludf.DUMMYFUNCTION("""COMPUTED_VALUE"""),"[STAY] Add the text below to your Arth MAMODO card until the END PHASE of your next turn: ● (Attack) (Defend) [DECLARE TO USE] This card may Attack without using a SPELL card (Total Power=8000, Damage=2), OR Defend without using a SPELL card (Total Power="&amp;"8000).")</f>
        <v>[STAY] Add the text below to your Arth MAMODO card until the END PHASE of your next turn: ● (Attack) (Defend) [DECLARE TO USE] This card may Attack without using a SPELL card (Total Power=8000, Damage=2), OR Defend without using a SPELL card (Total Power=8000).</v>
      </c>
      <c r="J1489" s="42" t="str">
        <f>IFERROR(__xludf.DUMMYFUNCTION("""COMPUTED_VALUE"""),"Special")</f>
        <v>Special</v>
      </c>
      <c r="K1489" s="42" t="str">
        <f>IFERROR(__xludf.DUMMYFUNCTION("""COMPUTED_VALUE"""),"-")</f>
        <v>-</v>
      </c>
      <c r="L1489" s="42" t="str">
        <f>IFERROR(__xludf.DUMMYFUNCTION("""COMPUTED_VALUE"""),"-")</f>
        <v>-</v>
      </c>
      <c r="M1489" s="42" t="str">
        <f>IFERROR(__xludf.DUMMYFUNCTION("""COMPUTED_VALUE"""),"[U]")</f>
        <v>[U]</v>
      </c>
      <c r="N1489" s="42" t="str">
        <f>IFERROR(__xludf.DUMMYFUNCTION("""COMPUTED_VALUE"""),"Arth's 3rd spell. ""This should turn things around quickly!""")</f>
        <v>Arth's 3rd spell. "This should turn things around quickly!"</v>
      </c>
      <c r="O1489" s="42"/>
      <c r="P1489" s="42"/>
      <c r="Q1489" s="42"/>
      <c r="R1489" s="42"/>
      <c r="S1489" s="42"/>
      <c r="T1489" s="42"/>
      <c r="U1489" s="42"/>
      <c r="V1489" s="42"/>
      <c r="W1489" s="42"/>
      <c r="X1489" s="42"/>
      <c r="Y1489" s="42"/>
      <c r="Z1489" s="42"/>
    </row>
    <row r="1490">
      <c r="A1490" s="41" t="str">
        <f>IFERROR(__xludf.DUMMYFUNCTION("""COMPUTED_VALUE"""),"S-360")</f>
        <v>S-360</v>
      </c>
      <c r="B1490" s="42" t="str">
        <f>IFERROR(__xludf.DUMMYFUNCTION("""COMPUTED_VALUE"""),"Spell")</f>
        <v>Spell</v>
      </c>
      <c r="C1490" s="42" t="str">
        <f>IFERROR(__xludf.DUMMYFUNCTION("""COMPUTED_VALUE"""),"Jerudo Ma Swordo")</f>
        <v>Jerudo Ma Swordo</v>
      </c>
      <c r="D1490" s="42" t="str">
        <f>IFERROR(__xludf.DUMMYFUNCTION("""COMPUTED_VALUE"""),"Arth")</f>
        <v>Arth</v>
      </c>
      <c r="E1490" s="42">
        <f>IFERROR(__xludf.DUMMYFUNCTION("""COMPUTED_VALUE"""),1.0)</f>
        <v>1</v>
      </c>
      <c r="F1490" s="42" t="str">
        <f>IFERROR(__xludf.DUMMYFUNCTION("""COMPUTED_VALUE"""),"D")</f>
        <v>D</v>
      </c>
      <c r="G1490" s="42" t="str">
        <f>IFERROR(__xludf.DUMMYFUNCTION("""COMPUTED_VALUE"""),"None")</f>
        <v>None</v>
      </c>
      <c r="H1490" s="42" t="str">
        <f>IFERROR(__xludf.DUMMYFUNCTION("""COMPUTED_VALUE"""),"-")</f>
        <v>-</v>
      </c>
      <c r="I1490" s="43" t="str">
        <f>IFERROR(__xludf.DUMMYFUNCTION("""COMPUTED_VALUE"""),"Negate your opponent’s Attack when you win the Battle as a Defender. Then, Injure the MAMODO card that Attacked in the Battle regardless of their Power.")</f>
        <v>Negate your opponent’s Attack when you win the Battle as a Defender. Then, Injure the MAMODO card that Attacked in the Battle regardless of their Power.</v>
      </c>
      <c r="J1490" s="42" t="str">
        <f>IFERROR(__xludf.DUMMYFUNCTION("""COMPUTED_VALUE"""),"+3000")</f>
        <v>+3000</v>
      </c>
      <c r="K1490" s="42" t="str">
        <f>IFERROR(__xludf.DUMMYFUNCTION("""COMPUTED_VALUE"""),"-")</f>
        <v>-</v>
      </c>
      <c r="L1490" s="42" t="str">
        <f>IFERROR(__xludf.DUMMYFUNCTION("""COMPUTED_VALUE"""),"-")</f>
        <v>-</v>
      </c>
      <c r="M1490" s="42" t="str">
        <f>IFERROR(__xludf.DUMMYFUNCTION("""COMPUTED_VALUE"""),"[U]")</f>
        <v>[U]</v>
      </c>
      <c r="N1490" s="42" t="str">
        <f>IFERROR(__xludf.DUMMYFUNCTION("""COMPUTED_VALUE"""),"Arth’s 6th spell. Anyone who steps within the radius of his force field will be sliced away in one swift stroke.")</f>
        <v>Arth’s 6th spell. Anyone who steps within the radius of his force field will be sliced away in one swift stroke.</v>
      </c>
      <c r="O1490" s="42"/>
      <c r="P1490" s="42"/>
      <c r="Q1490" s="42"/>
      <c r="R1490" s="42"/>
      <c r="S1490" s="42"/>
      <c r="T1490" s="42"/>
      <c r="U1490" s="42"/>
      <c r="V1490" s="42"/>
      <c r="W1490" s="42"/>
      <c r="X1490" s="42"/>
      <c r="Y1490" s="42"/>
      <c r="Z1490" s="42"/>
    </row>
    <row r="1491">
      <c r="A1491" s="41" t="str">
        <f>IFERROR(__xludf.DUMMYFUNCTION("""COMPUTED_VALUE"""),"S-361")</f>
        <v>S-361</v>
      </c>
      <c r="B1491" s="42" t="str">
        <f>IFERROR(__xludf.DUMMYFUNCTION("""COMPUTED_VALUE"""),"Spell")</f>
        <v>Spell</v>
      </c>
      <c r="C1491" s="42" t="str">
        <f>IFERROR(__xludf.DUMMYFUNCTION("""COMPUTED_VALUE"""),"Doremikeru")</f>
        <v>Doremikeru</v>
      </c>
      <c r="D1491" s="42" t="str">
        <f>IFERROR(__xludf.DUMMYFUNCTION("""COMPUTED_VALUE"""),"Yopopo")</f>
        <v>Yopopo</v>
      </c>
      <c r="E1491" s="42">
        <f>IFERROR(__xludf.DUMMYFUNCTION("""COMPUTED_VALUE"""),5.0)</f>
        <v>5</v>
      </c>
      <c r="F1491" s="42" t="str">
        <f>IFERROR(__xludf.DUMMYFUNCTION("""COMPUTED_VALUE"""),"AD")</f>
        <v>AD</v>
      </c>
      <c r="G1491" s="42" t="str">
        <f>IFERROR(__xludf.DUMMYFUNCTION("""COMPUTED_VALUE"""),"Superior")</f>
        <v>Superior</v>
      </c>
      <c r="H1491" s="42" t="str">
        <f>IFERROR(__xludf.DUMMYFUNCTION("""COMPUTED_VALUE"""),"-")</f>
        <v>-</v>
      </c>
      <c r="I1491" s="43" t="str">
        <f>IFERROR(__xludf.DUMMYFUNCTION("""COMPUTED_VALUE"""),"Damage your opponent's Spell Book when you win the Battle as an Attacker. When you are on the last page of your Spell Book, your opponent can neither SACRIFICE nor PROTECT their Spell Book from the Damage of this SPELL card.")</f>
        <v>Damage your opponent's Spell Book when you win the Battle as an Attacker. When you are on the last page of your Spell Book, your opponent can neither SACRIFICE nor PROTECT their Spell Book from the Damage of this SPELL card.</v>
      </c>
      <c r="J1491" s="42" t="str">
        <f>IFERROR(__xludf.DUMMYFUNCTION("""COMPUTED_VALUE"""),"+4000")</f>
        <v>+4000</v>
      </c>
      <c r="K1491" s="42">
        <f>IFERROR(__xludf.DUMMYFUNCTION("""COMPUTED_VALUE"""),2.0)</f>
        <v>2</v>
      </c>
      <c r="L1491" s="42" t="str">
        <f>IFERROR(__xludf.DUMMYFUNCTION("""COMPUTED_VALUE"""),"-")</f>
        <v>-</v>
      </c>
      <c r="M1491" s="42" t="str">
        <f>IFERROR(__xludf.DUMMYFUNCTION("""COMPUTED_VALUE"""),"[R]")</f>
        <v>[R]</v>
      </c>
      <c r="N1491" s="42" t="str">
        <f>IFERROR(__xludf.DUMMYFUNCTION("""COMPUTED_VALUE"""),"Yopopo's 2nd spell. ""Okay, little guy! He's all yours, finish him off now!""")</f>
        <v>Yopopo's 2nd spell. "Okay, little guy! He's all yours, finish him off now!"</v>
      </c>
      <c r="O1491" s="42"/>
      <c r="P1491" s="42"/>
      <c r="Q1491" s="42"/>
      <c r="R1491" s="42"/>
      <c r="S1491" s="42"/>
      <c r="T1491" s="42"/>
      <c r="U1491" s="42"/>
      <c r="V1491" s="42"/>
      <c r="W1491" s="42"/>
      <c r="X1491" s="42"/>
      <c r="Y1491" s="42"/>
      <c r="Z1491" s="42"/>
    </row>
    <row r="1492">
      <c r="A1492" s="41" t="str">
        <f>IFERROR(__xludf.DUMMYFUNCTION("""COMPUTED_VALUE"""),"S-362")</f>
        <v>S-362</v>
      </c>
      <c r="B1492" s="42" t="str">
        <f>IFERROR(__xludf.DUMMYFUNCTION("""COMPUTED_VALUE"""),"Spell")</f>
        <v>Spell</v>
      </c>
      <c r="C1492" s="42" t="str">
        <f>IFERROR(__xludf.DUMMYFUNCTION("""COMPUTED_VALUE"""),"Dino Rignon")</f>
        <v>Dino Rignon</v>
      </c>
      <c r="D1492" s="42" t="str">
        <f>IFERROR(__xludf.DUMMYFUNCTION("""COMPUTED_VALUE"""),"Rops")</f>
        <v>Rops</v>
      </c>
      <c r="E1492" s="42">
        <f>IFERROR(__xludf.DUMMYFUNCTION("""COMPUTED_VALUE"""),6.0)</f>
        <v>6</v>
      </c>
      <c r="F1492" s="42" t="str">
        <f>IFERROR(__xludf.DUMMYFUNCTION("""COMPUTED_VALUE"""),"AD")</f>
        <v>AD</v>
      </c>
      <c r="G1492" s="42" t="str">
        <f>IFERROR(__xludf.DUMMYFUNCTION("""COMPUTED_VALUE"""),"Superior")</f>
        <v>Superior</v>
      </c>
      <c r="H1492" s="42" t="str">
        <f>IFERROR(__xludf.DUMMYFUNCTION("""COMPUTED_VALUE"""),"-")</f>
        <v>-</v>
      </c>
      <c r="I1492" s="43" t="str">
        <f>IFERROR(__xludf.DUMMYFUNCTION("""COMPUTED_VALUE"""),"Apply both of the following effects in order when you win the Battle as an Attacker: ● Injure 1 of your opponent's MAMODO cards. ● Damage your opponent's Spell Book.")</f>
        <v>Apply both of the following effects in order when you win the Battle as an Attacker: ● Injure 1 of your opponent's MAMODO cards. ● Damage your opponent's Spell Book.</v>
      </c>
      <c r="J1492" s="42" t="str">
        <f>IFERROR(__xludf.DUMMYFUNCTION("""COMPUTED_VALUE"""),"+6000")</f>
        <v>+6000</v>
      </c>
      <c r="K1492" s="42">
        <f>IFERROR(__xludf.DUMMYFUNCTION("""COMPUTED_VALUE"""),3.0)</f>
        <v>3</v>
      </c>
      <c r="L1492" s="42" t="str">
        <f>IFERROR(__xludf.DUMMYFUNCTION("""COMPUTED_VALUE"""),"-")</f>
        <v>-</v>
      </c>
      <c r="M1492" s="42" t="str">
        <f>IFERROR(__xludf.DUMMYFUNCTION("""COMPUTED_VALUE"""),"[R]")</f>
        <v>[R]</v>
      </c>
      <c r="N1492" s="42" t="str">
        <f>IFERROR(__xludf.DUMMYFUNCTION("""COMPUTED_VALUE"""),"Rops' 3rd spell. ""Rops! Our greatest spell!""")</f>
        <v>Rops' 3rd spell. "Rops! Our greatest spell!"</v>
      </c>
      <c r="O1492" s="42"/>
      <c r="P1492" s="42"/>
      <c r="Q1492" s="42"/>
      <c r="R1492" s="42"/>
      <c r="S1492" s="42"/>
      <c r="T1492" s="42"/>
      <c r="U1492" s="42"/>
      <c r="V1492" s="42"/>
      <c r="W1492" s="42"/>
      <c r="X1492" s="42"/>
      <c r="Y1492" s="42"/>
      <c r="Z1492" s="42"/>
    </row>
    <row r="1493">
      <c r="A1493" s="41" t="str">
        <f>IFERROR(__xludf.DUMMYFUNCTION("""COMPUTED_VALUE"""),"S-363")</f>
        <v>S-363</v>
      </c>
      <c r="B1493" s="42" t="str">
        <f>IFERROR(__xludf.DUMMYFUNCTION("""COMPUTED_VALUE"""),"Spell")</f>
        <v>Spell</v>
      </c>
      <c r="C1493" s="42" t="str">
        <f>IFERROR(__xludf.DUMMYFUNCTION("""COMPUTED_VALUE"""),"Self-Sacrifice")</f>
        <v>Self-Sacrifice</v>
      </c>
      <c r="D1493" s="42" t="str">
        <f>IFERROR(__xludf.DUMMYFUNCTION("""COMPUTED_VALUE"""),"Danny")</f>
        <v>Danny</v>
      </c>
      <c r="E1493" s="42">
        <f>IFERROR(__xludf.DUMMYFUNCTION("""COMPUTED_VALUE"""),0.0)</f>
        <v>0</v>
      </c>
      <c r="F1493" s="42" t="str">
        <f>IFERROR(__xludf.DUMMYFUNCTION("""COMPUTED_VALUE"""),"A")</f>
        <v>A</v>
      </c>
      <c r="G1493" s="42" t="str">
        <f>IFERROR(__xludf.DUMMYFUNCTION("""COMPUTED_VALUE"""),"None")</f>
        <v>None</v>
      </c>
      <c r="H1493" s="42" t="str">
        <f>IFERROR(__xludf.DUMMYFUNCTION("""COMPUTED_VALUE"""),"-")</f>
        <v>-</v>
      </c>
      <c r="I1493" s="43" t="str">
        <f>IFERROR(__xludf.DUMMYFUNCTION("""COMPUTED_VALUE"""),"Flip a coin; if it's heads, your Danny MAMODO card can SACRIFICE or PROTECT your Spell Book from Damage even when it is prohibited to do so.")</f>
        <v>Flip a coin; if it's heads, your Danny MAMODO card can SACRIFICE or PROTECT your Spell Book from Damage even when it is prohibited to do so.</v>
      </c>
      <c r="J1493" s="42" t="str">
        <f>IFERROR(__xludf.DUMMYFUNCTION("""COMPUTED_VALUE"""),"Special")</f>
        <v>Special</v>
      </c>
      <c r="K1493" s="42" t="str">
        <f>IFERROR(__xludf.DUMMYFUNCTION("""COMPUTED_VALUE"""),"-")</f>
        <v>-</v>
      </c>
      <c r="L1493" s="42" t="str">
        <f>IFERROR(__xludf.DUMMYFUNCTION("""COMPUTED_VALUE"""),"-")</f>
        <v>-</v>
      </c>
      <c r="M1493" s="42" t="str">
        <f>IFERROR(__xludf.DUMMYFUNCTION("""COMPUTED_VALUE"""),"[R]")</f>
        <v>[R]</v>
      </c>
      <c r="N1493" s="42" t="str">
        <f>IFERROR(__xludf.DUMMYFUNCTION("""COMPUTED_VALUE"""),"Command:Danny")</f>
        <v>Command:Danny</v>
      </c>
      <c r="O1493" s="42"/>
      <c r="P1493" s="42"/>
      <c r="Q1493" s="42"/>
      <c r="R1493" s="42"/>
      <c r="S1493" s="42"/>
      <c r="T1493" s="42"/>
      <c r="U1493" s="42"/>
      <c r="V1493" s="42"/>
      <c r="W1493" s="42"/>
      <c r="X1493" s="42"/>
      <c r="Y1493" s="42"/>
      <c r="Z1493" s="42"/>
    </row>
    <row r="1494">
      <c r="A1494" s="41" t="str">
        <f>IFERROR(__xludf.DUMMYFUNCTION("""COMPUTED_VALUE"""),"S-364")</f>
        <v>S-364</v>
      </c>
      <c r="B1494" s="42" t="str">
        <f>IFERROR(__xludf.DUMMYFUNCTION("""COMPUTED_VALUE"""),"Spell")</f>
        <v>Spell</v>
      </c>
      <c r="C1494" s="42" t="str">
        <f>IFERROR(__xludf.DUMMYFUNCTION("""COMPUTED_VALUE"""),"Rauzaruk")</f>
        <v>Rauzaruk</v>
      </c>
      <c r="D1494" s="42" t="str">
        <f>IFERROR(__xludf.DUMMYFUNCTION("""COMPUTED_VALUE"""),"Zatch Bell")</f>
        <v>Zatch Bell</v>
      </c>
      <c r="E1494" s="42">
        <f>IFERROR(__xludf.DUMMYFUNCTION("""COMPUTED_VALUE"""),1.0)</f>
        <v>1</v>
      </c>
      <c r="F1494" s="42" t="str">
        <f>IFERROR(__xludf.DUMMYFUNCTION("""COMPUTED_VALUE"""),"A")</f>
        <v>A</v>
      </c>
      <c r="G1494" s="42" t="str">
        <f>IFERROR(__xludf.DUMMYFUNCTION("""COMPUTED_VALUE"""),"Intermediate")</f>
        <v>Intermediate</v>
      </c>
      <c r="H1494" s="42" t="str">
        <f>IFERROR(__xludf.DUMMYFUNCTION("""COMPUTED_VALUE"""),"Thunder")</f>
        <v>Thunder</v>
      </c>
      <c r="I1494" s="43" t="str">
        <f>IFERROR(__xludf.DUMMYFUNCTION("""COMPUTED_VALUE"""),"Select 1 Zatch Bell (Rauzaruk State) MAMODO card from any page of your Spell Book and place it on a Zatch Bell MAMODO card.")</f>
        <v>Select 1 Zatch Bell (Rauzaruk State) MAMODO card from any page of your Spell Book and place it on a Zatch Bell MAMODO card.</v>
      </c>
      <c r="J1494" s="42" t="str">
        <f>IFERROR(__xludf.DUMMYFUNCTION("""COMPUTED_VALUE"""),"Special")</f>
        <v>Special</v>
      </c>
      <c r="K1494" s="42" t="str">
        <f>IFERROR(__xludf.DUMMYFUNCTION("""COMPUTED_VALUE"""),"-")</f>
        <v>-</v>
      </c>
      <c r="L1494" s="42" t="str">
        <f>IFERROR(__xludf.DUMMYFUNCTION("""COMPUTED_VALUE"""),"-")</f>
        <v>-</v>
      </c>
      <c r="M1494" s="42" t="str">
        <f>IFERROR(__xludf.DUMMYFUNCTION("""COMPUTED_VALUE"""),"[SR]")</f>
        <v>[SR]</v>
      </c>
      <c r="N1494" s="42" t="str">
        <f>IFERROR(__xludf.DUMMYFUNCTION("""COMPUTED_VALUE"""),"Zatch's 6th spell. Zatch is struck by lightning from above, and becomes wrapped in dazzling aura!")</f>
        <v>Zatch's 6th spell. Zatch is struck by lightning from above, and becomes wrapped in dazzling aura!</v>
      </c>
      <c r="O1494" s="42"/>
      <c r="P1494" s="42"/>
      <c r="Q1494" s="42"/>
      <c r="R1494" s="42"/>
      <c r="S1494" s="42"/>
      <c r="T1494" s="42"/>
      <c r="U1494" s="42"/>
      <c r="V1494" s="42"/>
      <c r="W1494" s="42"/>
      <c r="X1494" s="42"/>
      <c r="Y1494" s="42"/>
      <c r="Z1494" s="42"/>
    </row>
    <row r="1495">
      <c r="A1495" s="41" t="str">
        <f>IFERROR(__xludf.DUMMYFUNCTION("""COMPUTED_VALUE"""),"S-365")</f>
        <v>S-365</v>
      </c>
      <c r="B1495" s="42" t="str">
        <f>IFERROR(__xludf.DUMMYFUNCTION("""COMPUTED_VALUE"""),"Spell")</f>
        <v>Spell</v>
      </c>
      <c r="C1495" s="42" t="str">
        <f>IFERROR(__xludf.DUMMYFUNCTION("""COMPUTED_VALUE"""),"Dioga Gravidon")</f>
        <v>Dioga Gravidon</v>
      </c>
      <c r="D1495" s="42" t="str">
        <f>IFERROR(__xludf.DUMMYFUNCTION("""COMPUTED_VALUE"""),"Brago")</f>
        <v>Brago</v>
      </c>
      <c r="E1495" s="42">
        <f>IFERROR(__xludf.DUMMYFUNCTION("""COMPUTED_VALUE"""),6.0)</f>
        <v>6</v>
      </c>
      <c r="F1495" s="42" t="str">
        <f>IFERROR(__xludf.DUMMYFUNCTION("""COMPUTED_VALUE"""),"AD")</f>
        <v>AD</v>
      </c>
      <c r="G1495" s="42" t="str">
        <f>IFERROR(__xludf.DUMMYFUNCTION("""COMPUTED_VALUE"""),"Superior")</f>
        <v>Superior</v>
      </c>
      <c r="H1495" s="42" t="str">
        <f>IFERROR(__xludf.DUMMYFUNCTION("""COMPUTED_VALUE"""),"Down Force")</f>
        <v>Down Force</v>
      </c>
      <c r="I1495" s="43" t="str">
        <f>IFERROR(__xludf.DUMMYFUNCTION("""COMPUTED_VALUE"""),"Damage your opponent's Spell Book and Injure all of your opponent's MAMODO cards when you win the Battle as an Attacker. During the Battle, neither player can put MAMODO cards in play.")</f>
        <v>Damage your opponent's Spell Book and Injure all of your opponent's MAMODO cards when you win the Battle as an Attacker. During the Battle, neither player can put MAMODO cards in play.</v>
      </c>
      <c r="J1495" s="42" t="str">
        <f>IFERROR(__xludf.DUMMYFUNCTION("""COMPUTED_VALUE"""),"+6000")</f>
        <v>+6000</v>
      </c>
      <c r="K1495" s="42">
        <f>IFERROR(__xludf.DUMMYFUNCTION("""COMPUTED_VALUE"""),3.0)</f>
        <v>3</v>
      </c>
      <c r="L1495" s="42" t="str">
        <f>IFERROR(__xludf.DUMMYFUNCTION("""COMPUTED_VALUE"""),"-")</f>
        <v>-</v>
      </c>
      <c r="M1495" s="42" t="str">
        <f>IFERROR(__xludf.DUMMYFUNCTION("""COMPUTED_VALUE"""),"[U]")</f>
        <v>[U]</v>
      </c>
      <c r="N1495" s="42" t="str">
        <f>IFERROR(__xludf.DUMMYFUNCTION("""COMPUTED_VALUE"""),"Brago's 5th spell. When it collided with Zatch's Bao Zakeruga, a tremendous power was unleashed.")</f>
        <v>Brago's 5th spell. When it collided with Zatch's Bao Zakeruga, a tremendous power was unleashed.</v>
      </c>
      <c r="O1495" s="42"/>
      <c r="P1495" s="42"/>
      <c r="Q1495" s="42"/>
      <c r="R1495" s="42"/>
      <c r="S1495" s="42"/>
      <c r="T1495" s="42"/>
      <c r="U1495" s="42"/>
      <c r="V1495" s="42"/>
      <c r="W1495" s="42"/>
      <c r="X1495" s="42"/>
      <c r="Y1495" s="42"/>
      <c r="Z1495" s="42"/>
    </row>
    <row r="1496">
      <c r="A1496" s="41" t="str">
        <f>IFERROR(__xludf.DUMMYFUNCTION("""COMPUTED_VALUE"""),"S-366")</f>
        <v>S-366</v>
      </c>
      <c r="B1496" s="42" t="str">
        <f>IFERROR(__xludf.DUMMYFUNCTION("""COMPUTED_VALUE"""),"Spell")</f>
        <v>Spell</v>
      </c>
      <c r="C1496" s="42" t="str">
        <f>IFERROR(__xludf.DUMMYFUNCTION("""COMPUTED_VALUE"""),"Baber Gravidon")</f>
        <v>Baber Gravidon</v>
      </c>
      <c r="D1496" s="42" t="str">
        <f>IFERROR(__xludf.DUMMYFUNCTION("""COMPUTED_VALUE"""),"Brago")</f>
        <v>Brago</v>
      </c>
      <c r="E1496" s="42">
        <f>IFERROR(__xludf.DUMMYFUNCTION("""COMPUTED_VALUE"""),1.0)</f>
        <v>1</v>
      </c>
      <c r="F1496" s="42" t="str">
        <f>IFERROR(__xludf.DUMMYFUNCTION("""COMPUTED_VALUE"""),"AD")</f>
        <v>AD</v>
      </c>
      <c r="G1496" s="42" t="str">
        <f>IFERROR(__xludf.DUMMYFUNCTION("""COMPUTED_VALUE"""),"Superior")</f>
        <v>Superior</v>
      </c>
      <c r="H1496" s="42" t="str">
        <f>IFERROR(__xludf.DUMMYFUNCTION("""COMPUTED_VALUE"""),"Down Force")</f>
        <v>Down Force</v>
      </c>
      <c r="I1496" s="43" t="str">
        <f>IFERROR(__xludf.DUMMYFUNCTION("""COMPUTED_VALUE"""),"Damage your opponent's Spell Book 4 times when you win the Battle as an Attacker.")</f>
        <v>Damage your opponent's Spell Book 4 times when you win the Battle as an Attacker.</v>
      </c>
      <c r="J1496" s="42" t="str">
        <f>IFERROR(__xludf.DUMMYFUNCTION("""COMPUTED_VALUE"""),"+7000")</f>
        <v>+7000</v>
      </c>
      <c r="K1496" s="42">
        <f>IFERROR(__xludf.DUMMYFUNCTION("""COMPUTED_VALUE"""),2.0)</f>
        <v>2</v>
      </c>
      <c r="L1496" s="42" t="str">
        <f>IFERROR(__xludf.DUMMYFUNCTION("""COMPUTED_VALUE"""),"-")</f>
        <v>-</v>
      </c>
      <c r="M1496" s="42" t="str">
        <f>IFERROR(__xludf.DUMMYFUNCTION("""COMPUTED_VALUE"""),"[SR]")</f>
        <v>[SR]</v>
      </c>
      <c r="N1496" s="42" t="str">
        <f>IFERROR(__xludf.DUMMYFUNCTION("""COMPUTED_VALUE"""),"Brago's 8th spell. A dark cascade of gravity consumes and crushes everything in its path.")</f>
        <v>Brago's 8th spell. A dark cascade of gravity consumes and crushes everything in its path.</v>
      </c>
      <c r="O1496" s="42"/>
      <c r="P1496" s="42"/>
      <c r="Q1496" s="42"/>
      <c r="R1496" s="42"/>
      <c r="S1496" s="42"/>
      <c r="T1496" s="42"/>
      <c r="U1496" s="42"/>
      <c r="V1496" s="42"/>
      <c r="W1496" s="42"/>
      <c r="X1496" s="42"/>
      <c r="Y1496" s="42"/>
      <c r="Z1496" s="42"/>
    </row>
    <row r="1497">
      <c r="A1497" s="41" t="str">
        <f>IFERROR(__xludf.DUMMYFUNCTION("""COMPUTED_VALUE"""),"S-367")</f>
        <v>S-367</v>
      </c>
      <c r="B1497" s="42" t="str">
        <f>IFERROR(__xludf.DUMMYFUNCTION("""COMPUTED_VALUE"""),"Spell")</f>
        <v>Spell</v>
      </c>
      <c r="C1497" s="42" t="str">
        <f>IFERROR(__xludf.DUMMYFUNCTION("""COMPUTED_VALUE"""),"Shudoruk")</f>
        <v>Shudoruk</v>
      </c>
      <c r="D1497" s="42" t="str">
        <f>IFERROR(__xludf.DUMMYFUNCTION("""COMPUTED_VALUE"""),"Ponygon")</f>
        <v>Ponygon</v>
      </c>
      <c r="E1497" s="42">
        <f>IFERROR(__xludf.DUMMYFUNCTION("""COMPUTED_VALUE"""),3.0)</f>
        <v>3</v>
      </c>
      <c r="F1497" s="42" t="str">
        <f>IFERROR(__xludf.DUMMYFUNCTION("""COMPUTED_VALUE"""),"A")</f>
        <v>A</v>
      </c>
      <c r="G1497" s="42" t="str">
        <f>IFERROR(__xludf.DUMMYFUNCTION("""COMPUTED_VALUE"""),"None")</f>
        <v>None</v>
      </c>
      <c r="H1497" s="42" t="str">
        <f>IFERROR(__xludf.DUMMYFUNCTION("""COMPUTED_VALUE"""),"-")</f>
        <v>-</v>
      </c>
      <c r="I1497" s="43" t="str">
        <f>IFERROR(__xludf.DUMMYFUNCTION("""COMPUTED_VALUE"""),"Injure 1 of your opponent's MAMODO cards when you win the Battle as an Attacker. When you declare the play of this SPELL card, select 1 Ponygon (Shudoruk Form) MAMODO card from any page of your Spell Book and place it on a Ponygon MAMODO card.")</f>
        <v>Injure 1 of your opponent's MAMODO cards when you win the Battle as an Attacker. When you declare the play of this SPELL card, select 1 Ponygon (Shudoruk Form) MAMODO card from any page of your Spell Book and place it on a Ponygon MAMODO card.</v>
      </c>
      <c r="J1497" s="42" t="str">
        <f>IFERROR(__xludf.DUMMYFUNCTION("""COMPUTED_VALUE"""),"+2000")</f>
        <v>+2000</v>
      </c>
      <c r="K1497" s="42" t="str">
        <f>IFERROR(__xludf.DUMMYFUNCTION("""COMPUTED_VALUE"""),"-")</f>
        <v>-</v>
      </c>
      <c r="L1497" s="42" t="str">
        <f>IFERROR(__xludf.DUMMYFUNCTION("""COMPUTED_VALUE"""),"-")</f>
        <v>-</v>
      </c>
      <c r="M1497" s="42" t="str">
        <f>IFERROR(__xludf.DUMMYFUNCTION("""COMPUTED_VALUE"""),"[C]")</f>
        <v>[C]</v>
      </c>
      <c r="N1497" s="42" t="str">
        <f>IFERROR(__xludf.DUMMYFUNCTION("""COMPUTED_VALUE"""),"Ponygon's 1st spell. With his body protected by a sturdy armor, he charges toward the enemy mamodo.")</f>
        <v>Ponygon's 1st spell. With his body protected by a sturdy armor, he charges toward the enemy mamodo.</v>
      </c>
      <c r="O1497" s="42"/>
      <c r="P1497" s="42"/>
      <c r="Q1497" s="42"/>
      <c r="R1497" s="42"/>
      <c r="S1497" s="42"/>
      <c r="T1497" s="42"/>
      <c r="U1497" s="42"/>
      <c r="V1497" s="42"/>
      <c r="W1497" s="42"/>
      <c r="X1497" s="42"/>
      <c r="Y1497" s="42"/>
      <c r="Z1497" s="42"/>
    </row>
    <row r="1498">
      <c r="A1498" s="41" t="str">
        <f>IFERROR(__xludf.DUMMYFUNCTION("""COMPUTED_VALUE"""),"S-368")</f>
        <v>S-368</v>
      </c>
      <c r="B1498" s="42" t="str">
        <f>IFERROR(__xludf.DUMMYFUNCTION("""COMPUTED_VALUE"""),"Spell")</f>
        <v>Spell</v>
      </c>
      <c r="C1498" s="42" t="str">
        <f>IFERROR(__xludf.DUMMYFUNCTION("""COMPUTED_VALUE"""),"Go Shudoruk")</f>
        <v>Go Shudoruk</v>
      </c>
      <c r="D1498" s="42" t="str">
        <f>IFERROR(__xludf.DUMMYFUNCTION("""COMPUTED_VALUE"""),"Ponygon")</f>
        <v>Ponygon</v>
      </c>
      <c r="E1498" s="42">
        <f>IFERROR(__xludf.DUMMYFUNCTION("""COMPUTED_VALUE"""),3.0)</f>
        <v>3</v>
      </c>
      <c r="F1498" s="42" t="str">
        <f>IFERROR(__xludf.DUMMYFUNCTION("""COMPUTED_VALUE"""),"A")</f>
        <v>A</v>
      </c>
      <c r="G1498" s="42" t="str">
        <f>IFERROR(__xludf.DUMMYFUNCTION("""COMPUTED_VALUE"""),"None")</f>
        <v>None</v>
      </c>
      <c r="H1498" s="42" t="str">
        <f>IFERROR(__xludf.DUMMYFUNCTION("""COMPUTED_VALUE"""),"-")</f>
        <v>-</v>
      </c>
      <c r="I1498" s="43" t="str">
        <f>IFERROR(__xludf.DUMMYFUNCTION("""COMPUTED_VALUE"""),"Injure 1 of your opponent's MAMODO cards when you win the Battle as an Attacker. When you declare the play of this SPELL card, select 1 Ponygon (Go Shudoruk Form) MAMODO card from any page of your Spell Book and place it on a Ponygon MAMODO card.")</f>
        <v>Injure 1 of your opponent's MAMODO cards when you win the Battle as an Attacker. When you declare the play of this SPELL card, select 1 Ponygon (Go Shudoruk Form) MAMODO card from any page of your Spell Book and place it on a Ponygon MAMODO card.</v>
      </c>
      <c r="J1498" s="42" t="str">
        <f>IFERROR(__xludf.DUMMYFUNCTION("""COMPUTED_VALUE"""),"+3000")</f>
        <v>+3000</v>
      </c>
      <c r="K1498" s="42" t="str">
        <f>IFERROR(__xludf.DUMMYFUNCTION("""COMPUTED_VALUE"""),"-")</f>
        <v>-</v>
      </c>
      <c r="L1498" s="42" t="str">
        <f>IFERROR(__xludf.DUMMYFUNCTION("""COMPUTED_VALUE"""),"-")</f>
        <v>-</v>
      </c>
      <c r="M1498" s="42" t="str">
        <f>IFERROR(__xludf.DUMMYFUNCTION("""COMPUTED_VALUE"""),"[C]")</f>
        <v>[C]</v>
      </c>
      <c r="N1498" s="42" t="str">
        <f>IFERROR(__xludf.DUMMYFUNCTION("""COMPUTED_VALUE"""),"Ponygon's 2nd spell. Opponents are struck by his sharp horn.")</f>
        <v>Ponygon's 2nd spell. Opponents are struck by his sharp horn.</v>
      </c>
      <c r="O1498" s="42"/>
      <c r="P1498" s="42"/>
      <c r="Q1498" s="42"/>
      <c r="R1498" s="42"/>
      <c r="S1498" s="42"/>
      <c r="T1498" s="42"/>
      <c r="U1498" s="42"/>
      <c r="V1498" s="42"/>
      <c r="W1498" s="42"/>
      <c r="X1498" s="42"/>
      <c r="Y1498" s="42"/>
      <c r="Z1498" s="42"/>
    </row>
    <row r="1499">
      <c r="A1499" s="41" t="str">
        <f>IFERROR(__xludf.DUMMYFUNCTION("""COMPUTED_VALUE"""),"S-369")</f>
        <v>S-369</v>
      </c>
      <c r="B1499" s="42" t="str">
        <f>IFERROR(__xludf.DUMMYFUNCTION("""COMPUTED_VALUE"""),"Spell")</f>
        <v>Spell</v>
      </c>
      <c r="C1499" s="42" t="str">
        <f>IFERROR(__xludf.DUMMYFUNCTION("""COMPUTED_VALUE"""),"Dioemur Shudoruk")</f>
        <v>Dioemur Shudoruk</v>
      </c>
      <c r="D1499" s="42" t="str">
        <f>IFERROR(__xludf.DUMMYFUNCTION("""COMPUTED_VALUE"""),"Ponygon")</f>
        <v>Ponygon</v>
      </c>
      <c r="E1499" s="42">
        <f>IFERROR(__xludf.DUMMYFUNCTION("""COMPUTED_VALUE"""),3.0)</f>
        <v>3</v>
      </c>
      <c r="F1499" s="42" t="str">
        <f>IFERROR(__xludf.DUMMYFUNCTION("""COMPUTED_VALUE"""),"A")</f>
        <v>A</v>
      </c>
      <c r="G1499" s="42" t="str">
        <f>IFERROR(__xludf.DUMMYFUNCTION("""COMPUTED_VALUE"""),"Intermediate")</f>
        <v>Intermediate</v>
      </c>
      <c r="H1499" s="42" t="str">
        <f>IFERROR(__xludf.DUMMYFUNCTION("""COMPUTED_VALUE"""),"-")</f>
        <v>-</v>
      </c>
      <c r="I1499" s="43" t="str">
        <f>IFERROR(__xludf.DUMMYFUNCTION("""COMPUTED_VALUE"""),"Select 1 Ponygon (Dioemur Shudoruk Form) MAMODO card from any page of your Spell Book and place it on a Ponygon MAMODO card.")</f>
        <v>Select 1 Ponygon (Dioemur Shudoruk Form) MAMODO card from any page of your Spell Book and place it on a Ponygon MAMODO card.</v>
      </c>
      <c r="J1499" s="42" t="str">
        <f>IFERROR(__xludf.DUMMYFUNCTION("""COMPUTED_VALUE"""),"Special")</f>
        <v>Special</v>
      </c>
      <c r="K1499" s="42" t="str">
        <f>IFERROR(__xludf.DUMMYFUNCTION("""COMPUTED_VALUE"""),"-")</f>
        <v>-</v>
      </c>
      <c r="L1499" s="42" t="str">
        <f>IFERROR(__xludf.DUMMYFUNCTION("""COMPUTED_VALUE"""),"-")</f>
        <v>-</v>
      </c>
      <c r="M1499" s="42" t="str">
        <f>IFERROR(__xludf.DUMMYFUNCTION("""COMPUTED_VALUE"""),"[R]")</f>
        <v>[R]</v>
      </c>
      <c r="N1499" s="42" t="str">
        <f>IFERROR(__xludf.DUMMYFUNCTION("""COMPUTED_VALUE"""),"Ponygon's 3rd spell. ""The flames are so powerful that they can't be controlled!?""")</f>
        <v>Ponygon's 3rd spell. "The flames are so powerful that they can't be controlled!?"</v>
      </c>
      <c r="O1499" s="42"/>
      <c r="P1499" s="42"/>
      <c r="Q1499" s="42"/>
      <c r="R1499" s="42"/>
      <c r="S1499" s="42"/>
      <c r="T1499" s="42"/>
      <c r="U1499" s="42"/>
      <c r="V1499" s="42"/>
      <c r="W1499" s="42"/>
      <c r="X1499" s="42"/>
      <c r="Y1499" s="42"/>
      <c r="Z1499" s="42"/>
    </row>
    <row r="1500">
      <c r="A1500" s="41" t="str">
        <f>IFERROR(__xludf.DUMMYFUNCTION("""COMPUTED_VALUE"""),"S-370")</f>
        <v>S-370</v>
      </c>
      <c r="B1500" s="42" t="str">
        <f>IFERROR(__xludf.DUMMYFUNCTION("""COMPUTED_VALUE"""),"Spell")</f>
        <v>Spell</v>
      </c>
      <c r="C1500" s="42" t="str">
        <f>IFERROR(__xludf.DUMMYFUNCTION("""COMPUTED_VALUE"""),"Flaming Image")</f>
        <v>Flaming Image</v>
      </c>
      <c r="D1500" s="42" t="str">
        <f>IFERROR(__xludf.DUMMYFUNCTION("""COMPUTED_VALUE"""),"Ponygon")</f>
        <v>Ponygon</v>
      </c>
      <c r="E1500" s="42">
        <f>IFERROR(__xludf.DUMMYFUNCTION("""COMPUTED_VALUE"""),1.0)</f>
        <v>1</v>
      </c>
      <c r="F1500" s="42" t="str">
        <f>IFERROR(__xludf.DUMMYFUNCTION("""COMPUTED_VALUE"""),"A")</f>
        <v>A</v>
      </c>
      <c r="G1500" s="42" t="str">
        <f>IFERROR(__xludf.DUMMYFUNCTION("""COMPUTED_VALUE"""),"Intermediate")</f>
        <v>Intermediate</v>
      </c>
      <c r="H1500" s="42" t="str">
        <f>IFERROR(__xludf.DUMMYFUNCTION("""COMPUTED_VALUE"""),"Fire")</f>
        <v>Fire</v>
      </c>
      <c r="I1500" s="43" t="str">
        <f>IFERROR(__xludf.DUMMYFUNCTION("""COMPUTED_VALUE"""),"When this SPELL card fails to inflict Damage or Injury (such as losing the Battle as an Attacker or being negated by a card effect), this SPELL card can be played once more during this turn with its MP cost considered to be 0. Damage your opponent's Spell"&amp;" Book when you win the Battle as an Attacker.")</f>
        <v>When this SPELL card fails to inflict Damage or Injury (such as losing the Battle as an Attacker or being negated by a card effect), this SPELL card can be played once more during this turn with its MP cost considered to be 0. Damage your opponent's Spell Book when you win the Battle as an Attacker.</v>
      </c>
      <c r="J1500" s="42" t="str">
        <f>IFERROR(__xludf.DUMMYFUNCTION("""COMPUTED_VALUE"""),"+4000")</f>
        <v>+4000</v>
      </c>
      <c r="K1500" s="42" t="str">
        <f>IFERROR(__xludf.DUMMYFUNCTION("""COMPUTED_VALUE"""),"-")</f>
        <v>-</v>
      </c>
      <c r="L1500" s="42" t="str">
        <f>IFERROR(__xludf.DUMMYFUNCTION("""COMPUTED_VALUE"""),"-")</f>
        <v>-</v>
      </c>
      <c r="M1500" s="42" t="str">
        <f>IFERROR(__xludf.DUMMYFUNCTION("""COMPUTED_VALUE"""),"[R]")</f>
        <v>[R]</v>
      </c>
      <c r="N1500" s="42" t="str">
        <f>IFERROR(__xludf.DUMMYFUNCTION("""COMPUTED_VALUE"""),"Command:Ponygon (Dioemur Shudoruk Form)")</f>
        <v>Command:Ponygon (Dioemur Shudoruk Form)</v>
      </c>
      <c r="O1500" s="42"/>
      <c r="P1500" s="42"/>
      <c r="Q1500" s="42"/>
      <c r="R1500" s="42"/>
      <c r="S1500" s="42"/>
      <c r="T1500" s="42"/>
      <c r="U1500" s="42"/>
      <c r="V1500" s="42"/>
      <c r="W1500" s="42"/>
      <c r="X1500" s="42"/>
      <c r="Y1500" s="42"/>
      <c r="Z1500" s="42"/>
    </row>
    <row r="1501">
      <c r="A1501" s="41" t="str">
        <f>IFERROR(__xludf.DUMMYFUNCTION("""COMPUTED_VALUE"""),"S-371")</f>
        <v>S-371</v>
      </c>
      <c r="B1501" s="42" t="str">
        <f>IFERROR(__xludf.DUMMYFUNCTION("""COMPUTED_VALUE"""),"Spell")</f>
        <v>Spell</v>
      </c>
      <c r="C1501" s="42" t="str">
        <f>IFERROR(__xludf.DUMMYFUNCTION("""COMPUTED_VALUE"""),"Flaming Shield")</f>
        <v>Flaming Shield</v>
      </c>
      <c r="D1501" s="42" t="str">
        <f>IFERROR(__xludf.DUMMYFUNCTION("""COMPUTED_VALUE"""),"Ponygon")</f>
        <v>Ponygon</v>
      </c>
      <c r="E1501" s="42">
        <f>IFERROR(__xludf.DUMMYFUNCTION("""COMPUTED_VALUE"""),1.0)</f>
        <v>1</v>
      </c>
      <c r="F1501" s="42" t="str">
        <f>IFERROR(__xludf.DUMMYFUNCTION("""COMPUTED_VALUE"""),"D")</f>
        <v>D</v>
      </c>
      <c r="G1501" s="42" t="str">
        <f>IFERROR(__xludf.DUMMYFUNCTION("""COMPUTED_VALUE"""),"Intermediate")</f>
        <v>Intermediate</v>
      </c>
      <c r="H1501" s="42" t="str">
        <f>IFERROR(__xludf.DUMMYFUNCTION("""COMPUTED_VALUE"""),"Fire")</f>
        <v>Fire</v>
      </c>
      <c r="I1501" s="43" t="str">
        <f>IFERROR(__xludf.DUMMYFUNCTION("""COMPUTED_VALUE"""),"[COUNTER] Negate your opponent's Attack when you win the Battle as a Defender. In addition, your opponent cannot Attack again during this turn ([STAY]).")</f>
        <v>[COUNTER] Negate your opponent's Attack when you win the Battle as a Defender. In addition, your opponent cannot Attack again during this turn ([STAY]).</v>
      </c>
      <c r="J1501" s="42" t="str">
        <f>IFERROR(__xludf.DUMMYFUNCTION("""COMPUTED_VALUE"""),"+8000")</f>
        <v>+8000</v>
      </c>
      <c r="K1501" s="42" t="str">
        <f>IFERROR(__xludf.DUMMYFUNCTION("""COMPUTED_VALUE"""),"-")</f>
        <v>-</v>
      </c>
      <c r="L1501" s="42" t="str">
        <f>IFERROR(__xludf.DUMMYFUNCTION("""COMPUTED_VALUE"""),"-")</f>
        <v>-</v>
      </c>
      <c r="M1501" s="42" t="str">
        <f>IFERROR(__xludf.DUMMYFUNCTION("""COMPUTED_VALUE"""),"[R]")</f>
        <v>[R]</v>
      </c>
      <c r="N1501" s="42" t="str">
        <f>IFERROR(__xludf.DUMMYFUNCTION("""COMPUTED_VALUE"""),"Command:Ponygon (Dioemur Shudoruk Form)")</f>
        <v>Command:Ponygon (Dioemur Shudoruk Form)</v>
      </c>
      <c r="O1501" s="42"/>
      <c r="P1501" s="42"/>
      <c r="Q1501" s="42"/>
      <c r="R1501" s="42"/>
      <c r="S1501" s="42"/>
      <c r="T1501" s="42"/>
      <c r="U1501" s="42"/>
      <c r="V1501" s="42"/>
      <c r="W1501" s="42"/>
      <c r="X1501" s="42"/>
      <c r="Y1501" s="42"/>
      <c r="Z1501" s="42"/>
    </row>
    <row r="1502">
      <c r="A1502" s="41" t="str">
        <f>IFERROR(__xludf.DUMMYFUNCTION("""COMPUTED_VALUE"""),"S-372")</f>
        <v>S-372</v>
      </c>
      <c r="B1502" s="42" t="str">
        <f>IFERROR(__xludf.DUMMYFUNCTION("""COMPUTED_VALUE"""),"Spell")</f>
        <v>Spell</v>
      </c>
      <c r="C1502" s="42" t="str">
        <f>IFERROR(__xludf.DUMMYFUNCTION("""COMPUTED_VALUE"""),"Roboruga")</f>
        <v>Roboruga</v>
      </c>
      <c r="D1502" s="42" t="str">
        <f>IFERROR(__xludf.DUMMYFUNCTION("""COMPUTED_VALUE"""),"Koral Q")</f>
        <v>Koral Q</v>
      </c>
      <c r="E1502" s="42">
        <f>IFERROR(__xludf.DUMMYFUNCTION("""COMPUTED_VALUE"""),1.0)</f>
        <v>1</v>
      </c>
      <c r="F1502" s="42" t="str">
        <f>IFERROR(__xludf.DUMMYFUNCTION("""COMPUTED_VALUE"""),"A")</f>
        <v>A</v>
      </c>
      <c r="G1502" s="42" t="str">
        <f>IFERROR(__xludf.DUMMYFUNCTION("""COMPUTED_VALUE"""),"None")</f>
        <v>None</v>
      </c>
      <c r="H1502" s="42" t="str">
        <f>IFERROR(__xludf.DUMMYFUNCTION("""COMPUTED_VALUE"""),"-")</f>
        <v>-</v>
      </c>
      <c r="I1502" s="43" t="str">
        <f>IFERROR(__xludf.DUMMYFUNCTION("""COMPUTED_VALUE"""),"Damage your opponent's Spell Book when you win the Battle as an Attacker. When you declare the play of this SPELL card, move all cards placed on your regular Koral Q MAMODO card into empty pages of your Spell Book.")</f>
        <v>Damage your opponent's Spell Book when you win the Battle as an Attacker. When you declare the play of this SPELL card, move all cards placed on your regular Koral Q MAMODO card into empty pages of your Spell Book.</v>
      </c>
      <c r="J1502" s="42" t="str">
        <f>IFERROR(__xludf.DUMMYFUNCTION("""COMPUTED_VALUE"""),"+3000")</f>
        <v>+3000</v>
      </c>
      <c r="K1502" s="42">
        <f>IFERROR(__xludf.DUMMYFUNCTION("""COMPUTED_VALUE"""),2.0)</f>
        <v>2</v>
      </c>
      <c r="L1502" s="42" t="str">
        <f>IFERROR(__xludf.DUMMYFUNCTION("""COMPUTED_VALUE"""),"-")</f>
        <v>-</v>
      </c>
      <c r="M1502" s="42" t="str">
        <f>IFERROR(__xludf.DUMMYFUNCTION("""COMPUTED_VALUE"""),"[C]")</f>
        <v>[C]</v>
      </c>
      <c r="N1502" s="42" t="str">
        <f>IFERROR(__xludf.DUMMYFUNCTION("""COMPUTED_VALUE"""),"Koral Q's 1st spell. After luring them into a trap, he cut off Zatch and Kiyo's only means of escape.")</f>
        <v>Koral Q's 1st spell. After luring them into a trap, he cut off Zatch and Kiyo's only means of escape.</v>
      </c>
      <c r="O1502" s="42"/>
      <c r="P1502" s="42"/>
      <c r="Q1502" s="42"/>
      <c r="R1502" s="42"/>
      <c r="S1502" s="42"/>
      <c r="T1502" s="42"/>
      <c r="U1502" s="42"/>
      <c r="V1502" s="42"/>
      <c r="W1502" s="42"/>
      <c r="X1502" s="42"/>
      <c r="Y1502" s="42"/>
      <c r="Z1502" s="42"/>
    </row>
    <row r="1503">
      <c r="A1503" s="41" t="str">
        <f>IFERROR(__xludf.DUMMYFUNCTION("""COMPUTED_VALUE"""),"S-373")</f>
        <v>S-373</v>
      </c>
      <c r="B1503" s="42" t="str">
        <f>IFERROR(__xludf.DUMMYFUNCTION("""COMPUTED_VALUE"""),"Spell")</f>
        <v>Spell</v>
      </c>
      <c r="C1503" s="42" t="str">
        <f>IFERROR(__xludf.DUMMYFUNCTION("""COMPUTED_VALUE"""),"Murom Roboruk")</f>
        <v>Murom Roboruk</v>
      </c>
      <c r="D1503" s="42" t="str">
        <f>IFERROR(__xludf.DUMMYFUNCTION("""COMPUTED_VALUE"""),"Koral Q")</f>
        <v>Koral Q</v>
      </c>
      <c r="E1503" s="42">
        <f>IFERROR(__xludf.DUMMYFUNCTION("""COMPUTED_VALUE"""),1.0)</f>
        <v>1</v>
      </c>
      <c r="F1503" s="42" t="str">
        <f>IFERROR(__xludf.DUMMYFUNCTION("""COMPUTED_VALUE"""),"AD")</f>
        <v>AD</v>
      </c>
      <c r="G1503" s="42" t="str">
        <f>IFERROR(__xludf.DUMMYFUNCTION("""COMPUTED_VALUE"""),"None")</f>
        <v>None</v>
      </c>
      <c r="H1503" s="42" t="str">
        <f>IFERROR(__xludf.DUMMYFUNCTION("""COMPUTED_VALUE"""),"-")</f>
        <v>-</v>
      </c>
      <c r="I1503" s="43" t="str">
        <f>IFERROR(__xludf.DUMMYFUNCTION("""COMPUTED_VALUE"""),"Apply both of the following effects in order: ● Move all cards placed on your regular Koral Q MAMODO card into empty pages of your Spell Book. ● Select 1 Koral Q (Murom Roboruk Form) MAMODO from any page of your Spell Book and place it on a regular Koral "&amp;"Q MAMODO.")</f>
        <v>Apply both of the following effects in order: ● Move all cards placed on your regular Koral Q MAMODO card into empty pages of your Spell Book. ● Select 1 Koral Q (Murom Roboruk Form) MAMODO from any page of your Spell Book and place it on a regular Koral Q MAMODO.</v>
      </c>
      <c r="J1503" s="42" t="str">
        <f>IFERROR(__xludf.DUMMYFUNCTION("""COMPUTED_VALUE"""),"Special")</f>
        <v>Special</v>
      </c>
      <c r="K1503" s="42" t="str">
        <f>IFERROR(__xludf.DUMMYFUNCTION("""COMPUTED_VALUE"""),"-")</f>
        <v>-</v>
      </c>
      <c r="L1503" s="42" t="str">
        <f>IFERROR(__xludf.DUMMYFUNCTION("""COMPUTED_VALUE"""),"-")</f>
        <v>-</v>
      </c>
      <c r="M1503" s="42" t="str">
        <f>IFERROR(__xludf.DUMMYFUNCTION("""COMPUTED_VALUE"""),"[C]")</f>
        <v>[C]</v>
      </c>
      <c r="N1503" s="42" t="str">
        <f>IFERROR(__xludf.DUMMYFUNCTION("""COMPUTED_VALUE"""),"Koral Q's 5th spell. ""Don't be stupid! You can't avoid Jikerdor with a crazy transformation like that...""")</f>
        <v>Koral Q's 5th spell. "Don't be stupid! You can't avoid Jikerdor with a crazy transformation like that..."</v>
      </c>
      <c r="O1503" s="42"/>
      <c r="P1503" s="42"/>
      <c r="Q1503" s="42"/>
      <c r="R1503" s="42"/>
      <c r="S1503" s="42"/>
      <c r="T1503" s="42"/>
      <c r="U1503" s="42"/>
      <c r="V1503" s="42"/>
      <c r="W1503" s="42"/>
      <c r="X1503" s="42"/>
      <c r="Y1503" s="42"/>
      <c r="Z1503" s="42"/>
    </row>
    <row r="1504">
      <c r="A1504" s="41" t="str">
        <f>IFERROR(__xludf.DUMMYFUNCTION("""COMPUTED_VALUE"""),"S-374")</f>
        <v>S-374</v>
      </c>
      <c r="B1504" s="42" t="str">
        <f>IFERROR(__xludf.DUMMYFUNCTION("""COMPUTED_VALUE"""),"Spell")</f>
        <v>Spell</v>
      </c>
      <c r="C1504" s="42" t="str">
        <f>IFERROR(__xludf.DUMMYFUNCTION("""COMPUTED_VALUE"""),"Digo Roboruk")</f>
        <v>Digo Roboruk</v>
      </c>
      <c r="D1504" s="42" t="str">
        <f>IFERROR(__xludf.DUMMYFUNCTION("""COMPUTED_VALUE"""),"Koral Q")</f>
        <v>Koral Q</v>
      </c>
      <c r="E1504" s="42">
        <f>IFERROR(__xludf.DUMMYFUNCTION("""COMPUTED_VALUE"""),1.0)</f>
        <v>1</v>
      </c>
      <c r="F1504" s="42" t="str">
        <f>IFERROR(__xludf.DUMMYFUNCTION("""COMPUTED_VALUE"""),"AD")</f>
        <v>AD</v>
      </c>
      <c r="G1504" s="42" t="str">
        <f>IFERROR(__xludf.DUMMYFUNCTION("""COMPUTED_VALUE"""),"None")</f>
        <v>None</v>
      </c>
      <c r="H1504" s="42" t="str">
        <f>IFERROR(__xludf.DUMMYFUNCTION("""COMPUTED_VALUE"""),"-")</f>
        <v>-</v>
      </c>
      <c r="I1504" s="43" t="str">
        <f>IFERROR(__xludf.DUMMYFUNCTION("""COMPUTED_VALUE"""),"Apply both of the following effects in order: ● Move all cards placed on your regular Koral Q MAMODO card into empty pages of your Spell Book. ● Select 1 Koral Q (Digo Roboruk Form) MAMODO card from any page of your Spell Book and place it on a Koral Q MA"&amp;"MODO card.")</f>
        <v>Apply both of the following effects in order: ● Move all cards placed on your regular Koral Q MAMODO card into empty pages of your Spell Book. ● Select 1 Koral Q (Digo Roboruk Form) MAMODO card from any page of your Spell Book and place it on a Koral Q MAMODO card.</v>
      </c>
      <c r="J1504" s="42" t="str">
        <f>IFERROR(__xludf.DUMMYFUNCTION("""COMPUTED_VALUE"""),"Special")</f>
        <v>Special</v>
      </c>
      <c r="K1504" s="42" t="str">
        <f>IFERROR(__xludf.DUMMYFUNCTION("""COMPUTED_VALUE"""),"-")</f>
        <v>-</v>
      </c>
      <c r="L1504" s="42" t="str">
        <f>IFERROR(__xludf.DUMMYFUNCTION("""COMPUTED_VALUE"""),"-")</f>
        <v>-</v>
      </c>
      <c r="M1504" s="42" t="str">
        <f>IFERROR(__xludf.DUMMYFUNCTION("""COMPUTED_VALUE"""),"[C]")</f>
        <v>[C]</v>
      </c>
      <c r="N1504" s="42" t="str">
        <f>IFERROR(__xludf.DUMMYFUNCTION("""COMPUTED_VALUE"""),"Koral Q's 6th spell. The design of this transformation leaves much to be desired, but as for its speed...")</f>
        <v>Koral Q's 6th spell. The design of this transformation leaves much to be desired, but as for its speed...</v>
      </c>
      <c r="O1504" s="42"/>
      <c r="P1504" s="42"/>
      <c r="Q1504" s="42"/>
      <c r="R1504" s="42"/>
      <c r="S1504" s="42"/>
      <c r="T1504" s="42"/>
      <c r="U1504" s="42"/>
      <c r="V1504" s="42"/>
      <c r="W1504" s="42"/>
      <c r="X1504" s="42"/>
      <c r="Y1504" s="42"/>
      <c r="Z1504" s="42"/>
    </row>
    <row r="1505">
      <c r="A1505" s="41" t="str">
        <f>IFERROR(__xludf.DUMMYFUNCTION("""COMPUTED_VALUE"""),"S-375")</f>
        <v>S-375</v>
      </c>
      <c r="B1505" s="42" t="str">
        <f>IFERROR(__xludf.DUMMYFUNCTION("""COMPUTED_VALUE"""),"Spell")</f>
        <v>Spell</v>
      </c>
      <c r="C1505" s="42" t="str">
        <f>IFERROR(__xludf.DUMMYFUNCTION("""COMPUTED_VALUE"""),"Ganjido Roboron")</f>
        <v>Ganjido Roboron</v>
      </c>
      <c r="D1505" s="42" t="str">
        <f>IFERROR(__xludf.DUMMYFUNCTION("""COMPUTED_VALUE"""),"Koral Q")</f>
        <v>Koral Q</v>
      </c>
      <c r="E1505" s="42">
        <f>IFERROR(__xludf.DUMMYFUNCTION("""COMPUTED_VALUE"""),1.0)</f>
        <v>1</v>
      </c>
      <c r="F1505" s="42" t="str">
        <f>IFERROR(__xludf.DUMMYFUNCTION("""COMPUTED_VALUE"""),"AD")</f>
        <v>AD</v>
      </c>
      <c r="G1505" s="42" t="str">
        <f>IFERROR(__xludf.DUMMYFUNCTION("""COMPUTED_VALUE"""),"None")</f>
        <v>None</v>
      </c>
      <c r="H1505" s="42" t="str">
        <f>IFERROR(__xludf.DUMMYFUNCTION("""COMPUTED_VALUE"""),"-")</f>
        <v>-</v>
      </c>
      <c r="I1505" s="43" t="str">
        <f>IFERROR(__xludf.DUMMYFUNCTION("""COMPUTED_VALUE"""),"Apply both of the following effects in order: ● Move all cards placed on your regular Koral Q MAMODO card iinto empty pages of your Spell Book. ● Select 1 Koral Q (Ganjido Roboron Form) MAMODO card from any page of your Spell Book and place it on a Koral "&amp;"Q MAMODO card.")</f>
        <v>Apply both of the following effects in order: ● Move all cards placed on your regular Koral Q MAMODO card iinto empty pages of your Spell Book. ● Select 1 Koral Q (Ganjido Roboron Form) MAMODO card from any page of your Spell Book and place it on a Koral Q MAMODO card.</v>
      </c>
      <c r="J1505" s="42" t="str">
        <f>IFERROR(__xludf.DUMMYFUNCTION("""COMPUTED_VALUE"""),"Special")</f>
        <v>Special</v>
      </c>
      <c r="K1505" s="42" t="str">
        <f>IFERROR(__xludf.DUMMYFUNCTION("""COMPUTED_VALUE"""),"-")</f>
        <v>-</v>
      </c>
      <c r="L1505" s="42" t="str">
        <f>IFERROR(__xludf.DUMMYFUNCTION("""COMPUTED_VALUE"""),"-")</f>
        <v>-</v>
      </c>
      <c r="M1505" s="42" t="str">
        <f>IFERROR(__xludf.DUMMYFUNCTION("""COMPUTED_VALUE"""),"[U]")</f>
        <v>[U]</v>
      </c>
      <c r="N1505" s="42" t="str">
        <f>IFERROR(__xludf.DUMMYFUNCTION("""COMPUTED_VALUE"""),"Koral Q's 8th spell. Massive, floating shields surround him on all sides... repelling any and all attacks that the enemy sends his way.")</f>
        <v>Koral Q's 8th spell. Massive, floating shields surround him on all sides... repelling any and all attacks that the enemy sends his way.</v>
      </c>
      <c r="O1505" s="42"/>
      <c r="P1505" s="42"/>
      <c r="Q1505" s="42"/>
      <c r="R1505" s="42"/>
      <c r="S1505" s="42"/>
      <c r="T1505" s="42"/>
      <c r="U1505" s="42"/>
      <c r="V1505" s="42"/>
      <c r="W1505" s="42"/>
      <c r="X1505" s="42"/>
      <c r="Y1505" s="42"/>
      <c r="Z1505" s="42"/>
    </row>
    <row r="1506">
      <c r="A1506" s="41" t="str">
        <f>IFERROR(__xludf.DUMMYFUNCTION("""COMPUTED_VALUE"""),"S-376")</f>
        <v>S-376</v>
      </c>
      <c r="B1506" s="42" t="str">
        <f>IFERROR(__xludf.DUMMYFUNCTION("""COMPUTED_VALUE"""),"Spell")</f>
        <v>Spell</v>
      </c>
      <c r="C1506" s="42" t="str">
        <f>IFERROR(__xludf.DUMMYFUNCTION("""COMPUTED_VALUE"""),"Feint")</f>
        <v>Feint</v>
      </c>
      <c r="D1506" s="42" t="str">
        <f>IFERROR(__xludf.DUMMYFUNCTION("""COMPUTED_VALUE"""),"Ted")</f>
        <v>Ted</v>
      </c>
      <c r="E1506" s="42">
        <f>IFERROR(__xludf.DUMMYFUNCTION("""COMPUTED_VALUE"""),2.0)</f>
        <v>2</v>
      </c>
      <c r="F1506" s="42" t="str">
        <f>IFERROR(__xludf.DUMMYFUNCTION("""COMPUTED_VALUE"""),"A")</f>
        <v>A</v>
      </c>
      <c r="G1506" s="42" t="str">
        <f>IFERROR(__xludf.DUMMYFUNCTION("""COMPUTED_VALUE"""),"None")</f>
        <v>None</v>
      </c>
      <c r="H1506" s="42" t="str">
        <f>IFERROR(__xludf.DUMMYFUNCTION("""COMPUTED_VALUE"""),"-")</f>
        <v>-</v>
      </c>
      <c r="I1506" s="43" t="str">
        <f>IFERROR(__xludf.DUMMYFUNCTION("""COMPUTED_VALUE"""),"When this SPELL card fails to inflict Damage or Injury (such as losing the Battle as an Attacker or being negated by a card effect), this SPELL card can be played once more during this turn with its MP cost considered to be 0. Damage your opponent's Spell"&amp;" Book when you win the Battle as an Attacker. The Damage of this SPELL card is considered to be the same as the amount of MP counters on your Ted MAMODO card times 1.")</f>
        <v>When this SPELL card fails to inflict Damage or Injury (such as losing the Battle as an Attacker or being negated by a card effect), this SPELL card can be played once more during this turn with its MP cost considered to be 0. Damage your opponent's Spell Book when you win the Battle as an Attacker. The Damage of this SPELL card is considered to be the same as the amount of MP counters on your Ted MAMODO card times 1.</v>
      </c>
      <c r="J1506" s="42" t="str">
        <f>IFERROR(__xludf.DUMMYFUNCTION("""COMPUTED_VALUE"""),"+2000")</f>
        <v>+2000</v>
      </c>
      <c r="K1506" s="42" t="str">
        <f>IFERROR(__xludf.DUMMYFUNCTION("""COMPUTED_VALUE"""),"-")</f>
        <v>-</v>
      </c>
      <c r="L1506" s="42" t="str">
        <f>IFERROR(__xludf.DUMMYFUNCTION("""COMPUTED_VALUE"""),"-")</f>
        <v>-</v>
      </c>
      <c r="M1506" s="42" t="str">
        <f>IFERROR(__xludf.DUMMYFUNCTION("""COMPUTED_VALUE"""),"[R]")</f>
        <v>[R]</v>
      </c>
      <c r="N1506" s="42" t="str">
        <f>IFERROR(__xludf.DUMMYFUNCTION("""COMPUTED_VALUE"""),"Command:Ted")</f>
        <v>Command:Ted</v>
      </c>
      <c r="O1506" s="42"/>
      <c r="P1506" s="42"/>
      <c r="Q1506" s="42"/>
      <c r="R1506" s="42"/>
      <c r="S1506" s="42"/>
      <c r="T1506" s="42"/>
      <c r="U1506" s="42"/>
      <c r="V1506" s="42"/>
      <c r="W1506" s="42"/>
      <c r="X1506" s="42"/>
      <c r="Y1506" s="42"/>
      <c r="Z1506" s="42"/>
    </row>
    <row r="1507">
      <c r="A1507" s="41" t="str">
        <f>IFERROR(__xludf.DUMMYFUNCTION("""COMPUTED_VALUE"""),"S-377")</f>
        <v>S-377</v>
      </c>
      <c r="B1507" s="42" t="str">
        <f>IFERROR(__xludf.DUMMYFUNCTION("""COMPUTED_VALUE"""),"Spell")</f>
        <v>Spell</v>
      </c>
      <c r="C1507" s="42" t="str">
        <f>IFERROR(__xludf.DUMMYFUNCTION("""COMPUTED_VALUE"""),"Gidoruk")</f>
        <v>Gidoruk</v>
      </c>
      <c r="D1507" s="42" t="str">
        <f>IFERROR(__xludf.DUMMYFUNCTION("""COMPUTED_VALUE"""),"Karudio")</f>
        <v>Karudio</v>
      </c>
      <c r="E1507" s="42">
        <f>IFERROR(__xludf.DUMMYFUNCTION("""COMPUTED_VALUE"""),1.0)</f>
        <v>1</v>
      </c>
      <c r="F1507" s="42" t="str">
        <f>IFERROR(__xludf.DUMMYFUNCTION("""COMPUTED_VALUE"""),"A")</f>
        <v>A</v>
      </c>
      <c r="G1507" s="42" t="str">
        <f>IFERROR(__xludf.DUMMYFUNCTION("""COMPUTED_VALUE"""),"None")</f>
        <v>None</v>
      </c>
      <c r="H1507" s="42" t="str">
        <f>IFERROR(__xludf.DUMMYFUNCTION("""COMPUTED_VALUE"""),"-")</f>
        <v>-</v>
      </c>
      <c r="I1507" s="43" t="str">
        <f>IFERROR(__xludf.DUMMYFUNCTION("""COMPUTED_VALUE"""),"Select 1 Karudio (Gidoruk Form) MAMODO card from any page of your Spell Book and place it on a Karudio MAMODO card.")</f>
        <v>Select 1 Karudio (Gidoruk Form) MAMODO card from any page of your Spell Book and place it on a Karudio MAMODO card.</v>
      </c>
      <c r="J1507" s="42" t="str">
        <f>IFERROR(__xludf.DUMMYFUNCTION("""COMPUTED_VALUE"""),"Special")</f>
        <v>Special</v>
      </c>
      <c r="K1507" s="42" t="str">
        <f>IFERROR(__xludf.DUMMYFUNCTION("""COMPUTED_VALUE"""),"-")</f>
        <v>-</v>
      </c>
      <c r="L1507" s="42" t="str">
        <f>IFERROR(__xludf.DUMMYFUNCTION("""COMPUTED_VALUE"""),"-")</f>
        <v>-</v>
      </c>
      <c r="M1507" s="42" t="str">
        <f>IFERROR(__xludf.DUMMYFUNCTION("""COMPUTED_VALUE"""),"[C]")</f>
        <v>[C]</v>
      </c>
      <c r="N1507" s="42" t="str">
        <f>IFERROR(__xludf.DUMMYFUNCTION("""COMPUTED_VALUE"""),"Karudio's 1st spell. It enables him to enter his initial battle form.")</f>
        <v>Karudio's 1st spell. It enables him to enter his initial battle form.</v>
      </c>
      <c r="O1507" s="42"/>
      <c r="P1507" s="42"/>
      <c r="Q1507" s="42"/>
      <c r="R1507" s="42"/>
      <c r="S1507" s="42"/>
      <c r="T1507" s="42"/>
      <c r="U1507" s="42"/>
      <c r="V1507" s="42"/>
      <c r="W1507" s="42"/>
      <c r="X1507" s="42"/>
      <c r="Y1507" s="42"/>
      <c r="Z1507" s="42"/>
    </row>
    <row r="1508">
      <c r="A1508" s="41" t="str">
        <f>IFERROR(__xludf.DUMMYFUNCTION("""COMPUTED_VALUE"""),"S-378")</f>
        <v>S-378</v>
      </c>
      <c r="B1508" s="42" t="str">
        <f>IFERROR(__xludf.DUMMYFUNCTION("""COMPUTED_VALUE"""),"Spell")</f>
        <v>Spell</v>
      </c>
      <c r="C1508" s="42" t="str">
        <f>IFERROR(__xludf.DUMMYFUNCTION("""COMPUTED_VALUE"""),"Go Gidoruk")</f>
        <v>Go Gidoruk</v>
      </c>
      <c r="D1508" s="42" t="str">
        <f>IFERROR(__xludf.DUMMYFUNCTION("""COMPUTED_VALUE"""),"Karudio")</f>
        <v>Karudio</v>
      </c>
      <c r="E1508" s="42">
        <f>IFERROR(__xludf.DUMMYFUNCTION("""COMPUTED_VALUE"""),2.0)</f>
        <v>2</v>
      </c>
      <c r="F1508" s="42" t="str">
        <f>IFERROR(__xludf.DUMMYFUNCTION("""COMPUTED_VALUE"""),"A")</f>
        <v>A</v>
      </c>
      <c r="G1508" s="42" t="str">
        <f>IFERROR(__xludf.DUMMYFUNCTION("""COMPUTED_VALUE"""),"None")</f>
        <v>None</v>
      </c>
      <c r="H1508" s="42" t="str">
        <f>IFERROR(__xludf.DUMMYFUNCTION("""COMPUTED_VALUE"""),"-")</f>
        <v>-</v>
      </c>
      <c r="I1508" s="43" t="str">
        <f>IFERROR(__xludf.DUMMYFUNCTION("""COMPUTED_VALUE"""),"Select 1 Karudio (Go Gidoruk Form) MAMODO card from any page of your Spell Book and place it on a Karudio MAMODO card.")</f>
        <v>Select 1 Karudio (Go Gidoruk Form) MAMODO card from any page of your Spell Book and place it on a Karudio MAMODO card.</v>
      </c>
      <c r="J1508" s="42" t="str">
        <f>IFERROR(__xludf.DUMMYFUNCTION("""COMPUTED_VALUE"""),"Special")</f>
        <v>Special</v>
      </c>
      <c r="K1508" s="42" t="str">
        <f>IFERROR(__xludf.DUMMYFUNCTION("""COMPUTED_VALUE"""),"-")</f>
        <v>-</v>
      </c>
      <c r="L1508" s="42" t="str">
        <f>IFERROR(__xludf.DUMMYFUNCTION("""COMPUTED_VALUE"""),"-")</f>
        <v>-</v>
      </c>
      <c r="M1508" s="42" t="str">
        <f>IFERROR(__xludf.DUMMYFUNCTION("""COMPUTED_VALUE"""),"[R]")</f>
        <v>[R]</v>
      </c>
      <c r="N1508" s="42" t="str">
        <f>IFERROR(__xludf.DUMMYFUNCTION("""COMPUTED_VALUE"""),"Karudio's 2nd spell. This form has stronger horns and even greater destructive power than that of Gidoruk.")</f>
        <v>Karudio's 2nd spell. This form has stronger horns and even greater destructive power than that of Gidoruk.</v>
      </c>
      <c r="O1508" s="42"/>
      <c r="P1508" s="42"/>
      <c r="Q1508" s="42"/>
      <c r="R1508" s="42"/>
      <c r="S1508" s="42"/>
      <c r="T1508" s="42"/>
      <c r="U1508" s="42"/>
      <c r="V1508" s="42"/>
      <c r="W1508" s="42"/>
      <c r="X1508" s="42"/>
      <c r="Y1508" s="42"/>
      <c r="Z1508" s="42"/>
    </row>
    <row r="1509">
      <c r="A1509" s="41" t="str">
        <f>IFERROR(__xludf.DUMMYFUNCTION("""COMPUTED_VALUE"""),"S-379")</f>
        <v>S-379</v>
      </c>
      <c r="B1509" s="42" t="str">
        <f>IFERROR(__xludf.DUMMYFUNCTION("""COMPUTED_VALUE"""),"Spell")</f>
        <v>Spell</v>
      </c>
      <c r="C1509" s="42" t="str">
        <f>IFERROR(__xludf.DUMMYFUNCTION("""COMPUTED_VALUE"""),"Diogikor Gidoruk")</f>
        <v>Diogikor Gidoruk</v>
      </c>
      <c r="D1509" s="42" t="str">
        <f>IFERROR(__xludf.DUMMYFUNCTION("""COMPUTED_VALUE"""),"Karudio")</f>
        <v>Karudio</v>
      </c>
      <c r="E1509" s="42">
        <f>IFERROR(__xludf.DUMMYFUNCTION("""COMPUTED_VALUE"""),3.0)</f>
        <v>3</v>
      </c>
      <c r="F1509" s="42" t="str">
        <f>IFERROR(__xludf.DUMMYFUNCTION("""COMPUTED_VALUE"""),"A")</f>
        <v>A</v>
      </c>
      <c r="G1509" s="42" t="str">
        <f>IFERROR(__xludf.DUMMYFUNCTION("""COMPUTED_VALUE"""),"Intermediate")</f>
        <v>Intermediate</v>
      </c>
      <c r="H1509" s="42" t="str">
        <f>IFERROR(__xludf.DUMMYFUNCTION("""COMPUTED_VALUE"""),"-")</f>
        <v>-</v>
      </c>
      <c r="I1509" s="43" t="str">
        <f>IFERROR(__xludf.DUMMYFUNCTION("""COMPUTED_VALUE"""),"Select 1 Karudio (Diogikor Gidoruk Form) MAMODO card from any page of your Spell Book and place it on a Karudio MAMODO card.")</f>
        <v>Select 1 Karudio (Diogikor Gidoruk Form) MAMODO card from any page of your Spell Book and place it on a Karudio MAMODO card.</v>
      </c>
      <c r="J1509" s="42" t="str">
        <f>IFERROR(__xludf.DUMMYFUNCTION("""COMPUTED_VALUE"""),"Special")</f>
        <v>Special</v>
      </c>
      <c r="K1509" s="42" t="str">
        <f>IFERROR(__xludf.DUMMYFUNCTION("""COMPUTED_VALUE"""),"-")</f>
        <v>-</v>
      </c>
      <c r="L1509" s="42" t="str">
        <f>IFERROR(__xludf.DUMMYFUNCTION("""COMPUTED_VALUE"""),"-")</f>
        <v>-</v>
      </c>
      <c r="M1509" s="42" t="str">
        <f>IFERROR(__xludf.DUMMYFUNCTION("""COMPUTED_VALUE"""),"[R]")</f>
        <v>[R]</v>
      </c>
      <c r="N1509" s="42" t="str">
        <f>IFERROR(__xludf.DUMMYFUNCTION("""COMPUTED_VALUE"""),"Karudio's 3rd spell. ""This spell is so dangerous that, at first, it hurt me whenever I used it.""")</f>
        <v>Karudio's 3rd spell. "This spell is so dangerous that, at first, it hurt me whenever I used it."</v>
      </c>
      <c r="O1509" s="42"/>
      <c r="P1509" s="42"/>
      <c r="Q1509" s="42"/>
      <c r="R1509" s="42"/>
      <c r="S1509" s="42"/>
      <c r="T1509" s="42"/>
      <c r="U1509" s="42"/>
      <c r="V1509" s="42"/>
      <c r="W1509" s="42"/>
      <c r="X1509" s="42"/>
      <c r="Y1509" s="42"/>
      <c r="Z1509" s="42"/>
    </row>
    <row r="1510">
      <c r="A1510" s="41" t="str">
        <f>IFERROR(__xludf.DUMMYFUNCTION("""COMPUTED_VALUE"""),"S-380")</f>
        <v>S-380</v>
      </c>
      <c r="B1510" s="42" t="str">
        <f>IFERROR(__xludf.DUMMYFUNCTION("""COMPUTED_VALUE"""),"Spell")</f>
        <v>Spell</v>
      </c>
      <c r="C1510" s="42" t="str">
        <f>IFERROR(__xludf.DUMMYFUNCTION("""COMPUTED_VALUE"""),"Dareido")</f>
        <v>Dareido</v>
      </c>
      <c r="D1510" s="42" t="str">
        <f>IFERROR(__xludf.DUMMYFUNCTION("""COMPUTED_VALUE"""),"Purio")</f>
        <v>Purio</v>
      </c>
      <c r="E1510" s="42">
        <f>IFERROR(__xludf.DUMMYFUNCTION("""COMPUTED_VALUE"""),3.0)</f>
        <v>3</v>
      </c>
      <c r="F1510" s="42" t="str">
        <f>IFERROR(__xludf.DUMMYFUNCTION("""COMPUTED_VALUE"""),"A")</f>
        <v>A</v>
      </c>
      <c r="G1510" s="42" t="str">
        <f>IFERROR(__xludf.DUMMYFUNCTION("""COMPUTED_VALUE"""),"None")</f>
        <v>None</v>
      </c>
      <c r="H1510" s="42" t="str">
        <f>IFERROR(__xludf.DUMMYFUNCTION("""COMPUTED_VALUE"""),"-")</f>
        <v>-</v>
      </c>
      <c r="I1510" s="43" t="str">
        <f>IFERROR(__xludf.DUMMYFUNCTION("""COMPUTED_VALUE"""),"[STAY] Select 1 of your opponent's in-play PARTNER cards when you win the Battle as an Attacker. Your opponent cannot apply the effects of the selected PARTNER card during this game.")</f>
        <v>[STAY] Select 1 of your opponent's in-play PARTNER cards when you win the Battle as an Attacker. Your opponent cannot apply the effects of the selected PARTNER card during this game.</v>
      </c>
      <c r="J1510" s="42" t="str">
        <f>IFERROR(__xludf.DUMMYFUNCTION("""COMPUTED_VALUE"""),"+4000")</f>
        <v>+4000</v>
      </c>
      <c r="K1510" s="42" t="str">
        <f>IFERROR(__xludf.DUMMYFUNCTION("""COMPUTED_VALUE"""),"-")</f>
        <v>-</v>
      </c>
      <c r="L1510" s="42" t="str">
        <f>IFERROR(__xludf.DUMMYFUNCTION("""COMPUTED_VALUE"""),"-")</f>
        <v>-</v>
      </c>
      <c r="M1510" s="42" t="str">
        <f>IFERROR(__xludf.DUMMYFUNCTION("""COMPUTED_VALUE"""),"[C]")</f>
        <v>[C]</v>
      </c>
      <c r="N1510" s="42" t="str">
        <f>IFERROR(__xludf.DUMMYFUNCTION("""COMPUTED_VALUE"""),"Purio's 1st spell. ""Lupa, time to use the glue!""")</f>
        <v>Purio's 1st spell. "Lupa, time to use the glue!"</v>
      </c>
      <c r="O1510" s="42"/>
      <c r="P1510" s="42"/>
      <c r="Q1510" s="42"/>
      <c r="R1510" s="42"/>
      <c r="S1510" s="42"/>
      <c r="T1510" s="42"/>
      <c r="U1510" s="42"/>
      <c r="V1510" s="42"/>
      <c r="W1510" s="42"/>
      <c r="X1510" s="42"/>
      <c r="Y1510" s="42"/>
      <c r="Z1510" s="42"/>
    </row>
    <row r="1511">
      <c r="A1511" s="41" t="str">
        <f>IFERROR(__xludf.DUMMYFUNCTION("""COMPUTED_VALUE"""),"S-381")</f>
        <v>S-381</v>
      </c>
      <c r="B1511" s="42" t="str">
        <f>IFERROR(__xludf.DUMMYFUNCTION("""COMPUTED_VALUE"""),"Spell")</f>
        <v>Spell</v>
      </c>
      <c r="C1511" s="42" t="str">
        <f>IFERROR(__xludf.DUMMYFUNCTION("""COMPUTED_VALUE"""),"Gigano Joboido")</f>
        <v>Gigano Joboido</v>
      </c>
      <c r="D1511" s="42" t="str">
        <f>IFERROR(__xludf.DUMMYFUNCTION("""COMPUTED_VALUE"""),"Purio")</f>
        <v>Purio</v>
      </c>
      <c r="E1511" s="42">
        <f>IFERROR(__xludf.DUMMYFUNCTION("""COMPUTED_VALUE"""),5.0)</f>
        <v>5</v>
      </c>
      <c r="F1511" s="42" t="str">
        <f>IFERROR(__xludf.DUMMYFUNCTION("""COMPUTED_VALUE"""),"AD")</f>
        <v>AD</v>
      </c>
      <c r="G1511" s="42" t="str">
        <f>IFERROR(__xludf.DUMMYFUNCTION("""COMPUTED_VALUE"""),"Intermediate")</f>
        <v>Intermediate</v>
      </c>
      <c r="H1511" s="42" t="str">
        <f>IFERROR(__xludf.DUMMYFUNCTION("""COMPUTED_VALUE"""),"-")</f>
        <v>-</v>
      </c>
      <c r="I1511" s="43" t="str">
        <f>IFERROR(__xludf.DUMMYFUNCTION("""COMPUTED_VALUE"""),"Damage your opponent's Spell Book when you win the Battle as an Attacker. The Damage of this SPELL card cannot be reduced by your opponent's card effects.")</f>
        <v>Damage your opponent's Spell Book when you win the Battle as an Attacker. The Damage of this SPELL card cannot be reduced by your opponent's card effects.</v>
      </c>
      <c r="J1511" s="42" t="str">
        <f>IFERROR(__xludf.DUMMYFUNCTION("""COMPUTED_VALUE"""),"+5000")</f>
        <v>+5000</v>
      </c>
      <c r="K1511" s="42">
        <f>IFERROR(__xludf.DUMMYFUNCTION("""COMPUTED_VALUE"""),3.0)</f>
        <v>3</v>
      </c>
      <c r="L1511" s="42" t="str">
        <f>IFERROR(__xludf.DUMMYFUNCTION("""COMPUTED_VALUE"""),"-")</f>
        <v>-</v>
      </c>
      <c r="M1511" s="42" t="str">
        <f>IFERROR(__xludf.DUMMYFUNCTION("""COMPUTED_VALUE"""),"[R]")</f>
        <v>[R]</v>
      </c>
      <c r="N1511" s="42" t="str">
        <f>IFERROR(__xludf.DUMMYFUNCTION("""COMPUTED_VALUE"""),"Purio's 4th spell. ""Ha ha ha! You see that?! This liquid is strong enough to melt rocks!""")</f>
        <v>Purio's 4th spell. "Ha ha ha! You see that?! This liquid is strong enough to melt rocks!"</v>
      </c>
      <c r="O1511" s="42"/>
      <c r="P1511" s="42"/>
      <c r="Q1511" s="42"/>
      <c r="R1511" s="42"/>
      <c r="S1511" s="42"/>
      <c r="T1511" s="42"/>
      <c r="U1511" s="42"/>
      <c r="V1511" s="42"/>
      <c r="W1511" s="42"/>
      <c r="X1511" s="42"/>
      <c r="Y1511" s="42"/>
      <c r="Z1511" s="42"/>
    </row>
    <row r="1512">
      <c r="A1512" s="41" t="str">
        <f>IFERROR(__xludf.DUMMYFUNCTION("""COMPUTED_VALUE"""),"S-382")</f>
        <v>S-382</v>
      </c>
      <c r="B1512" s="42" t="str">
        <f>IFERROR(__xludf.DUMMYFUNCTION("""COMPUTED_VALUE"""),"Spell")</f>
        <v>Spell</v>
      </c>
      <c r="C1512" s="42" t="str">
        <f>IFERROR(__xludf.DUMMYFUNCTION("""COMPUTED_VALUE"""),"Nyureido")</f>
        <v>Nyureido</v>
      </c>
      <c r="D1512" s="42" t="str">
        <f>IFERROR(__xludf.DUMMYFUNCTION("""COMPUTED_VALUE"""),"Purio")</f>
        <v>Purio</v>
      </c>
      <c r="E1512" s="42">
        <f>IFERROR(__xludf.DUMMYFUNCTION("""COMPUTED_VALUE"""),1.0)</f>
        <v>1</v>
      </c>
      <c r="F1512" s="42" t="str">
        <f>IFERROR(__xludf.DUMMYFUNCTION("""COMPUTED_VALUE"""),"A")</f>
        <v>A</v>
      </c>
      <c r="G1512" s="42" t="str">
        <f>IFERROR(__xludf.DUMMYFUNCTION("""COMPUTED_VALUE"""),"None")</f>
        <v>None</v>
      </c>
      <c r="H1512" s="42" t="str">
        <f>IFERROR(__xludf.DUMMYFUNCTION("""COMPUTED_VALUE"""),"-")</f>
        <v>-</v>
      </c>
      <c r="I1512" s="43" t="str">
        <f>IFERROR(__xludf.DUMMYFUNCTION("""COMPUTED_VALUE"""),"[STAY] During this turn, you can select 1 of your opponent's in-play MAMODO cards to be a target of your card effects even when prohibited to do so.")</f>
        <v>[STAY] During this turn, you can select 1 of your opponent's in-play MAMODO cards to be a target of your card effects even when prohibited to do so.</v>
      </c>
      <c r="J1512" s="42" t="str">
        <f>IFERROR(__xludf.DUMMYFUNCTION("""COMPUTED_VALUE"""),"Special")</f>
        <v>Special</v>
      </c>
      <c r="K1512" s="42" t="str">
        <f>IFERROR(__xludf.DUMMYFUNCTION("""COMPUTED_VALUE"""),"-")</f>
        <v>-</v>
      </c>
      <c r="L1512" s="42" t="str">
        <f>IFERROR(__xludf.DUMMYFUNCTION("""COMPUTED_VALUE"""),"-")</f>
        <v>-</v>
      </c>
      <c r="M1512" s="42" t="str">
        <f>IFERROR(__xludf.DUMMYFUNCTION("""COMPUTED_VALUE"""),"[C]")</f>
        <v>[C]</v>
      </c>
      <c r="N1512" s="42" t="str">
        <f>IFERROR(__xludf.DUMMYFUNCTION("""COMPUTED_VALUE"""),"Purio's 5th spell. ""Ahh, I can't get up, it's too slippery...""")</f>
        <v>Purio's 5th spell. "Ahh, I can't get up, it's too slippery..."</v>
      </c>
      <c r="O1512" s="42"/>
      <c r="P1512" s="42"/>
      <c r="Q1512" s="42"/>
      <c r="R1512" s="42"/>
      <c r="S1512" s="42"/>
      <c r="T1512" s="42"/>
      <c r="U1512" s="42"/>
      <c r="V1512" s="42"/>
      <c r="W1512" s="42"/>
      <c r="X1512" s="42"/>
      <c r="Y1512" s="42"/>
      <c r="Z1512" s="42"/>
    </row>
    <row r="1513">
      <c r="A1513" s="41" t="str">
        <f>IFERROR(__xludf.DUMMYFUNCTION("""COMPUTED_VALUE"""),"S-383")</f>
        <v>S-383</v>
      </c>
      <c r="B1513" s="42" t="str">
        <f>IFERROR(__xludf.DUMMYFUNCTION("""COMPUTED_VALUE"""),"Spell")</f>
        <v>Spell</v>
      </c>
      <c r="C1513" s="42" t="str">
        <f>IFERROR(__xludf.DUMMYFUNCTION("""COMPUTED_VALUE"""),"Mosreido")</f>
        <v>Mosreido</v>
      </c>
      <c r="D1513" s="42" t="str">
        <f>IFERROR(__xludf.DUMMYFUNCTION("""COMPUTED_VALUE"""),"Purio")</f>
        <v>Purio</v>
      </c>
      <c r="E1513" s="42">
        <f>IFERROR(__xludf.DUMMYFUNCTION("""COMPUTED_VALUE"""),3.0)</f>
        <v>3</v>
      </c>
      <c r="F1513" s="42" t="str">
        <f>IFERROR(__xludf.DUMMYFUNCTION("""COMPUTED_VALUE"""),"A")</f>
        <v>A</v>
      </c>
      <c r="G1513" s="42" t="str">
        <f>IFERROR(__xludf.DUMMYFUNCTION("""COMPUTED_VALUE"""),"None")</f>
        <v>None</v>
      </c>
      <c r="H1513" s="42" t="str">
        <f>IFERROR(__xludf.DUMMYFUNCTION("""COMPUTED_VALUE"""),"-")</f>
        <v>-</v>
      </c>
      <c r="I1513" s="43" t="str">
        <f>IFERROR(__xludf.DUMMYFUNCTION("""COMPUTED_VALUE"""),"[STAY] Your opponent can neither play SPELL cards with an MP cost of 2 or more, nor can your opponent apply the effects of any of their MAMODO cards (except MAMODO cards with [Declare to use]), during this turn.")</f>
        <v>[STAY] Your opponent can neither play SPELL cards with an MP cost of 2 or more, nor can your opponent apply the effects of any of their MAMODO cards (except MAMODO cards with [Declare to use]), during this turn.</v>
      </c>
      <c r="J1513" s="42" t="str">
        <f>IFERROR(__xludf.DUMMYFUNCTION("""COMPUTED_VALUE"""),"Special")</f>
        <v>Special</v>
      </c>
      <c r="K1513" s="42" t="str">
        <f>IFERROR(__xludf.DUMMYFUNCTION("""COMPUTED_VALUE"""),"-")</f>
        <v>-</v>
      </c>
      <c r="L1513" s="42" t="str">
        <f>IFERROR(__xludf.DUMMYFUNCTION("""COMPUTED_VALUE"""),"-")</f>
        <v>-</v>
      </c>
      <c r="M1513" s="42" t="str">
        <f>IFERROR(__xludf.DUMMYFUNCTION("""COMPUTED_VALUE"""),"[C]")</f>
        <v>[C]</v>
      </c>
      <c r="N1513" s="42" t="str">
        <f>IFERROR(__xludf.DUMMYFUNCTION("""COMPUTED_VALUE"""),"Purio's 6th spell. ""It's so itchy! My whole body itches!""")</f>
        <v>Purio's 6th spell. "It's so itchy! My whole body itches!"</v>
      </c>
      <c r="O1513" s="42"/>
      <c r="P1513" s="42"/>
      <c r="Q1513" s="42"/>
      <c r="R1513" s="42"/>
      <c r="S1513" s="42"/>
      <c r="T1513" s="42"/>
      <c r="U1513" s="42"/>
      <c r="V1513" s="42"/>
      <c r="W1513" s="42"/>
      <c r="X1513" s="42"/>
      <c r="Y1513" s="42"/>
      <c r="Z1513" s="42"/>
    </row>
    <row r="1514">
      <c r="A1514" s="41" t="str">
        <f>IFERROR(__xludf.DUMMYFUNCTION("""COMPUTED_VALUE"""),"S-384")</f>
        <v>S-384</v>
      </c>
      <c r="B1514" s="42" t="str">
        <f>IFERROR(__xludf.DUMMYFUNCTION("""COMPUTED_VALUE"""),"Spell")</f>
        <v>Spell</v>
      </c>
      <c r="C1514" s="42" t="str">
        <f>IFERROR(__xludf.DUMMYFUNCTION("""COMPUTED_VALUE"""),"Amireido")</f>
        <v>Amireido</v>
      </c>
      <c r="D1514" s="42" t="str">
        <f>IFERROR(__xludf.DUMMYFUNCTION("""COMPUTED_VALUE"""),"Purio")</f>
        <v>Purio</v>
      </c>
      <c r="E1514" s="42">
        <f>IFERROR(__xludf.DUMMYFUNCTION("""COMPUTED_VALUE"""),3.0)</f>
        <v>3</v>
      </c>
      <c r="F1514" s="42" t="str">
        <f>IFERROR(__xludf.DUMMYFUNCTION("""COMPUTED_VALUE"""),"A")</f>
        <v>A</v>
      </c>
      <c r="G1514" s="42" t="str">
        <f>IFERROR(__xludf.DUMMYFUNCTION("""COMPUTED_VALUE"""),"None")</f>
        <v>None</v>
      </c>
      <c r="H1514" s="42" t="str">
        <f>IFERROR(__xludf.DUMMYFUNCTION("""COMPUTED_VALUE"""),"-")</f>
        <v>-</v>
      </c>
      <c r="I1514" s="43" t="str">
        <f>IFERROR(__xludf.DUMMYFUNCTION("""COMPUTED_VALUE"""),"[STAY] Select 1 of your opponent's in-play MAMODO cards when you win the Battle as an Attacker. Your opponent can neither play SPELL cards for, nor can they apply the effects of, the selected MAMODO card during this game. Your opponent flips a coin at eac"&amp;"h player's END PHASE; if it's heads, this effect is negated.")</f>
        <v>[STAY] Select 1 of your opponent's in-play MAMODO cards when you win the Battle as an Attacker. Your opponent can neither play SPELL cards for, nor can they apply the effects of, the selected MAMODO card during this game. Your opponent flips a coin at each player's END PHASE; if it's heads, this effect is negated.</v>
      </c>
      <c r="J1514" s="42" t="str">
        <f>IFERROR(__xludf.DUMMYFUNCTION("""COMPUTED_VALUE"""),"+4000")</f>
        <v>+4000</v>
      </c>
      <c r="K1514" s="42" t="str">
        <f>IFERROR(__xludf.DUMMYFUNCTION("""COMPUTED_VALUE"""),"-")</f>
        <v>-</v>
      </c>
      <c r="L1514" s="42" t="str">
        <f>IFERROR(__xludf.DUMMYFUNCTION("""COMPUTED_VALUE"""),"-")</f>
        <v>-</v>
      </c>
      <c r="M1514" s="42" t="str">
        <f>IFERROR(__xludf.DUMMYFUNCTION("""COMPUTED_VALUE"""),"[U]")</f>
        <v>[U]</v>
      </c>
      <c r="N1514" s="42" t="str">
        <f>IFERROR(__xludf.DUMMYFUNCTION("""COMPUTED_VALUE"""),"Purio's 7th spell. ""Ha ha, don't even try. You've got to have some real strength to break through that net...""")</f>
        <v>Purio's 7th spell. "Ha ha, don't even try. You've got to have some real strength to break through that net..."</v>
      </c>
      <c r="O1514" s="42"/>
      <c r="P1514" s="42"/>
      <c r="Q1514" s="42"/>
      <c r="R1514" s="42"/>
      <c r="S1514" s="42"/>
      <c r="T1514" s="42"/>
      <c r="U1514" s="42"/>
      <c r="V1514" s="42"/>
      <c r="W1514" s="42"/>
      <c r="X1514" s="42"/>
      <c r="Y1514" s="42"/>
      <c r="Z1514" s="42"/>
    </row>
    <row r="1515">
      <c r="A1515" s="41" t="str">
        <f>IFERROR(__xludf.DUMMYFUNCTION("""COMPUTED_VALUE"""),"S-385")</f>
        <v>S-385</v>
      </c>
      <c r="B1515" s="42" t="str">
        <f>IFERROR(__xludf.DUMMYFUNCTION("""COMPUTED_VALUE"""),"Spell")</f>
        <v>Spell</v>
      </c>
      <c r="C1515" s="42" t="str">
        <f>IFERROR(__xludf.DUMMYFUNCTION("""COMPUTED_VALUE"""),"Sakdoruk")</f>
        <v>Sakdoruk</v>
      </c>
      <c r="D1515" s="42" t="str">
        <f>IFERROR(__xludf.DUMMYFUNCTION("""COMPUTED_VALUE"""),"Majiro")</f>
        <v>Majiro</v>
      </c>
      <c r="E1515" s="42">
        <f>IFERROR(__xludf.DUMMYFUNCTION("""COMPUTED_VALUE"""),2.0)</f>
        <v>2</v>
      </c>
      <c r="F1515" s="42" t="str">
        <f>IFERROR(__xludf.DUMMYFUNCTION("""COMPUTED_VALUE"""),"AD")</f>
        <v>AD</v>
      </c>
      <c r="G1515" s="42" t="str">
        <f>IFERROR(__xludf.DUMMYFUNCTION("""COMPUTED_VALUE"""),"None")</f>
        <v>None</v>
      </c>
      <c r="H1515" s="42" t="str">
        <f>IFERROR(__xludf.DUMMYFUNCTION("""COMPUTED_VALUE"""),"-")</f>
        <v>-</v>
      </c>
      <c r="I1515" s="43" t="str">
        <f>IFERROR(__xludf.DUMMYFUNCTION("""COMPUTED_VALUE"""),"Damage your opponent's Spell Book when you win the Battle as an Attacker. Before comparing Total Power, select 1 Majiro (Sakudoruk Form) MAMODO card from any page of your Spell Book and place it on a Majiro MAMODO card.")</f>
        <v>Damage your opponent's Spell Book when you win the Battle as an Attacker. Before comparing Total Power, select 1 Majiro (Sakudoruk Form) MAMODO card from any page of your Spell Book and place it on a Majiro MAMODO card.</v>
      </c>
      <c r="J1515" s="42" t="str">
        <f>IFERROR(__xludf.DUMMYFUNCTION("""COMPUTED_VALUE"""),"+2000")</f>
        <v>+2000</v>
      </c>
      <c r="K1515" s="42">
        <f>IFERROR(__xludf.DUMMYFUNCTION("""COMPUTED_VALUE"""),1.0)</f>
        <v>1</v>
      </c>
      <c r="L1515" s="42" t="str">
        <f>IFERROR(__xludf.DUMMYFUNCTION("""COMPUTED_VALUE"""),"-")</f>
        <v>-</v>
      </c>
      <c r="M1515" s="42" t="str">
        <f>IFERROR(__xludf.DUMMYFUNCTION("""COMPUTED_VALUE"""),"[C]")</f>
        <v>[C]</v>
      </c>
      <c r="N1515" s="42" t="str">
        <f>IFERROR(__xludf.DUMMYFUNCTION("""COMPUTED_VALUE"""),"Majiro's 1st spell. It curls up like an armadillo and rolls at opponents.")</f>
        <v>Majiro's 1st spell. It curls up like an armadillo and rolls at opponents.</v>
      </c>
      <c r="O1515" s="42"/>
      <c r="P1515" s="42"/>
      <c r="Q1515" s="42"/>
      <c r="R1515" s="42"/>
      <c r="S1515" s="42"/>
      <c r="T1515" s="42"/>
      <c r="U1515" s="42"/>
      <c r="V1515" s="42"/>
      <c r="W1515" s="42"/>
      <c r="X1515" s="42"/>
      <c r="Y1515" s="42"/>
      <c r="Z1515" s="42"/>
    </row>
    <row r="1516">
      <c r="A1516" s="41" t="str">
        <f>IFERROR(__xludf.DUMMYFUNCTION("""COMPUTED_VALUE"""),"S-386")</f>
        <v>S-386</v>
      </c>
      <c r="B1516" s="42" t="str">
        <f>IFERROR(__xludf.DUMMYFUNCTION("""COMPUTED_VALUE"""),"Spell")</f>
        <v>Spell</v>
      </c>
      <c r="C1516" s="42" t="str">
        <f>IFERROR(__xludf.DUMMYFUNCTION("""COMPUTED_VALUE"""),"Magnedoruk")</f>
        <v>Magnedoruk</v>
      </c>
      <c r="D1516" s="42" t="str">
        <f>IFERROR(__xludf.DUMMYFUNCTION("""COMPUTED_VALUE"""),"Maestro")</f>
        <v>Maestro</v>
      </c>
      <c r="E1516" s="42">
        <f>IFERROR(__xludf.DUMMYFUNCTION("""COMPUTED_VALUE"""),1.0)</f>
        <v>1</v>
      </c>
      <c r="F1516" s="42" t="str">
        <f>IFERROR(__xludf.DUMMYFUNCTION("""COMPUTED_VALUE"""),"A")</f>
        <v>A</v>
      </c>
      <c r="G1516" s="42" t="str">
        <f>IFERROR(__xludf.DUMMYFUNCTION("""COMPUTED_VALUE"""),"None")</f>
        <v>None</v>
      </c>
      <c r="H1516" s="42" t="str">
        <f>IFERROR(__xludf.DUMMYFUNCTION("""COMPUTED_VALUE"""),"-")</f>
        <v>-</v>
      </c>
      <c r="I1516" s="43" t="str">
        <f>IFERROR(__xludf.DUMMYFUNCTION("""COMPUTED_VALUE"""),"[STAY] Add 2000 Power to your Maestro MAMODO card and increase the Damage of all SPELL cards with Maestro as their MAMODO name by 1 during this turn (this effect cannot be duplicated).")</f>
        <v>[STAY] Add 2000 Power to your Maestro MAMODO card and increase the Damage of all SPELL cards with Maestro as their MAMODO name by 1 during this turn (this effect cannot be duplicated).</v>
      </c>
      <c r="J1516" s="42" t="str">
        <f>IFERROR(__xludf.DUMMYFUNCTION("""COMPUTED_VALUE"""),"Special")</f>
        <v>Special</v>
      </c>
      <c r="K1516" s="42" t="str">
        <f>IFERROR(__xludf.DUMMYFUNCTION("""COMPUTED_VALUE"""),"-")</f>
        <v>-</v>
      </c>
      <c r="L1516" s="42" t="str">
        <f>IFERROR(__xludf.DUMMYFUNCTION("""COMPUTED_VALUE"""),"-")</f>
        <v>-</v>
      </c>
      <c r="M1516" s="42" t="str">
        <f>IFERROR(__xludf.DUMMYFUNCTION("""COMPUTED_VALUE"""),"[C]")</f>
        <v>[C]</v>
      </c>
      <c r="N1516" s="42" t="str">
        <f>IFERROR(__xludf.DUMMYFUNCTION("""COMPUTED_VALUE"""),"Maestro's 1st spell. He absorbs vast reserves of energy from the electromagnetic coils that surround him.")</f>
        <v>Maestro's 1st spell. He absorbs vast reserves of energy from the electromagnetic coils that surround him.</v>
      </c>
      <c r="O1516" s="42"/>
      <c r="P1516" s="42"/>
      <c r="Q1516" s="42"/>
      <c r="R1516" s="42"/>
      <c r="S1516" s="42"/>
      <c r="T1516" s="42"/>
      <c r="U1516" s="42"/>
      <c r="V1516" s="42"/>
      <c r="W1516" s="42"/>
      <c r="X1516" s="42"/>
      <c r="Y1516" s="42"/>
      <c r="Z1516" s="42"/>
    </row>
    <row r="1517">
      <c r="A1517" s="41" t="str">
        <f>IFERROR(__xludf.DUMMYFUNCTION("""COMPUTED_VALUE"""),"S-387")</f>
        <v>S-387</v>
      </c>
      <c r="B1517" s="42" t="str">
        <f>IFERROR(__xludf.DUMMYFUNCTION("""COMPUTED_VALUE"""),"Spell")</f>
        <v>Spell</v>
      </c>
      <c r="C1517" s="42" t="str">
        <f>IFERROR(__xludf.DUMMYFUNCTION("""COMPUTED_VALUE"""),"Magneshiruga")</f>
        <v>Magneshiruga</v>
      </c>
      <c r="D1517" s="42" t="str">
        <f>IFERROR(__xludf.DUMMYFUNCTION("""COMPUTED_VALUE"""),"Maestro")</f>
        <v>Maestro</v>
      </c>
      <c r="E1517" s="42">
        <f>IFERROR(__xludf.DUMMYFUNCTION("""COMPUTED_VALUE"""),2.0)</f>
        <v>2</v>
      </c>
      <c r="F1517" s="42" t="str">
        <f>IFERROR(__xludf.DUMMYFUNCTION("""COMPUTED_VALUE"""),"AD")</f>
        <v>AD</v>
      </c>
      <c r="G1517" s="42" t="str">
        <f>IFERROR(__xludf.DUMMYFUNCTION("""COMPUTED_VALUE"""),"None")</f>
        <v>None</v>
      </c>
      <c r="H1517" s="42" t="str">
        <f>IFERROR(__xludf.DUMMYFUNCTION("""COMPUTED_VALUE"""),"-")</f>
        <v>-</v>
      </c>
      <c r="I1517" s="43" t="str">
        <f>IFERROR(__xludf.DUMMYFUNCTION("""COMPUTED_VALUE"""),"Flip a coin until you get tails; Damage your opponent's Spell Book by a number of times equal to the number of heads you get times 1 when you win the Battle as an Attacker.")</f>
        <v>Flip a coin until you get tails; Damage your opponent's Spell Book by a number of times equal to the number of heads you get times 1 when you win the Battle as an Attacker.</v>
      </c>
      <c r="J1517" s="42" t="str">
        <f>IFERROR(__xludf.DUMMYFUNCTION("""COMPUTED_VALUE"""),"+3000")</f>
        <v>+3000</v>
      </c>
      <c r="K1517" s="42">
        <f>IFERROR(__xludf.DUMMYFUNCTION("""COMPUTED_VALUE"""),1.0)</f>
        <v>1</v>
      </c>
      <c r="L1517" s="42" t="str">
        <f>IFERROR(__xludf.DUMMYFUNCTION("""COMPUTED_VALUE"""),"-")</f>
        <v>-</v>
      </c>
      <c r="M1517" s="42" t="str">
        <f>IFERROR(__xludf.DUMMYFUNCTION("""COMPUTED_VALUE"""),"[C]")</f>
        <v>[C]</v>
      </c>
      <c r="N1517" s="42" t="str">
        <f>IFERROR(__xludf.DUMMYFUNCTION("""COMPUTED_VALUE"""),"Maestro's 2nd spell. Countless bullets of light are rapidly fired from Maestro's palm.")</f>
        <v>Maestro's 2nd spell. Countless bullets of light are rapidly fired from Maestro's palm.</v>
      </c>
      <c r="O1517" s="42"/>
      <c r="P1517" s="42"/>
      <c r="Q1517" s="42"/>
      <c r="R1517" s="42"/>
      <c r="S1517" s="42"/>
      <c r="T1517" s="42"/>
      <c r="U1517" s="42"/>
      <c r="V1517" s="42"/>
      <c r="W1517" s="42"/>
      <c r="X1517" s="42"/>
      <c r="Y1517" s="42"/>
      <c r="Z1517" s="42"/>
    </row>
    <row r="1518">
      <c r="A1518" s="41" t="str">
        <f>IFERROR(__xludf.DUMMYFUNCTION("""COMPUTED_VALUE"""),"S-388")</f>
        <v>S-388</v>
      </c>
      <c r="B1518" s="42" t="str">
        <f>IFERROR(__xludf.DUMMYFUNCTION("""COMPUTED_VALUE"""),"Spell")</f>
        <v>Spell</v>
      </c>
      <c r="C1518" s="42" t="str">
        <f>IFERROR(__xludf.DUMMYFUNCTION("""COMPUTED_VALUE"""),"Gigano Magneshield")</f>
        <v>Gigano Magneshield</v>
      </c>
      <c r="D1518" s="42" t="str">
        <f>IFERROR(__xludf.DUMMYFUNCTION("""COMPUTED_VALUE"""),"Maestro")</f>
        <v>Maestro</v>
      </c>
      <c r="E1518" s="42">
        <f>IFERROR(__xludf.DUMMYFUNCTION("""COMPUTED_VALUE"""),3.0)</f>
        <v>3</v>
      </c>
      <c r="F1518" s="42" t="str">
        <f>IFERROR(__xludf.DUMMYFUNCTION("""COMPUTED_VALUE"""),"D")</f>
        <v>D</v>
      </c>
      <c r="G1518" s="42" t="str">
        <f>IFERROR(__xludf.DUMMYFUNCTION("""COMPUTED_VALUE"""),"Intermediate")</f>
        <v>Intermediate</v>
      </c>
      <c r="H1518" s="42" t="str">
        <f>IFERROR(__xludf.DUMMYFUNCTION("""COMPUTED_VALUE"""),"-")</f>
        <v>-</v>
      </c>
      <c r="I1518" s="43" t="str">
        <f>IFERROR(__xludf.DUMMYFUNCTION("""COMPUTED_VALUE"""),"[COUNTER] Negate your opponent's Attack and get MP equal to the original MP cost of your opponent's Attack when you win the Battle as a Defender.")</f>
        <v>[COUNTER] Negate your opponent's Attack and get MP equal to the original MP cost of your opponent's Attack when you win the Battle as a Defender.</v>
      </c>
      <c r="J1518" s="42" t="str">
        <f>IFERROR(__xludf.DUMMYFUNCTION("""COMPUTED_VALUE"""),"+8000")</f>
        <v>+8000</v>
      </c>
      <c r="K1518" s="42" t="str">
        <f>IFERROR(__xludf.DUMMYFUNCTION("""COMPUTED_VALUE"""),"-")</f>
        <v>-</v>
      </c>
      <c r="L1518" s="42" t="str">
        <f>IFERROR(__xludf.DUMMYFUNCTION("""COMPUTED_VALUE"""),"-")</f>
        <v>-</v>
      </c>
      <c r="M1518" s="42" t="str">
        <f>IFERROR(__xludf.DUMMYFUNCTION("""COMPUTED_VALUE"""),"[R]")</f>
        <v>[R]</v>
      </c>
      <c r="N1518" s="42" t="str">
        <f>IFERROR(__xludf.DUMMYFUNCTION("""COMPUTED_VALUE"""),"Maestro's 3rd spell. It forms a massive barrier around Maestro that fully protects him from any onslaught.")</f>
        <v>Maestro's 3rd spell. It forms a massive barrier around Maestro that fully protects him from any onslaught.</v>
      </c>
      <c r="O1518" s="42"/>
      <c r="P1518" s="42"/>
      <c r="Q1518" s="42"/>
      <c r="R1518" s="42"/>
      <c r="S1518" s="42"/>
      <c r="T1518" s="42"/>
      <c r="U1518" s="42"/>
      <c r="V1518" s="42"/>
      <c r="W1518" s="42"/>
      <c r="X1518" s="42"/>
      <c r="Y1518" s="42"/>
      <c r="Z1518" s="42"/>
    </row>
    <row r="1519">
      <c r="A1519" s="41" t="str">
        <f>IFERROR(__xludf.DUMMYFUNCTION("""COMPUTED_VALUE"""),"S-389")</f>
        <v>S-389</v>
      </c>
      <c r="B1519" s="42" t="str">
        <f>IFERROR(__xludf.DUMMYFUNCTION("""COMPUTED_VALUE"""),"Spell")</f>
        <v>Spell</v>
      </c>
      <c r="C1519" s="42" t="str">
        <f>IFERROR(__xludf.DUMMYFUNCTION("""COMPUTED_VALUE"""),"Black Bao Zakeruga")</f>
        <v>Black Bao Zakeruga</v>
      </c>
      <c r="D1519" s="42" t="str">
        <f>IFERROR(__xludf.DUMMYFUNCTION("""COMPUTED_VALUE"""),"Brago")</f>
        <v>Brago</v>
      </c>
      <c r="E1519" s="42">
        <f>IFERROR(__xludf.DUMMYFUNCTION("""COMPUTED_VALUE"""),4.0)</f>
        <v>4</v>
      </c>
      <c r="F1519" s="42" t="str">
        <f>IFERROR(__xludf.DUMMYFUNCTION("""COMPUTED_VALUE"""),"A")</f>
        <v>A</v>
      </c>
      <c r="G1519" s="42" t="str">
        <f>IFERROR(__xludf.DUMMYFUNCTION("""COMPUTED_VALUE"""),"Superior")</f>
        <v>Superior</v>
      </c>
      <c r="H1519" s="42" t="str">
        <f>IFERROR(__xludf.DUMMYFUNCTION("""COMPUTED_VALUE"""),"Thunder/Down Force")</f>
        <v>Thunder/Down Force</v>
      </c>
      <c r="I1519" s="43" t="str">
        <f>IFERROR(__xludf.DUMMYFUNCTION("""COMPUTED_VALUE"""),"This SPELL card can be played only if you played a Bao Zakeruga SPELL card during this turn. Damage your opponent's Spell Book and Injure all of your opponent's MAMODO cards when you win the Battle as an Attacker ● If S-390 Black Bao Zakeruga is in the ri"&amp;"ght page of your currently open pages, your opponent can neither SACRIFICE nor PROTECT their Spell Book from the Damage of this SPELL card.")</f>
        <v>This SPELL card can be played only if you played a Bao Zakeruga SPELL card during this turn. Damage your opponent's Spell Book and Injure all of your opponent's MAMODO cards when you win the Battle as an Attacker ● If S-390 Black Bao Zakeruga is in the right page of your currently open pages, your opponent can neither SACRIFICE nor PROTECT their Spell Book from the Damage of this SPELL card.</v>
      </c>
      <c r="J1519" s="42" t="str">
        <f>IFERROR(__xludf.DUMMYFUNCTION("""COMPUTED_VALUE"""),"+8000")</f>
        <v>+8000</v>
      </c>
      <c r="K1519" s="42">
        <f>IFERROR(__xludf.DUMMYFUNCTION("""COMPUTED_VALUE"""),4.0)</f>
        <v>4</v>
      </c>
      <c r="L1519" s="42" t="str">
        <f>IFERROR(__xludf.DUMMYFUNCTION("""COMPUTED_VALUE"""),"-")</f>
        <v>-</v>
      </c>
      <c r="M1519" s="42" t="str">
        <f>IFERROR(__xludf.DUMMYFUNCTION("""COMPUTED_VALUE"""),"[SR]")</f>
        <v>[SR]</v>
      </c>
      <c r="N1519" s="42" t="str">
        <f>IFERROR(__xludf.DUMMYFUNCTION("""COMPUTED_VALUE"""),"""The Bao Zakeruga...""")</f>
        <v>"The Bao Zakeruga..."</v>
      </c>
      <c r="O1519" s="42"/>
      <c r="P1519" s="42"/>
      <c r="Q1519" s="42"/>
      <c r="R1519" s="42"/>
      <c r="S1519" s="42"/>
      <c r="T1519" s="42"/>
      <c r="U1519" s="42"/>
      <c r="V1519" s="42"/>
      <c r="W1519" s="42"/>
      <c r="X1519" s="42"/>
      <c r="Y1519" s="42"/>
      <c r="Z1519" s="42"/>
    </row>
    <row r="1520">
      <c r="A1520" s="41" t="str">
        <f>IFERROR(__xludf.DUMMYFUNCTION("""COMPUTED_VALUE"""),"S-390")</f>
        <v>S-390</v>
      </c>
      <c r="B1520" s="42" t="str">
        <f>IFERROR(__xludf.DUMMYFUNCTION("""COMPUTED_VALUE"""),"Spell")</f>
        <v>Spell</v>
      </c>
      <c r="C1520" s="42" t="str">
        <f>IFERROR(__xludf.DUMMYFUNCTION("""COMPUTED_VALUE"""),"Black Bao Zakeruga")</f>
        <v>Black Bao Zakeruga</v>
      </c>
      <c r="D1520" s="42" t="str">
        <f>IFERROR(__xludf.DUMMYFUNCTION("""COMPUTED_VALUE"""),"Zatch Bell")</f>
        <v>Zatch Bell</v>
      </c>
      <c r="E1520" s="42">
        <f>IFERROR(__xludf.DUMMYFUNCTION("""COMPUTED_VALUE"""),4.0)</f>
        <v>4</v>
      </c>
      <c r="F1520" s="42" t="str">
        <f>IFERROR(__xludf.DUMMYFUNCTION("""COMPUTED_VALUE"""),"A")</f>
        <v>A</v>
      </c>
      <c r="G1520" s="42" t="str">
        <f>IFERROR(__xludf.DUMMYFUNCTION("""COMPUTED_VALUE"""),"Superior")</f>
        <v>Superior</v>
      </c>
      <c r="H1520" s="42" t="str">
        <f>IFERROR(__xludf.DUMMYFUNCTION("""COMPUTED_VALUE"""),"Thunder/Down Force")</f>
        <v>Thunder/Down Force</v>
      </c>
      <c r="I1520" s="43" t="str">
        <f>IFERROR(__xludf.DUMMYFUNCTION("""COMPUTED_VALUE"""),"This SPELL card can be played only if you played a Baber Gravidon SPELL card during this turn. Damage your opponent's Spell Book when you win the Battle as an Attacker. Your opponent can neither SACRIFICE nor PROTECT their Spell Book from the Damage of th"&amp;"is SPELL card. ● If S-389 Black Bao Zakeruga is in the left page of your currently open pages, Injure all of your opponent's MAMODO cards in addition to Damaging your opponent's Spell Book when you win the Battle as an Attacker.")</f>
        <v>This SPELL card can be played only if you played a Baber Gravidon SPELL card during this turn. Damage your opponent's Spell Book when you win the Battle as an Attacker. Your opponent can neither SACRIFICE nor PROTECT their Spell Book from the Damage of this SPELL card. ● If S-389 Black Bao Zakeruga is in the left page of your currently open pages, Injure all of your opponent's MAMODO cards in addition to Damaging your opponent's Spell Book when you win the Battle as an Attacker.</v>
      </c>
      <c r="J1520" s="42" t="str">
        <f>IFERROR(__xludf.DUMMYFUNCTION("""COMPUTED_VALUE"""),"+8000")</f>
        <v>+8000</v>
      </c>
      <c r="K1520" s="42">
        <f>IFERROR(__xludf.DUMMYFUNCTION("""COMPUTED_VALUE"""),4.0)</f>
        <v>4</v>
      </c>
      <c r="L1520" s="42" t="str">
        <f>IFERROR(__xludf.DUMMYFUNCTION("""COMPUTED_VALUE"""),"-")</f>
        <v>-</v>
      </c>
      <c r="M1520" s="42" t="str">
        <f>IFERROR(__xludf.DUMMYFUNCTION("""COMPUTED_VALUE"""),"[SR]")</f>
        <v>[SR]</v>
      </c>
      <c r="N1520" s="42" t="str">
        <f>IFERROR(__xludf.DUMMYFUNCTION("""COMPUTED_VALUE"""),"""This is the power of human partners!""")</f>
        <v>"This is the power of human partners!"</v>
      </c>
      <c r="O1520" s="42"/>
      <c r="P1520" s="42"/>
      <c r="Q1520" s="42"/>
      <c r="R1520" s="42"/>
      <c r="S1520" s="42"/>
      <c r="T1520" s="42"/>
      <c r="U1520" s="42"/>
      <c r="V1520" s="42"/>
      <c r="W1520" s="42"/>
      <c r="X1520" s="42"/>
      <c r="Y1520" s="42"/>
      <c r="Z1520" s="42"/>
    </row>
    <row r="1521">
      <c r="A1521" s="41" t="str">
        <f>IFERROR(__xludf.DUMMYFUNCTION("""COMPUTED_VALUE"""),"S-391")</f>
        <v>S-391</v>
      </c>
      <c r="B1521" s="42" t="str">
        <f>IFERROR(__xludf.DUMMYFUNCTION("""COMPUTED_VALUE"""),"Spell")</f>
        <v>Spell</v>
      </c>
      <c r="C1521" s="42" t="str">
        <f>IFERROR(__xludf.DUMMYFUNCTION("""COMPUTED_VALUE"""),"Zaker")</f>
        <v>Zaker</v>
      </c>
      <c r="D1521" s="42" t="str">
        <f>IFERROR(__xludf.DUMMYFUNCTION("""COMPUTED_VALUE"""),"Zatch Bell")</f>
        <v>Zatch Bell</v>
      </c>
      <c r="E1521" s="42">
        <f>IFERROR(__xludf.DUMMYFUNCTION("""COMPUTED_VALUE"""),1.0)</f>
        <v>1</v>
      </c>
      <c r="F1521" s="42" t="str">
        <f>IFERROR(__xludf.DUMMYFUNCTION("""COMPUTED_VALUE"""),"AD")</f>
        <v>AD</v>
      </c>
      <c r="G1521" s="42" t="str">
        <f>IFERROR(__xludf.DUMMYFUNCTION("""COMPUTED_VALUE"""),"None")</f>
        <v>None</v>
      </c>
      <c r="H1521" s="42" t="str">
        <f>IFERROR(__xludf.DUMMYFUNCTION("""COMPUTED_VALUE"""),"Thunder")</f>
        <v>Thunder</v>
      </c>
      <c r="I1521" s="43" t="str">
        <f>IFERROR(__xludf.DUMMYFUNCTION("""COMPUTED_VALUE"""),"Apply 1 of the following effects when you win the Battle as an Attacker: ● Damage your opponent's Spell Book. ● Send 1 of your opponent's in-play cards (except MAMODO cards) to the Discard Pile.")</f>
        <v>Apply 1 of the following effects when you win the Battle as an Attacker: ● Damage your opponent's Spell Book. ● Send 1 of your opponent's in-play cards (except MAMODO cards) to the Discard Pile.</v>
      </c>
      <c r="J1521" s="42" t="str">
        <f>IFERROR(__xludf.DUMMYFUNCTION("""COMPUTED_VALUE"""),"+3000")</f>
        <v>+3000</v>
      </c>
      <c r="K1521" s="42">
        <f>IFERROR(__xludf.DUMMYFUNCTION("""COMPUTED_VALUE"""),1.0)</f>
        <v>1</v>
      </c>
      <c r="L1521" s="42" t="str">
        <f>IFERROR(__xludf.DUMMYFUNCTION("""COMPUTED_VALUE"""),"-")</f>
        <v>-</v>
      </c>
      <c r="M1521" s="42" t="str">
        <f>IFERROR(__xludf.DUMMYFUNCTION("""COMPUTED_VALUE"""),"[C]")</f>
        <v>[C]</v>
      </c>
      <c r="N1521" s="42" t="str">
        <f>IFERROR(__xludf.DUMMYFUNCTION("""COMPUTED_VALUE"""),"Zatch's 1st spell. ""K-Kiyo... How could you do that to me? How cruel...""")</f>
        <v>Zatch's 1st spell. "K-Kiyo... How could you do that to me? How cruel..."</v>
      </c>
      <c r="O1521" s="42"/>
      <c r="P1521" s="42"/>
      <c r="Q1521" s="42"/>
      <c r="R1521" s="42"/>
      <c r="S1521" s="42"/>
      <c r="T1521" s="42"/>
      <c r="U1521" s="42"/>
      <c r="V1521" s="42"/>
      <c r="W1521" s="42"/>
      <c r="X1521" s="42"/>
      <c r="Y1521" s="42"/>
      <c r="Z1521" s="42"/>
    </row>
    <row r="1522">
      <c r="A1522" s="41" t="str">
        <f>IFERROR(__xludf.DUMMYFUNCTION("""COMPUTED_VALUE"""),"S-392")</f>
        <v>S-392</v>
      </c>
      <c r="B1522" s="42" t="str">
        <f>IFERROR(__xludf.DUMMYFUNCTION("""COMPUTED_VALUE"""),"Spell")</f>
        <v>Spell</v>
      </c>
      <c r="C1522" s="42" t="str">
        <f>IFERROR(__xludf.DUMMYFUNCTION("""COMPUTED_VALUE"""),"Dioemur Shudoruk")</f>
        <v>Dioemur Shudoruk</v>
      </c>
      <c r="D1522" s="42" t="str">
        <f>IFERROR(__xludf.DUMMYFUNCTION("""COMPUTED_VALUE"""),"Ponygon")</f>
        <v>Ponygon</v>
      </c>
      <c r="E1522" s="42">
        <f>IFERROR(__xludf.DUMMYFUNCTION("""COMPUTED_VALUE"""),4.0)</f>
        <v>4</v>
      </c>
      <c r="F1522" s="42" t="str">
        <f>IFERROR(__xludf.DUMMYFUNCTION("""COMPUTED_VALUE"""),"A")</f>
        <v>A</v>
      </c>
      <c r="G1522" s="42" t="str">
        <f>IFERROR(__xludf.DUMMYFUNCTION("""COMPUTED_VALUE"""),"Intermediate")</f>
        <v>Intermediate</v>
      </c>
      <c r="H1522" s="42" t="str">
        <f>IFERROR(__xludf.DUMMYFUNCTION("""COMPUTED_VALUE"""),"-")</f>
        <v>-</v>
      </c>
      <c r="I1522" s="43" t="str">
        <f>IFERROR(__xludf.DUMMYFUNCTION("""COMPUTED_VALUE"""),"Select 1 Ponygon (Dioemur Shudoruk Form) MAMODO card from any page of your Spell Book and put it in play. ● This SPELL card can be played, and the Ponygon (Dioemur Shudoruk Form) MAMODO card can be put in play, even when you don't have a Ponygon MAMODO ca"&amp;"rd in play. ● If you have a Ponygon MAMODO in play, place it on that Ponygon card.")</f>
        <v>Select 1 Ponygon (Dioemur Shudoruk Form) MAMODO card from any page of your Spell Book and put it in play. ● This SPELL card can be played, and the Ponygon (Dioemur Shudoruk Form) MAMODO card can be put in play, even when you don't have a Ponygon MAMODO card in play. ● If you have a Ponygon MAMODO in play, place it on that Ponygon card.</v>
      </c>
      <c r="J1522" s="42" t="str">
        <f>IFERROR(__xludf.DUMMYFUNCTION("""COMPUTED_VALUE"""),"Special")</f>
        <v>Special</v>
      </c>
      <c r="K1522" s="42" t="str">
        <f>IFERROR(__xludf.DUMMYFUNCTION("""COMPUTED_VALUE"""),"-")</f>
        <v>-</v>
      </c>
      <c r="L1522" s="42" t="str">
        <f>IFERROR(__xludf.DUMMYFUNCTION("""COMPUTED_VALUE"""),"-")</f>
        <v>-</v>
      </c>
      <c r="M1522" s="42" t="str">
        <f>IFERROR(__xludf.DUMMYFUNCTION("""COMPUTED_VALUE"""),"[U]")</f>
        <v>[U]</v>
      </c>
      <c r="N1522" s="42" t="str">
        <f>IFERROR(__xludf.DUMMYFUNCTION("""COMPUTED_VALUE"""),"Ponygon's 3rd spell. ""Is the snow melting? Did it turn into water? ...No way!!!""")</f>
        <v>Ponygon's 3rd spell. "Is the snow melting? Did it turn into water? ...No way!!!"</v>
      </c>
      <c r="O1522" s="42"/>
      <c r="P1522" s="42"/>
      <c r="Q1522" s="42"/>
      <c r="R1522" s="42"/>
      <c r="S1522" s="42"/>
      <c r="T1522" s="42"/>
      <c r="U1522" s="42"/>
      <c r="V1522" s="42"/>
      <c r="W1522" s="42"/>
      <c r="X1522" s="42"/>
      <c r="Y1522" s="42"/>
      <c r="Z1522" s="42"/>
    </row>
    <row r="1523">
      <c r="A1523" s="41" t="str">
        <f>IFERROR(__xludf.DUMMYFUNCTION("""COMPUTED_VALUE"""),"S-393")</f>
        <v>S-393</v>
      </c>
      <c r="B1523" s="42" t="str">
        <f>IFERROR(__xludf.DUMMYFUNCTION("""COMPUTED_VALUE"""),"Spell")</f>
        <v>Spell</v>
      </c>
      <c r="C1523" s="42" t="str">
        <f>IFERROR(__xludf.DUMMYFUNCTION("""COMPUTED_VALUE"""),"Raise the Gear!")</f>
        <v>Raise the Gear!</v>
      </c>
      <c r="D1523" s="42" t="str">
        <f>IFERROR(__xludf.DUMMYFUNCTION("""COMPUTED_VALUE"""),"Ted")</f>
        <v>Ted</v>
      </c>
      <c r="E1523" s="42">
        <f>IFERROR(__xludf.DUMMYFUNCTION("""COMPUTED_VALUE"""),1.0)</f>
        <v>1</v>
      </c>
      <c r="F1523" s="42" t="str">
        <f>IFERROR(__xludf.DUMMYFUNCTION("""COMPUTED_VALUE"""),"A")</f>
        <v>A</v>
      </c>
      <c r="G1523" s="42" t="str">
        <f>IFERROR(__xludf.DUMMYFUNCTION("""COMPUTED_VALUE"""),"None")</f>
        <v>None</v>
      </c>
      <c r="H1523" s="42" t="str">
        <f>IFERROR(__xludf.DUMMYFUNCTION("""COMPUTED_VALUE"""),"-")</f>
        <v>-</v>
      </c>
      <c r="I1523" s="43" t="str">
        <f>IFERROR(__xludf.DUMMYFUNCTION("""COMPUTED_VALUE"""),"This SPELL card can be played only once per turn (per player). Place 1 MP counter on your Ted MAMODO card.")</f>
        <v>This SPELL card can be played only once per turn (per player). Place 1 MP counter on your Ted MAMODO card.</v>
      </c>
      <c r="J1523" s="42" t="str">
        <f>IFERROR(__xludf.DUMMYFUNCTION("""COMPUTED_VALUE"""),"Special")</f>
        <v>Special</v>
      </c>
      <c r="K1523" s="42" t="str">
        <f>IFERROR(__xludf.DUMMYFUNCTION("""COMPUTED_VALUE"""),"-")</f>
        <v>-</v>
      </c>
      <c r="L1523" s="42" t="str">
        <f>IFERROR(__xludf.DUMMYFUNCTION("""COMPUTED_VALUE"""),"-")</f>
        <v>-</v>
      </c>
      <c r="M1523" s="42" t="str">
        <f>IFERROR(__xludf.DUMMYFUNCTION("""COMPUTED_VALUE"""),"[C]")</f>
        <v>[C]</v>
      </c>
      <c r="N1523" s="42" t="str">
        <f>IFERROR(__xludf.DUMMYFUNCTION("""COMPUTED_VALUE"""),"Command:Ted")</f>
        <v>Command:Ted</v>
      </c>
      <c r="O1523" s="42"/>
      <c r="P1523" s="42"/>
      <c r="Q1523" s="42"/>
      <c r="R1523" s="42"/>
      <c r="S1523" s="42"/>
      <c r="T1523" s="42"/>
      <c r="U1523" s="42"/>
      <c r="V1523" s="42"/>
      <c r="W1523" s="42"/>
      <c r="X1523" s="42"/>
      <c r="Y1523" s="42"/>
      <c r="Z1523" s="42"/>
    </row>
    <row r="1524">
      <c r="A1524" s="41" t="str">
        <f>IFERROR(__xludf.DUMMYFUNCTION("""COMPUTED_VALUE"""),"S-394")</f>
        <v>S-394</v>
      </c>
      <c r="B1524" s="42" t="str">
        <f>IFERROR(__xludf.DUMMYFUNCTION("""COMPUTED_VALUE"""),"Spell")</f>
        <v>Spell</v>
      </c>
      <c r="C1524" s="42" t="str">
        <f>IFERROR(__xludf.DUMMYFUNCTION("""COMPUTED_VALUE"""),"Diogikor Gidoruk")</f>
        <v>Diogikor Gidoruk</v>
      </c>
      <c r="D1524" s="42" t="str">
        <f>IFERROR(__xludf.DUMMYFUNCTION("""COMPUTED_VALUE"""),"Karudio")</f>
        <v>Karudio</v>
      </c>
      <c r="E1524" s="42">
        <f>IFERROR(__xludf.DUMMYFUNCTION("""COMPUTED_VALUE"""),4.0)</f>
        <v>4</v>
      </c>
      <c r="F1524" s="42" t="str">
        <f>IFERROR(__xludf.DUMMYFUNCTION("""COMPUTED_VALUE"""),"A")</f>
        <v>A</v>
      </c>
      <c r="G1524" s="42" t="str">
        <f>IFERROR(__xludf.DUMMYFUNCTION("""COMPUTED_VALUE"""),"Intermediate")</f>
        <v>Intermediate</v>
      </c>
      <c r="H1524" s="42" t="str">
        <f>IFERROR(__xludf.DUMMYFUNCTION("""COMPUTED_VALUE"""),"-")</f>
        <v>-</v>
      </c>
      <c r="I1524" s="43" t="str">
        <f>IFERROR(__xludf.DUMMYFUNCTION("""COMPUTED_VALUE"""),"Select 1 Karudio (Diogikor Gidoruk Form) MAMODO card from any page of your Spell Book and put it in play. ● This SPELL card can be played, and the Karudio (Diogikor Gidoruk Form) MAMODO card can be put in play, even when you don't have a Karudio MAMODO ca"&amp;"rd in play. ● If you have a Karudio MAMODO in play, place it on that Karudio card.")</f>
        <v>Select 1 Karudio (Diogikor Gidoruk Form) MAMODO card from any page of your Spell Book and put it in play. ● This SPELL card can be played, and the Karudio (Diogikor Gidoruk Form) MAMODO card can be put in play, even when you don't have a Karudio MAMODO card in play. ● If you have a Karudio MAMODO in play, place it on that Karudio card.</v>
      </c>
      <c r="J1524" s="42" t="str">
        <f>IFERROR(__xludf.DUMMYFUNCTION("""COMPUTED_VALUE"""),"Special")</f>
        <v>Special</v>
      </c>
      <c r="K1524" s="42" t="str">
        <f>IFERROR(__xludf.DUMMYFUNCTION("""COMPUTED_VALUE"""),"-")</f>
        <v>-</v>
      </c>
      <c r="L1524" s="42" t="str">
        <f>IFERROR(__xludf.DUMMYFUNCTION("""COMPUTED_VALUE"""),"-")</f>
        <v>-</v>
      </c>
      <c r="M1524" s="42" t="str">
        <f>IFERROR(__xludf.DUMMYFUNCTION("""COMPUTED_VALUE"""),"[U]")</f>
        <v>[U]</v>
      </c>
      <c r="N1524" s="42" t="str">
        <f>IFERROR(__xludf.DUMMYFUNCTION("""COMPUTED_VALUE"""),"Karudio's 3rd spell. ""We had to go through tough training and strengthen our emotional connection!""")</f>
        <v>Karudio's 3rd spell. "We had to go through tough training and strengthen our emotional connection!"</v>
      </c>
      <c r="O1524" s="42"/>
      <c r="P1524" s="42"/>
      <c r="Q1524" s="42"/>
      <c r="R1524" s="42"/>
      <c r="S1524" s="42"/>
      <c r="T1524" s="42"/>
      <c r="U1524" s="42"/>
      <c r="V1524" s="42"/>
      <c r="W1524" s="42"/>
      <c r="X1524" s="42"/>
      <c r="Y1524" s="42"/>
      <c r="Z1524" s="42"/>
    </row>
    <row r="1525">
      <c r="A1525" s="41" t="str">
        <f>IFERROR(__xludf.DUMMYFUNCTION("""COMPUTED_VALUE"""),"S-395")</f>
        <v>S-395</v>
      </c>
      <c r="B1525" s="42" t="str">
        <f>IFERROR(__xludf.DUMMYFUNCTION("""COMPUTED_VALUE"""),"Spell")</f>
        <v>Spell</v>
      </c>
      <c r="C1525" s="42" t="str">
        <f>IFERROR(__xludf.DUMMYFUNCTION("""COMPUTED_VALUE"""),"Bao Zakeruga")</f>
        <v>Bao Zakeruga</v>
      </c>
      <c r="D1525" s="42" t="str">
        <f>IFERROR(__xludf.DUMMYFUNCTION("""COMPUTED_VALUE"""),"Zatch Bell")</f>
        <v>Zatch Bell</v>
      </c>
      <c r="E1525" s="42">
        <f>IFERROR(__xludf.DUMMYFUNCTION("""COMPUTED_VALUE"""),3.0)</f>
        <v>3</v>
      </c>
      <c r="F1525" s="42" t="str">
        <f>IFERROR(__xludf.DUMMYFUNCTION("""COMPUTED_VALUE"""),"AD")</f>
        <v>AD</v>
      </c>
      <c r="G1525" s="42" t="str">
        <f>IFERROR(__xludf.DUMMYFUNCTION("""COMPUTED_VALUE"""),"Superior")</f>
        <v>Superior</v>
      </c>
      <c r="H1525" s="42" t="str">
        <f>IFERROR(__xludf.DUMMYFUNCTION("""COMPUTED_VALUE"""),"Thunder")</f>
        <v>Thunder</v>
      </c>
      <c r="I1525" s="43" t="str">
        <f>IFERROR(__xludf.DUMMYFUNCTION("""COMPUTED_VALUE"""),"Damage your opponent's Spell Book when you win the Battle as an Attacker. When you declare the play of this SPELL card, you may pay an additional 3 MP as many times as you desire to add 3000 Power and 1 Damage to this SPELL card. When you inflict Damage o"&amp;"r Injury, and you have already played a Baber Gravidon SPELL card during this turn, turn 1 page of your opponent's Spell Book.")</f>
        <v>Damage your opponent's Spell Book when you win the Battle as an Attacker. When you declare the play of this SPELL card, you may pay an additional 3 MP as many times as you desire to add 3000 Power and 1 Damage to this SPELL card. When you inflict Damage or Injury, and you have already played a Baber Gravidon SPELL card during this turn, turn 1 page of your opponent's Spell Book.</v>
      </c>
      <c r="J1525" s="42" t="str">
        <f>IFERROR(__xludf.DUMMYFUNCTION("""COMPUTED_VALUE"""),"+3000")</f>
        <v>+3000</v>
      </c>
      <c r="K1525" s="42">
        <f>IFERROR(__xludf.DUMMYFUNCTION("""COMPUTED_VALUE"""),1.0)</f>
        <v>1</v>
      </c>
      <c r="L1525" s="42" t="str">
        <f>IFERROR(__xludf.DUMMYFUNCTION("""COMPUTED_VALUE"""),"-")</f>
        <v>-</v>
      </c>
      <c r="M1525" s="42" t="str">
        <f>IFERROR(__xludf.DUMMYFUNCTION("""COMPUTED_VALUE"""),"[SR]")</f>
        <v>[SR]</v>
      </c>
      <c r="N1525" s="42" t="str">
        <f>IFERROR(__xludf.DUMMYFUNCTION("""COMPUTED_VALUE"""),"Zatch's 4th spell. ""Put everything you've got into this spell! We'll win, no matter what!""")</f>
        <v>Zatch's 4th spell. "Put everything you've got into this spell! We'll win, no matter what!"</v>
      </c>
      <c r="O1525" s="42"/>
      <c r="P1525" s="42"/>
      <c r="Q1525" s="42"/>
      <c r="R1525" s="42"/>
      <c r="S1525" s="42"/>
      <c r="T1525" s="42"/>
      <c r="U1525" s="42"/>
      <c r="V1525" s="42"/>
      <c r="W1525" s="42"/>
      <c r="X1525" s="42"/>
      <c r="Y1525" s="42"/>
      <c r="Z1525" s="42"/>
    </row>
    <row r="1526">
      <c r="A1526" s="41" t="str">
        <f>IFERROR(__xludf.DUMMYFUNCTION("""COMPUTED_VALUE"""),"S-396")</f>
        <v>S-396</v>
      </c>
      <c r="B1526" s="42" t="str">
        <f>IFERROR(__xludf.DUMMYFUNCTION("""COMPUTED_VALUE"""),"Spell")</f>
        <v>Spell</v>
      </c>
      <c r="C1526" s="42" t="str">
        <f>IFERROR(__xludf.DUMMYFUNCTION("""COMPUTED_VALUE"""),"Zakeruga (360° Spread)")</f>
        <v>Zakeruga (360° Spread)</v>
      </c>
      <c r="D1526" s="42" t="str">
        <f>IFERROR(__xludf.DUMMYFUNCTION("""COMPUTED_VALUE"""),"Zatch Bell")</f>
        <v>Zatch Bell</v>
      </c>
      <c r="E1526" s="42">
        <f>IFERROR(__xludf.DUMMYFUNCTION("""COMPUTED_VALUE"""),3.0)</f>
        <v>3</v>
      </c>
      <c r="F1526" s="42" t="str">
        <f>IFERROR(__xludf.DUMMYFUNCTION("""COMPUTED_VALUE"""),"A")</f>
        <v>A</v>
      </c>
      <c r="G1526" s="42" t="str">
        <f>IFERROR(__xludf.DUMMYFUNCTION("""COMPUTED_VALUE"""),"None")</f>
        <v>None</v>
      </c>
      <c r="H1526" s="42" t="str">
        <f>IFERROR(__xludf.DUMMYFUNCTION("""COMPUTED_VALUE"""),"Thunder")</f>
        <v>Thunder</v>
      </c>
      <c r="I1526" s="43" t="str">
        <f>IFERROR(__xludf.DUMMYFUNCTION("""COMPUTED_VALUE"""),"Flip a coin 3 times when you win the Battle as an Attacker; select a number of your opponent's in-play cards equal to the number of heads you get times 1. If it is a MAMODO card, Injure the MAMODO card. Otherwise, send the selected card(s) to the Discard "&amp;"Pile.")</f>
        <v>Flip a coin 3 times when you win the Battle as an Attacker; select a number of your opponent's in-play cards equal to the number of heads you get times 1. If it is a MAMODO card, Injure the MAMODO card. Otherwise, send the selected card(s) to the Discard Pile.</v>
      </c>
      <c r="J1526" s="42" t="str">
        <f>IFERROR(__xludf.DUMMYFUNCTION("""COMPUTED_VALUE"""),"+3000")</f>
        <v>+3000</v>
      </c>
      <c r="K1526" s="42" t="str">
        <f>IFERROR(__xludf.DUMMYFUNCTION("""COMPUTED_VALUE"""),"-")</f>
        <v>-</v>
      </c>
      <c r="L1526" s="42" t="str">
        <f>IFERROR(__xludf.DUMMYFUNCTION("""COMPUTED_VALUE"""),"-")</f>
        <v>-</v>
      </c>
      <c r="M1526" s="42" t="str">
        <f>IFERROR(__xludf.DUMMYFUNCTION("""COMPUTED_VALUE"""),"[R]")</f>
        <v>[R]</v>
      </c>
      <c r="N1526" s="42" t="str">
        <f>IFERROR(__xludf.DUMMYFUNCTION("""COMPUTED_VALUE"""),"Zatch's 5th spell. If Kiyo swings Zatch around as Zakeruga is fired, the results can be quite effective!")</f>
        <v>Zatch's 5th spell. If Kiyo swings Zatch around as Zakeruga is fired, the results can be quite effective!</v>
      </c>
      <c r="O1526" s="42"/>
      <c r="P1526" s="42"/>
      <c r="Q1526" s="42"/>
      <c r="R1526" s="42"/>
      <c r="S1526" s="42"/>
      <c r="T1526" s="42"/>
      <c r="U1526" s="42"/>
      <c r="V1526" s="42"/>
      <c r="W1526" s="42"/>
      <c r="X1526" s="42"/>
      <c r="Y1526" s="42"/>
      <c r="Z1526" s="42"/>
    </row>
    <row r="1527">
      <c r="A1527" s="41" t="str">
        <f>IFERROR(__xludf.DUMMYFUNCTION("""COMPUTED_VALUE"""),"S-397")</f>
        <v>S-397</v>
      </c>
      <c r="B1527" s="42" t="str">
        <f>IFERROR(__xludf.DUMMYFUNCTION("""COMPUTED_VALUE"""),"Spell")</f>
        <v>Spell</v>
      </c>
      <c r="C1527" s="42" t="str">
        <f>IFERROR(__xludf.DUMMYFUNCTION("""COMPUTED_VALUE"""),"Reis")</f>
        <v>Reis</v>
      </c>
      <c r="D1527" s="42" t="str">
        <f>IFERROR(__xludf.DUMMYFUNCTION("""COMPUTED_VALUE"""),"Brago")</f>
        <v>Brago</v>
      </c>
      <c r="E1527" s="42">
        <f>IFERROR(__xludf.DUMMYFUNCTION("""COMPUTED_VALUE"""),1.0)</f>
        <v>1</v>
      </c>
      <c r="F1527" s="42" t="str">
        <f>IFERROR(__xludf.DUMMYFUNCTION("""COMPUTED_VALUE"""),"A")</f>
        <v>A</v>
      </c>
      <c r="G1527" s="42" t="str">
        <f>IFERROR(__xludf.DUMMYFUNCTION("""COMPUTED_VALUE"""),"None")</f>
        <v>None</v>
      </c>
      <c r="H1527" s="42" t="str">
        <f>IFERROR(__xludf.DUMMYFUNCTION("""COMPUTED_VALUE"""),"Down Force")</f>
        <v>Down Force</v>
      </c>
      <c r="I1527" s="43" t="str">
        <f>IFERROR(__xludf.DUMMYFUNCTION("""COMPUTED_VALUE"""),"Damage your opponent's Spell Book when you win the Battle as an Attacker.")</f>
        <v>Damage your opponent's Spell Book when you win the Battle as an Attacker.</v>
      </c>
      <c r="J1527" s="42" t="str">
        <f>IFERROR(__xludf.DUMMYFUNCTION("""COMPUTED_VALUE"""),"+1000")</f>
        <v>+1000</v>
      </c>
      <c r="K1527" s="42">
        <f>IFERROR(__xludf.DUMMYFUNCTION("""COMPUTED_VALUE"""),2.0)</f>
        <v>2</v>
      </c>
      <c r="L1527" s="42" t="str">
        <f>IFERROR(__xludf.DUMMYFUNCTION("""COMPUTED_VALUE"""),"-")</f>
        <v>-</v>
      </c>
      <c r="M1527" s="42" t="str">
        <f>IFERROR(__xludf.DUMMYFUNCTION("""COMPUTED_VALUE"""),"[C]")</f>
        <v>[C]</v>
      </c>
      <c r="N1527" s="42" t="str">
        <f>IFERROR(__xludf.DUMMYFUNCTION("""COMPUTED_VALUE"""),"Brago's 1st spell. A dark gravity cluster of gravity is launched from the palm of his hand.")</f>
        <v>Brago's 1st spell. A dark gravity cluster of gravity is launched from the palm of his hand.</v>
      </c>
      <c r="O1527" s="42"/>
      <c r="P1527" s="42"/>
      <c r="Q1527" s="42"/>
      <c r="R1527" s="42"/>
      <c r="S1527" s="42"/>
      <c r="T1527" s="42"/>
      <c r="U1527" s="42"/>
      <c r="V1527" s="42"/>
      <c r="W1527" s="42"/>
      <c r="X1527" s="42"/>
      <c r="Y1527" s="42"/>
      <c r="Z1527" s="42"/>
    </row>
    <row r="1528">
      <c r="A1528" s="41" t="str">
        <f>IFERROR(__xludf.DUMMYFUNCTION("""COMPUTED_VALUE"""),"S-398")</f>
        <v>S-398</v>
      </c>
      <c r="B1528" s="42" t="str">
        <f>IFERROR(__xludf.DUMMYFUNCTION("""COMPUTED_VALUE"""),"Spell")</f>
        <v>Spell</v>
      </c>
      <c r="C1528" s="42" t="str">
        <f>IFERROR(__xludf.DUMMYFUNCTION("""COMPUTED_VALUE"""),"Giganoreis")</f>
        <v>Giganoreis</v>
      </c>
      <c r="D1528" s="42" t="str">
        <f>IFERROR(__xludf.DUMMYFUNCTION("""COMPUTED_VALUE"""),"Brago")</f>
        <v>Brago</v>
      </c>
      <c r="E1528" s="42">
        <f>IFERROR(__xludf.DUMMYFUNCTION("""COMPUTED_VALUE"""),2.0)</f>
        <v>2</v>
      </c>
      <c r="F1528" s="42" t="str">
        <f>IFERROR(__xludf.DUMMYFUNCTION("""COMPUTED_VALUE"""),"AD")</f>
        <v>AD</v>
      </c>
      <c r="G1528" s="42" t="str">
        <f>IFERROR(__xludf.DUMMYFUNCTION("""COMPUTED_VALUE"""),"None")</f>
        <v>None</v>
      </c>
      <c r="H1528" s="42" t="str">
        <f>IFERROR(__xludf.DUMMYFUNCTION("""COMPUTED_VALUE"""),"Down Force")</f>
        <v>Down Force</v>
      </c>
      <c r="I1528" s="43" t="str">
        <f>IFERROR(__xludf.DUMMYFUNCTION("""COMPUTED_VALUE"""),"Apply 1 of the following effects when you win the Battle as an Attacker: ● Damage your opponent's Spell Book. ● Send 1 of your opponent's in-play cards (except MAMODO cards) to the Discard Pile.")</f>
        <v>Apply 1 of the following effects when you win the Battle as an Attacker: ● Damage your opponent's Spell Book. ● Send 1 of your opponent's in-play cards (except MAMODO cards) to the Discard Pile.</v>
      </c>
      <c r="J1528" s="42" t="str">
        <f>IFERROR(__xludf.DUMMYFUNCTION("""COMPUTED_VALUE"""),"+2000")</f>
        <v>+2000</v>
      </c>
      <c r="K1528" s="42">
        <f>IFERROR(__xludf.DUMMYFUNCTION("""COMPUTED_VALUE"""),2.0)</f>
        <v>2</v>
      </c>
      <c r="L1528" s="42" t="str">
        <f>IFERROR(__xludf.DUMMYFUNCTION("""COMPUTED_VALUE"""),"-")</f>
        <v>-</v>
      </c>
      <c r="M1528" s="42" t="str">
        <f>IFERROR(__xludf.DUMMYFUNCTION("""COMPUTED_VALUE"""),"[C]")</f>
        <v>[C]</v>
      </c>
      <c r="N1528" s="42" t="str">
        <f>IFERROR(__xludf.DUMMYFUNCTION("""COMPUTED_VALUE"""),"Brago's 3rd spell. He fires a sizable mass of dark energy torward Kiyo.")</f>
        <v>Brago's 3rd spell. He fires a sizable mass of dark energy torward Kiyo.</v>
      </c>
      <c r="O1528" s="42"/>
      <c r="P1528" s="42"/>
      <c r="Q1528" s="42"/>
      <c r="R1528" s="42"/>
      <c r="S1528" s="42"/>
      <c r="T1528" s="42"/>
      <c r="U1528" s="42"/>
      <c r="V1528" s="42"/>
      <c r="W1528" s="42"/>
      <c r="X1528" s="42"/>
      <c r="Y1528" s="42"/>
      <c r="Z1528" s="42"/>
    </row>
    <row r="1529">
      <c r="A1529" s="41" t="str">
        <f>IFERROR(__xludf.DUMMYFUNCTION("""COMPUTED_VALUE"""),"S-399")</f>
        <v>S-399</v>
      </c>
      <c r="B1529" s="42" t="str">
        <f>IFERROR(__xludf.DUMMYFUNCTION("""COMPUTED_VALUE"""),"Spell")</f>
        <v>Spell</v>
      </c>
      <c r="C1529" s="42" t="str">
        <f>IFERROR(__xludf.DUMMYFUNCTION("""COMPUTED_VALUE"""),"Ion Gravirei")</f>
        <v>Ion Gravirei</v>
      </c>
      <c r="D1529" s="42" t="str">
        <f>IFERROR(__xludf.DUMMYFUNCTION("""COMPUTED_VALUE"""),"Brago")</f>
        <v>Brago</v>
      </c>
      <c r="E1529" s="42">
        <f>IFERROR(__xludf.DUMMYFUNCTION("""COMPUTED_VALUE"""),3.0)</f>
        <v>3</v>
      </c>
      <c r="F1529" s="42" t="str">
        <f>IFERROR(__xludf.DUMMYFUNCTION("""COMPUTED_VALUE"""),"A")</f>
        <v>A</v>
      </c>
      <c r="G1529" s="42" t="str">
        <f>IFERROR(__xludf.DUMMYFUNCTION("""COMPUTED_VALUE"""),"None")</f>
        <v>None</v>
      </c>
      <c r="H1529" s="42" t="str">
        <f>IFERROR(__xludf.DUMMYFUNCTION("""COMPUTED_VALUE"""),"Down Force")</f>
        <v>Down Force</v>
      </c>
      <c r="I1529" s="43" t="str">
        <f>IFERROR(__xludf.DUMMYFUNCTION("""COMPUTED_VALUE"""),"Damage your opponent's Spell Book when you win the Battle as an Attacker. When you inflict Damage or Injury, your opponent cannot put any cards in play (except MAMODO cards) until the END PHASE of the next turn ([STAY]).")</f>
        <v>Damage your opponent's Spell Book when you win the Battle as an Attacker. When you inflict Damage or Injury, your opponent cannot put any cards in play (except MAMODO cards) until the END PHASE of the next turn ([STAY]).</v>
      </c>
      <c r="J1529" s="42" t="str">
        <f>IFERROR(__xludf.DUMMYFUNCTION("""COMPUTED_VALUE"""),"+3000")</f>
        <v>+3000</v>
      </c>
      <c r="K1529" s="42">
        <f>IFERROR(__xludf.DUMMYFUNCTION("""COMPUTED_VALUE"""),2.0)</f>
        <v>2</v>
      </c>
      <c r="L1529" s="42" t="str">
        <f>IFERROR(__xludf.DUMMYFUNCTION("""COMPUTED_VALUE"""),"-")</f>
        <v>-</v>
      </c>
      <c r="M1529" s="42" t="str">
        <f>IFERROR(__xludf.DUMMYFUNCTION("""COMPUTED_VALUE"""),"[U]")</f>
        <v>[U]</v>
      </c>
      <c r="N1529" s="42" t="str">
        <f>IFERROR(__xludf.DUMMYFUNCTION("""COMPUTED_VALUE"""),"Brago's 4th spell. ""I don't know what you're planning, but don't mess with me!""")</f>
        <v>Brago's 4th spell. "I don't know what you're planning, but don't mess with me!"</v>
      </c>
      <c r="O1529" s="42"/>
      <c r="P1529" s="42"/>
      <c r="Q1529" s="42"/>
      <c r="R1529" s="42"/>
      <c r="S1529" s="42"/>
      <c r="T1529" s="42"/>
      <c r="U1529" s="42"/>
      <c r="V1529" s="42"/>
      <c r="W1529" s="42"/>
      <c r="X1529" s="42"/>
      <c r="Y1529" s="42"/>
      <c r="Z1529" s="42"/>
    </row>
    <row r="1530">
      <c r="A1530" s="41" t="str">
        <f>IFERROR(__xludf.DUMMYFUNCTION("""COMPUTED_VALUE"""),"S-400")</f>
        <v>S-400</v>
      </c>
      <c r="B1530" s="42" t="str">
        <f>IFERROR(__xludf.DUMMYFUNCTION("""COMPUTED_VALUE"""),"Spell")</f>
        <v>Spell</v>
      </c>
      <c r="C1530" s="42" t="str">
        <f>IFERROR(__xludf.DUMMYFUNCTION("""COMPUTED_VALUE"""),"Dioga Gravidon")</f>
        <v>Dioga Gravidon</v>
      </c>
      <c r="D1530" s="42" t="str">
        <f>IFERROR(__xludf.DUMMYFUNCTION("""COMPUTED_VALUE"""),"Brago")</f>
        <v>Brago</v>
      </c>
      <c r="E1530" s="42">
        <f>IFERROR(__xludf.DUMMYFUNCTION("""COMPUTED_VALUE"""),4.0)</f>
        <v>4</v>
      </c>
      <c r="F1530" s="42" t="str">
        <f>IFERROR(__xludf.DUMMYFUNCTION("""COMPUTED_VALUE"""),"AD")</f>
        <v>AD</v>
      </c>
      <c r="G1530" s="42" t="str">
        <f>IFERROR(__xludf.DUMMYFUNCTION("""COMPUTED_VALUE"""),"Superior")</f>
        <v>Superior</v>
      </c>
      <c r="H1530" s="42" t="str">
        <f>IFERROR(__xludf.DUMMYFUNCTION("""COMPUTED_VALUE"""),"Down Force")</f>
        <v>Down Force</v>
      </c>
      <c r="I1530" s="43" t="str">
        <f>IFERROR(__xludf.DUMMYFUNCTION("""COMPUTED_VALUE"""),"Injure all of your opponent's MAMODO cards when you win the Battle as an Attacker.")</f>
        <v>Injure all of your opponent's MAMODO cards when you win the Battle as an Attacker.</v>
      </c>
      <c r="J1530" s="42" t="str">
        <f>IFERROR(__xludf.DUMMYFUNCTION("""COMPUTED_VALUE"""),"+4000")</f>
        <v>+4000</v>
      </c>
      <c r="K1530" s="42" t="str">
        <f>IFERROR(__xludf.DUMMYFUNCTION("""COMPUTED_VALUE"""),"-")</f>
        <v>-</v>
      </c>
      <c r="L1530" s="42" t="str">
        <f>IFERROR(__xludf.DUMMYFUNCTION("""COMPUTED_VALUE"""),"-")</f>
        <v>-</v>
      </c>
      <c r="M1530" s="42" t="str">
        <f>IFERROR(__xludf.DUMMYFUNCTION("""COMPUTED_VALUE"""),"[R]")</f>
        <v>[R]</v>
      </c>
      <c r="N1530" s="42" t="str">
        <f>IFERROR(__xludf.DUMMYFUNCTION("""COMPUTED_VALUE"""),"Brago's 5th spell. ""Take this! DIOGA GRAVIDON!"" Two spells of immense proportions collide in battle.")</f>
        <v>Brago's 5th spell. "Take this! DIOGA GRAVIDON!" Two spells of immense proportions collide in battle.</v>
      </c>
      <c r="O1530" s="42"/>
      <c r="P1530" s="42"/>
      <c r="Q1530" s="42"/>
      <c r="R1530" s="42"/>
      <c r="S1530" s="42"/>
      <c r="T1530" s="42"/>
      <c r="U1530" s="42"/>
      <c r="V1530" s="42"/>
      <c r="W1530" s="42"/>
      <c r="X1530" s="42"/>
      <c r="Y1530" s="42"/>
      <c r="Z1530" s="42"/>
    </row>
    <row r="1531">
      <c r="A1531" s="41" t="str">
        <f>IFERROR(__xludf.DUMMYFUNCTION("""COMPUTED_VALUE"""),"S-401")</f>
        <v>S-401</v>
      </c>
      <c r="B1531" s="42" t="str">
        <f>IFERROR(__xludf.DUMMYFUNCTION("""COMPUTED_VALUE"""),"Spell")</f>
        <v>Spell</v>
      </c>
      <c r="C1531" s="42" t="str">
        <f>IFERROR(__xludf.DUMMYFUNCTION("""COMPUTED_VALUE"""),"Baber Gravidon")</f>
        <v>Baber Gravidon</v>
      </c>
      <c r="D1531" s="42" t="str">
        <f>IFERROR(__xludf.DUMMYFUNCTION("""COMPUTED_VALUE"""),"Brago")</f>
        <v>Brago</v>
      </c>
      <c r="E1531" s="42">
        <f>IFERROR(__xludf.DUMMYFUNCTION("""COMPUTED_VALUE"""),3.0)</f>
        <v>3</v>
      </c>
      <c r="F1531" s="42" t="str">
        <f>IFERROR(__xludf.DUMMYFUNCTION("""COMPUTED_VALUE"""),"AD")</f>
        <v>AD</v>
      </c>
      <c r="G1531" s="42" t="str">
        <f>IFERROR(__xludf.DUMMYFUNCTION("""COMPUTED_VALUE"""),"Superior")</f>
        <v>Superior</v>
      </c>
      <c r="H1531" s="42" t="str">
        <f>IFERROR(__xludf.DUMMYFUNCTION("""COMPUTED_VALUE"""),"Down Force")</f>
        <v>Down Force</v>
      </c>
      <c r="I1531" s="43" t="str">
        <f>IFERROR(__xludf.DUMMYFUNCTION("""COMPUTED_VALUE"""),"Damage your opponent's Spell Book when you win the Battle as an Attacker. When you declare the play of this SPELL card, you may pay an additional 3 MP as many times as you desire to add 3000 Power and 1 Damage to this SPELL card. When you inflict Damage o"&amp;"r Injury, and have already played a Bao Zakeruga SPELL card during this turn, reduce your opponent's MP by 3 to get 3 MP.")</f>
        <v>Damage your opponent's Spell Book when you win the Battle as an Attacker. When you declare the play of this SPELL card, you may pay an additional 3 MP as many times as you desire to add 3000 Power and 1 Damage to this SPELL card. When you inflict Damage or Injury, and have already played a Bao Zakeruga SPELL card during this turn, reduce your opponent's MP by 3 to get 3 MP.</v>
      </c>
      <c r="J1531" s="42" t="str">
        <f>IFERROR(__xludf.DUMMYFUNCTION("""COMPUTED_VALUE"""),"+3000")</f>
        <v>+3000</v>
      </c>
      <c r="K1531" s="42">
        <f>IFERROR(__xludf.DUMMYFUNCTION("""COMPUTED_VALUE"""),1.0)</f>
        <v>1</v>
      </c>
      <c r="L1531" s="42" t="str">
        <f>IFERROR(__xludf.DUMMYFUNCTION("""COMPUTED_VALUE"""),"-")</f>
        <v>-</v>
      </c>
      <c r="M1531" s="42" t="str">
        <f>IFERROR(__xludf.DUMMYFUNCTION("""COMPUTED_VALUE"""),"[SR]")</f>
        <v>[SR]</v>
      </c>
      <c r="N1531" s="42" t="str">
        <f>IFERROR(__xludf.DUMMYFUNCTION("""COMPUTED_VALUE"""),"Brago's 6th spell. ""It all comes down to this..."" ""There's no telling what could happen...""")</f>
        <v>Brago's 6th spell. "It all comes down to this..." "There's no telling what could happen..."</v>
      </c>
      <c r="O1531" s="42"/>
      <c r="P1531" s="42"/>
      <c r="Q1531" s="42"/>
      <c r="R1531" s="42"/>
      <c r="S1531" s="42"/>
      <c r="T1531" s="42"/>
      <c r="U1531" s="42"/>
      <c r="V1531" s="42"/>
      <c r="W1531" s="42"/>
      <c r="X1531" s="42"/>
      <c r="Y1531" s="42"/>
      <c r="Z1531" s="42"/>
    </row>
    <row r="1532">
      <c r="A1532" s="41" t="str">
        <f>IFERROR(__xludf.DUMMYFUNCTION("""COMPUTED_VALUE"""),"S-402")</f>
        <v>S-402</v>
      </c>
      <c r="B1532" s="42" t="str">
        <f>IFERROR(__xludf.DUMMYFUNCTION("""COMPUTED_VALUE"""),"Spell")</f>
        <v>Spell</v>
      </c>
      <c r="C1532" s="42" t="str">
        <f>IFERROR(__xludf.DUMMYFUNCTION("""COMPUTED_VALUE"""),"Rior Reis")</f>
        <v>Rior Reis</v>
      </c>
      <c r="D1532" s="42" t="str">
        <f>IFERROR(__xludf.DUMMYFUNCTION("""COMPUTED_VALUE"""),"Brago")</f>
        <v>Brago</v>
      </c>
      <c r="E1532" s="42">
        <f>IFERROR(__xludf.DUMMYFUNCTION("""COMPUTED_VALUE"""),2.0)</f>
        <v>2</v>
      </c>
      <c r="F1532" s="42" t="str">
        <f>IFERROR(__xludf.DUMMYFUNCTION("""COMPUTED_VALUE"""),"A")</f>
        <v>A</v>
      </c>
      <c r="G1532" s="42" t="str">
        <f>IFERROR(__xludf.DUMMYFUNCTION("""COMPUTED_VALUE"""),"None")</f>
        <v>None</v>
      </c>
      <c r="H1532" s="42" t="str">
        <f>IFERROR(__xludf.DUMMYFUNCTION("""COMPUTED_VALUE"""),"Down Force")</f>
        <v>Down Force</v>
      </c>
      <c r="I1532" s="43" t="str">
        <f>IFERROR(__xludf.DUMMYFUNCTION("""COMPUTED_VALUE"""),"This SPELL card can be played up to twice per turn (per player). Damage your opponent's Spell Book when you win the Battle as an Attacker.")</f>
        <v>This SPELL card can be played up to twice per turn (per player). Damage your opponent's Spell Book when you win the Battle as an Attacker.</v>
      </c>
      <c r="J1532" s="42" t="str">
        <f>IFERROR(__xludf.DUMMYFUNCTION("""COMPUTED_VALUE"""),"+2000")</f>
        <v>+2000</v>
      </c>
      <c r="K1532" s="42">
        <f>IFERROR(__xludf.DUMMYFUNCTION("""COMPUTED_VALUE"""),2.0)</f>
        <v>2</v>
      </c>
      <c r="L1532" s="42" t="str">
        <f>IFERROR(__xludf.DUMMYFUNCTION("""COMPUTED_VALUE"""),"-")</f>
        <v>-</v>
      </c>
      <c r="M1532" s="42" t="str">
        <f>IFERROR(__xludf.DUMMYFUNCTION("""COMPUTED_VALUE"""),"[R]")</f>
        <v>[R]</v>
      </c>
      <c r="N1532" s="42" t="str">
        <f>IFERROR(__xludf.DUMMYFUNCTION("""COMPUTED_VALUE"""),"Brago's 7th spell. He tosses his book into the air and thrusts both hands forward to send forth dual beams of dark energy.")</f>
        <v>Brago's 7th spell. He tosses his book into the air and thrusts both hands forward to send forth dual beams of dark energy.</v>
      </c>
      <c r="O1532" s="42"/>
      <c r="P1532" s="42"/>
      <c r="Q1532" s="42"/>
      <c r="R1532" s="42"/>
      <c r="S1532" s="42"/>
      <c r="T1532" s="42"/>
      <c r="U1532" s="42"/>
      <c r="V1532" s="42"/>
      <c r="W1532" s="42"/>
      <c r="X1532" s="42"/>
      <c r="Y1532" s="42"/>
      <c r="Z1532" s="42"/>
    </row>
    <row r="1533">
      <c r="A1533" s="41" t="str">
        <f>IFERROR(__xludf.DUMMYFUNCTION("""COMPUTED_VALUE"""),"S-403")</f>
        <v>S-403</v>
      </c>
      <c r="B1533" s="42" t="str">
        <f>IFERROR(__xludf.DUMMYFUNCTION("""COMPUTED_VALUE"""),"Spell")</f>
        <v>Spell</v>
      </c>
      <c r="C1533" s="42" t="str">
        <f>IFERROR(__xludf.DUMMYFUNCTION("""COMPUTED_VALUE"""),"Seoshi")</f>
        <v>Seoshi</v>
      </c>
      <c r="D1533" s="42" t="str">
        <f>IFERROR(__xludf.DUMMYFUNCTION("""COMPUTED_VALUE"""),"Tia")</f>
        <v>Tia</v>
      </c>
      <c r="E1533" s="42">
        <f>IFERROR(__xludf.DUMMYFUNCTION("""COMPUTED_VALUE"""),1.0)</f>
        <v>1</v>
      </c>
      <c r="F1533" s="42" t="str">
        <f>IFERROR(__xludf.DUMMYFUNCTION("""COMPUTED_VALUE"""),"D")</f>
        <v>D</v>
      </c>
      <c r="G1533" s="42" t="str">
        <f>IFERROR(__xludf.DUMMYFUNCTION("""COMPUTED_VALUE"""),"None")</f>
        <v>None</v>
      </c>
      <c r="H1533" s="42" t="str">
        <f>IFERROR(__xludf.DUMMYFUNCTION("""COMPUTED_VALUE"""),"-")</f>
        <v>-</v>
      </c>
      <c r="I1533" s="43" t="str">
        <f>IFERROR(__xludf.DUMMYFUNCTION("""COMPUTED_VALUE"""),"Negate your opponent's Attack when you win the Battle as a Defender. [STAY] Regardless of their Power, your opponent cannot Attack again during this turn.")</f>
        <v>Negate your opponent's Attack when you win the Battle as a Defender. [STAY] Regardless of their Power, your opponent cannot Attack again during this turn.</v>
      </c>
      <c r="J1533" s="42" t="str">
        <f>IFERROR(__xludf.DUMMYFUNCTION("""COMPUTED_VALUE"""),"+4000")</f>
        <v>+4000</v>
      </c>
      <c r="K1533" s="42" t="str">
        <f>IFERROR(__xludf.DUMMYFUNCTION("""COMPUTED_VALUE"""),"-")</f>
        <v>-</v>
      </c>
      <c r="L1533" s="42" t="str">
        <f>IFERROR(__xludf.DUMMYFUNCTION("""COMPUTED_VALUE"""),"-")</f>
        <v>-</v>
      </c>
      <c r="M1533" s="42" t="str">
        <f>IFERROR(__xludf.DUMMYFUNCTION("""COMPUTED_VALUE"""),"[C]")</f>
        <v>[C]</v>
      </c>
      <c r="N1533" s="42" t="str">
        <f>IFERROR(__xludf.DUMMYFUNCTION("""COMPUTED_VALUE"""),"Tia's 1st spell. ""Megumi, don't let the monkey get near me!""")</f>
        <v>Tia's 1st spell. "Megumi, don't let the monkey get near me!"</v>
      </c>
      <c r="O1533" s="42"/>
      <c r="P1533" s="42"/>
      <c r="Q1533" s="42"/>
      <c r="R1533" s="42"/>
      <c r="S1533" s="42"/>
      <c r="T1533" s="42"/>
      <c r="U1533" s="42"/>
      <c r="V1533" s="42"/>
      <c r="W1533" s="42"/>
      <c r="X1533" s="42"/>
      <c r="Y1533" s="42"/>
      <c r="Z1533" s="42"/>
    </row>
    <row r="1534">
      <c r="A1534" s="41" t="str">
        <f>IFERROR(__xludf.DUMMYFUNCTION("""COMPUTED_VALUE"""),"S-404")</f>
        <v>S-404</v>
      </c>
      <c r="B1534" s="42" t="str">
        <f>IFERROR(__xludf.DUMMYFUNCTION("""COMPUTED_VALUE"""),"Spell")</f>
        <v>Spell</v>
      </c>
      <c r="C1534" s="42" t="str">
        <f>IFERROR(__xludf.DUMMYFUNCTION("""COMPUTED_VALUE"""),"Saisu")</f>
        <v>Saisu</v>
      </c>
      <c r="D1534" s="42" t="str">
        <f>IFERROR(__xludf.DUMMYFUNCTION("""COMPUTED_VALUE"""),"Tia")</f>
        <v>Tia</v>
      </c>
      <c r="E1534" s="42">
        <f>IFERROR(__xludf.DUMMYFUNCTION("""COMPUTED_VALUE"""),1.0)</f>
        <v>1</v>
      </c>
      <c r="F1534" s="42" t="str">
        <f>IFERROR(__xludf.DUMMYFUNCTION("""COMPUTED_VALUE"""),"A")</f>
        <v>A</v>
      </c>
      <c r="G1534" s="42" t="str">
        <f>IFERROR(__xludf.DUMMYFUNCTION("""COMPUTED_VALUE"""),"None")</f>
        <v>None</v>
      </c>
      <c r="H1534" s="42" t="str">
        <f>IFERROR(__xludf.DUMMYFUNCTION("""COMPUTED_VALUE"""),"-")</f>
        <v>-</v>
      </c>
      <c r="I1534" s="43" t="str">
        <f>IFERROR(__xludf.DUMMYFUNCTION("""COMPUTED_VALUE"""),"Damage your opponent's Spell Book when you win the Battle as an Attacker. When you declare the play of this SPELL card, apply 1 or both of the following effects: ● Pay 1 additional MP: This SPELL card cannot be Defended. ● Pay 1 additional MP: Your oppone"&amp;"nt can neither SACRIFICE nor PROTECT their Spell Book from this SPELL card's Damage.")</f>
        <v>Damage your opponent's Spell Book when you win the Battle as an Attacker. When you declare the play of this SPELL card, apply 1 or both of the following effects: ● Pay 1 additional MP: This SPELL card cannot be Defended. ● Pay 1 additional MP: Your opponent can neither SACRIFICE nor PROTECT their Spell Book from this SPELL card's Damage.</v>
      </c>
      <c r="J1534" s="42" t="str">
        <f>IFERROR(__xludf.DUMMYFUNCTION("""COMPUTED_VALUE"""),"+2000")</f>
        <v>+2000</v>
      </c>
      <c r="K1534" s="42">
        <f>IFERROR(__xludf.DUMMYFUNCTION("""COMPUTED_VALUE"""),1.0)</f>
        <v>1</v>
      </c>
      <c r="L1534" s="42" t="str">
        <f>IFERROR(__xludf.DUMMYFUNCTION("""COMPUTED_VALUE"""),"-")</f>
        <v>-</v>
      </c>
      <c r="M1534" s="42" t="str">
        <f>IFERROR(__xludf.DUMMYFUNCTION("""COMPUTED_VALUE"""),"[C]")</f>
        <v>[C]</v>
      </c>
      <c r="N1534" s="42" t="str">
        <f>IFERROR(__xludf.DUMMYFUNCTION("""COMPUTED_VALUE"""),"Tia's 2nd spell. ""I guess I'll knock him out with Saisu and get Tia's underwear back...""")</f>
        <v>Tia's 2nd spell. "I guess I'll knock him out with Saisu and get Tia's underwear back..."</v>
      </c>
      <c r="O1534" s="42"/>
      <c r="P1534" s="42"/>
      <c r="Q1534" s="42"/>
      <c r="R1534" s="42"/>
      <c r="S1534" s="42"/>
      <c r="T1534" s="42"/>
      <c r="U1534" s="42"/>
      <c r="V1534" s="42"/>
      <c r="W1534" s="42"/>
      <c r="X1534" s="42"/>
      <c r="Y1534" s="42"/>
      <c r="Z1534" s="42"/>
    </row>
    <row r="1535">
      <c r="A1535" s="41" t="str">
        <f>IFERROR(__xludf.DUMMYFUNCTION("""COMPUTED_VALUE"""),"S-405")</f>
        <v>S-405</v>
      </c>
      <c r="B1535" s="42" t="str">
        <f>IFERROR(__xludf.DUMMYFUNCTION("""COMPUTED_VALUE"""),"Spell")</f>
        <v>Spell</v>
      </c>
      <c r="C1535" s="42" t="str">
        <f>IFERROR(__xludf.DUMMYFUNCTION("""COMPUTED_VALUE"""),"Chajiru Saifodon")</f>
        <v>Chajiru Saifodon</v>
      </c>
      <c r="D1535" s="42" t="str">
        <f>IFERROR(__xludf.DUMMYFUNCTION("""COMPUTED_VALUE"""),"Tia")</f>
        <v>Tia</v>
      </c>
      <c r="E1535" s="42">
        <f>IFERROR(__xludf.DUMMYFUNCTION("""COMPUTED_VALUE"""),2.0)</f>
        <v>2</v>
      </c>
      <c r="F1535" s="42" t="str">
        <f>IFERROR(__xludf.DUMMYFUNCTION("""COMPUTED_VALUE"""),"AD")</f>
        <v>AD</v>
      </c>
      <c r="G1535" s="42" t="str">
        <f>IFERROR(__xludf.DUMMYFUNCTION("""COMPUTED_VALUE"""),"Superior")</f>
        <v>Superior</v>
      </c>
      <c r="H1535" s="42" t="str">
        <f>IFERROR(__xludf.DUMMYFUNCTION("""COMPUTED_VALUE"""),"-")</f>
        <v>-</v>
      </c>
      <c r="I1535" s="43" t="str">
        <f>IFERROR(__xludf.DUMMYFUNCTION("""COMPUTED_VALUE"""),"Damage your opponent's Spell Book when you win the Battle as an Attacker. Add 2000 Power and 2 Damage for each of the following that happened: ● Your opponent sent cards from your Spell Book to the Discard Pile. ● Your opponent turned pages of your Spell "&amp;"Book with their card effects. ● Your opponent reduced your MP with their card effects. ● This SPELL card is being played for a Tia (Berserker) MAMODO card.")</f>
        <v>Damage your opponent's Spell Book when you win the Battle as an Attacker. Add 2000 Power and 2 Damage for each of the following that happened: ● Your opponent sent cards from your Spell Book to the Discard Pile. ● Your opponent turned pages of your Spell Book with their card effects. ● Your opponent reduced your MP with their card effects. ● This SPELL card is being played for a Tia (Berserker) MAMODO card.</v>
      </c>
      <c r="J1535" s="42" t="str">
        <f>IFERROR(__xludf.DUMMYFUNCTION("""COMPUTED_VALUE"""),"+2000")</f>
        <v>+2000</v>
      </c>
      <c r="K1535" s="42">
        <f>IFERROR(__xludf.DUMMYFUNCTION("""COMPUTED_VALUE"""),0.0)</f>
        <v>0</v>
      </c>
      <c r="L1535" s="42" t="str">
        <f>IFERROR(__xludf.DUMMYFUNCTION("""COMPUTED_VALUE"""),"-")</f>
        <v>-</v>
      </c>
      <c r="M1535" s="42" t="str">
        <f>IFERROR(__xludf.DUMMYFUNCTION("""COMPUTED_VALUE"""),"[SR]")</f>
        <v>[SR]</v>
      </c>
      <c r="N1535" s="42" t="str">
        <f>IFERROR(__xludf.DUMMYFUNCTION("""COMPUTED_VALUE"""),"Tia's 6th spell. Her feelings of humiliation and hatred make the spell more and more powerful with each passing second.")</f>
        <v>Tia's 6th spell. Her feelings of humiliation and hatred make the spell more and more powerful with each passing second.</v>
      </c>
      <c r="O1535" s="42"/>
      <c r="P1535" s="42"/>
      <c r="Q1535" s="42"/>
      <c r="R1535" s="42"/>
      <c r="S1535" s="42"/>
      <c r="T1535" s="42"/>
      <c r="U1535" s="42"/>
      <c r="V1535" s="42"/>
      <c r="W1535" s="42"/>
      <c r="X1535" s="42"/>
      <c r="Y1535" s="42"/>
      <c r="Z1535" s="42"/>
    </row>
    <row r="1536">
      <c r="A1536" s="41" t="str">
        <f>IFERROR(__xludf.DUMMYFUNCTION("""COMPUTED_VALUE"""),"S-406")</f>
        <v>S-406</v>
      </c>
      <c r="B1536" s="42" t="str">
        <f>IFERROR(__xludf.DUMMYFUNCTION("""COMPUTED_VALUE"""),"Spell")</f>
        <v>Spell</v>
      </c>
      <c r="C1536" s="42" t="str">
        <f>IFERROR(__xludf.DUMMYFUNCTION("""COMPUTED_VALUE"""),"Baber Very Melon")</f>
        <v>Baber Very Melon</v>
      </c>
      <c r="D1536" s="42" t="str">
        <f>IFERROR(__xludf.DUMMYFUNCTION("""COMPUTED_VALUE"""),"Victoream")</f>
        <v>Victoream</v>
      </c>
      <c r="E1536" s="42">
        <f>IFERROR(__xludf.DUMMYFUNCTION("""COMPUTED_VALUE"""),8.0)</f>
        <v>8</v>
      </c>
      <c r="F1536" s="42" t="str">
        <f>IFERROR(__xludf.DUMMYFUNCTION("""COMPUTED_VALUE"""),"AD")</f>
        <v>AD</v>
      </c>
      <c r="G1536" s="42" t="str">
        <f>IFERROR(__xludf.DUMMYFUNCTION("""COMPUTED_VALUE"""),"Superior")</f>
        <v>Superior</v>
      </c>
      <c r="H1536" s="42" t="str">
        <f>IFERROR(__xludf.DUMMYFUNCTION("""COMPUTED_VALUE"""),"-")</f>
        <v>-</v>
      </c>
      <c r="I1536" s="43" t="str">
        <f>IFERROR(__xludf.DUMMYFUNCTION("""COMPUTED_VALUE"""),"Damage your opponent's Spell Book when you win the Battle as an Attacker. Your opponent cannot play EVENT cards during the Battle this SPELL card is played. Before comparing Total Power, negate all [Stay] OR [Standby] effects.")</f>
        <v>Damage your opponent's Spell Book when you win the Battle as an Attacker. Your opponent cannot play EVENT cards during the Battle this SPELL card is played. Before comparing Total Power, negate all [Stay] OR [Standby] effects.</v>
      </c>
      <c r="J1536" s="42" t="str">
        <f>IFERROR(__xludf.DUMMYFUNCTION("""COMPUTED_VALUE"""),"+6000")</f>
        <v>+6000</v>
      </c>
      <c r="K1536" s="42">
        <f>IFERROR(__xludf.DUMMYFUNCTION("""COMPUTED_VALUE"""),4.0)</f>
        <v>4</v>
      </c>
      <c r="L1536" s="42" t="str">
        <f>IFERROR(__xludf.DUMMYFUNCTION("""COMPUTED_VALUE"""),"-")</f>
        <v>-</v>
      </c>
      <c r="M1536" s="42" t="str">
        <f>IFERROR(__xludf.DUMMYFUNCTION("""COMPUTED_VALUE"""),"[SR]")</f>
        <v>[SR]</v>
      </c>
      <c r="N1536" s="42" t="str">
        <f>IFERROR(__xludf.DUMMYFUNCTION("""COMPUTED_VALUE"""),"Victoream's spell. Once he sank his teeth into the sacred melon, a brand new spell appeared when he needed it most.")</f>
        <v>Victoream's spell. Once he sank his teeth into the sacred melon, a brand new spell appeared when he needed it most.</v>
      </c>
      <c r="O1536" s="42"/>
      <c r="P1536" s="42"/>
      <c r="Q1536" s="42"/>
      <c r="R1536" s="42"/>
      <c r="S1536" s="42"/>
      <c r="T1536" s="42"/>
      <c r="U1536" s="42"/>
      <c r="V1536" s="42"/>
      <c r="W1536" s="42"/>
      <c r="X1536" s="42"/>
      <c r="Y1536" s="42"/>
      <c r="Z1536" s="42"/>
    </row>
    <row r="1537">
      <c r="A1537" s="41" t="str">
        <f>IFERROR(__xludf.DUMMYFUNCTION("""COMPUTED_VALUE"""),"S-407")</f>
        <v>S-407</v>
      </c>
      <c r="B1537" s="42" t="str">
        <f>IFERROR(__xludf.DUMMYFUNCTION("""COMPUTED_VALUE"""),"Spell")</f>
        <v>Spell</v>
      </c>
      <c r="C1537" s="42" t="str">
        <f>IFERROR(__xludf.DUMMYFUNCTION("""COMPUTED_VALUE"""),"Aborodio")</f>
        <v>Aborodio</v>
      </c>
      <c r="D1537" s="42" t="str">
        <f>IFERROR(__xludf.DUMMYFUNCTION("""COMPUTED_VALUE"""),"Rein")</f>
        <v>Rein</v>
      </c>
      <c r="E1537" s="42">
        <f>IFERROR(__xludf.DUMMYFUNCTION("""COMPUTED_VALUE"""),2.0)</f>
        <v>2</v>
      </c>
      <c r="F1537" s="42" t="str">
        <f>IFERROR(__xludf.DUMMYFUNCTION("""COMPUTED_VALUE"""),"A")</f>
        <v>A</v>
      </c>
      <c r="G1537" s="42" t="str">
        <f>IFERROR(__xludf.DUMMYFUNCTION("""COMPUTED_VALUE"""),"None")</f>
        <v>None</v>
      </c>
      <c r="H1537" s="42" t="str">
        <f>IFERROR(__xludf.DUMMYFUNCTION("""COMPUTED_VALUE"""),"-")</f>
        <v>-</v>
      </c>
      <c r="I1537" s="43" t="str">
        <f>IFERROR(__xludf.DUMMYFUNCTION("""COMPUTED_VALUE"""),"This SPELL card can be played up to twice per turn (per player). Damage your opponent's Spell Book when you win the Battle as an Attacker. When played for the 1st time in a turn, this SPELL card cannot be Defended. When played for the 2nd time in a turn, "&amp;"your opponent can neither SACRIFICE nor PROTECT their Spell Book from Damage.")</f>
        <v>This SPELL card can be played up to twice per turn (per player). Damage your opponent's Spell Book when you win the Battle as an Attacker. When played for the 1st time in a turn, this SPELL card cannot be Defended. When played for the 2nd time in a turn, your opponent can neither SACRIFICE nor PROTECT their Spell Book from Damage.</v>
      </c>
      <c r="J1537" s="42" t="str">
        <f>IFERROR(__xludf.DUMMYFUNCTION("""COMPUTED_VALUE"""),"+3000")</f>
        <v>+3000</v>
      </c>
      <c r="K1537" s="42">
        <f>IFERROR(__xludf.DUMMYFUNCTION("""COMPUTED_VALUE"""),2.0)</f>
        <v>2</v>
      </c>
      <c r="L1537" s="42" t="str">
        <f>IFERROR(__xludf.DUMMYFUNCTION("""COMPUTED_VALUE"""),"-")</f>
        <v>-</v>
      </c>
      <c r="M1537" s="42" t="str">
        <f>IFERROR(__xludf.DUMMYFUNCTION("""COMPUTED_VALUE"""),"[U]")</f>
        <v>[U]</v>
      </c>
      <c r="N1537" s="42" t="str">
        <f>IFERROR(__xludf.DUMMYFUNCTION("""COMPUTED_VALUE"""),"Rein's 1st spell. His massive claws rend the opponent both vertically and horizontally.")</f>
        <v>Rein's 1st spell. His massive claws rend the opponent both vertically and horizontally.</v>
      </c>
      <c r="O1537" s="42"/>
      <c r="P1537" s="42"/>
      <c r="Q1537" s="42"/>
      <c r="R1537" s="42"/>
      <c r="S1537" s="42"/>
      <c r="T1537" s="42"/>
      <c r="U1537" s="42"/>
      <c r="V1537" s="42"/>
      <c r="W1537" s="42"/>
      <c r="X1537" s="42"/>
      <c r="Y1537" s="42"/>
      <c r="Z1537" s="42"/>
    </row>
    <row r="1538">
      <c r="A1538" s="41" t="str">
        <f>IFERROR(__xludf.DUMMYFUNCTION("""COMPUTED_VALUE"""),"S-408")</f>
        <v>S-408</v>
      </c>
      <c r="B1538" s="42" t="str">
        <f>IFERROR(__xludf.DUMMYFUNCTION("""COMPUTED_VALUE"""),"Spell")</f>
        <v>Spell</v>
      </c>
      <c r="C1538" s="42" t="str">
        <f>IFERROR(__xludf.DUMMYFUNCTION("""COMPUTED_VALUE"""),"Argas Aborodo")</f>
        <v>Argas Aborodo</v>
      </c>
      <c r="D1538" s="42" t="str">
        <f>IFERROR(__xludf.DUMMYFUNCTION("""COMPUTED_VALUE"""),"Rein")</f>
        <v>Rein</v>
      </c>
      <c r="E1538" s="42">
        <f>IFERROR(__xludf.DUMMYFUNCTION("""COMPUTED_VALUE"""),3.0)</f>
        <v>3</v>
      </c>
      <c r="F1538" s="42" t="str">
        <f>IFERROR(__xludf.DUMMYFUNCTION("""COMPUTED_VALUE"""),"D")</f>
        <v>D</v>
      </c>
      <c r="G1538" s="42" t="str">
        <f>IFERROR(__xludf.DUMMYFUNCTION("""COMPUTED_VALUE"""),"None")</f>
        <v>None</v>
      </c>
      <c r="H1538" s="42" t="str">
        <f>IFERROR(__xludf.DUMMYFUNCTION("""COMPUTED_VALUE"""),"-")</f>
        <v>-</v>
      </c>
      <c r="I1538" s="43" t="str">
        <f>IFERROR(__xludf.DUMMYFUNCTION("""COMPUTED_VALUE"""),"Negate your opponent's Attack when you win the Battle as a Defender. Regardless of Power, your MAMODO cards do not receive Damage or Injury from your opponent's Attack.")</f>
        <v>Negate your opponent's Attack when you win the Battle as a Defender. Regardless of Power, your MAMODO cards do not receive Damage or Injury from your opponent's Attack.</v>
      </c>
      <c r="J1538" s="42" t="str">
        <f>IFERROR(__xludf.DUMMYFUNCTION("""COMPUTED_VALUE"""),"+5000")</f>
        <v>+5000</v>
      </c>
      <c r="K1538" s="42" t="str">
        <f>IFERROR(__xludf.DUMMYFUNCTION("""COMPUTED_VALUE"""),"-")</f>
        <v>-</v>
      </c>
      <c r="L1538" s="42" t="str">
        <f>IFERROR(__xludf.DUMMYFUNCTION("""COMPUTED_VALUE"""),"-")</f>
        <v>-</v>
      </c>
      <c r="M1538" s="42" t="str">
        <f>IFERROR(__xludf.DUMMYFUNCTION("""COMPUTED_VALUE"""),"[U]")</f>
        <v>[U]</v>
      </c>
      <c r="N1538" s="42" t="str">
        <f>IFERROR(__xludf.DUMMYFUNCTION("""COMPUTED_VALUE"""),"Rein's 2nd spell. ""WHAT?! You blocked it?!""")</f>
        <v>Rein's 2nd spell. "WHAT?! You blocked it?!"</v>
      </c>
      <c r="O1538" s="42"/>
      <c r="P1538" s="42"/>
      <c r="Q1538" s="42"/>
      <c r="R1538" s="42"/>
      <c r="S1538" s="42"/>
      <c r="T1538" s="42"/>
      <c r="U1538" s="42"/>
      <c r="V1538" s="42"/>
      <c r="W1538" s="42"/>
      <c r="X1538" s="42"/>
      <c r="Y1538" s="42"/>
      <c r="Z1538" s="42"/>
    </row>
    <row r="1539">
      <c r="A1539" s="41" t="str">
        <f>IFERROR(__xludf.DUMMYFUNCTION("""COMPUTED_VALUE"""),"S-409")</f>
        <v>S-409</v>
      </c>
      <c r="B1539" s="42" t="str">
        <f>IFERROR(__xludf.DUMMYFUNCTION("""COMPUTED_VALUE"""),"Spell")</f>
        <v>Spell</v>
      </c>
      <c r="C1539" s="42" t="str">
        <f>IFERROR(__xludf.DUMMYFUNCTION("""COMPUTED_VALUE"""),"Garbados Aborodio")</f>
        <v>Garbados Aborodio</v>
      </c>
      <c r="D1539" s="42" t="str">
        <f>IFERROR(__xludf.DUMMYFUNCTION("""COMPUTED_VALUE"""),"Rein")</f>
        <v>Rein</v>
      </c>
      <c r="E1539" s="42">
        <f>IFERROR(__xludf.DUMMYFUNCTION("""COMPUTED_VALUE"""),8.0)</f>
        <v>8</v>
      </c>
      <c r="F1539" s="42" t="str">
        <f>IFERROR(__xludf.DUMMYFUNCTION("""COMPUTED_VALUE"""),"AD")</f>
        <v>AD</v>
      </c>
      <c r="G1539" s="42" t="str">
        <f>IFERROR(__xludf.DUMMYFUNCTION("""COMPUTED_VALUE"""),"Superior")</f>
        <v>Superior</v>
      </c>
      <c r="H1539" s="42" t="str">
        <f>IFERROR(__xludf.DUMMYFUNCTION("""COMPUTED_VALUE"""),"-")</f>
        <v>-</v>
      </c>
      <c r="I1539" s="43" t="str">
        <f>IFERROR(__xludf.DUMMYFUNCTION("""COMPUTED_VALUE"""),"Damage your opponent's Spell Book when you win the Battle as an Attacker. [COUNTER] If you are on the last page of your Spell Book, Damage your opponent's Spell Book when you win the Battle as an Attacker or as a Defender.")</f>
        <v>Damage your opponent's Spell Book when you win the Battle as an Attacker. [COUNTER] If you are on the last page of your Spell Book, Damage your opponent's Spell Book when you win the Battle as an Attacker or as a Defender.</v>
      </c>
      <c r="J1539" s="42" t="str">
        <f>IFERROR(__xludf.DUMMYFUNCTION("""COMPUTED_VALUE"""),"+8000")</f>
        <v>+8000</v>
      </c>
      <c r="K1539" s="42">
        <f>IFERROR(__xludf.DUMMYFUNCTION("""COMPUTED_VALUE"""),4.0)</f>
        <v>4</v>
      </c>
      <c r="L1539" s="42" t="str">
        <f>IFERROR(__xludf.DUMMYFUNCTION("""COMPUTED_VALUE"""),"-")</f>
        <v>-</v>
      </c>
      <c r="M1539" s="42" t="str">
        <f>IFERROR(__xludf.DUMMYFUNCTION("""COMPUTED_VALUE"""),"[SR]")</f>
        <v>[SR]</v>
      </c>
      <c r="N1539" s="42" t="str">
        <f>IFERROR(__xludf.DUMMYFUNCTION("""COMPUTED_VALUE"""),"Rein's 3rd spell. Let's try 'that' spell... No matter what spell they throw at us, we'll force our way through it.""")</f>
        <v>Rein's 3rd spell. Let's try 'that' spell... No matter what spell they throw at us, we'll force our way through it."</v>
      </c>
      <c r="O1539" s="42"/>
      <c r="P1539" s="42"/>
      <c r="Q1539" s="42"/>
      <c r="R1539" s="42"/>
      <c r="S1539" s="42"/>
      <c r="T1539" s="42"/>
      <c r="U1539" s="42"/>
      <c r="V1539" s="42"/>
      <c r="W1539" s="42"/>
      <c r="X1539" s="42"/>
      <c r="Y1539" s="42"/>
      <c r="Z1539" s="42"/>
    </row>
    <row r="1540">
      <c r="A1540" s="41" t="str">
        <f>IFERROR(__xludf.DUMMYFUNCTION("""COMPUTED_VALUE"""),"S-410")</f>
        <v>S-410</v>
      </c>
      <c r="B1540" s="42" t="str">
        <f>IFERROR(__xludf.DUMMYFUNCTION("""COMPUTED_VALUE"""),"Spell")</f>
        <v>Spell</v>
      </c>
      <c r="C1540" s="42" t="str">
        <f>IFERROR(__xludf.DUMMYFUNCTION("""COMPUTED_VALUE"""),"Dioga Ragyur")</f>
        <v>Dioga Ragyur</v>
      </c>
      <c r="D1540" s="42" t="str">
        <f>IFERROR(__xludf.DUMMYFUNCTION("""COMPUTED_VALUE"""),"Rodeaux")</f>
        <v>Rodeaux</v>
      </c>
      <c r="E1540" s="42">
        <f>IFERROR(__xludf.DUMMYFUNCTION("""COMPUTED_VALUE"""),8.0)</f>
        <v>8</v>
      </c>
      <c r="F1540" s="42" t="str">
        <f>IFERROR(__xludf.DUMMYFUNCTION("""COMPUTED_VALUE"""),"AD")</f>
        <v>AD</v>
      </c>
      <c r="G1540" s="42" t="str">
        <f>IFERROR(__xludf.DUMMYFUNCTION("""COMPUTED_VALUE"""),"None")</f>
        <v>None</v>
      </c>
      <c r="H1540" s="42" t="str">
        <f>IFERROR(__xludf.DUMMYFUNCTION("""COMPUTED_VALUE"""),"-")</f>
        <v>-</v>
      </c>
      <c r="I1540" s="43" t="str">
        <f>IFERROR(__xludf.DUMMYFUNCTION("""COMPUTED_VALUE"""),"Damage your opponent's Spell Book when you win the Battle as an Attacker. Any MAMODO cards that SACRIFICE or PROTECT their Spell Book from this SPELL card's Damage are sent to the Discard Pile. When this SPELL card's initial Damage is SACRIFICED or PROTEC"&amp;"TED against, inflict 2 Damage on your opponent (your opponent can SACRIFICE or PROTECT their Spell Book from this Damage as well).")</f>
        <v>Damage your opponent's Spell Book when you win the Battle as an Attacker. Any MAMODO cards that SACRIFICE or PROTECT their Spell Book from this SPELL card's Damage are sent to the Discard Pile. When this SPELL card's initial Damage is SACRIFICED or PROTECTED against, inflict 2 Damage on your opponent (your opponent can SACRIFICE or PROTECT their Spell Book from this Damage as well).</v>
      </c>
      <c r="J1540" s="42" t="str">
        <f>IFERROR(__xludf.DUMMYFUNCTION("""COMPUTED_VALUE"""),"+7000")</f>
        <v>+7000</v>
      </c>
      <c r="K1540" s="42">
        <f>IFERROR(__xludf.DUMMYFUNCTION("""COMPUTED_VALUE"""),4.0)</f>
        <v>4</v>
      </c>
      <c r="L1540" s="42" t="str">
        <f>IFERROR(__xludf.DUMMYFUNCTION("""COMPUTED_VALUE"""),"-")</f>
        <v>-</v>
      </c>
      <c r="M1540" s="42" t="str">
        <f>IFERROR(__xludf.DUMMYFUNCTION("""COMPUTED_VALUE"""),"[R]")</f>
        <v>[R]</v>
      </c>
      <c r="N1540" s="42" t="str">
        <f>IFERROR(__xludf.DUMMYFUNCTION("""COMPUTED_VALUE"""),"Rodeaux's 1st spell. He is unable to cast it consecutively due to the vast amount of strength from within that it burns through.")</f>
        <v>Rodeaux's 1st spell. He is unable to cast it consecutively due to the vast amount of strength from within that it burns through.</v>
      </c>
      <c r="O1540" s="42"/>
      <c r="P1540" s="42"/>
      <c r="Q1540" s="42"/>
      <c r="R1540" s="42"/>
      <c r="S1540" s="42"/>
      <c r="T1540" s="42"/>
      <c r="U1540" s="42"/>
      <c r="V1540" s="42"/>
      <c r="W1540" s="42"/>
      <c r="X1540" s="42"/>
      <c r="Y1540" s="42"/>
      <c r="Z1540" s="42"/>
    </row>
    <row r="1541">
      <c r="A1541" s="41" t="str">
        <f>IFERROR(__xludf.DUMMYFUNCTION("""COMPUTED_VALUE"""),"S-411")</f>
        <v>S-411</v>
      </c>
      <c r="B1541" s="42" t="str">
        <f>IFERROR(__xludf.DUMMYFUNCTION("""COMPUTED_VALUE"""),"Spell")</f>
        <v>Spell</v>
      </c>
      <c r="C1541" s="42" t="str">
        <f>IFERROR(__xludf.DUMMYFUNCTION("""COMPUTED_VALUE"""),"Ganzu Ragyur")</f>
        <v>Ganzu Ragyur</v>
      </c>
      <c r="D1541" s="42" t="str">
        <f>IFERROR(__xludf.DUMMYFUNCTION("""COMPUTED_VALUE"""),"Rodeaux")</f>
        <v>Rodeaux</v>
      </c>
      <c r="E1541" s="42">
        <f>IFERROR(__xludf.DUMMYFUNCTION("""COMPUTED_VALUE"""),4.0)</f>
        <v>4</v>
      </c>
      <c r="F1541" s="42" t="str">
        <f>IFERROR(__xludf.DUMMYFUNCTION("""COMPUTED_VALUE"""),"A")</f>
        <v>A</v>
      </c>
      <c r="G1541" s="42" t="str">
        <f>IFERROR(__xludf.DUMMYFUNCTION("""COMPUTED_VALUE"""),"None")</f>
        <v>None</v>
      </c>
      <c r="H1541" s="42" t="str">
        <f>IFERROR(__xludf.DUMMYFUNCTION("""COMPUTED_VALUE"""),"-")</f>
        <v>-</v>
      </c>
      <c r="I1541" s="43" t="str">
        <f>IFERROR(__xludf.DUMMYFUNCTION("""COMPUTED_VALUE"""),"Damage your opponent's Spell Book 3 times when you win the Battle as an Attacker. This SPELL card's Damage can neither be increased nor reduced.")</f>
        <v>Damage your opponent's Spell Book 3 times when you win the Battle as an Attacker. This SPELL card's Damage can neither be increased nor reduced.</v>
      </c>
      <c r="J1541" s="42" t="str">
        <f>IFERROR(__xludf.DUMMYFUNCTION("""COMPUTED_VALUE"""),"+4000")</f>
        <v>+4000</v>
      </c>
      <c r="K1541" s="42">
        <f>IFERROR(__xludf.DUMMYFUNCTION("""COMPUTED_VALUE"""),1.0)</f>
        <v>1</v>
      </c>
      <c r="L1541" s="42" t="str">
        <f>IFERROR(__xludf.DUMMYFUNCTION("""COMPUTED_VALUE"""),"-")</f>
        <v>-</v>
      </c>
      <c r="M1541" s="42" t="str">
        <f>IFERROR(__xludf.DUMMYFUNCTION("""COMPUTED_VALUE"""),"[U]")</f>
        <v>[U]</v>
      </c>
      <c r="N1541" s="42" t="str">
        <f>IFERROR(__xludf.DUMMYFUNCTION("""COMPUTED_VALUE"""),"Rodeaux's 2nd spell. He fires a salvo of missiles from his wings like a machine-gun.")</f>
        <v>Rodeaux's 2nd spell. He fires a salvo of missiles from his wings like a machine-gun.</v>
      </c>
      <c r="O1541" s="42"/>
      <c r="P1541" s="42"/>
      <c r="Q1541" s="42"/>
      <c r="R1541" s="42"/>
      <c r="S1541" s="42"/>
      <c r="T1541" s="42"/>
      <c r="U1541" s="42"/>
      <c r="V1541" s="42"/>
      <c r="W1541" s="42"/>
      <c r="X1541" s="42"/>
      <c r="Y1541" s="42"/>
      <c r="Z1541" s="42"/>
    </row>
    <row r="1542">
      <c r="A1542" s="41" t="str">
        <f>IFERROR(__xludf.DUMMYFUNCTION("""COMPUTED_VALUE"""),"S-412")</f>
        <v>S-412</v>
      </c>
      <c r="B1542" s="42" t="str">
        <f>IFERROR(__xludf.DUMMYFUNCTION("""COMPUTED_VALUE"""),"Spell")</f>
        <v>Spell</v>
      </c>
      <c r="C1542" s="42" t="str">
        <f>IFERROR(__xludf.DUMMYFUNCTION("""COMPUTED_VALUE"""),"Ragyur Rosudo")</f>
        <v>Ragyur Rosudo</v>
      </c>
      <c r="D1542" s="42" t="str">
        <f>IFERROR(__xludf.DUMMYFUNCTION("""COMPUTED_VALUE"""),"Rodeaux")</f>
        <v>Rodeaux</v>
      </c>
      <c r="E1542" s="42">
        <f>IFERROR(__xludf.DUMMYFUNCTION("""COMPUTED_VALUE"""),2.0)</f>
        <v>2</v>
      </c>
      <c r="F1542" s="42" t="str">
        <f>IFERROR(__xludf.DUMMYFUNCTION("""COMPUTED_VALUE"""),"A")</f>
        <v>A</v>
      </c>
      <c r="G1542" s="42" t="str">
        <f>IFERROR(__xludf.DUMMYFUNCTION("""COMPUTED_VALUE"""),"None")</f>
        <v>None</v>
      </c>
      <c r="H1542" s="42" t="str">
        <f>IFERROR(__xludf.DUMMYFUNCTION("""COMPUTED_VALUE"""),"-")</f>
        <v>-</v>
      </c>
      <c r="I1542" s="43" t="str">
        <f>IFERROR(__xludf.DUMMYFUNCTION("""COMPUTED_VALUE"""),"Damage your opponent's Spell Book when you win the Battle as an Attacker. Your opponent can neither SACRIFICE nor PROTECT their Spell Book from this SPELL card's Damage with a MAMODO card that has 4000 Power or less.")</f>
        <v>Damage your opponent's Spell Book when you win the Battle as an Attacker. Your opponent can neither SACRIFICE nor PROTECT their Spell Book from this SPELL card's Damage with a MAMODO card that has 4000 Power or less.</v>
      </c>
      <c r="J1542" s="42" t="str">
        <f>IFERROR(__xludf.DUMMYFUNCTION("""COMPUTED_VALUE"""),"+3000")</f>
        <v>+3000</v>
      </c>
      <c r="K1542" s="42">
        <f>IFERROR(__xludf.DUMMYFUNCTION("""COMPUTED_VALUE"""),2.0)</f>
        <v>2</v>
      </c>
      <c r="L1542" s="42" t="str">
        <f>IFERROR(__xludf.DUMMYFUNCTION("""COMPUTED_VALUE"""),"-")</f>
        <v>-</v>
      </c>
      <c r="M1542" s="42" t="str">
        <f>IFERROR(__xludf.DUMMYFUNCTION("""COMPUTED_VALUE"""),"[U]")</f>
        <v>[U]</v>
      </c>
      <c r="N1542" s="42" t="str">
        <f>IFERROR(__xludf.DUMMYFUNCTION("""COMPUTED_VALUE"""),"Rodeaux's 3rd spell. The wings on his back transform into a massive, curved blade to strike down his foes!")</f>
        <v>Rodeaux's 3rd spell. The wings on his back transform into a massive, curved blade to strike down his foes!</v>
      </c>
      <c r="O1542" s="42"/>
      <c r="P1542" s="42"/>
      <c r="Q1542" s="42"/>
      <c r="R1542" s="42"/>
      <c r="S1542" s="42"/>
      <c r="T1542" s="42"/>
      <c r="U1542" s="42"/>
      <c r="V1542" s="42"/>
      <c r="W1542" s="42"/>
      <c r="X1542" s="42"/>
      <c r="Y1542" s="42"/>
      <c r="Z1542" s="42"/>
    </row>
    <row r="1543">
      <c r="A1543" s="41" t="str">
        <f>IFERROR(__xludf.DUMMYFUNCTION("""COMPUTED_VALUE"""),"S-413")</f>
        <v>S-413</v>
      </c>
      <c r="B1543" s="42" t="str">
        <f>IFERROR(__xludf.DUMMYFUNCTION("""COMPUTED_VALUE"""),"Spell")</f>
        <v>Spell</v>
      </c>
      <c r="C1543" s="42" t="str">
        <f>IFERROR(__xludf.DUMMYFUNCTION("""COMPUTED_VALUE"""),"Gigano Ragyur")</f>
        <v>Gigano Ragyur</v>
      </c>
      <c r="D1543" s="42" t="str">
        <f>IFERROR(__xludf.DUMMYFUNCTION("""COMPUTED_VALUE"""),"Rodeaux")</f>
        <v>Rodeaux</v>
      </c>
      <c r="E1543" s="42">
        <f>IFERROR(__xludf.DUMMYFUNCTION("""COMPUTED_VALUE"""),3.0)</f>
        <v>3</v>
      </c>
      <c r="F1543" s="42" t="str">
        <f>IFERROR(__xludf.DUMMYFUNCTION("""COMPUTED_VALUE"""),"AD")</f>
        <v>AD</v>
      </c>
      <c r="G1543" s="42" t="str">
        <f>IFERROR(__xludf.DUMMYFUNCTION("""COMPUTED_VALUE"""),"Intermediate")</f>
        <v>Intermediate</v>
      </c>
      <c r="H1543" s="42" t="str">
        <f>IFERROR(__xludf.DUMMYFUNCTION("""COMPUTED_VALUE"""),"-")</f>
        <v>-</v>
      </c>
      <c r="I1543" s="43" t="str">
        <f>IFERROR(__xludf.DUMMYFUNCTION("""COMPUTED_VALUE"""),"Damage your opponent's Spell Book when you win the Battle as an Attacker.")</f>
        <v>Damage your opponent's Spell Book when you win the Battle as an Attacker.</v>
      </c>
      <c r="J1543" s="42" t="str">
        <f>IFERROR(__xludf.DUMMYFUNCTION("""COMPUTED_VALUE"""),"+5000")</f>
        <v>+5000</v>
      </c>
      <c r="K1543" s="42">
        <f>IFERROR(__xludf.DUMMYFUNCTION("""COMPUTED_VALUE"""),3.0)</f>
        <v>3</v>
      </c>
      <c r="L1543" s="42" t="str">
        <f>IFERROR(__xludf.DUMMYFUNCTION("""COMPUTED_VALUE"""),"-")</f>
        <v>-</v>
      </c>
      <c r="M1543" s="42" t="str">
        <f>IFERROR(__xludf.DUMMYFUNCTION("""COMPUTED_VALUE"""),"[U]")</f>
        <v>[U]</v>
      </c>
      <c r="N1543" s="42" t="str">
        <f>IFERROR(__xludf.DUMMYFUNCTION("""COMPUTED_VALUE"""),"Rodeaux's 4th spell. A powerful blast that managed to pierce through Rein's body.")</f>
        <v>Rodeaux's 4th spell. A powerful blast that managed to pierce through Rein's body.</v>
      </c>
      <c r="O1543" s="42"/>
      <c r="P1543" s="42"/>
      <c r="Q1543" s="42"/>
      <c r="R1543" s="42"/>
      <c r="S1543" s="42"/>
      <c r="T1543" s="42"/>
      <c r="U1543" s="42"/>
      <c r="V1543" s="42"/>
      <c r="W1543" s="42"/>
      <c r="X1543" s="42"/>
      <c r="Y1543" s="42"/>
      <c r="Z1543" s="42"/>
    </row>
    <row r="1544">
      <c r="A1544" s="41" t="str">
        <f>IFERROR(__xludf.DUMMYFUNCTION("""COMPUTED_VALUE"""),"S-414")</f>
        <v>S-414</v>
      </c>
      <c r="B1544" s="42" t="str">
        <f>IFERROR(__xludf.DUMMYFUNCTION("""COMPUTED_VALUE"""),"Spell")</f>
        <v>Spell</v>
      </c>
      <c r="C1544" s="42" t="str">
        <f>IFERROR(__xludf.DUMMYFUNCTION("""COMPUTED_VALUE"""),"Giron Ragyur")</f>
        <v>Giron Ragyur</v>
      </c>
      <c r="D1544" s="42" t="str">
        <f>IFERROR(__xludf.DUMMYFUNCTION("""COMPUTED_VALUE"""),"Rodeaux")</f>
        <v>Rodeaux</v>
      </c>
      <c r="E1544" s="42">
        <f>IFERROR(__xludf.DUMMYFUNCTION("""COMPUTED_VALUE"""),5.0)</f>
        <v>5</v>
      </c>
      <c r="F1544" s="42" t="str">
        <f>IFERROR(__xludf.DUMMYFUNCTION("""COMPUTED_VALUE"""),"A")</f>
        <v>A</v>
      </c>
      <c r="G1544" s="42" t="str">
        <f>IFERROR(__xludf.DUMMYFUNCTION("""COMPUTED_VALUE"""),"Intermediate")</f>
        <v>Intermediate</v>
      </c>
      <c r="H1544" s="42" t="str">
        <f>IFERROR(__xludf.DUMMYFUNCTION("""COMPUTED_VALUE"""),"-")</f>
        <v>-</v>
      </c>
      <c r="I1544" s="43" t="str">
        <f>IFERROR(__xludf.DUMMYFUNCTION("""COMPUTED_VALUE"""),"Injure all of your opponent's MAMODO cards when you win the Battle as an Attacker. Send the attached PARTNER cards of all MAMODO cards Injured by this SPELL card to the Discard Pile.")</f>
        <v>Injure all of your opponent's MAMODO cards when you win the Battle as an Attacker. Send the attached PARTNER cards of all MAMODO cards Injured by this SPELL card to the Discard Pile.</v>
      </c>
      <c r="J1544" s="42" t="str">
        <f>IFERROR(__xludf.DUMMYFUNCTION("""COMPUTED_VALUE"""),"+5000")</f>
        <v>+5000</v>
      </c>
      <c r="K1544" s="42" t="str">
        <f>IFERROR(__xludf.DUMMYFUNCTION("""COMPUTED_VALUE"""),"-")</f>
        <v>-</v>
      </c>
      <c r="L1544" s="42" t="str">
        <f>IFERROR(__xludf.DUMMYFUNCTION("""COMPUTED_VALUE"""),"-")</f>
        <v>-</v>
      </c>
      <c r="M1544" s="42" t="str">
        <f>IFERROR(__xludf.DUMMYFUNCTION("""COMPUTED_VALUE"""),"[U]")</f>
        <v>[U]</v>
      </c>
      <c r="N1544" s="42" t="str">
        <f>IFERROR(__xludf.DUMMYFUNCTION("""COMPUTED_VALUE"""),"Rodeaux's 5th spell. It requires an extraordinary amount of agility to dodge countless attacks from every direction.")</f>
        <v>Rodeaux's 5th spell. It requires an extraordinary amount of agility to dodge countless attacks from every direction.</v>
      </c>
      <c r="O1544" s="42"/>
      <c r="P1544" s="42"/>
      <c r="Q1544" s="42"/>
      <c r="R1544" s="42"/>
      <c r="S1544" s="42"/>
      <c r="T1544" s="42"/>
      <c r="U1544" s="42"/>
      <c r="V1544" s="42"/>
      <c r="W1544" s="42"/>
      <c r="X1544" s="42"/>
      <c r="Y1544" s="42"/>
      <c r="Z1544" s="42"/>
    </row>
    <row r="1545">
      <c r="A1545" s="41" t="str">
        <f>IFERROR(__xludf.DUMMYFUNCTION("""COMPUTED_VALUE"""),"S-415")</f>
        <v>S-415</v>
      </c>
      <c r="B1545" s="42" t="str">
        <f>IFERROR(__xludf.DUMMYFUNCTION("""COMPUTED_VALUE"""),"Spell")</f>
        <v>Spell</v>
      </c>
      <c r="C1545" s="42" t="str">
        <f>IFERROR(__xludf.DUMMYFUNCTION("""COMPUTED_VALUE"""),"Amulon")</f>
        <v>Amulon</v>
      </c>
      <c r="D1545" s="42" t="str">
        <f>IFERROR(__xludf.DUMMYFUNCTION("""COMPUTED_VALUE"""),"Momon")</f>
        <v>Momon</v>
      </c>
      <c r="E1545" s="42">
        <f>IFERROR(__xludf.DUMMYFUNCTION("""COMPUTED_VALUE"""),1.0)</f>
        <v>1</v>
      </c>
      <c r="F1545" s="42" t="str">
        <f>IFERROR(__xludf.DUMMYFUNCTION("""COMPUTED_VALUE"""),"A")</f>
        <v>A</v>
      </c>
      <c r="G1545" s="42" t="str">
        <f>IFERROR(__xludf.DUMMYFUNCTION("""COMPUTED_VALUE"""),"None")</f>
        <v>None</v>
      </c>
      <c r="H1545" s="42" t="str">
        <f>IFERROR(__xludf.DUMMYFUNCTION("""COMPUTED_VALUE"""),"-")</f>
        <v>-</v>
      </c>
      <c r="I1545" s="43" t="str">
        <f>IFERROR(__xludf.DUMMYFUNCTION("""COMPUTED_VALUE"""),"Look at the currently open pages of your opponent's Spell Book when you win the Battle as an Attacker. If there are no SPELL cards, turn 1 page of your opponent's Spell Book.")</f>
        <v>Look at the currently open pages of your opponent's Spell Book when you win the Battle as an Attacker. If there are no SPELL cards, turn 1 page of your opponent's Spell Book.</v>
      </c>
      <c r="J1545" s="42" t="str">
        <f>IFERROR(__xludf.DUMMYFUNCTION("""COMPUTED_VALUE"""),"+2000")</f>
        <v>+2000</v>
      </c>
      <c r="K1545" s="42" t="str">
        <f>IFERROR(__xludf.DUMMYFUNCTION("""COMPUTED_VALUE"""),"-")</f>
        <v>-</v>
      </c>
      <c r="L1545" s="42" t="str">
        <f>IFERROR(__xludf.DUMMYFUNCTION("""COMPUTED_VALUE"""),"-")</f>
        <v>-</v>
      </c>
      <c r="M1545" s="42" t="str">
        <f>IFERROR(__xludf.DUMMYFUNCTION("""COMPUTED_VALUE"""),"[C]")</f>
        <v>[C]</v>
      </c>
      <c r="N1545" s="42" t="str">
        <f>IFERROR(__xludf.DUMMYFUNCTION("""COMPUTED_VALUE"""),"Momon's 1st spell. ""Whoa! Look how fast his hand stretched out and... flipped up her skirt.""")</f>
        <v>Momon's 1st spell. "Whoa! Look how fast his hand stretched out and... flipped up her skirt."</v>
      </c>
      <c r="O1545" s="42"/>
      <c r="P1545" s="42"/>
      <c r="Q1545" s="42"/>
      <c r="R1545" s="42"/>
      <c r="S1545" s="42"/>
      <c r="T1545" s="42"/>
      <c r="U1545" s="42"/>
      <c r="V1545" s="42"/>
      <c r="W1545" s="42"/>
      <c r="X1545" s="42"/>
      <c r="Y1545" s="42"/>
      <c r="Z1545" s="42"/>
    </row>
    <row r="1546">
      <c r="A1546" s="41" t="str">
        <f>IFERROR(__xludf.DUMMYFUNCTION("""COMPUTED_VALUE"""),"S-416")</f>
        <v>S-416</v>
      </c>
      <c r="B1546" s="42" t="str">
        <f>IFERROR(__xludf.DUMMYFUNCTION("""COMPUTED_VALUE"""),"Spell")</f>
        <v>Spell</v>
      </c>
      <c r="C1546" s="42" t="str">
        <f>IFERROR(__xludf.DUMMYFUNCTION("""COMPUTED_VALUE"""),"Aguraruk")</f>
        <v>Aguraruk</v>
      </c>
      <c r="D1546" s="42" t="str">
        <f>IFERROR(__xludf.DUMMYFUNCTION("""COMPUTED_VALUE"""),"Momon")</f>
        <v>Momon</v>
      </c>
      <c r="E1546" s="42">
        <f>IFERROR(__xludf.DUMMYFUNCTION("""COMPUTED_VALUE"""),2.0)</f>
        <v>2</v>
      </c>
      <c r="F1546" s="42" t="str">
        <f>IFERROR(__xludf.DUMMYFUNCTION("""COMPUTED_VALUE"""),"A")</f>
        <v>A</v>
      </c>
      <c r="G1546" s="42" t="str">
        <f>IFERROR(__xludf.DUMMYFUNCTION("""COMPUTED_VALUE"""),"None")</f>
        <v>None</v>
      </c>
      <c r="H1546" s="42" t="str">
        <f>IFERROR(__xludf.DUMMYFUNCTION("""COMPUTED_VALUE"""),"-")</f>
        <v>-</v>
      </c>
      <c r="I1546" s="43" t="str">
        <f>IFERROR(__xludf.DUMMYFUNCTION("""COMPUTED_VALUE"""),"Declare 1 card name without looking at your opponent's Spell Book when you win the Battle as an Attacker. Your opponent selects 1 card with the card name you declared from any page of their Spell Book and sends it to the Discard Pile.")</f>
        <v>Declare 1 card name without looking at your opponent's Spell Book when you win the Battle as an Attacker. Your opponent selects 1 card with the card name you declared from any page of their Spell Book and sends it to the Discard Pile.</v>
      </c>
      <c r="J1546" s="42" t="str">
        <f>IFERROR(__xludf.DUMMYFUNCTION("""COMPUTED_VALUE"""),"+3000")</f>
        <v>+3000</v>
      </c>
      <c r="K1546" s="42" t="str">
        <f>IFERROR(__xludf.DUMMYFUNCTION("""COMPUTED_VALUE"""),"-")</f>
        <v>-</v>
      </c>
      <c r="L1546" s="42" t="str">
        <f>IFERROR(__xludf.DUMMYFUNCTION("""COMPUTED_VALUE"""),"-")</f>
        <v>-</v>
      </c>
      <c r="M1546" s="42" t="str">
        <f>IFERROR(__xludf.DUMMYFUNCTION("""COMPUTED_VALUE"""),"[C]")</f>
        <v>[C]</v>
      </c>
      <c r="N1546" s="42" t="str">
        <f>IFERROR(__xludf.DUMMYFUNCTION("""COMPUTED_VALUE"""),"Momon's 2nd spell. ""He moved underground and came up from below... just to flip up her skirt.""")</f>
        <v>Momon's 2nd spell. "He moved underground and came up from below... just to flip up her skirt."</v>
      </c>
      <c r="O1546" s="42"/>
      <c r="P1546" s="42"/>
      <c r="Q1546" s="42"/>
      <c r="R1546" s="42"/>
      <c r="S1546" s="42"/>
      <c r="T1546" s="42"/>
      <c r="U1546" s="42"/>
      <c r="V1546" s="42"/>
      <c r="W1546" s="42"/>
      <c r="X1546" s="42"/>
      <c r="Y1546" s="42"/>
      <c r="Z1546" s="42"/>
    </row>
    <row r="1547">
      <c r="A1547" s="41" t="str">
        <f>IFERROR(__xludf.DUMMYFUNCTION("""COMPUTED_VALUE"""),"S-417")</f>
        <v>S-417</v>
      </c>
      <c r="B1547" s="42" t="str">
        <f>IFERROR(__xludf.DUMMYFUNCTION("""COMPUTED_VALUE"""),"Spell")</f>
        <v>Spell</v>
      </c>
      <c r="C1547" s="42" t="str">
        <f>IFERROR(__xludf.DUMMYFUNCTION("""COMPUTED_VALUE"""),"Ora Norojio")</f>
        <v>Ora Norojio</v>
      </c>
      <c r="D1547" s="42" t="str">
        <f>IFERROR(__xludf.DUMMYFUNCTION("""COMPUTED_VALUE"""),"Momon")</f>
        <v>Momon</v>
      </c>
      <c r="E1547" s="42">
        <f>IFERROR(__xludf.DUMMYFUNCTION("""COMPUTED_VALUE"""),3.0)</f>
        <v>3</v>
      </c>
      <c r="F1547" s="42" t="str">
        <f>IFERROR(__xludf.DUMMYFUNCTION("""COMPUTED_VALUE"""),"D")</f>
        <v>D</v>
      </c>
      <c r="G1547" s="42" t="str">
        <f>IFERROR(__xludf.DUMMYFUNCTION("""COMPUTED_VALUE"""),"None")</f>
        <v>None</v>
      </c>
      <c r="H1547" s="42" t="str">
        <f>IFERROR(__xludf.DUMMYFUNCTION("""COMPUTED_VALUE"""),"-")</f>
        <v>-</v>
      </c>
      <c r="I1547" s="43" t="str">
        <f>IFERROR(__xludf.DUMMYFUNCTION("""COMPUTED_VALUE"""),"Flip a coin; if it's heads, negate your opponent's Attack. Then, look at your opponent's Spell Book and select 1 SPELL card that shares a card name with the SPELL card your opponent declared their Attack in the Battle from any of the pages, and send it to"&amp;" the Discard Pile.")</f>
        <v>Flip a coin; if it's heads, negate your opponent's Attack. Then, look at your opponent's Spell Book and select 1 SPELL card that shares a card name with the SPELL card your opponent declared their Attack in the Battle from any of the pages, and send it to the Discard Pile.</v>
      </c>
      <c r="J1547" s="42" t="str">
        <f>IFERROR(__xludf.DUMMYFUNCTION("""COMPUTED_VALUE"""),"Special")</f>
        <v>Special</v>
      </c>
      <c r="K1547" s="42" t="str">
        <f>IFERROR(__xludf.DUMMYFUNCTION("""COMPUTED_VALUE"""),"-")</f>
        <v>-</v>
      </c>
      <c r="L1547" s="42" t="str">
        <f>IFERROR(__xludf.DUMMYFUNCTION("""COMPUTED_VALUE"""),"-")</f>
        <v>-</v>
      </c>
      <c r="M1547" s="42" t="str">
        <f>IFERROR(__xludf.DUMMYFUNCTION("""COMPUTED_VALUE"""),"[C]")</f>
        <v>[C]</v>
      </c>
      <c r="N1547" s="42" t="str">
        <f>IFERROR(__xludf.DUMMYFUNCTION("""COMPUTED_VALUE"""),"Momon's 3rd spell. ""So his light beam slows down the target's movement?!""")</f>
        <v>Momon's 3rd spell. "So his light beam slows down the target's movement?!"</v>
      </c>
      <c r="O1547" s="42"/>
      <c r="P1547" s="42"/>
      <c r="Q1547" s="42"/>
      <c r="R1547" s="42"/>
      <c r="S1547" s="42"/>
      <c r="T1547" s="42"/>
      <c r="U1547" s="42"/>
      <c r="V1547" s="42"/>
      <c r="W1547" s="42"/>
      <c r="X1547" s="42"/>
      <c r="Y1547" s="42"/>
      <c r="Z1547" s="42"/>
    </row>
    <row r="1548">
      <c r="A1548" s="41" t="str">
        <f>IFERROR(__xludf.DUMMYFUNCTION("""COMPUTED_VALUE"""),"S-418")</f>
        <v>S-418</v>
      </c>
      <c r="B1548" s="42" t="str">
        <f>IFERROR(__xludf.DUMMYFUNCTION("""COMPUTED_VALUE"""),"Spell")</f>
        <v>Spell</v>
      </c>
      <c r="C1548" s="42" t="str">
        <f>IFERROR(__xludf.DUMMYFUNCTION("""COMPUTED_VALUE"""),"Minfei Mimirug")</f>
        <v>Minfei Mimirug</v>
      </c>
      <c r="D1548" s="42" t="str">
        <f>IFERROR(__xludf.DUMMYFUNCTION("""COMPUTED_VALUE"""),"Momon")</f>
        <v>Momon</v>
      </c>
      <c r="E1548" s="42">
        <f>IFERROR(__xludf.DUMMYFUNCTION("""COMPUTED_VALUE"""),1.0)</f>
        <v>1</v>
      </c>
      <c r="F1548" s="42" t="str">
        <f>IFERROR(__xludf.DUMMYFUNCTION("""COMPUTED_VALUE"""),"A")</f>
        <v>A</v>
      </c>
      <c r="G1548" s="42" t="str">
        <f>IFERROR(__xludf.DUMMYFUNCTION("""COMPUTED_VALUE"""),"Intermediate")</f>
        <v>Intermediate</v>
      </c>
      <c r="H1548" s="42" t="str">
        <f>IFERROR(__xludf.DUMMYFUNCTION("""COMPUTED_VALUE"""),"-")</f>
        <v>-</v>
      </c>
      <c r="I1548" s="43" t="str">
        <f>IFERROR(__xludf.DUMMYFUNCTION("""COMPUTED_VALUE"""),"Apply both of the following effects: ● [STAY] Put your Momon card in Flight Status during this game. ● [STANDBY] Only once during this game (per player), you may move the Momon MAMODO card this SPELL card was played for to an empty page of your Spell Book"&amp;".")</f>
        <v>Apply both of the following effects: ● [STAY] Put your Momon card in Flight Status during this game. ● [STANDBY] Only once during this game (per player), you may move the Momon MAMODO card this SPELL card was played for to an empty page of your Spell Book.</v>
      </c>
      <c r="J1548" s="42" t="str">
        <f>IFERROR(__xludf.DUMMYFUNCTION("""COMPUTED_VALUE"""),"Special")</f>
        <v>Special</v>
      </c>
      <c r="K1548" s="42" t="str">
        <f>IFERROR(__xludf.DUMMYFUNCTION("""COMPUTED_VALUE"""),"-")</f>
        <v>-</v>
      </c>
      <c r="L1548" s="42" t="str">
        <f>IFERROR(__xludf.DUMMYFUNCTION("""COMPUTED_VALUE"""),"-")</f>
        <v>-</v>
      </c>
      <c r="M1548" s="42" t="str">
        <f>IFERROR(__xludf.DUMMYFUNCTION("""COMPUTED_VALUE"""),"[C]")</f>
        <v>[C]</v>
      </c>
      <c r="N1548" s="42" t="str">
        <f>IFERROR(__xludf.DUMMYFUNCTION("""COMPUTED_VALUE"""),"Momon's 4th spell. ""Most of his spells just help him run away...""")</f>
        <v>Momon's 4th spell. "Most of his spells just help him run away..."</v>
      </c>
      <c r="O1548" s="42"/>
      <c r="P1548" s="42"/>
      <c r="Q1548" s="42"/>
      <c r="R1548" s="42"/>
      <c r="S1548" s="42"/>
      <c r="T1548" s="42"/>
      <c r="U1548" s="42"/>
      <c r="V1548" s="42"/>
      <c r="W1548" s="42"/>
      <c r="X1548" s="42"/>
      <c r="Y1548" s="42"/>
      <c r="Z1548" s="42"/>
    </row>
    <row r="1549">
      <c r="A1549" s="41" t="str">
        <f>IFERROR(__xludf.DUMMYFUNCTION("""COMPUTED_VALUE"""),"S-419")</f>
        <v>S-419</v>
      </c>
      <c r="B1549" s="42" t="str">
        <f>IFERROR(__xludf.DUMMYFUNCTION("""COMPUTED_VALUE"""),"Spell")</f>
        <v>Spell</v>
      </c>
      <c r="C1549" s="42" t="str">
        <f>IFERROR(__xludf.DUMMYFUNCTION("""COMPUTED_VALUE"""),"Mock Ganzu Garon")</f>
        <v>Mock Ganzu Garon</v>
      </c>
      <c r="D1549" s="42" t="str">
        <f>IFERROR(__xludf.DUMMYFUNCTION("""COMPUTED_VALUE"""),"Kurogane/Soldier of the In-Between World")</f>
        <v>Kurogane/Soldier of the In-Between World</v>
      </c>
      <c r="E1549" s="42">
        <f>IFERROR(__xludf.DUMMYFUNCTION("""COMPUTED_VALUE"""),0.0)</f>
        <v>0</v>
      </c>
      <c r="F1549" s="42" t="str">
        <f>IFERROR(__xludf.DUMMYFUNCTION("""COMPUTED_VALUE"""),"A")</f>
        <v>A</v>
      </c>
      <c r="G1549" s="42" t="str">
        <f>IFERROR(__xludf.DUMMYFUNCTION("""COMPUTED_VALUE"""),"None")</f>
        <v>None</v>
      </c>
      <c r="H1549" s="42" t="str">
        <f>IFERROR(__xludf.DUMMYFUNCTION("""COMPUTED_VALUE"""),"-")</f>
        <v>-</v>
      </c>
      <c r="I1549" s="43" t="str">
        <f>IFERROR(__xludf.DUMMYFUNCTION("""COMPUTED_VALUE"""),"Damage your opponent's Spell Book when you win the Battle as an Attacker.")</f>
        <v>Damage your opponent's Spell Book when you win the Battle as an Attacker.</v>
      </c>
      <c r="J1549" s="42" t="str">
        <f>IFERROR(__xludf.DUMMYFUNCTION("""COMPUTED_VALUE"""),"+2000")</f>
        <v>+2000</v>
      </c>
      <c r="K1549" s="42" t="str">
        <f>IFERROR(__xludf.DUMMYFUNCTION("""COMPUTED_VALUE"""),"-")</f>
        <v>-</v>
      </c>
      <c r="L1549" s="42" t="str">
        <f>IFERROR(__xludf.DUMMYFUNCTION("""COMPUTED_VALUE"""),"-")</f>
        <v>-</v>
      </c>
      <c r="M1549" s="42" t="str">
        <f>IFERROR(__xludf.DUMMYFUNCTION("""COMPUTED_VALUE"""),"[R]")</f>
        <v>[R]</v>
      </c>
      <c r="N1549" s="42" t="str">
        <f>IFERROR(__xludf.DUMMYFUNCTION("""COMPUTED_VALUE"""),"Command:Kurogane/Soldier of the In-Between World")</f>
        <v>Command:Kurogane/Soldier of the In-Between World</v>
      </c>
      <c r="O1549" s="42"/>
      <c r="P1549" s="42"/>
      <c r="Q1549" s="42"/>
      <c r="R1549" s="42"/>
      <c r="S1549" s="42"/>
      <c r="T1549" s="42"/>
      <c r="U1549" s="42"/>
      <c r="V1549" s="42"/>
      <c r="W1549" s="42"/>
      <c r="X1549" s="42"/>
      <c r="Y1549" s="42"/>
      <c r="Z1549" s="42"/>
    </row>
    <row r="1550">
      <c r="A1550" s="41" t="str">
        <f>IFERROR(__xludf.DUMMYFUNCTION("""COMPUTED_VALUE"""),"S-420")</f>
        <v>S-420</v>
      </c>
      <c r="B1550" s="42" t="str">
        <f>IFERROR(__xludf.DUMMYFUNCTION("""COMPUTED_VALUE"""),"Spell")</f>
        <v>Spell</v>
      </c>
      <c r="C1550" s="42" t="str">
        <f>IFERROR(__xludf.DUMMYFUNCTION("""COMPUTED_VALUE"""),"Mock Raja Zerusen")</f>
        <v>Mock Raja Zerusen</v>
      </c>
      <c r="D1550" s="42" t="str">
        <f>IFERROR(__xludf.DUMMYFUNCTION("""COMPUTED_VALUE"""),"Kurogane/Soldier of the In-Between World")</f>
        <v>Kurogane/Soldier of the In-Between World</v>
      </c>
      <c r="E1550" s="42">
        <f>IFERROR(__xludf.DUMMYFUNCTION("""COMPUTED_VALUE"""),0.0)</f>
        <v>0</v>
      </c>
      <c r="F1550" s="42" t="str">
        <f>IFERROR(__xludf.DUMMYFUNCTION("""COMPUTED_VALUE"""),"A")</f>
        <v>A</v>
      </c>
      <c r="G1550" s="42" t="str">
        <f>IFERROR(__xludf.DUMMYFUNCTION("""COMPUTED_VALUE"""),"None")</f>
        <v>None</v>
      </c>
      <c r="H1550" s="42" t="str">
        <f>IFERROR(__xludf.DUMMYFUNCTION("""COMPUTED_VALUE"""),"-")</f>
        <v>-</v>
      </c>
      <c r="I1550" s="43" t="str">
        <f>IFERROR(__xludf.DUMMYFUNCTION("""COMPUTED_VALUE"""),"This SPELL card can be played only if you have 3 or more Kurogane and/or Soldier of the In-Between World MAMODO cards in play. Damage your opponent's Spell Book when you win the Battle as an Attacker.")</f>
        <v>This SPELL card can be played only if you have 3 or more Kurogane and/or Soldier of the In-Between World MAMODO cards in play. Damage your opponent's Spell Book when you win the Battle as an Attacker.</v>
      </c>
      <c r="J1550" s="42" t="str">
        <f>IFERROR(__xludf.DUMMYFUNCTION("""COMPUTED_VALUE"""),"+5000")</f>
        <v>+5000</v>
      </c>
      <c r="K1550" s="42" t="str">
        <f>IFERROR(__xludf.DUMMYFUNCTION("""COMPUTED_VALUE"""),"-")</f>
        <v>-</v>
      </c>
      <c r="L1550" s="42" t="str">
        <f>IFERROR(__xludf.DUMMYFUNCTION("""COMPUTED_VALUE"""),"-")</f>
        <v>-</v>
      </c>
      <c r="M1550" s="42" t="str">
        <f>IFERROR(__xludf.DUMMYFUNCTION("""COMPUTED_VALUE"""),"[C]")</f>
        <v>[C]</v>
      </c>
      <c r="N1550" s="42" t="str">
        <f>IFERROR(__xludf.DUMMYFUNCTION("""COMPUTED_VALUE"""),"Command:Kurogane/Soldier of the In-Between World")</f>
        <v>Command:Kurogane/Soldier of the In-Between World</v>
      </c>
      <c r="O1550" s="42"/>
      <c r="P1550" s="42"/>
      <c r="Q1550" s="42"/>
      <c r="R1550" s="42"/>
      <c r="S1550" s="42"/>
      <c r="T1550" s="42"/>
      <c r="U1550" s="42"/>
      <c r="V1550" s="42"/>
      <c r="W1550" s="42"/>
      <c r="X1550" s="42"/>
      <c r="Y1550" s="42"/>
      <c r="Z1550" s="42"/>
    </row>
    <row r="1551">
      <c r="A1551" s="41" t="str">
        <f>IFERROR(__xludf.DUMMYFUNCTION("""COMPUTED_VALUE"""),"S-421")</f>
        <v>S-421</v>
      </c>
      <c r="B1551" s="42" t="str">
        <f>IFERROR(__xludf.DUMMYFUNCTION("""COMPUTED_VALUE"""),"Spell")</f>
        <v>Spell</v>
      </c>
      <c r="C1551" s="42" t="str">
        <f>IFERROR(__xludf.DUMMYFUNCTION("""COMPUTED_VALUE"""),"Mock Chagur Imisdon")</f>
        <v>Mock Chagur Imisdon</v>
      </c>
      <c r="D1551" s="42" t="str">
        <f>IFERROR(__xludf.DUMMYFUNCTION("""COMPUTED_VALUE"""),"Kurogane/Soldier of the In-Between World")</f>
        <v>Kurogane/Soldier of the In-Between World</v>
      </c>
      <c r="E1551" s="42">
        <f>IFERROR(__xludf.DUMMYFUNCTION("""COMPUTED_VALUE"""),0.0)</f>
        <v>0</v>
      </c>
      <c r="F1551" s="42" t="str">
        <f>IFERROR(__xludf.DUMMYFUNCTION("""COMPUTED_VALUE"""),"A")</f>
        <v>A</v>
      </c>
      <c r="G1551" s="42" t="str">
        <f>IFERROR(__xludf.DUMMYFUNCTION("""COMPUTED_VALUE"""),"None")</f>
        <v>None</v>
      </c>
      <c r="H1551" s="42" t="str">
        <f>IFERROR(__xludf.DUMMYFUNCTION("""COMPUTED_VALUE"""),"-")</f>
        <v>-</v>
      </c>
      <c r="I1551" s="43" t="str">
        <f>IFERROR(__xludf.DUMMYFUNCTION("""COMPUTED_VALUE"""),"Damage your opponent's Spell Book when you win the Battle as an Attacker. Add 2000 Power and 1 Damage for each Kurogane and Soldier of the In-Between World MAMODO card you have in play.")</f>
        <v>Damage your opponent's Spell Book when you win the Battle as an Attacker. Add 2000 Power and 1 Damage for each Kurogane and Soldier of the In-Between World MAMODO card you have in play.</v>
      </c>
      <c r="J1551" s="42" t="str">
        <f>IFERROR(__xludf.DUMMYFUNCTION("""COMPUTED_VALUE"""),"+0")</f>
        <v>+0</v>
      </c>
      <c r="K1551" s="42" t="str">
        <f>IFERROR(__xludf.DUMMYFUNCTION("""COMPUTED_VALUE"""),"-")</f>
        <v>-</v>
      </c>
      <c r="L1551" s="42" t="str">
        <f>IFERROR(__xludf.DUMMYFUNCTION("""COMPUTED_VALUE"""),"-")</f>
        <v>-</v>
      </c>
      <c r="M1551" s="42" t="str">
        <f>IFERROR(__xludf.DUMMYFUNCTION("""COMPUTED_VALUE"""),"[C]")</f>
        <v>[C]</v>
      </c>
      <c r="N1551" s="42" t="str">
        <f>IFERROR(__xludf.DUMMYFUNCTION("""COMPUTED_VALUE"""),"Command:Kurogane/Soldier of the In-Between World")</f>
        <v>Command:Kurogane/Soldier of the In-Between World</v>
      </c>
      <c r="O1551" s="42"/>
      <c r="P1551" s="42"/>
      <c r="Q1551" s="42"/>
      <c r="R1551" s="42"/>
      <c r="S1551" s="42"/>
      <c r="T1551" s="42"/>
      <c r="U1551" s="42"/>
      <c r="V1551" s="42"/>
      <c r="W1551" s="42"/>
      <c r="X1551" s="42"/>
      <c r="Y1551" s="42"/>
      <c r="Z1551" s="42"/>
    </row>
    <row r="1552">
      <c r="A1552" s="41" t="str">
        <f>IFERROR(__xludf.DUMMYFUNCTION("""COMPUTED_VALUE"""),"S-422")</f>
        <v>S-422</v>
      </c>
      <c r="B1552" s="42" t="str">
        <f>IFERROR(__xludf.DUMMYFUNCTION("""COMPUTED_VALUE"""),"Spell")</f>
        <v>Spell</v>
      </c>
      <c r="C1552" s="42" t="str">
        <f>IFERROR(__xludf.DUMMYFUNCTION("""COMPUTED_VALUE"""),"Mock Dino Rignon")</f>
        <v>Mock Dino Rignon</v>
      </c>
      <c r="D1552" s="42" t="str">
        <f>IFERROR(__xludf.DUMMYFUNCTION("""COMPUTED_VALUE"""),"Kurogane")</f>
        <v>Kurogane</v>
      </c>
      <c r="E1552" s="42">
        <f>IFERROR(__xludf.DUMMYFUNCTION("""COMPUTED_VALUE"""),0.0)</f>
        <v>0</v>
      </c>
      <c r="F1552" s="42" t="str">
        <f>IFERROR(__xludf.DUMMYFUNCTION("""COMPUTED_VALUE"""),"AD")</f>
        <v>AD</v>
      </c>
      <c r="G1552" s="42" t="str">
        <f>IFERROR(__xludf.DUMMYFUNCTION("""COMPUTED_VALUE"""),"None")</f>
        <v>None</v>
      </c>
      <c r="H1552" s="42" t="str">
        <f>IFERROR(__xludf.DUMMYFUNCTION("""COMPUTED_VALUE"""),"-")</f>
        <v>-</v>
      </c>
      <c r="I1552" s="43" t="str">
        <f>IFERROR(__xludf.DUMMYFUNCTION("""COMPUTED_VALUE"""),"Damage your opponent's Spell Book when you win the Battle as an Attacker. Your opponent can SACRIFICE or PROTECT their Spell Book from Damage even when prohibited to do so.")</f>
        <v>Damage your opponent's Spell Book when you win the Battle as an Attacker. Your opponent can SACRIFICE or PROTECT their Spell Book from Damage even when prohibited to do so.</v>
      </c>
      <c r="J1552" s="42" t="str">
        <f>IFERROR(__xludf.DUMMYFUNCTION("""COMPUTED_VALUE"""),"+4000")</f>
        <v>+4000</v>
      </c>
      <c r="K1552" s="42" t="str">
        <f>IFERROR(__xludf.DUMMYFUNCTION("""COMPUTED_VALUE"""),"-")</f>
        <v>-</v>
      </c>
      <c r="L1552" s="42" t="str">
        <f>IFERROR(__xludf.DUMMYFUNCTION("""COMPUTED_VALUE"""),"-")</f>
        <v>-</v>
      </c>
      <c r="M1552" s="42" t="str">
        <f>IFERROR(__xludf.DUMMYFUNCTION("""COMPUTED_VALUE"""),"[C]")</f>
        <v>[C]</v>
      </c>
      <c r="N1552" s="42" t="str">
        <f>IFERROR(__xludf.DUMMYFUNCTION("""COMPUTED_VALUE"""),"Command:Kurogane")</f>
        <v>Command:Kurogane</v>
      </c>
      <c r="O1552" s="42"/>
      <c r="P1552" s="42"/>
      <c r="Q1552" s="42"/>
      <c r="R1552" s="42"/>
      <c r="S1552" s="42"/>
      <c r="T1552" s="42"/>
      <c r="U1552" s="42"/>
      <c r="V1552" s="42"/>
      <c r="W1552" s="42"/>
      <c r="X1552" s="42"/>
      <c r="Y1552" s="42"/>
      <c r="Z1552" s="42"/>
    </row>
    <row r="1553">
      <c r="A1553" s="41" t="str">
        <f>IFERROR(__xludf.DUMMYFUNCTION("""COMPUTED_VALUE"""),"S-423")</f>
        <v>S-423</v>
      </c>
      <c r="B1553" s="42" t="str">
        <f>IFERROR(__xludf.DUMMYFUNCTION("""COMPUTED_VALUE"""),"Spell")</f>
        <v>Spell</v>
      </c>
      <c r="C1553" s="42" t="str">
        <f>IFERROR(__xludf.DUMMYFUNCTION("""COMPUTED_VALUE"""),"Magneruga")</f>
        <v>Magneruga</v>
      </c>
      <c r="D1553" s="42" t="str">
        <f>IFERROR(__xludf.DUMMYFUNCTION("""COMPUTED_VALUE"""),"Maestro")</f>
        <v>Maestro</v>
      </c>
      <c r="E1553" s="42">
        <f>IFERROR(__xludf.DUMMYFUNCTION("""COMPUTED_VALUE"""),2.0)</f>
        <v>2</v>
      </c>
      <c r="F1553" s="42" t="str">
        <f>IFERROR(__xludf.DUMMYFUNCTION("""COMPUTED_VALUE"""),"A")</f>
        <v>A</v>
      </c>
      <c r="G1553" s="42" t="str">
        <f>IFERROR(__xludf.DUMMYFUNCTION("""COMPUTED_VALUE"""),"None")</f>
        <v>None</v>
      </c>
      <c r="H1553" s="42" t="str">
        <f>IFERROR(__xludf.DUMMYFUNCTION("""COMPUTED_VALUE"""),"-")</f>
        <v>-</v>
      </c>
      <c r="I1553" s="43" t="str">
        <f>IFERROR(__xludf.DUMMYFUNCTION("""COMPUTED_VALUE"""),"Damage your opponent's Spell Book twice when you win the Battle as an Attacker.")</f>
        <v>Damage your opponent's Spell Book twice when you win the Battle as an Attacker.</v>
      </c>
      <c r="J1553" s="42" t="str">
        <f>IFERROR(__xludf.DUMMYFUNCTION("""COMPUTED_VALUE"""),"+3000")</f>
        <v>+3000</v>
      </c>
      <c r="K1553" s="42">
        <f>IFERROR(__xludf.DUMMYFUNCTION("""COMPUTED_VALUE"""),1.0)</f>
        <v>1</v>
      </c>
      <c r="L1553" s="42" t="str">
        <f>IFERROR(__xludf.DUMMYFUNCTION("""COMPUTED_VALUE"""),"-")</f>
        <v>-</v>
      </c>
      <c r="M1553" s="42" t="str">
        <f>IFERROR(__xludf.DUMMYFUNCTION("""COMPUTED_VALUE"""),"[C]")</f>
        <v>[C]</v>
      </c>
      <c r="N1553" s="42" t="str">
        <f>IFERROR(__xludf.DUMMYFUNCTION("""COMPUTED_VALUE"""),"Maestro's 4th spell. An array of beams spreads outward from his enclosed fist.")</f>
        <v>Maestro's 4th spell. An array of beams spreads outward from his enclosed fist.</v>
      </c>
      <c r="O1553" s="42"/>
      <c r="P1553" s="42"/>
      <c r="Q1553" s="42"/>
      <c r="R1553" s="42"/>
      <c r="S1553" s="42"/>
      <c r="T1553" s="42"/>
      <c r="U1553" s="42"/>
      <c r="V1553" s="42"/>
      <c r="W1553" s="42"/>
      <c r="X1553" s="42"/>
      <c r="Y1553" s="42"/>
      <c r="Z1553" s="42"/>
    </row>
    <row r="1554">
      <c r="A1554" s="41" t="str">
        <f>IFERROR(__xludf.DUMMYFUNCTION("""COMPUTED_VALUE"""),"S-424")</f>
        <v>S-424</v>
      </c>
      <c r="B1554" s="42" t="str">
        <f>IFERROR(__xludf.DUMMYFUNCTION("""COMPUTED_VALUE"""),"Spell")</f>
        <v>Spell</v>
      </c>
      <c r="C1554" s="42" t="str">
        <f>IFERROR(__xludf.DUMMYFUNCTION("""COMPUTED_VALUE"""),"Gigano Magnerudo")</f>
        <v>Gigano Magnerudo</v>
      </c>
      <c r="D1554" s="42" t="str">
        <f>IFERROR(__xludf.DUMMYFUNCTION("""COMPUTED_VALUE"""),"Maestro")</f>
        <v>Maestro</v>
      </c>
      <c r="E1554" s="42">
        <f>IFERROR(__xludf.DUMMYFUNCTION("""COMPUTED_VALUE"""),2.0)</f>
        <v>2</v>
      </c>
      <c r="F1554" s="42" t="str">
        <f>IFERROR(__xludf.DUMMYFUNCTION("""COMPUTED_VALUE"""),"AD")</f>
        <v>AD</v>
      </c>
      <c r="G1554" s="42" t="str">
        <f>IFERROR(__xludf.DUMMYFUNCTION("""COMPUTED_VALUE"""),"Intermediate")</f>
        <v>Intermediate</v>
      </c>
      <c r="H1554" s="42" t="str">
        <f>IFERROR(__xludf.DUMMYFUNCTION("""COMPUTED_VALUE"""),"-")</f>
        <v>-</v>
      </c>
      <c r="I1554" s="43" t="str">
        <f>IFERROR(__xludf.DUMMYFUNCTION("""COMPUTED_VALUE"""),"Damage your opponent's Spell Book when you win the Battle as an Attacker. When Defending, add 4000 Power to this SPELL card.")</f>
        <v>Damage your opponent's Spell Book when you win the Battle as an Attacker. When Defending, add 4000 Power to this SPELL card.</v>
      </c>
      <c r="J1554" s="42" t="str">
        <f>IFERROR(__xludf.DUMMYFUNCTION("""COMPUTED_VALUE"""),"+4000")</f>
        <v>+4000</v>
      </c>
      <c r="K1554" s="42">
        <f>IFERROR(__xludf.DUMMYFUNCTION("""COMPUTED_VALUE"""),2.0)</f>
        <v>2</v>
      </c>
      <c r="L1554" s="42" t="str">
        <f>IFERROR(__xludf.DUMMYFUNCTION("""COMPUTED_VALUE"""),"-")</f>
        <v>-</v>
      </c>
      <c r="M1554" s="42" t="str">
        <f>IFERROR(__xludf.DUMMYFUNCTION("""COMPUTED_VALUE"""),"[U]")</f>
        <v>[U]</v>
      </c>
      <c r="N1554" s="42" t="str">
        <f>IFERROR(__xludf.DUMMYFUNCTION("""COMPUTED_VALUE"""),"Maestro's 5th spell. Maestro slams his foes with a huge, magnetic energy sphere.")</f>
        <v>Maestro's 5th spell. Maestro slams his foes with a huge, magnetic energy sphere.</v>
      </c>
      <c r="O1554" s="42"/>
      <c r="P1554" s="42"/>
      <c r="Q1554" s="42"/>
      <c r="R1554" s="42"/>
      <c r="S1554" s="42"/>
      <c r="T1554" s="42"/>
      <c r="U1554" s="42"/>
      <c r="V1554" s="42"/>
      <c r="W1554" s="42"/>
      <c r="X1554" s="42"/>
      <c r="Y1554" s="42"/>
      <c r="Z1554" s="42"/>
    </row>
    <row r="1555">
      <c r="A1555" s="41" t="str">
        <f>IFERROR(__xludf.DUMMYFUNCTION("""COMPUTED_VALUE"""),"S-425")</f>
        <v>S-425</v>
      </c>
      <c r="B1555" s="42" t="str">
        <f>IFERROR(__xludf.DUMMYFUNCTION("""COMPUTED_VALUE"""),"Spell")</f>
        <v>Spell</v>
      </c>
      <c r="C1555" s="42" t="str">
        <f>IFERROR(__xludf.DUMMYFUNCTION("""COMPUTED_VALUE"""),"Magneshield")</f>
        <v>Magneshield</v>
      </c>
      <c r="D1555" s="42" t="str">
        <f>IFERROR(__xludf.DUMMYFUNCTION("""COMPUTED_VALUE"""),"Maestro")</f>
        <v>Maestro</v>
      </c>
      <c r="E1555" s="42">
        <f>IFERROR(__xludf.DUMMYFUNCTION("""COMPUTED_VALUE"""),1.0)</f>
        <v>1</v>
      </c>
      <c r="F1555" s="42" t="str">
        <f>IFERROR(__xludf.DUMMYFUNCTION("""COMPUTED_VALUE"""),"D")</f>
        <v>D</v>
      </c>
      <c r="G1555" s="42" t="str">
        <f>IFERROR(__xludf.DUMMYFUNCTION("""COMPUTED_VALUE"""),"None")</f>
        <v>None</v>
      </c>
      <c r="H1555" s="42" t="str">
        <f>IFERROR(__xludf.DUMMYFUNCTION("""COMPUTED_VALUE"""),"-")</f>
        <v>-</v>
      </c>
      <c r="I1555" s="43" t="str">
        <f>IFERROR(__xludf.DUMMYFUNCTION("""COMPUTED_VALUE"""),"Negate your opponent's Attack when you win the Battle as a Defender. Regardless of their Power, if your opponent's Attack inflicts Damage more than once, their Attack now inflicts Damage only once.")</f>
        <v>Negate your opponent's Attack when you win the Battle as a Defender. Regardless of their Power, if your opponent's Attack inflicts Damage more than once, their Attack now inflicts Damage only once.</v>
      </c>
      <c r="J1555" s="42" t="str">
        <f>IFERROR(__xludf.DUMMYFUNCTION("""COMPUTED_VALUE"""),"+4000")</f>
        <v>+4000</v>
      </c>
      <c r="K1555" s="42" t="str">
        <f>IFERROR(__xludf.DUMMYFUNCTION("""COMPUTED_VALUE"""),"-")</f>
        <v>-</v>
      </c>
      <c r="L1555" s="42" t="str">
        <f>IFERROR(__xludf.DUMMYFUNCTION("""COMPUTED_VALUE"""),"-")</f>
        <v>-</v>
      </c>
      <c r="M1555" s="42" t="str">
        <f>IFERROR(__xludf.DUMMYFUNCTION("""COMPUTED_VALUE"""),"[C]")</f>
        <v>[C]</v>
      </c>
      <c r="N1555" s="42" t="str">
        <f>IFERROR(__xludf.DUMMYFUNCTION("""COMPUTED_VALUE"""),"Maestro's 6th spell. He generates a spherical shield that is large enough to encapsulate his entire body.")</f>
        <v>Maestro's 6th spell. He generates a spherical shield that is large enough to encapsulate his entire body.</v>
      </c>
      <c r="O1555" s="42"/>
      <c r="P1555" s="42"/>
      <c r="Q1555" s="42"/>
      <c r="R1555" s="42"/>
      <c r="S1555" s="42"/>
      <c r="T1555" s="42"/>
      <c r="U1555" s="42"/>
      <c r="V1555" s="42"/>
      <c r="W1555" s="42"/>
      <c r="X1555" s="42"/>
      <c r="Y1555" s="42"/>
      <c r="Z1555" s="42"/>
    </row>
    <row r="1556">
      <c r="A1556" s="41" t="str">
        <f>IFERROR(__xludf.DUMMYFUNCTION("""COMPUTED_VALUE"""),"S-426")</f>
        <v>S-426</v>
      </c>
      <c r="B1556" s="42" t="str">
        <f>IFERROR(__xludf.DUMMYFUNCTION("""COMPUTED_VALUE"""),"Spell")</f>
        <v>Spell</v>
      </c>
      <c r="C1556" s="42" t="str">
        <f>IFERROR(__xludf.DUMMYFUNCTION("""COMPUTED_VALUE"""),"Amzerugu Magneruga")</f>
        <v>Amzerugu Magneruga</v>
      </c>
      <c r="D1556" s="42" t="str">
        <f>IFERROR(__xludf.DUMMYFUNCTION("""COMPUTED_VALUE"""),"Maestro")</f>
        <v>Maestro</v>
      </c>
      <c r="E1556" s="42">
        <f>IFERROR(__xludf.DUMMYFUNCTION("""COMPUTED_VALUE"""),3.0)</f>
        <v>3</v>
      </c>
      <c r="F1556" s="42" t="str">
        <f>IFERROR(__xludf.DUMMYFUNCTION("""COMPUTED_VALUE"""),"A")</f>
        <v>A</v>
      </c>
      <c r="G1556" s="42" t="str">
        <f>IFERROR(__xludf.DUMMYFUNCTION("""COMPUTED_VALUE"""),"Intermediate")</f>
        <v>Intermediate</v>
      </c>
      <c r="H1556" s="42" t="str">
        <f>IFERROR(__xludf.DUMMYFUNCTION("""COMPUTED_VALUE"""),"-")</f>
        <v>-</v>
      </c>
      <c r="I1556" s="43" t="str">
        <f>IFERROR(__xludf.DUMMYFUNCTION("""COMPUTED_VALUE"""),"Damage your opponent's Spell Book when you win the Battle as an Attacker. Regardless of Power, add 1000 Power to your Maestro MAMODO card until the END PHASE of your next turn (this effect can be duplicated) ([STAY]).")</f>
        <v>Damage your opponent's Spell Book when you win the Battle as an Attacker. Regardless of Power, add 1000 Power to your Maestro MAMODO card until the END PHASE of your next turn (this effect can be duplicated) ([STAY]).</v>
      </c>
      <c r="J1556" s="42" t="str">
        <f>IFERROR(__xludf.DUMMYFUNCTION("""COMPUTED_VALUE"""),"+4000")</f>
        <v>+4000</v>
      </c>
      <c r="K1556" s="42">
        <f>IFERROR(__xludf.DUMMYFUNCTION("""COMPUTED_VALUE"""),3.0)</f>
        <v>3</v>
      </c>
      <c r="L1556" s="42" t="str">
        <f>IFERROR(__xludf.DUMMYFUNCTION("""COMPUTED_VALUE"""),"-")</f>
        <v>-</v>
      </c>
      <c r="M1556" s="42" t="str">
        <f>IFERROR(__xludf.DUMMYFUNCTION("""COMPUTED_VALUE"""),"[U]")</f>
        <v>[U]</v>
      </c>
      <c r="N1556" s="42" t="str">
        <f>IFERROR(__xludf.DUMMYFUNCTION("""COMPUTED_VALUE"""),"Maestro's 7th spell. He discharges a hulking mass of magnetic energy in the form of a giant arm at his unsuspecting adversaries.")</f>
        <v>Maestro's 7th spell. He discharges a hulking mass of magnetic energy in the form of a giant arm at his unsuspecting adversaries.</v>
      </c>
      <c r="O1556" s="42"/>
      <c r="P1556" s="42"/>
      <c r="Q1556" s="42"/>
      <c r="R1556" s="42"/>
      <c r="S1556" s="42"/>
      <c r="T1556" s="42"/>
      <c r="U1556" s="42"/>
      <c r="V1556" s="42"/>
      <c r="W1556" s="42"/>
      <c r="X1556" s="42"/>
      <c r="Y1556" s="42"/>
      <c r="Z1556" s="42"/>
    </row>
    <row r="1557">
      <c r="A1557" s="41" t="str">
        <f>IFERROR(__xludf.DUMMYFUNCTION("""COMPUTED_VALUE"""),"S-427")</f>
        <v>S-427</v>
      </c>
      <c r="B1557" s="42" t="str">
        <f>IFERROR(__xludf.DUMMYFUNCTION("""COMPUTED_VALUE"""),"Spell")</f>
        <v>Spell</v>
      </c>
      <c r="C1557" s="42" t="str">
        <f>IFERROR(__xludf.DUMMYFUNCTION("""COMPUTED_VALUE"""),"Magneshido Dyuranga")</f>
        <v>Magneshido Dyuranga</v>
      </c>
      <c r="D1557" s="42" t="str">
        <f>IFERROR(__xludf.DUMMYFUNCTION("""COMPUTED_VALUE"""),"Maestro")</f>
        <v>Maestro</v>
      </c>
      <c r="E1557" s="42">
        <f>IFERROR(__xludf.DUMMYFUNCTION("""COMPUTED_VALUE"""),6.0)</f>
        <v>6</v>
      </c>
      <c r="F1557" s="42" t="str">
        <f>IFERROR(__xludf.DUMMYFUNCTION("""COMPUTED_VALUE"""),"AD")</f>
        <v>AD</v>
      </c>
      <c r="G1557" s="42" t="str">
        <f>IFERROR(__xludf.DUMMYFUNCTION("""COMPUTED_VALUE"""),"Superior")</f>
        <v>Superior</v>
      </c>
      <c r="H1557" s="42" t="str">
        <f>IFERROR(__xludf.DUMMYFUNCTION("""COMPUTED_VALUE"""),"-")</f>
        <v>-</v>
      </c>
      <c r="I1557" s="43" t="str">
        <f>IFERROR(__xludf.DUMMYFUNCTION("""COMPUTED_VALUE"""),"Damage your opponent's Spell Book when you win the Battle as an Attacker. When you win the Battle as an Attacker or as a Defender, and you are on the last page of your Spell Book, turn back 1 page of your Spell Book.")</f>
        <v>Damage your opponent's Spell Book when you win the Battle as an Attacker. When you win the Battle as an Attacker or as a Defender, and you are on the last page of your Spell Book, turn back 1 page of your Spell Book.</v>
      </c>
      <c r="J1557" s="42" t="str">
        <f>IFERROR(__xludf.DUMMYFUNCTION("""COMPUTED_VALUE"""),"+6000")</f>
        <v>+6000</v>
      </c>
      <c r="K1557" s="42">
        <f>IFERROR(__xludf.DUMMYFUNCTION("""COMPUTED_VALUE"""),3.0)</f>
        <v>3</v>
      </c>
      <c r="L1557" s="42" t="str">
        <f>IFERROR(__xludf.DUMMYFUNCTION("""COMPUTED_VALUE"""),"-")</f>
        <v>-</v>
      </c>
      <c r="M1557" s="42" t="str">
        <f>IFERROR(__xludf.DUMMYFUNCTION("""COMPUTED_VALUE"""),"[R]")</f>
        <v>[R]</v>
      </c>
      <c r="N1557" s="42" t="str">
        <f>IFERROR(__xludf.DUMMYFUNCTION("""COMPUTED_VALUE"""),"Maestro's 8th spell. A colossal warrior clad in samurai armor rises forth to slay all that stands in its path with its mighty blade.")</f>
        <v>Maestro's 8th spell. A colossal warrior clad in samurai armor rises forth to slay all that stands in its path with its mighty blade.</v>
      </c>
      <c r="O1557" s="42"/>
      <c r="P1557" s="42"/>
      <c r="Q1557" s="42"/>
      <c r="R1557" s="42"/>
      <c r="S1557" s="42"/>
      <c r="T1557" s="42"/>
      <c r="U1557" s="42"/>
      <c r="V1557" s="42"/>
      <c r="W1557" s="42"/>
      <c r="X1557" s="42"/>
      <c r="Y1557" s="42"/>
      <c r="Z1557" s="42"/>
    </row>
    <row r="1558">
      <c r="A1558" s="41" t="str">
        <f>IFERROR(__xludf.DUMMYFUNCTION("""COMPUTED_VALUE"""),"S-428")</f>
        <v>S-428</v>
      </c>
      <c r="B1558" s="42" t="str">
        <f>IFERROR(__xludf.DUMMYFUNCTION("""COMPUTED_VALUE"""),"Spell")</f>
        <v>Spell</v>
      </c>
      <c r="C1558" s="42" t="str">
        <f>IFERROR(__xludf.DUMMYFUNCTION("""COMPUTED_VALUE"""),"Magnetic Barrier")</f>
        <v>Magnetic Barrier</v>
      </c>
      <c r="D1558" s="42" t="str">
        <f>IFERROR(__xludf.DUMMYFUNCTION("""COMPUTED_VALUE"""),"Maestro")</f>
        <v>Maestro</v>
      </c>
      <c r="E1558" s="42">
        <f>IFERROR(__xludf.DUMMYFUNCTION("""COMPUTED_VALUE"""),0.0)</f>
        <v>0</v>
      </c>
      <c r="F1558" s="42" t="str">
        <f>IFERROR(__xludf.DUMMYFUNCTION("""COMPUTED_VALUE"""),"D")</f>
        <v>D</v>
      </c>
      <c r="G1558" s="42" t="str">
        <f>IFERROR(__xludf.DUMMYFUNCTION("""COMPUTED_VALUE"""),"None")</f>
        <v>None</v>
      </c>
      <c r="H1558" s="42" t="str">
        <f>IFERROR(__xludf.DUMMYFUNCTION("""COMPUTED_VALUE"""),"-")</f>
        <v>-</v>
      </c>
      <c r="I1558" s="43" t="str">
        <f>IFERROR(__xludf.DUMMYFUNCTION("""COMPUTED_VALUE"""),"Flip a coin; if it's heads, negate your opponent's Attack regardless of their Power. If it's tails, reduce the Damage of your opponent's Attack by 1.")</f>
        <v>Flip a coin; if it's heads, negate your opponent's Attack regardless of their Power. If it's tails, reduce the Damage of your opponent's Attack by 1.</v>
      </c>
      <c r="J1558" s="42" t="str">
        <f>IFERROR(__xludf.DUMMYFUNCTION("""COMPUTED_VALUE"""),"Special")</f>
        <v>Special</v>
      </c>
      <c r="K1558" s="42" t="str">
        <f>IFERROR(__xludf.DUMMYFUNCTION("""COMPUTED_VALUE"""),"-")</f>
        <v>-</v>
      </c>
      <c r="L1558" s="42" t="str">
        <f>IFERROR(__xludf.DUMMYFUNCTION("""COMPUTED_VALUE"""),"-")</f>
        <v>-</v>
      </c>
      <c r="M1558" s="42" t="str">
        <f>IFERROR(__xludf.DUMMYFUNCTION("""COMPUTED_VALUE"""),"[C]")</f>
        <v>[C]</v>
      </c>
      <c r="N1558" s="42" t="str">
        <f>IFERROR(__xludf.DUMMYFUNCTION("""COMPUTED_VALUE"""),"Command:Maestro")</f>
        <v>Command:Maestro</v>
      </c>
      <c r="O1558" s="42"/>
      <c r="P1558" s="42"/>
      <c r="Q1558" s="42"/>
      <c r="R1558" s="42"/>
      <c r="S1558" s="42"/>
      <c r="T1558" s="42"/>
      <c r="U1558" s="42"/>
      <c r="V1558" s="42"/>
      <c r="W1558" s="42"/>
      <c r="X1558" s="42"/>
      <c r="Y1558" s="42"/>
      <c r="Z1558" s="42"/>
    </row>
    <row r="1559">
      <c r="A1559" s="41" t="str">
        <f>IFERROR(__xludf.DUMMYFUNCTION("""COMPUTED_VALUE"""),"S-429")</f>
        <v>S-429</v>
      </c>
      <c r="B1559" s="42" t="str">
        <f>IFERROR(__xludf.DUMMYFUNCTION("""COMPUTED_VALUE"""),"Spell")</f>
        <v>Spell</v>
      </c>
      <c r="C1559" s="42" t="str">
        <f>IFERROR(__xludf.DUMMYFUNCTION("""COMPUTED_VALUE"""),"Zaker")</f>
        <v>Zaker</v>
      </c>
      <c r="D1559" s="42" t="str">
        <f>IFERROR(__xludf.DUMMYFUNCTION("""COMPUTED_VALUE"""),"Zatch Bell")</f>
        <v>Zatch Bell</v>
      </c>
      <c r="E1559" s="42">
        <f>IFERROR(__xludf.DUMMYFUNCTION("""COMPUTED_VALUE"""),1.0)</f>
        <v>1</v>
      </c>
      <c r="F1559" s="42" t="str">
        <f>IFERROR(__xludf.DUMMYFUNCTION("""COMPUTED_VALUE"""),"AD")</f>
        <v>AD</v>
      </c>
      <c r="G1559" s="42" t="str">
        <f>IFERROR(__xludf.DUMMYFUNCTION("""COMPUTED_VALUE"""),"None")</f>
        <v>None</v>
      </c>
      <c r="H1559" s="42" t="str">
        <f>IFERROR(__xludf.DUMMYFUNCTION("""COMPUTED_VALUE"""),"Thunder")</f>
        <v>Thunder</v>
      </c>
      <c r="I1559" s="43" t="str">
        <f>IFERROR(__xludf.DUMMYFUNCTION("""COMPUTED_VALUE"""),"Damage your opponent's Spell Book when you win the Battle as an Attacker.")</f>
        <v>Damage your opponent's Spell Book when you win the Battle as an Attacker.</v>
      </c>
      <c r="J1559" s="42" t="str">
        <f>IFERROR(__xludf.DUMMYFUNCTION("""COMPUTED_VALUE"""),"+3000")</f>
        <v>+3000</v>
      </c>
      <c r="K1559" s="42">
        <f>IFERROR(__xludf.DUMMYFUNCTION("""COMPUTED_VALUE"""),1.0)</f>
        <v>1</v>
      </c>
      <c r="L1559" s="42" t="str">
        <f>IFERROR(__xludf.DUMMYFUNCTION("""COMPUTED_VALUE"""),"-")</f>
        <v>-</v>
      </c>
      <c r="M1559" s="42" t="str">
        <f>IFERROR(__xludf.DUMMYFUNCTION("""COMPUTED_VALUE"""),"[C]")</f>
        <v>[C]</v>
      </c>
      <c r="N1559" s="42" t="str">
        <f>IFERROR(__xludf.DUMMYFUNCTION("""COMPUTED_VALUE"""),"Zatch's 1st spell. Even basic spells can show true value depending on how they are used.")</f>
        <v>Zatch's 1st spell. Even basic spells can show true value depending on how they are used.</v>
      </c>
      <c r="O1559" s="42"/>
      <c r="P1559" s="42"/>
      <c r="Q1559" s="42"/>
      <c r="R1559" s="42"/>
      <c r="S1559" s="42"/>
      <c r="T1559" s="42"/>
      <c r="U1559" s="42"/>
      <c r="V1559" s="42"/>
      <c r="W1559" s="42"/>
      <c r="X1559" s="42"/>
      <c r="Y1559" s="42"/>
      <c r="Z1559" s="42"/>
    </row>
    <row r="1560">
      <c r="A1560" s="41" t="str">
        <f>IFERROR(__xludf.DUMMYFUNCTION("""COMPUTED_VALUE"""),"S-430")</f>
        <v>S-430</v>
      </c>
      <c r="B1560" s="42" t="str">
        <f>IFERROR(__xludf.DUMMYFUNCTION("""COMPUTED_VALUE"""),"Spell")</f>
        <v>Spell</v>
      </c>
      <c r="C1560" s="42" t="str">
        <f>IFERROR(__xludf.DUMMYFUNCTION("""COMPUTED_VALUE"""),"Rashield")</f>
        <v>Rashield</v>
      </c>
      <c r="D1560" s="42" t="str">
        <f>IFERROR(__xludf.DUMMYFUNCTION("""COMPUTED_VALUE"""),"Zatch Bell")</f>
        <v>Zatch Bell</v>
      </c>
      <c r="E1560" s="42">
        <f>IFERROR(__xludf.DUMMYFUNCTION("""COMPUTED_VALUE"""),1.0)</f>
        <v>1</v>
      </c>
      <c r="F1560" s="42" t="str">
        <f>IFERROR(__xludf.DUMMYFUNCTION("""COMPUTED_VALUE"""),"D")</f>
        <v>D</v>
      </c>
      <c r="G1560" s="42" t="str">
        <f>IFERROR(__xludf.DUMMYFUNCTION("""COMPUTED_VALUE"""),"None")</f>
        <v>None</v>
      </c>
      <c r="H1560" s="42" t="str">
        <f>IFERROR(__xludf.DUMMYFUNCTION("""COMPUTED_VALUE"""),"Thunder")</f>
        <v>Thunder</v>
      </c>
      <c r="I1560" s="43" t="str">
        <f>IFERROR(__xludf.DUMMYFUNCTION("""COMPUTED_VALUE"""),"This SPELL card can be played up to twice per turn (per player). Negate your opponent's Attack when you win the Battle as a Defender.")</f>
        <v>This SPELL card can be played up to twice per turn (per player). Negate your opponent's Attack when you win the Battle as a Defender.</v>
      </c>
      <c r="J1560" s="42" t="str">
        <f>IFERROR(__xludf.DUMMYFUNCTION("""COMPUTED_VALUE"""),"+5000")</f>
        <v>+5000</v>
      </c>
      <c r="K1560" s="42" t="str">
        <f>IFERROR(__xludf.DUMMYFUNCTION("""COMPUTED_VALUE"""),"-")</f>
        <v>-</v>
      </c>
      <c r="L1560" s="42" t="str">
        <f>IFERROR(__xludf.DUMMYFUNCTION("""COMPUTED_VALUE"""),"-")</f>
        <v>-</v>
      </c>
      <c r="M1560" s="42" t="str">
        <f>IFERROR(__xludf.DUMMYFUNCTION("""COMPUTED_VALUE"""),"[C]")</f>
        <v>[C]</v>
      </c>
      <c r="N1560" s="42" t="str">
        <f>IFERROR(__xludf.DUMMYFUNCTION("""COMPUTED_VALUE"""),"Zatch's 2nd spell. This defensive spell has helped him out of many tight spots.")</f>
        <v>Zatch's 2nd spell. This defensive spell has helped him out of many tight spots.</v>
      </c>
      <c r="O1560" s="42"/>
      <c r="P1560" s="42"/>
      <c r="Q1560" s="42"/>
      <c r="R1560" s="42"/>
      <c r="S1560" s="42"/>
      <c r="T1560" s="42"/>
      <c r="U1560" s="42"/>
      <c r="V1560" s="42"/>
      <c r="W1560" s="42"/>
      <c r="X1560" s="42"/>
      <c r="Y1560" s="42"/>
      <c r="Z1560" s="42"/>
    </row>
    <row r="1561">
      <c r="A1561" s="41" t="str">
        <f>IFERROR(__xludf.DUMMYFUNCTION("""COMPUTED_VALUE"""),"S-431")</f>
        <v>S-431</v>
      </c>
      <c r="B1561" s="42" t="str">
        <f>IFERROR(__xludf.DUMMYFUNCTION("""COMPUTED_VALUE"""),"Spell")</f>
        <v>Spell</v>
      </c>
      <c r="C1561" s="42" t="str">
        <f>IFERROR(__xludf.DUMMYFUNCTION("""COMPUTED_VALUE"""),"Jikerdor")</f>
        <v>Jikerdor</v>
      </c>
      <c r="D1561" s="42" t="str">
        <f>IFERROR(__xludf.DUMMYFUNCTION("""COMPUTED_VALUE"""),"Zatch Bell")</f>
        <v>Zatch Bell</v>
      </c>
      <c r="E1561" s="42">
        <f>IFERROR(__xludf.DUMMYFUNCTION("""COMPUTED_VALUE"""),1.0)</f>
        <v>1</v>
      </c>
      <c r="F1561" s="42" t="str">
        <f>IFERROR(__xludf.DUMMYFUNCTION("""COMPUTED_VALUE"""),"A")</f>
        <v>A</v>
      </c>
      <c r="G1561" s="42" t="str">
        <f>IFERROR(__xludf.DUMMYFUNCTION("""COMPUTED_VALUE"""),"None")</f>
        <v>None</v>
      </c>
      <c r="H1561" s="42" t="str">
        <f>IFERROR(__xludf.DUMMYFUNCTION("""COMPUTED_VALUE"""),"Thunder")</f>
        <v>Thunder</v>
      </c>
      <c r="I1561" s="43" t="str">
        <f>IFERROR(__xludf.DUMMYFUNCTION("""COMPUTED_VALUE"""),"Damage your opponent's Spell Book when you win the Battle as an Attacker. When you inflict Damage to your opponent's Spell Book, your opponent can neither turn nor turn back pages of their Spell Book with their card effects during this game ([STAY]).")</f>
        <v>Damage your opponent's Spell Book when you win the Battle as an Attacker. When you inflict Damage to your opponent's Spell Book, your opponent can neither turn nor turn back pages of their Spell Book with their card effects during this game ([STAY]).</v>
      </c>
      <c r="J1561" s="42" t="str">
        <f>IFERROR(__xludf.DUMMYFUNCTION("""COMPUTED_VALUE"""),"+0")</f>
        <v>+0</v>
      </c>
      <c r="K1561" s="42">
        <f>IFERROR(__xludf.DUMMYFUNCTION("""COMPUTED_VALUE"""),1.0)</f>
        <v>1</v>
      </c>
      <c r="L1561" s="42" t="str">
        <f>IFERROR(__xludf.DUMMYFUNCTION("""COMPUTED_VALUE"""),"-")</f>
        <v>-</v>
      </c>
      <c r="M1561" s="42" t="str">
        <f>IFERROR(__xludf.DUMMYFUNCTION("""COMPUTED_VALUE"""),"[C]")</f>
        <v>[C]</v>
      </c>
      <c r="N1561" s="42" t="str">
        <f>IFERROR(__xludf.DUMMYFUNCTION("""COMPUTED_VALUE"""),"Zatch's 3rd spell. It releases a ball of light that radiates a strong magnetic force upon anything it touches.")</f>
        <v>Zatch's 3rd spell. It releases a ball of light that radiates a strong magnetic force upon anything it touches.</v>
      </c>
      <c r="O1561" s="42"/>
      <c r="P1561" s="42"/>
      <c r="Q1561" s="42"/>
      <c r="R1561" s="42"/>
      <c r="S1561" s="42"/>
      <c r="T1561" s="42"/>
      <c r="U1561" s="42"/>
      <c r="V1561" s="42"/>
      <c r="W1561" s="42"/>
      <c r="X1561" s="42"/>
      <c r="Y1561" s="42"/>
      <c r="Z1561" s="42"/>
    </row>
    <row r="1562">
      <c r="A1562" s="41" t="str">
        <f>IFERROR(__xludf.DUMMYFUNCTION("""COMPUTED_VALUE"""),"S-432")</f>
        <v>S-432</v>
      </c>
      <c r="B1562" s="42" t="str">
        <f>IFERROR(__xludf.DUMMYFUNCTION("""COMPUTED_VALUE"""),"Spell")</f>
        <v>Spell</v>
      </c>
      <c r="C1562" s="42" t="str">
        <f>IFERROR(__xludf.DUMMYFUNCTION("""COMPUTED_VALUE"""),"Bao Zakeruga")</f>
        <v>Bao Zakeruga</v>
      </c>
      <c r="D1562" s="42" t="str">
        <f>IFERROR(__xludf.DUMMYFUNCTION("""COMPUTED_VALUE"""),"Zatch Bell")</f>
        <v>Zatch Bell</v>
      </c>
      <c r="E1562" s="42">
        <f>IFERROR(__xludf.DUMMYFUNCTION("""COMPUTED_VALUE"""),8.0)</f>
        <v>8</v>
      </c>
      <c r="F1562" s="42" t="str">
        <f>IFERROR(__xludf.DUMMYFUNCTION("""COMPUTED_VALUE"""),"AD")</f>
        <v>AD</v>
      </c>
      <c r="G1562" s="42" t="str">
        <f>IFERROR(__xludf.DUMMYFUNCTION("""COMPUTED_VALUE"""),"Superior")</f>
        <v>Superior</v>
      </c>
      <c r="H1562" s="42" t="str">
        <f>IFERROR(__xludf.DUMMYFUNCTION("""COMPUTED_VALUE"""),"Thunder")</f>
        <v>Thunder</v>
      </c>
      <c r="I1562" s="43" t="str">
        <f>IFERROR(__xludf.DUMMYFUNCTION("""COMPUTED_VALUE"""),"Damage your opponent's Spell Book when you win the Battle as an Attacker. When you are on the last page of your Spell Book, your opponent can neither SACRIFICE nor PROTECT their Spell Book from this card's Damage.")</f>
        <v>Damage your opponent's Spell Book when you win the Battle as an Attacker. When you are on the last page of your Spell Book, your opponent can neither SACRIFICE nor PROTECT their Spell Book from this card's Damage.</v>
      </c>
      <c r="J1562" s="42" t="str">
        <f>IFERROR(__xludf.DUMMYFUNCTION("""COMPUTED_VALUE"""),"+8000")</f>
        <v>+8000</v>
      </c>
      <c r="K1562" s="42">
        <f>IFERROR(__xludf.DUMMYFUNCTION("""COMPUTED_VALUE"""),4.0)</f>
        <v>4</v>
      </c>
      <c r="L1562" s="42" t="str">
        <f>IFERROR(__xludf.DUMMYFUNCTION("""COMPUTED_VALUE"""),"-")</f>
        <v>-</v>
      </c>
      <c r="M1562" s="42" t="str">
        <f>IFERROR(__xludf.DUMMYFUNCTION("""COMPUTED_VALUE"""),"[SR]")</f>
        <v>[SR]</v>
      </c>
      <c r="N1562" s="42" t="str">
        <f>IFERROR(__xludf.DUMMYFUNCTION("""COMPUTED_VALUE"""),"Zatch's 4th spell. His most powerful attack that can end the battle in one decisive blow!")</f>
        <v>Zatch's 4th spell. His most powerful attack that can end the battle in one decisive blow!</v>
      </c>
      <c r="O1562" s="42"/>
      <c r="P1562" s="42"/>
      <c r="Q1562" s="42"/>
      <c r="R1562" s="42"/>
      <c r="S1562" s="42"/>
      <c r="T1562" s="42"/>
      <c r="U1562" s="42"/>
      <c r="V1562" s="42"/>
      <c r="W1562" s="42"/>
      <c r="X1562" s="42"/>
      <c r="Y1562" s="42"/>
      <c r="Z1562" s="42"/>
    </row>
    <row r="1563">
      <c r="A1563" s="41" t="str">
        <f>IFERROR(__xludf.DUMMYFUNCTION("""COMPUTED_VALUE"""),"S-433")</f>
        <v>S-433</v>
      </c>
      <c r="B1563" s="42" t="str">
        <f>IFERROR(__xludf.DUMMYFUNCTION("""COMPUTED_VALUE"""),"Spell")</f>
        <v>Spell</v>
      </c>
      <c r="C1563" s="42" t="str">
        <f>IFERROR(__xludf.DUMMYFUNCTION("""COMPUTED_VALUE"""),"Zakeruga")</f>
        <v>Zakeruga</v>
      </c>
      <c r="D1563" s="42" t="str">
        <f>IFERROR(__xludf.DUMMYFUNCTION("""COMPUTED_VALUE"""),"Zatch Bell")</f>
        <v>Zatch Bell</v>
      </c>
      <c r="E1563" s="42">
        <f>IFERROR(__xludf.DUMMYFUNCTION("""COMPUTED_VALUE"""),2.0)</f>
        <v>2</v>
      </c>
      <c r="F1563" s="42" t="str">
        <f>IFERROR(__xludf.DUMMYFUNCTION("""COMPUTED_VALUE"""),"AD")</f>
        <v>AD</v>
      </c>
      <c r="G1563" s="42" t="str">
        <f>IFERROR(__xludf.DUMMYFUNCTION("""COMPUTED_VALUE"""),"Intermediate")</f>
        <v>Intermediate</v>
      </c>
      <c r="H1563" s="42" t="str">
        <f>IFERROR(__xludf.DUMMYFUNCTION("""COMPUTED_VALUE"""),"Thunder")</f>
        <v>Thunder</v>
      </c>
      <c r="I1563" s="43" t="str">
        <f>IFERROR(__xludf.DUMMYFUNCTION("""COMPUTED_VALUE"""),"Damage your opponent's Spell Book when you win the Battle as an Attacker.")</f>
        <v>Damage your opponent's Spell Book when you win the Battle as an Attacker.</v>
      </c>
      <c r="J1563" s="42" t="str">
        <f>IFERROR(__xludf.DUMMYFUNCTION("""COMPUTED_VALUE"""),"+4000")</f>
        <v>+4000</v>
      </c>
      <c r="K1563" s="42">
        <f>IFERROR(__xludf.DUMMYFUNCTION("""COMPUTED_VALUE"""),2.0)</f>
        <v>2</v>
      </c>
      <c r="L1563" s="42" t="str">
        <f>IFERROR(__xludf.DUMMYFUNCTION("""COMPUTED_VALUE"""),"-")</f>
        <v>-</v>
      </c>
      <c r="M1563" s="42" t="str">
        <f>IFERROR(__xludf.DUMMYFUNCTION("""COMPUTED_VALUE"""),"[U]")</f>
        <v>[U]</v>
      </c>
      <c r="N1563" s="42" t="str">
        <f>IFERROR(__xludf.DUMMYFUNCTION("""COMPUTED_VALUE"""),"Zatch's 5th spell. It converges energy into a single point and fires it as a concentrated beam of lightning.")</f>
        <v>Zatch's 5th spell. It converges energy into a single point and fires it as a concentrated beam of lightning.</v>
      </c>
      <c r="O1563" s="42"/>
      <c r="P1563" s="42"/>
      <c r="Q1563" s="42"/>
      <c r="R1563" s="42"/>
      <c r="S1563" s="42"/>
      <c r="T1563" s="42"/>
      <c r="U1563" s="42"/>
      <c r="V1563" s="42"/>
      <c r="W1563" s="42"/>
      <c r="X1563" s="42"/>
      <c r="Y1563" s="42"/>
      <c r="Z1563" s="42"/>
    </row>
    <row r="1564">
      <c r="A1564" s="41" t="str">
        <f>IFERROR(__xludf.DUMMYFUNCTION("""COMPUTED_VALUE"""),"S-434")</f>
        <v>S-434</v>
      </c>
      <c r="B1564" s="42" t="str">
        <f>IFERROR(__xludf.DUMMYFUNCTION("""COMPUTED_VALUE"""),"Spell")</f>
        <v>Spell</v>
      </c>
      <c r="C1564" s="42" t="str">
        <f>IFERROR(__xludf.DUMMYFUNCTION("""COMPUTED_VALUE"""),"Rauzaruk")</f>
        <v>Rauzaruk</v>
      </c>
      <c r="D1564" s="42" t="str">
        <f>IFERROR(__xludf.DUMMYFUNCTION("""COMPUTED_VALUE"""),"Zatch Bell")</f>
        <v>Zatch Bell</v>
      </c>
      <c r="E1564" s="42">
        <f>IFERROR(__xludf.DUMMYFUNCTION("""COMPUTED_VALUE"""),3.0)</f>
        <v>3</v>
      </c>
      <c r="F1564" s="42" t="str">
        <f>IFERROR(__xludf.DUMMYFUNCTION("""COMPUTED_VALUE"""),"AD")</f>
        <v>AD</v>
      </c>
      <c r="G1564" s="42" t="str">
        <f>IFERROR(__xludf.DUMMYFUNCTION("""COMPUTED_VALUE"""),"Intermediate")</f>
        <v>Intermediate</v>
      </c>
      <c r="H1564" s="42" t="str">
        <f>IFERROR(__xludf.DUMMYFUNCTION("""COMPUTED_VALUE"""),"Thunder")</f>
        <v>Thunder</v>
      </c>
      <c r="I1564" s="43" t="str">
        <f>IFERROR(__xludf.DUMMYFUNCTION("""COMPUTED_VALUE"""),"Damage your opponent's Spell Book when you win the Battle as an Attacker.")</f>
        <v>Damage your opponent's Spell Book when you win the Battle as an Attacker.</v>
      </c>
      <c r="J1564" s="42" t="str">
        <f>IFERROR(__xludf.DUMMYFUNCTION("""COMPUTED_VALUE"""),"+6000")</f>
        <v>+6000</v>
      </c>
      <c r="K1564" s="42">
        <f>IFERROR(__xludf.DUMMYFUNCTION("""COMPUTED_VALUE"""),2.0)</f>
        <v>2</v>
      </c>
      <c r="L1564" s="42" t="str">
        <f>IFERROR(__xludf.DUMMYFUNCTION("""COMPUTED_VALUE"""),"-")</f>
        <v>-</v>
      </c>
      <c r="M1564" s="42" t="str">
        <f>IFERROR(__xludf.DUMMYFUNCTION("""COMPUTED_VALUE"""),"[U]")</f>
        <v>[U]</v>
      </c>
      <c r="N1564" s="42" t="str">
        <f>IFERROR(__xludf.DUMMYFUNCTION("""COMPUTED_VALUE"""),"Zatch's 6th spell. It strengthens Zatch's body and amplifies his natural abilities as he lunges toward the opponent in close combat!")</f>
        <v>Zatch's 6th spell. It strengthens Zatch's body and amplifies his natural abilities as he lunges toward the opponent in close combat!</v>
      </c>
      <c r="O1564" s="42"/>
      <c r="P1564" s="42"/>
      <c r="Q1564" s="42"/>
      <c r="R1564" s="42"/>
      <c r="S1564" s="42"/>
      <c r="T1564" s="42"/>
      <c r="U1564" s="42"/>
      <c r="V1564" s="42"/>
      <c r="W1564" s="42"/>
      <c r="X1564" s="42"/>
      <c r="Y1564" s="42"/>
      <c r="Z1564" s="42"/>
    </row>
    <row r="1565">
      <c r="A1565" s="41" t="str">
        <f>IFERROR(__xludf.DUMMYFUNCTION("""COMPUTED_VALUE"""),"S-435")</f>
        <v>S-435</v>
      </c>
      <c r="B1565" s="42" t="str">
        <f>IFERROR(__xludf.DUMMYFUNCTION("""COMPUTED_VALUE"""),"Spell")</f>
        <v>Spell</v>
      </c>
      <c r="C1565" s="42" t="str">
        <f>IFERROR(__xludf.DUMMYFUNCTION("""COMPUTED_VALUE"""),"Zagurzem")</f>
        <v>Zagurzem</v>
      </c>
      <c r="D1565" s="42" t="str">
        <f>IFERROR(__xludf.DUMMYFUNCTION("""COMPUTED_VALUE"""),"Zatch Bell")</f>
        <v>Zatch Bell</v>
      </c>
      <c r="E1565" s="42">
        <f>IFERROR(__xludf.DUMMYFUNCTION("""COMPUTED_VALUE"""),1.0)</f>
        <v>1</v>
      </c>
      <c r="F1565" s="42" t="str">
        <f>IFERROR(__xludf.DUMMYFUNCTION("""COMPUTED_VALUE"""),"A")</f>
        <v>A</v>
      </c>
      <c r="G1565" s="42" t="str">
        <f>IFERROR(__xludf.DUMMYFUNCTION("""COMPUTED_VALUE"""),"None")</f>
        <v>None</v>
      </c>
      <c r="H1565" s="42" t="str">
        <f>IFERROR(__xludf.DUMMYFUNCTION("""COMPUTED_VALUE"""),"Thunder")</f>
        <v>Thunder</v>
      </c>
      <c r="I1565" s="43" t="str">
        <f>IFERROR(__xludf.DUMMYFUNCTION("""COMPUTED_VALUE"""),"[STANDBY] After applying this effect, only once during this game (per player), you may add 2000 Power and 1 Damage to 1 ""Thunder"" Attribute SPELL card you play during the Battle (this effect cannot be duplicated). This effect is [STAY] during the Battle"&amp;" it is triggered for.")</f>
        <v>[STANDBY] After applying this effect, only once during this game (per player), you may add 2000 Power and 1 Damage to 1 "Thunder" Attribute SPELL card you play during the Battle (this effect cannot be duplicated). This effect is [STAY] during the Battle it is triggered for.</v>
      </c>
      <c r="J1565" s="42" t="str">
        <f>IFERROR(__xludf.DUMMYFUNCTION("""COMPUTED_VALUE"""),"Special")</f>
        <v>Special</v>
      </c>
      <c r="K1565" s="42" t="str">
        <f>IFERROR(__xludf.DUMMYFUNCTION("""COMPUTED_VALUE"""),"-")</f>
        <v>-</v>
      </c>
      <c r="L1565" s="42" t="str">
        <f>IFERROR(__xludf.DUMMYFUNCTION("""COMPUTED_VALUE"""),"-")</f>
        <v>-</v>
      </c>
      <c r="M1565" s="42" t="str">
        <f>IFERROR(__xludf.DUMMYFUNCTION("""COMPUTED_VALUE"""),"[C]")</f>
        <v>[C]</v>
      </c>
      <c r="N1565" s="42" t="str">
        <f>IFERROR(__xludf.DUMMYFUNCTION("""COMPUTED_VALUE"""),"Zatch's 7th spell. Zatch fires an energy orb that explodes on contact with any of his attack spells.")</f>
        <v>Zatch's 7th spell. Zatch fires an energy orb that explodes on contact with any of his attack spells.</v>
      </c>
      <c r="O1565" s="42"/>
      <c r="P1565" s="42"/>
      <c r="Q1565" s="42"/>
      <c r="R1565" s="42"/>
      <c r="S1565" s="42"/>
      <c r="T1565" s="42"/>
      <c r="U1565" s="42"/>
      <c r="V1565" s="42"/>
      <c r="W1565" s="42"/>
      <c r="X1565" s="42"/>
      <c r="Y1565" s="42"/>
      <c r="Z1565" s="42"/>
    </row>
    <row r="1566">
      <c r="A1566" s="41" t="str">
        <f>IFERROR(__xludf.DUMMYFUNCTION("""COMPUTED_VALUE"""),"S-436")</f>
        <v>S-436</v>
      </c>
      <c r="B1566" s="42" t="str">
        <f>IFERROR(__xludf.DUMMYFUNCTION("""COMPUTED_VALUE"""),"Spell")</f>
        <v>Spell</v>
      </c>
      <c r="C1566" s="42" t="str">
        <f>IFERROR(__xludf.DUMMYFUNCTION("""COMPUTED_VALUE"""),"Bao Zakeruga")</f>
        <v>Bao Zakeruga</v>
      </c>
      <c r="D1566" s="42" t="str">
        <f>IFERROR(__xludf.DUMMYFUNCTION("""COMPUTED_VALUE"""),"Zatch Bell")</f>
        <v>Zatch Bell</v>
      </c>
      <c r="E1566" s="42">
        <f>IFERROR(__xludf.DUMMYFUNCTION("""COMPUTED_VALUE"""),6.0)</f>
        <v>6</v>
      </c>
      <c r="F1566" s="42" t="str">
        <f>IFERROR(__xludf.DUMMYFUNCTION("""COMPUTED_VALUE"""),"AD")</f>
        <v>AD</v>
      </c>
      <c r="G1566" s="42" t="str">
        <f>IFERROR(__xludf.DUMMYFUNCTION("""COMPUTED_VALUE"""),"Superior")</f>
        <v>Superior</v>
      </c>
      <c r="H1566" s="42" t="str">
        <f>IFERROR(__xludf.DUMMYFUNCTION("""COMPUTED_VALUE"""),"Thunder")</f>
        <v>Thunder</v>
      </c>
      <c r="I1566" s="43" t="str">
        <f>IFERROR(__xludf.DUMMYFUNCTION("""COMPUTED_VALUE"""),"Damage your opponent's Spell Book when you win the Battle as an Attacker. You may send 1 of your in-play Kiyo Takamine PARTNER cards to the Discard Pile to reduce the MP cost of this SPELL card by 4.")</f>
        <v>Damage your opponent's Spell Book when you win the Battle as an Attacker. You may send 1 of your in-play Kiyo Takamine PARTNER cards to the Discard Pile to reduce the MP cost of this SPELL card by 4.</v>
      </c>
      <c r="J1566" s="42" t="str">
        <f>IFERROR(__xludf.DUMMYFUNCTION("""COMPUTED_VALUE"""),"+6000")</f>
        <v>+6000</v>
      </c>
      <c r="K1566" s="42">
        <f>IFERROR(__xludf.DUMMYFUNCTION("""COMPUTED_VALUE"""),3.0)</f>
        <v>3</v>
      </c>
      <c r="L1566" s="42" t="str">
        <f>IFERROR(__xludf.DUMMYFUNCTION("""COMPUTED_VALUE"""),"-")</f>
        <v>-</v>
      </c>
      <c r="M1566" s="42" t="str">
        <f>IFERROR(__xludf.DUMMYFUNCTION("""COMPUTED_VALUE"""),"[R]")</f>
        <v>[R]</v>
      </c>
      <c r="N1566" s="42" t="str">
        <f>IFERROR(__xludf.DUMMYFUNCTION("""COMPUTED_VALUE"""),"Zatch's 4th spell. It is Zatch's mightiest spell, but it renders Kiyo immobile once it is cast.")</f>
        <v>Zatch's 4th spell. It is Zatch's mightiest spell, but it renders Kiyo immobile once it is cast.</v>
      </c>
      <c r="O1566" s="42"/>
      <c r="P1566" s="42"/>
      <c r="Q1566" s="42"/>
      <c r="R1566" s="42"/>
      <c r="S1566" s="42"/>
      <c r="T1566" s="42"/>
      <c r="U1566" s="42"/>
      <c r="V1566" s="42"/>
      <c r="W1566" s="42"/>
      <c r="X1566" s="42"/>
      <c r="Y1566" s="42"/>
      <c r="Z1566" s="42"/>
    </row>
    <row r="1567">
      <c r="A1567" s="41" t="str">
        <f>IFERROR(__xludf.DUMMYFUNCTION("""COMPUTED_VALUE"""),"S-437")</f>
        <v>S-437</v>
      </c>
      <c r="B1567" s="42" t="str">
        <f>IFERROR(__xludf.DUMMYFUNCTION("""COMPUTED_VALUE"""),"Spell")</f>
        <v>Spell</v>
      </c>
      <c r="C1567" s="42" t="str">
        <f>IFERROR(__xludf.DUMMYFUNCTION("""COMPUTED_VALUE"""),"Go, Ponygon!")</f>
        <v>Go, Ponygon!</v>
      </c>
      <c r="D1567" s="42" t="str">
        <f>IFERROR(__xludf.DUMMYFUNCTION("""COMPUTED_VALUE"""),"Ponygon")</f>
        <v>Ponygon</v>
      </c>
      <c r="E1567" s="42">
        <f>IFERROR(__xludf.DUMMYFUNCTION("""COMPUTED_VALUE"""),0.0)</f>
        <v>0</v>
      </c>
      <c r="F1567" s="42" t="str">
        <f>IFERROR(__xludf.DUMMYFUNCTION("""COMPUTED_VALUE"""),"A")</f>
        <v>A</v>
      </c>
      <c r="G1567" s="42" t="str">
        <f>IFERROR(__xludf.DUMMYFUNCTION("""COMPUTED_VALUE"""),"None")</f>
        <v>None</v>
      </c>
      <c r="H1567" s="42" t="str">
        <f>IFERROR(__xludf.DUMMYFUNCTION("""COMPUTED_VALUE"""),"-")</f>
        <v>-</v>
      </c>
      <c r="I1567" s="43" t="str">
        <f>IFERROR(__xludf.DUMMYFUNCTION("""COMPUTED_VALUE"""),"Select 1 MAMODO or PARTNER card from any page of your Spell Book and put it in play.")</f>
        <v>Select 1 MAMODO or PARTNER card from any page of your Spell Book and put it in play.</v>
      </c>
      <c r="J1567" s="42" t="str">
        <f>IFERROR(__xludf.DUMMYFUNCTION("""COMPUTED_VALUE"""),"Special")</f>
        <v>Special</v>
      </c>
      <c r="K1567" s="42" t="str">
        <f>IFERROR(__xludf.DUMMYFUNCTION("""COMPUTED_VALUE"""),"-")</f>
        <v>-</v>
      </c>
      <c r="L1567" s="42" t="str">
        <f>IFERROR(__xludf.DUMMYFUNCTION("""COMPUTED_VALUE"""),"-")</f>
        <v>-</v>
      </c>
      <c r="M1567" s="42" t="str">
        <f>IFERROR(__xludf.DUMMYFUNCTION("""COMPUTED_VALUE"""),"[R]")</f>
        <v>[R]</v>
      </c>
      <c r="N1567" s="42" t="str">
        <f>IFERROR(__xludf.DUMMYFUNCTION("""COMPUTED_VALUE"""),"Command:Ponygon")</f>
        <v>Command:Ponygon</v>
      </c>
      <c r="O1567" s="42"/>
      <c r="P1567" s="42"/>
      <c r="Q1567" s="42"/>
      <c r="R1567" s="42"/>
      <c r="S1567" s="42"/>
      <c r="T1567" s="42"/>
      <c r="U1567" s="42"/>
      <c r="V1567" s="42"/>
      <c r="W1567" s="42"/>
      <c r="X1567" s="42"/>
      <c r="Y1567" s="42"/>
      <c r="Z1567" s="42"/>
    </row>
    <row r="1568">
      <c r="A1568" s="42" t="str">
        <f>IFERROR(__xludf.DUMMYFUNCTION("""COMPUTED_VALUE"""),"S-438")</f>
        <v>S-438</v>
      </c>
      <c r="B1568" s="42" t="str">
        <f>IFERROR(__xludf.DUMMYFUNCTION("""COMPUTED_VALUE"""),"Spell")</f>
        <v>Spell</v>
      </c>
      <c r="C1568" s="42" t="str">
        <f>IFERROR(__xludf.DUMMYFUNCTION("""COMPUTED_VALUE"""),"Rashield (Reinforced)")</f>
        <v>Rashield (Reinforced)</v>
      </c>
      <c r="D1568" s="42" t="str">
        <f>IFERROR(__xludf.DUMMYFUNCTION("""COMPUTED_VALUE"""),"Zatch Bell")</f>
        <v>Zatch Bell</v>
      </c>
      <c r="E1568" s="42">
        <f>IFERROR(__xludf.DUMMYFUNCTION("""COMPUTED_VALUE"""),1.0)</f>
        <v>1</v>
      </c>
      <c r="F1568" s="42" t="str">
        <f>IFERROR(__xludf.DUMMYFUNCTION("""COMPUTED_VALUE"""),"D")</f>
        <v>D</v>
      </c>
      <c r="G1568" s="42" t="str">
        <f>IFERROR(__xludf.DUMMYFUNCTION("""COMPUTED_VALUE"""),"Intermediate")</f>
        <v>Intermediate</v>
      </c>
      <c r="H1568" s="42" t="str">
        <f>IFERROR(__xludf.DUMMYFUNCTION("""COMPUTED_VALUE"""),"Thunder")</f>
        <v>Thunder</v>
      </c>
      <c r="I1568" s="43" t="str">
        <f>IFERROR(__xludf.DUMMYFUNCTION("""COMPUTED_VALUE"""),"[COUNTER] Damage your opponent's Spell Book when you win the Battle as a Defender. When you declare the play of this SPELL card, you may pay an additional 1 MP to add 4000 Power to this SPELL card (maximum 2 MP).")</f>
        <v>[COUNTER] Damage your opponent's Spell Book when you win the Battle as a Defender. When you declare the play of this SPELL card, you may pay an additional 1 MP to add 4000 Power to this SPELL card (maximum 2 MP).</v>
      </c>
      <c r="J1568" s="42" t="str">
        <f>IFERROR(__xludf.DUMMYFUNCTION("""COMPUTED_VALUE"""),"+4000")</f>
        <v>+4000</v>
      </c>
      <c r="K1568" s="42">
        <f>IFERROR(__xludf.DUMMYFUNCTION("""COMPUTED_VALUE"""),1.0)</f>
        <v>1</v>
      </c>
      <c r="L1568" s="42" t="str">
        <f>IFERROR(__xludf.DUMMYFUNCTION("""COMPUTED_VALUE"""),"-")</f>
        <v>-</v>
      </c>
      <c r="M1568" s="42" t="str">
        <f>IFERROR(__xludf.DUMMYFUNCTION("""COMPUTED_VALUE"""),"[R]")</f>
        <v>[R]</v>
      </c>
      <c r="N1568" s="42" t="str">
        <f>IFERROR(__xludf.DUMMYFUNCTION("""COMPUTED_VALUE"""),"Zatch's 2nd spell. ""They used Zagurzem to power up Rashield, and bounced back that huge light beam!""")</f>
        <v>Zatch's 2nd spell. "They used Zagurzem to power up Rashield, and bounced back that huge light beam!"</v>
      </c>
      <c r="O1568" s="42"/>
      <c r="P1568" s="42"/>
      <c r="Q1568" s="42"/>
      <c r="R1568" s="42"/>
      <c r="S1568" s="42"/>
      <c r="T1568" s="42"/>
      <c r="U1568" s="42"/>
      <c r="V1568" s="42"/>
      <c r="W1568" s="42"/>
      <c r="X1568" s="42"/>
      <c r="Y1568" s="42"/>
      <c r="Z1568" s="42"/>
    </row>
    <row r="1569">
      <c r="A1569" s="42" t="str">
        <f>IFERROR(__xludf.DUMMYFUNCTION("""COMPUTED_VALUE"""),"S-439")</f>
        <v>S-439</v>
      </c>
      <c r="B1569" s="42" t="str">
        <f>IFERROR(__xludf.DUMMYFUNCTION("""COMPUTED_VALUE"""),"Spell")</f>
        <v>Spell</v>
      </c>
      <c r="C1569" s="42" t="str">
        <f>IFERROR(__xludf.DUMMYFUNCTION("""COMPUTED_VALUE"""),"Bao Zakeruga (Reinforced)")</f>
        <v>Bao Zakeruga (Reinforced)</v>
      </c>
      <c r="D1569" s="42" t="str">
        <f>IFERROR(__xludf.DUMMYFUNCTION("""COMPUTED_VALUE"""),"Zatch Bell")</f>
        <v>Zatch Bell</v>
      </c>
      <c r="E1569" s="42">
        <f>IFERROR(__xludf.DUMMYFUNCTION("""COMPUTED_VALUE"""),5.0)</f>
        <v>5</v>
      </c>
      <c r="F1569" s="42" t="str">
        <f>IFERROR(__xludf.DUMMYFUNCTION("""COMPUTED_VALUE"""),"AD")</f>
        <v>AD</v>
      </c>
      <c r="G1569" s="42" t="str">
        <f>IFERROR(__xludf.DUMMYFUNCTION("""COMPUTED_VALUE"""),"Superior")</f>
        <v>Superior</v>
      </c>
      <c r="H1569" s="42" t="str">
        <f>IFERROR(__xludf.DUMMYFUNCTION("""COMPUTED_VALUE"""),"Thunder")</f>
        <v>Thunder</v>
      </c>
      <c r="I1569" s="43" t="str">
        <f>IFERROR(__xludf.DUMMYFUNCTION("""COMPUTED_VALUE"""),"Damage your opponent's Spell Book when you win the Battle as an Attacker. When you declare the play of this SPELL card, apply 1 or both of the following effects: ● Pay 1 additional MP: Increase the Damage of this SPELL card by 2. ● Pay 2 additional MP: Yo"&amp;"ur opponent can neither SACRIFICE nor PROTECT their Spell Book from this SPELL card's Damage.")</f>
        <v>Damage your opponent's Spell Book when you win the Battle as an Attacker. When you declare the play of this SPELL card, apply 1 or both of the following effects: ● Pay 1 additional MP: Increase the Damage of this SPELL card by 2. ● Pay 2 additional MP: Your opponent can neither SACRIFICE nor PROTECT their Spell Book from this SPELL card's Damage.</v>
      </c>
      <c r="J1569" s="42" t="str">
        <f>IFERROR(__xludf.DUMMYFUNCTION("""COMPUTED_VALUE"""),"+5000")</f>
        <v>+5000</v>
      </c>
      <c r="K1569" s="42">
        <f>IFERROR(__xludf.DUMMYFUNCTION("""COMPUTED_VALUE"""),2.0)</f>
        <v>2</v>
      </c>
      <c r="L1569" s="42" t="str">
        <f>IFERROR(__xludf.DUMMYFUNCTION("""COMPUTED_VALUE"""),"-")</f>
        <v>-</v>
      </c>
      <c r="M1569" s="42" t="str">
        <f>IFERROR(__xludf.DUMMYFUNCTION("""COMPUTED_VALUE"""),"[SR]")</f>
        <v>[SR]</v>
      </c>
      <c r="N1569" s="42" t="str">
        <f>IFERROR(__xludf.DUMMYFUNCTION("""COMPUTED_VALUE"""),"Zatch's 4th spell. ""Got them! The chain line broke through it all at once!""")</f>
        <v>Zatch's 4th spell. "Got them! The chain line broke through it all at once!"</v>
      </c>
      <c r="O1569" s="42"/>
      <c r="P1569" s="42"/>
      <c r="Q1569" s="42"/>
      <c r="R1569" s="42"/>
      <c r="S1569" s="42"/>
      <c r="T1569" s="42"/>
      <c r="U1569" s="42"/>
      <c r="V1569" s="42"/>
      <c r="W1569" s="42"/>
      <c r="X1569" s="42"/>
      <c r="Y1569" s="42"/>
      <c r="Z1569" s="42"/>
    </row>
    <row r="1570">
      <c r="A1570" s="42" t="str">
        <f>IFERROR(__xludf.DUMMYFUNCTION("""COMPUTED_VALUE"""),"S-440")</f>
        <v>S-440</v>
      </c>
      <c r="B1570" s="42" t="str">
        <f>IFERROR(__xludf.DUMMYFUNCTION("""COMPUTED_VALUE"""),"Spell")</f>
        <v>Spell</v>
      </c>
      <c r="C1570" s="42" t="str">
        <f>IFERROR(__xludf.DUMMYFUNCTION("""COMPUTED_VALUE"""),"Zagurzem")</f>
        <v>Zagurzem</v>
      </c>
      <c r="D1570" s="42" t="str">
        <f>IFERROR(__xludf.DUMMYFUNCTION("""COMPUTED_VALUE"""),"Zatch Bell")</f>
        <v>Zatch Bell</v>
      </c>
      <c r="E1570" s="42">
        <f>IFERROR(__xludf.DUMMYFUNCTION("""COMPUTED_VALUE"""),1.0)</f>
        <v>1</v>
      </c>
      <c r="F1570" s="42" t="str">
        <f>IFERROR(__xludf.DUMMYFUNCTION("""COMPUTED_VALUE"""),"A")</f>
        <v>A</v>
      </c>
      <c r="G1570" s="42" t="str">
        <f>IFERROR(__xludf.DUMMYFUNCTION("""COMPUTED_VALUE"""),"Intermediate")</f>
        <v>Intermediate</v>
      </c>
      <c r="H1570" s="42" t="str">
        <f>IFERROR(__xludf.DUMMYFUNCTION("""COMPUTED_VALUE"""),"Thunder")</f>
        <v>Thunder</v>
      </c>
      <c r="I1570" s="43" t="str">
        <f>IFERROR(__xludf.DUMMYFUNCTION("""COMPUTED_VALUE"""),"[STANDBY] When you win the Battle as an Attacker, the next time you Damage your opponent's Spell Book with a ""Thunder"" Attribute Attack during this game, your opponent turns 1 additional page of their Spell Book (this effect can be duplicated).")</f>
        <v>[STANDBY] When you win the Battle as an Attacker, the next time you Damage your opponent's Spell Book with a "Thunder" Attribute Attack during this game, your opponent turns 1 additional page of their Spell Book (this effect can be duplicated).</v>
      </c>
      <c r="J1570" s="42" t="str">
        <f>IFERROR(__xludf.DUMMYFUNCTION("""COMPUTED_VALUE"""),"+5000")</f>
        <v>+5000</v>
      </c>
      <c r="K1570" s="42" t="str">
        <f>IFERROR(__xludf.DUMMYFUNCTION("""COMPUTED_VALUE"""),"-")</f>
        <v>-</v>
      </c>
      <c r="L1570" s="42" t="str">
        <f>IFERROR(__xludf.DUMMYFUNCTION("""COMPUTED_VALUE"""),"-")</f>
        <v>-</v>
      </c>
      <c r="M1570" s="42" t="str">
        <f>IFERROR(__xludf.DUMMYFUNCTION("""COMPUTED_VALUE"""),"[U]")</f>
        <v>[U]</v>
      </c>
      <c r="N1570" s="42" t="str">
        <f>IFERROR(__xludf.DUMMYFUNCTION("""COMPUTED_VALUE"""),"Zatch's 7th spell. ""You have an interesting spell!?""")</f>
        <v>Zatch's 7th spell. "You have an interesting spell!?"</v>
      </c>
      <c r="O1570" s="42"/>
      <c r="P1570" s="42"/>
      <c r="Q1570" s="42"/>
      <c r="R1570" s="42"/>
      <c r="S1570" s="42"/>
      <c r="T1570" s="42"/>
      <c r="U1570" s="42"/>
      <c r="V1570" s="42"/>
      <c r="W1570" s="42"/>
      <c r="X1570" s="42"/>
      <c r="Y1570" s="42"/>
      <c r="Z1570" s="42"/>
    </row>
    <row r="1571">
      <c r="A1571" s="42" t="str">
        <f>IFERROR(__xludf.DUMMYFUNCTION("""COMPUTED_VALUE"""),"S-441")</f>
        <v>S-441</v>
      </c>
      <c r="B1571" s="42" t="str">
        <f>IFERROR(__xludf.DUMMYFUNCTION("""COMPUTED_VALUE"""),"Spell")</f>
        <v>Spell</v>
      </c>
      <c r="C1571" s="42" t="str">
        <f>IFERROR(__xludf.DUMMYFUNCTION("""COMPUTED_VALUE"""),"Poruk")</f>
        <v>Poruk</v>
      </c>
      <c r="D1571" s="42" t="str">
        <f>IFERROR(__xludf.DUMMYFUNCTION("""COMPUTED_VALUE"""),"Kanchomé")</f>
        <v>Kanchomé</v>
      </c>
      <c r="E1571" s="42">
        <f>IFERROR(__xludf.DUMMYFUNCTION("""COMPUTED_VALUE"""),1.0)</f>
        <v>1</v>
      </c>
      <c r="F1571" s="42" t="str">
        <f>IFERROR(__xludf.DUMMYFUNCTION("""COMPUTED_VALUE"""),"A")</f>
        <v>A</v>
      </c>
      <c r="G1571" s="42" t="str">
        <f>IFERROR(__xludf.DUMMYFUNCTION("""COMPUTED_VALUE"""),"None")</f>
        <v>None</v>
      </c>
      <c r="H1571" s="42" t="str">
        <f>IFERROR(__xludf.DUMMYFUNCTION("""COMPUTED_VALUE"""),"-")</f>
        <v>-</v>
      </c>
      <c r="I1571" s="43" t="str">
        <f>IFERROR(__xludf.DUMMYFUNCTION("""COMPUTED_VALUE"""),"Apply all of the following effects during the next turn (this effect is [STANDBY] during this turn, and [STAY] during the next turn): ● Your MP cannot be reduced by your opponent's effects. ● Your opponent cannot turn pages of your Spell Book with their e"&amp;"ffects. ● Your opponent cannot send any of your in-play cards to the Discard Pile with their card effects.")</f>
        <v>Apply all of the following effects during the next turn (this effect is [STANDBY] during this turn, and [STAY] during the next turn): ● Your MP cannot be reduced by your opponent's effects. ● Your opponent cannot turn pages of your Spell Book with their effects. ● Your opponent cannot send any of your in-play cards to the Discard Pile with their card effects.</v>
      </c>
      <c r="J1571" s="42" t="str">
        <f>IFERROR(__xludf.DUMMYFUNCTION("""COMPUTED_VALUE"""),"Special")</f>
        <v>Special</v>
      </c>
      <c r="K1571" s="42" t="str">
        <f>IFERROR(__xludf.DUMMYFUNCTION("""COMPUTED_VALUE"""),"-")</f>
        <v>-</v>
      </c>
      <c r="L1571" s="42" t="str">
        <f>IFERROR(__xludf.DUMMYFUNCTION("""COMPUTED_VALUE"""),"-")</f>
        <v>-</v>
      </c>
      <c r="M1571" s="42" t="str">
        <f>IFERROR(__xludf.DUMMYFUNCTION("""COMPUTED_VALUE"""),"[C]")</f>
        <v>[C]</v>
      </c>
      <c r="N1571" s="42" t="str">
        <f>IFERROR(__xludf.DUMMYFUNCTION("""COMPUTED_VALUE"""),"Kanchomé's 1st spell. He transforms into a wall that blends in with his surroundings. ""Kanchomé...protect everybody...""")</f>
        <v>Kanchomé's 1st spell. He transforms into a wall that blends in with his surroundings. "Kanchomé...protect everybody..."</v>
      </c>
      <c r="O1571" s="42"/>
      <c r="P1571" s="42"/>
      <c r="Q1571" s="42"/>
      <c r="R1571" s="42"/>
      <c r="S1571" s="42"/>
      <c r="T1571" s="42"/>
      <c r="U1571" s="42"/>
      <c r="V1571" s="42"/>
      <c r="W1571" s="42"/>
      <c r="X1571" s="42"/>
      <c r="Y1571" s="42"/>
      <c r="Z1571" s="42"/>
    </row>
    <row r="1572">
      <c r="A1572" s="42" t="str">
        <f>IFERROR(__xludf.DUMMYFUNCTION("""COMPUTED_VALUE"""),"S-442")</f>
        <v>S-442</v>
      </c>
      <c r="B1572" s="42" t="str">
        <f>IFERROR(__xludf.DUMMYFUNCTION("""COMPUTED_VALUE"""),"Spell")</f>
        <v>Spell</v>
      </c>
      <c r="C1572" s="42" t="str">
        <f>IFERROR(__xludf.DUMMYFUNCTION("""COMPUTED_VALUE"""),"Koporuk")</f>
        <v>Koporuk</v>
      </c>
      <c r="D1572" s="42" t="str">
        <f>IFERROR(__xludf.DUMMYFUNCTION("""COMPUTED_VALUE"""),"Kanchomé")</f>
        <v>Kanchomé</v>
      </c>
      <c r="E1572" s="42">
        <f>IFERROR(__xludf.DUMMYFUNCTION("""COMPUTED_VALUE"""),1.0)</f>
        <v>1</v>
      </c>
      <c r="F1572" s="42" t="str">
        <f>IFERROR(__xludf.DUMMYFUNCTION("""COMPUTED_VALUE"""),"A")</f>
        <v>A</v>
      </c>
      <c r="G1572" s="42" t="str">
        <f>IFERROR(__xludf.DUMMYFUNCTION("""COMPUTED_VALUE"""),"None")</f>
        <v>None</v>
      </c>
      <c r="H1572" s="42" t="str">
        <f>IFERROR(__xludf.DUMMYFUNCTION("""COMPUTED_VALUE"""),"-")</f>
        <v>-</v>
      </c>
      <c r="I1572" s="43" t="str">
        <f>IFERROR(__xludf.DUMMYFUNCTION("""COMPUTED_VALUE"""),"Flip a coin; if it's heads, turn 1 page of your opponent's Spell Book.")</f>
        <v>Flip a coin; if it's heads, turn 1 page of your opponent's Spell Book.</v>
      </c>
      <c r="J1572" s="42" t="str">
        <f>IFERROR(__xludf.DUMMYFUNCTION("""COMPUTED_VALUE"""),"Special")</f>
        <v>Special</v>
      </c>
      <c r="K1572" s="42" t="str">
        <f>IFERROR(__xludf.DUMMYFUNCTION("""COMPUTED_VALUE"""),"-")</f>
        <v>-</v>
      </c>
      <c r="L1572" s="42" t="str">
        <f>IFERROR(__xludf.DUMMYFUNCTION("""COMPUTED_VALUE"""),"-")</f>
        <v>-</v>
      </c>
      <c r="M1572" s="42" t="str">
        <f>IFERROR(__xludf.DUMMYFUNCTION("""COMPUTED_VALUE"""),"[C]")</f>
        <v>[C]</v>
      </c>
      <c r="N1572" s="42" t="str">
        <f>IFERROR(__xludf.DUMMYFUNCTION("""COMPUTED_VALUE"""),"Kanchomé's 2nd spell. ""Hmph. You shrunk so that you could sneak up and try to burn my book, eh?""")</f>
        <v>Kanchomé's 2nd spell. "Hmph. You shrunk so that you could sneak up and try to burn my book, eh?"</v>
      </c>
      <c r="O1572" s="42"/>
      <c r="P1572" s="42"/>
      <c r="Q1572" s="42"/>
      <c r="R1572" s="42"/>
      <c r="S1572" s="42"/>
      <c r="T1572" s="42"/>
      <c r="U1572" s="42"/>
      <c r="V1572" s="42"/>
      <c r="W1572" s="42"/>
      <c r="X1572" s="42"/>
      <c r="Y1572" s="42"/>
      <c r="Z1572" s="42"/>
    </row>
    <row r="1573">
      <c r="A1573" s="42" t="str">
        <f>IFERROR(__xludf.DUMMYFUNCTION("""COMPUTED_VALUE"""),"S-443")</f>
        <v>S-443</v>
      </c>
      <c r="B1573" s="42" t="str">
        <f>IFERROR(__xludf.DUMMYFUNCTION("""COMPUTED_VALUE"""),"Spell")</f>
        <v>Spell</v>
      </c>
      <c r="C1573" s="42" t="str">
        <f>IFERROR(__xludf.DUMMYFUNCTION("""COMPUTED_VALUE"""),"Dikaporuk")</f>
        <v>Dikaporuk</v>
      </c>
      <c r="D1573" s="42" t="str">
        <f>IFERROR(__xludf.DUMMYFUNCTION("""COMPUTED_VALUE"""),"Kanchomé")</f>
        <v>Kanchomé</v>
      </c>
      <c r="E1573" s="42">
        <f>IFERROR(__xludf.DUMMYFUNCTION("""COMPUTED_VALUE"""),1.0)</f>
        <v>1</v>
      </c>
      <c r="F1573" s="42" t="str">
        <f>IFERROR(__xludf.DUMMYFUNCTION("""COMPUTED_VALUE"""),"A")</f>
        <v>A</v>
      </c>
      <c r="G1573" s="42" t="str">
        <f>IFERROR(__xludf.DUMMYFUNCTION("""COMPUTED_VALUE"""),"None")</f>
        <v>None</v>
      </c>
      <c r="H1573" s="42" t="str">
        <f>IFERROR(__xludf.DUMMYFUNCTION("""COMPUTED_VALUE"""),"-")</f>
        <v>-</v>
      </c>
      <c r="I1573" s="43" t="str">
        <f>IFERROR(__xludf.DUMMYFUNCTION("""COMPUTED_VALUE"""),"The first SPELL card your opponent plays during the next turn is immediately negated (this effect is not considered to be a cut-in effect).")</f>
        <v>The first SPELL card your opponent plays during the next turn is immediately negated (this effect is not considered to be a cut-in effect).</v>
      </c>
      <c r="J1573" s="42" t="str">
        <f>IFERROR(__xludf.DUMMYFUNCTION("""COMPUTED_VALUE"""),"Special")</f>
        <v>Special</v>
      </c>
      <c r="K1573" s="42" t="str">
        <f>IFERROR(__xludf.DUMMYFUNCTION("""COMPUTED_VALUE"""),"-")</f>
        <v>-</v>
      </c>
      <c r="L1573" s="42" t="str">
        <f>IFERROR(__xludf.DUMMYFUNCTION("""COMPUTED_VALUE"""),"-")</f>
        <v>-</v>
      </c>
      <c r="M1573" s="42" t="str">
        <f>IFERROR(__xludf.DUMMYFUNCTION("""COMPUTED_VALUE"""),"[U]")</f>
        <v>[U]</v>
      </c>
      <c r="N1573" s="42" t="str">
        <f>IFERROR(__xludf.DUMMYFUNCTION("""COMPUTED_VALUE"""),"Kanchomé's 3rd spell. ""What? He's a giant! We've gotta aim our attack at him!""")</f>
        <v>Kanchomé's 3rd spell. "What? He's a giant! We've gotta aim our attack at him!"</v>
      </c>
      <c r="O1573" s="42"/>
      <c r="P1573" s="42"/>
      <c r="Q1573" s="42"/>
      <c r="R1573" s="42"/>
      <c r="S1573" s="42"/>
      <c r="T1573" s="42"/>
      <c r="U1573" s="42"/>
      <c r="V1573" s="42"/>
      <c r="W1573" s="42"/>
      <c r="X1573" s="42"/>
      <c r="Y1573" s="42"/>
      <c r="Z1573" s="42"/>
    </row>
    <row r="1574">
      <c r="A1574" s="42" t="str">
        <f>IFERROR(__xludf.DUMMYFUNCTION("""COMPUTED_VALUE"""),"S-444")</f>
        <v>S-444</v>
      </c>
      <c r="B1574" s="42" t="str">
        <f>IFERROR(__xludf.DUMMYFUNCTION("""COMPUTED_VALUE"""),"Spell")</f>
        <v>Spell</v>
      </c>
      <c r="C1574" s="42" t="str">
        <f>IFERROR(__xludf.DUMMYFUNCTION("""COMPUTED_VALUE"""),"Dima Buruk")</f>
        <v>Dima Buruk</v>
      </c>
      <c r="D1574" s="42" t="str">
        <f>IFERROR(__xludf.DUMMYFUNCTION("""COMPUTED_VALUE"""),"Kanchomé")</f>
        <v>Kanchomé</v>
      </c>
      <c r="E1574" s="42">
        <f>IFERROR(__xludf.DUMMYFUNCTION("""COMPUTED_VALUE"""),2.0)</f>
        <v>2</v>
      </c>
      <c r="F1574" s="42" t="str">
        <f>IFERROR(__xludf.DUMMYFUNCTION("""COMPUTED_VALUE"""),"A")</f>
        <v>A</v>
      </c>
      <c r="G1574" s="42" t="str">
        <f>IFERROR(__xludf.DUMMYFUNCTION("""COMPUTED_VALUE"""),"Intermediate")</f>
        <v>Intermediate</v>
      </c>
      <c r="H1574" s="42" t="str">
        <f>IFERROR(__xludf.DUMMYFUNCTION("""COMPUTED_VALUE"""),"-")</f>
        <v>-</v>
      </c>
      <c r="I1574" s="43" t="str">
        <f>IFERROR(__xludf.DUMMYFUNCTION("""COMPUTED_VALUE"""),"Select up to 2 Kanchomé (Double) MAMODO cards from any page of your Spell Book and put them in play. ● Up to 3 of them can be in play outside of your MAMODO card limit. ● Multiple copies of them can be in play, regardless of card name rules. ● When your K"&amp;"anchomé MAMODO card leaves play, send all of your Kanchomé (Double) MAMODO cards to the Discard Pile.")</f>
        <v>Select up to 2 Kanchomé (Double) MAMODO cards from any page of your Spell Book and put them in play. ● Up to 3 of them can be in play outside of your MAMODO card limit. ● Multiple copies of them can be in play, regardless of card name rules. ● When your Kanchomé MAMODO card leaves play, send all of your Kanchomé (Double) MAMODO cards to the Discard Pile.</v>
      </c>
      <c r="J1574" s="42" t="str">
        <f>IFERROR(__xludf.DUMMYFUNCTION("""COMPUTED_VALUE"""),"Special")</f>
        <v>Special</v>
      </c>
      <c r="K1574" s="42" t="str">
        <f>IFERROR(__xludf.DUMMYFUNCTION("""COMPUTED_VALUE"""),"-")</f>
        <v>-</v>
      </c>
      <c r="L1574" s="42" t="str">
        <f>IFERROR(__xludf.DUMMYFUNCTION("""COMPUTED_VALUE"""),"-")</f>
        <v>-</v>
      </c>
      <c r="M1574" s="42" t="str">
        <f>IFERROR(__xludf.DUMMYFUNCTION("""COMPUTED_VALUE"""),"[R]")</f>
        <v>[R]</v>
      </c>
      <c r="N1574" s="42" t="str">
        <f>IFERROR(__xludf.DUMMYFUNCTION("""COMPUTED_VALUE"""),"Kanchomé's 4th spell. A potent technique that conjures up eight copies of himself to join the battle.")</f>
        <v>Kanchomé's 4th spell. A potent technique that conjures up eight copies of himself to join the battle.</v>
      </c>
      <c r="O1574" s="42"/>
      <c r="P1574" s="42"/>
      <c r="Q1574" s="42"/>
      <c r="R1574" s="42"/>
      <c r="S1574" s="42"/>
      <c r="T1574" s="42"/>
      <c r="U1574" s="42"/>
      <c r="V1574" s="42"/>
      <c r="W1574" s="42"/>
      <c r="X1574" s="42"/>
      <c r="Y1574" s="42"/>
      <c r="Z1574" s="42"/>
    </row>
    <row r="1575">
      <c r="A1575" s="42" t="str">
        <f>IFERROR(__xludf.DUMMYFUNCTION("""COMPUTED_VALUE"""),"S-445")</f>
        <v>S-445</v>
      </c>
      <c r="B1575" s="42" t="str">
        <f>IFERROR(__xludf.DUMMYFUNCTION("""COMPUTED_VALUE"""),"Spell")</f>
        <v>Spell</v>
      </c>
      <c r="C1575" s="42" t="str">
        <f>IFERROR(__xludf.DUMMYFUNCTION("""COMPUTED_VALUE"""),"Coordinated Assault")</f>
        <v>Coordinated Assault</v>
      </c>
      <c r="D1575" s="42" t="str">
        <f>IFERROR(__xludf.DUMMYFUNCTION("""COMPUTED_VALUE"""),"Kanchomé")</f>
        <v>Kanchomé</v>
      </c>
      <c r="E1575" s="42">
        <f>IFERROR(__xludf.DUMMYFUNCTION("""COMPUTED_VALUE"""),0.0)</f>
        <v>0</v>
      </c>
      <c r="F1575" s="42" t="str">
        <f>IFERROR(__xludf.DUMMYFUNCTION("""COMPUTED_VALUE"""),"AD")</f>
        <v>AD</v>
      </c>
      <c r="G1575" s="42" t="str">
        <f>IFERROR(__xludf.DUMMYFUNCTION("""COMPUTED_VALUE"""),"None")</f>
        <v>None</v>
      </c>
      <c r="H1575" s="42" t="str">
        <f>IFERROR(__xludf.DUMMYFUNCTION("""COMPUTED_VALUE"""),"-")</f>
        <v>-</v>
      </c>
      <c r="I1575" s="43" t="str">
        <f>IFERROR(__xludf.DUMMYFUNCTION("""COMPUTED_VALUE"""),"Damage your opponent's Spell Book when you win the Battle as an Attacker. Add 2000 Power and 1 Damage to this SPELL card for each Kanchomé and Kanchomé (Double) MAMODO card you have in play.")</f>
        <v>Damage your opponent's Spell Book when you win the Battle as an Attacker. Add 2000 Power and 1 Damage to this SPELL card for each Kanchomé and Kanchomé (Double) MAMODO card you have in play.</v>
      </c>
      <c r="J1575" s="42" t="str">
        <f>IFERROR(__xludf.DUMMYFUNCTION("""COMPUTED_VALUE"""),"+0")</f>
        <v>+0</v>
      </c>
      <c r="K1575" s="42" t="str">
        <f>IFERROR(__xludf.DUMMYFUNCTION("""COMPUTED_VALUE"""),"-")</f>
        <v>-</v>
      </c>
      <c r="L1575" s="42" t="str">
        <f>IFERROR(__xludf.DUMMYFUNCTION("""COMPUTED_VALUE"""),"-")</f>
        <v>-</v>
      </c>
      <c r="M1575" s="42" t="str">
        <f>IFERROR(__xludf.DUMMYFUNCTION("""COMPUTED_VALUE"""),"[R]")</f>
        <v>[R]</v>
      </c>
      <c r="N1575" s="42" t="str">
        <f>IFERROR(__xludf.DUMMYFUNCTION("""COMPUTED_VALUE"""),"Command:Kanchomé (Double) ""Th-They're good! What a great combination!"" ""They really are strong!""")</f>
        <v>Command:Kanchomé (Double) "Th-They're good! What a great combination!" "They really are strong!"</v>
      </c>
      <c r="O1575" s="42"/>
      <c r="P1575" s="42"/>
      <c r="Q1575" s="42"/>
      <c r="R1575" s="42"/>
      <c r="S1575" s="42"/>
      <c r="T1575" s="42"/>
      <c r="U1575" s="42"/>
      <c r="V1575" s="42"/>
      <c r="W1575" s="42"/>
      <c r="X1575" s="42"/>
      <c r="Y1575" s="42"/>
      <c r="Z1575" s="42"/>
    </row>
    <row r="1576">
      <c r="A1576" s="42" t="str">
        <f>IFERROR(__xludf.DUMMYFUNCTION("""COMPUTED_VALUE"""),"S-446")</f>
        <v>S-446</v>
      </c>
      <c r="B1576" s="42" t="str">
        <f>IFERROR(__xludf.DUMMYFUNCTION("""COMPUTED_VALUE"""),"Spell")</f>
        <v>Spell</v>
      </c>
      <c r="C1576" s="42" t="str">
        <f>IFERROR(__xludf.DUMMYFUNCTION("""COMPUTED_VALUE"""),"Kanchomé Shield")</f>
        <v>Kanchomé Shield</v>
      </c>
      <c r="D1576" s="42" t="str">
        <f>IFERROR(__xludf.DUMMYFUNCTION("""COMPUTED_VALUE"""),"Kanchomé")</f>
        <v>Kanchomé</v>
      </c>
      <c r="E1576" s="42">
        <f>IFERROR(__xludf.DUMMYFUNCTION("""COMPUTED_VALUE"""),0.0)</f>
        <v>0</v>
      </c>
      <c r="F1576" s="42" t="str">
        <f>IFERROR(__xludf.DUMMYFUNCTION("""COMPUTED_VALUE"""),"D")</f>
        <v>D</v>
      </c>
      <c r="G1576" s="42" t="str">
        <f>IFERROR(__xludf.DUMMYFUNCTION("""COMPUTED_VALUE"""),"Superior")</f>
        <v>Superior</v>
      </c>
      <c r="H1576" s="42" t="str">
        <f>IFERROR(__xludf.DUMMYFUNCTION("""COMPUTED_VALUE"""),"-")</f>
        <v>-</v>
      </c>
      <c r="I1576" s="43" t="str">
        <f>IFERROR(__xludf.DUMMYFUNCTION("""COMPUTED_VALUE"""),"When you declare the play of this SPELL card, you may turn from 0 up to 3 pages of your Spell Book and play a SPELL card in any of the pages to Defend in this Battle with its MP cost considered to be 0. Regardless of Power, send 1 of your in-play Kanchome"&amp;" (Double) MAMODO cards to the Discard Pile after the Battle.")</f>
        <v>When you declare the play of this SPELL card, you may turn from 0 up to 3 pages of your Spell Book and play a SPELL card in any of the pages to Defend in this Battle with its MP cost considered to be 0. Regardless of Power, send 1 of your in-play Kanchome (Double) MAMODO cards to the Discard Pile after the Battle.</v>
      </c>
      <c r="J1576" s="42" t="str">
        <f>IFERROR(__xludf.DUMMYFUNCTION("""COMPUTED_VALUE"""),"Special")</f>
        <v>Special</v>
      </c>
      <c r="K1576" s="42" t="str">
        <f>IFERROR(__xludf.DUMMYFUNCTION("""COMPUTED_VALUE"""),"-")</f>
        <v>-</v>
      </c>
      <c r="L1576" s="42" t="str">
        <f>IFERROR(__xludf.DUMMYFUNCTION("""COMPUTED_VALUE"""),"-")</f>
        <v>-</v>
      </c>
      <c r="M1576" s="42" t="str">
        <f>IFERROR(__xludf.DUMMYFUNCTION("""COMPUTED_VALUE"""),"[R]")</f>
        <v>[R]</v>
      </c>
      <c r="N1576" s="42" t="str">
        <f>IFERROR(__xludf.DUMMYFUNCTION("""COMPUTED_VALUE"""),"Command:Kanchomé (Double) ""You're right, it'll only last a few seconds, but...in those few seconds we're gonna turn the tables!""")</f>
        <v>Command:Kanchomé (Double) "You're right, it'll only last a few seconds, but...in those few seconds we're gonna turn the tables!"</v>
      </c>
      <c r="O1576" s="42"/>
      <c r="P1576" s="42"/>
      <c r="Q1576" s="42"/>
      <c r="R1576" s="42"/>
      <c r="S1576" s="42"/>
      <c r="T1576" s="42"/>
      <c r="U1576" s="42"/>
      <c r="V1576" s="42"/>
      <c r="W1576" s="42"/>
      <c r="X1576" s="42"/>
      <c r="Y1576" s="42"/>
      <c r="Z1576" s="42"/>
    </row>
    <row r="1577">
      <c r="A1577" s="42" t="str">
        <f>IFERROR(__xludf.DUMMYFUNCTION("""COMPUTED_VALUE"""),"S-447")</f>
        <v>S-447</v>
      </c>
      <c r="B1577" s="42" t="str">
        <f>IFERROR(__xludf.DUMMYFUNCTION("""COMPUTED_VALUE"""),"Spell")</f>
        <v>Spell</v>
      </c>
      <c r="C1577" s="42" t="str">
        <f>IFERROR(__xludf.DUMMYFUNCTION("""COMPUTED_VALUE"""),"Saifogeo")</f>
        <v>Saifogeo</v>
      </c>
      <c r="D1577" s="42" t="str">
        <f>IFERROR(__xludf.DUMMYFUNCTION("""COMPUTED_VALUE"""),"Tia")</f>
        <v>Tia</v>
      </c>
      <c r="E1577" s="42">
        <f>IFERROR(__xludf.DUMMYFUNCTION("""COMPUTED_VALUE"""),1.0)</f>
        <v>1</v>
      </c>
      <c r="F1577" s="42" t="str">
        <f>IFERROR(__xludf.DUMMYFUNCTION("""COMPUTED_VALUE"""),"A")</f>
        <v>A</v>
      </c>
      <c r="G1577" s="42" t="str">
        <f>IFERROR(__xludf.DUMMYFUNCTION("""COMPUTED_VALUE"""),"Intermediate")</f>
        <v>Intermediate</v>
      </c>
      <c r="H1577" s="42" t="str">
        <f>IFERROR(__xludf.DUMMYFUNCTION("""COMPUTED_VALUE"""),"-")</f>
        <v>-</v>
      </c>
      <c r="I1577" s="43" t="str">
        <f>IFERROR(__xludf.DUMMYFUNCTION("""COMPUTED_VALUE"""),"Select 1 of your in-play MAMODO cards except Tia (including Petrified MAMODO) and apply both of the following effects in order: ● Turn the selected MAMODO card to Normal Status. ● [STANDBY] Until the END PHASE of your next turn, reduce the MP cost of 1 SP"&amp;"ELL played for the selected MAMODO card by 4.")</f>
        <v>Select 1 of your in-play MAMODO cards except Tia (including Petrified MAMODO) and apply both of the following effects in order: ● Turn the selected MAMODO card to Normal Status. ● [STANDBY] Until the END PHASE of your next turn, reduce the MP cost of 1 SPELL played for the selected MAMODO card by 4.</v>
      </c>
      <c r="J1577" s="42" t="str">
        <f>IFERROR(__xludf.DUMMYFUNCTION("""COMPUTED_VALUE"""),"Special")</f>
        <v>Special</v>
      </c>
      <c r="K1577" s="42" t="str">
        <f>IFERROR(__xludf.DUMMYFUNCTION("""COMPUTED_VALUE"""),"-")</f>
        <v>-</v>
      </c>
      <c r="L1577" s="42" t="str">
        <f>IFERROR(__xludf.DUMMYFUNCTION("""COMPUTED_VALUE"""),"-")</f>
        <v>-</v>
      </c>
      <c r="M1577" s="42" t="str">
        <f>IFERROR(__xludf.DUMMYFUNCTION("""COMPUTED_VALUE"""),"[U]")</f>
        <v>[U]</v>
      </c>
      <c r="N1577" s="42" t="str">
        <f>IFERROR(__xludf.DUMMYFUNCTION("""COMPUTED_VALUE"""),"Tia's 5th spell. ""Whoa... Wow, I'm full of energy again!""")</f>
        <v>Tia's 5th spell. "Whoa... Wow, I'm full of energy again!"</v>
      </c>
      <c r="O1577" s="42"/>
      <c r="P1577" s="42"/>
      <c r="Q1577" s="42"/>
      <c r="R1577" s="42"/>
      <c r="S1577" s="42"/>
      <c r="T1577" s="42"/>
      <c r="U1577" s="42"/>
      <c r="V1577" s="42"/>
      <c r="W1577" s="42"/>
      <c r="X1577" s="42"/>
      <c r="Y1577" s="42"/>
      <c r="Z1577" s="42"/>
    </row>
    <row r="1578">
      <c r="A1578" s="42" t="str">
        <f>IFERROR(__xludf.DUMMYFUNCTION("""COMPUTED_VALUE"""),"S-448")</f>
        <v>S-448</v>
      </c>
      <c r="B1578" s="42" t="str">
        <f>IFERROR(__xludf.DUMMYFUNCTION("""COMPUTED_VALUE"""),"Spell")</f>
        <v>Spell</v>
      </c>
      <c r="C1578" s="42" t="str">
        <f>IFERROR(__xludf.DUMMYFUNCTION("""COMPUTED_VALUE"""),"Chajiru Saifodon")</f>
        <v>Chajiru Saifodon</v>
      </c>
      <c r="D1578" s="42" t="str">
        <f>IFERROR(__xludf.DUMMYFUNCTION("""COMPUTED_VALUE"""),"Tia")</f>
        <v>Tia</v>
      </c>
      <c r="E1578" s="42">
        <f>IFERROR(__xludf.DUMMYFUNCTION("""COMPUTED_VALUE"""),4.0)</f>
        <v>4</v>
      </c>
      <c r="F1578" s="42" t="str">
        <f>IFERROR(__xludf.DUMMYFUNCTION("""COMPUTED_VALUE"""),"A")</f>
        <v>A</v>
      </c>
      <c r="G1578" s="42" t="str">
        <f>IFERROR(__xludf.DUMMYFUNCTION("""COMPUTED_VALUE"""),"Superior")</f>
        <v>Superior</v>
      </c>
      <c r="H1578" s="42" t="str">
        <f>IFERROR(__xludf.DUMMYFUNCTION("""COMPUTED_VALUE"""),"-")</f>
        <v>-</v>
      </c>
      <c r="I1578" s="43" t="str">
        <f>IFERROR(__xludf.DUMMYFUNCTION("""COMPUTED_VALUE"""),"Damage your opponent's Spell Book when you win the Battle as an Attacker. If your opponent looked at and/or turned pages of your Spell Book with their card effects during this game, they can neither SACRIFICE nor PROTECT their Spell Book from this SPELL c"&amp;"ard's Damage. If you have a Tia (Wild) MAMODO card in play, increase the Damage of this SPELL card by 2.")</f>
        <v>Damage your opponent's Spell Book when you win the Battle as an Attacker. If your opponent looked at and/or turned pages of your Spell Book with their card effects during this game, they can neither SACRIFICE nor PROTECT their Spell Book from this SPELL card's Damage. If you have a Tia (Wild) MAMODO card in play, increase the Damage of this SPELL card by 2.</v>
      </c>
      <c r="J1578" s="42" t="str">
        <f>IFERROR(__xludf.DUMMYFUNCTION("""COMPUTED_VALUE"""),"+5000")</f>
        <v>+5000</v>
      </c>
      <c r="K1578" s="42">
        <f>IFERROR(__xludf.DUMMYFUNCTION("""COMPUTED_VALUE"""),2.0)</f>
        <v>2</v>
      </c>
      <c r="L1578" s="42" t="str">
        <f>IFERROR(__xludf.DUMMYFUNCTION("""COMPUTED_VALUE"""),"-")</f>
        <v>-</v>
      </c>
      <c r="M1578" s="42" t="str">
        <f>IFERROR(__xludf.DUMMYFUNCTION("""COMPUTED_VALUE"""),"[R]")</f>
        <v>[R]</v>
      </c>
      <c r="N1578" s="42" t="str">
        <f>IFERROR(__xludf.DUMMYFUNCTION("""COMPUTED_VALUE"""),"Tia's 6th spell. ""Is this...Saifogeo?!"" ""Wait... no, it's not!""")</f>
        <v>Tia's 6th spell. "Is this...Saifogeo?!" "Wait... no, it's not!"</v>
      </c>
      <c r="O1578" s="42"/>
      <c r="P1578" s="42"/>
      <c r="Q1578" s="42"/>
      <c r="R1578" s="42"/>
      <c r="S1578" s="42"/>
      <c r="T1578" s="42"/>
      <c r="U1578" s="42"/>
      <c r="V1578" s="42"/>
      <c r="W1578" s="42"/>
      <c r="X1578" s="42"/>
      <c r="Y1578" s="42"/>
      <c r="Z1578" s="42"/>
    </row>
    <row r="1579">
      <c r="A1579" s="42" t="str">
        <f>IFERROR(__xludf.DUMMYFUNCTION("""COMPUTED_VALUE"""),"S-449")</f>
        <v>S-449</v>
      </c>
      <c r="B1579" s="42" t="str">
        <f>IFERROR(__xludf.DUMMYFUNCTION("""COMPUTED_VALUE"""),"Spell")</f>
        <v>Spell</v>
      </c>
      <c r="C1579" s="42" t="str">
        <f>IFERROR(__xludf.DUMMYFUNCTION("""COMPUTED_VALUE"""),"Boren")</f>
        <v>Boren</v>
      </c>
      <c r="D1579" s="42" t="str">
        <f>IFERROR(__xludf.DUMMYFUNCTION("""COMPUTED_VALUE"""),"Wonrei")</f>
        <v>Wonrei</v>
      </c>
      <c r="E1579" s="42">
        <f>IFERROR(__xludf.DUMMYFUNCTION("""COMPUTED_VALUE"""),1.0)</f>
        <v>1</v>
      </c>
      <c r="F1579" s="42" t="str">
        <f>IFERROR(__xludf.DUMMYFUNCTION("""COMPUTED_VALUE"""),"A")</f>
        <v>A</v>
      </c>
      <c r="G1579" s="42" t="str">
        <f>IFERROR(__xludf.DUMMYFUNCTION("""COMPUTED_VALUE"""),"None")</f>
        <v>None</v>
      </c>
      <c r="H1579" s="42" t="str">
        <f>IFERROR(__xludf.DUMMYFUNCTION("""COMPUTED_VALUE"""),"-")</f>
        <v>-</v>
      </c>
      <c r="I1579" s="43" t="str">
        <f>IFERROR(__xludf.DUMMYFUNCTION("""COMPUTED_VALUE"""),"Damage your opponent's Spell Book when you win the Battle as an Attacker.")</f>
        <v>Damage your opponent's Spell Book when you win the Battle as an Attacker.</v>
      </c>
      <c r="J1579" s="42" t="str">
        <f>IFERROR(__xludf.DUMMYFUNCTION("""COMPUTED_VALUE"""),"+4000")</f>
        <v>+4000</v>
      </c>
      <c r="K1579" s="42">
        <f>IFERROR(__xludf.DUMMYFUNCTION("""COMPUTED_VALUE"""),2.0)</f>
        <v>2</v>
      </c>
      <c r="L1579" s="42" t="str">
        <f>IFERROR(__xludf.DUMMYFUNCTION("""COMPUTED_VALUE"""),"-")</f>
        <v>-</v>
      </c>
      <c r="M1579" s="42" t="str">
        <f>IFERROR(__xludf.DUMMYFUNCTION("""COMPUTED_VALUE"""),"[U]")</f>
        <v>[U]</v>
      </c>
      <c r="N1579" s="42" t="str">
        <f>IFERROR(__xludf.DUMMYFUNCTION("""COMPUTED_VALUE"""),"Wonrei's spell. The ""ki"" energy in his palm is discharged toward his opponent.")</f>
        <v>Wonrei's spell. The "ki" energy in his palm is discharged toward his opponent.</v>
      </c>
      <c r="O1579" s="42"/>
      <c r="P1579" s="42"/>
      <c r="Q1579" s="42"/>
      <c r="R1579" s="42"/>
      <c r="S1579" s="42"/>
      <c r="T1579" s="42"/>
      <c r="U1579" s="42"/>
      <c r="V1579" s="42"/>
      <c r="W1579" s="42"/>
      <c r="X1579" s="42"/>
      <c r="Y1579" s="42"/>
      <c r="Z1579" s="42"/>
    </row>
    <row r="1580">
      <c r="A1580" s="42" t="str">
        <f>IFERROR(__xludf.DUMMYFUNCTION("""COMPUTED_VALUE"""),"S-450")</f>
        <v>S-450</v>
      </c>
      <c r="B1580" s="42" t="str">
        <f>IFERROR(__xludf.DUMMYFUNCTION("""COMPUTED_VALUE"""),"Spell")</f>
        <v>Spell</v>
      </c>
      <c r="C1580" s="42" t="str">
        <f>IFERROR(__xludf.DUMMYFUNCTION("""COMPUTED_VALUE"""),"Rao Diboren")</f>
        <v>Rao Diboren</v>
      </c>
      <c r="D1580" s="42" t="str">
        <f>IFERROR(__xludf.DUMMYFUNCTION("""COMPUTED_VALUE"""),"Wonrei")</f>
        <v>Wonrei</v>
      </c>
      <c r="E1580" s="42">
        <f>IFERROR(__xludf.DUMMYFUNCTION("""COMPUTED_VALUE"""),7.0)</f>
        <v>7</v>
      </c>
      <c r="F1580" s="42" t="str">
        <f>IFERROR(__xludf.DUMMYFUNCTION("""COMPUTED_VALUE"""),"AD")</f>
        <v>AD</v>
      </c>
      <c r="G1580" s="42" t="str">
        <f>IFERROR(__xludf.DUMMYFUNCTION("""COMPUTED_VALUE"""),"Superior")</f>
        <v>Superior</v>
      </c>
      <c r="H1580" s="42" t="str">
        <f>IFERROR(__xludf.DUMMYFUNCTION("""COMPUTED_VALUE"""),"-")</f>
        <v>-</v>
      </c>
      <c r="I1580" s="43" t="str">
        <f>IFERROR(__xludf.DUMMYFUNCTION("""COMPUTED_VALUE"""),"Damage your opponent's Spell Book when you win the Battle as an Attacker. Any MAMODO cards that SACRIFICE or PROTECT against this SPELL card's Damage are sent to the Discard Pile. When this SPELL card's initial Damage is SACRIFICED or PROTECTED against, i"&amp;"nflict Damage on your opponent equal to this SPELL card's Damage rating -2 (your opponent can neither SACRIFICE nor PROTECT their Spell Book from this Damage).")</f>
        <v>Damage your opponent's Spell Book when you win the Battle as an Attacker. Any MAMODO cards that SACRIFICE or PROTECT against this SPELL card's Damage are sent to the Discard Pile. When this SPELL card's initial Damage is SACRIFICED or PROTECTED against, inflict Damage on your opponent equal to this SPELL card's Damage rating -2 (your opponent can neither SACRIFICE nor PROTECT their Spell Book from this Damage).</v>
      </c>
      <c r="J1580" s="42" t="str">
        <f>IFERROR(__xludf.DUMMYFUNCTION("""COMPUTED_VALUE"""),"+7000")</f>
        <v>+7000</v>
      </c>
      <c r="K1580" s="42">
        <f>IFERROR(__xludf.DUMMYFUNCTION("""COMPUTED_VALUE"""),4.0)</f>
        <v>4</v>
      </c>
      <c r="L1580" s="42" t="str">
        <f>IFERROR(__xludf.DUMMYFUNCTION("""COMPUTED_VALUE"""),"-")</f>
        <v>-</v>
      </c>
      <c r="M1580" s="42" t="str">
        <f>IFERROR(__xludf.DUMMYFUNCTION("""COMPUTED_VALUE"""),"[SR]")</f>
        <v>[SR]</v>
      </c>
      <c r="N1580" s="42" t="str">
        <f>IFERROR(__xludf.DUMMYFUNCTION("""COMPUTED_VALUE"""),"Wonrei's 8th spell. ""What is this power? Where is all of this energy coming from?!""")</f>
        <v>Wonrei's 8th spell. "What is this power? Where is all of this energy coming from?!"</v>
      </c>
      <c r="O1580" s="42"/>
      <c r="P1580" s="42"/>
      <c r="Q1580" s="42"/>
      <c r="R1580" s="42"/>
      <c r="S1580" s="42"/>
      <c r="T1580" s="42"/>
      <c r="U1580" s="42"/>
      <c r="V1580" s="42"/>
      <c r="W1580" s="42"/>
      <c r="X1580" s="42"/>
      <c r="Y1580" s="42"/>
      <c r="Z1580" s="42"/>
    </row>
    <row r="1581">
      <c r="A1581" s="42" t="str">
        <f>IFERROR(__xludf.DUMMYFUNCTION("""COMPUTED_VALUE"""),"S-451")</f>
        <v>S-451</v>
      </c>
      <c r="B1581" s="42" t="str">
        <f>IFERROR(__xludf.DUMMYFUNCTION("""COMPUTED_VALUE"""),"Spell")</f>
        <v>Spell</v>
      </c>
      <c r="C1581" s="42" t="str">
        <f>IFERROR(__xludf.DUMMYFUNCTION("""COMPUTED_VALUE"""),"Wall of Rock")</f>
        <v>Wall of Rock</v>
      </c>
      <c r="D1581" s="42" t="str">
        <f>IFERROR(__xludf.DUMMYFUNCTION("""COMPUTED_VALUE"""),"Command:All Mamodo")</f>
        <v>Command:All Mamodo</v>
      </c>
      <c r="E1581" s="42">
        <f>IFERROR(__xludf.DUMMYFUNCTION("""COMPUTED_VALUE"""),0.0)</f>
        <v>0</v>
      </c>
      <c r="F1581" s="42" t="str">
        <f>IFERROR(__xludf.DUMMYFUNCTION("""COMPUTED_VALUE"""),"D")</f>
        <v>D</v>
      </c>
      <c r="G1581" s="42" t="str">
        <f>IFERROR(__xludf.DUMMYFUNCTION("""COMPUTED_VALUE"""),"None")</f>
        <v>None</v>
      </c>
      <c r="H1581" s="42" t="str">
        <f>IFERROR(__xludf.DUMMYFUNCTION("""COMPUTED_VALUE"""),"-")</f>
        <v>-</v>
      </c>
      <c r="I1581" s="43" t="str">
        <f>IFERROR(__xludf.DUMMYFUNCTION("""COMPUTED_VALUE"""),"This SPELL card can be played only for MAMODO cards with 5000 Power or more. Reduce the Damage of your opponent's Attack by 2 regardless of their Power. ")</f>
        <v>This SPELL card can be played only for MAMODO cards with 5000 Power or more. Reduce the Damage of your opponent's Attack by 2 regardless of their Power. </v>
      </c>
      <c r="J1581" s="42" t="str">
        <f>IFERROR(__xludf.DUMMYFUNCTION("""COMPUTED_VALUE"""),"-")</f>
        <v>-</v>
      </c>
      <c r="K1581" s="42" t="str">
        <f>IFERROR(__xludf.DUMMYFUNCTION("""COMPUTED_VALUE"""),"-")</f>
        <v>-</v>
      </c>
      <c r="L1581" s="42" t="str">
        <f>IFERROR(__xludf.DUMMYFUNCTION("""COMPUTED_VALUE"""),"-")</f>
        <v>-</v>
      </c>
      <c r="M1581" s="42" t="str">
        <f>IFERROR(__xludf.DUMMYFUNCTION("""COMPUTED_VALUE"""),"[U]")</f>
        <v>[U]</v>
      </c>
      <c r="N1581" s="42" t="str">
        <f>IFERROR(__xludf.DUMMYFUNCTION("""COMPUTED_VALUE"""),"""What? They blocked it with a huge rock! There's another mamodo with them?!""")</f>
        <v>"What? They blocked it with a huge rock! There's another mamodo with them?!"</v>
      </c>
      <c r="O1581" s="42"/>
      <c r="P1581" s="42"/>
      <c r="Q1581" s="42"/>
      <c r="R1581" s="42"/>
      <c r="S1581" s="42"/>
      <c r="T1581" s="42"/>
      <c r="U1581" s="42"/>
      <c r="V1581" s="42"/>
      <c r="W1581" s="42"/>
      <c r="X1581" s="42"/>
      <c r="Y1581" s="42"/>
      <c r="Z1581" s="42"/>
    </row>
    <row r="1582">
      <c r="A1582" s="42" t="str">
        <f>IFERROR(__xludf.DUMMYFUNCTION("""COMPUTED_VALUE"""),"S-452")</f>
        <v>S-452</v>
      </c>
      <c r="B1582" s="42" t="str">
        <f>IFERROR(__xludf.DUMMYFUNCTION("""COMPUTED_VALUE"""),"Spell")</f>
        <v>Spell</v>
      </c>
      <c r="C1582" s="42" t="str">
        <f>IFERROR(__xludf.DUMMYFUNCTION("""COMPUTED_VALUE"""),"Zonis")</f>
        <v>Zonis</v>
      </c>
      <c r="D1582" s="42" t="str">
        <f>IFERROR(__xludf.DUMMYFUNCTION("""COMPUTED_VALUE"""),"Bari")</f>
        <v>Bari</v>
      </c>
      <c r="E1582" s="42">
        <f>IFERROR(__xludf.DUMMYFUNCTION("""COMPUTED_VALUE"""),1.0)</f>
        <v>1</v>
      </c>
      <c r="F1582" s="42" t="str">
        <f>IFERROR(__xludf.DUMMYFUNCTION("""COMPUTED_VALUE"""),"A")</f>
        <v>A</v>
      </c>
      <c r="G1582" s="42" t="str">
        <f>IFERROR(__xludf.DUMMYFUNCTION("""COMPUTED_VALUE"""),"None")</f>
        <v>None</v>
      </c>
      <c r="H1582" s="42" t="str">
        <f>IFERROR(__xludf.DUMMYFUNCTION("""COMPUTED_VALUE"""),"-")</f>
        <v>-</v>
      </c>
      <c r="I1582" s="43" t="str">
        <f>IFERROR(__xludf.DUMMYFUNCTION("""COMPUTED_VALUE"""),"[STAY] Put your Bari MAMODO card in Flight Status until the END PHASE of your next turn.")</f>
        <v>[STAY] Put your Bari MAMODO card in Flight Status until the END PHASE of your next turn.</v>
      </c>
      <c r="J1582" s="42" t="str">
        <f>IFERROR(__xludf.DUMMYFUNCTION("""COMPUTED_VALUE"""),"Special")</f>
        <v>Special</v>
      </c>
      <c r="K1582" s="42" t="str">
        <f>IFERROR(__xludf.DUMMYFUNCTION("""COMPUTED_VALUE"""),"-")</f>
        <v>-</v>
      </c>
      <c r="L1582" s="42" t="str">
        <f>IFERROR(__xludf.DUMMYFUNCTION("""COMPUTED_VALUE"""),"-")</f>
        <v>-</v>
      </c>
      <c r="M1582" s="42" t="str">
        <f>IFERROR(__xludf.DUMMYFUNCTION("""COMPUTED_VALUE"""),"[C]")</f>
        <v>[C]</v>
      </c>
      <c r="N1582" s="42" t="str">
        <f>IFERROR(__xludf.DUMMYFUNCTION("""COMPUTED_VALUE"""),"Bari's 1st spell. ""What?! He used his spell to fly?!""")</f>
        <v>Bari's 1st spell. "What?! He used his spell to fly?!"</v>
      </c>
      <c r="O1582" s="42"/>
      <c r="P1582" s="42"/>
      <c r="Q1582" s="42"/>
      <c r="R1582" s="42"/>
      <c r="S1582" s="42"/>
      <c r="T1582" s="42"/>
      <c r="U1582" s="42"/>
      <c r="V1582" s="42"/>
      <c r="W1582" s="42"/>
      <c r="X1582" s="42"/>
      <c r="Y1582" s="42"/>
      <c r="Z1582" s="42"/>
    </row>
    <row r="1583">
      <c r="A1583" s="42" t="str">
        <f>IFERROR(__xludf.DUMMYFUNCTION("""COMPUTED_VALUE"""),"S-453")</f>
        <v>S-453</v>
      </c>
      <c r="B1583" s="42" t="str">
        <f>IFERROR(__xludf.DUMMYFUNCTION("""COMPUTED_VALUE"""),"Spell")</f>
        <v>Spell</v>
      </c>
      <c r="C1583" s="42" t="str">
        <f>IFERROR(__xludf.DUMMYFUNCTION("""COMPUTED_VALUE"""),"Garazonis")</f>
        <v>Garazonis</v>
      </c>
      <c r="D1583" s="42" t="str">
        <f>IFERROR(__xludf.DUMMYFUNCTION("""COMPUTED_VALUE"""),"Bari")</f>
        <v>Bari</v>
      </c>
      <c r="E1583" s="42">
        <f>IFERROR(__xludf.DUMMYFUNCTION("""COMPUTED_VALUE"""),2.0)</f>
        <v>2</v>
      </c>
      <c r="F1583" s="42" t="str">
        <f>IFERROR(__xludf.DUMMYFUNCTION("""COMPUTED_VALUE"""),"AD")</f>
        <v>AD</v>
      </c>
      <c r="G1583" s="42" t="str">
        <f>IFERROR(__xludf.DUMMYFUNCTION("""COMPUTED_VALUE"""),"None")</f>
        <v>None</v>
      </c>
      <c r="H1583" s="42" t="str">
        <f>IFERROR(__xludf.DUMMYFUNCTION("""COMPUTED_VALUE"""),"-")</f>
        <v>-</v>
      </c>
      <c r="I1583" s="43" t="str">
        <f>IFERROR(__xludf.DUMMYFUNCTION("""COMPUTED_VALUE"""),"Damage your opponent's Spell Book when you win the Battle as an Attacker. Your Bari MAMODO card is in Flight Status during the Battle.")</f>
        <v>Damage your opponent's Spell Book when you win the Battle as an Attacker. Your Bari MAMODO card is in Flight Status during the Battle.</v>
      </c>
      <c r="J1583" s="42" t="str">
        <f>IFERROR(__xludf.DUMMYFUNCTION("""COMPUTED_VALUE"""),"+2000")</f>
        <v>+2000</v>
      </c>
      <c r="K1583" s="42">
        <f>IFERROR(__xludf.DUMMYFUNCTION("""COMPUTED_VALUE"""),2.0)</f>
        <v>2</v>
      </c>
      <c r="L1583" s="42" t="str">
        <f>IFERROR(__xludf.DUMMYFUNCTION("""COMPUTED_VALUE"""),"-")</f>
        <v>-</v>
      </c>
      <c r="M1583" s="42" t="str">
        <f>IFERROR(__xludf.DUMMYFUNCTION("""COMPUTED_VALUE"""),"[C]")</f>
        <v>[C]</v>
      </c>
      <c r="N1583" s="42" t="str">
        <f>IFERROR(__xludf.DUMMYFUNCTION("""COMPUTED_VALUE"""),"Bari's 2nd spell. His body spins like a top as he barrels toward his foes at full speed.")</f>
        <v>Bari's 2nd spell. His body spins like a top as he barrels toward his foes at full speed.</v>
      </c>
      <c r="O1583" s="42"/>
      <c r="P1583" s="42"/>
      <c r="Q1583" s="42"/>
      <c r="R1583" s="42"/>
      <c r="S1583" s="42"/>
      <c r="T1583" s="42"/>
      <c r="U1583" s="42"/>
      <c r="V1583" s="42"/>
      <c r="W1583" s="42"/>
      <c r="X1583" s="42"/>
      <c r="Y1583" s="42"/>
      <c r="Z1583" s="42"/>
    </row>
    <row r="1584">
      <c r="A1584" s="42" t="str">
        <f>IFERROR(__xludf.DUMMYFUNCTION("""COMPUTED_VALUE"""),"S-454")</f>
        <v>S-454</v>
      </c>
      <c r="B1584" s="42" t="str">
        <f>IFERROR(__xludf.DUMMYFUNCTION("""COMPUTED_VALUE"""),"Spell")</f>
        <v>Spell</v>
      </c>
      <c r="C1584" s="42" t="str">
        <f>IFERROR(__xludf.DUMMYFUNCTION("""COMPUTED_VALUE"""),"Doru Zonis")</f>
        <v>Doru Zonis</v>
      </c>
      <c r="D1584" s="42" t="str">
        <f>IFERROR(__xludf.DUMMYFUNCTION("""COMPUTED_VALUE"""),"Bari")</f>
        <v>Bari</v>
      </c>
      <c r="E1584" s="42">
        <f>IFERROR(__xludf.DUMMYFUNCTION("""COMPUTED_VALUE"""),2.0)</f>
        <v>2</v>
      </c>
      <c r="F1584" s="42" t="str">
        <f>IFERROR(__xludf.DUMMYFUNCTION("""COMPUTED_VALUE"""),"A")</f>
        <v>A</v>
      </c>
      <c r="G1584" s="42" t="str">
        <f>IFERROR(__xludf.DUMMYFUNCTION("""COMPUTED_VALUE"""),"None")</f>
        <v>None</v>
      </c>
      <c r="H1584" s="42" t="str">
        <f>IFERROR(__xludf.DUMMYFUNCTION("""COMPUTED_VALUE"""),"-")</f>
        <v>-</v>
      </c>
      <c r="I1584" s="43" t="str">
        <f>IFERROR(__xludf.DUMMYFUNCTION("""COMPUTED_VALUE"""),"Damage your opponent's Spell Book when you win the Battle as an Attacker. Your opponent cannot play SPELL cards with only a ""Defend"" Icon during the Battle.")</f>
        <v>Damage your opponent's Spell Book when you win the Battle as an Attacker. Your opponent cannot play SPELL cards with only a "Defend" Icon during the Battle.</v>
      </c>
      <c r="J1584" s="42" t="str">
        <f>IFERROR(__xludf.DUMMYFUNCTION("""COMPUTED_VALUE"""),"+3000")</f>
        <v>+3000</v>
      </c>
      <c r="K1584" s="42">
        <f>IFERROR(__xludf.DUMMYFUNCTION("""COMPUTED_VALUE"""),2.0)</f>
        <v>2</v>
      </c>
      <c r="L1584" s="42" t="str">
        <f>IFERROR(__xludf.DUMMYFUNCTION("""COMPUTED_VALUE"""),"-")</f>
        <v>-</v>
      </c>
      <c r="M1584" s="42" t="str">
        <f>IFERROR(__xludf.DUMMYFUNCTION("""COMPUTED_VALUE"""),"[U]")</f>
        <v>[U]</v>
      </c>
      <c r="N1584" s="42" t="str">
        <f>IFERROR(__xludf.DUMMYFUNCTION("""COMPUTED_VALUE"""),"Bari's 3rd spell. ""H-He sliced through the Rashield...like it was nothing!""")</f>
        <v>Bari's 3rd spell. "H-He sliced through the Rashield...like it was nothing!"</v>
      </c>
      <c r="O1584" s="42"/>
      <c r="P1584" s="42"/>
      <c r="Q1584" s="42"/>
      <c r="R1584" s="42"/>
      <c r="S1584" s="42"/>
      <c r="T1584" s="42"/>
      <c r="U1584" s="42"/>
      <c r="V1584" s="42"/>
      <c r="W1584" s="42"/>
      <c r="X1584" s="42"/>
      <c r="Y1584" s="42"/>
      <c r="Z1584" s="42"/>
    </row>
    <row r="1585">
      <c r="A1585" s="42" t="str">
        <f>IFERROR(__xludf.DUMMYFUNCTION("""COMPUTED_VALUE"""),"S-455")</f>
        <v>S-455</v>
      </c>
      <c r="B1585" s="42" t="str">
        <f>IFERROR(__xludf.DUMMYFUNCTION("""COMPUTED_VALUE"""),"Spell")</f>
        <v>Spell</v>
      </c>
      <c r="C1585" s="42" t="str">
        <f>IFERROR(__xludf.DUMMYFUNCTION("""COMPUTED_VALUE"""),"Gigano Zonis")</f>
        <v>Gigano Zonis</v>
      </c>
      <c r="D1585" s="42" t="str">
        <f>IFERROR(__xludf.DUMMYFUNCTION("""COMPUTED_VALUE"""),"Bari")</f>
        <v>Bari</v>
      </c>
      <c r="E1585" s="42">
        <f>IFERROR(__xludf.DUMMYFUNCTION("""COMPUTED_VALUE"""),3.0)</f>
        <v>3</v>
      </c>
      <c r="F1585" s="42" t="str">
        <f>IFERROR(__xludf.DUMMYFUNCTION("""COMPUTED_VALUE"""),"AD")</f>
        <v>AD</v>
      </c>
      <c r="G1585" s="42" t="str">
        <f>IFERROR(__xludf.DUMMYFUNCTION("""COMPUTED_VALUE"""),"Intermediate")</f>
        <v>Intermediate</v>
      </c>
      <c r="H1585" s="42" t="str">
        <f>IFERROR(__xludf.DUMMYFUNCTION("""COMPUTED_VALUE"""),"-")</f>
        <v>-</v>
      </c>
      <c r="I1585" s="43" t="str">
        <f>IFERROR(__xludf.DUMMYFUNCTION("""COMPUTED_VALUE"""),"Damage your opponent's Spell Book when you win the Battle as an Attacker. If your opponent does not Defend against this SPELL card, they can neither SACRIFICE nor PROTECT their Spell Book from this SPELL card's Damage.")</f>
        <v>Damage your opponent's Spell Book when you win the Battle as an Attacker. If your opponent does not Defend against this SPELL card, they can neither SACRIFICE nor PROTECT their Spell Book from this SPELL card's Damage.</v>
      </c>
      <c r="J1585" s="42" t="str">
        <f>IFERROR(__xludf.DUMMYFUNCTION("""COMPUTED_VALUE"""),"+3000")</f>
        <v>+3000</v>
      </c>
      <c r="K1585" s="42">
        <f>IFERROR(__xludf.DUMMYFUNCTION("""COMPUTED_VALUE"""),3.0)</f>
        <v>3</v>
      </c>
      <c r="L1585" s="42" t="str">
        <f>IFERROR(__xludf.DUMMYFUNCTION("""COMPUTED_VALUE"""),"-")</f>
        <v>-</v>
      </c>
      <c r="M1585" s="42" t="str">
        <f>IFERROR(__xludf.DUMMYFUNCTION("""COMPUTED_VALUE"""),"[SR]")</f>
        <v>[SR]</v>
      </c>
      <c r="N1585" s="42" t="str">
        <f>IFERROR(__xludf.DUMMYFUNCTION("""COMPUTED_VALUE"""),"Bari's 4th spell. ""You call that a setup for an attack? I'll show you how it's really done!""")</f>
        <v>Bari's 4th spell. "You call that a setup for an attack? I'll show you how it's really done!"</v>
      </c>
      <c r="O1585" s="42"/>
      <c r="P1585" s="42"/>
      <c r="Q1585" s="42"/>
      <c r="R1585" s="42"/>
      <c r="S1585" s="42"/>
      <c r="T1585" s="42"/>
      <c r="U1585" s="42"/>
      <c r="V1585" s="42"/>
      <c r="W1585" s="42"/>
      <c r="X1585" s="42"/>
      <c r="Y1585" s="42"/>
      <c r="Z1585" s="42"/>
    </row>
    <row r="1586">
      <c r="A1586" s="42" t="str">
        <f>IFERROR(__xludf.DUMMYFUNCTION("""COMPUTED_VALUE"""),"S-456")</f>
        <v>S-456</v>
      </c>
      <c r="B1586" s="42" t="str">
        <f>IFERROR(__xludf.DUMMYFUNCTION("""COMPUTED_VALUE"""),"Spell")</f>
        <v>Spell</v>
      </c>
      <c r="C1586" s="42" t="str">
        <f>IFERROR(__xludf.DUMMYFUNCTION("""COMPUTED_VALUE"""),"Zarushield")</f>
        <v>Zarushield</v>
      </c>
      <c r="D1586" s="42" t="str">
        <f>IFERROR(__xludf.DUMMYFUNCTION("""COMPUTED_VALUE"""),"Bari")</f>
        <v>Bari</v>
      </c>
      <c r="E1586" s="42">
        <f>IFERROR(__xludf.DUMMYFUNCTION("""COMPUTED_VALUE"""),2.0)</f>
        <v>2</v>
      </c>
      <c r="F1586" s="42" t="str">
        <f>IFERROR(__xludf.DUMMYFUNCTION("""COMPUTED_VALUE"""),"D")</f>
        <v>D</v>
      </c>
      <c r="G1586" s="42" t="str">
        <f>IFERROR(__xludf.DUMMYFUNCTION("""COMPUTED_VALUE"""),"None")</f>
        <v>None</v>
      </c>
      <c r="H1586" s="42" t="str">
        <f>IFERROR(__xludf.DUMMYFUNCTION("""COMPUTED_VALUE"""),"-")</f>
        <v>-</v>
      </c>
      <c r="I1586" s="43" t="str">
        <f>IFERROR(__xludf.DUMMYFUNCTION("""COMPUTED_VALUE"""),"Negate your opponent's Attack regardless of their Power. Then, Injure your Bari MAMODO card after the Battle.")</f>
        <v>Negate your opponent's Attack regardless of their Power. Then, Injure your Bari MAMODO card after the Battle.</v>
      </c>
      <c r="J1586" s="42" t="str">
        <f>IFERROR(__xludf.DUMMYFUNCTION("""COMPUTED_VALUE"""),"Special")</f>
        <v>Special</v>
      </c>
      <c r="K1586" s="42" t="str">
        <f>IFERROR(__xludf.DUMMYFUNCTION("""COMPUTED_VALUE"""),"-")</f>
        <v>-</v>
      </c>
      <c r="L1586" s="42" t="str">
        <f>IFERROR(__xludf.DUMMYFUNCTION("""COMPUTED_VALUE"""),"-")</f>
        <v>-</v>
      </c>
      <c r="M1586" s="42" t="str">
        <f>IFERROR(__xludf.DUMMYFUNCTION("""COMPUTED_VALUE"""),"[U]")</f>
        <v>[U]</v>
      </c>
      <c r="N1586" s="42" t="str">
        <f>IFERROR(__xludf.DUMMYFUNCTION("""COMPUTED_VALUE"""),"Bari's 5th spell. A massive shield that can even fend off the mighty power of the Bao Zakeruga spell.")</f>
        <v>Bari's 5th spell. A massive shield that can even fend off the mighty power of the Bao Zakeruga spell.</v>
      </c>
      <c r="O1586" s="42"/>
      <c r="P1586" s="42"/>
      <c r="Q1586" s="42"/>
      <c r="R1586" s="42"/>
      <c r="S1586" s="42"/>
      <c r="T1586" s="42"/>
      <c r="U1586" s="42"/>
      <c r="V1586" s="42"/>
      <c r="W1586" s="42"/>
      <c r="X1586" s="42"/>
      <c r="Y1586" s="42"/>
      <c r="Z1586" s="42"/>
    </row>
    <row r="1587">
      <c r="A1587" s="42" t="str">
        <f>IFERROR(__xludf.DUMMYFUNCTION("""COMPUTED_VALUE"""),"S-457")</f>
        <v>S-457</v>
      </c>
      <c r="B1587" s="42" t="str">
        <f>IFERROR(__xludf.DUMMYFUNCTION("""COMPUTED_VALUE"""),"Spell")</f>
        <v>Spell</v>
      </c>
      <c r="C1587" s="42" t="str">
        <f>IFERROR(__xludf.DUMMYFUNCTION("""COMPUTED_VALUE"""),"Zao Gir Erudo")</f>
        <v>Zao Gir Erudo</v>
      </c>
      <c r="D1587" s="42" t="str">
        <f>IFERROR(__xludf.DUMMYFUNCTION("""COMPUTED_VALUE"""),"Tsao-lon")</f>
        <v>Tsao-lon</v>
      </c>
      <c r="E1587" s="42">
        <f>IFERROR(__xludf.DUMMYFUNCTION("""COMPUTED_VALUE"""),6.0)</f>
        <v>6</v>
      </c>
      <c r="F1587" s="42" t="str">
        <f>IFERROR(__xludf.DUMMYFUNCTION("""COMPUTED_VALUE"""),"A")</f>
        <v>A</v>
      </c>
      <c r="G1587" s="42" t="str">
        <f>IFERROR(__xludf.DUMMYFUNCTION("""COMPUTED_VALUE"""),"Superior")</f>
        <v>Superior</v>
      </c>
      <c r="H1587" s="42" t="str">
        <f>IFERROR(__xludf.DUMMYFUNCTION("""COMPUTED_VALUE"""),"-")</f>
        <v>-</v>
      </c>
      <c r="I1587" s="43" t="str">
        <f>IFERROR(__xludf.DUMMYFUNCTION("""COMPUTED_VALUE"""),"Damage your opponent's Spell Book when you win the Battle as an Attacker. [STANDBY] Regardless of Power, the effects of your Tsao-lon MAMODO card that have already been applied during this turn can be applied once again during this turn.")</f>
        <v>Damage your opponent's Spell Book when you win the Battle as an Attacker. [STANDBY] Regardless of Power, the effects of your Tsao-lon MAMODO card that have already been applied during this turn can be applied once again during this turn.</v>
      </c>
      <c r="J1587" s="42" t="str">
        <f>IFERROR(__xludf.DUMMYFUNCTION("""COMPUTED_VALUE"""),"+6000")</f>
        <v>+6000</v>
      </c>
      <c r="K1587" s="42">
        <f>IFERROR(__xludf.DUMMYFUNCTION("""COMPUTED_VALUE"""),3.0)</f>
        <v>3</v>
      </c>
      <c r="L1587" s="42" t="str">
        <f>IFERROR(__xludf.DUMMYFUNCTION("""COMPUTED_VALUE"""),"-")</f>
        <v>-</v>
      </c>
      <c r="M1587" s="42" t="str">
        <f>IFERROR(__xludf.DUMMYFUNCTION("""COMPUTED_VALUE"""),"[R]")</f>
        <v>[R]</v>
      </c>
      <c r="N1587" s="42" t="str">
        <f>IFERROR(__xludf.DUMMYFUNCTION("""COMPUTED_VALUE"""),"Tsao-lon's 4th spell. ""No way...Ma Seshield was...destroyed... They're way too strong!""")</f>
        <v>Tsao-lon's 4th spell. "No way...Ma Seshield was...destroyed... They're way too strong!"</v>
      </c>
      <c r="O1587" s="42"/>
      <c r="P1587" s="42"/>
      <c r="Q1587" s="42"/>
      <c r="R1587" s="42"/>
      <c r="S1587" s="42"/>
      <c r="T1587" s="42"/>
      <c r="U1587" s="42"/>
      <c r="V1587" s="42"/>
      <c r="W1587" s="42"/>
      <c r="X1587" s="42"/>
      <c r="Y1587" s="42"/>
      <c r="Z1587" s="42"/>
    </row>
    <row r="1588">
      <c r="A1588" s="42" t="str">
        <f>IFERROR(__xludf.DUMMYFUNCTION("""COMPUTED_VALUE"""),"S-458")</f>
        <v>S-458</v>
      </c>
      <c r="B1588" s="42" t="str">
        <f>IFERROR(__xludf.DUMMYFUNCTION("""COMPUTED_VALUE"""),"Spell")</f>
        <v>Spell</v>
      </c>
      <c r="C1588" s="42" t="str">
        <f>IFERROR(__xludf.DUMMYFUNCTION("""COMPUTED_VALUE"""),"Dioga Ryusdon")</f>
        <v>Dioga Ryusdon</v>
      </c>
      <c r="D1588" s="42" t="str">
        <f>IFERROR(__xludf.DUMMYFUNCTION("""COMPUTED_VALUE"""),"Belgim E.O.")</f>
        <v>Belgim E.O.</v>
      </c>
      <c r="E1588" s="42">
        <f>IFERROR(__xludf.DUMMYFUNCTION("""COMPUTED_VALUE"""),4.0)</f>
        <v>4</v>
      </c>
      <c r="F1588" s="42" t="str">
        <f>IFERROR(__xludf.DUMMYFUNCTION("""COMPUTED_VALUE"""),"A")</f>
        <v>A</v>
      </c>
      <c r="G1588" s="42" t="str">
        <f>IFERROR(__xludf.DUMMYFUNCTION("""COMPUTED_VALUE"""),"Superior")</f>
        <v>Superior</v>
      </c>
      <c r="H1588" s="42" t="str">
        <f>IFERROR(__xludf.DUMMYFUNCTION("""COMPUTED_VALUE"""),"-")</f>
        <v>-</v>
      </c>
      <c r="I1588" s="43" t="str">
        <f>IFERROR(__xludf.DUMMYFUNCTION("""COMPUTED_VALUE"""),"Flip a coin; if it's tails, Damage your opponent's Spell Book when you win the Battle as an Attacker.")</f>
        <v>Flip a coin; if it's tails, Damage your opponent's Spell Book when you win the Battle as an Attacker.</v>
      </c>
      <c r="J1588" s="42" t="str">
        <f>IFERROR(__xludf.DUMMYFUNCTION("""COMPUTED_VALUE"""),"+8000")</f>
        <v>+8000</v>
      </c>
      <c r="K1588" s="42">
        <f>IFERROR(__xludf.DUMMYFUNCTION("""COMPUTED_VALUE"""),4.0)</f>
        <v>4</v>
      </c>
      <c r="L1588" s="42" t="str">
        <f>IFERROR(__xludf.DUMMYFUNCTION("""COMPUTED_VALUE"""),"-")</f>
        <v>-</v>
      </c>
      <c r="M1588" s="42" t="str">
        <f>IFERROR(__xludf.DUMMYFUNCTION("""COMPUTED_VALUE"""),"[R]")</f>
        <v>[R]</v>
      </c>
      <c r="N1588" s="42" t="str">
        <f>IFERROR(__xludf.DUMMYFUNCTION("""COMPUTED_VALUE"""),"Belgim E.O.'s 6th spell. ""I'll blow you all away with every last ounce of power I've got left!""")</f>
        <v>Belgim E.O.'s 6th spell. "I'll blow you all away with every last ounce of power I've got left!"</v>
      </c>
      <c r="O1588" s="42"/>
      <c r="P1588" s="42"/>
      <c r="Q1588" s="42"/>
      <c r="R1588" s="42"/>
      <c r="S1588" s="42"/>
      <c r="T1588" s="42"/>
      <c r="U1588" s="42"/>
      <c r="V1588" s="42"/>
      <c r="W1588" s="42"/>
      <c r="X1588" s="42"/>
      <c r="Y1588" s="42"/>
      <c r="Z1588" s="42"/>
    </row>
    <row r="1589">
      <c r="A1589" s="42" t="str">
        <f>IFERROR(__xludf.DUMMYFUNCTION("""COMPUTED_VALUE"""),"S-459")</f>
        <v>S-459</v>
      </c>
      <c r="B1589" s="42" t="str">
        <f>IFERROR(__xludf.DUMMYFUNCTION("""COMPUTED_VALUE"""),"Spell")</f>
        <v>Spell</v>
      </c>
      <c r="C1589" s="42" t="str">
        <f>IFERROR(__xludf.DUMMYFUNCTION("""COMPUTED_VALUE"""),"Pentalum Farga")</f>
        <v>Pentalum Farga</v>
      </c>
      <c r="D1589" s="42" t="str">
        <f>IFERROR(__xludf.DUMMYFUNCTION("""COMPUTED_VALUE"""),"Pamoon")</f>
        <v>Pamoon</v>
      </c>
      <c r="E1589" s="42">
        <f>IFERROR(__xludf.DUMMYFUNCTION("""COMPUTED_VALUE"""),1.0)</f>
        <v>1</v>
      </c>
      <c r="F1589" s="42" t="str">
        <f>IFERROR(__xludf.DUMMYFUNCTION("""COMPUTED_VALUE"""),"AD")</f>
        <v>AD</v>
      </c>
      <c r="G1589" s="42" t="str">
        <f>IFERROR(__xludf.DUMMYFUNCTION("""COMPUTED_VALUE"""),"Superior")</f>
        <v>Superior</v>
      </c>
      <c r="H1589" s="42" t="str">
        <f>IFERROR(__xludf.DUMMYFUNCTION("""COMPUTED_VALUE"""),"-")</f>
        <v>-</v>
      </c>
      <c r="I1589" s="43" t="str">
        <f>IFERROR(__xludf.DUMMYFUNCTION("""COMPUTED_VALUE"""),"This SPELL card can be played up to 5 times per turn (per player). Damage your opponent's Spell Book when you win the Battle as an Attacker.")</f>
        <v>This SPELL card can be played up to 5 times per turn (per player). Damage your opponent's Spell Book when you win the Battle as an Attacker.</v>
      </c>
      <c r="J1589" s="42" t="str">
        <f>IFERROR(__xludf.DUMMYFUNCTION("""COMPUTED_VALUE"""),"+4000")</f>
        <v>+4000</v>
      </c>
      <c r="K1589" s="42">
        <f>IFERROR(__xludf.DUMMYFUNCTION("""COMPUTED_VALUE"""),1.0)</f>
        <v>1</v>
      </c>
      <c r="L1589" s="42" t="str">
        <f>IFERROR(__xludf.DUMMYFUNCTION("""COMPUTED_VALUE"""),"-")</f>
        <v>-</v>
      </c>
      <c r="M1589" s="42" t="str">
        <f>IFERROR(__xludf.DUMMYFUNCTION("""COMPUTED_VALUE"""),"[R]")</f>
        <v>[R]</v>
      </c>
      <c r="N1589" s="42" t="str">
        <f>IFERROR(__xludf.DUMMYFUNCTION("""COMPUTED_VALUE"""),"Pamoon's 7th spell. ""If you can't beat this spell, then you'll never defeat Zofis...much less become king!""")</f>
        <v>Pamoon's 7th spell. "If you can't beat this spell, then you'll never defeat Zofis...much less become king!"</v>
      </c>
      <c r="O1589" s="42"/>
      <c r="P1589" s="42"/>
      <c r="Q1589" s="42"/>
      <c r="R1589" s="42"/>
      <c r="S1589" s="42"/>
      <c r="T1589" s="42"/>
      <c r="U1589" s="42"/>
      <c r="V1589" s="42"/>
      <c r="W1589" s="42"/>
      <c r="X1589" s="42"/>
      <c r="Y1589" s="42"/>
      <c r="Z1589" s="42"/>
    </row>
    <row r="1590">
      <c r="A1590" s="42" t="str">
        <f>IFERROR(__xludf.DUMMYFUNCTION("""COMPUTED_VALUE"""),"S-460")</f>
        <v>S-460</v>
      </c>
      <c r="B1590" s="42" t="str">
        <f>IFERROR(__xludf.DUMMYFUNCTION("""COMPUTED_VALUE"""),"Spell")</f>
        <v>Spell</v>
      </c>
      <c r="C1590" s="42" t="str">
        <f>IFERROR(__xludf.DUMMYFUNCTION("""COMPUTED_VALUE"""),"Girgadom Barsuruk")</f>
        <v>Girgadom Barsuruk</v>
      </c>
      <c r="D1590" s="42" t="str">
        <f>IFERROR(__xludf.DUMMYFUNCTION("""COMPUTED_VALUE"""),"Demolt")</f>
        <v>Demolt</v>
      </c>
      <c r="E1590" s="42">
        <f>IFERROR(__xludf.DUMMYFUNCTION("""COMPUTED_VALUE"""),1.0)</f>
        <v>1</v>
      </c>
      <c r="F1590" s="42" t="str">
        <f>IFERROR(__xludf.DUMMYFUNCTION("""COMPUTED_VALUE"""),"A")</f>
        <v>A</v>
      </c>
      <c r="G1590" s="42" t="str">
        <f>IFERROR(__xludf.DUMMYFUNCTION("""COMPUTED_VALUE"""),"Superior")</f>
        <v>Superior</v>
      </c>
      <c r="H1590" s="42" t="str">
        <f>IFERROR(__xludf.DUMMYFUNCTION("""COMPUTED_VALUE"""),"-")</f>
        <v>-</v>
      </c>
      <c r="I1590" s="43" t="str">
        <f>IFERROR(__xludf.DUMMYFUNCTION("""COMPUTED_VALUE"""),"[STAY] Add the text below to your Demolt MAMODO card during this game: ● (Attack) [2 MP] This card may Attack without using a SPELL card (Total Power=10000, Damage=2).")</f>
        <v>[STAY] Add the text below to your Demolt MAMODO card during this game: ● (Attack) [2 MP] This card may Attack without using a SPELL card (Total Power=10000, Damage=2).</v>
      </c>
      <c r="J1590" s="42" t="str">
        <f>IFERROR(__xludf.DUMMYFUNCTION("""COMPUTED_VALUE"""),"Special")</f>
        <v>Special</v>
      </c>
      <c r="K1590" s="42" t="str">
        <f>IFERROR(__xludf.DUMMYFUNCTION("""COMPUTED_VALUE"""),"-")</f>
        <v>-</v>
      </c>
      <c r="L1590" s="42" t="str">
        <f>IFERROR(__xludf.DUMMYFUNCTION("""COMPUTED_VALUE"""),"-")</f>
        <v>-</v>
      </c>
      <c r="M1590" s="42" t="str">
        <f>IFERROR(__xludf.DUMMYFUNCTION("""COMPUTED_VALUE"""),"[R]")</f>
        <v>[R]</v>
      </c>
      <c r="N1590" s="42" t="str">
        <f>IFERROR(__xludf.DUMMYFUNCTION("""COMPUTED_VALUE"""),"Demolt's 8th spell. ""What is this terrible feeling? A dangerous feeling! Different from any I've ever felt!!""")</f>
        <v>Demolt's 8th spell. "What is this terrible feeling? A dangerous feeling! Different from any I've ever felt!!"</v>
      </c>
      <c r="O1590" s="42"/>
      <c r="P1590" s="42"/>
      <c r="Q1590" s="42"/>
      <c r="R1590" s="42"/>
      <c r="S1590" s="42"/>
      <c r="T1590" s="42"/>
      <c r="U1590" s="42"/>
      <c r="V1590" s="42"/>
      <c r="W1590" s="42"/>
      <c r="X1590" s="42"/>
      <c r="Y1590" s="42"/>
      <c r="Z1590" s="42"/>
    </row>
    <row r="1591">
      <c r="A1591" s="42" t="str">
        <f>IFERROR(__xludf.DUMMYFUNCTION("""COMPUTED_VALUE"""),"S-461")</f>
        <v>S-461</v>
      </c>
      <c r="B1591" s="42" t="str">
        <f>IFERROR(__xludf.DUMMYFUNCTION("""COMPUTED_VALUE"""),"Spell")</f>
        <v>Spell</v>
      </c>
      <c r="C1591" s="42" t="str">
        <f>IFERROR(__xludf.DUMMYFUNCTION("""COMPUTED_VALUE"""),"Gazuron")</f>
        <v>Gazuron</v>
      </c>
      <c r="D1591" s="42" t="str">
        <f>IFERROR(__xludf.DUMMYFUNCTION("""COMPUTED_VALUE"""),"Buzarai")</f>
        <v>Buzarai</v>
      </c>
      <c r="E1591" s="42">
        <f>IFERROR(__xludf.DUMMYFUNCTION("""COMPUTED_VALUE"""),1.0)</f>
        <v>1</v>
      </c>
      <c r="F1591" s="42" t="str">
        <f>IFERROR(__xludf.DUMMYFUNCTION("""COMPUTED_VALUE"""),"AD")</f>
        <v>AD</v>
      </c>
      <c r="G1591" s="42" t="str">
        <f>IFERROR(__xludf.DUMMYFUNCTION("""COMPUTED_VALUE"""),"None")</f>
        <v>None</v>
      </c>
      <c r="H1591" s="42" t="str">
        <f>IFERROR(__xludf.DUMMYFUNCTION("""COMPUTED_VALUE"""),"-")</f>
        <v>-</v>
      </c>
      <c r="I1591" s="43" t="str">
        <f>IFERROR(__xludf.DUMMYFUNCTION("""COMPUTED_VALUE"""),"Apply 1 of the following effects when you win the Battle as an Attacker: ● Damage your opponent's Spell Book. ● Injure 1 of your opponent's MAMODO cards in Flight Status.")</f>
        <v>Apply 1 of the following effects when you win the Battle as an Attacker: ● Damage your opponent's Spell Book. ● Injure 1 of your opponent's MAMODO cards in Flight Status.</v>
      </c>
      <c r="J1591" s="42" t="str">
        <f>IFERROR(__xludf.DUMMYFUNCTION("""COMPUTED_VALUE"""),"+3000")</f>
        <v>+3000</v>
      </c>
      <c r="K1591" s="42">
        <f>IFERROR(__xludf.DUMMYFUNCTION("""COMPUTED_VALUE"""),1.0)</f>
        <v>1</v>
      </c>
      <c r="L1591" s="42" t="str">
        <f>IFERROR(__xludf.DUMMYFUNCTION("""COMPUTED_VALUE"""),"-")</f>
        <v>-</v>
      </c>
      <c r="M1591" s="42" t="str">
        <f>IFERROR(__xludf.DUMMYFUNCTION("""COMPUTED_VALUE"""),"[C]")</f>
        <v>[C]</v>
      </c>
      <c r="N1591" s="42" t="str">
        <f>IFERROR(__xludf.DUMMYFUNCTION("""COMPUTED_VALUE"""),"Buzarai's 1st spell. A huge blade attached to a chain that can be manipulated at will.")</f>
        <v>Buzarai's 1st spell. A huge blade attached to a chain that can be manipulated at will.</v>
      </c>
      <c r="O1591" s="42"/>
      <c r="P1591" s="42"/>
      <c r="Q1591" s="42"/>
      <c r="R1591" s="42"/>
      <c r="S1591" s="42"/>
      <c r="T1591" s="42"/>
      <c r="U1591" s="42"/>
      <c r="V1591" s="42"/>
      <c r="W1591" s="42"/>
      <c r="X1591" s="42"/>
      <c r="Y1591" s="42"/>
      <c r="Z1591" s="42"/>
    </row>
    <row r="1592">
      <c r="A1592" s="42" t="str">
        <f>IFERROR(__xludf.DUMMYFUNCTION("""COMPUTED_VALUE"""),"S-462")</f>
        <v>S-462</v>
      </c>
      <c r="B1592" s="42" t="str">
        <f>IFERROR(__xludf.DUMMYFUNCTION("""COMPUTED_VALUE"""),"Spell")</f>
        <v>Spell</v>
      </c>
      <c r="C1592" s="42" t="str">
        <f>IFERROR(__xludf.DUMMYFUNCTION("""COMPUTED_VALUE"""),"Go Gazushield")</f>
        <v>Go Gazushield</v>
      </c>
      <c r="D1592" s="42" t="str">
        <f>IFERROR(__xludf.DUMMYFUNCTION("""COMPUTED_VALUE"""),"Buzarai")</f>
        <v>Buzarai</v>
      </c>
      <c r="E1592" s="42">
        <f>IFERROR(__xludf.DUMMYFUNCTION("""COMPUTED_VALUE"""),2.0)</f>
        <v>2</v>
      </c>
      <c r="F1592" s="42" t="str">
        <f>IFERROR(__xludf.DUMMYFUNCTION("""COMPUTED_VALUE"""),"D")</f>
        <v>D</v>
      </c>
      <c r="G1592" s="42" t="str">
        <f>IFERROR(__xludf.DUMMYFUNCTION("""COMPUTED_VALUE"""),"None")</f>
        <v>None</v>
      </c>
      <c r="H1592" s="42" t="str">
        <f>IFERROR(__xludf.DUMMYFUNCTION("""COMPUTED_VALUE"""),"-")</f>
        <v>-</v>
      </c>
      <c r="I1592" s="43" t="str">
        <f>IFERROR(__xludf.DUMMYFUNCTION("""COMPUTED_VALUE"""),"Negate your opponent's Attack when you win the Battle as a Defender.")</f>
        <v>Negate your opponent's Attack when you win the Battle as a Defender.</v>
      </c>
      <c r="J1592" s="42" t="str">
        <f>IFERROR(__xludf.DUMMYFUNCTION("""COMPUTED_VALUE"""),"+8000")</f>
        <v>+8000</v>
      </c>
      <c r="K1592" s="42" t="str">
        <f>IFERROR(__xludf.DUMMYFUNCTION("""COMPUTED_VALUE"""),"-")</f>
        <v>-</v>
      </c>
      <c r="L1592" s="42" t="str">
        <f>IFERROR(__xludf.DUMMYFUNCTION("""COMPUTED_VALUE"""),"-")</f>
        <v>-</v>
      </c>
      <c r="M1592" s="42" t="str">
        <f>IFERROR(__xludf.DUMMYFUNCTION("""COMPUTED_VALUE"""),"[U]")</f>
        <v>[U]</v>
      </c>
      <c r="N1592" s="42" t="str">
        <f>IFERROR(__xludf.DUMMYFUNCTION("""COMPUTED_VALUE"""),"Buzarai's 2nd spell. ""It's your turn, Buzarai...you and your partner Kars!""")</f>
        <v>Buzarai's 2nd spell. "It's your turn, Buzarai...you and your partner Kars!"</v>
      </c>
      <c r="O1592" s="42"/>
      <c r="P1592" s="42"/>
      <c r="Q1592" s="42"/>
      <c r="R1592" s="42"/>
      <c r="S1592" s="42"/>
      <c r="T1592" s="42"/>
      <c r="U1592" s="42"/>
      <c r="V1592" s="42"/>
      <c r="W1592" s="42"/>
      <c r="X1592" s="42"/>
      <c r="Y1592" s="42"/>
      <c r="Z1592" s="42"/>
    </row>
    <row r="1593">
      <c r="A1593" s="42" t="str">
        <f>IFERROR(__xludf.DUMMYFUNCTION("""COMPUTED_VALUE"""),"S-463")</f>
        <v>S-463</v>
      </c>
      <c r="B1593" s="42" t="str">
        <f>IFERROR(__xludf.DUMMYFUNCTION("""COMPUTED_VALUE"""),"Spell")</f>
        <v>Spell</v>
      </c>
      <c r="C1593" s="42" t="str">
        <f>IFERROR(__xludf.DUMMYFUNCTION("""COMPUTED_VALUE"""),"Urujim Gazun")</f>
        <v>Urujim Gazun</v>
      </c>
      <c r="D1593" s="42" t="str">
        <f>IFERROR(__xludf.DUMMYFUNCTION("""COMPUTED_VALUE"""),"Buzarai")</f>
        <v>Buzarai</v>
      </c>
      <c r="E1593" s="42">
        <f>IFERROR(__xludf.DUMMYFUNCTION("""COMPUTED_VALUE"""),2.0)</f>
        <v>2</v>
      </c>
      <c r="F1593" s="42" t="str">
        <f>IFERROR(__xludf.DUMMYFUNCTION("""COMPUTED_VALUE"""),"AD")</f>
        <v>AD</v>
      </c>
      <c r="G1593" s="42" t="str">
        <f>IFERROR(__xludf.DUMMYFUNCTION("""COMPUTED_VALUE"""),"None")</f>
        <v>None</v>
      </c>
      <c r="H1593" s="42" t="str">
        <f>IFERROR(__xludf.DUMMYFUNCTION("""COMPUTED_VALUE"""),"-")</f>
        <v>-</v>
      </c>
      <c r="I1593" s="43" t="str">
        <f>IFERROR(__xludf.DUMMYFUNCTION("""COMPUTED_VALUE"""),"Apply 1 of the following effects when you win the Battle as an Attacker: ● Damage your opponent's Spell Book. ● Send 1 of your opponent's in-play MAMODO cards in Flight Status to the Discard Pile.")</f>
        <v>Apply 1 of the following effects when you win the Battle as an Attacker: ● Damage your opponent's Spell Book. ● Send 1 of your opponent's in-play MAMODO cards in Flight Status to the Discard Pile.</v>
      </c>
      <c r="J1593" s="42" t="str">
        <f>IFERROR(__xludf.DUMMYFUNCTION("""COMPUTED_VALUE"""),"+4000")</f>
        <v>+4000</v>
      </c>
      <c r="K1593" s="42">
        <f>IFERROR(__xludf.DUMMYFUNCTION("""COMPUTED_VALUE"""),2.0)</f>
        <v>2</v>
      </c>
      <c r="L1593" s="42" t="str">
        <f>IFERROR(__xludf.DUMMYFUNCTION("""COMPUTED_VALUE"""),"-")</f>
        <v>-</v>
      </c>
      <c r="M1593" s="42" t="str">
        <f>IFERROR(__xludf.DUMMYFUNCTION("""COMPUTED_VALUE"""),"[U]")</f>
        <v>[U]</v>
      </c>
      <c r="N1593" s="42" t="str">
        <f>IFERROR(__xludf.DUMMYFUNCTION("""COMPUTED_VALUE"""),"Buzarai's 3rd spell. ""What?! His weapon is causing a tornado!""")</f>
        <v>Buzarai's 3rd spell. "What?! His weapon is causing a tornado!"</v>
      </c>
      <c r="O1593" s="42"/>
      <c r="P1593" s="42"/>
      <c r="Q1593" s="42"/>
      <c r="R1593" s="42"/>
      <c r="S1593" s="42"/>
      <c r="T1593" s="42"/>
      <c r="U1593" s="42"/>
      <c r="V1593" s="42"/>
      <c r="W1593" s="42"/>
      <c r="X1593" s="42"/>
      <c r="Y1593" s="42"/>
      <c r="Z1593" s="42"/>
    </row>
    <row r="1594">
      <c r="A1594" s="42" t="str">
        <f>IFERROR(__xludf.DUMMYFUNCTION("""COMPUTED_VALUE"""),"S-464")</f>
        <v>S-464</v>
      </c>
      <c r="B1594" s="42" t="str">
        <f>IFERROR(__xludf.DUMMYFUNCTION("""COMPUTED_VALUE"""),"Spell")</f>
        <v>Spell</v>
      </c>
      <c r="C1594" s="42" t="str">
        <f>IFERROR(__xludf.DUMMYFUNCTION("""COMPUTED_VALUE"""),"Gazushield")</f>
        <v>Gazushield</v>
      </c>
      <c r="D1594" s="42" t="str">
        <f>IFERROR(__xludf.DUMMYFUNCTION("""COMPUTED_VALUE"""),"Buzarai")</f>
        <v>Buzarai</v>
      </c>
      <c r="E1594" s="42">
        <f>IFERROR(__xludf.DUMMYFUNCTION("""COMPUTED_VALUE"""),1.0)</f>
        <v>1</v>
      </c>
      <c r="F1594" s="42" t="str">
        <f>IFERROR(__xludf.DUMMYFUNCTION("""COMPUTED_VALUE"""),"D")</f>
        <v>D</v>
      </c>
      <c r="G1594" s="42" t="str">
        <f>IFERROR(__xludf.DUMMYFUNCTION("""COMPUTED_VALUE"""),"None")</f>
        <v>None</v>
      </c>
      <c r="H1594" s="42" t="str">
        <f>IFERROR(__xludf.DUMMYFUNCTION("""COMPUTED_VALUE"""),"-")</f>
        <v>-</v>
      </c>
      <c r="I1594" s="43" t="str">
        <f>IFERROR(__xludf.DUMMYFUNCTION("""COMPUTED_VALUE"""),"This SPELL card can be played up to 3 times per turn (per player). Negate your opponent's Attack when you win the Battle as a Defender.")</f>
        <v>This SPELL card can be played up to 3 times per turn (per player). Negate your opponent's Attack when you win the Battle as a Defender.</v>
      </c>
      <c r="J1594" s="42" t="str">
        <f>IFERROR(__xludf.DUMMYFUNCTION("""COMPUTED_VALUE"""),"+5000")</f>
        <v>+5000</v>
      </c>
      <c r="K1594" s="42" t="str">
        <f>IFERROR(__xludf.DUMMYFUNCTION("""COMPUTED_VALUE"""),"-")</f>
        <v>-</v>
      </c>
      <c r="L1594" s="42" t="str">
        <f>IFERROR(__xludf.DUMMYFUNCTION("""COMPUTED_VALUE"""),"-")</f>
        <v>-</v>
      </c>
      <c r="M1594" s="42" t="str">
        <f>IFERROR(__xludf.DUMMYFUNCTION("""COMPUTED_VALUE"""),"[C]")</f>
        <v>[C]</v>
      </c>
      <c r="N1594" s="42" t="str">
        <f>IFERROR(__xludf.DUMMYFUNCTION("""COMPUTED_VALUE"""),"Buzarai's 4th spell. His blade also serves as a shield for deflecting incoming attacks.")</f>
        <v>Buzarai's 4th spell. His blade also serves as a shield for deflecting incoming attacks.</v>
      </c>
      <c r="O1594" s="42"/>
      <c r="P1594" s="42"/>
      <c r="Q1594" s="42"/>
      <c r="R1594" s="42"/>
      <c r="S1594" s="42"/>
      <c r="T1594" s="42"/>
      <c r="U1594" s="42"/>
      <c r="V1594" s="42"/>
      <c r="W1594" s="42"/>
      <c r="X1594" s="42"/>
      <c r="Y1594" s="42"/>
      <c r="Z1594" s="42"/>
    </row>
    <row r="1595">
      <c r="A1595" s="42" t="str">
        <f>IFERROR(__xludf.DUMMYFUNCTION("""COMPUTED_VALUE"""),"S-465")</f>
        <v>S-465</v>
      </c>
      <c r="B1595" s="42" t="str">
        <f>IFERROR(__xludf.DUMMYFUNCTION("""COMPUTED_VALUE"""),"Spell")</f>
        <v>Spell</v>
      </c>
      <c r="C1595" s="42" t="str">
        <f>IFERROR(__xludf.DUMMYFUNCTION("""COMPUTED_VALUE"""),"Barudo Gazuron")</f>
        <v>Barudo Gazuron</v>
      </c>
      <c r="D1595" s="42" t="str">
        <f>IFERROR(__xludf.DUMMYFUNCTION("""COMPUTED_VALUE"""),"Buzarai")</f>
        <v>Buzarai</v>
      </c>
      <c r="E1595" s="42">
        <f>IFERROR(__xludf.DUMMYFUNCTION("""COMPUTED_VALUE"""),6.0)</f>
        <v>6</v>
      </c>
      <c r="F1595" s="42" t="str">
        <f>IFERROR(__xludf.DUMMYFUNCTION("""COMPUTED_VALUE"""),"A")</f>
        <v>A</v>
      </c>
      <c r="G1595" s="42" t="str">
        <f>IFERROR(__xludf.DUMMYFUNCTION("""COMPUTED_VALUE"""),"Superior")</f>
        <v>Superior</v>
      </c>
      <c r="H1595" s="42" t="str">
        <f>IFERROR(__xludf.DUMMYFUNCTION("""COMPUTED_VALUE"""),"-")</f>
        <v>-</v>
      </c>
      <c r="I1595" s="43" t="str">
        <f>IFERROR(__xludf.DUMMYFUNCTION("""COMPUTED_VALUE"""),"Damage your opponent's Spell Book 4 times when you win the Battle as an Attacker.")</f>
        <v>Damage your opponent's Spell Book 4 times when you win the Battle as an Attacker.</v>
      </c>
      <c r="J1595" s="42" t="str">
        <f>IFERROR(__xludf.DUMMYFUNCTION("""COMPUTED_VALUE"""),"+4000")</f>
        <v>+4000</v>
      </c>
      <c r="K1595" s="42">
        <f>IFERROR(__xludf.DUMMYFUNCTION("""COMPUTED_VALUE"""),1.0)</f>
        <v>1</v>
      </c>
      <c r="L1595" s="42" t="str">
        <f>IFERROR(__xludf.DUMMYFUNCTION("""COMPUTED_VALUE"""),"-")</f>
        <v>-</v>
      </c>
      <c r="M1595" s="42" t="str">
        <f>IFERROR(__xludf.DUMMYFUNCTION("""COMPUTED_VALUE"""),"[U]")</f>
        <v>[U]</v>
      </c>
      <c r="N1595" s="42" t="str">
        <f>IFERROR(__xludf.DUMMYFUNCTION("""COMPUTED_VALUE"""),"Buzarai's 5th spell. His deadly steel blade splits into four and slices his enemies.")</f>
        <v>Buzarai's 5th spell. His deadly steel blade splits into four and slices his enemies.</v>
      </c>
      <c r="O1595" s="42"/>
      <c r="P1595" s="42"/>
      <c r="Q1595" s="42"/>
      <c r="R1595" s="42"/>
      <c r="S1595" s="42"/>
      <c r="T1595" s="42"/>
      <c r="U1595" s="42"/>
      <c r="V1595" s="42"/>
      <c r="W1595" s="42"/>
      <c r="X1595" s="42"/>
      <c r="Y1595" s="42"/>
      <c r="Z1595" s="42"/>
    </row>
    <row r="1596">
      <c r="A1596" s="42" t="str">
        <f>IFERROR(__xludf.DUMMYFUNCTION("""COMPUTED_VALUE"""),"S-466")</f>
        <v>S-466</v>
      </c>
      <c r="B1596" s="42" t="str">
        <f>IFERROR(__xludf.DUMMYFUNCTION("""COMPUTED_VALUE"""),"Spell")</f>
        <v>Spell</v>
      </c>
      <c r="C1596" s="42" t="str">
        <f>IFERROR(__xludf.DUMMYFUNCTION("""COMPUTED_VALUE"""),"Raja Gazun")</f>
        <v>Raja Gazun</v>
      </c>
      <c r="D1596" s="42" t="str">
        <f>IFERROR(__xludf.DUMMYFUNCTION("""COMPUTED_VALUE"""),"Buzarai")</f>
        <v>Buzarai</v>
      </c>
      <c r="E1596" s="42">
        <f>IFERROR(__xludf.DUMMYFUNCTION("""COMPUTED_VALUE"""),5.0)</f>
        <v>5</v>
      </c>
      <c r="F1596" s="42" t="str">
        <f>IFERROR(__xludf.DUMMYFUNCTION("""COMPUTED_VALUE"""),"A")</f>
        <v>A</v>
      </c>
      <c r="G1596" s="42" t="str">
        <f>IFERROR(__xludf.DUMMYFUNCTION("""COMPUTED_VALUE"""),"Intermediate")</f>
        <v>Intermediate</v>
      </c>
      <c r="H1596" s="42" t="str">
        <f>IFERROR(__xludf.DUMMYFUNCTION("""COMPUTED_VALUE"""),"-")</f>
        <v>-</v>
      </c>
      <c r="I1596" s="43" t="str">
        <f>IFERROR(__xludf.DUMMYFUNCTION("""COMPUTED_VALUE"""),"Injure all of your opponent's MAMODO cards when you win the Battle as an Attacker. When you inflict Injury, send up to 2 of your opponent's in-play cards (except MAMODO cards) to the Discard Pile.")</f>
        <v>Injure all of your opponent's MAMODO cards when you win the Battle as an Attacker. When you inflict Injury, send up to 2 of your opponent's in-play cards (except MAMODO cards) to the Discard Pile.</v>
      </c>
      <c r="J1596" s="42" t="str">
        <f>IFERROR(__xludf.DUMMYFUNCTION("""COMPUTED_VALUE"""),"+5000")</f>
        <v>+5000</v>
      </c>
      <c r="K1596" s="42" t="str">
        <f>IFERROR(__xludf.DUMMYFUNCTION("""COMPUTED_VALUE"""),"-")</f>
        <v>-</v>
      </c>
      <c r="L1596" s="42" t="str">
        <f>IFERROR(__xludf.DUMMYFUNCTION("""COMPUTED_VALUE"""),"-")</f>
        <v>-</v>
      </c>
      <c r="M1596" s="42" t="str">
        <f>IFERROR(__xludf.DUMMYFUNCTION("""COMPUTED_VALUE"""),"[U]")</f>
        <v>[U]</v>
      </c>
      <c r="N1596" s="42" t="str">
        <f>IFERROR(__xludf.DUMMYFUNCTION("""COMPUTED_VALUE"""),"Buzarai's 6th spell. He slams his weapon to the ground, producing a devastating shockwave over a wide radius.")</f>
        <v>Buzarai's 6th spell. He slams his weapon to the ground, producing a devastating shockwave over a wide radius.</v>
      </c>
      <c r="O1596" s="42"/>
      <c r="P1596" s="42"/>
      <c r="Q1596" s="42"/>
      <c r="R1596" s="42"/>
      <c r="S1596" s="42"/>
      <c r="T1596" s="42"/>
      <c r="U1596" s="42"/>
      <c r="V1596" s="42"/>
      <c r="W1596" s="42"/>
      <c r="X1596" s="42"/>
      <c r="Y1596" s="42"/>
      <c r="Z1596" s="42"/>
    </row>
    <row r="1597">
      <c r="A1597" s="42" t="str">
        <f>IFERROR(__xludf.DUMMYFUNCTION("""COMPUTED_VALUE"""),"S-467")</f>
        <v>S-467</v>
      </c>
      <c r="B1597" s="42" t="str">
        <f>IFERROR(__xludf.DUMMYFUNCTION("""COMPUTED_VALUE"""),"Spell")</f>
        <v>Spell</v>
      </c>
      <c r="C1597" s="42" t="str">
        <f>IFERROR(__xludf.DUMMYFUNCTION("""COMPUTED_VALUE"""),"Gigano Gazuron")</f>
        <v>Gigano Gazuron</v>
      </c>
      <c r="D1597" s="42" t="str">
        <f>IFERROR(__xludf.DUMMYFUNCTION("""COMPUTED_VALUE"""),"Buzarai")</f>
        <v>Buzarai</v>
      </c>
      <c r="E1597" s="42">
        <f>IFERROR(__xludf.DUMMYFUNCTION("""COMPUTED_VALUE"""),4.0)</f>
        <v>4</v>
      </c>
      <c r="F1597" s="42" t="str">
        <f>IFERROR(__xludf.DUMMYFUNCTION("""COMPUTED_VALUE"""),"A")</f>
        <v>A</v>
      </c>
      <c r="G1597" s="42" t="str">
        <f>IFERROR(__xludf.DUMMYFUNCTION("""COMPUTED_VALUE"""),"Intermediate")</f>
        <v>Intermediate</v>
      </c>
      <c r="H1597" s="42" t="str">
        <f>IFERROR(__xludf.DUMMYFUNCTION("""COMPUTED_VALUE"""),"-")</f>
        <v>-</v>
      </c>
      <c r="I1597" s="43" t="str">
        <f>IFERROR(__xludf.DUMMYFUNCTION("""COMPUTED_VALUE"""),"Apply 1 of the following effects when you win the Battle as an Attacker: ● Damage your opponent's Spell Book. ● Send 1 of your opponent's in-play MAMODO to the Discard Pile.")</f>
        <v>Apply 1 of the following effects when you win the Battle as an Attacker: ● Damage your opponent's Spell Book. ● Send 1 of your opponent's in-play MAMODO to the Discard Pile.</v>
      </c>
      <c r="J1597" s="42" t="str">
        <f>IFERROR(__xludf.DUMMYFUNCTION("""COMPUTED_VALUE"""),"+6000")</f>
        <v>+6000</v>
      </c>
      <c r="K1597" s="42">
        <f>IFERROR(__xludf.DUMMYFUNCTION("""COMPUTED_VALUE"""),2.0)</f>
        <v>2</v>
      </c>
      <c r="L1597" s="42" t="str">
        <f>IFERROR(__xludf.DUMMYFUNCTION("""COMPUTED_VALUE"""),"-")</f>
        <v>-</v>
      </c>
      <c r="M1597" s="42" t="str">
        <f>IFERROR(__xludf.DUMMYFUNCTION("""COMPUTED_VALUE"""),"[U]")</f>
        <v>[U]</v>
      </c>
      <c r="N1597" s="42" t="str">
        <f>IFERROR(__xludf.DUMMYFUNCTION("""COMPUTED_VALUE"""),"Buzarai's 7th spell. A gigantic cluster of 12 spinning blades plows through opponents")</f>
        <v>Buzarai's 7th spell. A gigantic cluster of 12 spinning blades plows through opponents</v>
      </c>
      <c r="O1597" s="42"/>
      <c r="P1597" s="42"/>
      <c r="Q1597" s="42"/>
      <c r="R1597" s="42"/>
      <c r="S1597" s="42"/>
      <c r="T1597" s="42"/>
      <c r="U1597" s="42"/>
      <c r="V1597" s="42"/>
      <c r="W1597" s="42"/>
      <c r="X1597" s="42"/>
      <c r="Y1597" s="42"/>
      <c r="Z1597" s="42"/>
    </row>
    <row r="1598">
      <c r="A1598" s="42" t="str">
        <f>IFERROR(__xludf.DUMMYFUNCTION("""COMPUTED_VALUE"""),"S-468")</f>
        <v>S-468</v>
      </c>
      <c r="B1598" s="42" t="str">
        <f>IFERROR(__xludf.DUMMYFUNCTION("""COMPUTED_VALUE"""),"Spell")</f>
        <v>Spell</v>
      </c>
      <c r="C1598" s="42" t="str">
        <f>IFERROR(__xludf.DUMMYFUNCTION("""COMPUTED_VALUE"""),"Go Gazuruk")</f>
        <v>Go Gazuruk</v>
      </c>
      <c r="D1598" s="42" t="str">
        <f>IFERROR(__xludf.DUMMYFUNCTION("""COMPUTED_VALUE"""),"Buzarai")</f>
        <v>Buzarai</v>
      </c>
      <c r="E1598" s="42">
        <f>IFERROR(__xludf.DUMMYFUNCTION("""COMPUTED_VALUE"""),2.0)</f>
        <v>2</v>
      </c>
      <c r="F1598" s="42" t="str">
        <f>IFERROR(__xludf.DUMMYFUNCTION("""COMPUTED_VALUE"""),"A")</f>
        <v>A</v>
      </c>
      <c r="G1598" s="42" t="str">
        <f>IFERROR(__xludf.DUMMYFUNCTION("""COMPUTED_VALUE"""),"None")</f>
        <v>None</v>
      </c>
      <c r="H1598" s="42" t="str">
        <f>IFERROR(__xludf.DUMMYFUNCTION("""COMPUTED_VALUE"""),"-")</f>
        <v>-</v>
      </c>
      <c r="I1598" s="43" t="str">
        <f>IFERROR(__xludf.DUMMYFUNCTION("""COMPUTED_VALUE"""),"[STAY] Add the text below to your Buzarai MAMODO card until the END PHASE of your next turn: ● (Attack) [1 MP] This card may Attack without using a SPELL card (Total Power=7000, Damage=1). This effect can be applied up to twice per turn (per player).")</f>
        <v>[STAY] Add the text below to your Buzarai MAMODO card until the END PHASE of your next turn: ● (Attack) [1 MP] This card may Attack without using a SPELL card (Total Power=7000, Damage=1). This effect can be applied up to twice per turn (per player).</v>
      </c>
      <c r="J1598" s="42" t="str">
        <f>IFERROR(__xludf.DUMMYFUNCTION("""COMPUTED_VALUE"""),"Special")</f>
        <v>Special</v>
      </c>
      <c r="K1598" s="42" t="str">
        <f>IFERROR(__xludf.DUMMYFUNCTION("""COMPUTED_VALUE"""),"-")</f>
        <v>-</v>
      </c>
      <c r="L1598" s="42" t="str">
        <f>IFERROR(__xludf.DUMMYFUNCTION("""COMPUTED_VALUE"""),"-")</f>
        <v>-</v>
      </c>
      <c r="M1598" s="42" t="str">
        <f>IFERROR(__xludf.DUMMYFUNCTION("""COMPUTED_VALUE"""),"[C]")</f>
        <v>[C]</v>
      </c>
      <c r="N1598" s="42" t="str">
        <f>IFERROR(__xludf.DUMMYFUNCTION("""COMPUTED_VALUE"""),"Buzarai's 8th spell. It equips both of his arms with giant blades, enabling him to fight in close quarters.")</f>
        <v>Buzarai's 8th spell. It equips both of his arms with giant blades, enabling him to fight in close quarters.</v>
      </c>
      <c r="O1598" s="42"/>
      <c r="P1598" s="42"/>
      <c r="Q1598" s="42"/>
      <c r="R1598" s="42"/>
      <c r="S1598" s="42"/>
      <c r="T1598" s="42"/>
      <c r="U1598" s="42"/>
      <c r="V1598" s="42"/>
      <c r="W1598" s="42"/>
      <c r="X1598" s="42"/>
      <c r="Y1598" s="42"/>
      <c r="Z1598" s="42"/>
    </row>
    <row r="1599">
      <c r="A1599" s="42" t="str">
        <f>IFERROR(__xludf.DUMMYFUNCTION("""COMPUTED_VALUE"""),"S-469")</f>
        <v>S-469</v>
      </c>
      <c r="B1599" s="42" t="str">
        <f>IFERROR(__xludf.DUMMYFUNCTION("""COMPUTED_VALUE"""),"Spell")</f>
        <v>Spell</v>
      </c>
      <c r="C1599" s="42" t="str">
        <f>IFERROR(__xludf.DUMMYFUNCTION("""COMPUTED_VALUE"""),"Dioga Gazuron")</f>
        <v>Dioga Gazuron</v>
      </c>
      <c r="D1599" s="42" t="str">
        <f>IFERROR(__xludf.DUMMYFUNCTION("""COMPUTED_VALUE"""),"Buzarai")</f>
        <v>Buzarai</v>
      </c>
      <c r="E1599" s="42">
        <f>IFERROR(__xludf.DUMMYFUNCTION("""COMPUTED_VALUE"""),8.0)</f>
        <v>8</v>
      </c>
      <c r="F1599" s="42" t="str">
        <f>IFERROR(__xludf.DUMMYFUNCTION("""COMPUTED_VALUE"""),"AD")</f>
        <v>AD</v>
      </c>
      <c r="G1599" s="42" t="str">
        <f>IFERROR(__xludf.DUMMYFUNCTION("""COMPUTED_VALUE"""),"Superior")</f>
        <v>Superior</v>
      </c>
      <c r="H1599" s="42" t="str">
        <f>IFERROR(__xludf.DUMMYFUNCTION("""COMPUTED_VALUE"""),"-")</f>
        <v>-</v>
      </c>
      <c r="I1599" s="43" t="str">
        <f>IFERROR(__xludf.DUMMYFUNCTION("""COMPUTED_VALUE"""),"Apply both of the following effects in order when you win the Battle as an Attacker: ● Send 1 of your opponent's in-play MAMODO to the Discard Pile. ● Damage your opponent's Spell Book.")</f>
        <v>Apply both of the following effects in order when you win the Battle as an Attacker: ● Send 1 of your opponent's in-play MAMODO to the Discard Pile. ● Damage your opponent's Spell Book.</v>
      </c>
      <c r="J1599" s="42" t="str">
        <f>IFERROR(__xludf.DUMMYFUNCTION("""COMPUTED_VALUE"""),"+8000")</f>
        <v>+8000</v>
      </c>
      <c r="K1599" s="42">
        <f>IFERROR(__xludf.DUMMYFUNCTION("""COMPUTED_VALUE"""),5.0)</f>
        <v>5</v>
      </c>
      <c r="L1599" s="42" t="str">
        <f>IFERROR(__xludf.DUMMYFUNCTION("""COMPUTED_VALUE"""),"-")</f>
        <v>-</v>
      </c>
      <c r="M1599" s="42" t="str">
        <f>IFERROR(__xludf.DUMMYFUNCTION("""COMPUTED_VALUE"""),"[SR]")</f>
        <v>[SR]</v>
      </c>
      <c r="N1599" s="42" t="str">
        <f>IFERROR(__xludf.DUMMYFUNCTION("""COMPUTED_VALUE"""),"Buzarai's 9th spell. Its overwhelming force is so immense that a standard Bao Zakeruga would be completely powerless in its wake.")</f>
        <v>Buzarai's 9th spell. Its overwhelming force is so immense that a standard Bao Zakeruga would be completely powerless in its wake.</v>
      </c>
      <c r="O1599" s="42"/>
      <c r="P1599" s="42"/>
      <c r="Q1599" s="42"/>
      <c r="R1599" s="42"/>
      <c r="S1599" s="42"/>
      <c r="T1599" s="42"/>
      <c r="U1599" s="42"/>
      <c r="V1599" s="42"/>
      <c r="W1599" s="42"/>
      <c r="X1599" s="42"/>
      <c r="Y1599" s="42"/>
      <c r="Z1599" s="42"/>
    </row>
    <row r="1600">
      <c r="A1600" s="42" t="str">
        <f>IFERROR(__xludf.DUMMYFUNCTION("""COMPUTED_VALUE"""),"S-470")</f>
        <v>S-470</v>
      </c>
      <c r="B1600" s="42" t="str">
        <f>IFERROR(__xludf.DUMMYFUNCTION("""COMPUTED_VALUE"""),"Spell")</f>
        <v>Spell</v>
      </c>
      <c r="C1600" s="42" t="str">
        <f>IFERROR(__xludf.DUMMYFUNCTION("""COMPUTED_VALUE"""),"Ganzu Ginis")</f>
        <v>Ganzu Ginis</v>
      </c>
      <c r="D1600" s="42" t="str">
        <f>IFERROR(__xludf.DUMMYFUNCTION("""COMPUTED_VALUE"""),"Keith")</f>
        <v>Keith</v>
      </c>
      <c r="E1600" s="42">
        <f>IFERROR(__xludf.DUMMYFUNCTION("""COMPUTED_VALUE"""),2.0)</f>
        <v>2</v>
      </c>
      <c r="F1600" s="42" t="str">
        <f>IFERROR(__xludf.DUMMYFUNCTION("""COMPUTED_VALUE"""),"AD")</f>
        <v>AD</v>
      </c>
      <c r="G1600" s="42" t="str">
        <f>IFERROR(__xludf.DUMMYFUNCTION("""COMPUTED_VALUE"""),"None")</f>
        <v>None</v>
      </c>
      <c r="H1600" s="42" t="str">
        <f>IFERROR(__xludf.DUMMYFUNCTION("""COMPUTED_VALUE"""),"-")</f>
        <v>-</v>
      </c>
      <c r="I1600" s="43" t="str">
        <f>IFERROR(__xludf.DUMMYFUNCTION("""COMPUTED_VALUE"""),"Flip a coin 2 times when you win the Battle as an Attacker: ● 2 heads: Send up to 2 of your opponent's in-play cards (except MAMODO cards) to the Discard Pile. ● 1 heads: Send 1 of your opponent's in-play cards (except MAMODO cards) to the Discard Pile. T"&amp;"hen, Damage your oppponent's Spell Book. ● 0 heads: Damage your opponent's Spell Book twice.")</f>
        <v>Flip a coin 2 times when you win the Battle as an Attacker: ● 2 heads: Send up to 2 of your opponent's in-play cards (except MAMODO cards) to the Discard Pile. ● 1 heads: Send 1 of your opponent's in-play cards (except MAMODO cards) to the Discard Pile. Then, Damage your oppponent's Spell Book. ● 0 heads: Damage your opponent's Spell Book twice.</v>
      </c>
      <c r="J1600" s="42" t="str">
        <f>IFERROR(__xludf.DUMMYFUNCTION("""COMPUTED_VALUE"""),"+2000")</f>
        <v>+2000</v>
      </c>
      <c r="K1600" s="42">
        <f>IFERROR(__xludf.DUMMYFUNCTION("""COMPUTED_VALUE"""),1.0)</f>
        <v>1</v>
      </c>
      <c r="L1600" s="42" t="str">
        <f>IFERROR(__xludf.DUMMYFUNCTION("""COMPUTED_VALUE"""),"-")</f>
        <v>-</v>
      </c>
      <c r="M1600" s="42" t="str">
        <f>IFERROR(__xludf.DUMMYFUNCTION("""COMPUTED_VALUE"""),"[C]")</f>
        <v>[C]</v>
      </c>
      <c r="N1600" s="42" t="str">
        <f>IFERROR(__xludf.DUMMYFUNCTION("""COMPUTED_VALUE"""),"Keith's 1st spell. ""Ha ha ha ha, he's all alone again!""")</f>
        <v>Keith's 1st spell. "Ha ha ha ha, he's all alone again!"</v>
      </c>
      <c r="O1600" s="42"/>
      <c r="P1600" s="42"/>
      <c r="Q1600" s="42"/>
      <c r="R1600" s="42"/>
      <c r="S1600" s="42"/>
      <c r="T1600" s="42"/>
      <c r="U1600" s="42"/>
      <c r="V1600" s="42"/>
      <c r="W1600" s="42"/>
      <c r="X1600" s="42"/>
      <c r="Y1600" s="42"/>
      <c r="Z1600" s="42"/>
    </row>
    <row r="1601">
      <c r="A1601" s="42" t="str">
        <f>IFERROR(__xludf.DUMMYFUNCTION("""COMPUTED_VALUE"""),"S-471")</f>
        <v>S-471</v>
      </c>
      <c r="B1601" s="42" t="str">
        <f>IFERROR(__xludf.DUMMYFUNCTION("""COMPUTED_VALUE"""),"Spell")</f>
        <v>Spell</v>
      </c>
      <c r="C1601" s="42" t="str">
        <f>IFERROR(__xludf.DUMMYFUNCTION("""COMPUTED_VALUE"""),"Gigano Ginis")</f>
        <v>Gigano Ginis</v>
      </c>
      <c r="D1601" s="42" t="str">
        <f>IFERROR(__xludf.DUMMYFUNCTION("""COMPUTED_VALUE"""),"Keith")</f>
        <v>Keith</v>
      </c>
      <c r="E1601" s="42">
        <f>IFERROR(__xludf.DUMMYFUNCTION("""COMPUTED_VALUE"""),4.0)</f>
        <v>4</v>
      </c>
      <c r="F1601" s="42" t="str">
        <f>IFERROR(__xludf.DUMMYFUNCTION("""COMPUTED_VALUE"""),"A")</f>
        <v>A</v>
      </c>
      <c r="G1601" s="42" t="str">
        <f>IFERROR(__xludf.DUMMYFUNCTION("""COMPUTED_VALUE"""),"Intermediate")</f>
        <v>Intermediate</v>
      </c>
      <c r="H1601" s="42" t="str">
        <f>IFERROR(__xludf.DUMMYFUNCTION("""COMPUTED_VALUE"""),"-")</f>
        <v>-</v>
      </c>
      <c r="I1601" s="43" t="str">
        <f>IFERROR(__xludf.DUMMYFUNCTION("""COMPUTED_VALUE"""),"Injure 1 of your opponent's MAMODO cards twice when you win the Battle as an Attacker.")</f>
        <v>Injure 1 of your opponent's MAMODO cards twice when you win the Battle as an Attacker.</v>
      </c>
      <c r="J1601" s="42" t="str">
        <f>IFERROR(__xludf.DUMMYFUNCTION("""COMPUTED_VALUE"""),"+4000")</f>
        <v>+4000</v>
      </c>
      <c r="K1601" s="42" t="str">
        <f>IFERROR(__xludf.DUMMYFUNCTION("""COMPUTED_VALUE"""),"-")</f>
        <v>-</v>
      </c>
      <c r="L1601" s="42" t="str">
        <f>IFERROR(__xludf.DUMMYFUNCTION("""COMPUTED_VALUE"""),"-")</f>
        <v>-</v>
      </c>
      <c r="M1601" s="42" t="str">
        <f>IFERROR(__xludf.DUMMYFUNCTION("""COMPUTED_VALUE"""),"[U]")</f>
        <v>[U]</v>
      </c>
      <c r="N1601" s="42" t="str">
        <f>IFERROR(__xludf.DUMMYFUNCTION("""COMPUTED_VALUE"""),"Keith's 2nd spell. ""Well then, I'll just have to aim at the original body!""")</f>
        <v>Keith's 2nd spell. "Well then, I'll just have to aim at the original body!"</v>
      </c>
      <c r="O1601" s="42"/>
      <c r="P1601" s="42"/>
      <c r="Q1601" s="42"/>
      <c r="R1601" s="42"/>
      <c r="S1601" s="42"/>
      <c r="T1601" s="42"/>
      <c r="U1601" s="42"/>
      <c r="V1601" s="42"/>
      <c r="W1601" s="42"/>
      <c r="X1601" s="42"/>
      <c r="Y1601" s="42"/>
      <c r="Z1601" s="42"/>
    </row>
    <row r="1602">
      <c r="A1602" s="42" t="str">
        <f>IFERROR(__xludf.DUMMYFUNCTION("""COMPUTED_VALUE"""),"S-472")</f>
        <v>S-472</v>
      </c>
      <c r="B1602" s="42" t="str">
        <f>IFERROR(__xludf.DUMMYFUNCTION("""COMPUTED_VALUE"""),"Spell")</f>
        <v>Spell</v>
      </c>
      <c r="C1602" s="42" t="str">
        <f>IFERROR(__xludf.DUMMYFUNCTION("""COMPUTED_VALUE"""),"Am Garaginis")</f>
        <v>Am Garaginis</v>
      </c>
      <c r="D1602" s="42" t="str">
        <f>IFERROR(__xludf.DUMMYFUNCTION("""COMPUTED_VALUE"""),"Keith")</f>
        <v>Keith</v>
      </c>
      <c r="E1602" s="42">
        <f>IFERROR(__xludf.DUMMYFUNCTION("""COMPUTED_VALUE"""),1.0)</f>
        <v>1</v>
      </c>
      <c r="F1602" s="42" t="str">
        <f>IFERROR(__xludf.DUMMYFUNCTION("""COMPUTED_VALUE"""),"A")</f>
        <v>A</v>
      </c>
      <c r="G1602" s="42" t="str">
        <f>IFERROR(__xludf.DUMMYFUNCTION("""COMPUTED_VALUE"""),"None")</f>
        <v>None</v>
      </c>
      <c r="H1602" s="42" t="str">
        <f>IFERROR(__xludf.DUMMYFUNCTION("""COMPUTED_VALUE"""),"-")</f>
        <v>-</v>
      </c>
      <c r="I1602" s="43" t="str">
        <f>IFERROR(__xludf.DUMMYFUNCTION("""COMPUTED_VALUE"""),"[STAY] Add 4000 Power and 2 Damage to your Bravo SPELL cards during this turn.")</f>
        <v>[STAY] Add 4000 Power and 2 Damage to your Bravo SPELL cards during this turn.</v>
      </c>
      <c r="J1602" s="42" t="str">
        <f>IFERROR(__xludf.DUMMYFUNCTION("""COMPUTED_VALUE"""),"Special")</f>
        <v>Special</v>
      </c>
      <c r="K1602" s="42" t="str">
        <f>IFERROR(__xludf.DUMMYFUNCTION("""COMPUTED_VALUE"""),"-")</f>
        <v>-</v>
      </c>
      <c r="L1602" s="42" t="str">
        <f>IFERROR(__xludf.DUMMYFUNCTION("""COMPUTED_VALUE"""),"-")</f>
        <v>-</v>
      </c>
      <c r="M1602" s="42" t="str">
        <f>IFERROR(__xludf.DUMMYFUNCTION("""COMPUTED_VALUE"""),"[C]")</f>
        <v>[C]</v>
      </c>
      <c r="N1602" s="42" t="str">
        <f>IFERROR(__xludf.DUMMYFUNCTION("""COMPUTED_VALUE"""),"Keith's 3rd spell. It energizes his arms to amplify their spring-loaded power.")</f>
        <v>Keith's 3rd spell. It energizes his arms to amplify their spring-loaded power.</v>
      </c>
      <c r="O1602" s="42"/>
      <c r="P1602" s="42"/>
      <c r="Q1602" s="42"/>
      <c r="R1602" s="42"/>
      <c r="S1602" s="42"/>
      <c r="T1602" s="42"/>
      <c r="U1602" s="42"/>
      <c r="V1602" s="42"/>
      <c r="W1602" s="42"/>
      <c r="X1602" s="42"/>
      <c r="Y1602" s="42"/>
      <c r="Z1602" s="42"/>
    </row>
    <row r="1603">
      <c r="A1603" s="42" t="str">
        <f>IFERROR(__xludf.DUMMYFUNCTION("""COMPUTED_VALUE"""),"S-473")</f>
        <v>S-473</v>
      </c>
      <c r="B1603" s="42" t="str">
        <f>IFERROR(__xludf.DUMMYFUNCTION("""COMPUTED_VALUE"""),"Spell")</f>
        <v>Spell</v>
      </c>
      <c r="C1603" s="42" t="str">
        <f>IFERROR(__xludf.DUMMYFUNCTION("""COMPUTED_VALUE"""),"Go Garaginis")</f>
        <v>Go Garaginis</v>
      </c>
      <c r="D1603" s="42" t="str">
        <f>IFERROR(__xludf.DUMMYFUNCTION("""COMPUTED_VALUE"""),"Keith")</f>
        <v>Keith</v>
      </c>
      <c r="E1603" s="42">
        <f>IFERROR(__xludf.DUMMYFUNCTION("""COMPUTED_VALUE"""),3.0)</f>
        <v>3</v>
      </c>
      <c r="F1603" s="42" t="str">
        <f>IFERROR(__xludf.DUMMYFUNCTION("""COMPUTED_VALUE"""),"AD")</f>
        <v>AD</v>
      </c>
      <c r="G1603" s="42" t="str">
        <f>IFERROR(__xludf.DUMMYFUNCTION("""COMPUTED_VALUE"""),"Intermediate")</f>
        <v>Intermediate</v>
      </c>
      <c r="H1603" s="42" t="str">
        <f>IFERROR(__xludf.DUMMYFUNCTION("""COMPUTED_VALUE"""),"-")</f>
        <v>-</v>
      </c>
      <c r="I1603" s="43" t="str">
        <f>IFERROR(__xludf.DUMMYFUNCTION("""COMPUTED_VALUE"""),"Damage your opponent's Spell Book when you win the Battle as an Attacker. Look at the currently open pages your opponent's Spell Book. If there are no MAMODO or SPELL cards in the pages, increase the Damage of this SPELL card by 2.")</f>
        <v>Damage your opponent's Spell Book when you win the Battle as an Attacker. Look at the currently open pages your opponent's Spell Book. If there are no MAMODO or SPELL cards in the pages, increase the Damage of this SPELL card by 2.</v>
      </c>
      <c r="J1603" s="42" t="str">
        <f>IFERROR(__xludf.DUMMYFUNCTION("""COMPUTED_VALUE"""),"+4000")</f>
        <v>+4000</v>
      </c>
      <c r="K1603" s="42">
        <f>IFERROR(__xludf.DUMMYFUNCTION("""COMPUTED_VALUE"""),2.0)</f>
        <v>2</v>
      </c>
      <c r="L1603" s="42" t="str">
        <f>IFERROR(__xludf.DUMMYFUNCTION("""COMPUTED_VALUE"""),"-")</f>
        <v>-</v>
      </c>
      <c r="M1603" s="42" t="str">
        <f>IFERROR(__xludf.DUMMYFUNCTION("""COMPUTED_VALUE"""),"[U]")</f>
        <v>[U]</v>
      </c>
      <c r="N1603" s="42" t="str">
        <f>IFERROR(__xludf.DUMMYFUNCTION("""COMPUTED_VALUE"""),"Keith's 4th spell. His body spins like a top as he thrusts himself toward his enemies.")</f>
        <v>Keith's 4th spell. His body spins like a top as he thrusts himself toward his enemies.</v>
      </c>
      <c r="O1603" s="42"/>
      <c r="P1603" s="42"/>
      <c r="Q1603" s="42"/>
      <c r="R1603" s="42"/>
      <c r="S1603" s="42"/>
      <c r="T1603" s="42"/>
      <c r="U1603" s="42"/>
      <c r="V1603" s="42"/>
      <c r="W1603" s="42"/>
      <c r="X1603" s="42"/>
      <c r="Y1603" s="42"/>
      <c r="Z1603" s="42"/>
    </row>
    <row r="1604">
      <c r="A1604" s="42" t="str">
        <f>IFERROR(__xludf.DUMMYFUNCTION("""COMPUTED_VALUE"""),"S-474")</f>
        <v>S-474</v>
      </c>
      <c r="B1604" s="42" t="str">
        <f>IFERROR(__xludf.DUMMYFUNCTION("""COMPUTED_VALUE"""),"Spell")</f>
        <v>Spell</v>
      </c>
      <c r="C1604" s="42" t="str">
        <f>IFERROR(__xludf.DUMMYFUNCTION("""COMPUTED_VALUE"""),"Limbo")</f>
        <v>Limbo</v>
      </c>
      <c r="D1604" s="42" t="str">
        <f>IFERROR(__xludf.DUMMYFUNCTION("""COMPUTED_VALUE"""),"Keith")</f>
        <v>Keith</v>
      </c>
      <c r="E1604" s="42">
        <f>IFERROR(__xludf.DUMMYFUNCTION("""COMPUTED_VALUE"""),0.0)</f>
        <v>0</v>
      </c>
      <c r="F1604" s="42" t="str">
        <f>IFERROR(__xludf.DUMMYFUNCTION("""COMPUTED_VALUE"""),"D")</f>
        <v>D</v>
      </c>
      <c r="G1604" s="42" t="str">
        <f>IFERROR(__xludf.DUMMYFUNCTION("""COMPUTED_VALUE"""),"None")</f>
        <v>None</v>
      </c>
      <c r="H1604" s="42" t="str">
        <f>IFERROR(__xludf.DUMMYFUNCTION("""COMPUTED_VALUE"""),"-")</f>
        <v>-</v>
      </c>
      <c r="I1604" s="43" t="str">
        <f>IFERROR(__xludf.DUMMYFUNCTION("""COMPUTED_VALUE"""),"If your opponent's Attack would inflict 2 Damage or less, negate their Attack regardless of Power.")</f>
        <v>If your opponent's Attack would inflict 2 Damage or less, negate their Attack regardless of Power.</v>
      </c>
      <c r="J1604" s="42" t="str">
        <f>IFERROR(__xludf.DUMMYFUNCTION("""COMPUTED_VALUE"""),"Special")</f>
        <v>Special</v>
      </c>
      <c r="K1604" s="42" t="str">
        <f>IFERROR(__xludf.DUMMYFUNCTION("""COMPUTED_VALUE"""),"-")</f>
        <v>-</v>
      </c>
      <c r="L1604" s="42" t="str">
        <f>IFERROR(__xludf.DUMMYFUNCTION("""COMPUTED_VALUE"""),"-")</f>
        <v>-</v>
      </c>
      <c r="M1604" s="42" t="str">
        <f>IFERROR(__xludf.DUMMYFUNCTION("""COMPUTED_VALUE"""),"[R]")</f>
        <v>[R]</v>
      </c>
      <c r="N1604" s="42" t="str">
        <f>IFERROR(__xludf.DUMMYFUNCTION("""COMPUTED_VALUE"""),"Command:Keith Keith dodges speeding projectiles by leaning back and doing the limbo.")</f>
        <v>Command:Keith Keith dodges speeding projectiles by leaning back and doing the limbo.</v>
      </c>
      <c r="O1604" s="42"/>
      <c r="P1604" s="42"/>
      <c r="Q1604" s="42"/>
      <c r="R1604" s="42"/>
      <c r="S1604" s="42"/>
      <c r="T1604" s="42"/>
      <c r="U1604" s="42"/>
      <c r="V1604" s="42"/>
      <c r="W1604" s="42"/>
      <c r="X1604" s="42"/>
      <c r="Y1604" s="42"/>
      <c r="Z1604" s="42"/>
    </row>
    <row r="1605">
      <c r="A1605" s="42" t="str">
        <f>IFERROR(__xludf.DUMMYFUNCTION("""COMPUTED_VALUE"""),"S-475")</f>
        <v>S-475</v>
      </c>
      <c r="B1605" s="42" t="str">
        <f>IFERROR(__xludf.DUMMYFUNCTION("""COMPUTED_VALUE"""),"Spell")</f>
        <v>Spell</v>
      </c>
      <c r="C1605" s="42" t="str">
        <f>IFERROR(__xludf.DUMMYFUNCTION("""COMPUTED_VALUE"""),"Bravo")</f>
        <v>Bravo</v>
      </c>
      <c r="D1605" s="42" t="str">
        <f>IFERROR(__xludf.DUMMYFUNCTION("""COMPUTED_VALUE"""),"Keith")</f>
        <v>Keith</v>
      </c>
      <c r="E1605" s="42">
        <f>IFERROR(__xludf.DUMMYFUNCTION("""COMPUTED_VALUE"""),0.0)</f>
        <v>0</v>
      </c>
      <c r="F1605" s="42" t="str">
        <f>IFERROR(__xludf.DUMMYFUNCTION("""COMPUTED_VALUE"""),"A")</f>
        <v>A</v>
      </c>
      <c r="G1605" s="42" t="str">
        <f>IFERROR(__xludf.DUMMYFUNCTION("""COMPUTED_VALUE"""),"None")</f>
        <v>None</v>
      </c>
      <c r="H1605" s="42" t="str">
        <f>IFERROR(__xludf.DUMMYFUNCTION("""COMPUTED_VALUE"""),"-")</f>
        <v>-</v>
      </c>
      <c r="I1605" s="43" t="str">
        <f>IFERROR(__xludf.DUMMYFUNCTION("""COMPUTED_VALUE"""),"[STANDBY] When you inflict Damage or Injury using a SPELL card with Keith as its MAMODO name during the next Battle this turn, turn 1 page of your opponent's Spell Book.")</f>
        <v>[STANDBY] When you inflict Damage or Injury using a SPELL card with Keith as its MAMODO name during the next Battle this turn, turn 1 page of your opponent's Spell Book.</v>
      </c>
      <c r="J1605" s="42" t="str">
        <f>IFERROR(__xludf.DUMMYFUNCTION("""COMPUTED_VALUE"""),"Special")</f>
        <v>Special</v>
      </c>
      <c r="K1605" s="42" t="str">
        <f>IFERROR(__xludf.DUMMYFUNCTION("""COMPUTED_VALUE"""),"-")</f>
        <v>-</v>
      </c>
      <c r="L1605" s="42" t="str">
        <f>IFERROR(__xludf.DUMMYFUNCTION("""COMPUTED_VALUE"""),"-")</f>
        <v>-</v>
      </c>
      <c r="M1605" s="42" t="str">
        <f>IFERROR(__xludf.DUMMYFUNCTION("""COMPUTED_VALUE"""),"[R]")</f>
        <v>[R]</v>
      </c>
      <c r="N1605" s="42" t="str">
        <f>IFERROR(__xludf.DUMMYFUNCTION("""COMPUTED_VALUE"""),"Command:Keith With outstretched arms, Keith prepares to execute a surprise attack.")</f>
        <v>Command:Keith With outstretched arms, Keith prepares to execute a surprise attack.</v>
      </c>
      <c r="O1605" s="42"/>
      <c r="P1605" s="42"/>
      <c r="Q1605" s="42"/>
      <c r="R1605" s="42"/>
      <c r="S1605" s="42"/>
      <c r="T1605" s="42"/>
      <c r="U1605" s="42"/>
      <c r="V1605" s="42"/>
      <c r="W1605" s="42"/>
      <c r="X1605" s="42"/>
      <c r="Y1605" s="42"/>
      <c r="Z1605" s="42"/>
    </row>
    <row r="1606">
      <c r="A1606" s="42" t="str">
        <f>IFERROR(__xludf.DUMMYFUNCTION("""COMPUTED_VALUE"""),"S-475")</f>
        <v>S-475</v>
      </c>
      <c r="B1606" s="42" t="str">
        <f>IFERROR(__xludf.DUMMYFUNCTION("""COMPUTED_VALUE"""),"Spell")</f>
        <v>Spell</v>
      </c>
      <c r="C1606" s="42" t="str">
        <f>IFERROR(__xludf.DUMMYFUNCTION("""COMPUTED_VALUE"""),"Bravo")</f>
        <v>Bravo</v>
      </c>
      <c r="D1606" s="42" t="str">
        <f>IFERROR(__xludf.DUMMYFUNCTION("""COMPUTED_VALUE"""),"Keith")</f>
        <v>Keith</v>
      </c>
      <c r="E1606" s="42">
        <f>IFERROR(__xludf.DUMMYFUNCTION("""COMPUTED_VALUE"""),0.0)</f>
        <v>0</v>
      </c>
      <c r="F1606" s="42" t="str">
        <f>IFERROR(__xludf.DUMMYFUNCTION("""COMPUTED_VALUE"""),"A")</f>
        <v>A</v>
      </c>
      <c r="G1606" s="42" t="str">
        <f>IFERROR(__xludf.DUMMYFUNCTION("""COMPUTED_VALUE"""),"None")</f>
        <v>None</v>
      </c>
      <c r="H1606" s="42" t="str">
        <f>IFERROR(__xludf.DUMMYFUNCTION("""COMPUTED_VALUE"""),"-")</f>
        <v>-</v>
      </c>
      <c r="I1606" s="43" t="str">
        <f>IFERROR(__xludf.DUMMYFUNCTION("""COMPUTED_VALUE"""),"Apply 1 of the following effects when you win the Battle as an Attacker: ● Damage your opponent's Spell Book. ● Send 1 of your opponent's in-play cards (except MAMODO) to the Discard Pile.")</f>
        <v>Apply 1 of the following effects when you win the Battle as an Attacker: ● Damage your opponent's Spell Book. ● Send 1 of your opponent's in-play cards (except MAMODO) to the Discard Pile.</v>
      </c>
      <c r="J1606" s="42" t="str">
        <f>IFERROR(__xludf.DUMMYFUNCTION("""COMPUTED_VALUE"""),"+2000")</f>
        <v>+2000</v>
      </c>
      <c r="K1606" s="42">
        <f>IFERROR(__xludf.DUMMYFUNCTION("""COMPUTED_VALUE"""),1.0)</f>
        <v>1</v>
      </c>
      <c r="L1606" s="42" t="str">
        <f>IFERROR(__xludf.DUMMYFUNCTION("""COMPUTED_VALUE"""),"-")</f>
        <v>-</v>
      </c>
      <c r="M1606" s="42" t="str">
        <f>IFERROR(__xludf.DUMMYFUNCTION("""COMPUTED_VALUE"""),"[R]")</f>
        <v>[R]</v>
      </c>
      <c r="N1606" s="42" t="str">
        <f>IFERROR(__xludf.DUMMYFUNCTION("""COMPUTED_VALUE"""),"Command:Keith With outstretched arms, Keith prepares to execute a surprise attack.")</f>
        <v>Command:Keith With outstretched arms, Keith prepares to execute a surprise attack.</v>
      </c>
      <c r="O1606" s="42"/>
      <c r="P1606" s="42"/>
      <c r="Q1606" s="42"/>
      <c r="R1606" s="42"/>
      <c r="S1606" s="42"/>
      <c r="T1606" s="42"/>
      <c r="U1606" s="42"/>
      <c r="V1606" s="42"/>
      <c r="W1606" s="42"/>
      <c r="X1606" s="42"/>
      <c r="Y1606" s="42"/>
      <c r="Z1606" s="42"/>
    </row>
    <row r="1607">
      <c r="A1607" s="42" t="str">
        <f>IFERROR(__xludf.DUMMYFUNCTION("""COMPUTED_VALUE"""),"S-476")</f>
        <v>S-476</v>
      </c>
      <c r="B1607" s="42" t="str">
        <f>IFERROR(__xludf.DUMMYFUNCTION("""COMPUTED_VALUE"""),"Spell")</f>
        <v>Spell</v>
      </c>
      <c r="C1607" s="42" t="str">
        <f>IFERROR(__xludf.DUMMYFUNCTION("""COMPUTED_VALUE"""),"Action!")</f>
        <v>Action!</v>
      </c>
      <c r="D1607" s="42" t="str">
        <f>IFERROR(__xludf.DUMMYFUNCTION("""COMPUTED_VALUE"""),"Keith")</f>
        <v>Keith</v>
      </c>
      <c r="E1607" s="42">
        <f>IFERROR(__xludf.DUMMYFUNCTION("""COMPUTED_VALUE"""),0.0)</f>
        <v>0</v>
      </c>
      <c r="F1607" s="42" t="str">
        <f>IFERROR(__xludf.DUMMYFUNCTION("""COMPUTED_VALUE"""),"A")</f>
        <v>A</v>
      </c>
      <c r="G1607" s="42" t="str">
        <f>IFERROR(__xludf.DUMMYFUNCTION("""COMPUTED_VALUE"""),"None")</f>
        <v>None</v>
      </c>
      <c r="H1607" s="42" t="str">
        <f>IFERROR(__xludf.DUMMYFUNCTION("""COMPUTED_VALUE"""),"-")</f>
        <v>-</v>
      </c>
      <c r="I1607" s="43" t="str">
        <f>IFERROR(__xludf.DUMMYFUNCTION("""COMPUTED_VALUE"""),"This SPELL card can be played only if you played a Bravo SPELL card during this turn. Select 1 of your opponent's in-play cards (except MAMODO cards) and send it to the Discard Pile.")</f>
        <v>This SPELL card can be played only if you played a Bravo SPELL card during this turn. Select 1 of your opponent's in-play cards (except MAMODO cards) and send it to the Discard Pile.</v>
      </c>
      <c r="J1607" s="42" t="str">
        <f>IFERROR(__xludf.DUMMYFUNCTION("""COMPUTED_VALUE"""),"Special")</f>
        <v>Special</v>
      </c>
      <c r="K1607" s="42" t="str">
        <f>IFERROR(__xludf.DUMMYFUNCTION("""COMPUTED_VALUE"""),"-")</f>
        <v>-</v>
      </c>
      <c r="L1607" s="42" t="str">
        <f>IFERROR(__xludf.DUMMYFUNCTION("""COMPUTED_VALUE"""),"-")</f>
        <v>-</v>
      </c>
      <c r="M1607" s="42" t="str">
        <f>IFERROR(__xludf.DUMMYFUNCTION("""COMPUTED_VALUE"""),"[C]")</f>
        <v>[C]</v>
      </c>
      <c r="N1607" s="42" t="str">
        <f>IFERROR(__xludf.DUMMYFUNCTION("""COMPUTED_VALUE"""),"Command:Keith By reeling back with his spring-like arms, Keith launches himself at the opponent like a slingshot.")</f>
        <v>Command:Keith By reeling back with his spring-like arms, Keith launches himself at the opponent like a slingshot.</v>
      </c>
      <c r="O1607" s="42"/>
      <c r="P1607" s="42"/>
      <c r="Q1607" s="42"/>
      <c r="R1607" s="42"/>
      <c r="S1607" s="42"/>
      <c r="T1607" s="42"/>
      <c r="U1607" s="42"/>
      <c r="V1607" s="42"/>
      <c r="W1607" s="42"/>
      <c r="X1607" s="42"/>
      <c r="Y1607" s="42"/>
      <c r="Z1607" s="42"/>
    </row>
    <row r="1608">
      <c r="A1608" s="42" t="str">
        <f>IFERROR(__xludf.DUMMYFUNCTION("""COMPUTED_VALUE"""),"S-477")</f>
        <v>S-477</v>
      </c>
      <c r="B1608" s="42" t="str">
        <f>IFERROR(__xludf.DUMMYFUNCTION("""COMPUTED_VALUE"""),"Spell")</f>
        <v>Spell</v>
      </c>
      <c r="C1608" s="42" t="str">
        <f>IFERROR(__xludf.DUMMYFUNCTION("""COMPUTED_VALUE"""),"Go Kofar")</f>
        <v>Go Kofar</v>
      </c>
      <c r="D1608" s="42" t="str">
        <f>IFERROR(__xludf.DUMMYFUNCTION("""COMPUTED_VALUE"""),"Cherish")</f>
        <v>Cherish</v>
      </c>
      <c r="E1608" s="42">
        <f>IFERROR(__xludf.DUMMYFUNCTION("""COMPUTED_VALUE"""),2.0)</f>
        <v>2</v>
      </c>
      <c r="F1608" s="42" t="str">
        <f>IFERROR(__xludf.DUMMYFUNCTION("""COMPUTED_VALUE"""),"AD")</f>
        <v>AD</v>
      </c>
      <c r="G1608" s="42" t="str">
        <f>IFERROR(__xludf.DUMMYFUNCTION("""COMPUTED_VALUE"""),"None")</f>
        <v>None</v>
      </c>
      <c r="H1608" s="42" t="str">
        <f>IFERROR(__xludf.DUMMYFUNCTION("""COMPUTED_VALUE"""),"-")</f>
        <v>-</v>
      </c>
      <c r="I1608" s="43" t="str">
        <f>IFERROR(__xludf.DUMMYFUNCTION("""COMPUTED_VALUE"""),"Damage your opponent's Spell Book when you win the Battle as an Attacker.")</f>
        <v>Damage your opponent's Spell Book when you win the Battle as an Attacker.</v>
      </c>
      <c r="J1608" s="42" t="str">
        <f>IFERROR(__xludf.DUMMYFUNCTION("""COMPUTED_VALUE"""),"+6000")</f>
        <v>+6000</v>
      </c>
      <c r="K1608" s="42">
        <f>IFERROR(__xludf.DUMMYFUNCTION("""COMPUTED_VALUE"""),2.0)</f>
        <v>2</v>
      </c>
      <c r="L1608" s="42" t="str">
        <f>IFERROR(__xludf.DUMMYFUNCTION("""COMPUTED_VALUE"""),"-")</f>
        <v>-</v>
      </c>
      <c r="M1608" s="42" t="str">
        <f>IFERROR(__xludf.DUMMYFUNCTION("""COMPUTED_VALUE"""),"[U]")</f>
        <v>[U]</v>
      </c>
      <c r="N1608" s="42" t="str">
        <f>IFERROR(__xludf.DUMMYFUNCTION("""COMPUTED_VALUE"""),"Cherish's 1st spell. Fires a large crystalline mineral at her adversaries.")</f>
        <v>Cherish's 1st spell. Fires a large crystalline mineral at her adversaries.</v>
      </c>
      <c r="O1608" s="42"/>
      <c r="P1608" s="42"/>
      <c r="Q1608" s="42"/>
      <c r="R1608" s="42"/>
      <c r="S1608" s="42"/>
      <c r="T1608" s="42"/>
      <c r="U1608" s="42"/>
      <c r="V1608" s="42"/>
      <c r="W1608" s="42"/>
      <c r="X1608" s="42"/>
      <c r="Y1608" s="42"/>
      <c r="Z1608" s="42"/>
    </row>
    <row r="1609">
      <c r="A1609" s="42" t="str">
        <f>IFERROR(__xludf.DUMMYFUNCTION("""COMPUTED_VALUE"""),"S-478")</f>
        <v>S-478</v>
      </c>
      <c r="B1609" s="42" t="str">
        <f>IFERROR(__xludf.DUMMYFUNCTION("""COMPUTED_VALUE"""),"Spell")</f>
        <v>Spell</v>
      </c>
      <c r="C1609" s="42" t="str">
        <f>IFERROR(__xludf.DUMMYFUNCTION("""COMPUTED_VALUE"""),"Gare Kofar")</f>
        <v>Gare Kofar</v>
      </c>
      <c r="D1609" s="42" t="str">
        <f>IFERROR(__xludf.DUMMYFUNCTION("""COMPUTED_VALUE"""),"Cherish")</f>
        <v>Cherish</v>
      </c>
      <c r="E1609" s="42">
        <f>IFERROR(__xludf.DUMMYFUNCTION("""COMPUTED_VALUE"""),1.0)</f>
        <v>1</v>
      </c>
      <c r="F1609" s="42" t="str">
        <f>IFERROR(__xludf.DUMMYFUNCTION("""COMPUTED_VALUE"""),"A")</f>
        <v>A</v>
      </c>
      <c r="G1609" s="42" t="str">
        <f>IFERROR(__xludf.DUMMYFUNCTION("""COMPUTED_VALUE"""),"None")</f>
        <v>None</v>
      </c>
      <c r="H1609" s="42" t="str">
        <f>IFERROR(__xludf.DUMMYFUNCTION("""COMPUTED_VALUE"""),"-")</f>
        <v>-</v>
      </c>
      <c r="I1609" s="43" t="str">
        <f>IFERROR(__xludf.DUMMYFUNCTION("""COMPUTED_VALUE"""),"Damage your opponent's Spell Book when you win the Battle as an Attacker. When you lose the Battle, flip a coin; if it's heads, this SPELL card can be played once more during this BATTLE PHASE (this effect can be repeated as many times as you desire until"&amp;" you win the Battle or get tails).")</f>
        <v>Damage your opponent's Spell Book when you win the Battle as an Attacker. When you lose the Battle, flip a coin; if it's heads, this SPELL card can be played once more during this BATTLE PHASE (this effect can be repeated as many times as you desire until you win the Battle or get tails).</v>
      </c>
      <c r="J1609" s="42" t="str">
        <f>IFERROR(__xludf.DUMMYFUNCTION("""COMPUTED_VALUE"""),"+2000")</f>
        <v>+2000</v>
      </c>
      <c r="K1609" s="42">
        <f>IFERROR(__xludf.DUMMYFUNCTION("""COMPUTED_VALUE"""),2.0)</f>
        <v>2</v>
      </c>
      <c r="L1609" s="42" t="str">
        <f>IFERROR(__xludf.DUMMYFUNCTION("""COMPUTED_VALUE"""),"-")</f>
        <v>-</v>
      </c>
      <c r="M1609" s="42" t="str">
        <f>IFERROR(__xludf.DUMMYFUNCTION("""COMPUTED_VALUE"""),"[C]")</f>
        <v>[C]</v>
      </c>
      <c r="N1609" s="42" t="str">
        <f>IFERROR(__xludf.DUMMYFUNCTION("""COMPUTED_VALUE"""),"Cherish's 2nd spell. She shoots out an array of small crystals from her fingertips.")</f>
        <v>Cherish's 2nd spell. She shoots out an array of small crystals from her fingertips.</v>
      </c>
      <c r="O1609" s="42"/>
      <c r="P1609" s="42"/>
      <c r="Q1609" s="42"/>
      <c r="R1609" s="42"/>
      <c r="S1609" s="42"/>
      <c r="T1609" s="42"/>
      <c r="U1609" s="42"/>
      <c r="V1609" s="42"/>
      <c r="W1609" s="42"/>
      <c r="X1609" s="42"/>
      <c r="Y1609" s="42"/>
      <c r="Z1609" s="42"/>
    </row>
    <row r="1610">
      <c r="A1610" s="42" t="str">
        <f>IFERROR(__xludf.DUMMYFUNCTION("""COMPUTED_VALUE"""),"S-479")</f>
        <v>S-479</v>
      </c>
      <c r="B1610" s="42" t="str">
        <f>IFERROR(__xludf.DUMMYFUNCTION("""COMPUTED_VALUE"""),"Spell")</f>
        <v>Spell</v>
      </c>
      <c r="C1610" s="42" t="str">
        <f>IFERROR(__xludf.DUMMYFUNCTION("""COMPUTED_VALUE"""),"Dorsen")</f>
        <v>Dorsen</v>
      </c>
      <c r="D1610" s="42" t="str">
        <f>IFERROR(__xludf.DUMMYFUNCTION("""COMPUTED_VALUE"""),"Majiro")</f>
        <v>Majiro</v>
      </c>
      <c r="E1610" s="42">
        <f>IFERROR(__xludf.DUMMYFUNCTION("""COMPUTED_VALUE"""),3.0)</f>
        <v>3</v>
      </c>
      <c r="F1610" s="42" t="str">
        <f>IFERROR(__xludf.DUMMYFUNCTION("""COMPUTED_VALUE"""),"A")</f>
        <v>A</v>
      </c>
      <c r="G1610" s="42" t="str">
        <f>IFERROR(__xludf.DUMMYFUNCTION("""COMPUTED_VALUE"""),"None")</f>
        <v>None</v>
      </c>
      <c r="H1610" s="42" t="str">
        <f>IFERROR(__xludf.DUMMYFUNCTION("""COMPUTED_VALUE"""),"-")</f>
        <v>-</v>
      </c>
      <c r="I1610" s="43" t="str">
        <f>IFERROR(__xludf.DUMMYFUNCTION("""COMPUTED_VALUE"""),"Damage your opponent's Spell Book when you win the Battle as an Attacker. Regardless of Power, flip a coin; if it's heads, turn 1 page of your opponent's Spell Book after the Battle.")</f>
        <v>Damage your opponent's Spell Book when you win the Battle as an Attacker. Regardless of Power, flip a coin; if it's heads, turn 1 page of your opponent's Spell Book after the Battle.</v>
      </c>
      <c r="J1610" s="42" t="str">
        <f>IFERROR(__xludf.DUMMYFUNCTION("""COMPUTED_VALUE"""),"+3000")</f>
        <v>+3000</v>
      </c>
      <c r="K1610" s="42">
        <f>IFERROR(__xludf.DUMMYFUNCTION("""COMPUTED_VALUE"""),2.0)</f>
        <v>2</v>
      </c>
      <c r="L1610" s="42" t="str">
        <f>IFERROR(__xludf.DUMMYFUNCTION("""COMPUTED_VALUE"""),"-")</f>
        <v>-</v>
      </c>
      <c r="M1610" s="42" t="str">
        <f>IFERROR(__xludf.DUMMYFUNCTION("""COMPUTED_VALUE"""),"[C]")</f>
        <v>[C]</v>
      </c>
      <c r="N1610" s="42" t="str">
        <f>IFERROR(__xludf.DUMMYFUNCTION("""COMPUTED_VALUE"""),"Majiro's 2nd spell. He bared his fangs at Brago...but paid the ultimate price.")</f>
        <v>Majiro's 2nd spell. He bared his fangs at Brago...but paid the ultimate price.</v>
      </c>
      <c r="O1610" s="42"/>
      <c r="P1610" s="42"/>
      <c r="Q1610" s="42"/>
      <c r="R1610" s="42"/>
      <c r="S1610" s="42"/>
      <c r="T1610" s="42"/>
      <c r="U1610" s="42"/>
      <c r="V1610" s="42"/>
      <c r="W1610" s="42"/>
      <c r="X1610" s="42"/>
      <c r="Y1610" s="42"/>
      <c r="Z1610" s="42"/>
    </row>
    <row r="1611">
      <c r="A1611" s="42" t="str">
        <f>IFERROR(__xludf.DUMMYFUNCTION("""COMPUTED_VALUE"""),"S-480")</f>
        <v>S-480</v>
      </c>
      <c r="B1611" s="42" t="str">
        <f>IFERROR(__xludf.DUMMYFUNCTION("""COMPUTED_VALUE"""),"Spell")</f>
        <v>Spell</v>
      </c>
      <c r="C1611" s="42" t="str">
        <f>IFERROR(__xludf.DUMMYFUNCTION("""COMPUTED_VALUE"""),"Mock Ganzu Garon")</f>
        <v>Mock Ganzu Garon</v>
      </c>
      <c r="D1611" s="42" t="str">
        <f>IFERROR(__xludf.DUMMYFUNCTION("""COMPUTED_VALUE"""),"All Partners")</f>
        <v>All Partners</v>
      </c>
      <c r="E1611" s="42">
        <f>IFERROR(__xludf.DUMMYFUNCTION("""COMPUTED_VALUE"""),0.0)</f>
        <v>0</v>
      </c>
      <c r="F1611" s="42" t="str">
        <f>IFERROR(__xludf.DUMMYFUNCTION("""COMPUTED_VALUE"""),"A")</f>
        <v>A</v>
      </c>
      <c r="G1611" s="42" t="str">
        <f>IFERROR(__xludf.DUMMYFUNCTION("""COMPUTED_VALUE"""),"None")</f>
        <v>None</v>
      </c>
      <c r="H1611" s="42" t="str">
        <f>IFERROR(__xludf.DUMMYFUNCTION("""COMPUTED_VALUE"""),"-")</f>
        <v>-</v>
      </c>
      <c r="I1611" s="43" t="str">
        <f>IFERROR(__xludf.DUMMYFUNCTION("""COMPUTED_VALUE"""),"This SPELL card can be played only for 1 of your in-play PARTNER cards. Damage your opponent's Spell Book when you win the Battle as an Attacker. The Total Power of this Attack is considered to be the same as the Power of this SPELL card.")</f>
        <v>This SPELL card can be played only for 1 of your in-play PARTNER cards. Damage your opponent's Spell Book when you win the Battle as an Attacker. The Total Power of this Attack is considered to be the same as the Power of this SPELL card.</v>
      </c>
      <c r="J1611" s="42">
        <f>IFERROR(__xludf.DUMMYFUNCTION("""COMPUTED_VALUE"""),6000.0)</f>
        <v>6000</v>
      </c>
      <c r="K1611" s="42">
        <f>IFERROR(__xludf.DUMMYFUNCTION("""COMPUTED_VALUE"""),1.0)</f>
        <v>1</v>
      </c>
      <c r="L1611" s="42" t="str">
        <f>IFERROR(__xludf.DUMMYFUNCTION("""COMPUTED_VALUE"""),"-")</f>
        <v>-</v>
      </c>
      <c r="M1611" s="42" t="str">
        <f>IFERROR(__xludf.DUMMYFUNCTION("""COMPUTED_VALUE"""),"[C]")</f>
        <v>[C]</v>
      </c>
      <c r="N1611" s="42" t="str">
        <f>IFERROR(__xludf.DUMMYFUNCTION("""COMPUTED_VALUE"""),"""We're surrounded by enemies; we have to get away from their commander so the army won't be able to hear his instructions!""")</f>
        <v>"We're surrounded by enemies; we have to get away from their commander so the army won't be able to hear his instructions!"</v>
      </c>
      <c r="O1611" s="42"/>
      <c r="P1611" s="42"/>
      <c r="Q1611" s="42"/>
      <c r="R1611" s="42"/>
      <c r="S1611" s="42"/>
      <c r="T1611" s="42"/>
      <c r="U1611" s="42"/>
      <c r="V1611" s="42"/>
      <c r="W1611" s="42"/>
      <c r="X1611" s="42"/>
      <c r="Y1611" s="42"/>
      <c r="Z1611" s="42"/>
    </row>
    <row r="1612">
      <c r="A1612" s="42" t="str">
        <f>IFERROR(__xludf.DUMMYFUNCTION("""COMPUTED_VALUE"""),"S-481")</f>
        <v>S-481</v>
      </c>
      <c r="B1612" s="42" t="str">
        <f>IFERROR(__xludf.DUMMYFUNCTION("""COMPUTED_VALUE"""),"Spell")</f>
        <v>Spell</v>
      </c>
      <c r="C1612" s="42" t="str">
        <f>IFERROR(__xludf.DUMMYFUNCTION("""COMPUTED_VALUE"""),"Bao Zakeruga")</f>
        <v>Bao Zakeruga</v>
      </c>
      <c r="D1612" s="42" t="str">
        <f>IFERROR(__xludf.DUMMYFUNCTION("""COMPUTED_VALUE"""),"Zatch Bell")</f>
        <v>Zatch Bell</v>
      </c>
      <c r="E1612" s="42">
        <f>IFERROR(__xludf.DUMMYFUNCTION("""COMPUTED_VALUE"""),6.0)</f>
        <v>6</v>
      </c>
      <c r="F1612" s="42" t="str">
        <f>IFERROR(__xludf.DUMMYFUNCTION("""COMPUTED_VALUE"""),"AD")</f>
        <v>AD</v>
      </c>
      <c r="G1612" s="42" t="str">
        <f>IFERROR(__xludf.DUMMYFUNCTION("""COMPUTED_VALUE"""),"Superior")</f>
        <v>Superior</v>
      </c>
      <c r="H1612" s="42" t="str">
        <f>IFERROR(__xludf.DUMMYFUNCTION("""COMPUTED_VALUE"""),"Thunder")</f>
        <v>Thunder</v>
      </c>
      <c r="I1612" s="43" t="str">
        <f>IFERROR(__xludf.DUMMYFUNCTION("""COMPUTED_VALUE"""),"This SPELL card can be played even when prohibited to do so. Damage your opponent's Spell Book when you win the Battle as an Attacker.")</f>
        <v>This SPELL card can be played even when prohibited to do so. Damage your opponent's Spell Book when you win the Battle as an Attacker.</v>
      </c>
      <c r="J1612" s="42" t="str">
        <f>IFERROR(__xludf.DUMMYFUNCTION("""COMPUTED_VALUE"""),"+6000")</f>
        <v>+6000</v>
      </c>
      <c r="K1612" s="42">
        <f>IFERROR(__xludf.DUMMYFUNCTION("""COMPUTED_VALUE"""),3.0)</f>
        <v>3</v>
      </c>
      <c r="L1612" s="42" t="str">
        <f>IFERROR(__xludf.DUMMYFUNCTION("""COMPUTED_VALUE"""),"-")</f>
        <v>-</v>
      </c>
      <c r="M1612" s="42" t="str">
        <f>IFERROR(__xludf.DUMMYFUNCTION("""COMPUTED_VALUE"""),"[R]")</f>
        <v>[R]</v>
      </c>
      <c r="N1612" s="42" t="str">
        <f>IFERROR(__xludf.DUMMYFUNCTION("""COMPUTED_VALUE"""),"Zatch's 4th spell. ""Zatch's power is red, the conducting element that gives light and guidance to everyone's power.""")</f>
        <v>Zatch's 4th spell. "Zatch's power is red, the conducting element that gives light and guidance to everyone's power."</v>
      </c>
      <c r="O1612" s="42"/>
      <c r="P1612" s="42"/>
      <c r="Q1612" s="42"/>
      <c r="R1612" s="42"/>
      <c r="S1612" s="42"/>
      <c r="T1612" s="42"/>
      <c r="U1612" s="42"/>
      <c r="V1612" s="42"/>
      <c r="W1612" s="42"/>
      <c r="X1612" s="42"/>
      <c r="Y1612" s="42"/>
      <c r="Z1612" s="42"/>
    </row>
    <row r="1613">
      <c r="A1613" s="42" t="str">
        <f>IFERROR(__xludf.DUMMYFUNCTION("""COMPUTED_VALUE"""),"S-482")</f>
        <v>S-482</v>
      </c>
      <c r="B1613" s="42" t="str">
        <f>IFERROR(__xludf.DUMMYFUNCTION("""COMPUTED_VALUE"""),"Spell")</f>
        <v>Spell</v>
      </c>
      <c r="C1613" s="42" t="str">
        <f>IFERROR(__xludf.DUMMYFUNCTION("""COMPUTED_VALUE"""),"Poruk")</f>
        <v>Poruk</v>
      </c>
      <c r="D1613" s="42" t="str">
        <f>IFERROR(__xludf.DUMMYFUNCTION("""COMPUTED_VALUE"""),"Kanchomé")</f>
        <v>Kanchomé</v>
      </c>
      <c r="E1613" s="42">
        <f>IFERROR(__xludf.DUMMYFUNCTION("""COMPUTED_VALUE"""),2.0)</f>
        <v>2</v>
      </c>
      <c r="F1613" s="42" t="str">
        <f>IFERROR(__xludf.DUMMYFUNCTION("""COMPUTED_VALUE"""),"A")</f>
        <v>A</v>
      </c>
      <c r="G1613" s="42" t="str">
        <f>IFERROR(__xludf.DUMMYFUNCTION("""COMPUTED_VALUE"""),"None")</f>
        <v>None</v>
      </c>
      <c r="H1613" s="42" t="str">
        <f>IFERROR(__xludf.DUMMYFUNCTION("""COMPUTED_VALUE"""),"-")</f>
        <v>-</v>
      </c>
      <c r="I1613" s="43" t="str">
        <f>IFERROR(__xludf.DUMMYFUNCTION("""COMPUTED_VALUE"""),"[STANDBY] Your opponent can neither SACRIFICE nor PROTECT their Spell Book from the Damage of a S-481 Bao Zakeruga or Bao Zakeruga of Friendship SPELL card you play during this game. This effect is negated after the Battle in which you played either of th"&amp;"ose SPELL cards.")</f>
        <v>[STANDBY] Your opponent can neither SACRIFICE nor PROTECT their Spell Book from the Damage of a S-481 Bao Zakeruga or Bao Zakeruga of Friendship SPELL card you play during this game. This effect is negated after the Battle in which you played either of those SPELL cards.</v>
      </c>
      <c r="J1613" s="42" t="str">
        <f>IFERROR(__xludf.DUMMYFUNCTION("""COMPUTED_VALUE"""),"Special")</f>
        <v>Special</v>
      </c>
      <c r="K1613" s="42" t="str">
        <f>IFERROR(__xludf.DUMMYFUNCTION("""COMPUTED_VALUE"""),"-")</f>
        <v>-</v>
      </c>
      <c r="L1613" s="42" t="str">
        <f>IFERROR(__xludf.DUMMYFUNCTION("""COMPUTED_VALUE"""),"-")</f>
        <v>-</v>
      </c>
      <c r="M1613" s="42" t="str">
        <f>IFERROR(__xludf.DUMMYFUNCTION("""COMPUTED_VALUE"""),"[C]")</f>
        <v>[C]</v>
      </c>
      <c r="N1613" s="42" t="str">
        <f>IFERROR(__xludf.DUMMYFUNCTION("""COMPUTED_VALUE"""),"Kanchomé's 1st spell. ""Kanchomé's power is yellow, the transformation element that changes things into a state of perfection.""")</f>
        <v>Kanchomé's 1st spell. "Kanchomé's power is yellow, the transformation element that changes things into a state of perfection."</v>
      </c>
      <c r="O1613" s="42"/>
      <c r="P1613" s="42"/>
      <c r="Q1613" s="42"/>
      <c r="R1613" s="42"/>
      <c r="S1613" s="42"/>
      <c r="T1613" s="42"/>
      <c r="U1613" s="42"/>
      <c r="V1613" s="42"/>
      <c r="W1613" s="42"/>
      <c r="X1613" s="42"/>
      <c r="Y1613" s="42"/>
      <c r="Z1613" s="42"/>
    </row>
    <row r="1614">
      <c r="A1614" s="42" t="str">
        <f>IFERROR(__xludf.DUMMYFUNCTION("""COMPUTED_VALUE"""),"S-483")</f>
        <v>S-483</v>
      </c>
      <c r="B1614" s="42" t="str">
        <f>IFERROR(__xludf.DUMMYFUNCTION("""COMPUTED_VALUE"""),"Spell")</f>
        <v>Spell</v>
      </c>
      <c r="C1614" s="42" t="str">
        <f>IFERROR(__xludf.DUMMYFUNCTION("""COMPUTED_VALUE"""),"Giga La Seoshi")</f>
        <v>Giga La Seoshi</v>
      </c>
      <c r="D1614" s="42" t="str">
        <f>IFERROR(__xludf.DUMMYFUNCTION("""COMPUTED_VALUE"""),"Tia")</f>
        <v>Tia</v>
      </c>
      <c r="E1614" s="42">
        <f>IFERROR(__xludf.DUMMYFUNCTION("""COMPUTED_VALUE"""),1.0)</f>
        <v>1</v>
      </c>
      <c r="F1614" s="42" t="str">
        <f>IFERROR(__xludf.DUMMYFUNCTION("""COMPUTED_VALUE"""),"D")</f>
        <v>D</v>
      </c>
      <c r="G1614" s="42" t="str">
        <f>IFERROR(__xludf.DUMMYFUNCTION("""COMPUTED_VALUE"""),"None")</f>
        <v>None</v>
      </c>
      <c r="H1614" s="42" t="str">
        <f>IFERROR(__xludf.DUMMYFUNCTION("""COMPUTED_VALUE"""),"-")</f>
        <v>-</v>
      </c>
      <c r="I1614" s="43" t="str">
        <f>IFERROR(__xludf.DUMMYFUNCTION("""COMPUTED_VALUE"""),"Negate your opponent's Attack when you win the Battle as a Defender. [STANDBY] Regardless of Power, add 6000 Power to a S-481 Bao Zakeruga or Bao Zakeruga of Friendship SPELL card you Attack with during this game (this effect can be duplicated). This effe"&amp;"ct is negated after the Battle in which you played either of those SPELL cards.")</f>
        <v>Negate your opponent's Attack when you win the Battle as a Defender. [STANDBY] Regardless of Power, add 6000 Power to a S-481 Bao Zakeruga or Bao Zakeruga of Friendship SPELL card you Attack with during this game (this effect can be duplicated). This effect is negated after the Battle in which you played either of those SPELL cards.</v>
      </c>
      <c r="J1614" s="42" t="str">
        <f>IFERROR(__xludf.DUMMYFUNCTION("""COMPUTED_VALUE"""),"+6000")</f>
        <v>+6000</v>
      </c>
      <c r="K1614" s="42" t="str">
        <f>IFERROR(__xludf.DUMMYFUNCTION("""COMPUTED_VALUE"""),"-")</f>
        <v>-</v>
      </c>
      <c r="L1614" s="42" t="str">
        <f>IFERROR(__xludf.DUMMYFUNCTION("""COMPUTED_VALUE"""),"-")</f>
        <v>-</v>
      </c>
      <c r="M1614" s="42" t="str">
        <f>IFERROR(__xludf.DUMMYFUNCTION("""COMPUTED_VALUE"""),"[U]")</f>
        <v>[U]</v>
      </c>
      <c r="N1614" s="42" t="str">
        <f>IFERROR(__xludf.DUMMYFUNCTION("""COMPUTED_VALUE"""),"Tia's 4th spell. ""Tia's power is vermilion, a shield element that amplifies and protects power.""")</f>
        <v>Tia's 4th spell. "Tia's power is vermilion, a shield element that amplifies and protects power."</v>
      </c>
      <c r="O1614" s="42"/>
      <c r="P1614" s="42"/>
      <c r="Q1614" s="42"/>
      <c r="R1614" s="42"/>
      <c r="S1614" s="42"/>
      <c r="T1614" s="42"/>
      <c r="U1614" s="42"/>
      <c r="V1614" s="42"/>
      <c r="W1614" s="42"/>
      <c r="X1614" s="42"/>
      <c r="Y1614" s="42"/>
      <c r="Z1614" s="42"/>
    </row>
    <row r="1615">
      <c r="A1615" s="42" t="str">
        <f>IFERROR(__xludf.DUMMYFUNCTION("""COMPUTED_VALUE"""),"S-484")</f>
        <v>S-484</v>
      </c>
      <c r="B1615" s="42" t="str">
        <f>IFERROR(__xludf.DUMMYFUNCTION("""COMPUTED_VALUE"""),"Spell")</f>
        <v>Spell</v>
      </c>
      <c r="C1615" s="42" t="str">
        <f>IFERROR(__xludf.DUMMYFUNCTION("""COMPUTED_VALUE"""),"Dioemur Shudoruk")</f>
        <v>Dioemur Shudoruk</v>
      </c>
      <c r="D1615" s="42" t="str">
        <f>IFERROR(__xludf.DUMMYFUNCTION("""COMPUTED_VALUE"""),"Ponygon")</f>
        <v>Ponygon</v>
      </c>
      <c r="E1615" s="42">
        <f>IFERROR(__xludf.DUMMYFUNCTION("""COMPUTED_VALUE"""),2.0)</f>
        <v>2</v>
      </c>
      <c r="F1615" s="42" t="str">
        <f>IFERROR(__xludf.DUMMYFUNCTION("""COMPUTED_VALUE"""),"A")</f>
        <v>A</v>
      </c>
      <c r="G1615" s="42" t="str">
        <f>IFERROR(__xludf.DUMMYFUNCTION("""COMPUTED_VALUE"""),"None")</f>
        <v>None</v>
      </c>
      <c r="H1615" s="42" t="str">
        <f>IFERROR(__xludf.DUMMYFUNCTION("""COMPUTED_VALUE"""),"-")</f>
        <v>-</v>
      </c>
      <c r="I1615" s="43" t="str">
        <f>IFERROR(__xludf.DUMMYFUNCTION("""COMPUTED_VALUE"""),"[STANDBY] Increase the Damage of a S-481 Bao Zakeruga or Bao Zakeruga of Friendship SPELL card you Attack with during this game by 2 (this effect can be duplicated). This effect is negated after the Battle in which you played either of those SPELL cards.")</f>
        <v>[STANDBY] Increase the Damage of a S-481 Bao Zakeruga or Bao Zakeruga of Friendship SPELL card you Attack with during this game by 2 (this effect can be duplicated). This effect is negated after the Battle in which you played either of those SPELL cards.</v>
      </c>
      <c r="J1615" s="42" t="str">
        <f>IFERROR(__xludf.DUMMYFUNCTION("""COMPUTED_VALUE"""),"Special")</f>
        <v>Special</v>
      </c>
      <c r="K1615" s="42" t="str">
        <f>IFERROR(__xludf.DUMMYFUNCTION("""COMPUTED_VALUE"""),"-")</f>
        <v>-</v>
      </c>
      <c r="L1615" s="42" t="str">
        <f>IFERROR(__xludf.DUMMYFUNCTION("""COMPUTED_VALUE"""),"-")</f>
        <v>-</v>
      </c>
      <c r="M1615" s="42" t="str">
        <f>IFERROR(__xludf.DUMMYFUNCTION("""COMPUTED_VALUE"""),"[C]")</f>
        <v>[C]</v>
      </c>
      <c r="N1615" s="42" t="str">
        <f>IFERROR(__xludf.DUMMYFUNCTION("""COMPUTED_VALUE"""),"Ponygon's 3rd spell. ""Ponygon's power is orange, the element of mighty fire.""")</f>
        <v>Ponygon's 3rd spell. "Ponygon's power is orange, the element of mighty fire."</v>
      </c>
      <c r="O1615" s="42"/>
      <c r="P1615" s="42"/>
      <c r="Q1615" s="42"/>
      <c r="R1615" s="42"/>
      <c r="S1615" s="42"/>
      <c r="T1615" s="42"/>
      <c r="U1615" s="42"/>
      <c r="V1615" s="42"/>
      <c r="W1615" s="42"/>
      <c r="X1615" s="42"/>
      <c r="Y1615" s="42"/>
      <c r="Z1615" s="42"/>
    </row>
    <row r="1616">
      <c r="A1616" s="42" t="str">
        <f>IFERROR(__xludf.DUMMYFUNCTION("""COMPUTED_VALUE"""),"S-485")</f>
        <v>S-485</v>
      </c>
      <c r="B1616" s="42" t="str">
        <f>IFERROR(__xludf.DUMMYFUNCTION("""COMPUTED_VALUE"""),"Spell")</f>
        <v>Spell</v>
      </c>
      <c r="C1616" s="42" t="str">
        <f>IFERROR(__xludf.DUMMYFUNCTION("""COMPUTED_VALUE"""),"Bao Zakeruga (Reinforced)")</f>
        <v>Bao Zakeruga (Reinforced)</v>
      </c>
      <c r="D1616" s="42" t="str">
        <f>IFERROR(__xludf.DUMMYFUNCTION("""COMPUTED_VALUE"""),"Zatch Bell")</f>
        <v>Zatch Bell</v>
      </c>
      <c r="E1616" s="42">
        <f>IFERROR(__xludf.DUMMYFUNCTION("""COMPUTED_VALUE"""),6.0)</f>
        <v>6</v>
      </c>
      <c r="F1616" s="42" t="str">
        <f>IFERROR(__xludf.DUMMYFUNCTION("""COMPUTED_VALUE"""),"AD")</f>
        <v>AD</v>
      </c>
      <c r="G1616" s="42" t="str">
        <f>IFERROR(__xludf.DUMMYFUNCTION("""COMPUTED_VALUE"""),"Superior")</f>
        <v>Superior</v>
      </c>
      <c r="H1616" s="42" t="str">
        <f>IFERROR(__xludf.DUMMYFUNCTION("""COMPUTED_VALUE"""),"Thunder")</f>
        <v>Thunder</v>
      </c>
      <c r="I1616" s="43" t="str">
        <f>IFERROR(__xludf.DUMMYFUNCTION("""COMPUTED_VALUE"""),"Damage your opponent's Spell Book when you win the Battle as an Attacker. If Power is being added to this SPELL card by the effects of a Zagurzem SPELL card, increase the Damage of this SPELL card by 2.")</f>
        <v>Damage your opponent's Spell Book when you win the Battle as an Attacker. If Power is being added to this SPELL card by the effects of a Zagurzem SPELL card, increase the Damage of this SPELL card by 2.</v>
      </c>
      <c r="J1616" s="42" t="str">
        <f>IFERROR(__xludf.DUMMYFUNCTION("""COMPUTED_VALUE"""),"+5000")</f>
        <v>+5000</v>
      </c>
      <c r="K1616" s="42">
        <f>IFERROR(__xludf.DUMMYFUNCTION("""COMPUTED_VALUE"""),3.0)</f>
        <v>3</v>
      </c>
      <c r="L1616" s="42" t="str">
        <f>IFERROR(__xludf.DUMMYFUNCTION("""COMPUTED_VALUE"""),"-")</f>
        <v>-</v>
      </c>
      <c r="M1616" s="42" t="str">
        <f>IFERROR(__xludf.DUMMYFUNCTION("""COMPUTED_VALUE"""),"[SR]")</f>
        <v>[SR]</v>
      </c>
      <c r="N1616" s="42" t="str">
        <f>IFERROR(__xludf.DUMMYFUNCTION("""COMPUTED_VALUE"""),"Zatch's 4th spell. ""All right! Bao Zakeruga absorbed the electrical charge stored up in Keith's body!""")</f>
        <v>Zatch's 4th spell. "All right! Bao Zakeruga absorbed the electrical charge stored up in Keith's body!"</v>
      </c>
      <c r="O1616" s="42"/>
      <c r="P1616" s="42"/>
      <c r="Q1616" s="42"/>
      <c r="R1616" s="42"/>
      <c r="S1616" s="42"/>
      <c r="T1616" s="42"/>
      <c r="U1616" s="42"/>
      <c r="V1616" s="42"/>
      <c r="W1616" s="42"/>
      <c r="X1616" s="42"/>
      <c r="Y1616" s="42"/>
      <c r="Z1616" s="42"/>
    </row>
    <row r="1617">
      <c r="A1617" s="42" t="str">
        <f>IFERROR(__xludf.DUMMYFUNCTION("""COMPUTED_VALUE"""),"S-486")</f>
        <v>S-486</v>
      </c>
      <c r="B1617" s="42" t="str">
        <f>IFERROR(__xludf.DUMMYFUNCTION("""COMPUTED_VALUE"""),"Spell")</f>
        <v>Spell</v>
      </c>
      <c r="C1617" s="42" t="str">
        <f>IFERROR(__xludf.DUMMYFUNCTION("""COMPUTED_VALUE"""),"Zakeruga")</f>
        <v>Zakeruga</v>
      </c>
      <c r="D1617" s="42" t="str">
        <f>IFERROR(__xludf.DUMMYFUNCTION("""COMPUTED_VALUE"""),"Zatch Bell")</f>
        <v>Zatch Bell</v>
      </c>
      <c r="E1617" s="42">
        <f>IFERROR(__xludf.DUMMYFUNCTION("""COMPUTED_VALUE"""),1.0)</f>
        <v>1</v>
      </c>
      <c r="F1617" s="42" t="str">
        <f>IFERROR(__xludf.DUMMYFUNCTION("""COMPUTED_VALUE"""),"AD")</f>
        <v>AD</v>
      </c>
      <c r="G1617" s="42" t="str">
        <f>IFERROR(__xludf.DUMMYFUNCTION("""COMPUTED_VALUE"""),"None")</f>
        <v>None</v>
      </c>
      <c r="H1617" s="42" t="str">
        <f>IFERROR(__xludf.DUMMYFUNCTION("""COMPUTED_VALUE"""),"Thunder")</f>
        <v>Thunder</v>
      </c>
      <c r="I1617" s="43" t="str">
        <f>IFERROR(__xludf.DUMMYFUNCTION("""COMPUTED_VALUE"""),"Damage your opponent's Spell Book when you win the Battle as an Attacker. You may pay an additional 3 MP when you declare the play of this SPELL card; if you do, your opponent can neither SACRIFICE nor PROTECT their Spell Book from this SPELL card's Damag"&amp;"e.")</f>
        <v>Damage your opponent's Spell Book when you win the Battle as an Attacker. You may pay an additional 3 MP when you declare the play of this SPELL card; if you do, your opponent can neither SACRIFICE nor PROTECT their Spell Book from this SPELL card's Damage.</v>
      </c>
      <c r="J1617" s="42" t="str">
        <f>IFERROR(__xludf.DUMMYFUNCTION("""COMPUTED_VALUE"""),"+4000")</f>
        <v>+4000</v>
      </c>
      <c r="K1617" s="42">
        <f>IFERROR(__xludf.DUMMYFUNCTION("""COMPUTED_VALUE"""),2.0)</f>
        <v>2</v>
      </c>
      <c r="L1617" s="42" t="str">
        <f>IFERROR(__xludf.DUMMYFUNCTION("""COMPUTED_VALUE"""),"-")</f>
        <v>-</v>
      </c>
      <c r="M1617" s="42" t="str">
        <f>IFERROR(__xludf.DUMMYFUNCTION("""COMPUTED_VALUE"""),"[U]")</f>
        <v>[U]</v>
      </c>
      <c r="N1617" s="42" t="str">
        <f>IFERROR(__xludf.DUMMYFUNCTION("""COMPUTED_VALUE"""),"Zatch's 5th spell. ""Zatch! Keep them off of Kanchomé with covering fire!""")</f>
        <v>Zatch's 5th spell. "Zatch! Keep them off of Kanchomé with covering fire!"</v>
      </c>
      <c r="O1617" s="42"/>
      <c r="P1617" s="42"/>
      <c r="Q1617" s="42"/>
      <c r="R1617" s="42"/>
      <c r="S1617" s="42"/>
      <c r="T1617" s="42"/>
      <c r="U1617" s="42"/>
      <c r="V1617" s="42"/>
      <c r="W1617" s="42"/>
      <c r="X1617" s="42"/>
      <c r="Y1617" s="42"/>
      <c r="Z1617" s="42"/>
    </row>
    <row r="1618">
      <c r="A1618" s="42" t="str">
        <f>IFERROR(__xludf.DUMMYFUNCTION("""COMPUTED_VALUE"""),"S-487")</f>
        <v>S-487</v>
      </c>
      <c r="B1618" s="42" t="str">
        <f>IFERROR(__xludf.DUMMYFUNCTION("""COMPUTED_VALUE"""),"Spell")</f>
        <v>Spell</v>
      </c>
      <c r="C1618" s="42" t="str">
        <f>IFERROR(__xludf.DUMMYFUNCTION("""COMPUTED_VALUE"""),"Zagurzem")</f>
        <v>Zagurzem</v>
      </c>
      <c r="D1618" s="42" t="str">
        <f>IFERROR(__xludf.DUMMYFUNCTION("""COMPUTED_VALUE"""),"Zatch Bell")</f>
        <v>Zatch Bell</v>
      </c>
      <c r="E1618" s="42">
        <f>IFERROR(__xludf.DUMMYFUNCTION("""COMPUTED_VALUE"""),2.0)</f>
        <v>2</v>
      </c>
      <c r="F1618" s="42" t="str">
        <f>IFERROR(__xludf.DUMMYFUNCTION("""COMPUTED_VALUE"""),"A")</f>
        <v>A</v>
      </c>
      <c r="G1618" s="42" t="str">
        <f>IFERROR(__xludf.DUMMYFUNCTION("""COMPUTED_VALUE"""),"None")</f>
        <v>None</v>
      </c>
      <c r="H1618" s="42" t="str">
        <f>IFERROR(__xludf.DUMMYFUNCTION("""COMPUTED_VALUE"""),"Thunder")</f>
        <v>Thunder</v>
      </c>
      <c r="I1618" s="43" t="str">
        <f>IFERROR(__xludf.DUMMYFUNCTION("""COMPUTED_VALUE"""),"[STAY] Select 1 Bao Zakeruga SPELL card from any page of your Spell Book and apply 1 of the following effects to it during this game: ● Add 3000 Power to the SPELL card (this effect can be duplicated). ● Increase the Damage of the SPELL card by 1 (this ef"&amp;"fect can be duplicated). ● Any MAMODO cards that SACRIFICE or PROTECT their Spell Book from this SPELL card's Damage are sent to the Discard Pile.")</f>
        <v>[STAY] Select 1 Bao Zakeruga SPELL card from any page of your Spell Book and apply 1 of the following effects to it during this game: ● Add 3000 Power to the SPELL card (this effect can be duplicated). ● Increase the Damage of the SPELL card by 1 (this effect can be duplicated). ● Any MAMODO cards that SACRIFICE or PROTECT their Spell Book from this SPELL card's Damage are sent to the Discard Pile.</v>
      </c>
      <c r="J1618" s="42" t="str">
        <f>IFERROR(__xludf.DUMMYFUNCTION("""COMPUTED_VALUE"""),"Special")</f>
        <v>Special</v>
      </c>
      <c r="K1618" s="42" t="str">
        <f>IFERROR(__xludf.DUMMYFUNCTION("""COMPUTED_VALUE"""),"-")</f>
        <v>-</v>
      </c>
      <c r="L1618" s="42" t="str">
        <f>IFERROR(__xludf.DUMMYFUNCTION("""COMPUTED_VALUE"""),"-")</f>
        <v>-</v>
      </c>
      <c r="M1618" s="42" t="str">
        <f>IFERROR(__xludf.DUMMYFUNCTION("""COMPUTED_VALUE"""),"[C]")</f>
        <v>[C]</v>
      </c>
      <c r="N1618" s="42" t="str">
        <f>IFERROR(__xludf.DUMMYFUNCTION("""COMPUTED_VALUE"""),"Zatch's 7th spell. The chain reaction invoked by Zagurzem is the deciding factor between victory and defeat.")</f>
        <v>Zatch's 7th spell. The chain reaction invoked by Zagurzem is the deciding factor between victory and defeat.</v>
      </c>
      <c r="O1618" s="42"/>
      <c r="P1618" s="42"/>
      <c r="Q1618" s="42"/>
      <c r="R1618" s="42"/>
      <c r="S1618" s="42"/>
      <c r="T1618" s="42"/>
      <c r="U1618" s="42"/>
      <c r="V1618" s="42"/>
      <c r="W1618" s="42"/>
      <c r="X1618" s="42"/>
      <c r="Y1618" s="42"/>
      <c r="Z1618" s="42"/>
    </row>
    <row r="1619">
      <c r="A1619" s="42" t="str">
        <f>IFERROR(__xludf.DUMMYFUNCTION("""COMPUTED_VALUE"""),"S-488")</f>
        <v>S-488</v>
      </c>
      <c r="B1619" s="42" t="str">
        <f>IFERROR(__xludf.DUMMYFUNCTION("""COMPUTED_VALUE"""),"Spell")</f>
        <v>Spell</v>
      </c>
      <c r="C1619" s="42" t="str">
        <f>IFERROR(__xludf.DUMMYFUNCTION("""COMPUTED_VALUE"""),"Dima Buruk")</f>
        <v>Dima Buruk</v>
      </c>
      <c r="D1619" s="42" t="str">
        <f>IFERROR(__xludf.DUMMYFUNCTION("""COMPUTED_VALUE"""),"Kanchomé")</f>
        <v>Kanchomé</v>
      </c>
      <c r="E1619" s="42">
        <f>IFERROR(__xludf.DUMMYFUNCTION("""COMPUTED_VALUE"""),1.0)</f>
        <v>1</v>
      </c>
      <c r="F1619" s="42" t="str">
        <f>IFERROR(__xludf.DUMMYFUNCTION("""COMPUTED_VALUE"""),"A")</f>
        <v>A</v>
      </c>
      <c r="G1619" s="42" t="str">
        <f>IFERROR(__xludf.DUMMYFUNCTION("""COMPUTED_VALUE"""),"None")</f>
        <v>None</v>
      </c>
      <c r="H1619" s="42" t="str">
        <f>IFERROR(__xludf.DUMMYFUNCTION("""COMPUTED_VALUE"""),"-")</f>
        <v>-</v>
      </c>
      <c r="I1619" s="43" t="str">
        <f>IFERROR(__xludf.DUMMYFUNCTION("""COMPUTED_VALUE"""),"Select 1 Kanchomé (Double) MAMODO card from any page of your Spell Book and put it in play. ● Up to 3 of them can be in play outside of your MAMODO card limit. ● Multiple copies of them can be in play, regardless of card name rules. ● When your Kanchomé M"&amp;"AMODO card leaves play, send all of your Kanchomé (Double) MAMODO cards to the Discard Pile.")</f>
        <v>Select 1 Kanchomé (Double) MAMODO card from any page of your Spell Book and put it in play. ● Up to 3 of them can be in play outside of your MAMODO card limit. ● Multiple copies of them can be in play, regardless of card name rules. ● When your Kanchomé MAMODO card leaves play, send all of your Kanchomé (Double) MAMODO cards to the Discard Pile.</v>
      </c>
      <c r="J1619" s="42" t="str">
        <f>IFERROR(__xludf.DUMMYFUNCTION("""COMPUTED_VALUE"""),"Special")</f>
        <v>Special</v>
      </c>
      <c r="K1619" s="42" t="str">
        <f>IFERROR(__xludf.DUMMYFUNCTION("""COMPUTED_VALUE"""),"-")</f>
        <v>-</v>
      </c>
      <c r="L1619" s="42" t="str">
        <f>IFERROR(__xludf.DUMMYFUNCTION("""COMPUTED_VALUE"""),"-")</f>
        <v>-</v>
      </c>
      <c r="M1619" s="42" t="str">
        <f>IFERROR(__xludf.DUMMYFUNCTION("""COMPUTED_VALUE"""),"[U]")</f>
        <v>[U]</v>
      </c>
      <c r="N1619" s="42" t="str">
        <f>IFERROR(__xludf.DUMMYFUNCTION("""COMPUTED_VALUE"""),"Kanchomé's 4th spell. It produces 8 copies of himself.")</f>
        <v>Kanchomé's 4th spell. It produces 8 copies of himself.</v>
      </c>
      <c r="O1619" s="42"/>
      <c r="P1619" s="42"/>
      <c r="Q1619" s="42"/>
      <c r="R1619" s="42"/>
      <c r="S1619" s="42"/>
      <c r="T1619" s="42"/>
      <c r="U1619" s="42"/>
      <c r="V1619" s="42"/>
      <c r="W1619" s="42"/>
      <c r="X1619" s="42"/>
      <c r="Y1619" s="42"/>
      <c r="Z1619" s="42"/>
    </row>
    <row r="1620">
      <c r="A1620" s="42" t="str">
        <f>IFERROR(__xludf.DUMMYFUNCTION("""COMPUTED_VALUE"""),"S-489")</f>
        <v>S-489</v>
      </c>
      <c r="B1620" s="42" t="str">
        <f>IFERROR(__xludf.DUMMYFUNCTION("""COMPUTED_VALUE"""),"Spell")</f>
        <v>Spell</v>
      </c>
      <c r="C1620" s="42" t="str">
        <f>IFERROR(__xludf.DUMMYFUNCTION("""COMPUTED_VALUE"""),"Dioga Gazuron")</f>
        <v>Dioga Gazuron</v>
      </c>
      <c r="D1620" s="42" t="str">
        <f>IFERROR(__xludf.DUMMYFUNCTION("""COMPUTED_VALUE"""),"Buzarai")</f>
        <v>Buzarai</v>
      </c>
      <c r="E1620" s="42">
        <f>IFERROR(__xludf.DUMMYFUNCTION("""COMPUTED_VALUE"""),6.0)</f>
        <v>6</v>
      </c>
      <c r="F1620" s="42" t="str">
        <f>IFERROR(__xludf.DUMMYFUNCTION("""COMPUTED_VALUE"""),"AD")</f>
        <v>AD</v>
      </c>
      <c r="G1620" s="42" t="str">
        <f>IFERROR(__xludf.DUMMYFUNCTION("""COMPUTED_VALUE"""),"Superior")</f>
        <v>Superior</v>
      </c>
      <c r="H1620" s="42" t="str">
        <f>IFERROR(__xludf.DUMMYFUNCTION("""COMPUTED_VALUE"""),"-")</f>
        <v>-</v>
      </c>
      <c r="I1620" s="43" t="str">
        <f>IFERROR(__xludf.DUMMYFUNCTION("""COMPUTED_VALUE"""),"Apply both of the following effects in order when you win the Battle as an Attacker: ● Injure 1 of your opponent's MAMODO cards. ● Damage your opponent's Spell Book.")</f>
        <v>Apply both of the following effects in order when you win the Battle as an Attacker: ● Injure 1 of your opponent's MAMODO cards. ● Damage your opponent's Spell Book.</v>
      </c>
      <c r="J1620" s="42" t="str">
        <f>IFERROR(__xludf.DUMMYFUNCTION("""COMPUTED_VALUE"""),"+6000")</f>
        <v>+6000</v>
      </c>
      <c r="K1620" s="42">
        <f>IFERROR(__xludf.DUMMYFUNCTION("""COMPUTED_VALUE"""),4.0)</f>
        <v>4</v>
      </c>
      <c r="L1620" s="42" t="str">
        <f>IFERROR(__xludf.DUMMYFUNCTION("""COMPUTED_VALUE"""),"-")</f>
        <v>-</v>
      </c>
      <c r="M1620" s="42" t="str">
        <f>IFERROR(__xludf.DUMMYFUNCTION("""COMPUTED_VALUE"""),"[R]")</f>
        <v>[R]</v>
      </c>
      <c r="N1620" s="42" t="str">
        <f>IFERROR(__xludf.DUMMYFUNCTION("""COMPUTED_VALUE"""),"Buzarai's 9th spell. ""Hmph, it's hopeless! The difference in power is as plain as day!""")</f>
        <v>Buzarai's 9th spell. "Hmph, it's hopeless! The difference in power is as plain as day!"</v>
      </c>
      <c r="O1620" s="42"/>
      <c r="P1620" s="42"/>
      <c r="Q1620" s="42"/>
      <c r="R1620" s="42"/>
      <c r="S1620" s="42"/>
      <c r="T1620" s="42"/>
      <c r="U1620" s="42"/>
      <c r="V1620" s="42"/>
      <c r="W1620" s="42"/>
      <c r="X1620" s="42"/>
      <c r="Y1620" s="42"/>
      <c r="Z1620" s="42"/>
    </row>
    <row r="1621">
      <c r="A1621" s="42" t="str">
        <f>IFERROR(__xludf.DUMMYFUNCTION("""COMPUTED_VALUE"""),"S-490")</f>
        <v>S-490</v>
      </c>
      <c r="B1621" s="42" t="str">
        <f>IFERROR(__xludf.DUMMYFUNCTION("""COMPUTED_VALUE"""),"Spell")</f>
        <v>Spell</v>
      </c>
      <c r="C1621" s="42" t="str">
        <f>IFERROR(__xludf.DUMMYFUNCTION("""COMPUTED_VALUE"""),"Bravo")</f>
        <v>Bravo</v>
      </c>
      <c r="D1621" s="42" t="str">
        <f>IFERROR(__xludf.DUMMYFUNCTION("""COMPUTED_VALUE"""),"Keith")</f>
        <v>Keith</v>
      </c>
      <c r="E1621" s="42">
        <f>IFERROR(__xludf.DUMMYFUNCTION("""COMPUTED_VALUE"""),0.0)</f>
        <v>0</v>
      </c>
      <c r="F1621" s="42" t="str">
        <f>IFERROR(__xludf.DUMMYFUNCTION("""COMPUTED_VALUE"""),"A")</f>
        <v>A</v>
      </c>
      <c r="G1621" s="42" t="str">
        <f>IFERROR(__xludf.DUMMYFUNCTION("""COMPUTED_VALUE"""),"Intermediate")</f>
        <v>Intermediate</v>
      </c>
      <c r="H1621" s="42" t="str">
        <f>IFERROR(__xludf.DUMMYFUNCTION("""COMPUTED_VALUE"""),"-")</f>
        <v>-</v>
      </c>
      <c r="I1621" s="43" t="str">
        <f>IFERROR(__xludf.DUMMYFUNCTION("""COMPUTED_VALUE"""),"Apply 1 of the following effects when you win the Battle as an Attacker: ● Damage your opponent's Spell Book. ● Injure 1 of your opponent's Injured MAMODO cards.")</f>
        <v>Apply 1 of the following effects when you win the Battle as an Attacker: ● Damage your opponent's Spell Book. ● Injure 1 of your opponent's Injured MAMODO cards.</v>
      </c>
      <c r="J1621" s="42" t="str">
        <f>IFERROR(__xludf.DUMMYFUNCTION("""COMPUTED_VALUE"""),"+2000")</f>
        <v>+2000</v>
      </c>
      <c r="K1621" s="42">
        <f>IFERROR(__xludf.DUMMYFUNCTION("""COMPUTED_VALUE"""),1.0)</f>
        <v>1</v>
      </c>
      <c r="L1621" s="42" t="str">
        <f>IFERROR(__xludf.DUMMYFUNCTION("""COMPUTED_VALUE"""),"-")</f>
        <v>-</v>
      </c>
      <c r="M1621" s="42" t="str">
        <f>IFERROR(__xludf.DUMMYFUNCTION("""COMPUTED_VALUE"""),"[C]")</f>
        <v>[C]</v>
      </c>
      <c r="N1621" s="42" t="str">
        <f>IFERROR(__xludf.DUMMYFUNCTION("""COMPUTED_VALUE"""),"""Say goodbye! BRAVO!""")</f>
        <v>"Say goodbye! BRAVO!"</v>
      </c>
      <c r="O1621" s="42"/>
      <c r="P1621" s="42"/>
      <c r="Q1621" s="42"/>
      <c r="R1621" s="42"/>
      <c r="S1621" s="42"/>
      <c r="T1621" s="42"/>
      <c r="U1621" s="42"/>
      <c r="V1621" s="42"/>
      <c r="W1621" s="42"/>
      <c r="X1621" s="42"/>
      <c r="Y1621" s="42"/>
      <c r="Z1621" s="42"/>
    </row>
    <row r="1622">
      <c r="A1622" s="42" t="str">
        <f>IFERROR(__xludf.DUMMYFUNCTION("""COMPUTED_VALUE"""),"S-491")</f>
        <v>S-491</v>
      </c>
      <c r="B1622" s="42" t="str">
        <f>IFERROR(__xludf.DUMMYFUNCTION("""COMPUTED_VALUE"""),"Spell")</f>
        <v>Spell</v>
      </c>
      <c r="C1622" s="42" t="str">
        <f>IFERROR(__xludf.DUMMYFUNCTION("""COMPUTED_VALUE"""),"Zaker")</f>
        <v>Zaker</v>
      </c>
      <c r="D1622" s="42" t="str">
        <f>IFERROR(__xludf.DUMMYFUNCTION("""COMPUTED_VALUE"""),"Zatch Bell")</f>
        <v>Zatch Bell</v>
      </c>
      <c r="E1622" s="42">
        <f>IFERROR(__xludf.DUMMYFUNCTION("""COMPUTED_VALUE"""),2.0)</f>
        <v>2</v>
      </c>
      <c r="F1622" s="42" t="str">
        <f>IFERROR(__xludf.DUMMYFUNCTION("""COMPUTED_VALUE"""),"AD")</f>
        <v>AD</v>
      </c>
      <c r="G1622" s="42" t="str">
        <f>IFERROR(__xludf.DUMMYFUNCTION("""COMPUTED_VALUE"""),"None")</f>
        <v>None</v>
      </c>
      <c r="H1622" s="42" t="str">
        <f>IFERROR(__xludf.DUMMYFUNCTION("""COMPUTED_VALUE"""),"Thunder")</f>
        <v>Thunder</v>
      </c>
      <c r="I1622" s="43" t="str">
        <f>IFERROR(__xludf.DUMMYFUNCTION("""COMPUTED_VALUE"""),"Damage your opponent's Spell Book when you win the Battle as an Attacker. If your opponent played an EVENT card during this turn, this SPELL card cannot be Defended.")</f>
        <v>Damage your opponent's Spell Book when you win the Battle as an Attacker. If your opponent played an EVENT card during this turn, this SPELL card cannot be Defended.</v>
      </c>
      <c r="J1622" s="42" t="str">
        <f>IFERROR(__xludf.DUMMYFUNCTION("""COMPUTED_VALUE"""),"+2000")</f>
        <v>+2000</v>
      </c>
      <c r="K1622" s="42">
        <f>IFERROR(__xludf.DUMMYFUNCTION("""COMPUTED_VALUE"""),2.0)</f>
        <v>2</v>
      </c>
      <c r="L1622" s="42" t="str">
        <f>IFERROR(__xludf.DUMMYFUNCTION("""COMPUTED_VALUE"""),"-")</f>
        <v>-</v>
      </c>
      <c r="M1622" s="42" t="str">
        <f>IFERROR(__xludf.DUMMYFUNCTION("""COMPUTED_VALUE"""),"[C]")</f>
        <v>[C]</v>
      </c>
      <c r="N1622" s="42" t="str">
        <f>IFERROR(__xludf.DUMMYFUNCTION("""COMPUTED_VALUE"""),"Zatch's 1st spell. ""ZAKER!"" Keith is caught completely off-guard in the middle of his Beethoven singing performance!")</f>
        <v>Zatch's 1st spell. "ZAKER!" Keith is caught completely off-guard in the middle of his Beethoven singing performance!</v>
      </c>
      <c r="O1622" s="42"/>
      <c r="P1622" s="42"/>
      <c r="Q1622" s="42"/>
      <c r="R1622" s="42"/>
      <c r="S1622" s="42"/>
      <c r="T1622" s="42"/>
      <c r="U1622" s="42"/>
      <c r="V1622" s="42"/>
      <c r="W1622" s="42"/>
      <c r="X1622" s="42"/>
      <c r="Y1622" s="42"/>
      <c r="Z1622" s="42"/>
    </row>
    <row r="1623">
      <c r="A1623" s="42" t="str">
        <f>IFERROR(__xludf.DUMMYFUNCTION("""COMPUTED_VALUE"""),"S-492")</f>
        <v>S-492</v>
      </c>
      <c r="B1623" s="42" t="str">
        <f>IFERROR(__xludf.DUMMYFUNCTION("""COMPUTED_VALUE"""),"Spell")</f>
        <v>Spell</v>
      </c>
      <c r="C1623" s="42" t="str">
        <f>IFERROR(__xludf.DUMMYFUNCTION("""COMPUTED_VALUE"""),"Rashield")</f>
        <v>Rashield</v>
      </c>
      <c r="D1623" s="42" t="str">
        <f>IFERROR(__xludf.DUMMYFUNCTION("""COMPUTED_VALUE"""),"Zatch Bell")</f>
        <v>Zatch Bell</v>
      </c>
      <c r="E1623" s="42">
        <f>IFERROR(__xludf.DUMMYFUNCTION("""COMPUTED_VALUE"""),1.0)</f>
        <v>1</v>
      </c>
      <c r="F1623" s="42" t="str">
        <f>IFERROR(__xludf.DUMMYFUNCTION("""COMPUTED_VALUE"""),"D")</f>
        <v>D</v>
      </c>
      <c r="G1623" s="42" t="str">
        <f>IFERROR(__xludf.DUMMYFUNCTION("""COMPUTED_VALUE"""),"None")</f>
        <v>None</v>
      </c>
      <c r="H1623" s="42" t="str">
        <f>IFERROR(__xludf.DUMMYFUNCTION("""COMPUTED_VALUE"""),"Thunder")</f>
        <v>Thunder</v>
      </c>
      <c r="I1623" s="43" t="str">
        <f>IFERROR(__xludf.DUMMYFUNCTION("""COMPUTED_VALUE"""),"Negate your opponent's Attack when you win the Battle as a Defender. If the effects of a Zagurzem SPELL card are being applied to this SPELL card, add 2000 Power to this SPELL card.")</f>
        <v>Negate your opponent's Attack when you win the Battle as a Defender. If the effects of a Zagurzem SPELL card are being applied to this SPELL card, add 2000 Power to this SPELL card.</v>
      </c>
      <c r="J1623" s="42" t="str">
        <f>IFERROR(__xludf.DUMMYFUNCTION("""COMPUTED_VALUE"""),"+4000")</f>
        <v>+4000</v>
      </c>
      <c r="K1623" s="42" t="str">
        <f>IFERROR(__xludf.DUMMYFUNCTION("""COMPUTED_VALUE"""),"-")</f>
        <v>-</v>
      </c>
      <c r="L1623" s="42" t="str">
        <f>IFERROR(__xludf.DUMMYFUNCTION("""COMPUTED_VALUE"""),"-")</f>
        <v>-</v>
      </c>
      <c r="M1623" s="42" t="str">
        <f>IFERROR(__xludf.DUMMYFUNCTION("""COMPUTED_VALUE"""),"[C]")</f>
        <v>[C]</v>
      </c>
      <c r="N1623" s="42" t="str">
        <f>IFERROR(__xludf.DUMMYFUNCTION("""COMPUTED_VALUE"""),"Zatch's 2nd spell. His defense spell that can amplify its power by enhancing it with the Zagurzem spell.")</f>
        <v>Zatch's 2nd spell. His defense spell that can amplify its power by enhancing it with the Zagurzem spell.</v>
      </c>
      <c r="O1623" s="42"/>
      <c r="P1623" s="42"/>
      <c r="Q1623" s="42"/>
      <c r="R1623" s="42"/>
      <c r="S1623" s="42"/>
      <c r="T1623" s="42"/>
      <c r="U1623" s="42"/>
      <c r="V1623" s="42"/>
      <c r="W1623" s="42"/>
      <c r="X1623" s="42"/>
      <c r="Y1623" s="42"/>
      <c r="Z1623" s="42"/>
    </row>
    <row r="1624">
      <c r="A1624" s="42" t="str">
        <f>IFERROR(__xludf.DUMMYFUNCTION("""COMPUTED_VALUE"""),"S-493")</f>
        <v>S-493</v>
      </c>
      <c r="B1624" s="42" t="str">
        <f>IFERROR(__xludf.DUMMYFUNCTION("""COMPUTED_VALUE"""),"Spell")</f>
        <v>Spell</v>
      </c>
      <c r="C1624" s="42" t="str">
        <f>IFERROR(__xludf.DUMMYFUNCTION("""COMPUTED_VALUE"""),"Jikerdor")</f>
        <v>Jikerdor</v>
      </c>
      <c r="D1624" s="42" t="str">
        <f>IFERROR(__xludf.DUMMYFUNCTION("""COMPUTED_VALUE"""),"Zatch Bell")</f>
        <v>Zatch Bell</v>
      </c>
      <c r="E1624" s="42">
        <f>IFERROR(__xludf.DUMMYFUNCTION("""COMPUTED_VALUE"""),1.0)</f>
        <v>1</v>
      </c>
      <c r="F1624" s="42" t="str">
        <f>IFERROR(__xludf.DUMMYFUNCTION("""COMPUTED_VALUE"""),"A")</f>
        <v>A</v>
      </c>
      <c r="G1624" s="42" t="str">
        <f>IFERROR(__xludf.DUMMYFUNCTION("""COMPUTED_VALUE"""),"None")</f>
        <v>None</v>
      </c>
      <c r="H1624" s="42" t="str">
        <f>IFERROR(__xludf.DUMMYFUNCTION("""COMPUTED_VALUE"""),"Thunder")</f>
        <v>Thunder</v>
      </c>
      <c r="I1624" s="43" t="str">
        <f>IFERROR(__xludf.DUMMYFUNCTION("""COMPUTED_VALUE"""),"Select 1 of your opponent's in-play MAMODO cards and flip a coin when you win the Battle as an Attacker; if it's heads, Injure the selected MAMODO card.")</f>
        <v>Select 1 of your opponent's in-play MAMODO cards and flip a coin when you win the Battle as an Attacker; if it's heads, Injure the selected MAMODO card.</v>
      </c>
      <c r="J1624" s="42" t="str">
        <f>IFERROR(__xludf.DUMMYFUNCTION("""COMPUTED_VALUE"""),"+3000")</f>
        <v>+3000</v>
      </c>
      <c r="K1624" s="42" t="str">
        <f>IFERROR(__xludf.DUMMYFUNCTION("""COMPUTED_VALUE"""),"-")</f>
        <v>-</v>
      </c>
      <c r="L1624" s="42" t="str">
        <f>IFERROR(__xludf.DUMMYFUNCTION("""COMPUTED_VALUE"""),"-")</f>
        <v>-</v>
      </c>
      <c r="M1624" s="42" t="str">
        <f>IFERROR(__xludf.DUMMYFUNCTION("""COMPUTED_VALUE"""),"[C]")</f>
        <v>[C]</v>
      </c>
      <c r="N1624" s="42" t="str">
        <f>IFERROR(__xludf.DUMMYFUNCTION("""COMPUTED_VALUE"""),"Zatch's 3rd spell. It turns the opponent's body into a magnet!")</f>
        <v>Zatch's 3rd spell. It turns the opponent's body into a magnet!</v>
      </c>
      <c r="O1624" s="42"/>
      <c r="P1624" s="42"/>
      <c r="Q1624" s="42"/>
      <c r="R1624" s="42"/>
      <c r="S1624" s="42"/>
      <c r="T1624" s="42"/>
      <c r="U1624" s="42"/>
      <c r="V1624" s="42"/>
      <c r="W1624" s="42"/>
      <c r="X1624" s="42"/>
      <c r="Y1624" s="42"/>
      <c r="Z1624" s="42"/>
    </row>
    <row r="1625">
      <c r="A1625" s="42" t="str">
        <f>IFERROR(__xludf.DUMMYFUNCTION("""COMPUTED_VALUE"""),"S-494")</f>
        <v>S-494</v>
      </c>
      <c r="B1625" s="42" t="str">
        <f>IFERROR(__xludf.DUMMYFUNCTION("""COMPUTED_VALUE"""),"Spell")</f>
        <v>Spell</v>
      </c>
      <c r="C1625" s="42" t="str">
        <f>IFERROR(__xludf.DUMMYFUNCTION("""COMPUTED_VALUE"""),"Bao Zakeruga")</f>
        <v>Bao Zakeruga</v>
      </c>
      <c r="D1625" s="42" t="str">
        <f>IFERROR(__xludf.DUMMYFUNCTION("""COMPUTED_VALUE"""),"Zatch Bell")</f>
        <v>Zatch Bell</v>
      </c>
      <c r="E1625" s="42">
        <f>IFERROR(__xludf.DUMMYFUNCTION("""COMPUTED_VALUE"""),6.0)</f>
        <v>6</v>
      </c>
      <c r="F1625" s="42" t="str">
        <f>IFERROR(__xludf.DUMMYFUNCTION("""COMPUTED_VALUE"""),"A")</f>
        <v>A</v>
      </c>
      <c r="G1625" s="42" t="str">
        <f>IFERROR(__xludf.DUMMYFUNCTION("""COMPUTED_VALUE"""),"Superior")</f>
        <v>Superior</v>
      </c>
      <c r="H1625" s="42" t="str">
        <f>IFERROR(__xludf.DUMMYFUNCTION("""COMPUTED_VALUE"""),"Thunder")</f>
        <v>Thunder</v>
      </c>
      <c r="I1625" s="43" t="str">
        <f>IFERROR(__xludf.DUMMYFUNCTION("""COMPUTED_VALUE"""),"The Power and Damage of this SPELL card cannot be increased. Damage your opponent's Spell Book by a number of times (maximum 4 times) equal to the number of Zagurzem SPELL card effects that are applied to this SPELL card when you win the Battle as an Atta"&amp;"cker.")</f>
        <v>The Power and Damage of this SPELL card cannot be increased. Damage your opponent's Spell Book by a number of times (maximum 4 times) equal to the number of Zagurzem SPELL card effects that are applied to this SPELL card when you win the Battle as an Attacker.</v>
      </c>
      <c r="J1625" s="42" t="str">
        <f>IFERROR(__xludf.DUMMYFUNCTION("""COMPUTED_VALUE"""),"+6000")</f>
        <v>+6000</v>
      </c>
      <c r="K1625" s="42">
        <f>IFERROR(__xludf.DUMMYFUNCTION("""COMPUTED_VALUE"""),3.0)</f>
        <v>3</v>
      </c>
      <c r="L1625" s="42" t="str">
        <f>IFERROR(__xludf.DUMMYFUNCTION("""COMPUTED_VALUE"""),"-")</f>
        <v>-</v>
      </c>
      <c r="M1625" s="42" t="str">
        <f>IFERROR(__xludf.DUMMYFUNCTION("""COMPUTED_VALUE"""),"[SR]")</f>
        <v>[SR]</v>
      </c>
      <c r="N1625" s="42" t="str">
        <f>IFERROR(__xludf.DUMMYFUNCTION("""COMPUTED_VALUE"""),"Zatch's 4th spell. ""All right, you idiot... You're gonna be my guinea pig to find out!""")</f>
        <v>Zatch's 4th spell. "All right, you idiot... You're gonna be my guinea pig to find out!"</v>
      </c>
      <c r="O1625" s="42"/>
      <c r="P1625" s="42"/>
      <c r="Q1625" s="42"/>
      <c r="R1625" s="42"/>
      <c r="S1625" s="42"/>
      <c r="T1625" s="42"/>
      <c r="U1625" s="42"/>
      <c r="V1625" s="42"/>
      <c r="W1625" s="42"/>
      <c r="X1625" s="42"/>
      <c r="Y1625" s="42"/>
      <c r="Z1625" s="42"/>
    </row>
    <row r="1626">
      <c r="A1626" s="42" t="str">
        <f>IFERROR(__xludf.DUMMYFUNCTION("""COMPUTED_VALUE"""),"S-495")</f>
        <v>S-495</v>
      </c>
      <c r="B1626" s="42" t="str">
        <f>IFERROR(__xludf.DUMMYFUNCTION("""COMPUTED_VALUE"""),"Spell")</f>
        <v>Spell</v>
      </c>
      <c r="C1626" s="42" t="str">
        <f>IFERROR(__xludf.DUMMYFUNCTION("""COMPUTED_VALUE"""),"Zakeruga")</f>
        <v>Zakeruga</v>
      </c>
      <c r="D1626" s="42" t="str">
        <f>IFERROR(__xludf.DUMMYFUNCTION("""COMPUTED_VALUE"""),"Zatch Bell")</f>
        <v>Zatch Bell</v>
      </c>
      <c r="E1626" s="42">
        <f>IFERROR(__xludf.DUMMYFUNCTION("""COMPUTED_VALUE"""),1.0)</f>
        <v>1</v>
      </c>
      <c r="F1626" s="42" t="str">
        <f>IFERROR(__xludf.DUMMYFUNCTION("""COMPUTED_VALUE"""),"AD")</f>
        <v>AD</v>
      </c>
      <c r="G1626" s="42" t="str">
        <f>IFERROR(__xludf.DUMMYFUNCTION("""COMPUTED_VALUE"""),"Intermediate")</f>
        <v>Intermediate</v>
      </c>
      <c r="H1626" s="42" t="str">
        <f>IFERROR(__xludf.DUMMYFUNCTION("""COMPUTED_VALUE"""),"Thunder")</f>
        <v>Thunder</v>
      </c>
      <c r="I1626" s="43" t="str">
        <f>IFERROR(__xludf.DUMMYFUNCTION("""COMPUTED_VALUE"""),"Damage your opponent's Spell Book when you win the Battle as an Attacker. Before comparing Total Power, you may pay 1 MP to add 3000 Power to this SPELL card.")</f>
        <v>Damage your opponent's Spell Book when you win the Battle as an Attacker. Before comparing Total Power, you may pay 1 MP to add 3000 Power to this SPELL card.</v>
      </c>
      <c r="J1626" s="42" t="str">
        <f>IFERROR(__xludf.DUMMYFUNCTION("""COMPUTED_VALUE"""),"+2000")</f>
        <v>+2000</v>
      </c>
      <c r="K1626" s="42">
        <f>IFERROR(__xludf.DUMMYFUNCTION("""COMPUTED_VALUE"""),2.0)</f>
        <v>2</v>
      </c>
      <c r="L1626" s="42" t="str">
        <f>IFERROR(__xludf.DUMMYFUNCTION("""COMPUTED_VALUE"""),"-")</f>
        <v>-</v>
      </c>
      <c r="M1626" s="42" t="str">
        <f>IFERROR(__xludf.DUMMYFUNCTION("""COMPUTED_VALUE"""),"[U]")</f>
        <v>[U]</v>
      </c>
      <c r="N1626" s="42" t="str">
        <f>IFERROR(__xludf.DUMMYFUNCTION("""COMPUTED_VALUE"""),"Zatch's 5th spell. Its power exceeds that of Zaker and is shot straight toward the target.")</f>
        <v>Zatch's 5th spell. Its power exceeds that of Zaker and is shot straight toward the target.</v>
      </c>
      <c r="O1626" s="42"/>
      <c r="P1626" s="42"/>
      <c r="Q1626" s="42"/>
      <c r="R1626" s="42"/>
      <c r="S1626" s="42"/>
      <c r="T1626" s="42"/>
      <c r="U1626" s="42"/>
      <c r="V1626" s="42"/>
      <c r="W1626" s="42"/>
      <c r="X1626" s="42"/>
      <c r="Y1626" s="42"/>
      <c r="Z1626" s="42"/>
    </row>
    <row r="1627">
      <c r="A1627" s="42" t="str">
        <f>IFERROR(__xludf.DUMMYFUNCTION("""COMPUTED_VALUE"""),"S-496")</f>
        <v>S-496</v>
      </c>
      <c r="B1627" s="42" t="str">
        <f>IFERROR(__xludf.DUMMYFUNCTION("""COMPUTED_VALUE"""),"Spell")</f>
        <v>Spell</v>
      </c>
      <c r="C1627" s="42" t="str">
        <f>IFERROR(__xludf.DUMMYFUNCTION("""COMPUTED_VALUE"""),"Rauzaruk")</f>
        <v>Rauzaruk</v>
      </c>
      <c r="D1627" s="42" t="str">
        <f>IFERROR(__xludf.DUMMYFUNCTION("""COMPUTED_VALUE"""),"Zatch Bell")</f>
        <v>Zatch Bell</v>
      </c>
      <c r="E1627" s="42">
        <f>IFERROR(__xludf.DUMMYFUNCTION("""COMPUTED_VALUE"""),1.0)</f>
        <v>1</v>
      </c>
      <c r="F1627" s="42" t="str">
        <f>IFERROR(__xludf.DUMMYFUNCTION("""COMPUTED_VALUE"""),"D")</f>
        <v>D</v>
      </c>
      <c r="G1627" s="42" t="str">
        <f>IFERROR(__xludf.DUMMYFUNCTION("""COMPUTED_VALUE"""),"Intermediate")</f>
        <v>Intermediate</v>
      </c>
      <c r="H1627" s="42" t="str">
        <f>IFERROR(__xludf.DUMMYFUNCTION("""COMPUTED_VALUE"""),"Thunder")</f>
        <v>Thunder</v>
      </c>
      <c r="I1627" s="43" t="str">
        <f>IFERROR(__xludf.DUMMYFUNCTION("""COMPUTED_VALUE"""),"Flip a coin regardless of Power; if it's heads, negate your opponent's Attack. Then, Injure the MAMODO card that Attacked in the Battle.")</f>
        <v>Flip a coin regardless of Power; if it's heads, negate your opponent's Attack. Then, Injure the MAMODO card that Attacked in the Battle.</v>
      </c>
      <c r="J1627" s="42" t="str">
        <f>IFERROR(__xludf.DUMMYFUNCTION("""COMPUTED_VALUE"""),"-")</f>
        <v>-</v>
      </c>
      <c r="K1627" s="42" t="str">
        <f>IFERROR(__xludf.DUMMYFUNCTION("""COMPUTED_VALUE"""),"-")</f>
        <v>-</v>
      </c>
      <c r="L1627" s="42" t="str">
        <f>IFERROR(__xludf.DUMMYFUNCTION("""COMPUTED_VALUE"""),"-")</f>
        <v>-</v>
      </c>
      <c r="M1627" s="42" t="str">
        <f>IFERROR(__xludf.DUMMYFUNCTION("""COMPUTED_VALUE"""),"[U]")</f>
        <v>[U]</v>
      </c>
      <c r="N1627" s="42" t="str">
        <f>IFERROR(__xludf.DUMMYFUNCTION("""COMPUTED_VALUE"""),"Zatch's 6th spell. ""I started off with our most powerful spell, and they weren't fazed at all! They dodged our attack by enhancing Zatch's physical abilities... and they even managed to counterattack us!""")</f>
        <v>Zatch's 6th spell. "I started off with our most powerful spell, and they weren't fazed at all! They dodged our attack by enhancing Zatch's physical abilities... and they even managed to counterattack us!"</v>
      </c>
      <c r="O1627" s="42"/>
      <c r="P1627" s="42"/>
      <c r="Q1627" s="42"/>
      <c r="R1627" s="42"/>
      <c r="S1627" s="42"/>
      <c r="T1627" s="42"/>
      <c r="U1627" s="42"/>
      <c r="V1627" s="42"/>
      <c r="W1627" s="42"/>
      <c r="X1627" s="42"/>
      <c r="Y1627" s="42"/>
      <c r="Z1627" s="42"/>
    </row>
    <row r="1628">
      <c r="A1628" s="42" t="str">
        <f>IFERROR(__xludf.DUMMYFUNCTION("""COMPUTED_VALUE"""),"S-497")</f>
        <v>S-497</v>
      </c>
      <c r="B1628" s="42" t="str">
        <f>IFERROR(__xludf.DUMMYFUNCTION("""COMPUTED_VALUE"""),"Spell")</f>
        <v>Spell</v>
      </c>
      <c r="C1628" s="42" t="str">
        <f>IFERROR(__xludf.DUMMYFUNCTION("""COMPUTED_VALUE"""),"Zagurzem")</f>
        <v>Zagurzem</v>
      </c>
      <c r="D1628" s="42" t="str">
        <f>IFERROR(__xludf.DUMMYFUNCTION("""COMPUTED_VALUE"""),"Zatch Bell")</f>
        <v>Zatch Bell</v>
      </c>
      <c r="E1628" s="42">
        <f>IFERROR(__xludf.DUMMYFUNCTION("""COMPUTED_VALUE"""),1.0)</f>
        <v>1</v>
      </c>
      <c r="F1628" s="42" t="str">
        <f>IFERROR(__xludf.DUMMYFUNCTION("""COMPUTED_VALUE"""),"A")</f>
        <v>A</v>
      </c>
      <c r="G1628" s="42" t="str">
        <f>IFERROR(__xludf.DUMMYFUNCTION("""COMPUTED_VALUE"""),"Intermediate")</f>
        <v>Intermediate</v>
      </c>
      <c r="H1628" s="42" t="str">
        <f>IFERROR(__xludf.DUMMYFUNCTION("""COMPUTED_VALUE"""),"Thunder")</f>
        <v>Thunder</v>
      </c>
      <c r="I1628" s="43" t="str">
        <f>IFERROR(__xludf.DUMMYFUNCTION("""COMPUTED_VALUE"""),"[STANDBY] Add 3000 Power to 1 of your SPELL cards with Zatch Bell as its MAMODO name in any page of your Spell Book during this game (this effect can be duplicated).")</f>
        <v>[STANDBY] Add 3000 Power to 1 of your SPELL cards with Zatch Bell as its MAMODO name in any page of your Spell Book during this game (this effect can be duplicated).</v>
      </c>
      <c r="J1628" s="42" t="str">
        <f>IFERROR(__xludf.DUMMYFUNCTION("""COMPUTED_VALUE"""),"-")</f>
        <v>-</v>
      </c>
      <c r="K1628" s="42" t="str">
        <f>IFERROR(__xludf.DUMMYFUNCTION("""COMPUTED_VALUE"""),"-")</f>
        <v>-</v>
      </c>
      <c r="L1628" s="42" t="str">
        <f>IFERROR(__xludf.DUMMYFUNCTION("""COMPUTED_VALUE"""),"-")</f>
        <v>-</v>
      </c>
      <c r="M1628" s="42" t="str">
        <f>IFERROR(__xludf.DUMMYFUNCTION("""COMPUTED_VALUE"""),"[C]")</f>
        <v>[C]</v>
      </c>
      <c r="N1628" s="42" t="str">
        <f>IFERROR(__xludf.DUMMYFUNCTION("""COMPUTED_VALUE"""),"Zatch's 7th spell. ""It's okay, Zatch... You're doing the right thing... You're shooting Zagurzem exactly where you're supposed to...""")</f>
        <v>Zatch's 7th spell. "It's okay, Zatch... You're doing the right thing... You're shooting Zagurzem exactly where you're supposed to..."</v>
      </c>
      <c r="O1628" s="42"/>
      <c r="P1628" s="42"/>
      <c r="Q1628" s="42"/>
      <c r="R1628" s="42"/>
      <c r="S1628" s="42"/>
      <c r="T1628" s="42"/>
      <c r="U1628" s="42"/>
      <c r="V1628" s="42"/>
      <c r="W1628" s="42"/>
      <c r="X1628" s="42"/>
      <c r="Y1628" s="42"/>
      <c r="Z1628" s="42"/>
    </row>
    <row r="1629">
      <c r="A1629" s="42" t="str">
        <f>IFERROR(__xludf.DUMMYFUNCTION("""COMPUTED_VALUE"""),"S-498")</f>
        <v>S-498</v>
      </c>
      <c r="B1629" s="42" t="str">
        <f>IFERROR(__xludf.DUMMYFUNCTION("""COMPUTED_VALUE"""),"Spell")</f>
        <v>Spell</v>
      </c>
      <c r="C1629" s="42" t="str">
        <f>IFERROR(__xludf.DUMMYFUNCTION("""COMPUTED_VALUE"""),"Poruk")</f>
        <v>Poruk</v>
      </c>
      <c r="D1629" s="42" t="str">
        <f>IFERROR(__xludf.DUMMYFUNCTION("""COMPUTED_VALUE"""),"Kanchomé")</f>
        <v>Kanchomé</v>
      </c>
      <c r="E1629" s="42">
        <f>IFERROR(__xludf.DUMMYFUNCTION("""COMPUTED_VALUE"""),1.0)</f>
        <v>1</v>
      </c>
      <c r="F1629" s="42" t="str">
        <f>IFERROR(__xludf.DUMMYFUNCTION("""COMPUTED_VALUE"""),"A")</f>
        <v>A</v>
      </c>
      <c r="G1629" s="42" t="str">
        <f>IFERROR(__xludf.DUMMYFUNCTION("""COMPUTED_VALUE"""),"None")</f>
        <v>None</v>
      </c>
      <c r="H1629" s="42" t="str">
        <f>IFERROR(__xludf.DUMMYFUNCTION("""COMPUTED_VALUE"""),"-")</f>
        <v>-</v>
      </c>
      <c r="I1629" s="43" t="str">
        <f>IFERROR(__xludf.DUMMYFUNCTION("""COMPUTED_VALUE"""),"Apply 1 of the following effects: ● Move 1 of your in-play MAMODO or PARTNER cards to an empty page of your Spell Book. ● Select 1 MAMODO or PARTNER card from any page of your Spell Book and put it in play.")</f>
        <v>Apply 1 of the following effects: ● Move 1 of your in-play MAMODO or PARTNER cards to an empty page of your Spell Book. ● Select 1 MAMODO or PARTNER card from any page of your Spell Book and put it in play.</v>
      </c>
      <c r="J1629" s="42" t="str">
        <f>IFERROR(__xludf.DUMMYFUNCTION("""COMPUTED_VALUE"""),"-")</f>
        <v>-</v>
      </c>
      <c r="K1629" s="42" t="str">
        <f>IFERROR(__xludf.DUMMYFUNCTION("""COMPUTED_VALUE"""),"-")</f>
        <v>-</v>
      </c>
      <c r="L1629" s="42" t="str">
        <f>IFERROR(__xludf.DUMMYFUNCTION("""COMPUTED_VALUE"""),"-")</f>
        <v>-</v>
      </c>
      <c r="M1629" s="42" t="str">
        <f>IFERROR(__xludf.DUMMYFUNCTION("""COMPUTED_VALUE"""),"[C]")</f>
        <v>[C]</v>
      </c>
      <c r="N1629" s="42" t="str">
        <f>IFERROR(__xludf.DUMMYFUNCTION("""COMPUTED_VALUE"""),"Kanchomé's 1st spell. He transforms into a grappling hook to latch onto something at a distance. When he changes back, he can move to the spot he latched onto.")</f>
        <v>Kanchomé's 1st spell. He transforms into a grappling hook to latch onto something at a distance. When he changes back, he can move to the spot he latched onto.</v>
      </c>
      <c r="O1629" s="42"/>
      <c r="P1629" s="42"/>
      <c r="Q1629" s="42"/>
      <c r="R1629" s="42"/>
      <c r="S1629" s="42"/>
      <c r="T1629" s="42"/>
      <c r="U1629" s="42"/>
      <c r="V1629" s="42"/>
      <c r="W1629" s="42"/>
      <c r="X1629" s="42"/>
      <c r="Y1629" s="42"/>
      <c r="Z1629" s="42"/>
    </row>
    <row r="1630">
      <c r="A1630" s="42" t="str">
        <f>IFERROR(__xludf.DUMMYFUNCTION("""COMPUTED_VALUE"""),"S-499")</f>
        <v>S-499</v>
      </c>
      <c r="B1630" s="42" t="str">
        <f>IFERROR(__xludf.DUMMYFUNCTION("""COMPUTED_VALUE"""),"Spell")</f>
        <v>Spell</v>
      </c>
      <c r="C1630" s="42" t="str">
        <f>IFERROR(__xludf.DUMMYFUNCTION("""COMPUTED_VALUE"""),"Koporuk")</f>
        <v>Koporuk</v>
      </c>
      <c r="D1630" s="42" t="str">
        <f>IFERROR(__xludf.DUMMYFUNCTION("""COMPUTED_VALUE"""),"Kanchomé")</f>
        <v>Kanchomé</v>
      </c>
      <c r="E1630" s="42">
        <f>IFERROR(__xludf.DUMMYFUNCTION("""COMPUTED_VALUE"""),1.0)</f>
        <v>1</v>
      </c>
      <c r="F1630" s="42" t="str">
        <f>IFERROR(__xludf.DUMMYFUNCTION("""COMPUTED_VALUE"""),"A")</f>
        <v>A</v>
      </c>
      <c r="G1630" s="42" t="str">
        <f>IFERROR(__xludf.DUMMYFUNCTION("""COMPUTED_VALUE"""),"None")</f>
        <v>None</v>
      </c>
      <c r="H1630" s="42" t="str">
        <f>IFERROR(__xludf.DUMMYFUNCTION("""COMPUTED_VALUE"""),"-")</f>
        <v>-</v>
      </c>
      <c r="I1630" s="43" t="str">
        <f>IFERROR(__xludf.DUMMYFUNCTION("""COMPUTED_VALUE"""),"Damage your opponent's Spell Book when you win the Battle as an Attacker. Your opponent can neither SACRIFICE nor PROTECT their Spell Book from this SPELL card's Damage.")</f>
        <v>Damage your opponent's Spell Book when you win the Battle as an Attacker. Your opponent can neither SACRIFICE nor PROTECT their Spell Book from this SPELL card's Damage.</v>
      </c>
      <c r="J1630" s="42" t="str">
        <f>IFERROR(__xludf.DUMMYFUNCTION("""COMPUTED_VALUE"""),"+0")</f>
        <v>+0</v>
      </c>
      <c r="K1630" s="42">
        <f>IFERROR(__xludf.DUMMYFUNCTION("""COMPUTED_VALUE"""),1.0)</f>
        <v>1</v>
      </c>
      <c r="L1630" s="42" t="str">
        <f>IFERROR(__xludf.DUMMYFUNCTION("""COMPUTED_VALUE"""),"-")</f>
        <v>-</v>
      </c>
      <c r="M1630" s="42" t="str">
        <f>IFERROR(__xludf.DUMMYFUNCTION("""COMPUTED_VALUE"""),"[C]")</f>
        <v>[C]</v>
      </c>
      <c r="N1630" s="42" t="str">
        <f>IFERROR(__xludf.DUMMYFUNCTION("""COMPUTED_VALUE"""),"Kanchomé's 2nd spell. ""Why am I getting this awful feeling? I've gotta... defeat this guy right away!""")</f>
        <v>Kanchomé's 2nd spell. "Why am I getting this awful feeling? I've gotta... defeat this guy right away!"</v>
      </c>
      <c r="O1630" s="42"/>
      <c r="P1630" s="42"/>
      <c r="Q1630" s="42"/>
      <c r="R1630" s="42"/>
      <c r="S1630" s="42"/>
      <c r="T1630" s="42"/>
      <c r="U1630" s="42"/>
      <c r="V1630" s="42"/>
      <c r="W1630" s="42"/>
      <c r="X1630" s="42"/>
      <c r="Y1630" s="42"/>
      <c r="Z1630" s="42"/>
    </row>
    <row r="1631">
      <c r="A1631" s="42" t="str">
        <f>IFERROR(__xludf.DUMMYFUNCTION("""COMPUTED_VALUE"""),"S-500")</f>
        <v>S-500</v>
      </c>
      <c r="B1631" s="42" t="str">
        <f>IFERROR(__xludf.DUMMYFUNCTION("""COMPUTED_VALUE"""),"Spell")</f>
        <v>Spell</v>
      </c>
      <c r="C1631" s="42" t="str">
        <f>IFERROR(__xludf.DUMMYFUNCTION("""COMPUTED_VALUE"""),"Dikaporuk")</f>
        <v>Dikaporuk</v>
      </c>
      <c r="D1631" s="42" t="str">
        <f>IFERROR(__xludf.DUMMYFUNCTION("""COMPUTED_VALUE"""),"Kanchomé")</f>
        <v>Kanchomé</v>
      </c>
      <c r="E1631" s="42">
        <f>IFERROR(__xludf.DUMMYFUNCTION("""COMPUTED_VALUE"""),1.0)</f>
        <v>1</v>
      </c>
      <c r="F1631" s="42" t="str">
        <f>IFERROR(__xludf.DUMMYFUNCTION("""COMPUTED_VALUE"""),"A")</f>
        <v>A</v>
      </c>
      <c r="G1631" s="42" t="str">
        <f>IFERROR(__xludf.DUMMYFUNCTION("""COMPUTED_VALUE"""),"None")</f>
        <v>None</v>
      </c>
      <c r="H1631" s="42" t="str">
        <f>IFERROR(__xludf.DUMMYFUNCTION("""COMPUTED_VALUE"""),"-")</f>
        <v>-</v>
      </c>
      <c r="I1631" s="43" t="str">
        <f>IFERROR(__xludf.DUMMYFUNCTION("""COMPUTED_VALUE"""),"[STAY] Select 1 of your opponent's in-play MAMODO cards. Your opponent cannot apply the effects of the selected MAMODO card during this turn.")</f>
        <v>[STAY] Select 1 of your opponent's in-play MAMODO cards. Your opponent cannot apply the effects of the selected MAMODO card during this turn.</v>
      </c>
      <c r="J1631" s="42" t="str">
        <f>IFERROR(__xludf.DUMMYFUNCTION("""COMPUTED_VALUE"""),"-")</f>
        <v>-</v>
      </c>
      <c r="K1631" s="42" t="str">
        <f>IFERROR(__xludf.DUMMYFUNCTION("""COMPUTED_VALUE"""),"-")</f>
        <v>-</v>
      </c>
      <c r="L1631" s="42" t="str">
        <f>IFERROR(__xludf.DUMMYFUNCTION("""COMPUTED_VALUE"""),"-")</f>
        <v>-</v>
      </c>
      <c r="M1631" s="42" t="str">
        <f>IFERROR(__xludf.DUMMYFUNCTION("""COMPUTED_VALUE"""),"[C]")</f>
        <v>[C]</v>
      </c>
      <c r="N1631" s="42" t="str">
        <f>IFERROR(__xludf.DUMMYFUNCTION("""COMPUTED_VALUE"""),"Kanchomé's 3rd spell. ""Okay, Kiyo. Leave it to us! Ready, Kanchomé?""")</f>
        <v>Kanchomé's 3rd spell. "Okay, Kiyo. Leave it to us! Ready, Kanchomé?"</v>
      </c>
      <c r="O1631" s="42"/>
      <c r="P1631" s="42"/>
      <c r="Q1631" s="42"/>
      <c r="R1631" s="42"/>
      <c r="S1631" s="42"/>
      <c r="T1631" s="42"/>
      <c r="U1631" s="42"/>
      <c r="V1631" s="42"/>
      <c r="W1631" s="42"/>
      <c r="X1631" s="42"/>
      <c r="Y1631" s="42"/>
      <c r="Z1631" s="42"/>
    </row>
    <row r="1632">
      <c r="A1632" s="42" t="str">
        <f>IFERROR(__xludf.DUMMYFUNCTION("""COMPUTED_VALUE"""),"S-501")</f>
        <v>S-501</v>
      </c>
      <c r="B1632" s="42" t="str">
        <f>IFERROR(__xludf.DUMMYFUNCTION("""COMPUTED_VALUE"""),"Spell")</f>
        <v>Spell</v>
      </c>
      <c r="C1632" s="42" t="str">
        <f>IFERROR(__xludf.DUMMYFUNCTION("""COMPUTED_VALUE"""),"Dima Buruk")</f>
        <v>Dima Buruk</v>
      </c>
      <c r="D1632" s="42" t="str">
        <f>IFERROR(__xludf.DUMMYFUNCTION("""COMPUTED_VALUE"""),"Kanchomé")</f>
        <v>Kanchomé</v>
      </c>
      <c r="E1632" s="42">
        <f>IFERROR(__xludf.DUMMYFUNCTION("""COMPUTED_VALUE"""),1.0)</f>
        <v>1</v>
      </c>
      <c r="F1632" s="42" t="str">
        <f>IFERROR(__xludf.DUMMYFUNCTION("""COMPUTED_VALUE"""),"AD")</f>
        <v>AD</v>
      </c>
      <c r="G1632" s="42" t="str">
        <f>IFERROR(__xludf.DUMMYFUNCTION("""COMPUTED_VALUE"""),"Intermediate")</f>
        <v>Intermediate</v>
      </c>
      <c r="H1632" s="42" t="str">
        <f>IFERROR(__xludf.DUMMYFUNCTION("""COMPUTED_VALUE"""),"-")</f>
        <v>-</v>
      </c>
      <c r="I1632" s="43" t="str">
        <f>IFERROR(__xludf.DUMMYFUNCTION("""COMPUTED_VALUE"""),"Select 1 Kanchomé MAMODO card from any page of your Spell Book and put it in play (regardless of card name rules and the number of MAMODO cards you have in play). Send the selected Kanchomé MAMODO card to the Discard Pile at the END PHASE of this turn eve"&amp;"n when prohibited to do so.")</f>
        <v>Select 1 Kanchomé MAMODO card from any page of your Spell Book and put it in play (regardless of card name rules and the number of MAMODO cards you have in play). Send the selected Kanchomé MAMODO card to the Discard Pile at the END PHASE of this turn even when prohibited to do so.</v>
      </c>
      <c r="J1632" s="42" t="str">
        <f>IFERROR(__xludf.DUMMYFUNCTION("""COMPUTED_VALUE"""),"-")</f>
        <v>-</v>
      </c>
      <c r="K1632" s="42" t="str">
        <f>IFERROR(__xludf.DUMMYFUNCTION("""COMPUTED_VALUE"""),"-")</f>
        <v>-</v>
      </c>
      <c r="L1632" s="42" t="str">
        <f>IFERROR(__xludf.DUMMYFUNCTION("""COMPUTED_VALUE"""),"-")</f>
        <v>-</v>
      </c>
      <c r="M1632" s="42" t="str">
        <f>IFERROR(__xludf.DUMMYFUNCTION("""COMPUTED_VALUE"""),"[SR]")</f>
        <v>[SR]</v>
      </c>
      <c r="N1632" s="42" t="str">
        <f>IFERROR(__xludf.DUMMYFUNCTION("""COMPUTED_VALUE"""),"Kanchomé's 4th spell. ""When they work as a team, they're really strong!""")</f>
        <v>Kanchomé's 4th spell. "When they work as a team, they're really strong!"</v>
      </c>
      <c r="O1632" s="42"/>
      <c r="P1632" s="42"/>
      <c r="Q1632" s="42"/>
      <c r="R1632" s="42"/>
      <c r="S1632" s="42"/>
      <c r="T1632" s="42"/>
      <c r="U1632" s="42"/>
      <c r="V1632" s="42"/>
      <c r="W1632" s="42"/>
      <c r="X1632" s="42"/>
      <c r="Y1632" s="42"/>
      <c r="Z1632" s="42"/>
    </row>
    <row r="1633">
      <c r="A1633" s="42" t="str">
        <f>IFERROR(__xludf.DUMMYFUNCTION("""COMPUTED_VALUE"""),"S-502")</f>
        <v>S-502</v>
      </c>
      <c r="B1633" s="42" t="str">
        <f>IFERROR(__xludf.DUMMYFUNCTION("""COMPUTED_VALUE"""),"Spell")</f>
        <v>Spell</v>
      </c>
      <c r="C1633" s="42" t="str">
        <f>IFERROR(__xludf.DUMMYFUNCTION("""COMPUTED_VALUE"""),"Saisu")</f>
        <v>Saisu</v>
      </c>
      <c r="D1633" s="42" t="str">
        <f>IFERROR(__xludf.DUMMYFUNCTION("""COMPUTED_VALUE"""),"Tia")</f>
        <v>Tia</v>
      </c>
      <c r="E1633" s="42">
        <f>IFERROR(__xludf.DUMMYFUNCTION("""COMPUTED_VALUE"""),1.0)</f>
        <v>1</v>
      </c>
      <c r="F1633" s="42" t="str">
        <f>IFERROR(__xludf.DUMMYFUNCTION("""COMPUTED_VALUE"""),"A")</f>
        <v>A</v>
      </c>
      <c r="G1633" s="42" t="str">
        <f>IFERROR(__xludf.DUMMYFUNCTION("""COMPUTED_VALUE"""),"None")</f>
        <v>None</v>
      </c>
      <c r="H1633" s="42" t="str">
        <f>IFERROR(__xludf.DUMMYFUNCTION("""COMPUTED_VALUE"""),"-")</f>
        <v>-</v>
      </c>
      <c r="I1633" s="43" t="str">
        <f>IFERROR(__xludf.DUMMYFUNCTION("""COMPUTED_VALUE"""),"Apply 1 of the following effects when you win the Battle as an Attacker: ● Damage your opponent's Spell Book. ● Send 1 of your opponent's in-play PARTNER cards to the Discard Pile.")</f>
        <v>Apply 1 of the following effects when you win the Battle as an Attacker: ● Damage your opponent's Spell Book. ● Send 1 of your opponent's in-play PARTNER cards to the Discard Pile.</v>
      </c>
      <c r="J1633" s="42" t="str">
        <f>IFERROR(__xludf.DUMMYFUNCTION("""COMPUTED_VALUE"""),"+2000")</f>
        <v>+2000</v>
      </c>
      <c r="K1633" s="42">
        <f>IFERROR(__xludf.DUMMYFUNCTION("""COMPUTED_VALUE"""),1.0)</f>
        <v>1</v>
      </c>
      <c r="L1633" s="42" t="str">
        <f>IFERROR(__xludf.DUMMYFUNCTION("""COMPUTED_VALUE"""),"-")</f>
        <v>-</v>
      </c>
      <c r="M1633" s="42" t="str">
        <f>IFERROR(__xludf.DUMMYFUNCTION("""COMPUTED_VALUE"""),"[C]")</f>
        <v>[C]</v>
      </c>
      <c r="N1633" s="42" t="str">
        <f>IFERROR(__xludf.DUMMYFUNCTION("""COMPUTED_VALUE"""),"Tia's 1st spell. ""Megumi!"" ""Yeah! SAISU!"" Tia's attack burnt up Borubora's spell book.")</f>
        <v>Tia's 1st spell. "Megumi!" "Yeah! SAISU!" Tia's attack burnt up Borubora's spell book.</v>
      </c>
      <c r="O1633" s="42"/>
      <c r="P1633" s="42"/>
      <c r="Q1633" s="42"/>
      <c r="R1633" s="42"/>
      <c r="S1633" s="42"/>
      <c r="T1633" s="42"/>
      <c r="U1633" s="42"/>
      <c r="V1633" s="42"/>
      <c r="W1633" s="42"/>
      <c r="X1633" s="42"/>
      <c r="Y1633" s="42"/>
      <c r="Z1633" s="42"/>
    </row>
    <row r="1634">
      <c r="A1634" s="42" t="str">
        <f>IFERROR(__xludf.DUMMYFUNCTION("""COMPUTED_VALUE"""),"S-503")</f>
        <v>S-503</v>
      </c>
      <c r="B1634" s="42" t="str">
        <f>IFERROR(__xludf.DUMMYFUNCTION("""COMPUTED_VALUE"""),"Spell")</f>
        <v>Spell</v>
      </c>
      <c r="C1634" s="42" t="str">
        <f>IFERROR(__xludf.DUMMYFUNCTION("""COMPUTED_VALUE"""),"Seoshi")</f>
        <v>Seoshi</v>
      </c>
      <c r="D1634" s="42" t="str">
        <f>IFERROR(__xludf.DUMMYFUNCTION("""COMPUTED_VALUE"""),"Tia")</f>
        <v>Tia</v>
      </c>
      <c r="E1634" s="42">
        <f>IFERROR(__xludf.DUMMYFUNCTION("""COMPUTED_VALUE"""),1.0)</f>
        <v>1</v>
      </c>
      <c r="F1634" s="42" t="str">
        <f>IFERROR(__xludf.DUMMYFUNCTION("""COMPUTED_VALUE"""),"D")</f>
        <v>D</v>
      </c>
      <c r="G1634" s="42" t="str">
        <f>IFERROR(__xludf.DUMMYFUNCTION("""COMPUTED_VALUE"""),"None")</f>
        <v>None</v>
      </c>
      <c r="H1634" s="42" t="str">
        <f>IFERROR(__xludf.DUMMYFUNCTION("""COMPUTED_VALUE"""),"-")</f>
        <v>-</v>
      </c>
      <c r="I1634" s="43" t="str">
        <f>IFERROR(__xludf.DUMMYFUNCTION("""COMPUTED_VALUE"""),"Select 1 of your in-play MAMODO cards. Regardless of Power, the selected MAMODO card cannot receive Damage or Injury from your opponent's Attack in the Battle.")</f>
        <v>Select 1 of your in-play MAMODO cards. Regardless of Power, the selected MAMODO card cannot receive Damage or Injury from your opponent's Attack in the Battle.</v>
      </c>
      <c r="J1634" s="42" t="str">
        <f>IFERROR(__xludf.DUMMYFUNCTION("""COMPUTED_VALUE"""),"-")</f>
        <v>-</v>
      </c>
      <c r="K1634" s="42" t="str">
        <f>IFERROR(__xludf.DUMMYFUNCTION("""COMPUTED_VALUE"""),"-")</f>
        <v>-</v>
      </c>
      <c r="L1634" s="42" t="str">
        <f>IFERROR(__xludf.DUMMYFUNCTION("""COMPUTED_VALUE"""),"-")</f>
        <v>-</v>
      </c>
      <c r="M1634" s="42" t="str">
        <f>IFERROR(__xludf.DUMMYFUNCTION("""COMPUTED_VALUE"""),"[C]")</f>
        <v>[C]</v>
      </c>
      <c r="N1634" s="42" t="str">
        <f>IFERROR(__xludf.DUMMYFUNCTION("""COMPUTED_VALUE"""),"Tia's 2nd spell. ""Oh no... I can't protect everyone... They're too far away!""")</f>
        <v>Tia's 2nd spell. "Oh no... I can't protect everyone... They're too far away!"</v>
      </c>
      <c r="O1634" s="42"/>
      <c r="P1634" s="42"/>
      <c r="Q1634" s="42"/>
      <c r="R1634" s="42"/>
      <c r="S1634" s="42"/>
      <c r="T1634" s="42"/>
      <c r="U1634" s="42"/>
      <c r="V1634" s="42"/>
      <c r="W1634" s="42"/>
      <c r="X1634" s="42"/>
      <c r="Y1634" s="42"/>
      <c r="Z1634" s="42"/>
    </row>
    <row r="1635">
      <c r="A1635" s="42" t="str">
        <f>IFERROR(__xludf.DUMMYFUNCTION("""COMPUTED_VALUE"""),"S-504")</f>
        <v>S-504</v>
      </c>
      <c r="B1635" s="42" t="str">
        <f>IFERROR(__xludf.DUMMYFUNCTION("""COMPUTED_VALUE"""),"Spell")</f>
        <v>Spell</v>
      </c>
      <c r="C1635" s="42" t="str">
        <f>IFERROR(__xludf.DUMMYFUNCTION("""COMPUTED_VALUE"""),"Ma Seshield")</f>
        <v>Ma Seshield</v>
      </c>
      <c r="D1635" s="42" t="str">
        <f>IFERROR(__xludf.DUMMYFUNCTION("""COMPUTED_VALUE"""),"Tia")</f>
        <v>Tia</v>
      </c>
      <c r="E1635" s="42">
        <f>IFERROR(__xludf.DUMMYFUNCTION("""COMPUTED_VALUE"""),1.0)</f>
        <v>1</v>
      </c>
      <c r="F1635" s="42" t="str">
        <f>IFERROR(__xludf.DUMMYFUNCTION("""COMPUTED_VALUE"""),"D")</f>
        <v>D</v>
      </c>
      <c r="G1635" s="42" t="str">
        <f>IFERROR(__xludf.DUMMYFUNCTION("""COMPUTED_VALUE"""),"Intermediate")</f>
        <v>Intermediate</v>
      </c>
      <c r="H1635" s="42" t="str">
        <f>IFERROR(__xludf.DUMMYFUNCTION("""COMPUTED_VALUE"""),"-")</f>
        <v>-</v>
      </c>
      <c r="I1635" s="43" t="str">
        <f>IFERROR(__xludf.DUMMYFUNCTION("""COMPUTED_VALUE"""),"Negate your opponent's Attack when you win the Battle as a Defender.")</f>
        <v>Negate your opponent's Attack when you win the Battle as a Defender.</v>
      </c>
      <c r="J1635" s="42" t="str">
        <f>IFERROR(__xludf.DUMMYFUNCTION("""COMPUTED_VALUE"""),"+8000")</f>
        <v>+8000</v>
      </c>
      <c r="K1635" s="42" t="str">
        <f>IFERROR(__xludf.DUMMYFUNCTION("""COMPUTED_VALUE"""),"-")</f>
        <v>-</v>
      </c>
      <c r="L1635" s="42" t="str">
        <f>IFERROR(__xludf.DUMMYFUNCTION("""COMPUTED_VALUE"""),"-")</f>
        <v>-</v>
      </c>
      <c r="M1635" s="42" t="str">
        <f>IFERROR(__xludf.DUMMYFUNCTION("""COMPUTED_VALUE"""),"[U]")</f>
        <v>[U]</v>
      </c>
      <c r="N1635" s="42" t="str">
        <f>IFERROR(__xludf.DUMMYFUNCTION("""COMPUTED_VALUE"""),"Tia's 3rd spell. ""Were we able to push his fist away?"" ""Yeah, but that wasn't enough!""")</f>
        <v>Tia's 3rd spell. "Were we able to push his fist away?" "Yeah, but that wasn't enough!"</v>
      </c>
      <c r="O1635" s="42"/>
      <c r="P1635" s="42"/>
      <c r="Q1635" s="42"/>
      <c r="R1635" s="42"/>
      <c r="S1635" s="42"/>
      <c r="T1635" s="42"/>
      <c r="U1635" s="42"/>
      <c r="V1635" s="42"/>
      <c r="W1635" s="42"/>
      <c r="X1635" s="42"/>
      <c r="Y1635" s="42"/>
      <c r="Z1635" s="42"/>
    </row>
    <row r="1636">
      <c r="A1636" s="42" t="str">
        <f>IFERROR(__xludf.DUMMYFUNCTION("""COMPUTED_VALUE"""),"S-505")</f>
        <v>S-505</v>
      </c>
      <c r="B1636" s="42" t="str">
        <f>IFERROR(__xludf.DUMMYFUNCTION("""COMPUTED_VALUE"""),"Spell")</f>
        <v>Spell</v>
      </c>
      <c r="C1636" s="42" t="str">
        <f>IFERROR(__xludf.DUMMYFUNCTION("""COMPUTED_VALUE"""),"Giga La Seoshi")</f>
        <v>Giga La Seoshi</v>
      </c>
      <c r="D1636" s="42" t="str">
        <f>IFERROR(__xludf.DUMMYFUNCTION("""COMPUTED_VALUE"""),"Tia")</f>
        <v>Tia</v>
      </c>
      <c r="E1636" s="42">
        <f>IFERROR(__xludf.DUMMYFUNCTION("""COMPUTED_VALUE"""),2.0)</f>
        <v>2</v>
      </c>
      <c r="F1636" s="42" t="str">
        <f>IFERROR(__xludf.DUMMYFUNCTION("""COMPUTED_VALUE"""),"D")</f>
        <v>D</v>
      </c>
      <c r="G1636" s="42" t="str">
        <f>IFERROR(__xludf.DUMMYFUNCTION("""COMPUTED_VALUE"""),"Intermediate")</f>
        <v>Intermediate</v>
      </c>
      <c r="H1636" s="42" t="str">
        <f>IFERROR(__xludf.DUMMYFUNCTION("""COMPUTED_VALUE"""),"-")</f>
        <v>-</v>
      </c>
      <c r="I1636" s="43" t="str">
        <f>IFERROR(__xludf.DUMMYFUNCTION("""COMPUTED_VALUE"""),"[STAY] Your opponent cannot play SPELL cards that can be used for both Attacking and Defending during this turn.")</f>
        <v>[STAY] Your opponent cannot play SPELL cards that can be used for both Attacking and Defending during this turn.</v>
      </c>
      <c r="J1636" s="42" t="str">
        <f>IFERROR(__xludf.DUMMYFUNCTION("""COMPUTED_VALUE"""),"-")</f>
        <v>-</v>
      </c>
      <c r="K1636" s="42" t="str">
        <f>IFERROR(__xludf.DUMMYFUNCTION("""COMPUTED_VALUE"""),"-")</f>
        <v>-</v>
      </c>
      <c r="L1636" s="42" t="str">
        <f>IFERROR(__xludf.DUMMYFUNCTION("""COMPUTED_VALUE"""),"-")</f>
        <v>-</v>
      </c>
      <c r="M1636" s="42" t="str">
        <f>IFERROR(__xludf.DUMMYFUNCTION("""COMPUTED_VALUE"""),"[R]")</f>
        <v>[R]</v>
      </c>
      <c r="N1636" s="42" t="str">
        <f>IFERROR(__xludf.DUMMYFUNCTION("""COMPUTED_VALUE"""),"Tia's 4th spell. ""This is... the spell that redirects your attacks right back at you!""")</f>
        <v>Tia's 4th spell. "This is... the spell that redirects your attacks right back at you!"</v>
      </c>
      <c r="O1636" s="42"/>
      <c r="P1636" s="42"/>
      <c r="Q1636" s="42"/>
      <c r="R1636" s="42"/>
      <c r="S1636" s="42"/>
      <c r="T1636" s="42"/>
      <c r="U1636" s="42"/>
      <c r="V1636" s="42"/>
      <c r="W1636" s="42"/>
      <c r="X1636" s="42"/>
      <c r="Y1636" s="42"/>
      <c r="Z1636" s="42"/>
    </row>
    <row r="1637">
      <c r="A1637" s="42" t="str">
        <f>IFERROR(__xludf.DUMMYFUNCTION("""COMPUTED_VALUE"""),"S-506")</f>
        <v>S-506</v>
      </c>
      <c r="B1637" s="42" t="str">
        <f>IFERROR(__xludf.DUMMYFUNCTION("""COMPUTED_VALUE"""),"Spell")</f>
        <v>Spell</v>
      </c>
      <c r="C1637" s="42" t="str">
        <f>IFERROR(__xludf.DUMMYFUNCTION("""COMPUTED_VALUE"""),"Saifogeo")</f>
        <v>Saifogeo</v>
      </c>
      <c r="D1637" s="42" t="str">
        <f>IFERROR(__xludf.DUMMYFUNCTION("""COMPUTED_VALUE"""),"Tia")</f>
        <v>Tia</v>
      </c>
      <c r="E1637" s="42">
        <f>IFERROR(__xludf.DUMMYFUNCTION("""COMPUTED_VALUE"""),2.0)</f>
        <v>2</v>
      </c>
      <c r="F1637" s="42" t="str">
        <f>IFERROR(__xludf.DUMMYFUNCTION("""COMPUTED_VALUE"""),"AD")</f>
        <v>AD</v>
      </c>
      <c r="G1637" s="42" t="str">
        <f>IFERROR(__xludf.DUMMYFUNCTION("""COMPUTED_VALUE"""),"Intermediate")</f>
        <v>Intermediate</v>
      </c>
      <c r="H1637" s="42" t="str">
        <f>IFERROR(__xludf.DUMMYFUNCTION("""COMPUTED_VALUE"""),"-")</f>
        <v>-</v>
      </c>
      <c r="I1637" s="43" t="str">
        <f>IFERROR(__xludf.DUMMYFUNCTION("""COMPUTED_VALUE"""),"Select 1 PARTNER card in your Discard Pile that was sent to the Discard Pile on the previous turn, and move it into play.")</f>
        <v>Select 1 PARTNER card in your Discard Pile that was sent to the Discard Pile on the previous turn, and move it into play.</v>
      </c>
      <c r="J1637" s="42" t="str">
        <f>IFERROR(__xludf.DUMMYFUNCTION("""COMPUTED_VALUE"""),"-")</f>
        <v>-</v>
      </c>
      <c r="K1637" s="42" t="str">
        <f>IFERROR(__xludf.DUMMYFUNCTION("""COMPUTED_VALUE"""),"-")</f>
        <v>-</v>
      </c>
      <c r="L1637" s="42" t="str">
        <f>IFERROR(__xludf.DUMMYFUNCTION("""COMPUTED_VALUE"""),"-")</f>
        <v>-</v>
      </c>
      <c r="M1637" s="42" t="str">
        <f>IFERROR(__xludf.DUMMYFUNCTION("""COMPUTED_VALUE"""),"[R]")</f>
        <v>[R]</v>
      </c>
      <c r="N1637" s="42" t="str">
        <f>IFERROR(__xludf.DUMMYFUNCTION("""COMPUTED_VALUE"""),"Tia's 5th spell. ""This spell should put you back on your feet, Kiyo!""")</f>
        <v>Tia's 5th spell. "This spell should put you back on your feet, Kiyo!"</v>
      </c>
      <c r="O1637" s="42"/>
      <c r="P1637" s="42"/>
      <c r="Q1637" s="42"/>
      <c r="R1637" s="42"/>
      <c r="S1637" s="42"/>
      <c r="T1637" s="42"/>
      <c r="U1637" s="42"/>
      <c r="V1637" s="42"/>
      <c r="W1637" s="42"/>
      <c r="X1637" s="42"/>
      <c r="Y1637" s="42"/>
      <c r="Z1637" s="42"/>
    </row>
    <row r="1638">
      <c r="A1638" s="42" t="str">
        <f>IFERROR(__xludf.DUMMYFUNCTION("""COMPUTED_VALUE"""),"S-507")</f>
        <v>S-507</v>
      </c>
      <c r="B1638" s="42" t="str">
        <f>IFERROR(__xludf.DUMMYFUNCTION("""COMPUTED_VALUE"""),"Spell")</f>
        <v>Spell</v>
      </c>
      <c r="C1638" s="42" t="str">
        <f>IFERROR(__xludf.DUMMYFUNCTION("""COMPUTED_VALUE"""),"Chajiru Saifodon")</f>
        <v>Chajiru Saifodon</v>
      </c>
      <c r="D1638" s="42" t="str">
        <f>IFERROR(__xludf.DUMMYFUNCTION("""COMPUTED_VALUE"""),"Tia")</f>
        <v>Tia</v>
      </c>
      <c r="E1638" s="42">
        <f>IFERROR(__xludf.DUMMYFUNCTION("""COMPUTED_VALUE"""),4.0)</f>
        <v>4</v>
      </c>
      <c r="F1638" s="42" t="str">
        <f>IFERROR(__xludf.DUMMYFUNCTION("""COMPUTED_VALUE"""),"AD")</f>
        <v>AD</v>
      </c>
      <c r="G1638" s="42" t="str">
        <f>IFERROR(__xludf.DUMMYFUNCTION("""COMPUTED_VALUE"""),"Superior")</f>
        <v>Superior</v>
      </c>
      <c r="H1638" s="42" t="str">
        <f>IFERROR(__xludf.DUMMYFUNCTION("""COMPUTED_VALUE"""),"-")</f>
        <v>-</v>
      </c>
      <c r="I1638" s="43" t="str">
        <f>IFERROR(__xludf.DUMMYFUNCTION("""COMPUTED_VALUE"""),"Damage your opponent's Spell Book when you win the Battle as an Attacker. The Damage of this SPELL card is considered to be equal to the number of cards in your opponent's Spell Book with effects that turn pages of a player's Spell Book times 2 (you do no"&amp;"t look at your opponent's Spell Book).")</f>
        <v>Damage your opponent's Spell Book when you win the Battle as an Attacker. The Damage of this SPELL card is considered to be equal to the number of cards in your opponent's Spell Book with effects that turn pages of a player's Spell Book times 2 (you do not look at your opponent's Spell Book).</v>
      </c>
      <c r="J1638" s="42" t="str">
        <f>IFERROR(__xludf.DUMMYFUNCTION("""COMPUTED_VALUE"""),"+5000")</f>
        <v>+5000</v>
      </c>
      <c r="K1638" s="42" t="str">
        <f>IFERROR(__xludf.DUMMYFUNCTION("""COMPUTED_VALUE"""),"?")</f>
        <v>?</v>
      </c>
      <c r="L1638" s="42" t="str">
        <f>IFERROR(__xludf.DUMMYFUNCTION("""COMPUTED_VALUE"""),"-")</f>
        <v>-</v>
      </c>
      <c r="M1638" s="42" t="str">
        <f>IFERROR(__xludf.DUMMYFUNCTION("""COMPUTED_VALUE"""),"[SR]")</f>
        <v>[SR]</v>
      </c>
      <c r="N1638" s="42" t="str">
        <f>IFERROR(__xludf.DUMMYFUNCTION("""COMPUTED_VALUE"""),"Tia's 6th spell. ""OON! OON! OOOOOOOOOOOOOOON!""")</f>
        <v>Tia's 6th spell. "OON! OON! OOOOOOOOOOOOOOON!"</v>
      </c>
      <c r="O1638" s="42"/>
      <c r="P1638" s="42"/>
      <c r="Q1638" s="42"/>
      <c r="R1638" s="42"/>
      <c r="S1638" s="42"/>
      <c r="T1638" s="42"/>
      <c r="U1638" s="42"/>
      <c r="V1638" s="42"/>
      <c r="W1638" s="42"/>
      <c r="X1638" s="42"/>
      <c r="Y1638" s="42"/>
      <c r="Z1638" s="42"/>
    </row>
    <row r="1639">
      <c r="A1639" s="42" t="str">
        <f>IFERROR(__xludf.DUMMYFUNCTION("""COMPUTED_VALUE"""),"S-508")</f>
        <v>S-508</v>
      </c>
      <c r="B1639" s="42" t="str">
        <f>IFERROR(__xludf.DUMMYFUNCTION("""COMPUTED_VALUE"""),"Spell")</f>
        <v>Spell</v>
      </c>
      <c r="C1639" s="42" t="str">
        <f>IFERROR(__xludf.DUMMYFUNCTION("""COMPUTED_VALUE"""),"Shudoruk")</f>
        <v>Shudoruk</v>
      </c>
      <c r="D1639" s="42" t="str">
        <f>IFERROR(__xludf.DUMMYFUNCTION("""COMPUTED_VALUE"""),"Ponygon")</f>
        <v>Ponygon</v>
      </c>
      <c r="E1639" s="42">
        <f>IFERROR(__xludf.DUMMYFUNCTION("""COMPUTED_VALUE"""),1.0)</f>
        <v>1</v>
      </c>
      <c r="F1639" s="42" t="str">
        <f>IFERROR(__xludf.DUMMYFUNCTION("""COMPUTED_VALUE"""),"A")</f>
        <v>A</v>
      </c>
      <c r="G1639" s="42" t="str">
        <f>IFERROR(__xludf.DUMMYFUNCTION("""COMPUTED_VALUE"""),"None")</f>
        <v>None</v>
      </c>
      <c r="H1639" s="42" t="str">
        <f>IFERROR(__xludf.DUMMYFUNCTION("""COMPUTED_VALUE"""),"-")</f>
        <v>-</v>
      </c>
      <c r="I1639" s="43" t="str">
        <f>IFERROR(__xludf.DUMMYFUNCTION("""COMPUTED_VALUE"""),"Select 1 Ponygon (Shudoruk Form) MAMODO card from any page of your Spell Book and place it on a Ponygon MAMODO card. Then, negate all [Standby] effects.")</f>
        <v>Select 1 Ponygon (Shudoruk Form) MAMODO card from any page of your Spell Book and place it on a Ponygon MAMODO card. Then, negate all [Standby] effects.</v>
      </c>
      <c r="J1639" s="42" t="str">
        <f>IFERROR(__xludf.DUMMYFUNCTION("""COMPUTED_VALUE"""),"-")</f>
        <v>-</v>
      </c>
      <c r="K1639" s="42" t="str">
        <f>IFERROR(__xludf.DUMMYFUNCTION("""COMPUTED_VALUE"""),"-")</f>
        <v>-</v>
      </c>
      <c r="L1639" s="42" t="str">
        <f>IFERROR(__xludf.DUMMYFUNCTION("""COMPUTED_VALUE"""),"-")</f>
        <v>-</v>
      </c>
      <c r="M1639" s="42" t="str">
        <f>IFERROR(__xludf.DUMMYFUNCTION("""COMPUTED_VALUE"""),"[U]")</f>
        <v>[U]</v>
      </c>
      <c r="N1639" s="42" t="str">
        <f>IFERROR(__xludf.DUMMYFUNCTION("""COMPUTED_VALUE"""),"Ponygon's 1st spell. Power, speed, and defense... all of which are reinforced simultaneously.")</f>
        <v>Ponygon's 1st spell. Power, speed, and defense... all of which are reinforced simultaneously.</v>
      </c>
      <c r="O1639" s="42"/>
      <c r="P1639" s="42"/>
      <c r="Q1639" s="42"/>
      <c r="R1639" s="42"/>
      <c r="S1639" s="42"/>
      <c r="T1639" s="42"/>
      <c r="U1639" s="42"/>
      <c r="V1639" s="42"/>
      <c r="W1639" s="42"/>
      <c r="X1639" s="42"/>
      <c r="Y1639" s="42"/>
      <c r="Z1639" s="42"/>
    </row>
    <row r="1640">
      <c r="A1640" s="42" t="str">
        <f>IFERROR(__xludf.DUMMYFUNCTION("""COMPUTED_VALUE"""),"S-509")</f>
        <v>S-509</v>
      </c>
      <c r="B1640" s="42" t="str">
        <f>IFERROR(__xludf.DUMMYFUNCTION("""COMPUTED_VALUE"""),"Spell")</f>
        <v>Spell</v>
      </c>
      <c r="C1640" s="42" t="str">
        <f>IFERROR(__xludf.DUMMYFUNCTION("""COMPUTED_VALUE"""),"Go Shudoruk")</f>
        <v>Go Shudoruk</v>
      </c>
      <c r="D1640" s="42" t="str">
        <f>IFERROR(__xludf.DUMMYFUNCTION("""COMPUTED_VALUE"""),"Ponygon")</f>
        <v>Ponygon</v>
      </c>
      <c r="E1640" s="42">
        <f>IFERROR(__xludf.DUMMYFUNCTION("""COMPUTED_VALUE"""),2.0)</f>
        <v>2</v>
      </c>
      <c r="F1640" s="42" t="str">
        <f>IFERROR(__xludf.DUMMYFUNCTION("""COMPUTED_VALUE"""),"A")</f>
        <v>A</v>
      </c>
      <c r="G1640" s="42" t="str">
        <f>IFERROR(__xludf.DUMMYFUNCTION("""COMPUTED_VALUE"""),"Intermediate")</f>
        <v>Intermediate</v>
      </c>
      <c r="H1640" s="42" t="str">
        <f>IFERROR(__xludf.DUMMYFUNCTION("""COMPUTED_VALUE"""),"-")</f>
        <v>-</v>
      </c>
      <c r="I1640" s="43" t="str">
        <f>IFERROR(__xludf.DUMMYFUNCTION("""COMPUTED_VALUE"""),"Select 1 Ponygon (Go Shudoruk Form) MAMODO card from any page of your Spell Book and place it on a Ponygon MAMODO card. Then, negate all [Stay] effects.")</f>
        <v>Select 1 Ponygon (Go Shudoruk Form) MAMODO card from any page of your Spell Book and place it on a Ponygon MAMODO card. Then, negate all [Stay] effects.</v>
      </c>
      <c r="J1640" s="42" t="str">
        <f>IFERROR(__xludf.DUMMYFUNCTION("""COMPUTED_VALUE"""),"-")</f>
        <v>-</v>
      </c>
      <c r="K1640" s="42" t="str">
        <f>IFERROR(__xludf.DUMMYFUNCTION("""COMPUTED_VALUE"""),"-")</f>
        <v>-</v>
      </c>
      <c r="L1640" s="42" t="str">
        <f>IFERROR(__xludf.DUMMYFUNCTION("""COMPUTED_VALUE"""),"-")</f>
        <v>-</v>
      </c>
      <c r="M1640" s="42" t="str">
        <f>IFERROR(__xludf.DUMMYFUNCTION("""COMPUTED_VALUE"""),"[U]")</f>
        <v>[U]</v>
      </c>
      <c r="N1640" s="42" t="str">
        <f>IFERROR(__xludf.DUMMYFUNCTION("""COMPUTED_VALUE"""),"Ponygon's 2nd spell. ""Hold on tight!""")</f>
        <v>Ponygon's 2nd spell. "Hold on tight!"</v>
      </c>
      <c r="O1640" s="42"/>
      <c r="P1640" s="42"/>
      <c r="Q1640" s="42"/>
      <c r="R1640" s="42"/>
      <c r="S1640" s="42"/>
      <c r="T1640" s="42"/>
      <c r="U1640" s="42"/>
      <c r="V1640" s="42"/>
      <c r="W1640" s="42"/>
      <c r="X1640" s="42"/>
      <c r="Y1640" s="42"/>
      <c r="Z1640" s="42"/>
    </row>
    <row r="1641">
      <c r="A1641" s="42" t="str">
        <f>IFERROR(__xludf.DUMMYFUNCTION("""COMPUTED_VALUE"""),"S-510")</f>
        <v>S-510</v>
      </c>
      <c r="B1641" s="42" t="str">
        <f>IFERROR(__xludf.DUMMYFUNCTION("""COMPUTED_VALUE"""),"Spell")</f>
        <v>Spell</v>
      </c>
      <c r="C1641" s="42" t="str">
        <f>IFERROR(__xludf.DUMMYFUNCTION("""COMPUTED_VALUE"""),"Dioemur Shudoruk")</f>
        <v>Dioemur Shudoruk</v>
      </c>
      <c r="D1641" s="42" t="str">
        <f>IFERROR(__xludf.DUMMYFUNCTION("""COMPUTED_VALUE"""),"Ponygon")</f>
        <v>Ponygon</v>
      </c>
      <c r="E1641" s="42">
        <f>IFERROR(__xludf.DUMMYFUNCTION("""COMPUTED_VALUE"""),3.0)</f>
        <v>3</v>
      </c>
      <c r="F1641" s="42" t="str">
        <f>IFERROR(__xludf.DUMMYFUNCTION("""COMPUTED_VALUE"""),"A")</f>
        <v>A</v>
      </c>
      <c r="G1641" s="42" t="str">
        <f>IFERROR(__xludf.DUMMYFUNCTION("""COMPUTED_VALUE"""),"Intermediate")</f>
        <v>Intermediate</v>
      </c>
      <c r="H1641" s="42" t="str">
        <f>IFERROR(__xludf.DUMMYFUNCTION("""COMPUTED_VALUE"""),"Fire")</f>
        <v>Fire</v>
      </c>
      <c r="I1641" s="43" t="str">
        <f>IFERROR(__xludf.DUMMYFUNCTION("""COMPUTED_VALUE"""),"Select 1 Ponygon (Dioemur Shudoruk Form) MAMODO card from any page of your Spell Book and place it on a Ponygon MAMODO card. Then, turn 1 page of your opponent's Spell Book.")</f>
        <v>Select 1 Ponygon (Dioemur Shudoruk Form) MAMODO card from any page of your Spell Book and place it on a Ponygon MAMODO card. Then, turn 1 page of your opponent's Spell Book.</v>
      </c>
      <c r="J1641" s="42" t="str">
        <f>IFERROR(__xludf.DUMMYFUNCTION("""COMPUTED_VALUE"""),"-")</f>
        <v>-</v>
      </c>
      <c r="K1641" s="42" t="str">
        <f>IFERROR(__xludf.DUMMYFUNCTION("""COMPUTED_VALUE"""),"-")</f>
        <v>-</v>
      </c>
      <c r="L1641" s="42" t="str">
        <f>IFERROR(__xludf.DUMMYFUNCTION("""COMPUTED_VALUE"""),"-")</f>
        <v>-</v>
      </c>
      <c r="M1641" s="42" t="str">
        <f>IFERROR(__xludf.DUMMYFUNCTION("""COMPUTED_VALUE"""),"[SR]")</f>
        <v>[SR]</v>
      </c>
      <c r="N1641" s="42" t="str">
        <f>IFERROR(__xludf.DUMMYFUNCTION("""COMPUTED_VALUE"""),"Ponygon's 3rd spell. His flames are so potent that they can even smother Karudio's overwhelming snowstorm.")</f>
        <v>Ponygon's 3rd spell. His flames are so potent that they can even smother Karudio's overwhelming snowstorm.</v>
      </c>
      <c r="O1641" s="42"/>
      <c r="P1641" s="42"/>
      <c r="Q1641" s="42"/>
      <c r="R1641" s="42"/>
      <c r="S1641" s="42"/>
      <c r="T1641" s="42"/>
      <c r="U1641" s="42"/>
      <c r="V1641" s="42"/>
      <c r="W1641" s="42"/>
      <c r="X1641" s="42"/>
      <c r="Y1641" s="42"/>
      <c r="Z1641" s="42"/>
    </row>
    <row r="1642">
      <c r="A1642" s="42" t="str">
        <f>IFERROR(__xludf.DUMMYFUNCTION("""COMPUTED_VALUE"""),"S-511")</f>
        <v>S-511</v>
      </c>
      <c r="B1642" s="42" t="str">
        <f>IFERROR(__xludf.DUMMYFUNCTION("""COMPUTED_VALUE"""),"Spell")</f>
        <v>Spell</v>
      </c>
      <c r="C1642" s="42" t="str">
        <f>IFERROR(__xludf.DUMMYFUNCTION("""COMPUTED_VALUE"""),"Rerudo")</f>
        <v>Rerudo</v>
      </c>
      <c r="D1642" s="42" t="str">
        <f>IFERROR(__xludf.DUMMYFUNCTION("""COMPUTED_VALUE"""),"Wonrei")</f>
        <v>Wonrei</v>
      </c>
      <c r="E1642" s="42">
        <f>IFERROR(__xludf.DUMMYFUNCTION("""COMPUTED_VALUE"""),1.0)</f>
        <v>1</v>
      </c>
      <c r="F1642" s="42" t="str">
        <f>IFERROR(__xludf.DUMMYFUNCTION("""COMPUTED_VALUE"""),"D")</f>
        <v>D</v>
      </c>
      <c r="G1642" s="42" t="str">
        <f>IFERROR(__xludf.DUMMYFUNCTION("""COMPUTED_VALUE"""),"None")</f>
        <v>None</v>
      </c>
      <c r="H1642" s="42" t="str">
        <f>IFERROR(__xludf.DUMMYFUNCTION("""COMPUTED_VALUE"""),"-")</f>
        <v>-</v>
      </c>
      <c r="I1642" s="43" t="str">
        <f>IFERROR(__xludf.DUMMYFUNCTION("""COMPUTED_VALUE"""),"Negate your opponent's Attack when you win the Battle as a Defender. If your opponent is Attacking without using a SPELL card by applying a MAMODO card's effect, you win the Battle regardless of Power.")</f>
        <v>Negate your opponent's Attack when you win the Battle as a Defender. If your opponent is Attacking without using a SPELL card by applying a MAMODO card's effect, you win the Battle regardless of Power.</v>
      </c>
      <c r="J1642" s="42" t="str">
        <f>IFERROR(__xludf.DUMMYFUNCTION("""COMPUTED_VALUE"""),"+3000")</f>
        <v>+3000</v>
      </c>
      <c r="K1642" s="42" t="str">
        <f>IFERROR(__xludf.DUMMYFUNCTION("""COMPUTED_VALUE"""),"-")</f>
        <v>-</v>
      </c>
      <c r="L1642" s="42" t="str">
        <f>IFERROR(__xludf.DUMMYFUNCTION("""COMPUTED_VALUE"""),"-")</f>
        <v>-</v>
      </c>
      <c r="M1642" s="42" t="str">
        <f>IFERROR(__xludf.DUMMYFUNCTION("""COMPUTED_VALUE"""),"[C]")</f>
        <v>[C]</v>
      </c>
      <c r="N1642" s="42" t="str">
        <f>IFERROR(__xludf.DUMMYFUNCTION("""COMPUTED_VALUE"""),"Wonrei's 1st spell. A force field forms at Wonrei's palms, which serves as a shield for deflecting incoming attacks.")</f>
        <v>Wonrei's 1st spell. A force field forms at Wonrei's palms, which serves as a shield for deflecting incoming attacks.</v>
      </c>
      <c r="O1642" s="42"/>
      <c r="P1642" s="42"/>
      <c r="Q1642" s="42"/>
      <c r="R1642" s="42"/>
      <c r="S1642" s="42"/>
      <c r="T1642" s="42"/>
      <c r="U1642" s="42"/>
      <c r="V1642" s="42"/>
      <c r="W1642" s="42"/>
      <c r="X1642" s="42"/>
      <c r="Y1642" s="42"/>
      <c r="Z1642" s="42"/>
    </row>
    <row r="1643">
      <c r="A1643" s="42" t="str">
        <f>IFERROR(__xludf.DUMMYFUNCTION("""COMPUTED_VALUE"""),"S-512")</f>
        <v>S-512</v>
      </c>
      <c r="B1643" s="42" t="str">
        <f>IFERROR(__xludf.DUMMYFUNCTION("""COMPUTED_VALUE"""),"Spell")</f>
        <v>Spell</v>
      </c>
      <c r="C1643" s="42" t="str">
        <f>IFERROR(__xludf.DUMMYFUNCTION("""COMPUTED_VALUE"""),"Boren")</f>
        <v>Boren</v>
      </c>
      <c r="D1643" s="42" t="str">
        <f>IFERROR(__xludf.DUMMYFUNCTION("""COMPUTED_VALUE"""),"Wonrei")</f>
        <v>Wonrei</v>
      </c>
      <c r="E1643" s="42">
        <f>IFERROR(__xludf.DUMMYFUNCTION("""COMPUTED_VALUE"""),1.0)</f>
        <v>1</v>
      </c>
      <c r="F1643" s="42" t="str">
        <f>IFERROR(__xludf.DUMMYFUNCTION("""COMPUTED_VALUE"""),"AD")</f>
        <v>AD</v>
      </c>
      <c r="G1643" s="42" t="str">
        <f>IFERROR(__xludf.DUMMYFUNCTION("""COMPUTED_VALUE"""),"None")</f>
        <v>None</v>
      </c>
      <c r="H1643" s="42" t="str">
        <f>IFERROR(__xludf.DUMMYFUNCTION("""COMPUTED_VALUE"""),"-")</f>
        <v>-</v>
      </c>
      <c r="I1643" s="43" t="str">
        <f>IFERROR(__xludf.DUMMYFUNCTION("""COMPUTED_VALUE"""),"Damage your opponent's Spell Book when you win the Battle as an Attacker.")</f>
        <v>Damage your opponent's Spell Book when you win the Battle as an Attacker.</v>
      </c>
      <c r="J1643" s="42" t="str">
        <f>IFERROR(__xludf.DUMMYFUNCTION("""COMPUTED_VALUE"""),"+3000")</f>
        <v>+3000</v>
      </c>
      <c r="K1643" s="42">
        <f>IFERROR(__xludf.DUMMYFUNCTION("""COMPUTED_VALUE"""),2.0)</f>
        <v>2</v>
      </c>
      <c r="L1643" s="42" t="str">
        <f>IFERROR(__xludf.DUMMYFUNCTION("""COMPUTED_VALUE"""),"-")</f>
        <v>-</v>
      </c>
      <c r="M1643" s="42" t="str">
        <f>IFERROR(__xludf.DUMMYFUNCTION("""COMPUTED_VALUE"""),"[C]")</f>
        <v>[C]</v>
      </c>
      <c r="N1643" s="42" t="str">
        <f>IFERROR(__xludf.DUMMYFUNCTION("""COMPUTED_VALUE"""),"Wonrei's 2nd spell. It stores up energy in his entire body that is released from the palm of his hand in a burst of power.")</f>
        <v>Wonrei's 2nd spell. It stores up energy in his entire body that is released from the palm of his hand in a burst of power.</v>
      </c>
      <c r="O1643" s="42"/>
      <c r="P1643" s="42"/>
      <c r="Q1643" s="42"/>
      <c r="R1643" s="42"/>
      <c r="S1643" s="42"/>
      <c r="T1643" s="42"/>
      <c r="U1643" s="42"/>
      <c r="V1643" s="42"/>
      <c r="W1643" s="42"/>
      <c r="X1643" s="42"/>
      <c r="Y1643" s="42"/>
      <c r="Z1643" s="42"/>
    </row>
    <row r="1644">
      <c r="A1644" s="42" t="str">
        <f>IFERROR(__xludf.DUMMYFUNCTION("""COMPUTED_VALUE"""),"S-513")</f>
        <v>S-513</v>
      </c>
      <c r="B1644" s="42" t="str">
        <f>IFERROR(__xludf.DUMMYFUNCTION("""COMPUTED_VALUE"""),"Spell")</f>
        <v>Spell</v>
      </c>
      <c r="C1644" s="42" t="str">
        <f>IFERROR(__xludf.DUMMYFUNCTION("""COMPUTED_VALUE"""),"Go Boren")</f>
        <v>Go Boren</v>
      </c>
      <c r="D1644" s="42" t="str">
        <f>IFERROR(__xludf.DUMMYFUNCTION("""COMPUTED_VALUE"""),"Wonrei")</f>
        <v>Wonrei</v>
      </c>
      <c r="E1644" s="42">
        <f>IFERROR(__xludf.DUMMYFUNCTION("""COMPUTED_VALUE"""),4.0)</f>
        <v>4</v>
      </c>
      <c r="F1644" s="42" t="str">
        <f>IFERROR(__xludf.DUMMYFUNCTION("""COMPUTED_VALUE"""),"A")</f>
        <v>A</v>
      </c>
      <c r="G1644" s="42" t="str">
        <f>IFERROR(__xludf.DUMMYFUNCTION("""COMPUTED_VALUE"""),"Intermediate")</f>
        <v>Intermediate</v>
      </c>
      <c r="H1644" s="42" t="str">
        <f>IFERROR(__xludf.DUMMYFUNCTION("""COMPUTED_VALUE"""),"-")</f>
        <v>-</v>
      </c>
      <c r="I1644" s="43" t="str">
        <f>IFERROR(__xludf.DUMMYFUNCTION("""COMPUTED_VALUE"""),"Damage your opponent's Spell Book when you win the Battle as an Attacker. This SPELL card can be played only when the only card your opponent currently has in play is a single MAMODO card.")</f>
        <v>Damage your opponent's Spell Book when you win the Battle as an Attacker. This SPELL card can be played only when the only card your opponent currently has in play is a single MAMODO card.</v>
      </c>
      <c r="J1644" s="42" t="str">
        <f>IFERROR(__xludf.DUMMYFUNCTION("""COMPUTED_VALUE"""),"+0")</f>
        <v>+0</v>
      </c>
      <c r="K1644" s="42">
        <f>IFERROR(__xludf.DUMMYFUNCTION("""COMPUTED_VALUE"""),4.0)</f>
        <v>4</v>
      </c>
      <c r="L1644" s="42" t="str">
        <f>IFERROR(__xludf.DUMMYFUNCTION("""COMPUTED_VALUE"""),"-")</f>
        <v>-</v>
      </c>
      <c r="M1644" s="42" t="str">
        <f>IFERROR(__xludf.DUMMYFUNCTION("""COMPUTED_VALUE"""),"[C]")</f>
        <v>[C]</v>
      </c>
      <c r="N1644" s="42" t="str">
        <f>IFERROR(__xludf.DUMMYFUNCTION("""COMPUTED_VALUE"""),"Wonrei's 4th spell. His fist, imbued with energy, obliterates Demolt's spell book!")</f>
        <v>Wonrei's 4th spell. His fist, imbued with energy, obliterates Demolt's spell book!</v>
      </c>
      <c r="O1644" s="42"/>
      <c r="P1644" s="42"/>
      <c r="Q1644" s="42"/>
      <c r="R1644" s="42"/>
      <c r="S1644" s="42"/>
      <c r="T1644" s="42"/>
      <c r="U1644" s="42"/>
      <c r="V1644" s="42"/>
      <c r="W1644" s="42"/>
      <c r="X1644" s="42"/>
      <c r="Y1644" s="42"/>
      <c r="Z1644" s="42"/>
    </row>
    <row r="1645">
      <c r="A1645" s="42" t="str">
        <f>IFERROR(__xludf.DUMMYFUNCTION("""COMPUTED_VALUE"""),"S-514")</f>
        <v>S-514</v>
      </c>
      <c r="B1645" s="42" t="str">
        <f>IFERROR(__xludf.DUMMYFUNCTION("""COMPUTED_VALUE"""),"Spell")</f>
        <v>Spell</v>
      </c>
      <c r="C1645" s="42" t="str">
        <f>IFERROR(__xludf.DUMMYFUNCTION("""COMPUTED_VALUE"""),"Go Redoruk")</f>
        <v>Go Redoruk</v>
      </c>
      <c r="D1645" s="42" t="str">
        <f>IFERROR(__xludf.DUMMYFUNCTION("""COMPUTED_VALUE"""),"Wonrei")</f>
        <v>Wonrei</v>
      </c>
      <c r="E1645" s="42">
        <f>IFERROR(__xludf.DUMMYFUNCTION("""COMPUTED_VALUE"""),3.0)</f>
        <v>3</v>
      </c>
      <c r="F1645" s="42" t="str">
        <f>IFERROR(__xludf.DUMMYFUNCTION("""COMPUTED_VALUE"""),"AD")</f>
        <v>AD</v>
      </c>
      <c r="G1645" s="42" t="str">
        <f>IFERROR(__xludf.DUMMYFUNCTION("""COMPUTED_VALUE"""),"Intermediate")</f>
        <v>Intermediate</v>
      </c>
      <c r="H1645" s="42" t="str">
        <f>IFERROR(__xludf.DUMMYFUNCTION("""COMPUTED_VALUE"""),"-")</f>
        <v>-</v>
      </c>
      <c r="I1645" s="43" t="str">
        <f>IFERROR(__xludf.DUMMYFUNCTION("""COMPUTED_VALUE"""),"Damage your opponent's Spell Book when you win the Battle as an Attacker. When you inflict Injury, your opponent cannot apply the effects of the Injured MAMODO card until the END PHASE of the next turn ([STAY]).")</f>
        <v>Damage your opponent's Spell Book when you win the Battle as an Attacker. When you inflict Injury, your opponent cannot apply the effects of the Injured MAMODO card until the END PHASE of the next turn ([STAY]).</v>
      </c>
      <c r="J1645" s="42">
        <f>IFERROR(__xludf.DUMMYFUNCTION("""COMPUTED_VALUE"""),5000.0)</f>
        <v>5000</v>
      </c>
      <c r="K1645" s="42">
        <f>IFERROR(__xludf.DUMMYFUNCTION("""COMPUTED_VALUE"""),2.0)</f>
        <v>2</v>
      </c>
      <c r="L1645" s="42" t="str">
        <f>IFERROR(__xludf.DUMMYFUNCTION("""COMPUTED_VALUE"""),"-")</f>
        <v>-</v>
      </c>
      <c r="M1645" s="42" t="str">
        <f>IFERROR(__xludf.DUMMYFUNCTION("""COMPUTED_VALUE"""),"[U]")</f>
        <v>[U]</v>
      </c>
      <c r="N1645" s="42" t="str">
        <f>IFERROR(__xludf.DUMMYFUNCTION("""COMPUTED_VALUE"""),"Wonrei's 5th spell. ""Let's finish them off, Wonrei!"" ""Okay!""")</f>
        <v>Wonrei's 5th spell. "Let's finish them off, Wonrei!" "Okay!"</v>
      </c>
      <c r="O1645" s="42"/>
      <c r="P1645" s="42"/>
      <c r="Q1645" s="42"/>
      <c r="R1645" s="42"/>
      <c r="S1645" s="42"/>
      <c r="T1645" s="42"/>
      <c r="U1645" s="42"/>
      <c r="V1645" s="42"/>
      <c r="W1645" s="42"/>
      <c r="X1645" s="42"/>
      <c r="Y1645" s="42"/>
      <c r="Z1645" s="42"/>
    </row>
    <row r="1646">
      <c r="A1646" s="42" t="str">
        <f>IFERROR(__xludf.DUMMYFUNCTION("""COMPUTED_VALUE"""),"S-515")</f>
        <v>S-515</v>
      </c>
      <c r="B1646" s="42" t="str">
        <f>IFERROR(__xludf.DUMMYFUNCTION("""COMPUTED_VALUE"""),"Spell")</f>
        <v>Spell</v>
      </c>
      <c r="C1646" s="42" t="str">
        <f>IFERROR(__xludf.DUMMYFUNCTION("""COMPUTED_VALUE"""),"Ganzu Boren")</f>
        <v>Ganzu Boren</v>
      </c>
      <c r="D1646" s="42" t="str">
        <f>IFERROR(__xludf.DUMMYFUNCTION("""COMPUTED_VALUE"""),"Wonrei")</f>
        <v>Wonrei</v>
      </c>
      <c r="E1646" s="42">
        <f>IFERROR(__xludf.DUMMYFUNCTION("""COMPUTED_VALUE"""),1.0)</f>
        <v>1</v>
      </c>
      <c r="F1646" s="42" t="str">
        <f>IFERROR(__xludf.DUMMYFUNCTION("""COMPUTED_VALUE"""),"A")</f>
        <v>A</v>
      </c>
      <c r="G1646" s="42" t="str">
        <f>IFERROR(__xludf.DUMMYFUNCTION("""COMPUTED_VALUE"""),"Intermediate")</f>
        <v>Intermediate</v>
      </c>
      <c r="H1646" s="42" t="str">
        <f>IFERROR(__xludf.DUMMYFUNCTION("""COMPUTED_VALUE"""),"-")</f>
        <v>-</v>
      </c>
      <c r="I1646" s="43" t="str">
        <f>IFERROR(__xludf.DUMMYFUNCTION("""COMPUTED_VALUE"""),"This SPELL card can be played up to 3 times per turn (per player). Damage your opponent's Spell Book when you win the Battle as an Attacker.")</f>
        <v>This SPELL card can be played up to 3 times per turn (per player). Damage your opponent's Spell Book when you win the Battle as an Attacker.</v>
      </c>
      <c r="J1646" s="42" t="str">
        <f>IFERROR(__xludf.DUMMYFUNCTION("""COMPUTED_VALUE"""),"+2000")</f>
        <v>+2000</v>
      </c>
      <c r="K1646" s="42">
        <f>IFERROR(__xludf.DUMMYFUNCTION("""COMPUTED_VALUE"""),1.0)</f>
        <v>1</v>
      </c>
      <c r="L1646" s="42" t="str">
        <f>IFERROR(__xludf.DUMMYFUNCTION("""COMPUTED_VALUE"""),"-")</f>
        <v>-</v>
      </c>
      <c r="M1646" s="42" t="str">
        <f>IFERROR(__xludf.DUMMYFUNCTION("""COMPUTED_VALUE"""),"[U]")</f>
        <v>[U]</v>
      </c>
      <c r="N1646" s="42" t="str">
        <f>IFERROR(__xludf.DUMMYFUNCTION("""COMPUTED_VALUE"""),"Wonrei's 6th spell. Unleashes a countless flurry of punches that flit about as though they were dancing in battle.")</f>
        <v>Wonrei's 6th spell. Unleashes a countless flurry of punches that flit about as though they were dancing in battle.</v>
      </c>
      <c r="O1646" s="42"/>
      <c r="P1646" s="42"/>
      <c r="Q1646" s="42"/>
      <c r="R1646" s="42"/>
      <c r="S1646" s="42"/>
      <c r="T1646" s="42"/>
      <c r="U1646" s="42"/>
      <c r="V1646" s="42"/>
      <c r="W1646" s="42"/>
      <c r="X1646" s="42"/>
      <c r="Y1646" s="42"/>
      <c r="Z1646" s="42"/>
    </row>
    <row r="1647">
      <c r="A1647" s="42" t="str">
        <f>IFERROR(__xludf.DUMMYFUNCTION("""COMPUTED_VALUE"""),"S-516")</f>
        <v>S-516</v>
      </c>
      <c r="B1647" s="42" t="str">
        <f>IFERROR(__xludf.DUMMYFUNCTION("""COMPUTED_VALUE"""),"Spell")</f>
        <v>Spell</v>
      </c>
      <c r="C1647" s="42" t="str">
        <f>IFERROR(__xludf.DUMMYFUNCTION("""COMPUTED_VALUE"""),"Gar Redoruk")</f>
        <v>Gar Redoruk</v>
      </c>
      <c r="D1647" s="42" t="str">
        <f>IFERROR(__xludf.DUMMYFUNCTION("""COMPUTED_VALUE"""),"Wonrei")</f>
        <v>Wonrei</v>
      </c>
      <c r="E1647" s="42">
        <f>IFERROR(__xludf.DUMMYFUNCTION("""COMPUTED_VALUE"""),3.0)</f>
        <v>3</v>
      </c>
      <c r="F1647" s="42" t="str">
        <f>IFERROR(__xludf.DUMMYFUNCTION("""COMPUTED_VALUE"""),"A")</f>
        <v>A</v>
      </c>
      <c r="G1647" s="42" t="str">
        <f>IFERROR(__xludf.DUMMYFUNCTION("""COMPUTED_VALUE"""),"Intermediate")</f>
        <v>Intermediate</v>
      </c>
      <c r="H1647" s="42" t="str">
        <f>IFERROR(__xludf.DUMMYFUNCTION("""COMPUTED_VALUE"""),"-")</f>
        <v>-</v>
      </c>
      <c r="I1647" s="43" t="str">
        <f>IFERROR(__xludf.DUMMYFUNCTION("""COMPUTED_VALUE"""),"Damage your opponent's Spell Book when you win the Battle as an Attacker. Injure your Wonrei MAMODO card when you lose the Battle as an Attacker.")</f>
        <v>Damage your opponent's Spell Book when you win the Battle as an Attacker. Injure your Wonrei MAMODO card when you lose the Battle as an Attacker.</v>
      </c>
      <c r="J1647" s="42" t="str">
        <f>IFERROR(__xludf.DUMMYFUNCTION("""COMPUTED_VALUE"""),"+3000")</f>
        <v>+3000</v>
      </c>
      <c r="K1647" s="42">
        <f>IFERROR(__xludf.DUMMYFUNCTION("""COMPUTED_VALUE"""),3.0)</f>
        <v>3</v>
      </c>
      <c r="L1647" s="42" t="str">
        <f>IFERROR(__xludf.DUMMYFUNCTION("""COMPUTED_VALUE"""),"-")</f>
        <v>-</v>
      </c>
      <c r="M1647" s="42" t="str">
        <f>IFERROR(__xludf.DUMMYFUNCTION("""COMPUTED_VALUE"""),"[C]")</f>
        <v>[C]</v>
      </c>
      <c r="N1647" s="42" t="str">
        <f>IFERROR(__xludf.DUMMYFUNCTION("""COMPUTED_VALUE"""),"Wonrei's 7th spell. His entire body rotates at top speed as he drills into the opponent with a spinning kick.")</f>
        <v>Wonrei's 7th spell. His entire body rotates at top speed as he drills into the opponent with a spinning kick.</v>
      </c>
      <c r="O1647" s="42"/>
      <c r="P1647" s="42"/>
      <c r="Q1647" s="42"/>
      <c r="R1647" s="42"/>
      <c r="S1647" s="42"/>
      <c r="T1647" s="42"/>
      <c r="U1647" s="42"/>
      <c r="V1647" s="42"/>
      <c r="W1647" s="42"/>
      <c r="X1647" s="42"/>
      <c r="Y1647" s="42"/>
      <c r="Z1647" s="42"/>
    </row>
    <row r="1648">
      <c r="A1648" s="42" t="str">
        <f>IFERROR(__xludf.DUMMYFUNCTION("""COMPUTED_VALUE"""),"S-517")</f>
        <v>S-517</v>
      </c>
      <c r="B1648" s="42" t="str">
        <f>IFERROR(__xludf.DUMMYFUNCTION("""COMPUTED_VALUE"""),"Spell")</f>
        <v>Spell</v>
      </c>
      <c r="C1648" s="42" t="str">
        <f>IFERROR(__xludf.DUMMYFUNCTION("""COMPUTED_VALUE"""),"Rao Diboren")</f>
        <v>Rao Diboren</v>
      </c>
      <c r="D1648" s="42" t="str">
        <f>IFERROR(__xludf.DUMMYFUNCTION("""COMPUTED_VALUE"""),"Wonrei")</f>
        <v>Wonrei</v>
      </c>
      <c r="E1648" s="42">
        <f>IFERROR(__xludf.DUMMYFUNCTION("""COMPUTED_VALUE"""),6.0)</f>
        <v>6</v>
      </c>
      <c r="F1648" s="42" t="str">
        <f>IFERROR(__xludf.DUMMYFUNCTION("""COMPUTED_VALUE"""),"AD")</f>
        <v>AD</v>
      </c>
      <c r="G1648" s="42" t="str">
        <f>IFERROR(__xludf.DUMMYFUNCTION("""COMPUTED_VALUE"""),"Superior")</f>
        <v>Superior</v>
      </c>
      <c r="H1648" s="42" t="str">
        <f>IFERROR(__xludf.DUMMYFUNCTION("""COMPUTED_VALUE"""),"-")</f>
        <v>-</v>
      </c>
      <c r="I1648" s="43" t="str">
        <f>IFERROR(__xludf.DUMMYFUNCTION("""COMPUTED_VALUE"""),"Damage your opponent's Spell Book when you win the Battle as an Attacker. Regardless of Power, send 1 of your opponent's in-play PARTNER cards to the Discard Pile after the Battle.")</f>
        <v>Damage your opponent's Spell Book when you win the Battle as an Attacker. Regardless of Power, send 1 of your opponent's in-play PARTNER cards to the Discard Pile after the Battle.</v>
      </c>
      <c r="J1648" s="42" t="str">
        <f>IFERROR(__xludf.DUMMYFUNCTION("""COMPUTED_VALUE"""),"+5000")</f>
        <v>+5000</v>
      </c>
      <c r="K1648" s="42">
        <f>IFERROR(__xludf.DUMMYFUNCTION("""COMPUTED_VALUE"""),3.0)</f>
        <v>3</v>
      </c>
      <c r="L1648" s="42" t="str">
        <f>IFERROR(__xludf.DUMMYFUNCTION("""COMPUTED_VALUE"""),"-")</f>
        <v>-</v>
      </c>
      <c r="M1648" s="42" t="str">
        <f>IFERROR(__xludf.DUMMYFUNCTION("""COMPUTED_VALUE"""),"[SR]")</f>
        <v>[SR]</v>
      </c>
      <c r="N1648" s="42" t="str">
        <f>IFERROR(__xludf.DUMMYFUNCTION("""COMPUTED_VALUE"""),"Wonrei's 8th spell. A ferocious tiger charges into Demolt, which forces him to cough up his human partner, Roberto Vile.")</f>
        <v>Wonrei's 8th spell. A ferocious tiger charges into Demolt, which forces him to cough up his human partner, Roberto Vile.</v>
      </c>
      <c r="O1648" s="42"/>
      <c r="P1648" s="42"/>
      <c r="Q1648" s="42"/>
      <c r="R1648" s="42"/>
      <c r="S1648" s="42"/>
      <c r="T1648" s="42"/>
      <c r="U1648" s="42"/>
      <c r="V1648" s="42"/>
      <c r="W1648" s="42"/>
      <c r="X1648" s="42"/>
      <c r="Y1648" s="42"/>
      <c r="Z1648" s="42"/>
    </row>
    <row r="1649">
      <c r="A1649" s="42" t="str">
        <f>IFERROR(__xludf.DUMMYFUNCTION("""COMPUTED_VALUE"""),"S-518")</f>
        <v>S-518</v>
      </c>
      <c r="B1649" s="42" t="str">
        <f>IFERROR(__xludf.DUMMYFUNCTION("""COMPUTED_VALUE"""),"Spell")</f>
        <v>Spell</v>
      </c>
      <c r="C1649" s="42" t="str">
        <f>IFERROR(__xludf.DUMMYFUNCTION("""COMPUTED_VALUE"""),"Goraio Diboren")</f>
        <v>Goraio Diboren</v>
      </c>
      <c r="D1649" s="42" t="str">
        <f>IFERROR(__xludf.DUMMYFUNCTION("""COMPUTED_VALUE"""),"Wonrei")</f>
        <v>Wonrei</v>
      </c>
      <c r="E1649" s="42">
        <f>IFERROR(__xludf.DUMMYFUNCTION("""COMPUTED_VALUE"""),8.0)</f>
        <v>8</v>
      </c>
      <c r="F1649" s="42" t="str">
        <f>IFERROR(__xludf.DUMMYFUNCTION("""COMPUTED_VALUE"""),"AD")</f>
        <v>AD</v>
      </c>
      <c r="G1649" s="42" t="str">
        <f>IFERROR(__xludf.DUMMYFUNCTION("""COMPUTED_VALUE"""),"Superior")</f>
        <v>Superior</v>
      </c>
      <c r="H1649" s="42" t="str">
        <f>IFERROR(__xludf.DUMMYFUNCTION("""COMPUTED_VALUE"""),"-")</f>
        <v>-</v>
      </c>
      <c r="I1649" s="43" t="str">
        <f>IFERROR(__xludf.DUMMYFUNCTION("""COMPUTED_VALUE"""),"[SEAL BREAKER] Damage your opponent's Spell Book when you win the Battle as an Attacker. Before comparing Total Power, select 1 Li-en PARTNER card from any page of your Spell Book and put it in play.")</f>
        <v>[SEAL BREAKER] Damage your opponent's Spell Book when you win the Battle as an Attacker. Before comparing Total Power, select 1 Li-en PARTNER card from any page of your Spell Book and put it in play.</v>
      </c>
      <c r="J1649" s="42" t="str">
        <f>IFERROR(__xludf.DUMMYFUNCTION("""COMPUTED_VALUE"""),"+7000")</f>
        <v>+7000</v>
      </c>
      <c r="K1649" s="42">
        <f>IFERROR(__xludf.DUMMYFUNCTION("""COMPUTED_VALUE"""),4.0)</f>
        <v>4</v>
      </c>
      <c r="L1649" s="42" t="str">
        <f>IFERROR(__xludf.DUMMYFUNCTION("""COMPUTED_VALUE"""),"-")</f>
        <v>-</v>
      </c>
      <c r="M1649" s="42" t="str">
        <f>IFERROR(__xludf.DUMMYFUNCTION("""COMPUTED_VALUE"""),"[SR]")</f>
        <v>[SR]</v>
      </c>
      <c r="N1649" s="42" t="str">
        <f>IFERROR(__xludf.DUMMYFUNCTION("""COMPUTED_VALUE"""),"Wonrei's 9th spell. Wonrei's mightiest spell roars to life and rescues Li-en from a terrible fate.")</f>
        <v>Wonrei's 9th spell. Wonrei's mightiest spell roars to life and rescues Li-en from a terrible fate.</v>
      </c>
      <c r="O1649" s="42"/>
      <c r="P1649" s="42"/>
      <c r="Q1649" s="42"/>
      <c r="R1649" s="42"/>
      <c r="S1649" s="42"/>
      <c r="T1649" s="42"/>
      <c r="U1649" s="42"/>
      <c r="V1649" s="42"/>
      <c r="W1649" s="42"/>
      <c r="X1649" s="42"/>
      <c r="Y1649" s="42"/>
      <c r="Z1649" s="42"/>
    </row>
    <row r="1650">
      <c r="A1650" s="42" t="str">
        <f>IFERROR(__xludf.DUMMYFUNCTION("""COMPUTED_VALUE"""),"S-519")</f>
        <v>S-519</v>
      </c>
      <c r="B1650" s="42" t="str">
        <f>IFERROR(__xludf.DUMMYFUNCTION("""COMPUTED_VALUE"""),"Spell")</f>
        <v>Spell</v>
      </c>
      <c r="C1650" s="42" t="str">
        <f>IFERROR(__xludf.DUMMYFUNCTION("""COMPUTED_VALUE"""),"Sworsen")</f>
        <v>Sworsen</v>
      </c>
      <c r="D1650" s="42" t="str">
        <f>IFERROR(__xludf.DUMMYFUNCTION("""COMPUTED_VALUE"""),"Arth")</f>
        <v>Arth</v>
      </c>
      <c r="E1650" s="42">
        <f>IFERROR(__xludf.DUMMYFUNCTION("""COMPUTED_VALUE"""),1.0)</f>
        <v>1</v>
      </c>
      <c r="F1650" s="42" t="str">
        <f>IFERROR(__xludf.DUMMYFUNCTION("""COMPUTED_VALUE"""),"A")</f>
        <v>A</v>
      </c>
      <c r="G1650" s="42" t="str">
        <f>IFERROR(__xludf.DUMMYFUNCTION("""COMPUTED_VALUE"""),"None")</f>
        <v>None</v>
      </c>
      <c r="H1650" s="42" t="str">
        <f>IFERROR(__xludf.DUMMYFUNCTION("""COMPUTED_VALUE"""),"-")</f>
        <v>-</v>
      </c>
      <c r="I1650" s="43" t="str">
        <f>IFERROR(__xludf.DUMMYFUNCTION("""COMPUTED_VALUE"""),"Damage your opponent's Spell Book when you win the Battle as an Attacker.")</f>
        <v>Damage your opponent's Spell Book when you win the Battle as an Attacker.</v>
      </c>
      <c r="J1650" s="42" t="str">
        <f>IFERROR(__xludf.DUMMYFUNCTION("""COMPUTED_VALUE"""),"+3000")</f>
        <v>+3000</v>
      </c>
      <c r="K1650" s="42">
        <f>IFERROR(__xludf.DUMMYFUNCTION("""COMPUTED_VALUE"""),2.0)</f>
        <v>2</v>
      </c>
      <c r="L1650" s="42" t="str">
        <f>IFERROR(__xludf.DUMMYFUNCTION("""COMPUTED_VALUE"""),"-")</f>
        <v>-</v>
      </c>
      <c r="M1650" s="42" t="str">
        <f>IFERROR(__xludf.DUMMYFUNCTION("""COMPUTED_VALUE"""),"[C]")</f>
        <v>[C]</v>
      </c>
      <c r="N1650" s="42" t="str">
        <f>IFERROR(__xludf.DUMMYFUNCTION("""COMPUTED_VALUE"""),"Arth's 1st spell. With a swing of his sword, a shock wave that takes the form of his blade is slung toward his enemies.")</f>
        <v>Arth's 1st spell. With a swing of his sword, a shock wave that takes the form of his blade is slung toward his enemies.</v>
      </c>
      <c r="O1650" s="42"/>
      <c r="P1650" s="42"/>
      <c r="Q1650" s="42"/>
      <c r="R1650" s="42"/>
      <c r="S1650" s="42"/>
      <c r="T1650" s="42"/>
      <c r="U1650" s="42"/>
      <c r="V1650" s="42"/>
      <c r="W1650" s="42"/>
      <c r="X1650" s="42"/>
      <c r="Y1650" s="42"/>
      <c r="Z1650" s="42"/>
    </row>
    <row r="1651">
      <c r="A1651" s="42" t="str">
        <f>IFERROR(__xludf.DUMMYFUNCTION("""COMPUTED_VALUE"""),"S-520")</f>
        <v>S-520</v>
      </c>
      <c r="B1651" s="42" t="str">
        <f>IFERROR(__xludf.DUMMYFUNCTION("""COMPUTED_VALUE"""),"Spell")</f>
        <v>Spell</v>
      </c>
      <c r="C1651" s="42" t="str">
        <f>IFERROR(__xludf.DUMMYFUNCTION("""COMPUTED_VALUE"""),"Go Swordo")</f>
        <v>Go Swordo</v>
      </c>
      <c r="D1651" s="42" t="str">
        <f>IFERROR(__xludf.DUMMYFUNCTION("""COMPUTED_VALUE"""),"Arth")</f>
        <v>Arth</v>
      </c>
      <c r="E1651" s="42">
        <f>IFERROR(__xludf.DUMMYFUNCTION("""COMPUTED_VALUE"""),1.0)</f>
        <v>1</v>
      </c>
      <c r="F1651" s="42" t="str">
        <f>IFERROR(__xludf.DUMMYFUNCTION("""COMPUTED_VALUE"""),"A")</f>
        <v>A</v>
      </c>
      <c r="G1651" s="42" t="str">
        <f>IFERROR(__xludf.DUMMYFUNCTION("""COMPUTED_VALUE"""),"None")</f>
        <v>None</v>
      </c>
      <c r="H1651" s="42" t="str">
        <f>IFERROR(__xludf.DUMMYFUNCTION("""COMPUTED_VALUE"""),"-")</f>
        <v>-</v>
      </c>
      <c r="I1651" s="43" t="str">
        <f>IFERROR(__xludf.DUMMYFUNCTION("""COMPUTED_VALUE"""),"[STAY] Increase the Damage of your Arth MAMODO card's Attacks by 1 during this turn (this effect cannot be duplicated).")</f>
        <v>[STAY] Increase the Damage of your Arth MAMODO card's Attacks by 1 during this turn (this effect cannot be duplicated).</v>
      </c>
      <c r="J1651" s="42" t="str">
        <f>IFERROR(__xludf.DUMMYFUNCTION("""COMPUTED_VALUE"""),"-")</f>
        <v>-</v>
      </c>
      <c r="K1651" s="42" t="str">
        <f>IFERROR(__xludf.DUMMYFUNCTION("""COMPUTED_VALUE"""),"-")</f>
        <v>-</v>
      </c>
      <c r="L1651" s="42" t="str">
        <f>IFERROR(__xludf.DUMMYFUNCTION("""COMPUTED_VALUE"""),"-")</f>
        <v>-</v>
      </c>
      <c r="M1651" s="42" t="str">
        <f>IFERROR(__xludf.DUMMYFUNCTION("""COMPUTED_VALUE"""),"[C]")</f>
        <v>[C]</v>
      </c>
      <c r="N1651" s="42" t="str">
        <f>IFERROR(__xludf.DUMMYFUNCTION("""COMPUTED_VALUE"""),"Arth's 2nd spell. ""You annoying bug... I'm not even after you!""")</f>
        <v>Arth's 2nd spell. "You annoying bug... I'm not even after you!"</v>
      </c>
      <c r="O1651" s="42"/>
      <c r="P1651" s="42"/>
      <c r="Q1651" s="42"/>
      <c r="R1651" s="42"/>
      <c r="S1651" s="42"/>
      <c r="T1651" s="42"/>
      <c r="U1651" s="42"/>
      <c r="V1651" s="42"/>
      <c r="W1651" s="42"/>
      <c r="X1651" s="42"/>
      <c r="Y1651" s="42"/>
      <c r="Z1651" s="42"/>
    </row>
    <row r="1652">
      <c r="A1652" s="42" t="str">
        <f>IFERROR(__xludf.DUMMYFUNCTION("""COMPUTED_VALUE"""),"S-521")</f>
        <v>S-521</v>
      </c>
      <c r="B1652" s="42" t="str">
        <f>IFERROR(__xludf.DUMMYFUNCTION("""COMPUTED_VALUE"""),"Spell")</f>
        <v>Spell</v>
      </c>
      <c r="C1652" s="42" t="str">
        <f>IFERROR(__xludf.DUMMYFUNCTION("""COMPUTED_VALUE"""),"Jan Ji Swordo")</f>
        <v>Jan Ji Swordo</v>
      </c>
      <c r="D1652" s="42" t="str">
        <f>IFERROR(__xludf.DUMMYFUNCTION("""COMPUTED_VALUE"""),"Arth")</f>
        <v>Arth</v>
      </c>
      <c r="E1652" s="42">
        <f>IFERROR(__xludf.DUMMYFUNCTION("""COMPUTED_VALUE"""),3.0)</f>
        <v>3</v>
      </c>
      <c r="F1652" s="42" t="str">
        <f>IFERROR(__xludf.DUMMYFUNCTION("""COMPUTED_VALUE"""),"AD")</f>
        <v>AD</v>
      </c>
      <c r="G1652" s="42" t="str">
        <f>IFERROR(__xludf.DUMMYFUNCTION("""COMPUTED_VALUE"""),"Intermediate")</f>
        <v>Intermediate</v>
      </c>
      <c r="H1652" s="42" t="str">
        <f>IFERROR(__xludf.DUMMYFUNCTION("""COMPUTED_VALUE"""),"-")</f>
        <v>-</v>
      </c>
      <c r="I1652" s="43" t="str">
        <f>IFERROR(__xludf.DUMMYFUNCTION("""COMPUTED_VALUE"""),"Damage your opponent's Spell Book when you win the Battle as an Attacker.")</f>
        <v>Damage your opponent's Spell Book when you win the Battle as an Attacker.</v>
      </c>
      <c r="J1652" s="42" t="str">
        <f>IFERROR(__xludf.DUMMYFUNCTION("""COMPUTED_VALUE"""),"+3000")</f>
        <v>+3000</v>
      </c>
      <c r="K1652" s="42">
        <f>IFERROR(__xludf.DUMMYFUNCTION("""COMPUTED_VALUE"""),3.0)</f>
        <v>3</v>
      </c>
      <c r="L1652" s="42" t="str">
        <f>IFERROR(__xludf.DUMMYFUNCTION("""COMPUTED_VALUE"""),"-")</f>
        <v>-</v>
      </c>
      <c r="M1652" s="42" t="str">
        <f>IFERROR(__xludf.DUMMYFUNCTION("""COMPUTED_VALUE"""),"[U]")</f>
        <v>[U]</v>
      </c>
      <c r="N1652" s="42" t="str">
        <f>IFERROR(__xludf.DUMMYFUNCTION("""COMPUTED_VALUE"""),"Arth's 3rd spell. ""Be quiet... Why don't you save the tough talk until after you've defeated me?""")</f>
        <v>Arth's 3rd spell. "Be quiet... Why don't you save the tough talk until after you've defeated me?"</v>
      </c>
      <c r="O1652" s="42"/>
      <c r="P1652" s="42"/>
      <c r="Q1652" s="42"/>
      <c r="R1652" s="42"/>
      <c r="S1652" s="42"/>
      <c r="T1652" s="42"/>
      <c r="U1652" s="42"/>
      <c r="V1652" s="42"/>
      <c r="W1652" s="42"/>
      <c r="X1652" s="42"/>
      <c r="Y1652" s="42"/>
      <c r="Z1652" s="42"/>
    </row>
    <row r="1653">
      <c r="A1653" s="42" t="str">
        <f>IFERROR(__xludf.DUMMYFUNCTION("""COMPUTED_VALUE"""),"S-522")</f>
        <v>S-522</v>
      </c>
      <c r="B1653" s="42" t="str">
        <f>IFERROR(__xludf.DUMMYFUNCTION("""COMPUTED_VALUE"""),"Spell")</f>
        <v>Spell</v>
      </c>
      <c r="C1653" s="42" t="str">
        <f>IFERROR(__xludf.DUMMYFUNCTION("""COMPUTED_VALUE"""),"Borusen")</f>
        <v>Borusen</v>
      </c>
      <c r="D1653" s="42" t="str">
        <f>IFERROR(__xludf.DUMMYFUNCTION("""COMPUTED_VALUE"""),"Arth")</f>
        <v>Arth</v>
      </c>
      <c r="E1653" s="42">
        <f>IFERROR(__xludf.DUMMYFUNCTION("""COMPUTED_VALUE"""),1.0)</f>
        <v>1</v>
      </c>
      <c r="F1653" s="42" t="str">
        <f>IFERROR(__xludf.DUMMYFUNCTION("""COMPUTED_VALUE"""),"A")</f>
        <v>A</v>
      </c>
      <c r="G1653" s="42" t="str">
        <f>IFERROR(__xludf.DUMMYFUNCTION("""COMPUTED_VALUE"""),"None")</f>
        <v>None</v>
      </c>
      <c r="H1653" s="42" t="str">
        <f>IFERROR(__xludf.DUMMYFUNCTION("""COMPUTED_VALUE"""),"-")</f>
        <v>-</v>
      </c>
      <c r="I1653" s="43" t="str">
        <f>IFERROR(__xludf.DUMMYFUNCTION("""COMPUTED_VALUE"""),"Reduce your opponent's MP by 3.")</f>
        <v>Reduce your opponent's MP by 3.</v>
      </c>
      <c r="J1653" s="42" t="str">
        <f>IFERROR(__xludf.DUMMYFUNCTION("""COMPUTED_VALUE"""),"-")</f>
        <v>-</v>
      </c>
      <c r="K1653" s="42" t="str">
        <f>IFERROR(__xludf.DUMMYFUNCTION("""COMPUTED_VALUE"""),"-")</f>
        <v>-</v>
      </c>
      <c r="L1653" s="42" t="str">
        <f>IFERROR(__xludf.DUMMYFUNCTION("""COMPUTED_VALUE"""),"-")</f>
        <v>-</v>
      </c>
      <c r="M1653" s="42" t="str">
        <f>IFERROR(__xludf.DUMMYFUNCTION("""COMPUTED_VALUE"""),"[C]")</f>
        <v>[C]</v>
      </c>
      <c r="N1653" s="42" t="str">
        <f>IFERROR(__xludf.DUMMYFUNCTION("""COMPUTED_VALUE"""),"Arth's 4th spell. ""What?! An illusion?!""")</f>
        <v>Arth's 4th spell. "What?! An illusion?!"</v>
      </c>
      <c r="O1653" s="42"/>
      <c r="P1653" s="42"/>
      <c r="Q1653" s="42"/>
      <c r="R1653" s="42"/>
      <c r="S1653" s="42"/>
      <c r="T1653" s="42"/>
      <c r="U1653" s="42"/>
      <c r="V1653" s="42"/>
      <c r="W1653" s="42"/>
      <c r="X1653" s="42"/>
      <c r="Y1653" s="42"/>
      <c r="Z1653" s="42"/>
    </row>
    <row r="1654">
      <c r="A1654" s="42" t="str">
        <f>IFERROR(__xludf.DUMMYFUNCTION("""COMPUTED_VALUE"""),"S-523")</f>
        <v>S-523</v>
      </c>
      <c r="B1654" s="42" t="str">
        <f>IFERROR(__xludf.DUMMYFUNCTION("""COMPUTED_VALUE"""),"Spell")</f>
        <v>Spell</v>
      </c>
      <c r="C1654" s="42" t="str">
        <f>IFERROR(__xludf.DUMMYFUNCTION("""COMPUTED_VALUE"""),"Urusworto")</f>
        <v>Urusworto</v>
      </c>
      <c r="D1654" s="42" t="str">
        <f>IFERROR(__xludf.DUMMYFUNCTION("""COMPUTED_VALUE"""),"Arth")</f>
        <v>Arth</v>
      </c>
      <c r="E1654" s="42">
        <f>IFERROR(__xludf.DUMMYFUNCTION("""COMPUTED_VALUE"""),1.0)</f>
        <v>1</v>
      </c>
      <c r="F1654" s="42" t="str">
        <f>IFERROR(__xludf.DUMMYFUNCTION("""COMPUTED_VALUE"""),"AD")</f>
        <v>AD</v>
      </c>
      <c r="G1654" s="42" t="str">
        <f>IFERROR(__xludf.DUMMYFUNCTION("""COMPUTED_VALUE"""),"None")</f>
        <v>None</v>
      </c>
      <c r="H1654" s="42" t="str">
        <f>IFERROR(__xludf.DUMMYFUNCTION("""COMPUTED_VALUE"""),"-")</f>
        <v>-</v>
      </c>
      <c r="I1654" s="43" t="str">
        <f>IFERROR(__xludf.DUMMYFUNCTION("""COMPUTED_VALUE"""),"[STAY] When your Arth MAMODO card Attacks or Defends during this turn, add 4000 Power to the Total Power of your Attack or Defense.")</f>
        <v>[STAY] When your Arth MAMODO card Attacks or Defends during this turn, add 4000 Power to the Total Power of your Attack or Defense.</v>
      </c>
      <c r="J1654" s="42" t="str">
        <f>IFERROR(__xludf.DUMMYFUNCTION("""COMPUTED_VALUE"""),"-")</f>
        <v>-</v>
      </c>
      <c r="K1654" s="42" t="str">
        <f>IFERROR(__xludf.DUMMYFUNCTION("""COMPUTED_VALUE"""),"-")</f>
        <v>-</v>
      </c>
      <c r="L1654" s="42" t="str">
        <f>IFERROR(__xludf.DUMMYFUNCTION("""COMPUTED_VALUE"""),"-")</f>
        <v>-</v>
      </c>
      <c r="M1654" s="42" t="str">
        <f>IFERROR(__xludf.DUMMYFUNCTION("""COMPUTED_VALUE"""),"[C]")</f>
        <v>[C]</v>
      </c>
      <c r="N1654" s="42" t="str">
        <f>IFERROR(__xludf.DUMMYFUNCTION("""COMPUTED_VALUE"""),"Arth's 5th spell. ""Ha ha ha! Looks like you're getting pretty fast yourself.""")</f>
        <v>Arth's 5th spell. "Ha ha ha! Looks like you're getting pretty fast yourself."</v>
      </c>
      <c r="O1654" s="42"/>
      <c r="P1654" s="42"/>
      <c r="Q1654" s="42"/>
      <c r="R1654" s="42"/>
      <c r="S1654" s="42"/>
      <c r="T1654" s="42"/>
      <c r="U1654" s="42"/>
      <c r="V1654" s="42"/>
      <c r="W1654" s="42"/>
      <c r="X1654" s="42"/>
      <c r="Y1654" s="42"/>
      <c r="Z1654" s="42"/>
    </row>
    <row r="1655">
      <c r="A1655" s="42" t="str">
        <f>IFERROR(__xludf.DUMMYFUNCTION("""COMPUTED_VALUE"""),"S-524")</f>
        <v>S-524</v>
      </c>
      <c r="B1655" s="42" t="str">
        <f>IFERROR(__xludf.DUMMYFUNCTION("""COMPUTED_VALUE"""),"Spell")</f>
        <v>Spell</v>
      </c>
      <c r="C1655" s="42" t="str">
        <f>IFERROR(__xludf.DUMMYFUNCTION("""COMPUTED_VALUE"""),"Jerudo Ma Swordo")</f>
        <v>Jerudo Ma Swordo</v>
      </c>
      <c r="D1655" s="42" t="str">
        <f>IFERROR(__xludf.DUMMYFUNCTION("""COMPUTED_VALUE"""),"Arth")</f>
        <v>Arth</v>
      </c>
      <c r="E1655" s="42">
        <f>IFERROR(__xludf.DUMMYFUNCTION("""COMPUTED_VALUE"""),2.0)</f>
        <v>2</v>
      </c>
      <c r="F1655" s="42" t="str">
        <f>IFERROR(__xludf.DUMMYFUNCTION("""COMPUTED_VALUE"""),"D")</f>
        <v>D</v>
      </c>
      <c r="G1655" s="42" t="str">
        <f>IFERROR(__xludf.DUMMYFUNCTION("""COMPUTED_VALUE"""),"Intermediate")</f>
        <v>Intermediate</v>
      </c>
      <c r="H1655" s="42" t="str">
        <f>IFERROR(__xludf.DUMMYFUNCTION("""COMPUTED_VALUE"""),"-")</f>
        <v>-</v>
      </c>
      <c r="I1655" s="43" t="str">
        <f>IFERROR(__xludf.DUMMYFUNCTION("""COMPUTED_VALUE"""),"[COUNTER] Damage your opponent's Spell Book when you win the Battle as a Defender.")</f>
        <v>[COUNTER] Damage your opponent's Spell Book when you win the Battle as a Defender.</v>
      </c>
      <c r="J1655" s="42" t="str">
        <f>IFERROR(__xludf.DUMMYFUNCTION("""COMPUTED_VALUE"""),"+4000")</f>
        <v>+4000</v>
      </c>
      <c r="K1655" s="42">
        <f>IFERROR(__xludf.DUMMYFUNCTION("""COMPUTED_VALUE"""),2.0)</f>
        <v>2</v>
      </c>
      <c r="L1655" s="42" t="str">
        <f>IFERROR(__xludf.DUMMYFUNCTION("""COMPUTED_VALUE"""),"-")</f>
        <v>-</v>
      </c>
      <c r="M1655" s="42" t="str">
        <f>IFERROR(__xludf.DUMMYFUNCTION("""COMPUTED_VALUE"""),"[U]")</f>
        <v>[U]</v>
      </c>
      <c r="N1655" s="42" t="str">
        <f>IFERROR(__xludf.DUMMYFUNCTION("""COMPUTED_VALUE"""),"Arth's 6th spell. ""You fool... This is all a waste of time!""")</f>
        <v>Arth's 6th spell. "You fool... This is all a waste of time!"</v>
      </c>
      <c r="O1655" s="42"/>
      <c r="P1655" s="42"/>
      <c r="Q1655" s="42"/>
      <c r="R1655" s="42"/>
      <c r="S1655" s="42"/>
      <c r="T1655" s="42"/>
      <c r="U1655" s="42"/>
      <c r="V1655" s="42"/>
      <c r="W1655" s="42"/>
      <c r="X1655" s="42"/>
      <c r="Y1655" s="42"/>
      <c r="Z1655" s="42"/>
    </row>
    <row r="1656">
      <c r="A1656" s="42" t="str">
        <f>IFERROR(__xludf.DUMMYFUNCTION("""COMPUTED_VALUE"""),"S-525")</f>
        <v>S-525</v>
      </c>
      <c r="B1656" s="42" t="str">
        <f>IFERROR(__xludf.DUMMYFUNCTION("""COMPUTED_VALUE"""),"Spell")</f>
        <v>Spell</v>
      </c>
      <c r="C1656" s="42" t="str">
        <f>IFERROR(__xludf.DUMMYFUNCTION("""COMPUTED_VALUE"""),"Barbaros Swordon")</f>
        <v>Barbaros Swordon</v>
      </c>
      <c r="D1656" s="42" t="str">
        <f>IFERROR(__xludf.DUMMYFUNCTION("""COMPUTED_VALUE"""),"Arth")</f>
        <v>Arth</v>
      </c>
      <c r="E1656" s="42">
        <f>IFERROR(__xludf.DUMMYFUNCTION("""COMPUTED_VALUE"""),7.0)</f>
        <v>7</v>
      </c>
      <c r="F1656" s="42" t="str">
        <f>IFERROR(__xludf.DUMMYFUNCTION("""COMPUTED_VALUE"""),"AD")</f>
        <v>AD</v>
      </c>
      <c r="G1656" s="42" t="str">
        <f>IFERROR(__xludf.DUMMYFUNCTION("""COMPUTED_VALUE"""),"Superior")</f>
        <v>Superior</v>
      </c>
      <c r="H1656" s="42" t="str">
        <f>IFERROR(__xludf.DUMMYFUNCTION("""COMPUTED_VALUE"""),"-")</f>
        <v>-</v>
      </c>
      <c r="I1656" s="43" t="str">
        <f>IFERROR(__xludf.DUMMYFUNCTION("""COMPUTED_VALUE"""),"Damage your opponent's Spell Book when you win the Battle as an Attacker. If your opponent SACRIFICED or PROTECTED their Spell Book from this SPELL card's Damage, inflict 2 Damage on your opponent (your opponent can SACRIFICE or PROTECT from this Damage a"&amp;"s well).")</f>
        <v>Damage your opponent's Spell Book when you win the Battle as an Attacker. If your opponent SACRIFICED or PROTECTED their Spell Book from this SPELL card's Damage, inflict 2 Damage on your opponent (your opponent can SACRIFICE or PROTECT from this Damage as well).</v>
      </c>
      <c r="J1656" s="42" t="str">
        <f>IFERROR(__xludf.DUMMYFUNCTION("""COMPUTED_VALUE"""),"+7000")</f>
        <v>+7000</v>
      </c>
      <c r="K1656" s="42">
        <f>IFERROR(__xludf.DUMMYFUNCTION("""COMPUTED_VALUE"""),4.0)</f>
        <v>4</v>
      </c>
      <c r="L1656" s="42" t="str">
        <f>IFERROR(__xludf.DUMMYFUNCTION("""COMPUTED_VALUE"""),"-")</f>
        <v>-</v>
      </c>
      <c r="M1656" s="42" t="str">
        <f>IFERROR(__xludf.DUMMYFUNCTION("""COMPUTED_VALUE"""),"[SR]")</f>
        <v>[SR]</v>
      </c>
      <c r="N1656" s="42" t="str">
        <f>IFERROR(__xludf.DUMMYFUNCTION("""COMPUTED_VALUE"""),"Arth's 7th spell. Strength from within is converted into power and manifests into a massive sword for striking down enemies.")</f>
        <v>Arth's 7th spell. Strength from within is converted into power and manifests into a massive sword for striking down enemies.</v>
      </c>
      <c r="O1656" s="42"/>
      <c r="P1656" s="42"/>
      <c r="Q1656" s="42"/>
      <c r="R1656" s="42"/>
      <c r="S1656" s="42"/>
      <c r="T1656" s="42"/>
      <c r="U1656" s="42"/>
      <c r="V1656" s="42"/>
      <c r="W1656" s="42"/>
      <c r="X1656" s="42"/>
      <c r="Y1656" s="42"/>
      <c r="Z1656" s="42"/>
    </row>
    <row r="1657">
      <c r="A1657" s="42" t="str">
        <f>IFERROR(__xludf.DUMMYFUNCTION("""COMPUTED_VALUE"""),"S-526")</f>
        <v>S-526</v>
      </c>
      <c r="B1657" s="42" t="str">
        <f>IFERROR(__xludf.DUMMYFUNCTION("""COMPUTED_VALUE"""),"Spell")</f>
        <v>Spell</v>
      </c>
      <c r="C1657" s="42" t="str">
        <f>IFERROR(__xludf.DUMMYFUNCTION("""COMPUTED_VALUE"""),"Gyan Bagyam Swordon")</f>
        <v>Gyan Bagyam Swordon</v>
      </c>
      <c r="D1657" s="42" t="str">
        <f>IFERROR(__xludf.DUMMYFUNCTION("""COMPUTED_VALUE"""),"Arth")</f>
        <v>Arth</v>
      </c>
      <c r="E1657" s="42">
        <f>IFERROR(__xludf.DUMMYFUNCTION("""COMPUTED_VALUE"""),8.0)</f>
        <v>8</v>
      </c>
      <c r="F1657" s="42" t="str">
        <f>IFERROR(__xludf.DUMMYFUNCTION("""COMPUTED_VALUE"""),"AD")</f>
        <v>AD</v>
      </c>
      <c r="G1657" s="42" t="str">
        <f>IFERROR(__xludf.DUMMYFUNCTION("""COMPUTED_VALUE"""),"Superior")</f>
        <v>Superior</v>
      </c>
      <c r="H1657" s="42" t="str">
        <f>IFERROR(__xludf.DUMMYFUNCTION("""COMPUTED_VALUE"""),"-")</f>
        <v>-</v>
      </c>
      <c r="I1657" s="43" t="str">
        <f>IFERROR(__xludf.DUMMYFUNCTION("""COMPUTED_VALUE"""),"[SEAL BREAKER] Damage your opponent's Spell Book when you win the Battle as an Attacker. When you inflict Damage or Injury, your opponent sends 1 card in the currently open pages of their Spell Book to the Discard Pile.")</f>
        <v>[SEAL BREAKER] Damage your opponent's Spell Book when you win the Battle as an Attacker. When you inflict Damage or Injury, your opponent sends 1 card in the currently open pages of their Spell Book to the Discard Pile.</v>
      </c>
      <c r="J1657" s="42" t="str">
        <f>IFERROR(__xludf.DUMMYFUNCTION("""COMPUTED_VALUE"""),"+8000")</f>
        <v>+8000</v>
      </c>
      <c r="K1657" s="42">
        <f>IFERROR(__xludf.DUMMYFUNCTION("""COMPUTED_VALUE"""),4.0)</f>
        <v>4</v>
      </c>
      <c r="L1657" s="42" t="str">
        <f>IFERROR(__xludf.DUMMYFUNCTION("""COMPUTED_VALUE"""),"-")</f>
        <v>-</v>
      </c>
      <c r="M1657" s="42" t="str">
        <f>IFERROR(__xludf.DUMMYFUNCTION("""COMPUTED_VALUE"""),"[SR]")</f>
        <v>[SR]</v>
      </c>
      <c r="N1657" s="42" t="str">
        <f>IFERROR(__xludf.DUMMYFUNCTION("""COMPUTED_VALUE"""),"Arth's 8th spell. ""When I focus all my strength into one blow, it creates a mighty iron sword sharp enough to cut through anything!""")</f>
        <v>Arth's 8th spell. "When I focus all my strength into one blow, it creates a mighty iron sword sharp enough to cut through anything!"</v>
      </c>
      <c r="O1657" s="42"/>
      <c r="P1657" s="42"/>
      <c r="Q1657" s="42"/>
      <c r="R1657" s="42"/>
      <c r="S1657" s="42"/>
      <c r="T1657" s="42"/>
      <c r="U1657" s="42"/>
      <c r="V1657" s="42"/>
      <c r="W1657" s="42"/>
      <c r="X1657" s="42"/>
      <c r="Y1657" s="42"/>
      <c r="Z1657" s="42"/>
    </row>
    <row r="1658">
      <c r="A1658" s="42" t="str">
        <f>IFERROR(__xludf.DUMMYFUNCTION("""COMPUTED_VALUE"""),"S-527")</f>
        <v>S-527</v>
      </c>
      <c r="B1658" s="42" t="str">
        <f>IFERROR(__xludf.DUMMYFUNCTION("""COMPUTED_VALUE"""),"Spell")</f>
        <v>Spell</v>
      </c>
      <c r="C1658" s="42" t="str">
        <f>IFERROR(__xludf.DUMMYFUNCTION("""COMPUTED_VALUE"""),"Gidoruk")</f>
        <v>Gidoruk</v>
      </c>
      <c r="D1658" s="42" t="str">
        <f>IFERROR(__xludf.DUMMYFUNCTION("""COMPUTED_VALUE"""),"Karudio")</f>
        <v>Karudio</v>
      </c>
      <c r="E1658" s="42">
        <f>IFERROR(__xludf.DUMMYFUNCTION("""COMPUTED_VALUE"""),1.0)</f>
        <v>1</v>
      </c>
      <c r="F1658" s="42" t="str">
        <f>IFERROR(__xludf.DUMMYFUNCTION("""COMPUTED_VALUE"""),"A")</f>
        <v>A</v>
      </c>
      <c r="G1658" s="42" t="str">
        <f>IFERROR(__xludf.DUMMYFUNCTION("""COMPUTED_VALUE"""),"None")</f>
        <v>None</v>
      </c>
      <c r="H1658" s="42" t="str">
        <f>IFERROR(__xludf.DUMMYFUNCTION("""COMPUTED_VALUE"""),"-")</f>
        <v>-</v>
      </c>
      <c r="I1658" s="43" t="str">
        <f>IFERROR(__xludf.DUMMYFUNCTION("""COMPUTED_VALUE"""),"Select 1 Karudio (Gidoruk Form) MAMODO card from any page of your Spell Book and place it on a Karudio MAMODO card. Then, reduce your opponent's MP by 2.")</f>
        <v>Select 1 Karudio (Gidoruk Form) MAMODO card from any page of your Spell Book and place it on a Karudio MAMODO card. Then, reduce your opponent's MP by 2.</v>
      </c>
      <c r="J1658" s="42" t="str">
        <f>IFERROR(__xludf.DUMMYFUNCTION("""COMPUTED_VALUE"""),"-")</f>
        <v>-</v>
      </c>
      <c r="K1658" s="42" t="str">
        <f>IFERROR(__xludf.DUMMYFUNCTION("""COMPUTED_VALUE"""),"-")</f>
        <v>-</v>
      </c>
      <c r="L1658" s="42" t="str">
        <f>IFERROR(__xludf.DUMMYFUNCTION("""COMPUTED_VALUE"""),"-")</f>
        <v>-</v>
      </c>
      <c r="M1658" s="42" t="str">
        <f>IFERROR(__xludf.DUMMYFUNCTION("""COMPUTED_VALUE"""),"[U]")</f>
        <v>[U]</v>
      </c>
      <c r="N1658" s="42" t="str">
        <f>IFERROR(__xludf.DUMMYFUNCTION("""COMPUTED_VALUE"""),"Karudio's 1st spell. Armor covers his hooves and forehead while hardening his mane at the same time.")</f>
        <v>Karudio's 1st spell. Armor covers his hooves and forehead while hardening his mane at the same time.</v>
      </c>
      <c r="O1658" s="42"/>
      <c r="P1658" s="42"/>
      <c r="Q1658" s="42"/>
      <c r="R1658" s="42"/>
      <c r="S1658" s="42"/>
      <c r="T1658" s="42"/>
      <c r="U1658" s="42"/>
      <c r="V1658" s="42"/>
      <c r="W1658" s="42"/>
      <c r="X1658" s="42"/>
      <c r="Y1658" s="42"/>
      <c r="Z1658" s="42"/>
    </row>
    <row r="1659">
      <c r="A1659" s="42" t="str">
        <f>IFERROR(__xludf.DUMMYFUNCTION("""COMPUTED_VALUE"""),"S-528")</f>
        <v>S-528</v>
      </c>
      <c r="B1659" s="42" t="str">
        <f>IFERROR(__xludf.DUMMYFUNCTION("""COMPUTED_VALUE"""),"Spell")</f>
        <v>Spell</v>
      </c>
      <c r="C1659" s="42" t="str">
        <f>IFERROR(__xludf.DUMMYFUNCTION("""COMPUTED_VALUE"""),"Go Gidoruk")</f>
        <v>Go Gidoruk</v>
      </c>
      <c r="D1659" s="42" t="str">
        <f>IFERROR(__xludf.DUMMYFUNCTION("""COMPUTED_VALUE"""),"Karudio")</f>
        <v>Karudio</v>
      </c>
      <c r="E1659" s="42">
        <f>IFERROR(__xludf.DUMMYFUNCTION("""COMPUTED_VALUE"""),2.0)</f>
        <v>2</v>
      </c>
      <c r="F1659" s="42" t="str">
        <f>IFERROR(__xludf.DUMMYFUNCTION("""COMPUTED_VALUE"""),"A")</f>
        <v>A</v>
      </c>
      <c r="G1659" s="42" t="str">
        <f>IFERROR(__xludf.DUMMYFUNCTION("""COMPUTED_VALUE"""),"S-528 | U MP:2 ATT No Battle (")</f>
        <v>S-528 | U MP:2 ATT No Battle (</v>
      </c>
      <c r="H1659" s="42" t="str">
        <f>IFERROR(__xludf.DUMMYFUNCTION("""COMPUTED_VALUE"""),"-")</f>
        <v>-</v>
      </c>
      <c r="I1659" s="43" t="str">
        <f>IFERROR(__xludf.DUMMYFUNCTION("""COMPUTED_VALUE"""),"Select 1 Karudio (Go Gidoruk Form) MAMODO card from any page of your Spell Book and place it on a Karudio MAMODO card. Then, reduce your opponent's MP by 4.")</f>
        <v>Select 1 Karudio (Go Gidoruk Form) MAMODO card from any page of your Spell Book and place it on a Karudio MAMODO card. Then, reduce your opponent's MP by 4.</v>
      </c>
      <c r="J1659" s="42" t="str">
        <f>IFERROR(__xludf.DUMMYFUNCTION("""COMPUTED_VALUE"""),"-")</f>
        <v>-</v>
      </c>
      <c r="K1659" s="42" t="str">
        <f>IFERROR(__xludf.DUMMYFUNCTION("""COMPUTED_VALUE"""),"-")</f>
        <v>-</v>
      </c>
      <c r="L1659" s="42" t="str">
        <f>IFERROR(__xludf.DUMMYFUNCTION("""COMPUTED_VALUE"""),"-")</f>
        <v>-</v>
      </c>
      <c r="M1659" s="42" t="str">
        <f>IFERROR(__xludf.DUMMYFUNCTION("""COMPUTED_VALUE"""),"[U]")</f>
        <v>[U]</v>
      </c>
      <c r="N1659" s="42" t="str">
        <f>IFERROR(__xludf.DUMMYFUNCTION("""COMPUTED_VALUE"""),"Karudio's 2nd spell. ""Hmph. Come on, Karudio... GO GIDORUK!""")</f>
        <v>Karudio's 2nd spell. "Hmph. Come on, Karudio... GO GIDORUK!"</v>
      </c>
      <c r="O1659" s="42"/>
      <c r="P1659" s="42"/>
      <c r="Q1659" s="42"/>
      <c r="R1659" s="42"/>
      <c r="S1659" s="42"/>
      <c r="T1659" s="42"/>
      <c r="U1659" s="42"/>
      <c r="V1659" s="42"/>
      <c r="W1659" s="42"/>
      <c r="X1659" s="42"/>
      <c r="Y1659" s="42"/>
      <c r="Z1659" s="42"/>
    </row>
    <row r="1660">
      <c r="A1660" s="42" t="str">
        <f>IFERROR(__xludf.DUMMYFUNCTION("""COMPUTED_VALUE"""),"S-529")</f>
        <v>S-529</v>
      </c>
      <c r="B1660" s="42" t="str">
        <f>IFERROR(__xludf.DUMMYFUNCTION("""COMPUTED_VALUE"""),"Spell")</f>
        <v>Spell</v>
      </c>
      <c r="C1660" s="42" t="str">
        <f>IFERROR(__xludf.DUMMYFUNCTION("""COMPUTED_VALUE"""),"Diogikor Gidoruk")</f>
        <v>Diogikor Gidoruk</v>
      </c>
      <c r="D1660" s="42" t="str">
        <f>IFERROR(__xludf.DUMMYFUNCTION("""COMPUTED_VALUE"""),"Karudio")</f>
        <v>Karudio</v>
      </c>
      <c r="E1660" s="42">
        <f>IFERROR(__xludf.DUMMYFUNCTION("""COMPUTED_VALUE"""),3.0)</f>
        <v>3</v>
      </c>
      <c r="F1660" s="42" t="str">
        <f>IFERROR(__xludf.DUMMYFUNCTION("""COMPUTED_VALUE"""),"A")</f>
        <v>A</v>
      </c>
      <c r="G1660" s="42" t="str">
        <f>IFERROR(__xludf.DUMMYFUNCTION("""COMPUTED_VALUE"""),"Intermediate")</f>
        <v>Intermediate</v>
      </c>
      <c r="H1660" s="42" t="str">
        <f>IFERROR(__xludf.DUMMYFUNCTION("""COMPUTED_VALUE"""),"Ice")</f>
        <v>Ice</v>
      </c>
      <c r="I1660" s="43" t="str">
        <f>IFERROR(__xludf.DUMMYFUNCTION("""COMPUTED_VALUE"""),"Select 1 Karudio (Diogikor Gidoruk Form) MAMODO card from any page of your Spell Book and place it on a Karudio MAMODO card. Then, turn 1 page of your opponent's Spell Book.")</f>
        <v>Select 1 Karudio (Diogikor Gidoruk Form) MAMODO card from any page of your Spell Book and place it on a Karudio MAMODO card. Then, turn 1 page of your opponent's Spell Book.</v>
      </c>
      <c r="J1660" s="42" t="str">
        <f>IFERROR(__xludf.DUMMYFUNCTION("""COMPUTED_VALUE"""),"-")</f>
        <v>-</v>
      </c>
      <c r="K1660" s="42" t="str">
        <f>IFERROR(__xludf.DUMMYFUNCTION("""COMPUTED_VALUE"""),"-")</f>
        <v>-</v>
      </c>
      <c r="L1660" s="42" t="str">
        <f>IFERROR(__xludf.DUMMYFUNCTION("""COMPUTED_VALUE"""),"-")</f>
        <v>-</v>
      </c>
      <c r="M1660" s="42" t="str">
        <f>IFERROR(__xludf.DUMMYFUNCTION("""COMPUTED_VALUE"""),"[SR]")</f>
        <v>[SR]</v>
      </c>
      <c r="N1660" s="42" t="str">
        <f>IFERROR(__xludf.DUMMYFUNCTION("""COMPUTED_VALUE"""),"Karudio's 3rd spell. ""Stop acting tough in front of me!""")</f>
        <v>Karudio's 3rd spell. "Stop acting tough in front of me!"</v>
      </c>
      <c r="O1660" s="42"/>
      <c r="P1660" s="42"/>
      <c r="Q1660" s="42"/>
      <c r="R1660" s="42"/>
      <c r="S1660" s="42"/>
      <c r="T1660" s="42"/>
      <c r="U1660" s="42"/>
      <c r="V1660" s="42"/>
      <c r="W1660" s="42"/>
      <c r="X1660" s="42"/>
      <c r="Y1660" s="42"/>
      <c r="Z1660" s="42"/>
    </row>
    <row r="1661">
      <c r="A1661" s="42" t="str">
        <f>IFERROR(__xludf.DUMMYFUNCTION("""COMPUTED_VALUE"""),"S-530")</f>
        <v>S-530</v>
      </c>
      <c r="B1661" s="42" t="str">
        <f>IFERROR(__xludf.DUMMYFUNCTION("""COMPUTED_VALUE"""),"Spell")</f>
        <v>Spell</v>
      </c>
      <c r="C1661" s="42" t="str">
        <f>IFERROR(__xludf.DUMMYFUNCTION("""COMPUTED_VALUE"""),"Amulon")</f>
        <v>Amulon</v>
      </c>
      <c r="D1661" s="42" t="str">
        <f>IFERROR(__xludf.DUMMYFUNCTION("""COMPUTED_VALUE"""),"Momon")</f>
        <v>Momon</v>
      </c>
      <c r="E1661" s="42">
        <f>IFERROR(__xludf.DUMMYFUNCTION("""COMPUTED_VALUE"""),1.0)</f>
        <v>1</v>
      </c>
      <c r="F1661" s="42" t="str">
        <f>IFERROR(__xludf.DUMMYFUNCTION("""COMPUTED_VALUE"""),"AD")</f>
        <v>AD</v>
      </c>
      <c r="G1661" s="42" t="str">
        <f>IFERROR(__xludf.DUMMYFUNCTION("""COMPUTED_VALUE"""),"None")</f>
        <v>None</v>
      </c>
      <c r="H1661" s="42" t="str">
        <f>IFERROR(__xludf.DUMMYFUNCTION("""COMPUTED_VALUE"""),"-")</f>
        <v>-</v>
      </c>
      <c r="I1661" s="43" t="str">
        <f>IFERROR(__xludf.DUMMYFUNCTION("""COMPUTED_VALUE"""),"Move up to 2 of your in-play cards to empty pages of your Spell Book (except the currently open pages).")</f>
        <v>Move up to 2 of your in-play cards to empty pages of your Spell Book (except the currently open pages).</v>
      </c>
      <c r="J1661" s="42" t="str">
        <f>IFERROR(__xludf.DUMMYFUNCTION("""COMPUTED_VALUE"""),"-")</f>
        <v>-</v>
      </c>
      <c r="K1661" s="42" t="str">
        <f>IFERROR(__xludf.DUMMYFUNCTION("""COMPUTED_VALUE"""),"-")</f>
        <v>-</v>
      </c>
      <c r="L1661" s="42" t="str">
        <f>IFERROR(__xludf.DUMMYFUNCTION("""COMPUTED_VALUE"""),"-")</f>
        <v>-</v>
      </c>
      <c r="M1661" s="42" t="str">
        <f>IFERROR(__xludf.DUMMYFUNCTION("""COMPUTED_VALUE"""),"[C]")</f>
        <v>[C]</v>
      </c>
      <c r="N1661" s="42" t="str">
        <f>IFERROR(__xludf.DUMMYFUNCTION("""COMPUTED_VALUE"""),"Momon's 1st spell. ""BOIIING!""")</f>
        <v>Momon's 1st spell. "BOIIING!"</v>
      </c>
      <c r="O1661" s="42"/>
      <c r="P1661" s="42"/>
      <c r="Q1661" s="42"/>
      <c r="R1661" s="42"/>
      <c r="S1661" s="42"/>
      <c r="T1661" s="42"/>
      <c r="U1661" s="42"/>
      <c r="V1661" s="42"/>
      <c r="W1661" s="42"/>
      <c r="X1661" s="42"/>
      <c r="Y1661" s="42"/>
      <c r="Z1661" s="42"/>
    </row>
    <row r="1662">
      <c r="A1662" s="42" t="str">
        <f>IFERROR(__xludf.DUMMYFUNCTION("""COMPUTED_VALUE"""),"S-531")</f>
        <v>S-531</v>
      </c>
      <c r="B1662" s="42" t="str">
        <f>IFERROR(__xludf.DUMMYFUNCTION("""COMPUTED_VALUE"""),"Spell")</f>
        <v>Spell</v>
      </c>
      <c r="C1662" s="42" t="str">
        <f>IFERROR(__xludf.DUMMYFUNCTION("""COMPUTED_VALUE"""),"Aguraruk")</f>
        <v>Aguraruk</v>
      </c>
      <c r="D1662" s="42" t="str">
        <f>IFERROR(__xludf.DUMMYFUNCTION("""COMPUTED_VALUE"""),"Momon")</f>
        <v>Momon</v>
      </c>
      <c r="E1662" s="42">
        <f>IFERROR(__xludf.DUMMYFUNCTION("""COMPUTED_VALUE"""),4.0)</f>
        <v>4</v>
      </c>
      <c r="F1662" s="42" t="str">
        <f>IFERROR(__xludf.DUMMYFUNCTION("""COMPUTED_VALUE"""),"A")</f>
        <v>A</v>
      </c>
      <c r="G1662" s="42" t="str">
        <f>IFERROR(__xludf.DUMMYFUNCTION("""COMPUTED_VALUE"""),"Intermediate")</f>
        <v>Intermediate</v>
      </c>
      <c r="H1662" s="42" t="str">
        <f>IFERROR(__xludf.DUMMYFUNCTION("""COMPUTED_VALUE"""),"-")</f>
        <v>-</v>
      </c>
      <c r="I1662" s="43" t="str">
        <f>IFERROR(__xludf.DUMMYFUNCTION("""COMPUTED_VALUE"""),"Select either the left page or right page of the currently open pages of your opponent's Spell Book (without looking at them). Your opponent sends the card in the selected page to the Discard Pile.")</f>
        <v>Select either the left page or right page of the currently open pages of your opponent's Spell Book (without looking at them). Your opponent sends the card in the selected page to the Discard Pile.</v>
      </c>
      <c r="J1662" s="42" t="str">
        <f>IFERROR(__xludf.DUMMYFUNCTION("""COMPUTED_VALUE"""),"-")</f>
        <v>-</v>
      </c>
      <c r="K1662" s="42" t="str">
        <f>IFERROR(__xludf.DUMMYFUNCTION("""COMPUTED_VALUE"""),"-")</f>
        <v>-</v>
      </c>
      <c r="L1662" s="42" t="str">
        <f>IFERROR(__xludf.DUMMYFUNCTION("""COMPUTED_VALUE"""),"-")</f>
        <v>-</v>
      </c>
      <c r="M1662" s="42" t="str">
        <f>IFERROR(__xludf.DUMMYFUNCTION("""COMPUTED_VALUE"""),"[C]")</f>
        <v>[C]</v>
      </c>
      <c r="N1662" s="42" t="str">
        <f>IFERROR(__xludf.DUMMYFUNCTION("""COMPUTED_VALUE"""),"Momon's 2nd spell. ""Huh? He fell into the ground?""")</f>
        <v>Momon's 2nd spell. "Huh? He fell into the ground?"</v>
      </c>
      <c r="O1662" s="42"/>
      <c r="P1662" s="42"/>
      <c r="Q1662" s="42"/>
      <c r="R1662" s="42"/>
      <c r="S1662" s="42"/>
      <c r="T1662" s="42"/>
      <c r="U1662" s="42"/>
      <c r="V1662" s="42"/>
      <c r="W1662" s="42"/>
      <c r="X1662" s="42"/>
      <c r="Y1662" s="42"/>
      <c r="Z1662" s="42"/>
    </row>
    <row r="1663">
      <c r="A1663" s="42" t="str">
        <f>IFERROR(__xludf.DUMMYFUNCTION("""COMPUTED_VALUE"""),"S-532")</f>
        <v>S-532</v>
      </c>
      <c r="B1663" s="42" t="str">
        <f>IFERROR(__xludf.DUMMYFUNCTION("""COMPUTED_VALUE"""),"Spell")</f>
        <v>Spell</v>
      </c>
      <c r="C1663" s="42" t="str">
        <f>IFERROR(__xludf.DUMMYFUNCTION("""COMPUTED_VALUE"""),"Ora Norojio")</f>
        <v>Ora Norojio</v>
      </c>
      <c r="D1663" s="42" t="str">
        <f>IFERROR(__xludf.DUMMYFUNCTION("""COMPUTED_VALUE"""),"Momon")</f>
        <v>Momon</v>
      </c>
      <c r="E1663" s="42">
        <f>IFERROR(__xludf.DUMMYFUNCTION("""COMPUTED_VALUE"""),3.0)</f>
        <v>3</v>
      </c>
      <c r="F1663" s="42" t="str">
        <f>IFERROR(__xludf.DUMMYFUNCTION("""COMPUTED_VALUE"""),"D")</f>
        <v>D</v>
      </c>
      <c r="G1663" s="42" t="str">
        <f>IFERROR(__xludf.DUMMYFUNCTION("""COMPUTED_VALUE"""),"None")</f>
        <v>None</v>
      </c>
      <c r="H1663" s="42" t="str">
        <f>IFERROR(__xludf.DUMMYFUNCTION("""COMPUTED_VALUE"""),"-")</f>
        <v>-</v>
      </c>
      <c r="I1663" s="43" t="str">
        <f>IFERROR(__xludf.DUMMYFUNCTION("""COMPUTED_VALUE"""),"Negate your opponent's Attack regardless of their Power.")</f>
        <v>Negate your opponent's Attack regardless of their Power.</v>
      </c>
      <c r="J1663" s="42" t="str">
        <f>IFERROR(__xludf.DUMMYFUNCTION("""COMPUTED_VALUE"""),"-")</f>
        <v>-</v>
      </c>
      <c r="K1663" s="42" t="str">
        <f>IFERROR(__xludf.DUMMYFUNCTION("""COMPUTED_VALUE"""),"-")</f>
        <v>-</v>
      </c>
      <c r="L1663" s="42" t="str">
        <f>IFERROR(__xludf.DUMMYFUNCTION("""COMPUTED_VALUE"""),"-")</f>
        <v>-</v>
      </c>
      <c r="M1663" s="42" t="str">
        <f>IFERROR(__xludf.DUMMYFUNCTION("""COMPUTED_VALUE"""),"[C]")</f>
        <v>[C]</v>
      </c>
      <c r="N1663" s="42" t="str">
        <f>IFERROR(__xludf.DUMMYFUNCTION("""COMPUTED_VALUE"""),"Momon's 3rd spell. ""What's this? Is this a spell that slows down time?!""")</f>
        <v>Momon's 3rd spell. "What's this? Is this a spell that slows down time?!"</v>
      </c>
      <c r="O1663" s="42"/>
      <c r="P1663" s="42"/>
      <c r="Q1663" s="42"/>
      <c r="R1663" s="42"/>
      <c r="S1663" s="42"/>
      <c r="T1663" s="42"/>
      <c r="U1663" s="42"/>
      <c r="V1663" s="42"/>
      <c r="W1663" s="42"/>
      <c r="X1663" s="42"/>
      <c r="Y1663" s="42"/>
      <c r="Z1663" s="42"/>
    </row>
    <row r="1664">
      <c r="A1664" s="42" t="str">
        <f>IFERROR(__xludf.DUMMYFUNCTION("""COMPUTED_VALUE"""),"S-533")</f>
        <v>S-533</v>
      </c>
      <c r="B1664" s="42" t="str">
        <f>IFERROR(__xludf.DUMMYFUNCTION("""COMPUTED_VALUE"""),"Spell")</f>
        <v>Spell</v>
      </c>
      <c r="C1664" s="42" t="str">
        <f>IFERROR(__xludf.DUMMYFUNCTION("""COMPUTED_VALUE"""),"Minfei Mimirug")</f>
        <v>Minfei Mimirug</v>
      </c>
      <c r="D1664" s="42" t="str">
        <f>IFERROR(__xludf.DUMMYFUNCTION("""COMPUTED_VALUE"""),"Momon")</f>
        <v>Momon</v>
      </c>
      <c r="E1664" s="42">
        <f>IFERROR(__xludf.DUMMYFUNCTION("""COMPUTED_VALUE"""),1.0)</f>
        <v>1</v>
      </c>
      <c r="F1664" s="42" t="str">
        <f>IFERROR(__xludf.DUMMYFUNCTION("""COMPUTED_VALUE"""),"A")</f>
        <v>A</v>
      </c>
      <c r="G1664" s="42" t="str">
        <f>IFERROR(__xludf.DUMMYFUNCTION("""COMPUTED_VALUE"""),"None")</f>
        <v>None</v>
      </c>
      <c r="H1664" s="42" t="str">
        <f>IFERROR(__xludf.DUMMYFUNCTION("""COMPUTED_VALUE"""),"-")</f>
        <v>-</v>
      </c>
      <c r="I1664" s="43" t="str">
        <f>IFERROR(__xludf.DUMMYFUNCTION("""COMPUTED_VALUE"""),"Select up to 3 MAMODO and/or PARTNER cards from any page of your Spell Book and put them in play.")</f>
        <v>Select up to 3 MAMODO and/or PARTNER cards from any page of your Spell Book and put them in play.</v>
      </c>
      <c r="J1664" s="42" t="str">
        <f>IFERROR(__xludf.DUMMYFUNCTION("""COMPUTED_VALUE"""),"-")</f>
        <v>-</v>
      </c>
      <c r="K1664" s="42" t="str">
        <f>IFERROR(__xludf.DUMMYFUNCTION("""COMPUTED_VALUE"""),"-")</f>
        <v>-</v>
      </c>
      <c r="L1664" s="42" t="str">
        <f>IFERROR(__xludf.DUMMYFUNCTION("""COMPUTED_VALUE"""),"-")</f>
        <v>-</v>
      </c>
      <c r="M1664" s="42" t="str">
        <f>IFERROR(__xludf.DUMMYFUNCTION("""COMPUTED_VALUE"""),"[R]")</f>
        <v>[R]</v>
      </c>
      <c r="N1664" s="42" t="str">
        <f>IFERROR(__xludf.DUMMYFUNCTION("""COMPUTED_VALUE"""),"Momon's 4th spell. A spell that enables him to fly, making it easier to travel through Faudo's body.")</f>
        <v>Momon's 4th spell. A spell that enables him to fly, making it easier to travel through Faudo's body.</v>
      </c>
      <c r="O1664" s="42"/>
      <c r="P1664" s="42"/>
      <c r="Q1664" s="42"/>
      <c r="R1664" s="42"/>
      <c r="S1664" s="42"/>
      <c r="T1664" s="42"/>
      <c r="U1664" s="42"/>
      <c r="V1664" s="42"/>
      <c r="W1664" s="42"/>
      <c r="X1664" s="42"/>
      <c r="Y1664" s="42"/>
      <c r="Z1664" s="42"/>
    </row>
    <row r="1665">
      <c r="A1665" s="42" t="str">
        <f>IFERROR(__xludf.DUMMYFUNCTION("""COMPUTED_VALUE"""),"S-534")</f>
        <v>S-534</v>
      </c>
      <c r="B1665" s="42" t="str">
        <f>IFERROR(__xludf.DUMMYFUNCTION("""COMPUTED_VALUE"""),"Spell")</f>
        <v>Spell</v>
      </c>
      <c r="C1665" s="42" t="str">
        <f>IFERROR(__xludf.DUMMYFUNCTION("""COMPUTED_VALUE"""),"Garbanio")</f>
        <v>Garbanio</v>
      </c>
      <c r="D1665" s="42" t="str">
        <f>IFERROR(__xludf.DUMMYFUNCTION("""COMPUTED_VALUE"""),"Riya")</f>
        <v>Riya</v>
      </c>
      <c r="E1665" s="42">
        <f>IFERROR(__xludf.DUMMYFUNCTION("""COMPUTED_VALUE"""),1.0)</f>
        <v>1</v>
      </c>
      <c r="F1665" s="42" t="str">
        <f>IFERROR(__xludf.DUMMYFUNCTION("""COMPUTED_VALUE"""),"A")</f>
        <v>A</v>
      </c>
      <c r="G1665" s="42" t="str">
        <f>IFERROR(__xludf.DUMMYFUNCTION("""COMPUTED_VALUE"""),"None")</f>
        <v>None</v>
      </c>
      <c r="H1665" s="42" t="str">
        <f>IFERROR(__xludf.DUMMYFUNCTION("""COMPUTED_VALUE"""),"-")</f>
        <v>-</v>
      </c>
      <c r="I1665" s="43" t="str">
        <f>IFERROR(__xludf.DUMMYFUNCTION("""COMPUTED_VALUE"""),"Damage your opponent's Spell Book when you win the Battle as an Attacker. When you declare the play of this SPELL card, you may pay 1 additional MP to add 1000 Power to this SPELL card (this effect can be applied as many times as you desire).")</f>
        <v>Damage your opponent's Spell Book when you win the Battle as an Attacker. When you declare the play of this SPELL card, you may pay 1 additional MP to add 1000 Power to this SPELL card (this effect can be applied as many times as you desire).</v>
      </c>
      <c r="J1665" s="42" t="str">
        <f>IFERROR(__xludf.DUMMYFUNCTION("""COMPUTED_VALUE"""),"+1000")</f>
        <v>+1000</v>
      </c>
      <c r="K1665" s="42">
        <f>IFERROR(__xludf.DUMMYFUNCTION("""COMPUTED_VALUE"""),2.0)</f>
        <v>2</v>
      </c>
      <c r="L1665" s="42" t="str">
        <f>IFERROR(__xludf.DUMMYFUNCTION("""COMPUTED_VALUE"""),"-")</f>
        <v>-</v>
      </c>
      <c r="M1665" s="42" t="str">
        <f>IFERROR(__xludf.DUMMYFUNCTION("""COMPUTED_VALUE"""),"[C]")</f>
        <v>[C]</v>
      </c>
      <c r="N1665" s="42" t="str">
        <f>IFERROR(__xludf.DUMMYFUNCTION("""COMPUTED_VALUE"""),"Riya's 1st spell. Alishie uses it to attack with all his might. The horn on top of Riya's head extends outward and rams into Zaruchim.")</f>
        <v>Riya's 1st spell. Alishie uses it to attack with all his might. The horn on top of Riya's head extends outward and rams into Zaruchim.</v>
      </c>
      <c r="O1665" s="42"/>
      <c r="P1665" s="42"/>
      <c r="Q1665" s="42"/>
      <c r="R1665" s="42"/>
      <c r="S1665" s="42"/>
      <c r="T1665" s="42"/>
      <c r="U1665" s="42"/>
      <c r="V1665" s="42"/>
      <c r="W1665" s="42"/>
      <c r="X1665" s="42"/>
      <c r="Y1665" s="42"/>
      <c r="Z1665" s="42"/>
    </row>
    <row r="1666">
      <c r="A1666" s="42" t="str">
        <f>IFERROR(__xludf.DUMMYFUNCTION("""COMPUTED_VALUE"""),"S-535")</f>
        <v>S-535</v>
      </c>
      <c r="B1666" s="42" t="str">
        <f>IFERROR(__xludf.DUMMYFUNCTION("""COMPUTED_VALUE"""),"Spell")</f>
        <v>Spell</v>
      </c>
      <c r="C1666" s="42" t="str">
        <f>IFERROR(__xludf.DUMMYFUNCTION("""COMPUTED_VALUE"""),"Ganzu Niosen")</f>
        <v>Ganzu Niosen</v>
      </c>
      <c r="D1666" s="42" t="str">
        <f>IFERROR(__xludf.DUMMYFUNCTION("""COMPUTED_VALUE"""),"Riya")</f>
        <v>Riya</v>
      </c>
      <c r="E1666" s="42">
        <f>IFERROR(__xludf.DUMMYFUNCTION("""COMPUTED_VALUE"""),2.0)</f>
        <v>2</v>
      </c>
      <c r="F1666" s="42" t="str">
        <f>IFERROR(__xludf.DUMMYFUNCTION("""COMPUTED_VALUE"""),"A")</f>
        <v>A</v>
      </c>
      <c r="G1666" s="42" t="str">
        <f>IFERROR(__xludf.DUMMYFUNCTION("""COMPUTED_VALUE"""),"Intermediate")</f>
        <v>Intermediate</v>
      </c>
      <c r="H1666" s="42" t="str">
        <f>IFERROR(__xludf.DUMMYFUNCTION("""COMPUTED_VALUE"""),"-")</f>
        <v>-</v>
      </c>
      <c r="I1666" s="43" t="str">
        <f>IFERROR(__xludf.DUMMYFUNCTION("""COMPUTED_VALUE"""),"Damage your opponent's Spell Book when you win the Battle as an Attacker. When you declare the play of this SPELL card, you may pay an additional 2 MP for this SPELL card to Damage your opponent's Spell Book 1 additional time (maximum 4 MP).")</f>
        <v>Damage your opponent's Spell Book when you win the Battle as an Attacker. When you declare the play of this SPELL card, you may pay an additional 2 MP for this SPELL card to Damage your opponent's Spell Book 1 additional time (maximum 4 MP).</v>
      </c>
      <c r="J1666" s="42" t="str">
        <f>IFERROR(__xludf.DUMMYFUNCTION("""COMPUTED_VALUE"""),"+3000")</f>
        <v>+3000</v>
      </c>
      <c r="K1666" s="42">
        <f>IFERROR(__xludf.DUMMYFUNCTION("""COMPUTED_VALUE"""),1.0)</f>
        <v>1</v>
      </c>
      <c r="L1666" s="42" t="str">
        <f>IFERROR(__xludf.DUMMYFUNCTION("""COMPUTED_VALUE"""),"-")</f>
        <v>-</v>
      </c>
      <c r="M1666" s="42" t="str">
        <f>IFERROR(__xludf.DUMMYFUNCTION("""COMPUTED_VALUE"""),"[U]")</f>
        <v>[U]</v>
      </c>
      <c r="N1666" s="42" t="str">
        <f>IFERROR(__xludf.DUMMYFUNCTION("""COMPUTED_VALUE"""),"Riya's 2nd spell. A salvo of missiles is fired from his stomach like a machine gun.")</f>
        <v>Riya's 2nd spell. A salvo of missiles is fired from his stomach like a machine gun.</v>
      </c>
      <c r="O1666" s="42"/>
      <c r="P1666" s="42"/>
      <c r="Q1666" s="42"/>
      <c r="R1666" s="42"/>
      <c r="S1666" s="42"/>
      <c r="T1666" s="42"/>
      <c r="U1666" s="42"/>
      <c r="V1666" s="42"/>
      <c r="W1666" s="42"/>
      <c r="X1666" s="42"/>
      <c r="Y1666" s="42"/>
      <c r="Z1666" s="42"/>
    </row>
    <row r="1667">
      <c r="A1667" s="42" t="str">
        <f>IFERROR(__xludf.DUMMYFUNCTION("""COMPUTED_VALUE"""),"S-536")</f>
        <v>S-536</v>
      </c>
      <c r="B1667" s="42" t="str">
        <f>IFERROR(__xludf.DUMMYFUNCTION("""COMPUTED_VALUE"""),"Spell")</f>
        <v>Spell</v>
      </c>
      <c r="C1667" s="42" t="str">
        <f>IFERROR(__xludf.DUMMYFUNCTION("""COMPUTED_VALUE"""),"Go Amuruk")</f>
        <v>Go Amuruk</v>
      </c>
      <c r="D1667" s="42" t="str">
        <f>IFERROR(__xludf.DUMMYFUNCTION("""COMPUTED_VALUE"""),"Riya")</f>
        <v>Riya</v>
      </c>
      <c r="E1667" s="42">
        <f>IFERROR(__xludf.DUMMYFUNCTION("""COMPUTED_VALUE"""),1.0)</f>
        <v>1</v>
      </c>
      <c r="F1667" s="42" t="str">
        <f>IFERROR(__xludf.DUMMYFUNCTION("""COMPUTED_VALUE"""),"AD")</f>
        <v>AD</v>
      </c>
      <c r="G1667" s="42" t="str">
        <f>IFERROR(__xludf.DUMMYFUNCTION("""COMPUTED_VALUE"""),"None")</f>
        <v>None</v>
      </c>
      <c r="H1667" s="42" t="str">
        <f>IFERROR(__xludf.DUMMYFUNCTION("""COMPUTED_VALUE"""),"-")</f>
        <v>-</v>
      </c>
      <c r="I1667" s="43" t="str">
        <f>IFERROR(__xludf.DUMMYFUNCTION("""COMPUTED_VALUE"""),"Damage your opponent's Spell Book when you win the Battle as an Attacker. When used for Defending, add 3000 Power to this SPELL card.")</f>
        <v>Damage your opponent's Spell Book when you win the Battle as an Attacker. When used for Defending, add 3000 Power to this SPELL card.</v>
      </c>
      <c r="J1667" s="42" t="str">
        <f>IFERROR(__xludf.DUMMYFUNCTION("""COMPUTED_VALUE"""),"+3000")</f>
        <v>+3000</v>
      </c>
      <c r="K1667" s="42">
        <f>IFERROR(__xludf.DUMMYFUNCTION("""COMPUTED_VALUE"""),1.0)</f>
        <v>1</v>
      </c>
      <c r="L1667" s="42" t="str">
        <f>IFERROR(__xludf.DUMMYFUNCTION("""COMPUTED_VALUE"""),"-")</f>
        <v>-</v>
      </c>
      <c r="M1667" s="42" t="str">
        <f>IFERROR(__xludf.DUMMYFUNCTION("""COMPUTED_VALUE"""),"[C]")</f>
        <v>[C]</v>
      </c>
      <c r="N1667" s="42" t="str">
        <f>IFERROR(__xludf.DUMMYFUNCTION("""COMPUTED_VALUE"""),"Riya's 3rd spell. It enlarges his arm, allowing him to smack down the attacking Wonrei!")</f>
        <v>Riya's 3rd spell. It enlarges his arm, allowing him to smack down the attacking Wonrei!</v>
      </c>
      <c r="O1667" s="42"/>
      <c r="P1667" s="42"/>
      <c r="Q1667" s="42"/>
      <c r="R1667" s="42"/>
      <c r="S1667" s="42"/>
      <c r="T1667" s="42"/>
      <c r="U1667" s="42"/>
      <c r="V1667" s="42"/>
      <c r="W1667" s="42"/>
      <c r="X1667" s="42"/>
      <c r="Y1667" s="42"/>
      <c r="Z1667" s="42"/>
    </row>
    <row r="1668">
      <c r="A1668" s="42" t="str">
        <f>IFERROR(__xludf.DUMMYFUNCTION("""COMPUTED_VALUE"""),"S-537")</f>
        <v>S-537</v>
      </c>
      <c r="B1668" s="42" t="str">
        <f>IFERROR(__xludf.DUMMYFUNCTION("""COMPUTED_VALUE"""),"Spell")</f>
        <v>Spell</v>
      </c>
      <c r="C1668" s="42" t="str">
        <f>IFERROR(__xludf.DUMMYFUNCTION("""COMPUTED_VALUE"""),"Raja Shirnio")</f>
        <v>Raja Shirnio</v>
      </c>
      <c r="D1668" s="42" t="str">
        <f>IFERROR(__xludf.DUMMYFUNCTION("""COMPUTED_VALUE"""),"Riya")</f>
        <v>Riya</v>
      </c>
      <c r="E1668" s="42">
        <f>IFERROR(__xludf.DUMMYFUNCTION("""COMPUTED_VALUE"""),1.0)</f>
        <v>1</v>
      </c>
      <c r="F1668" s="42" t="str">
        <f>IFERROR(__xludf.DUMMYFUNCTION("""COMPUTED_VALUE"""),"D")</f>
        <v>D</v>
      </c>
      <c r="G1668" s="42" t="str">
        <f>IFERROR(__xludf.DUMMYFUNCTION("""COMPUTED_VALUE"""),"Intermediate")</f>
        <v>Intermediate</v>
      </c>
      <c r="H1668" s="42" t="str">
        <f>IFERROR(__xludf.DUMMYFUNCTION("""COMPUTED_VALUE"""),"-")</f>
        <v>-</v>
      </c>
      <c r="I1668" s="43" t="str">
        <f>IFERROR(__xludf.DUMMYFUNCTION("""COMPUTED_VALUE"""),"This SPELL card can be played up to as many times as you desire per turn (per player). Negate your opponent's Attack when you win the Battle as a Defender.")</f>
        <v>This SPELL card can be played up to as many times as you desire per turn (per player). Negate your opponent's Attack when you win the Battle as a Defender.</v>
      </c>
      <c r="J1668" s="42" t="str">
        <f>IFERROR(__xludf.DUMMYFUNCTION("""COMPUTED_VALUE"""),"+5000")</f>
        <v>+5000</v>
      </c>
      <c r="K1668" s="42" t="str">
        <f>IFERROR(__xludf.DUMMYFUNCTION("""COMPUTED_VALUE"""),"-")</f>
        <v>-</v>
      </c>
      <c r="L1668" s="42" t="str">
        <f>IFERROR(__xludf.DUMMYFUNCTION("""COMPUTED_VALUE"""),"-")</f>
        <v>-</v>
      </c>
      <c r="M1668" s="42" t="str">
        <f>IFERROR(__xludf.DUMMYFUNCTION("""COMPUTED_VALUE"""),"[U]")</f>
        <v>[U]</v>
      </c>
      <c r="N1668" s="42" t="str">
        <f>IFERROR(__xludf.DUMMYFUNCTION("""COMPUTED_VALUE"""),"Riya's 4th spell. ""Riya, become a shield!""")</f>
        <v>Riya's 4th spell. "Riya, become a shield!"</v>
      </c>
      <c r="O1668" s="42"/>
      <c r="P1668" s="42"/>
      <c r="Q1668" s="42"/>
      <c r="R1668" s="42"/>
      <c r="S1668" s="42"/>
      <c r="T1668" s="42"/>
      <c r="U1668" s="42"/>
      <c r="V1668" s="42"/>
      <c r="W1668" s="42"/>
      <c r="X1668" s="42"/>
      <c r="Y1668" s="42"/>
      <c r="Z1668" s="42"/>
    </row>
    <row r="1669">
      <c r="A1669" s="42" t="str">
        <f>IFERROR(__xludf.DUMMYFUNCTION("""COMPUTED_VALUE"""),"S-538")</f>
        <v>S-538</v>
      </c>
      <c r="B1669" s="42" t="str">
        <f>IFERROR(__xludf.DUMMYFUNCTION("""COMPUTED_VALUE"""),"Spell")</f>
        <v>Spell</v>
      </c>
      <c r="C1669" s="42" t="str">
        <f>IFERROR(__xludf.DUMMYFUNCTION("""COMPUTED_VALUE"""),"Shao Niodoruk")</f>
        <v>Shao Niodoruk</v>
      </c>
      <c r="D1669" s="42" t="str">
        <f>IFERROR(__xludf.DUMMYFUNCTION("""COMPUTED_VALUE"""),"Riya")</f>
        <v>Riya</v>
      </c>
      <c r="E1669" s="42">
        <f>IFERROR(__xludf.DUMMYFUNCTION("""COMPUTED_VALUE"""),7.0)</f>
        <v>7</v>
      </c>
      <c r="F1669" s="42" t="str">
        <f>IFERROR(__xludf.DUMMYFUNCTION("""COMPUTED_VALUE"""),"AD")</f>
        <v>AD</v>
      </c>
      <c r="G1669" s="42" t="str">
        <f>IFERROR(__xludf.DUMMYFUNCTION("""COMPUTED_VALUE"""),"Superior")</f>
        <v>Superior</v>
      </c>
      <c r="H1669" s="42" t="str">
        <f>IFERROR(__xludf.DUMMYFUNCTION("""COMPUTED_VALUE"""),"-")</f>
        <v>-</v>
      </c>
      <c r="I1669" s="43" t="str">
        <f>IFERROR(__xludf.DUMMYFUNCTION("""COMPUTED_VALUE"""),"[SEAL BREAKER] Damage your opponent's Spell Book when you win the Battle as an Attacker. When you inflict Damage or Injury, send all EVENT cards in the currently open pages of your opponent's Spell Book to the Discard Pile (without looking at the open pag"&amp;"es).")</f>
        <v>[SEAL BREAKER] Damage your opponent's Spell Book when you win the Battle as an Attacker. When you inflict Damage or Injury, send all EVENT cards in the currently open pages of your opponent's Spell Book to the Discard Pile (without looking at the open pages).</v>
      </c>
      <c r="J1669" s="42" t="str">
        <f>IFERROR(__xludf.DUMMYFUNCTION("""COMPUTED_VALUE"""),"+6000")</f>
        <v>+6000</v>
      </c>
      <c r="K1669" s="42">
        <f>IFERROR(__xludf.DUMMYFUNCTION("""COMPUTED_VALUE"""),3.0)</f>
        <v>3</v>
      </c>
      <c r="L1669" s="42" t="str">
        <f>IFERROR(__xludf.DUMMYFUNCTION("""COMPUTED_VALUE"""),"-")</f>
        <v>-</v>
      </c>
      <c r="M1669" s="42" t="str">
        <f>IFERROR(__xludf.DUMMYFUNCTION("""COMPUTED_VALUE"""),"[SR]")</f>
        <v>[SR]</v>
      </c>
      <c r="N1669" s="42" t="str">
        <f>IFERROR(__xludf.DUMMYFUNCTION("""COMPUTED_VALUE"""),"Riya's 5th spell. Riya transforms into an enormous beast and charges directly into Faudo's seal.")</f>
        <v>Riya's 5th spell. Riya transforms into an enormous beast and charges directly into Faudo's seal.</v>
      </c>
      <c r="O1669" s="42"/>
      <c r="P1669" s="42"/>
      <c r="Q1669" s="42"/>
      <c r="R1669" s="42"/>
      <c r="S1669" s="42"/>
      <c r="T1669" s="42"/>
      <c r="U1669" s="42"/>
      <c r="V1669" s="42"/>
      <c r="W1669" s="42"/>
      <c r="X1669" s="42"/>
      <c r="Y1669" s="42"/>
      <c r="Z1669" s="42"/>
    </row>
    <row r="1670">
      <c r="A1670" s="42" t="str">
        <f>IFERROR(__xludf.DUMMYFUNCTION("""COMPUTED_VALUE"""),"S-539")</f>
        <v>S-539</v>
      </c>
      <c r="B1670" s="42" t="str">
        <f>IFERROR(__xludf.DUMMYFUNCTION("""COMPUTED_VALUE"""),"Spell")</f>
        <v>Spell</v>
      </c>
      <c r="C1670" s="42" t="str">
        <f>IFERROR(__xludf.DUMMYFUNCTION("""COMPUTED_VALUE"""),"Gardoruk Nioruk")</f>
        <v>Gardoruk Nioruk</v>
      </c>
      <c r="D1670" s="42" t="str">
        <f>IFERROR(__xludf.DUMMYFUNCTION("""COMPUTED_VALUE"""),"Riya")</f>
        <v>Riya</v>
      </c>
      <c r="E1670" s="42">
        <f>IFERROR(__xludf.DUMMYFUNCTION("""COMPUTED_VALUE"""),2.0)</f>
        <v>2</v>
      </c>
      <c r="F1670" s="42" t="str">
        <f>IFERROR(__xludf.DUMMYFUNCTION("""COMPUTED_VALUE"""),"AD")</f>
        <v>AD</v>
      </c>
      <c r="G1670" s="42" t="str">
        <f>IFERROR(__xludf.DUMMYFUNCTION("""COMPUTED_VALUE"""),"Intermediate")</f>
        <v>Intermediate</v>
      </c>
      <c r="H1670" s="42" t="str">
        <f>IFERROR(__xludf.DUMMYFUNCTION("""COMPUTED_VALUE"""),"-")</f>
        <v>-</v>
      </c>
      <c r="I1670" s="43" t="str">
        <f>IFERROR(__xludf.DUMMYFUNCTION("""COMPUTED_VALUE"""),"Damage your opponent's Spell Book when you win the Battle as an Attacker. When used for Defending, reduce the Damage of your opponent's Attack SPELL card by 1 regardless of their Power.")</f>
        <v>Damage your opponent's Spell Book when you win the Battle as an Attacker. When used for Defending, reduce the Damage of your opponent's Attack SPELL card by 1 regardless of their Power.</v>
      </c>
      <c r="J1670" s="42">
        <f>IFERROR(__xludf.DUMMYFUNCTION("""COMPUTED_VALUE"""),2000.0)</f>
        <v>2000</v>
      </c>
      <c r="K1670" s="42">
        <f>IFERROR(__xludf.DUMMYFUNCTION("""COMPUTED_VALUE"""),1.0)</f>
        <v>1</v>
      </c>
      <c r="L1670" s="42" t="str">
        <f>IFERROR(__xludf.DUMMYFUNCTION("""COMPUTED_VALUE"""),"-")</f>
        <v>-</v>
      </c>
      <c r="M1670" s="42" t="str">
        <f>IFERROR(__xludf.DUMMYFUNCTION("""COMPUTED_VALUE"""),"[C]")</f>
        <v>[C]</v>
      </c>
      <c r="N1670" s="42" t="str">
        <f>IFERROR(__xludf.DUMMYFUNCTION("""COMPUTED_VALUE"""),"Riya's 6th spell. He rotates like a spinning top and launches toward Faudo with the force of a cannonball.")</f>
        <v>Riya's 6th spell. He rotates like a spinning top and launches toward Faudo with the force of a cannonball.</v>
      </c>
      <c r="O1670" s="42"/>
      <c r="P1670" s="42"/>
      <c r="Q1670" s="42"/>
      <c r="R1670" s="42"/>
      <c r="S1670" s="42"/>
      <c r="T1670" s="42"/>
      <c r="U1670" s="42"/>
      <c r="V1670" s="42"/>
      <c r="W1670" s="42"/>
      <c r="X1670" s="42"/>
      <c r="Y1670" s="42"/>
      <c r="Z1670" s="42"/>
    </row>
    <row r="1671">
      <c r="A1671" s="42" t="str">
        <f>IFERROR(__xludf.DUMMYFUNCTION("""COMPUTED_VALUE"""),"S-540")</f>
        <v>S-540</v>
      </c>
      <c r="B1671" s="42" t="str">
        <f>IFERROR(__xludf.DUMMYFUNCTION("""COMPUTED_VALUE"""),"Spell")</f>
        <v>Spell</v>
      </c>
      <c r="C1671" s="42" t="str">
        <f>IFERROR(__xludf.DUMMYFUNCTION("""COMPUTED_VALUE"""),"Dioga Ragyur")</f>
        <v>Dioga Ragyur</v>
      </c>
      <c r="D1671" s="42" t="str">
        <f>IFERROR(__xludf.DUMMYFUNCTION("""COMPUTED_VALUE"""),"Rodeaux")</f>
        <v>Rodeaux</v>
      </c>
      <c r="E1671" s="42">
        <f>IFERROR(__xludf.DUMMYFUNCTION("""COMPUTED_VALUE"""),7.0)</f>
        <v>7</v>
      </c>
      <c r="F1671" s="42" t="str">
        <f>IFERROR(__xludf.DUMMYFUNCTION("""COMPUTED_VALUE"""),"AD")</f>
        <v>AD</v>
      </c>
      <c r="G1671" s="42" t="str">
        <f>IFERROR(__xludf.DUMMYFUNCTION("""COMPUTED_VALUE"""),"Superior")</f>
        <v>Superior</v>
      </c>
      <c r="H1671" s="42" t="str">
        <f>IFERROR(__xludf.DUMMYFUNCTION("""COMPUTED_VALUE"""),"-")</f>
        <v>-</v>
      </c>
      <c r="I1671" s="43" t="str">
        <f>IFERROR(__xludf.DUMMYFUNCTION("""COMPUTED_VALUE"""),"[SEAL BREAKER] Damage your opponent's Spell Book when you win the Battle as an Attacker. Any MAMODO cards that SACRIFICE or PROTECT their Spell Book from this SPELL card's Damage are sent to the Discard Pile. (Any MAMODO cards that are prohibited from bei"&amp;"ng sent to the Discard Pile by card effects can neither SACRIFICE nor PROTECT their Spell Book from this SPELL card's Damage.)")</f>
        <v>[SEAL BREAKER] Damage your opponent's Spell Book when you win the Battle as an Attacker. Any MAMODO cards that SACRIFICE or PROTECT their Spell Book from this SPELL card's Damage are sent to the Discard Pile. (Any MAMODO cards that are prohibited from being sent to the Discard Pile by card effects can neither SACRIFICE nor PROTECT their Spell Book from this SPELL card's Damage.)</v>
      </c>
      <c r="J1671" s="42" t="str">
        <f>IFERROR(__xludf.DUMMYFUNCTION("""COMPUTED_VALUE"""),"+7000")</f>
        <v>+7000</v>
      </c>
      <c r="K1671" s="42">
        <f>IFERROR(__xludf.DUMMYFUNCTION("""COMPUTED_VALUE"""),3.0)</f>
        <v>3</v>
      </c>
      <c r="L1671" s="42" t="str">
        <f>IFERROR(__xludf.DUMMYFUNCTION("""COMPUTED_VALUE"""),"-")</f>
        <v>-</v>
      </c>
      <c r="M1671" s="42" t="str">
        <f>IFERROR(__xludf.DUMMYFUNCTION("""COMPUTED_VALUE"""),"[SR]")</f>
        <v>[SR]</v>
      </c>
      <c r="N1671" s="42" t="str">
        <f>IFERROR(__xludf.DUMMYFUNCTION("""COMPUTED_VALUE"""),"Rodeaux's 1st spell. His wings bend and distort into a crudely formed spear with the intent of piercing Faudo's seal.")</f>
        <v>Rodeaux's 1st spell. His wings bend and distort into a crudely formed spear with the intent of piercing Faudo's seal.</v>
      </c>
      <c r="O1671" s="42"/>
      <c r="P1671" s="42"/>
      <c r="Q1671" s="42"/>
      <c r="R1671" s="42"/>
      <c r="S1671" s="42"/>
      <c r="T1671" s="42"/>
      <c r="U1671" s="42"/>
      <c r="V1671" s="42"/>
      <c r="W1671" s="42"/>
      <c r="X1671" s="42"/>
      <c r="Y1671" s="42"/>
      <c r="Z1671" s="42"/>
    </row>
    <row r="1672">
      <c r="A1672" s="42" t="str">
        <f>IFERROR(__xludf.DUMMYFUNCTION("""COMPUTED_VALUE"""),"S-541")</f>
        <v>S-541</v>
      </c>
      <c r="B1672" s="42" t="str">
        <f>IFERROR(__xludf.DUMMYFUNCTION("""COMPUTED_VALUE"""),"Spell")</f>
        <v>Spell</v>
      </c>
      <c r="C1672" s="42" t="str">
        <f>IFERROR(__xludf.DUMMYFUNCTION("""COMPUTED_VALUE"""),"Ganzu Ragyur")</f>
        <v>Ganzu Ragyur</v>
      </c>
      <c r="D1672" s="42" t="str">
        <f>IFERROR(__xludf.DUMMYFUNCTION("""COMPUTED_VALUE"""),"Rodeaux")</f>
        <v>Rodeaux</v>
      </c>
      <c r="E1672" s="42">
        <f>IFERROR(__xludf.DUMMYFUNCTION("""COMPUTED_VALUE"""),1.0)</f>
        <v>1</v>
      </c>
      <c r="F1672" s="42" t="str">
        <f>IFERROR(__xludf.DUMMYFUNCTION("""COMPUTED_VALUE"""),"A")</f>
        <v>A</v>
      </c>
      <c r="G1672" s="42" t="str">
        <f>IFERROR(__xludf.DUMMYFUNCTION("""COMPUTED_VALUE"""),"None")</f>
        <v>None</v>
      </c>
      <c r="H1672" s="42" t="str">
        <f>IFERROR(__xludf.DUMMYFUNCTION("""COMPUTED_VALUE"""),"-")</f>
        <v>-</v>
      </c>
      <c r="I1672" s="43" t="str">
        <f>IFERROR(__xludf.DUMMYFUNCTION("""COMPUTED_VALUE"""),"This SPELL card can be played up to twice per turn (per player). Damage your opponent's Spell Book when you win the Battle as an Attacker.")</f>
        <v>This SPELL card can be played up to twice per turn (per player). Damage your opponent's Spell Book when you win the Battle as an Attacker.</v>
      </c>
      <c r="J1672" s="42" t="str">
        <f>IFERROR(__xludf.DUMMYFUNCTION("""COMPUTED_VALUE"""),"+2000")</f>
        <v>+2000</v>
      </c>
      <c r="K1672" s="42">
        <f>IFERROR(__xludf.DUMMYFUNCTION("""COMPUTED_VALUE"""),1.0)</f>
        <v>1</v>
      </c>
      <c r="L1672" s="42" t="str">
        <f>IFERROR(__xludf.DUMMYFUNCTION("""COMPUTED_VALUE"""),"-")</f>
        <v>-</v>
      </c>
      <c r="M1672" s="42" t="str">
        <f>IFERROR(__xludf.DUMMYFUNCTION("""COMPUTED_VALUE"""),"[U]")</f>
        <v>[U]</v>
      </c>
      <c r="N1672" s="42" t="str">
        <f>IFERROR(__xludf.DUMMYFUNCTION("""COMPUTED_VALUE"""),"Rodeaux's 2nd spell. ""Aha, there you are!"" ""GANZU RAGYUR!""")</f>
        <v>Rodeaux's 2nd spell. "Aha, there you are!" "GANZU RAGYUR!"</v>
      </c>
      <c r="O1672" s="42"/>
      <c r="P1672" s="42"/>
      <c r="Q1672" s="42"/>
      <c r="R1672" s="42"/>
      <c r="S1672" s="42"/>
      <c r="T1672" s="42"/>
      <c r="U1672" s="42"/>
      <c r="V1672" s="42"/>
      <c r="W1672" s="42"/>
      <c r="X1672" s="42"/>
      <c r="Y1672" s="42"/>
      <c r="Z1672" s="42"/>
    </row>
    <row r="1673">
      <c r="A1673" s="42" t="str">
        <f>IFERROR(__xludf.DUMMYFUNCTION("""COMPUTED_VALUE"""),"S-542")</f>
        <v>S-542</v>
      </c>
      <c r="B1673" s="42" t="str">
        <f>IFERROR(__xludf.DUMMYFUNCTION("""COMPUTED_VALUE"""),"Spell")</f>
        <v>Spell</v>
      </c>
      <c r="C1673" s="42" t="str">
        <f>IFERROR(__xludf.DUMMYFUNCTION("""COMPUTED_VALUE"""),"Ragyur Rosudo")</f>
        <v>Ragyur Rosudo</v>
      </c>
      <c r="D1673" s="42" t="str">
        <f>IFERROR(__xludf.DUMMYFUNCTION("""COMPUTED_VALUE"""),"Rodeaux")</f>
        <v>Rodeaux</v>
      </c>
      <c r="E1673" s="42">
        <f>IFERROR(__xludf.DUMMYFUNCTION("""COMPUTED_VALUE"""),1.0)</f>
        <v>1</v>
      </c>
      <c r="F1673" s="42" t="str">
        <f>IFERROR(__xludf.DUMMYFUNCTION("""COMPUTED_VALUE"""),"A")</f>
        <v>A</v>
      </c>
      <c r="G1673" s="42" t="str">
        <f>IFERROR(__xludf.DUMMYFUNCTION("""COMPUTED_VALUE"""),"None")</f>
        <v>None</v>
      </c>
      <c r="H1673" s="42" t="str">
        <f>IFERROR(__xludf.DUMMYFUNCTION("""COMPUTED_VALUE"""),"-")</f>
        <v>-</v>
      </c>
      <c r="I1673" s="43" t="str">
        <f>IFERROR(__xludf.DUMMYFUNCTION("""COMPUTED_VALUE"""),"Damage your opponent's Spell Book when you win the Battle as an Attacker. If a MAMODO card that SACRIFICES or PROTECTS their Spell Book from this SPELL card's Damage has a MAMODO card underneath it, send the top card to the Discard Pile and the bottom car"&amp;"d remains in play. (Any MAMODO cards that are prohibited from being sent to the Discard Pile by card effects can neither SACRIFICE nor PROTECT their Spell Book from this SPELL card's Damage.)")</f>
        <v>Damage your opponent's Spell Book when you win the Battle as an Attacker. If a MAMODO card that SACRIFICES or PROTECTS their Spell Book from this SPELL card's Damage has a MAMODO card underneath it, send the top card to the Discard Pile and the bottom card remains in play. (Any MAMODO cards that are prohibited from being sent to the Discard Pile by card effects can neither SACRIFICE nor PROTECT their Spell Book from this SPELL card's Damage.)</v>
      </c>
      <c r="J1673" s="42" t="str">
        <f>IFERROR(__xludf.DUMMYFUNCTION("""COMPUTED_VALUE"""),"+2000")</f>
        <v>+2000</v>
      </c>
      <c r="K1673" s="42">
        <f>IFERROR(__xludf.DUMMYFUNCTION("""COMPUTED_VALUE"""),2.0)</f>
        <v>2</v>
      </c>
      <c r="L1673" s="42" t="str">
        <f>IFERROR(__xludf.DUMMYFUNCTION("""COMPUTED_VALUE"""),"-")</f>
        <v>-</v>
      </c>
      <c r="M1673" s="42" t="str">
        <f>IFERROR(__xludf.DUMMYFUNCTION("""COMPUTED_VALUE"""),"[C]")</f>
        <v>[C]</v>
      </c>
      <c r="N1673" s="42" t="str">
        <f>IFERROR(__xludf.DUMMYFUNCTION("""COMPUTED_VALUE"""),"Rodeaux's 3rd spell. ""He caught us off guard when the Rauzaruk spell was fading!""")</f>
        <v>Rodeaux's 3rd spell. "He caught us off guard when the Rauzaruk spell was fading!"</v>
      </c>
      <c r="O1673" s="42"/>
      <c r="P1673" s="42"/>
      <c r="Q1673" s="42"/>
      <c r="R1673" s="42"/>
      <c r="S1673" s="42"/>
      <c r="T1673" s="42"/>
      <c r="U1673" s="42"/>
      <c r="V1673" s="42"/>
      <c r="W1673" s="42"/>
      <c r="X1673" s="42"/>
      <c r="Y1673" s="42"/>
      <c r="Z1673" s="42"/>
    </row>
    <row r="1674">
      <c r="A1674" s="42" t="str">
        <f>IFERROR(__xludf.DUMMYFUNCTION("""COMPUTED_VALUE"""),"S-543")</f>
        <v>S-543</v>
      </c>
      <c r="B1674" s="42" t="str">
        <f>IFERROR(__xludf.DUMMYFUNCTION("""COMPUTED_VALUE"""),"Spell")</f>
        <v>Spell</v>
      </c>
      <c r="C1674" s="42" t="str">
        <f>IFERROR(__xludf.DUMMYFUNCTION("""COMPUTED_VALUE"""),"Gigano Ragyur")</f>
        <v>Gigano Ragyur</v>
      </c>
      <c r="D1674" s="42" t="str">
        <f>IFERROR(__xludf.DUMMYFUNCTION("""COMPUTED_VALUE"""),"Rodeaux")</f>
        <v>Rodeaux</v>
      </c>
      <c r="E1674" s="42">
        <f>IFERROR(__xludf.DUMMYFUNCTION("""COMPUTED_VALUE"""),2.0)</f>
        <v>2</v>
      </c>
      <c r="F1674" s="42" t="str">
        <f>IFERROR(__xludf.DUMMYFUNCTION("""COMPUTED_VALUE"""),"A")</f>
        <v>A</v>
      </c>
      <c r="G1674" s="42" t="str">
        <f>IFERROR(__xludf.DUMMYFUNCTION("""COMPUTED_VALUE"""),"Intermediate")</f>
        <v>Intermediate</v>
      </c>
      <c r="H1674" s="42" t="str">
        <f>IFERROR(__xludf.DUMMYFUNCTION("""COMPUTED_VALUE"""),"-")</f>
        <v>-</v>
      </c>
      <c r="I1674" s="43" t="str">
        <f>IFERROR(__xludf.DUMMYFUNCTION("""COMPUTED_VALUE"""),"Damage your opponent's Spell Book when you win the Battle as an Attacker. Then, Injure 1 of your opponent's MAMODO cards that was put in play during this turn.")</f>
        <v>Damage your opponent's Spell Book when you win the Battle as an Attacker. Then, Injure 1 of your opponent's MAMODO cards that was put in play during this turn.</v>
      </c>
      <c r="J1674" s="42" t="str">
        <f>IFERROR(__xludf.DUMMYFUNCTION("""COMPUTED_VALUE"""),"+3000")</f>
        <v>+3000</v>
      </c>
      <c r="K1674" s="42">
        <f>IFERROR(__xludf.DUMMYFUNCTION("""COMPUTED_VALUE"""),2.0)</f>
        <v>2</v>
      </c>
      <c r="L1674" s="42" t="str">
        <f>IFERROR(__xludf.DUMMYFUNCTION("""COMPUTED_VALUE"""),"-")</f>
        <v>-</v>
      </c>
      <c r="M1674" s="42" t="str">
        <f>IFERROR(__xludf.DUMMYFUNCTION("""COMPUTED_VALUE"""),"[U]")</f>
        <v>[U]</v>
      </c>
      <c r="N1674" s="42" t="str">
        <f>IFERROR(__xludf.DUMMYFUNCTION("""COMPUTED_VALUE"""),"Rodeaux's 4th spell. ""That stupid idiot finally showed himself...""")</f>
        <v>Rodeaux's 4th spell. "That stupid idiot finally showed himself..."</v>
      </c>
      <c r="O1674" s="42"/>
      <c r="P1674" s="42"/>
      <c r="Q1674" s="42"/>
      <c r="R1674" s="42"/>
      <c r="S1674" s="42"/>
      <c r="T1674" s="42"/>
      <c r="U1674" s="42"/>
      <c r="V1674" s="42"/>
      <c r="W1674" s="42"/>
      <c r="X1674" s="42"/>
      <c r="Y1674" s="42"/>
      <c r="Z1674" s="42"/>
    </row>
    <row r="1675">
      <c r="A1675" s="42" t="str">
        <f>IFERROR(__xludf.DUMMYFUNCTION("""COMPUTED_VALUE"""),"S-544")</f>
        <v>S-544</v>
      </c>
      <c r="B1675" s="42" t="str">
        <f>IFERROR(__xludf.DUMMYFUNCTION("""COMPUTED_VALUE"""),"Spell")</f>
        <v>Spell</v>
      </c>
      <c r="C1675" s="42" t="str">
        <f>IFERROR(__xludf.DUMMYFUNCTION("""COMPUTED_VALUE"""),"Giron Ragyur")</f>
        <v>Giron Ragyur</v>
      </c>
      <c r="D1675" s="42" t="str">
        <f>IFERROR(__xludf.DUMMYFUNCTION("""COMPUTED_VALUE"""),"Rodeaux")</f>
        <v>Rodeaux</v>
      </c>
      <c r="E1675" s="42">
        <f>IFERROR(__xludf.DUMMYFUNCTION("""COMPUTED_VALUE"""),5.0)</f>
        <v>5</v>
      </c>
      <c r="F1675" s="42" t="str">
        <f>IFERROR(__xludf.DUMMYFUNCTION("""COMPUTED_VALUE"""),"A")</f>
        <v>A</v>
      </c>
      <c r="G1675" s="42" t="str">
        <f>IFERROR(__xludf.DUMMYFUNCTION("""COMPUTED_VALUE"""),"Intermediate")</f>
        <v>Intermediate</v>
      </c>
      <c r="H1675" s="42" t="str">
        <f>IFERROR(__xludf.DUMMYFUNCTION("""COMPUTED_VALUE"""),"-")</f>
        <v>-</v>
      </c>
      <c r="I1675" s="43" t="str">
        <f>IFERROR(__xludf.DUMMYFUNCTION("""COMPUTED_VALUE"""),"Damage your opponent's Spell Book when you win the Battle as an Attacker. When you declare the play of this SPELL card, select 1 of your opponent's in-play MAMODO cards. During the Battle, your opponent can neither play SPELL cards for nor apply the effec"&amp;"ts of any other MAMODO cards they have in play except the selected MAMODO card.")</f>
        <v>Damage your opponent's Spell Book when you win the Battle as an Attacker. When you declare the play of this SPELL card, select 1 of your opponent's in-play MAMODO cards. During the Battle, your opponent can neither play SPELL cards for nor apply the effects of any other MAMODO cards they have in play except the selected MAMODO card.</v>
      </c>
      <c r="J1675" s="42" t="str">
        <f>IFERROR(__xludf.DUMMYFUNCTION("""COMPUTED_VALUE"""),"+5000")</f>
        <v>+5000</v>
      </c>
      <c r="K1675" s="42">
        <f>IFERROR(__xludf.DUMMYFUNCTION("""COMPUTED_VALUE"""),3.0)</f>
        <v>3</v>
      </c>
      <c r="L1675" s="42" t="str">
        <f>IFERROR(__xludf.DUMMYFUNCTION("""COMPUTED_VALUE"""),"-")</f>
        <v>-</v>
      </c>
      <c r="M1675" s="42" t="str">
        <f>IFERROR(__xludf.DUMMYFUNCTION("""COMPUTED_VALUE"""),"[U]")</f>
        <v>[U]</v>
      </c>
      <c r="N1675" s="42" t="str">
        <f>IFERROR(__xludf.DUMMYFUNCTION("""COMPUTED_VALUE"""),"Rodeaux's 5th spell. ""Once we're in close, we'll blast you to pieces.""")</f>
        <v>Rodeaux's 5th spell. "Once we're in close, we'll blast you to pieces."</v>
      </c>
      <c r="O1675" s="42"/>
      <c r="P1675" s="42"/>
      <c r="Q1675" s="42"/>
      <c r="R1675" s="42"/>
      <c r="S1675" s="42"/>
      <c r="T1675" s="42"/>
      <c r="U1675" s="42"/>
      <c r="V1675" s="42"/>
      <c r="W1675" s="42"/>
      <c r="X1675" s="42"/>
      <c r="Y1675" s="42"/>
      <c r="Z1675" s="42"/>
    </row>
    <row r="1676">
      <c r="A1676" s="42" t="str">
        <f>IFERROR(__xludf.DUMMYFUNCTION("""COMPUTED_VALUE"""),"S-545")</f>
        <v>S-545</v>
      </c>
      <c r="B1676" s="42" t="str">
        <f>IFERROR(__xludf.DUMMYFUNCTION("""COMPUTED_VALUE"""),"Spell")</f>
        <v>Spell</v>
      </c>
      <c r="C1676" s="42" t="str">
        <f>IFERROR(__xludf.DUMMYFUNCTION("""COMPUTED_VALUE"""),"Fanon Riou Diou")</f>
        <v>Fanon Riou Diou</v>
      </c>
      <c r="D1676" s="42" t="str">
        <f>IFERROR(__xludf.DUMMYFUNCTION("""COMPUTED_VALUE"""),"Riou")</f>
        <v>Riou</v>
      </c>
      <c r="E1676" s="42">
        <f>IFERROR(__xludf.DUMMYFUNCTION("""COMPUTED_VALUE"""),9.0)</f>
        <v>9</v>
      </c>
      <c r="F1676" s="42" t="str">
        <f>IFERROR(__xludf.DUMMYFUNCTION("""COMPUTED_VALUE"""),"AD")</f>
        <v>AD</v>
      </c>
      <c r="G1676" s="42" t="str">
        <f>IFERROR(__xludf.DUMMYFUNCTION("""COMPUTED_VALUE"""),"Superior")</f>
        <v>Superior</v>
      </c>
      <c r="H1676" s="42" t="str">
        <f>IFERROR(__xludf.DUMMYFUNCTION("""COMPUTED_VALUE"""),"-")</f>
        <v>-</v>
      </c>
      <c r="I1676" s="43" t="str">
        <f>IFERROR(__xludf.DUMMYFUNCTION("""COMPUTED_VALUE"""),"[SEAL BREAKER] Damage your opponent's Spell Book 3 times when you win the Battle as an Attacker.")</f>
        <v>[SEAL BREAKER] Damage your opponent's Spell Book 3 times when you win the Battle as an Attacker.</v>
      </c>
      <c r="J1676" s="42" t="str">
        <f>IFERROR(__xludf.DUMMYFUNCTION("""COMPUTED_VALUE"""),"+9000")</f>
        <v>+9000</v>
      </c>
      <c r="K1676" s="42">
        <f>IFERROR(__xludf.DUMMYFUNCTION("""COMPUTED_VALUE"""),3.0)</f>
        <v>3</v>
      </c>
      <c r="L1676" s="42" t="str">
        <f>IFERROR(__xludf.DUMMYFUNCTION("""COMPUTED_VALUE"""),"-")</f>
        <v>-</v>
      </c>
      <c r="M1676" s="42" t="str">
        <f>IFERROR(__xludf.DUMMYFUNCTION("""COMPUTED_VALUE"""),"[SR]")</f>
        <v>[SR]</v>
      </c>
      <c r="N1676" s="42" t="str">
        <f>IFERROR(__xludf.DUMMYFUNCTION("""COMPUTED_VALUE"""),"Riou's 9th spell. ""BREAK THE SEAL NOW!""")</f>
        <v>Riou's 9th spell. "BREAK THE SEAL NOW!"</v>
      </c>
      <c r="O1676" s="42"/>
      <c r="P1676" s="42"/>
      <c r="Q1676" s="42"/>
      <c r="R1676" s="42"/>
      <c r="S1676" s="42"/>
      <c r="T1676" s="42"/>
      <c r="U1676" s="42"/>
      <c r="V1676" s="42"/>
      <c r="W1676" s="42"/>
      <c r="X1676" s="42"/>
      <c r="Y1676" s="42"/>
      <c r="Z1676" s="42"/>
    </row>
    <row r="1677">
      <c r="A1677" s="42" t="str">
        <f>IFERROR(__xludf.DUMMYFUNCTION("""COMPUTED_VALUE"""),"S-546")</f>
        <v>S-546</v>
      </c>
      <c r="B1677" s="42" t="str">
        <f>IFERROR(__xludf.DUMMYFUNCTION("""COMPUTED_VALUE"""),"Spell")</f>
        <v>Spell</v>
      </c>
      <c r="C1677" s="42" t="str">
        <f>IFERROR(__xludf.DUMMYFUNCTION("""COMPUTED_VALUE"""),"Ganzu Ginis")</f>
        <v>Ganzu Ginis</v>
      </c>
      <c r="D1677" s="42" t="str">
        <f>IFERROR(__xludf.DUMMYFUNCTION("""COMPUTED_VALUE"""),"Keith")</f>
        <v>Keith</v>
      </c>
      <c r="E1677" s="42">
        <f>IFERROR(__xludf.DUMMYFUNCTION("""COMPUTED_VALUE"""),1.0)</f>
        <v>1</v>
      </c>
      <c r="F1677" s="42" t="str">
        <f>IFERROR(__xludf.DUMMYFUNCTION("""COMPUTED_VALUE"""),"A")</f>
        <v>A</v>
      </c>
      <c r="G1677" s="42" t="str">
        <f>IFERROR(__xludf.DUMMYFUNCTION("""COMPUTED_VALUE"""),"None")</f>
        <v>None</v>
      </c>
      <c r="H1677" s="42" t="str">
        <f>IFERROR(__xludf.DUMMYFUNCTION("""COMPUTED_VALUE"""),"-")</f>
        <v>-</v>
      </c>
      <c r="I1677" s="43" t="str">
        <f>IFERROR(__xludf.DUMMYFUNCTION("""COMPUTED_VALUE"""),"Send 1 of your opponent's in-play PARTNER cards to the Discard Pile when you win the Battle as an Attacker.")</f>
        <v>Send 1 of your opponent's in-play PARTNER cards to the Discard Pile when you win the Battle as an Attacker.</v>
      </c>
      <c r="J1677" s="42" t="str">
        <f>IFERROR(__xludf.DUMMYFUNCTION("""COMPUTED_VALUE"""),"+4000")</f>
        <v>+4000</v>
      </c>
      <c r="K1677" s="42" t="str">
        <f>IFERROR(__xludf.DUMMYFUNCTION("""COMPUTED_VALUE"""),"-")</f>
        <v>-</v>
      </c>
      <c r="L1677" s="42" t="str">
        <f>IFERROR(__xludf.DUMMYFUNCTION("""COMPUTED_VALUE"""),"-")</f>
        <v>-</v>
      </c>
      <c r="M1677" s="42" t="str">
        <f>IFERROR(__xludf.DUMMYFUNCTION("""COMPUTED_VALUE"""),"[U]")</f>
        <v>[U]</v>
      </c>
      <c r="N1677" s="42" t="str">
        <f>IFERROR(__xludf.DUMMYFUNCTION("""COMPUTED_VALUE"""),"Keith's 1st spell. ""Ha ha ha ha! He's all alone again!""")</f>
        <v>Keith's 1st spell. "Ha ha ha ha! He's all alone again!"</v>
      </c>
      <c r="O1677" s="42"/>
      <c r="P1677" s="42"/>
      <c r="Q1677" s="42"/>
      <c r="R1677" s="42"/>
      <c r="S1677" s="42"/>
      <c r="T1677" s="42"/>
      <c r="U1677" s="42"/>
      <c r="V1677" s="42"/>
      <c r="W1677" s="42"/>
      <c r="X1677" s="42"/>
      <c r="Y1677" s="42"/>
      <c r="Z1677" s="42"/>
    </row>
    <row r="1678">
      <c r="A1678" s="42" t="str">
        <f>IFERROR(__xludf.DUMMYFUNCTION("""COMPUTED_VALUE"""),"S-547")</f>
        <v>S-547</v>
      </c>
      <c r="B1678" s="42" t="str">
        <f>IFERROR(__xludf.DUMMYFUNCTION("""COMPUTED_VALUE"""),"Spell")</f>
        <v>Spell</v>
      </c>
      <c r="C1678" s="42" t="str">
        <f>IFERROR(__xludf.DUMMYFUNCTION("""COMPUTED_VALUE"""),"Gigano Ginis")</f>
        <v>Gigano Ginis</v>
      </c>
      <c r="D1678" s="42" t="str">
        <f>IFERROR(__xludf.DUMMYFUNCTION("""COMPUTED_VALUE"""),"Keith")</f>
        <v>Keith</v>
      </c>
      <c r="E1678" s="42">
        <f>IFERROR(__xludf.DUMMYFUNCTION("""COMPUTED_VALUE"""),2.0)</f>
        <v>2</v>
      </c>
      <c r="F1678" s="42" t="str">
        <f>IFERROR(__xludf.DUMMYFUNCTION("""COMPUTED_VALUE"""),"A")</f>
        <v>A</v>
      </c>
      <c r="G1678" s="42" t="str">
        <f>IFERROR(__xludf.DUMMYFUNCTION("""COMPUTED_VALUE"""),"Intermediate")</f>
        <v>Intermediate</v>
      </c>
      <c r="H1678" s="42" t="str">
        <f>IFERROR(__xludf.DUMMYFUNCTION("""COMPUTED_VALUE"""),"-")</f>
        <v>-</v>
      </c>
      <c r="I1678" s="43" t="str">
        <f>IFERROR(__xludf.DUMMYFUNCTION("""COMPUTED_VALUE"""),"Damage your opponent's Spell Book when you win the Battle as an Attacker. Then, Injure 1 of your opponent's MAMODO cards that was put in play during this turn.")</f>
        <v>Damage your opponent's Spell Book when you win the Battle as an Attacker. Then, Injure 1 of your opponent's MAMODO cards that was put in play during this turn.</v>
      </c>
      <c r="J1678" s="42" t="str">
        <f>IFERROR(__xludf.DUMMYFUNCTION("""COMPUTED_VALUE"""),"+3000")</f>
        <v>+3000</v>
      </c>
      <c r="K1678" s="42">
        <f>IFERROR(__xludf.DUMMYFUNCTION("""COMPUTED_VALUE"""),2.0)</f>
        <v>2</v>
      </c>
      <c r="L1678" s="42" t="str">
        <f>IFERROR(__xludf.DUMMYFUNCTION("""COMPUTED_VALUE"""),"-")</f>
        <v>-</v>
      </c>
      <c r="M1678" s="42" t="str">
        <f>IFERROR(__xludf.DUMMYFUNCTION("""COMPUTED_VALUE"""),"[U]")</f>
        <v>[U]</v>
      </c>
      <c r="N1678" s="42" t="str">
        <f>IFERROR(__xludf.DUMMYFUNCTION("""COMPUTED_VALUE"""),"Keith's 2nd spell. ""Ha! There you are!"" ""GIGANO GINIS!""")</f>
        <v>Keith's 2nd spell. "Ha! There you are!" "GIGANO GINIS!"</v>
      </c>
      <c r="O1678" s="42"/>
      <c r="P1678" s="42"/>
      <c r="Q1678" s="42"/>
      <c r="R1678" s="42"/>
      <c r="S1678" s="42"/>
      <c r="T1678" s="42"/>
      <c r="U1678" s="42"/>
      <c r="V1678" s="42"/>
      <c r="W1678" s="42"/>
      <c r="X1678" s="42"/>
      <c r="Y1678" s="42"/>
      <c r="Z1678" s="42"/>
    </row>
    <row r="1679">
      <c r="A1679" s="42" t="str">
        <f>IFERROR(__xludf.DUMMYFUNCTION("""COMPUTED_VALUE"""),"S-548")</f>
        <v>S-548</v>
      </c>
      <c r="B1679" s="42" t="str">
        <f>IFERROR(__xludf.DUMMYFUNCTION("""COMPUTED_VALUE"""),"Spell")</f>
        <v>Spell</v>
      </c>
      <c r="C1679" s="42" t="str">
        <f>IFERROR(__xludf.DUMMYFUNCTION("""COMPUTED_VALUE"""),"Am Garaginis")</f>
        <v>Am Garaginis</v>
      </c>
      <c r="D1679" s="42" t="str">
        <f>IFERROR(__xludf.DUMMYFUNCTION("""COMPUTED_VALUE"""),"Keith")</f>
        <v>Keith</v>
      </c>
      <c r="E1679" s="42">
        <f>IFERROR(__xludf.DUMMYFUNCTION("""COMPUTED_VALUE"""),1.0)</f>
        <v>1</v>
      </c>
      <c r="F1679" s="42" t="str">
        <f>IFERROR(__xludf.DUMMYFUNCTION("""COMPUTED_VALUE"""),"A")</f>
        <v>A</v>
      </c>
      <c r="G1679" s="42" t="str">
        <f>IFERROR(__xludf.DUMMYFUNCTION("""COMPUTED_VALUE"""),"None")</f>
        <v>None</v>
      </c>
      <c r="H1679" s="42" t="str">
        <f>IFERROR(__xludf.DUMMYFUNCTION("""COMPUTED_VALUE"""),"-")</f>
        <v>-</v>
      </c>
      <c r="I1679" s="43" t="str">
        <f>IFERROR(__xludf.DUMMYFUNCTION("""COMPUTED_VALUE"""),"[STANDBY] Increase the Damage of 1 SPELL card with Keith as its MAMODO name that you play in the next Battle during this turn by 1 (this effect can be duplicated).")</f>
        <v>[STANDBY] Increase the Damage of 1 SPELL card with Keith as its MAMODO name that you play in the next Battle during this turn by 1 (this effect can be duplicated).</v>
      </c>
      <c r="J1679" s="42" t="str">
        <f>IFERROR(__xludf.DUMMYFUNCTION("""COMPUTED_VALUE"""),"-")</f>
        <v>-</v>
      </c>
      <c r="K1679" s="42" t="str">
        <f>IFERROR(__xludf.DUMMYFUNCTION("""COMPUTED_VALUE"""),"-")</f>
        <v>-</v>
      </c>
      <c r="L1679" s="42" t="str">
        <f>IFERROR(__xludf.DUMMYFUNCTION("""COMPUTED_VALUE"""),"-")</f>
        <v>-</v>
      </c>
      <c r="M1679" s="42" t="str">
        <f>IFERROR(__xludf.DUMMYFUNCTION("""COMPUTED_VALUE"""),"[C]")</f>
        <v>[C]</v>
      </c>
      <c r="N1679" s="42" t="str">
        <f>IFERROR(__xludf.DUMMYFUNCTION("""COMPUTED_VALUE"""),"Keith's 3rd spell. ""Looks like you insects can no longer resist me, eh?""")</f>
        <v>Keith's 3rd spell. "Looks like you insects can no longer resist me, eh?"</v>
      </c>
      <c r="O1679" s="42"/>
      <c r="P1679" s="42"/>
      <c r="Q1679" s="42"/>
      <c r="R1679" s="42"/>
      <c r="S1679" s="42"/>
      <c r="T1679" s="42"/>
      <c r="U1679" s="42"/>
      <c r="V1679" s="42"/>
      <c r="W1679" s="42"/>
      <c r="X1679" s="42"/>
      <c r="Y1679" s="42"/>
      <c r="Z1679" s="42"/>
    </row>
    <row r="1680">
      <c r="A1680" s="42" t="str">
        <f>IFERROR(__xludf.DUMMYFUNCTION("""COMPUTED_VALUE"""),"S-549")</f>
        <v>S-549</v>
      </c>
      <c r="B1680" s="42" t="str">
        <f>IFERROR(__xludf.DUMMYFUNCTION("""COMPUTED_VALUE"""),"Spell")</f>
        <v>Spell</v>
      </c>
      <c r="C1680" s="42" t="str">
        <f>IFERROR(__xludf.DUMMYFUNCTION("""COMPUTED_VALUE"""),"Go Garaginis")</f>
        <v>Go Garaginis</v>
      </c>
      <c r="D1680" s="42" t="str">
        <f>IFERROR(__xludf.DUMMYFUNCTION("""COMPUTED_VALUE"""),"Keith")</f>
        <v>Keith</v>
      </c>
      <c r="E1680" s="42">
        <f>IFERROR(__xludf.DUMMYFUNCTION("""COMPUTED_VALUE"""),1.0)</f>
        <v>1</v>
      </c>
      <c r="F1680" s="42" t="str">
        <f>IFERROR(__xludf.DUMMYFUNCTION("""COMPUTED_VALUE"""),"AD")</f>
        <v>AD</v>
      </c>
      <c r="G1680" s="42" t="str">
        <f>IFERROR(__xludf.DUMMYFUNCTION("""COMPUTED_VALUE"""),"Intermediate")</f>
        <v>Intermediate</v>
      </c>
      <c r="H1680" s="42" t="str">
        <f>IFERROR(__xludf.DUMMYFUNCTION("""COMPUTED_VALUE"""),"-")</f>
        <v>-</v>
      </c>
      <c r="I1680" s="43" t="str">
        <f>IFERROR(__xludf.DUMMYFUNCTION("""COMPUTED_VALUE"""),"Damage your opponent's Spell Book when you win the Battle as an Attacker. If you have Buzarai and/or Bari MAMODO cards in play, the Power of this SPELL card is considered to be +2000, and the Damage is considered to be 1.")</f>
        <v>Damage your opponent's Spell Book when you win the Battle as an Attacker. If you have Buzarai and/or Bari MAMODO cards in play, the Power of this SPELL card is considered to be +2000, and the Damage is considered to be 1.</v>
      </c>
      <c r="J1680" s="42" t="str">
        <f>IFERROR(__xludf.DUMMYFUNCTION("""COMPUTED_VALUE"""),"+4000")</f>
        <v>+4000</v>
      </c>
      <c r="K1680" s="42">
        <f>IFERROR(__xludf.DUMMYFUNCTION("""COMPUTED_VALUE"""),2.0)</f>
        <v>2</v>
      </c>
      <c r="L1680" s="42" t="str">
        <f>IFERROR(__xludf.DUMMYFUNCTION("""COMPUTED_VALUE"""),"-")</f>
        <v>-</v>
      </c>
      <c r="M1680" s="42" t="str">
        <f>IFERROR(__xludf.DUMMYFUNCTION("""COMPUTED_VALUE"""),"[U]")</f>
        <v>[U]</v>
      </c>
      <c r="N1680" s="42" t="str">
        <f>IFERROR(__xludf.DUMMYFUNCTION("""COMPUTED_VALUE"""),"Keith's 4th spell. It greatly resembles Bari's Garazonis spell in that it causes him to spin at high speeds and barrel into his enemy.")</f>
        <v>Keith's 4th spell. It greatly resembles Bari's Garazonis spell in that it causes him to spin at high speeds and barrel into his enemy.</v>
      </c>
      <c r="O1680" s="42"/>
      <c r="P1680" s="42"/>
      <c r="Q1680" s="42"/>
      <c r="R1680" s="42"/>
      <c r="S1680" s="42"/>
      <c r="T1680" s="42"/>
      <c r="U1680" s="42"/>
      <c r="V1680" s="42"/>
      <c r="W1680" s="42"/>
      <c r="X1680" s="42"/>
      <c r="Y1680" s="42"/>
      <c r="Z1680" s="42"/>
    </row>
    <row r="1681">
      <c r="A1681" s="42" t="str">
        <f>IFERROR(__xludf.DUMMYFUNCTION("""COMPUTED_VALUE"""),"S-550")</f>
        <v>S-550</v>
      </c>
      <c r="B1681" s="42" t="str">
        <f>IFERROR(__xludf.DUMMYFUNCTION("""COMPUTED_VALUE"""),"Spell")</f>
        <v>Spell</v>
      </c>
      <c r="C1681" s="42" t="str">
        <f>IFERROR(__xludf.DUMMYFUNCTION("""COMPUTED_VALUE"""),"Dioga Ginisdon")</f>
        <v>Dioga Ginisdon</v>
      </c>
      <c r="D1681" s="42" t="str">
        <f>IFERROR(__xludf.DUMMYFUNCTION("""COMPUTED_VALUE"""),"Keith")</f>
        <v>Keith</v>
      </c>
      <c r="E1681" s="42">
        <f>IFERROR(__xludf.DUMMYFUNCTION("""COMPUTED_VALUE"""),7.0)</f>
        <v>7</v>
      </c>
      <c r="F1681" s="42" t="str">
        <f>IFERROR(__xludf.DUMMYFUNCTION("""COMPUTED_VALUE"""),"AD")</f>
        <v>AD</v>
      </c>
      <c r="G1681" s="42" t="str">
        <f>IFERROR(__xludf.DUMMYFUNCTION("""COMPUTED_VALUE"""),"Superior")</f>
        <v>Superior</v>
      </c>
      <c r="H1681" s="42" t="str">
        <f>IFERROR(__xludf.DUMMYFUNCTION("""COMPUTED_VALUE"""),"-")</f>
        <v>-</v>
      </c>
      <c r="I1681" s="43" t="str">
        <f>IFERROR(__xludf.DUMMYFUNCTION("""COMPUTED_VALUE"""),"[SEAL BREAKER] Damage your opponent's Spell Book when you win the Battle as an Attacker. When you inflict Damage or Injury, reduce your opponent's MP by 4 to get 4 MP.")</f>
        <v>[SEAL BREAKER] Damage your opponent's Spell Book when you win the Battle as an Attacker. When you inflict Damage or Injury, reduce your opponent's MP by 4 to get 4 MP.</v>
      </c>
      <c r="J1681" s="42" t="str">
        <f>IFERROR(__xludf.DUMMYFUNCTION("""COMPUTED_VALUE"""),"+6000")</f>
        <v>+6000</v>
      </c>
      <c r="K1681" s="42">
        <f>IFERROR(__xludf.DUMMYFUNCTION("""COMPUTED_VALUE"""),3.0)</f>
        <v>3</v>
      </c>
      <c r="L1681" s="42" t="str">
        <f>IFERROR(__xludf.DUMMYFUNCTION("""COMPUTED_VALUE"""),"-")</f>
        <v>-</v>
      </c>
      <c r="M1681" s="42" t="str">
        <f>IFERROR(__xludf.DUMMYFUNCTION("""COMPUTED_VALUE"""),"[SR]")</f>
        <v>[SR]</v>
      </c>
      <c r="N1681" s="42" t="str">
        <f>IFERROR(__xludf.DUMMYFUNCTION("""COMPUTED_VALUE"""),"Keith's 5th spell. In his bid to usurp Faudo's power, Keith blasts the seal with everything he's got.")</f>
        <v>Keith's 5th spell. In his bid to usurp Faudo's power, Keith blasts the seal with everything he's got.</v>
      </c>
      <c r="O1681" s="42"/>
      <c r="P1681" s="42"/>
      <c r="Q1681" s="42"/>
      <c r="R1681" s="42"/>
      <c r="S1681" s="42"/>
      <c r="T1681" s="42"/>
      <c r="U1681" s="42"/>
      <c r="V1681" s="42"/>
      <c r="W1681" s="42"/>
      <c r="X1681" s="42"/>
      <c r="Y1681" s="42"/>
      <c r="Z1681" s="42"/>
    </row>
    <row r="1682">
      <c r="A1682" s="42" t="str">
        <f>IFERROR(__xludf.DUMMYFUNCTION("""COMPUTED_VALUE"""),"S-551")</f>
        <v>S-551</v>
      </c>
      <c r="B1682" s="42" t="str">
        <f>IFERROR(__xludf.DUMMYFUNCTION("""COMPUTED_VALUE"""),"Spell")</f>
        <v>Spell</v>
      </c>
      <c r="C1682" s="42" t="str">
        <f>IFERROR(__xludf.DUMMYFUNCTION("""COMPUTED_VALUE"""),"Go Kofar")</f>
        <v>Go Kofar</v>
      </c>
      <c r="D1682" s="42" t="str">
        <f>IFERROR(__xludf.DUMMYFUNCTION("""COMPUTED_VALUE"""),"Cherish")</f>
        <v>Cherish</v>
      </c>
      <c r="E1682" s="42">
        <f>IFERROR(__xludf.DUMMYFUNCTION("""COMPUTED_VALUE"""),2.0)</f>
        <v>2</v>
      </c>
      <c r="F1682" s="42" t="str">
        <f>IFERROR(__xludf.DUMMYFUNCTION("""COMPUTED_VALUE"""),"AD")</f>
        <v>AD</v>
      </c>
      <c r="G1682" s="42" t="str">
        <f>IFERROR(__xludf.DUMMYFUNCTION("""COMPUTED_VALUE"""),"None")</f>
        <v>None</v>
      </c>
      <c r="H1682" s="42" t="str">
        <f>IFERROR(__xludf.DUMMYFUNCTION("""COMPUTED_VALUE"""),"-")</f>
        <v>-</v>
      </c>
      <c r="I1682" s="43" t="str">
        <f>IFERROR(__xludf.DUMMYFUNCTION("""COMPUTED_VALUE"""),"Damage your opponent's Spell Book when you win the Battle as an Attacker. When used for Defending, add 6000 Power to this SPELL card.")</f>
        <v>Damage your opponent's Spell Book when you win the Battle as an Attacker. When used for Defending, add 6000 Power to this SPELL card.</v>
      </c>
      <c r="J1682" s="42" t="str">
        <f>IFERROR(__xludf.DUMMYFUNCTION("""COMPUTED_VALUE"""),"+4000")</f>
        <v>+4000</v>
      </c>
      <c r="K1682" s="42">
        <f>IFERROR(__xludf.DUMMYFUNCTION("""COMPUTED_VALUE"""),2.0)</f>
        <v>2</v>
      </c>
      <c r="L1682" s="42" t="str">
        <f>IFERROR(__xludf.DUMMYFUNCTION("""COMPUTED_VALUE"""),"-")</f>
        <v>-</v>
      </c>
      <c r="M1682" s="42" t="str">
        <f>IFERROR(__xludf.DUMMYFUNCTION("""COMPUTED_VALUE"""),"[C]")</f>
        <v>[C]</v>
      </c>
      <c r="N1682" s="42" t="str">
        <f>IFERROR(__xludf.DUMMYFUNCTION("""COMPUTED_VALUE"""),"Cherish's 1st spell. The acolytes that were sent to dispatch Tia and Ponygon wield the power of crystallization.")</f>
        <v>Cherish's 1st spell. The acolytes that were sent to dispatch Tia and Ponygon wield the power of crystallization.</v>
      </c>
      <c r="O1682" s="42"/>
      <c r="P1682" s="42"/>
      <c r="Q1682" s="42"/>
      <c r="R1682" s="42"/>
      <c r="S1682" s="42"/>
      <c r="T1682" s="42"/>
      <c r="U1682" s="42"/>
      <c r="V1682" s="42"/>
      <c r="W1682" s="42"/>
      <c r="X1682" s="42"/>
      <c r="Y1682" s="42"/>
      <c r="Z1682" s="42"/>
    </row>
    <row r="1683">
      <c r="A1683" s="42" t="str">
        <f>IFERROR(__xludf.DUMMYFUNCTION("""COMPUTED_VALUE"""),"S-552")</f>
        <v>S-552</v>
      </c>
      <c r="B1683" s="42" t="str">
        <f>IFERROR(__xludf.DUMMYFUNCTION("""COMPUTED_VALUE"""),"Spell")</f>
        <v>Spell</v>
      </c>
      <c r="C1683" s="42" t="str">
        <f>IFERROR(__xludf.DUMMYFUNCTION("""COMPUTED_VALUE"""),"Gare Kofar")</f>
        <v>Gare Kofar</v>
      </c>
      <c r="D1683" s="42" t="str">
        <f>IFERROR(__xludf.DUMMYFUNCTION("""COMPUTED_VALUE"""),"Cherish")</f>
        <v>Cherish</v>
      </c>
      <c r="E1683" s="42">
        <f>IFERROR(__xludf.DUMMYFUNCTION("""COMPUTED_VALUE"""),2.0)</f>
        <v>2</v>
      </c>
      <c r="F1683" s="42" t="str">
        <f>IFERROR(__xludf.DUMMYFUNCTION("""COMPUTED_VALUE"""),"A")</f>
        <v>A</v>
      </c>
      <c r="G1683" s="42" t="str">
        <f>IFERROR(__xludf.DUMMYFUNCTION("""COMPUTED_VALUE"""),"None")</f>
        <v>None</v>
      </c>
      <c r="H1683" s="42" t="str">
        <f>IFERROR(__xludf.DUMMYFUNCTION("""COMPUTED_VALUE"""),"-")</f>
        <v>-</v>
      </c>
      <c r="I1683" s="43" t="str">
        <f>IFERROR(__xludf.DUMMYFUNCTION("""COMPUTED_VALUE"""),"This SPELL card can be played up to 3 times per turn (per player). Damage your opponent's Spell Book when you win the Battle as an Attacker.")</f>
        <v>This SPELL card can be played up to 3 times per turn (per player). Damage your opponent's Spell Book when you win the Battle as an Attacker.</v>
      </c>
      <c r="J1683" s="42" t="str">
        <f>IFERROR(__xludf.DUMMYFUNCTION("""COMPUTED_VALUE"""),"+2000")</f>
        <v>+2000</v>
      </c>
      <c r="K1683" s="42">
        <f>IFERROR(__xludf.DUMMYFUNCTION("""COMPUTED_VALUE"""),1.0)</f>
        <v>1</v>
      </c>
      <c r="L1683" s="42" t="str">
        <f>IFERROR(__xludf.DUMMYFUNCTION("""COMPUTED_VALUE"""),"-")</f>
        <v>-</v>
      </c>
      <c r="M1683" s="42" t="str">
        <f>IFERROR(__xludf.DUMMYFUNCTION("""COMPUTED_VALUE"""),"[C]")</f>
        <v>[C]</v>
      </c>
      <c r="N1683" s="42" t="str">
        <f>IFERROR(__xludf.DUMMYFUNCTION("""COMPUTED_VALUE"""),"Cherish's 2nd spell. ""Rrgh... He's too fast!""")</f>
        <v>Cherish's 2nd spell. "Rrgh... He's too fast!"</v>
      </c>
      <c r="O1683" s="42"/>
      <c r="P1683" s="42"/>
      <c r="Q1683" s="42"/>
      <c r="R1683" s="42"/>
      <c r="S1683" s="42"/>
      <c r="T1683" s="42"/>
      <c r="U1683" s="42"/>
      <c r="V1683" s="42"/>
      <c r="W1683" s="42"/>
      <c r="X1683" s="42"/>
      <c r="Y1683" s="42"/>
      <c r="Z1683" s="42"/>
    </row>
    <row r="1684">
      <c r="A1684" s="42" t="str">
        <f>IFERROR(__xludf.DUMMYFUNCTION("""COMPUTED_VALUE"""),"S-553")</f>
        <v>S-553</v>
      </c>
      <c r="B1684" s="42" t="str">
        <f>IFERROR(__xludf.DUMMYFUNCTION("""COMPUTED_VALUE"""),"Spell")</f>
        <v>Spell</v>
      </c>
      <c r="C1684" s="42" t="str">
        <f>IFERROR(__xludf.DUMMYFUNCTION("""COMPUTED_VALUE"""),"Dioga Kofardon")</f>
        <v>Dioga Kofardon</v>
      </c>
      <c r="D1684" s="42" t="str">
        <f>IFERROR(__xludf.DUMMYFUNCTION("""COMPUTED_VALUE"""),"Cherish")</f>
        <v>Cherish</v>
      </c>
      <c r="E1684" s="42">
        <f>IFERROR(__xludf.DUMMYFUNCTION("""COMPUTED_VALUE"""),6.0)</f>
        <v>6</v>
      </c>
      <c r="F1684" s="42" t="str">
        <f>IFERROR(__xludf.DUMMYFUNCTION("""COMPUTED_VALUE"""),"AD")</f>
        <v>AD</v>
      </c>
      <c r="G1684" s="42" t="str">
        <f>IFERROR(__xludf.DUMMYFUNCTION("""COMPUTED_VALUE"""),"Superior")</f>
        <v>Superior</v>
      </c>
      <c r="H1684" s="42" t="str">
        <f>IFERROR(__xludf.DUMMYFUNCTION("""COMPUTED_VALUE"""),"-")</f>
        <v>-</v>
      </c>
      <c r="I1684" s="43" t="str">
        <f>IFERROR(__xludf.DUMMYFUNCTION("""COMPUTED_VALUE"""),"[SEAL BREAKER] Damage your opponent's Spell Book when you win the Battle as an Attacker. When used for Defending, negate your opponent's SPELL card regardless of their Power.")</f>
        <v>[SEAL BREAKER] Damage your opponent's Spell Book when you win the Battle as an Attacker. When used for Defending, negate your opponent's SPELL card regardless of their Power.</v>
      </c>
      <c r="J1684" s="42" t="str">
        <f>IFERROR(__xludf.DUMMYFUNCTION("""COMPUTED_VALUE"""),"+6000")</f>
        <v>+6000</v>
      </c>
      <c r="K1684" s="42">
        <f>IFERROR(__xludf.DUMMYFUNCTION("""COMPUTED_VALUE"""),3.0)</f>
        <v>3</v>
      </c>
      <c r="L1684" s="42" t="str">
        <f>IFERROR(__xludf.DUMMYFUNCTION("""COMPUTED_VALUE"""),"-")</f>
        <v>-</v>
      </c>
      <c r="M1684" s="42" t="str">
        <f>IFERROR(__xludf.DUMMYFUNCTION("""COMPUTED_VALUE"""),"[SR]")</f>
        <v>[SR]</v>
      </c>
      <c r="N1684" s="42" t="str">
        <f>IFERROR(__xludf.DUMMYFUNCTION("""COMPUTED_VALUE"""),"Cherish's 3rd spell. With her heart set on never succumbing to despair, Cherish resolves to break Faudo's seal.")</f>
        <v>Cherish's 3rd spell. With her heart set on never succumbing to despair, Cherish resolves to break Faudo's seal.</v>
      </c>
      <c r="O1684" s="42"/>
      <c r="P1684" s="42"/>
      <c r="Q1684" s="42"/>
      <c r="R1684" s="42"/>
      <c r="S1684" s="42"/>
      <c r="T1684" s="42"/>
      <c r="U1684" s="42"/>
      <c r="V1684" s="42"/>
      <c r="W1684" s="42"/>
      <c r="X1684" s="42"/>
      <c r="Y1684" s="42"/>
      <c r="Z1684" s="42"/>
    </row>
    <row r="1685">
      <c r="A1685" s="42" t="str">
        <f>IFERROR(__xludf.DUMMYFUNCTION("""COMPUTED_VALUE"""),"S-554")</f>
        <v>S-554</v>
      </c>
      <c r="B1685" s="42" t="str">
        <f>IFERROR(__xludf.DUMMYFUNCTION("""COMPUTED_VALUE"""),"Spell")</f>
        <v>Spell</v>
      </c>
      <c r="C1685" s="42" t="str">
        <f>IFERROR(__xludf.DUMMYFUNCTION("""COMPUTED_VALUE"""),"Orshido Sharon")</f>
        <v>Orshido Sharon</v>
      </c>
      <c r="D1685" s="42" t="str">
        <f>IFERROR(__xludf.DUMMYFUNCTION("""COMPUTED_VALUE"""),"Zaruchim")</f>
        <v>Zaruchim</v>
      </c>
      <c r="E1685" s="42">
        <f>IFERROR(__xludf.DUMMYFUNCTION("""COMPUTED_VALUE"""),2.0)</f>
        <v>2</v>
      </c>
      <c r="F1685" s="42" t="str">
        <f>IFERROR(__xludf.DUMMYFUNCTION("""COMPUTED_VALUE"""),"AD")</f>
        <v>AD</v>
      </c>
      <c r="G1685" s="42" t="str">
        <f>IFERROR(__xludf.DUMMYFUNCTION("""COMPUTED_VALUE"""),"None")</f>
        <v>None</v>
      </c>
      <c r="H1685" s="42" t="str">
        <f>IFERROR(__xludf.DUMMYFUNCTION("""COMPUTED_VALUE"""),"-")</f>
        <v>-</v>
      </c>
      <c r="I1685" s="43" t="str">
        <f>IFERROR(__xludf.DUMMYFUNCTION("""COMPUTED_VALUE"""),"Apply 1 of the following effects: ● [STAY] Your opponent cannot apply effects with [In Play] during this turn. ● [STAY] Your opponent cannot apply effects with [Declare to use] during this turn.")</f>
        <v>Apply 1 of the following effects: ● [STAY] Your opponent cannot apply effects with [In Play] during this turn. ● [STAY] Your opponent cannot apply effects with [Declare to use] during this turn.</v>
      </c>
      <c r="J1685" s="42" t="str">
        <f>IFERROR(__xludf.DUMMYFUNCTION("""COMPUTED_VALUE"""),"-")</f>
        <v>-</v>
      </c>
      <c r="K1685" s="42" t="str">
        <f>IFERROR(__xludf.DUMMYFUNCTION("""COMPUTED_VALUE"""),"-")</f>
        <v>-</v>
      </c>
      <c r="L1685" s="42" t="str">
        <f>IFERROR(__xludf.DUMMYFUNCTION("""COMPUTED_VALUE"""),"-")</f>
        <v>-</v>
      </c>
      <c r="M1685" s="42" t="str">
        <f>IFERROR(__xludf.DUMMYFUNCTION("""COMPUTED_VALUE"""),"[C]")</f>
        <v>[C]</v>
      </c>
      <c r="N1685" s="42" t="str">
        <f>IFERROR(__xludf.DUMMYFUNCTION("""COMPUTED_VALUE"""),"Zaruchim's 1st spell. ""The shadows from the light he's emitting... are binding us somehow...!""")</f>
        <v>Zaruchim's 1st spell. "The shadows from the light he's emitting... are binding us somehow...!"</v>
      </c>
      <c r="O1685" s="42"/>
      <c r="P1685" s="42"/>
      <c r="Q1685" s="42"/>
      <c r="R1685" s="42"/>
      <c r="S1685" s="42"/>
      <c r="T1685" s="42"/>
      <c r="U1685" s="42"/>
      <c r="V1685" s="42"/>
      <c r="W1685" s="42"/>
      <c r="X1685" s="42"/>
      <c r="Y1685" s="42"/>
      <c r="Z1685" s="42"/>
    </row>
    <row r="1686">
      <c r="A1686" s="42" t="str">
        <f>IFERROR(__xludf.DUMMYFUNCTION("""COMPUTED_VALUE"""),"S-555")</f>
        <v>S-555</v>
      </c>
      <c r="B1686" s="42" t="str">
        <f>IFERROR(__xludf.DUMMYFUNCTION("""COMPUTED_VALUE"""),"Spell")</f>
        <v>Spell</v>
      </c>
      <c r="C1686" s="42" t="str">
        <f>IFERROR(__xludf.DUMMYFUNCTION("""COMPUTED_VALUE"""),"Shidona Swordo")</f>
        <v>Shidona Swordo</v>
      </c>
      <c r="D1686" s="42" t="str">
        <f>IFERROR(__xludf.DUMMYFUNCTION("""COMPUTED_VALUE"""),"Zaruchim")</f>
        <v>Zaruchim</v>
      </c>
      <c r="E1686" s="42">
        <f>IFERROR(__xludf.DUMMYFUNCTION("""COMPUTED_VALUE"""),1.0)</f>
        <v>1</v>
      </c>
      <c r="F1686" s="42" t="str">
        <f>IFERROR(__xludf.DUMMYFUNCTION("""COMPUTED_VALUE"""),"A")</f>
        <v>A</v>
      </c>
      <c r="G1686" s="42" t="str">
        <f>IFERROR(__xludf.DUMMYFUNCTION("""COMPUTED_VALUE"""),"None")</f>
        <v>None</v>
      </c>
      <c r="H1686" s="42" t="str">
        <f>IFERROR(__xludf.DUMMYFUNCTION("""COMPUTED_VALUE"""),"-")</f>
        <v>-</v>
      </c>
      <c r="I1686" s="43" t="str">
        <f>IFERROR(__xludf.DUMMYFUNCTION("""COMPUTED_VALUE"""),"This SPELL card can be played up to as many times as you desire per turn (per player) until you win the Battle with it as an Attacker. Damage your opponent's Spell Book when you win the Battle as an Attacker.")</f>
        <v>This SPELL card can be played up to as many times as you desire per turn (per player) until you win the Battle with it as an Attacker. Damage your opponent's Spell Book when you win the Battle as an Attacker.</v>
      </c>
      <c r="J1686" s="42" t="str">
        <f>IFERROR(__xludf.DUMMYFUNCTION("""COMPUTED_VALUE"""),"+3000")</f>
        <v>+3000</v>
      </c>
      <c r="K1686" s="42">
        <f>IFERROR(__xludf.DUMMYFUNCTION("""COMPUTED_VALUE"""),1.0)</f>
        <v>1</v>
      </c>
      <c r="L1686" s="42" t="str">
        <f>IFERROR(__xludf.DUMMYFUNCTION("""COMPUTED_VALUE"""),"-")</f>
        <v>-</v>
      </c>
      <c r="M1686" s="42" t="str">
        <f>IFERROR(__xludf.DUMMYFUNCTION("""COMPUTED_VALUE"""),"[C]")</f>
        <v>[C]</v>
      </c>
      <c r="N1686" s="42" t="str">
        <f>IFERROR(__xludf.DUMMYFUNCTION("""COMPUTED_VALUE"""),"Zaruchim's 2nd spell. ""What? The shadow cast by the weapon on his wrist turns into a giant sword?""")</f>
        <v>Zaruchim's 2nd spell. "What? The shadow cast by the weapon on his wrist turns into a giant sword?"</v>
      </c>
      <c r="O1686" s="42"/>
      <c r="P1686" s="42"/>
      <c r="Q1686" s="42"/>
      <c r="R1686" s="42"/>
      <c r="S1686" s="42"/>
      <c r="T1686" s="42"/>
      <c r="U1686" s="42"/>
      <c r="V1686" s="42"/>
      <c r="W1686" s="42"/>
      <c r="X1686" s="42"/>
      <c r="Y1686" s="42"/>
      <c r="Z1686" s="42"/>
    </row>
    <row r="1687">
      <c r="A1687" s="42" t="str">
        <f>IFERROR(__xludf.DUMMYFUNCTION("""COMPUTED_VALUE"""),"S-556")</f>
        <v>S-556</v>
      </c>
      <c r="B1687" s="42" t="str">
        <f>IFERROR(__xludf.DUMMYFUNCTION("""COMPUTED_VALUE"""),"Spell")</f>
        <v>Spell</v>
      </c>
      <c r="C1687" s="42" t="str">
        <f>IFERROR(__xludf.DUMMYFUNCTION("""COMPUTED_VALUE"""),"Jiboruo Shidon")</f>
        <v>Jiboruo Shidon</v>
      </c>
      <c r="D1687" s="42" t="str">
        <f>IFERROR(__xludf.DUMMYFUNCTION("""COMPUTED_VALUE"""),"Zaruchim")</f>
        <v>Zaruchim</v>
      </c>
      <c r="E1687" s="42">
        <f>IFERROR(__xludf.DUMMYFUNCTION("""COMPUTED_VALUE"""),7.0)</f>
        <v>7</v>
      </c>
      <c r="F1687" s="42" t="str">
        <f>IFERROR(__xludf.DUMMYFUNCTION("""COMPUTED_VALUE"""),"AD")</f>
        <v>AD</v>
      </c>
      <c r="G1687" s="42" t="str">
        <f>IFERROR(__xludf.DUMMYFUNCTION("""COMPUTED_VALUE"""),"Superior")</f>
        <v>Superior</v>
      </c>
      <c r="H1687" s="42" t="str">
        <f>IFERROR(__xludf.DUMMYFUNCTION("""COMPUTED_VALUE"""),"-")</f>
        <v>-</v>
      </c>
      <c r="I1687" s="43" t="str">
        <f>IFERROR(__xludf.DUMMYFUNCTION("""COMPUTED_VALUE"""),"[SEAL BREAKER] Damage your opponent's Spell Book when you win the Battle as an Attacker. When you inflict Injury, you may send 1 of your opponent's in-play MAMODO cards to the Discard Pile.")</f>
        <v>[SEAL BREAKER] Damage your opponent's Spell Book when you win the Battle as an Attacker. When you inflict Injury, you may send 1 of your opponent's in-play MAMODO cards to the Discard Pile.</v>
      </c>
      <c r="J1687" s="42" t="str">
        <f>IFERROR(__xludf.DUMMYFUNCTION("""COMPUTED_VALUE"""),"+7000")</f>
        <v>+7000</v>
      </c>
      <c r="K1687" s="42">
        <f>IFERROR(__xludf.DUMMYFUNCTION("""COMPUTED_VALUE"""),3.0)</f>
        <v>3</v>
      </c>
      <c r="L1687" s="42" t="str">
        <f>IFERROR(__xludf.DUMMYFUNCTION("""COMPUTED_VALUE"""),"-")</f>
        <v>-</v>
      </c>
      <c r="M1687" s="42" t="str">
        <f>IFERROR(__xludf.DUMMYFUNCTION("""COMPUTED_VALUE"""),"[SR]")</f>
        <v>[SR]</v>
      </c>
      <c r="N1687" s="42" t="str">
        <f>IFERROR(__xludf.DUMMYFUNCTION("""COMPUTED_VALUE"""),"Zaruchim's 3rd spell. A ghastly reaper made up entirely of shadows attacks Faudo's seal with all its might.")</f>
        <v>Zaruchim's 3rd spell. A ghastly reaper made up entirely of shadows attacks Faudo's seal with all its might.</v>
      </c>
      <c r="O1687" s="42"/>
      <c r="P1687" s="42"/>
      <c r="Q1687" s="42"/>
      <c r="R1687" s="42"/>
      <c r="S1687" s="42"/>
      <c r="T1687" s="42"/>
      <c r="U1687" s="42"/>
      <c r="V1687" s="42"/>
      <c r="W1687" s="42"/>
      <c r="X1687" s="42"/>
      <c r="Y1687" s="42"/>
      <c r="Z1687" s="42"/>
    </row>
    <row r="1688">
      <c r="A1688" s="42" t="str">
        <f>IFERROR(__xludf.DUMMYFUNCTION("""COMPUTED_VALUE"""),"S-557ab")</f>
        <v>S-557ab</v>
      </c>
      <c r="B1688" s="42" t="str">
        <f>IFERROR(__xludf.DUMMYFUNCTION("""COMPUTED_VALUE"""),"Spell")</f>
        <v>Spell</v>
      </c>
      <c r="C1688" s="42" t="str">
        <f>IFERROR(__xludf.DUMMYFUNCTION("""COMPUTED_VALUE"""),"Bao Zakeruga (4-Way Split)")</f>
        <v>Bao Zakeruga (4-Way Split)</v>
      </c>
      <c r="D1688" s="42" t="str">
        <f>IFERROR(__xludf.DUMMYFUNCTION("""COMPUTED_VALUE"""),"Zatch Bell")</f>
        <v>Zatch Bell</v>
      </c>
      <c r="E1688" s="42">
        <f>IFERROR(__xludf.DUMMYFUNCTION("""COMPUTED_VALUE"""),6.0)</f>
        <v>6</v>
      </c>
      <c r="F1688" s="42" t="str">
        <f>IFERROR(__xludf.DUMMYFUNCTION("""COMPUTED_VALUE"""),"A")</f>
        <v>A</v>
      </c>
      <c r="G1688" s="42" t="str">
        <f>IFERROR(__xludf.DUMMYFUNCTION("""COMPUTED_VALUE"""),"Superior")</f>
        <v>Superior</v>
      </c>
      <c r="H1688" s="42" t="str">
        <f>IFERROR(__xludf.DUMMYFUNCTION("""COMPUTED_VALUE"""),"Thunder")</f>
        <v>Thunder</v>
      </c>
      <c r="I1688" s="43" t="str">
        <f>IFERROR(__xludf.DUMMYFUNCTION("""COMPUTED_VALUE"""),"This SPELL card can be played only when both S-557a and S-557b are in the currently open pages of your Spell Book and you have successfully played a Zagurzem SPELL card 5 or more times during this game. Damage your opponent's Spell Book 4 times when you w"&amp;"in the Battle as an Attacker. If your opponent negates this SPELL card with their effects (except SPELL card effects), it is not negated, and Damages their Spell Book once instead.")</f>
        <v>This SPELL card can be played only when both S-557a and S-557b are in the currently open pages of your Spell Book and you have successfully played a Zagurzem SPELL card 5 or more times during this game. Damage your opponent's Spell Book 4 times when you win the Battle as an Attacker. If your opponent negates this SPELL card with their effects (except SPELL card effects), it is not negated, and Damages their Spell Book once instead.</v>
      </c>
      <c r="J1688" s="42" t="str">
        <f>IFERROR(__xludf.DUMMYFUNCTION("""COMPUTED_VALUE"""),"+6000")</f>
        <v>+6000</v>
      </c>
      <c r="K1688" s="42">
        <f>IFERROR(__xludf.DUMMYFUNCTION("""COMPUTED_VALUE"""),3.0)</f>
        <v>3</v>
      </c>
      <c r="L1688" s="42" t="str">
        <f>IFERROR(__xludf.DUMMYFUNCTION("""COMPUTED_VALUE"""),"-")</f>
        <v>-</v>
      </c>
      <c r="M1688" s="42" t="str">
        <f>IFERROR(__xludf.DUMMYFUNCTION("""COMPUTED_VALUE"""),"[SR]")</f>
        <v>[SR]</v>
      </c>
      <c r="N1688" s="42" t="str">
        <f>IFERROR(__xludf.DUMMYFUNCTION("""COMPUTED_VALUE"""),"Zatch's 4th spell. ""If Zagurzem were shot at four equidistant points... how would the current move?"" / ""The attack was split into four directions! No way... No way... NO WAAAAY!""")</f>
        <v>Zatch's 4th spell. "If Zagurzem were shot at four equidistant points... how would the current move?" / "The attack was split into four directions! No way... No way... NO WAAAAY!"</v>
      </c>
      <c r="O1688" s="42"/>
      <c r="P1688" s="42"/>
      <c r="Q1688" s="42"/>
      <c r="R1688" s="42"/>
      <c r="S1688" s="42"/>
      <c r="T1688" s="42"/>
      <c r="U1688" s="42"/>
      <c r="V1688" s="42"/>
      <c r="W1688" s="42"/>
      <c r="X1688" s="42"/>
      <c r="Y1688" s="42"/>
      <c r="Z1688" s="42"/>
    </row>
    <row r="1689">
      <c r="A1689" s="42" t="str">
        <f>IFERROR(__xludf.DUMMYFUNCTION("""COMPUTED_VALUE"""),"S-558")</f>
        <v>S-558</v>
      </c>
      <c r="B1689" s="42" t="str">
        <f>IFERROR(__xludf.DUMMYFUNCTION("""COMPUTED_VALUE"""),"Spell")</f>
        <v>Spell</v>
      </c>
      <c r="C1689" s="42" t="str">
        <f>IFERROR(__xludf.DUMMYFUNCTION("""COMPUTED_VALUE"""),"Rauzaruk")</f>
        <v>Rauzaruk</v>
      </c>
      <c r="D1689" s="42" t="str">
        <f>IFERROR(__xludf.DUMMYFUNCTION("""COMPUTED_VALUE"""),"Zatch Bell")</f>
        <v>Zatch Bell</v>
      </c>
      <c r="E1689" s="42">
        <f>IFERROR(__xludf.DUMMYFUNCTION("""COMPUTED_VALUE"""),1.0)</f>
        <v>1</v>
      </c>
      <c r="F1689" s="42" t="str">
        <f>IFERROR(__xludf.DUMMYFUNCTION("""COMPUTED_VALUE"""),"A")</f>
        <v>A</v>
      </c>
      <c r="G1689" s="42" t="str">
        <f>IFERROR(__xludf.DUMMYFUNCTION("""COMPUTED_VALUE"""),"None")</f>
        <v>None</v>
      </c>
      <c r="H1689" s="42" t="str">
        <f>IFERROR(__xludf.DUMMYFUNCTION("""COMPUTED_VALUE"""),"Thunder")</f>
        <v>Thunder</v>
      </c>
      <c r="I1689" s="43" t="str">
        <f>IFERROR(__xludf.DUMMYFUNCTION("""COMPUTED_VALUE"""),"Select 1 Zatch Bell (Rauzaruk State) MAMODO card from any page of your Spell Book and place it on a Zatch Bell MAMODO card.")</f>
        <v>Select 1 Zatch Bell (Rauzaruk State) MAMODO card from any page of your Spell Book and place it on a Zatch Bell MAMODO card.</v>
      </c>
      <c r="J1689" s="42" t="str">
        <f>IFERROR(__xludf.DUMMYFUNCTION("""COMPUTED_VALUE"""),"-")</f>
        <v>-</v>
      </c>
      <c r="K1689" s="42" t="str">
        <f>IFERROR(__xludf.DUMMYFUNCTION("""COMPUTED_VALUE"""),"-")</f>
        <v>-</v>
      </c>
      <c r="L1689" s="42" t="str">
        <f>IFERROR(__xludf.DUMMYFUNCTION("""COMPUTED_VALUE"""),"-")</f>
        <v>-</v>
      </c>
      <c r="M1689" s="42" t="str">
        <f>IFERROR(__xludf.DUMMYFUNCTION("""COMPUTED_VALUE"""),"[U]")</f>
        <v>[U]</v>
      </c>
      <c r="N1689" s="42" t="str">
        <f>IFERROR(__xludf.DUMMYFUNCTION("""COMPUTED_VALUE"""),"Zatch's 6th spell. ""Zatch! Aim at his legs! Get in between his legs and attack him from below!""")</f>
        <v>Zatch's 6th spell. "Zatch! Aim at his legs! Get in between his legs and attack him from below!"</v>
      </c>
      <c r="O1689" s="42"/>
      <c r="P1689" s="42"/>
      <c r="Q1689" s="42"/>
      <c r="R1689" s="42"/>
      <c r="S1689" s="42"/>
      <c r="T1689" s="42"/>
      <c r="U1689" s="42"/>
      <c r="V1689" s="42"/>
      <c r="W1689" s="42"/>
      <c r="X1689" s="42"/>
      <c r="Y1689" s="42"/>
      <c r="Z1689" s="42"/>
    </row>
    <row r="1690">
      <c r="A1690" s="42" t="str">
        <f>IFERROR(__xludf.DUMMYFUNCTION("""COMPUTED_VALUE"""),"S-559")</f>
        <v>S-559</v>
      </c>
      <c r="B1690" s="42" t="str">
        <f>IFERROR(__xludf.DUMMYFUNCTION("""COMPUTED_VALUE"""),"Spell")</f>
        <v>Spell</v>
      </c>
      <c r="C1690" s="42" t="str">
        <f>IFERROR(__xludf.DUMMYFUNCTION("""COMPUTED_VALUE"""),"Zagurzem")</f>
        <v>Zagurzem</v>
      </c>
      <c r="D1690" s="42" t="str">
        <f>IFERROR(__xludf.DUMMYFUNCTION("""COMPUTED_VALUE"""),"Zatch Bell")</f>
        <v>Zatch Bell</v>
      </c>
      <c r="E1690" s="42">
        <f>IFERROR(__xludf.DUMMYFUNCTION("""COMPUTED_VALUE"""),1.0)</f>
        <v>1</v>
      </c>
      <c r="F1690" s="42" t="str">
        <f>IFERROR(__xludf.DUMMYFUNCTION("""COMPUTED_VALUE"""),"A")</f>
        <v>A</v>
      </c>
      <c r="G1690" s="42" t="str">
        <f>IFERROR(__xludf.DUMMYFUNCTION("""COMPUTED_VALUE"""),"Intermediate")</f>
        <v>Intermediate</v>
      </c>
      <c r="H1690" s="42" t="str">
        <f>IFERROR(__xludf.DUMMYFUNCTION("""COMPUTED_VALUE"""),"Thunder")</f>
        <v>Thunder</v>
      </c>
      <c r="I1690" s="43" t="str">
        <f>IFERROR(__xludf.DUMMYFUNCTION("""COMPUTED_VALUE"""),"This SPELL card can be played up to 3 times per turn (per player). [STANDBY] Add 1000 Power to the next SPELL card you play with Zatch Bell as its MAMODO name during the next Battle this turn (this effect can be duplicated).")</f>
        <v>This SPELL card can be played up to 3 times per turn (per player). [STANDBY] Add 1000 Power to the next SPELL card you play with Zatch Bell as its MAMODO name during the next Battle this turn (this effect can be duplicated).</v>
      </c>
      <c r="J1690" s="42" t="str">
        <f>IFERROR(__xludf.DUMMYFUNCTION("""COMPUTED_VALUE"""),"-")</f>
        <v>-</v>
      </c>
      <c r="K1690" s="42" t="str">
        <f>IFERROR(__xludf.DUMMYFUNCTION("""COMPUTED_VALUE"""),"-")</f>
        <v>-</v>
      </c>
      <c r="L1690" s="42" t="str">
        <f>IFERROR(__xludf.DUMMYFUNCTION("""COMPUTED_VALUE"""),"-")</f>
        <v>-</v>
      </c>
      <c r="M1690" s="42" t="str">
        <f>IFERROR(__xludf.DUMMYFUNCTION("""COMPUTED_VALUE"""),"[R]")</f>
        <v>[R]</v>
      </c>
      <c r="N1690" s="42" t="str">
        <f>IFERROR(__xludf.DUMMYFUNCTION("""COMPUTED_VALUE"""),"Zatch's 7th spell. ""He's been shooting Zagurzem, the spell that makes their electric attacks stronger. He's got something in mind!""")</f>
        <v>Zatch's 7th spell. "He's been shooting Zagurzem, the spell that makes their electric attacks stronger. He's got something in mind!"</v>
      </c>
      <c r="O1690" s="42"/>
      <c r="P1690" s="42"/>
      <c r="Q1690" s="42"/>
      <c r="R1690" s="42"/>
      <c r="S1690" s="42"/>
      <c r="T1690" s="42"/>
      <c r="U1690" s="42"/>
      <c r="V1690" s="42"/>
      <c r="W1690" s="42"/>
      <c r="X1690" s="42"/>
      <c r="Y1690" s="42"/>
      <c r="Z1690" s="42"/>
    </row>
    <row r="1691">
      <c r="A1691" s="42" t="str">
        <f>IFERROR(__xludf.DUMMYFUNCTION("""COMPUTED_VALUE"""),"S-560")</f>
        <v>S-560</v>
      </c>
      <c r="B1691" s="42" t="str">
        <f>IFERROR(__xludf.DUMMYFUNCTION("""COMPUTED_VALUE"""),"Spell")</f>
        <v>Spell</v>
      </c>
      <c r="C1691" s="42" t="str">
        <f>IFERROR(__xludf.DUMMYFUNCTION("""COMPUTED_VALUE"""),"Fanon")</f>
        <v>Fanon</v>
      </c>
      <c r="D1691" s="42" t="str">
        <f>IFERROR(__xludf.DUMMYFUNCTION("""COMPUTED_VALUE"""),"Riou")</f>
        <v>Riou</v>
      </c>
      <c r="E1691" s="42">
        <f>IFERROR(__xludf.DUMMYFUNCTION("""COMPUTED_VALUE"""),1.0)</f>
        <v>1</v>
      </c>
      <c r="F1691" s="42" t="str">
        <f>IFERROR(__xludf.DUMMYFUNCTION("""COMPUTED_VALUE"""),"AD")</f>
        <v>AD</v>
      </c>
      <c r="G1691" s="42" t="str">
        <f>IFERROR(__xludf.DUMMYFUNCTION("""COMPUTED_VALUE"""),"None")</f>
        <v>None</v>
      </c>
      <c r="H1691" s="42" t="str">
        <f>IFERROR(__xludf.DUMMYFUNCTION("""COMPUTED_VALUE"""),"-")</f>
        <v>-</v>
      </c>
      <c r="I1691" s="43" t="str">
        <f>IFERROR(__xludf.DUMMYFUNCTION("""COMPUTED_VALUE"""),"Damage your opponent's Spell Book when you win the Battle as an Attacker.")</f>
        <v>Damage your opponent's Spell Book when you win the Battle as an Attacker.</v>
      </c>
      <c r="J1691" s="42" t="str">
        <f>IFERROR(__xludf.DUMMYFUNCTION("""COMPUTED_VALUE"""),"+2000")</f>
        <v>+2000</v>
      </c>
      <c r="K1691" s="42">
        <f>IFERROR(__xludf.DUMMYFUNCTION("""COMPUTED_VALUE"""),1.0)</f>
        <v>1</v>
      </c>
      <c r="L1691" s="42" t="str">
        <f>IFERROR(__xludf.DUMMYFUNCTION("""COMPUTED_VALUE"""),"-")</f>
        <v>-</v>
      </c>
      <c r="M1691" s="42" t="str">
        <f>IFERROR(__xludf.DUMMYFUNCTION("""COMPUTED_VALUE"""),"[C]")</f>
        <v>[C]</v>
      </c>
      <c r="N1691" s="42" t="str">
        <f>IFERROR(__xludf.DUMMYFUNCTION("""COMPUTED_VALUE"""),"Riou's 1st spell. ""I'll throw him into oblivion piece by piece!""")</f>
        <v>Riou's 1st spell. "I'll throw him into oblivion piece by piece!"</v>
      </c>
      <c r="O1691" s="42"/>
      <c r="P1691" s="42"/>
      <c r="Q1691" s="42"/>
      <c r="R1691" s="42"/>
      <c r="S1691" s="42"/>
      <c r="T1691" s="42"/>
      <c r="U1691" s="42"/>
      <c r="V1691" s="42"/>
      <c r="W1691" s="42"/>
      <c r="X1691" s="42"/>
      <c r="Y1691" s="42"/>
      <c r="Z1691" s="42"/>
    </row>
    <row r="1692">
      <c r="A1692" s="42" t="str">
        <f>IFERROR(__xludf.DUMMYFUNCTION("""COMPUTED_VALUE"""),"S-561")</f>
        <v>S-561</v>
      </c>
      <c r="B1692" s="42" t="str">
        <f>IFERROR(__xludf.DUMMYFUNCTION("""COMPUTED_VALUE"""),"Spell")</f>
        <v>Spell</v>
      </c>
      <c r="C1692" s="42" t="str">
        <f>IFERROR(__xludf.DUMMYFUNCTION("""COMPUTED_VALUE"""),"Fanon Doron")</f>
        <v>Fanon Doron</v>
      </c>
      <c r="D1692" s="42" t="str">
        <f>IFERROR(__xludf.DUMMYFUNCTION("""COMPUTED_VALUE"""),"Riou")</f>
        <v>Riou</v>
      </c>
      <c r="E1692" s="42">
        <f>IFERROR(__xludf.DUMMYFUNCTION("""COMPUTED_VALUE"""),2.0)</f>
        <v>2</v>
      </c>
      <c r="F1692" s="42" t="str">
        <f>IFERROR(__xludf.DUMMYFUNCTION("""COMPUTED_VALUE"""),"A")</f>
        <v>A</v>
      </c>
      <c r="G1692" s="42" t="str">
        <f>IFERROR(__xludf.DUMMYFUNCTION("""COMPUTED_VALUE"""),"None")</f>
        <v>None</v>
      </c>
      <c r="H1692" s="42" t="str">
        <f>IFERROR(__xludf.DUMMYFUNCTION("""COMPUTED_VALUE"""),"-")</f>
        <v>-</v>
      </c>
      <c r="I1692" s="43" t="str">
        <f>IFERROR(__xludf.DUMMYFUNCTION("""COMPUTED_VALUE"""),"Send 1 of your opponent's in-play PARTNER cards with [In Play] to the Discard Pile.")</f>
        <v>Send 1 of your opponent's in-play PARTNER cards with [In Play] to the Discard Pile.</v>
      </c>
      <c r="J1692" s="42" t="str">
        <f>IFERROR(__xludf.DUMMYFUNCTION("""COMPUTED_VALUE"""),"-")</f>
        <v>-</v>
      </c>
      <c r="K1692" s="42" t="str">
        <f>IFERROR(__xludf.DUMMYFUNCTION("""COMPUTED_VALUE"""),"-")</f>
        <v>-</v>
      </c>
      <c r="L1692" s="42" t="str">
        <f>IFERROR(__xludf.DUMMYFUNCTION("""COMPUTED_VALUE"""),"-")</f>
        <v>-</v>
      </c>
      <c r="M1692" s="42" t="str">
        <f>IFERROR(__xludf.DUMMYFUNCTION("""COMPUTED_VALUE"""),"[C]")</f>
        <v>[C]</v>
      </c>
      <c r="N1692" s="42" t="str">
        <f>IFERROR(__xludf.DUMMYFUNCTION("""COMPUTED_VALUE"""),"Riou's 2nd spell. It manipulates the head of a large beast to entangle Kiyo within its mane and drag him away.")</f>
        <v>Riou's 2nd spell. It manipulates the head of a large beast to entangle Kiyo within its mane and drag him away.</v>
      </c>
      <c r="O1692" s="42"/>
      <c r="P1692" s="42"/>
      <c r="Q1692" s="42"/>
      <c r="R1692" s="42"/>
      <c r="S1692" s="42"/>
      <c r="T1692" s="42"/>
      <c r="U1692" s="42"/>
      <c r="V1692" s="42"/>
      <c r="W1692" s="42"/>
      <c r="X1692" s="42"/>
      <c r="Y1692" s="42"/>
      <c r="Z1692" s="42"/>
    </row>
    <row r="1693">
      <c r="A1693" s="42" t="str">
        <f>IFERROR(__xludf.DUMMYFUNCTION("""COMPUTED_VALUE"""),"S-562")</f>
        <v>S-562</v>
      </c>
      <c r="B1693" s="42" t="str">
        <f>IFERROR(__xludf.DUMMYFUNCTION("""COMPUTED_VALUE"""),"Spell")</f>
        <v>Spell</v>
      </c>
      <c r="C1693" s="42" t="str">
        <f>IFERROR(__xludf.DUMMYFUNCTION("""COMPUTED_VALUE"""),"Garfanon")</f>
        <v>Garfanon</v>
      </c>
      <c r="D1693" s="42" t="str">
        <f>IFERROR(__xludf.DUMMYFUNCTION("""COMPUTED_VALUE"""),"Riou")</f>
        <v>Riou</v>
      </c>
      <c r="E1693" s="42">
        <f>IFERROR(__xludf.DUMMYFUNCTION("""COMPUTED_VALUE"""),2.0)</f>
        <v>2</v>
      </c>
      <c r="F1693" s="42" t="str">
        <f>IFERROR(__xludf.DUMMYFUNCTION("""COMPUTED_VALUE"""),"AD")</f>
        <v>AD</v>
      </c>
      <c r="G1693" s="42" t="str">
        <f>IFERROR(__xludf.DUMMYFUNCTION("""COMPUTED_VALUE"""),"None")</f>
        <v>None</v>
      </c>
      <c r="H1693" s="42" t="str">
        <f>IFERROR(__xludf.DUMMYFUNCTION("""COMPUTED_VALUE"""),"-")</f>
        <v>-</v>
      </c>
      <c r="I1693" s="43" t="str">
        <f>IFERROR(__xludf.DUMMYFUNCTION("""COMPUTED_VALUE"""),"Damage your opponent's Spell Book when you win the Battle as an Attacker. When used for Attacking, add 2000 Power to this SPELL card.")</f>
        <v>Damage your opponent's Spell Book when you win the Battle as an Attacker. When used for Attacking, add 2000 Power to this SPELL card.</v>
      </c>
      <c r="J1693" s="42" t="str">
        <f>IFERROR(__xludf.DUMMYFUNCTION("""COMPUTED_VALUE"""),"+2000")</f>
        <v>+2000</v>
      </c>
      <c r="K1693" s="42">
        <f>IFERROR(__xludf.DUMMYFUNCTION("""COMPUTED_VALUE"""),2.0)</f>
        <v>2</v>
      </c>
      <c r="L1693" s="42" t="str">
        <f>IFERROR(__xludf.DUMMYFUNCTION("""COMPUTED_VALUE"""),"-")</f>
        <v>-</v>
      </c>
      <c r="M1693" s="42" t="str">
        <f>IFERROR(__xludf.DUMMYFUNCTION("""COMPUTED_VALUE"""),"[C]")</f>
        <v>[C]</v>
      </c>
      <c r="N1693" s="42" t="str">
        <f>IFERROR(__xludf.DUMMYFUNCTION("""COMPUTED_VALUE"""),"Riou's 2nd spell. A spinning beast closes in on Kiyo with its mouth wide open.")</f>
        <v>Riou's 2nd spell. A spinning beast closes in on Kiyo with its mouth wide open.</v>
      </c>
      <c r="O1693" s="42"/>
      <c r="P1693" s="42"/>
      <c r="Q1693" s="42"/>
      <c r="R1693" s="42"/>
      <c r="S1693" s="42"/>
      <c r="T1693" s="42"/>
      <c r="U1693" s="42"/>
      <c r="V1693" s="42"/>
      <c r="W1693" s="42"/>
      <c r="X1693" s="42"/>
      <c r="Y1693" s="42"/>
      <c r="Z1693" s="42"/>
    </row>
    <row r="1694">
      <c r="A1694" s="42" t="str">
        <f>IFERROR(__xludf.DUMMYFUNCTION("""COMPUTED_VALUE"""),"S-563")</f>
        <v>S-563</v>
      </c>
      <c r="B1694" s="42" t="str">
        <f>IFERROR(__xludf.DUMMYFUNCTION("""COMPUTED_VALUE"""),"Spell")</f>
        <v>Spell</v>
      </c>
      <c r="C1694" s="42" t="str">
        <f>IFERROR(__xludf.DUMMYFUNCTION("""COMPUTED_VALUE"""),"Gofanon")</f>
        <v>Gofanon</v>
      </c>
      <c r="D1694" s="42" t="str">
        <f>IFERROR(__xludf.DUMMYFUNCTION("""COMPUTED_VALUE"""),"Riou")</f>
        <v>Riou</v>
      </c>
      <c r="E1694" s="42">
        <f>IFERROR(__xludf.DUMMYFUNCTION("""COMPUTED_VALUE"""),2.0)</f>
        <v>2</v>
      </c>
      <c r="F1694" s="42" t="str">
        <f>IFERROR(__xludf.DUMMYFUNCTION("""COMPUTED_VALUE"""),"A")</f>
        <v>A</v>
      </c>
      <c r="G1694" s="42" t="str">
        <f>IFERROR(__xludf.DUMMYFUNCTION("""COMPUTED_VALUE"""),"None")</f>
        <v>None</v>
      </c>
      <c r="H1694" s="42" t="str">
        <f>IFERROR(__xludf.DUMMYFUNCTION("""COMPUTED_VALUE"""),"-")</f>
        <v>-</v>
      </c>
      <c r="I1694" s="43" t="str">
        <f>IFERROR(__xludf.DUMMYFUNCTION("""COMPUTED_VALUE"""),"Damage your opponent's Spell Book when you win the Battle as an Attacker. Any MAMODO cards Injured by this SPELL card are sent to the Discard Pile.")</f>
        <v>Damage your opponent's Spell Book when you win the Battle as an Attacker. Any MAMODO cards Injured by this SPELL card are sent to the Discard Pile.</v>
      </c>
      <c r="J1694" s="42" t="str">
        <f>IFERROR(__xludf.DUMMYFUNCTION("""COMPUTED_VALUE"""),"+2000")</f>
        <v>+2000</v>
      </c>
      <c r="K1694" s="42">
        <f>IFERROR(__xludf.DUMMYFUNCTION("""COMPUTED_VALUE"""),2.0)</f>
        <v>2</v>
      </c>
      <c r="L1694" s="42" t="str">
        <f>IFERROR(__xludf.DUMMYFUNCTION("""COMPUTED_VALUE"""),"-")</f>
        <v>-</v>
      </c>
      <c r="M1694" s="42" t="str">
        <f>IFERROR(__xludf.DUMMYFUNCTION("""COMPUTED_VALUE"""),"[U]")</f>
        <v>[U]</v>
      </c>
      <c r="N1694" s="42" t="str">
        <f>IFERROR(__xludf.DUMMYFUNCTION("""COMPUTED_VALUE"""),"Riou's 4th spell. A vicious, shelled monster emerges from the mouth in Riou's stomach.")</f>
        <v>Riou's 4th spell. A vicious, shelled monster emerges from the mouth in Riou's stomach.</v>
      </c>
      <c r="O1694" s="42"/>
      <c r="P1694" s="42"/>
      <c r="Q1694" s="42"/>
      <c r="R1694" s="42"/>
      <c r="S1694" s="42"/>
      <c r="T1694" s="42"/>
      <c r="U1694" s="42"/>
      <c r="V1694" s="42"/>
      <c r="W1694" s="42"/>
      <c r="X1694" s="42"/>
      <c r="Y1694" s="42"/>
      <c r="Z1694" s="42"/>
    </row>
    <row r="1695">
      <c r="A1695" s="42" t="str">
        <f>IFERROR(__xludf.DUMMYFUNCTION("""COMPUTED_VALUE"""),"S-564")</f>
        <v>S-564</v>
      </c>
      <c r="B1695" s="42" t="str">
        <f>IFERROR(__xludf.DUMMYFUNCTION("""COMPUTED_VALUE"""),"Spell")</f>
        <v>Spell</v>
      </c>
      <c r="C1695" s="42" t="str">
        <f>IFERROR(__xludf.DUMMYFUNCTION("""COMPUTED_VALUE"""),"Gurga Dorufanon")</f>
        <v>Gurga Dorufanon</v>
      </c>
      <c r="D1695" s="42" t="str">
        <f>IFERROR(__xludf.DUMMYFUNCTION("""COMPUTED_VALUE"""),"Riou")</f>
        <v>Riou</v>
      </c>
      <c r="E1695" s="42">
        <f>IFERROR(__xludf.DUMMYFUNCTION("""COMPUTED_VALUE"""),2.0)</f>
        <v>2</v>
      </c>
      <c r="F1695" s="42" t="str">
        <f>IFERROR(__xludf.DUMMYFUNCTION("""COMPUTED_VALUE"""),"A")</f>
        <v>A</v>
      </c>
      <c r="G1695" s="42" t="str">
        <f>IFERROR(__xludf.DUMMYFUNCTION("""COMPUTED_VALUE"""),"None")</f>
        <v>None</v>
      </c>
      <c r="H1695" s="42" t="str">
        <f>IFERROR(__xludf.DUMMYFUNCTION("""COMPUTED_VALUE"""),"-")</f>
        <v>-</v>
      </c>
      <c r="I1695" s="43" t="str">
        <f>IFERROR(__xludf.DUMMYFUNCTION("""COMPUTED_VALUE"""),"Damage your opponent's Spell Book when you win the Battle as an Attacker. If you already Attacked during this turn, your opponent can neither SACRIFICE nor PROTECT their Spell Book from this SPELL card's Damage.")</f>
        <v>Damage your opponent's Spell Book when you win the Battle as an Attacker. If you already Attacked during this turn, your opponent can neither SACRIFICE nor PROTECT their Spell Book from this SPELL card's Damage.</v>
      </c>
      <c r="J1695" s="42" t="str">
        <f>IFERROR(__xludf.DUMMYFUNCTION("""COMPUTED_VALUE"""),"+2000")</f>
        <v>+2000</v>
      </c>
      <c r="K1695" s="42">
        <f>IFERROR(__xludf.DUMMYFUNCTION("""COMPUTED_VALUE"""),2.0)</f>
        <v>2</v>
      </c>
      <c r="L1695" s="42" t="str">
        <f>IFERROR(__xludf.DUMMYFUNCTION("""COMPUTED_VALUE"""),"-")</f>
        <v>-</v>
      </c>
      <c r="M1695" s="42" t="str">
        <f>IFERROR(__xludf.DUMMYFUNCTION("""COMPUTED_VALUE"""),"[U]")</f>
        <v>[U]</v>
      </c>
      <c r="N1695" s="42" t="str">
        <f>IFERROR(__xludf.DUMMYFUNCTION("""COMPUTED_VALUE"""),"Riou's 5th spell. ""Ha ha ha ha! Come on, Banikis! Let's finish them off!""")</f>
        <v>Riou's 5th spell. "Ha ha ha ha! Come on, Banikis! Let's finish them off!"</v>
      </c>
      <c r="O1695" s="42"/>
      <c r="P1695" s="42"/>
      <c r="Q1695" s="42"/>
      <c r="R1695" s="42"/>
      <c r="S1695" s="42"/>
      <c r="T1695" s="42"/>
      <c r="U1695" s="42"/>
      <c r="V1695" s="42"/>
      <c r="W1695" s="42"/>
      <c r="X1695" s="42"/>
      <c r="Y1695" s="42"/>
      <c r="Z1695" s="42"/>
    </row>
    <row r="1696">
      <c r="A1696" s="42" t="str">
        <f>IFERROR(__xludf.DUMMYFUNCTION("""COMPUTED_VALUE"""),"S-565")</f>
        <v>S-565</v>
      </c>
      <c r="B1696" s="42" t="str">
        <f>IFERROR(__xludf.DUMMYFUNCTION("""COMPUTED_VALUE"""),"Spell")</f>
        <v>Spell</v>
      </c>
      <c r="C1696" s="42" t="str">
        <f>IFERROR(__xludf.DUMMYFUNCTION("""COMPUTED_VALUE"""),"Argas Fanon")</f>
        <v>Argas Fanon</v>
      </c>
      <c r="D1696" s="42" t="str">
        <f>IFERROR(__xludf.DUMMYFUNCTION("""COMPUTED_VALUE"""),"Riou")</f>
        <v>Riou</v>
      </c>
      <c r="E1696" s="42">
        <f>IFERROR(__xludf.DUMMYFUNCTION("""COMPUTED_VALUE"""),1.0)</f>
        <v>1</v>
      </c>
      <c r="F1696" s="42" t="str">
        <f>IFERROR(__xludf.DUMMYFUNCTION("""COMPUTED_VALUE"""),"D")</f>
        <v>D</v>
      </c>
      <c r="G1696" s="42" t="str">
        <f>IFERROR(__xludf.DUMMYFUNCTION("""COMPUTED_VALUE"""),"None")</f>
        <v>None</v>
      </c>
      <c r="H1696" s="42" t="str">
        <f>IFERROR(__xludf.DUMMYFUNCTION("""COMPUTED_VALUE"""),"-")</f>
        <v>-</v>
      </c>
      <c r="I1696" s="43" t="str">
        <f>IFERROR(__xludf.DUMMYFUNCTION("""COMPUTED_VALUE"""),"Negate your opponent's Attack when you win the Battle as a Defender.")</f>
        <v>Negate your opponent's Attack when you win the Battle as a Defender.</v>
      </c>
      <c r="J1696" s="42" t="str">
        <f>IFERROR(__xludf.DUMMYFUNCTION("""COMPUTED_VALUE"""),"+5000")</f>
        <v>+5000</v>
      </c>
      <c r="K1696" s="42" t="str">
        <f>IFERROR(__xludf.DUMMYFUNCTION("""COMPUTED_VALUE"""),"-")</f>
        <v>-</v>
      </c>
      <c r="L1696" s="42" t="str">
        <f>IFERROR(__xludf.DUMMYFUNCTION("""COMPUTED_VALUE"""),"-")</f>
        <v>-</v>
      </c>
      <c r="M1696" s="42" t="str">
        <f>IFERROR(__xludf.DUMMYFUNCTION("""COMPUTED_VALUE"""),"[C]")</f>
        <v>[C]</v>
      </c>
      <c r="N1696" s="42" t="str">
        <f>IFERROR(__xludf.DUMMYFUNCTION("""COMPUTED_VALUE"""),"Riou's 6th spell. ""In spite of all your efforts... you still can't break my shield, can you?""")</f>
        <v>Riou's 6th spell. "In spite of all your efforts... you still can't break my shield, can you?"</v>
      </c>
      <c r="O1696" s="42"/>
      <c r="P1696" s="42"/>
      <c r="Q1696" s="42"/>
      <c r="R1696" s="42"/>
      <c r="S1696" s="42"/>
      <c r="T1696" s="42"/>
      <c r="U1696" s="42"/>
      <c r="V1696" s="42"/>
      <c r="W1696" s="42"/>
      <c r="X1696" s="42"/>
      <c r="Y1696" s="42"/>
      <c r="Z1696" s="42"/>
    </row>
    <row r="1697">
      <c r="A1697" s="42" t="str">
        <f>IFERROR(__xludf.DUMMYFUNCTION("""COMPUTED_VALUE"""),"S-566")</f>
        <v>S-566</v>
      </c>
      <c r="B1697" s="42" t="str">
        <f>IFERROR(__xludf.DUMMYFUNCTION("""COMPUTED_VALUE"""),"Spell")</f>
        <v>Spell</v>
      </c>
      <c r="C1697" s="42" t="str">
        <f>IFERROR(__xludf.DUMMYFUNCTION("""COMPUTED_VALUE"""),"Vargas Farlon")</f>
        <v>Vargas Farlon</v>
      </c>
      <c r="D1697" s="42" t="str">
        <f>IFERROR(__xludf.DUMMYFUNCTION("""COMPUTED_VALUE"""),"Riou")</f>
        <v>Riou</v>
      </c>
      <c r="E1697" s="42">
        <f>IFERROR(__xludf.DUMMYFUNCTION("""COMPUTED_VALUE"""),3.0)</f>
        <v>3</v>
      </c>
      <c r="F1697" s="42" t="str">
        <f>IFERROR(__xludf.DUMMYFUNCTION("""COMPUTED_VALUE"""),"A")</f>
        <v>A</v>
      </c>
      <c r="G1697" s="42" t="str">
        <f>IFERROR(__xludf.DUMMYFUNCTION("""COMPUTED_VALUE"""),"Intermediate")</f>
        <v>Intermediate</v>
      </c>
      <c r="H1697" s="42" t="str">
        <f>IFERROR(__xludf.DUMMYFUNCTION("""COMPUTED_VALUE"""),"-")</f>
        <v>-</v>
      </c>
      <c r="I1697" s="43" t="str">
        <f>IFERROR(__xludf.DUMMYFUNCTION("""COMPUTED_VALUE"""),"Flip a coin 3 times when you win the Batte as an Attacker; select as many of your opponent's in-play cards as you desire (except MAMODO cards) up to the number of heads you get and send them to the Discard Pile.")</f>
        <v>Flip a coin 3 times when you win the Batte as an Attacker; select as many of your opponent's in-play cards as you desire (except MAMODO cards) up to the number of heads you get and send them to the Discard Pile.</v>
      </c>
      <c r="J1697" s="42" t="str">
        <f>IFERROR(__xludf.DUMMYFUNCTION("""COMPUTED_VALUE"""),"+3000")</f>
        <v>+3000</v>
      </c>
      <c r="K1697" s="42" t="str">
        <f>IFERROR(__xludf.DUMMYFUNCTION("""COMPUTED_VALUE"""),"-")</f>
        <v>-</v>
      </c>
      <c r="L1697" s="42" t="str">
        <f>IFERROR(__xludf.DUMMYFUNCTION("""COMPUTED_VALUE"""),"-")</f>
        <v>-</v>
      </c>
      <c r="M1697" s="42" t="str">
        <f>IFERROR(__xludf.DUMMYFUNCTION("""COMPUTED_VALUE"""),"[C]")</f>
        <v>[C]</v>
      </c>
      <c r="N1697" s="42" t="str">
        <f>IFERROR(__xludf.DUMMYFUNCTION("""COMPUTED_VALUE"""),"Riou's 7th spell. ""It's coming from all sides!""")</f>
        <v>Riou's 7th spell. "It's coming from all sides!"</v>
      </c>
      <c r="O1697" s="42"/>
      <c r="P1697" s="42"/>
      <c r="Q1697" s="42"/>
      <c r="R1697" s="42"/>
      <c r="S1697" s="42"/>
      <c r="T1697" s="42"/>
      <c r="U1697" s="42"/>
      <c r="V1697" s="42"/>
      <c r="W1697" s="42"/>
      <c r="X1697" s="42"/>
      <c r="Y1697" s="42"/>
      <c r="Z1697" s="42"/>
    </row>
    <row r="1698">
      <c r="A1698" s="42" t="str">
        <f>IFERROR(__xludf.DUMMYFUNCTION("""COMPUTED_VALUE"""),"S-567")</f>
        <v>S-567</v>
      </c>
      <c r="B1698" s="42" t="str">
        <f>IFERROR(__xludf.DUMMYFUNCTION("""COMPUTED_VALUE"""),"Spell")</f>
        <v>Spell</v>
      </c>
      <c r="C1698" s="42" t="str">
        <f>IFERROR(__xludf.DUMMYFUNCTION("""COMPUTED_VALUE"""),"Wigar Fanon")</f>
        <v>Wigar Fanon</v>
      </c>
      <c r="D1698" s="42" t="str">
        <f>IFERROR(__xludf.DUMMYFUNCTION("""COMPUTED_VALUE"""),"Riou")</f>
        <v>Riou</v>
      </c>
      <c r="E1698" s="42">
        <f>IFERROR(__xludf.DUMMYFUNCTION("""COMPUTED_VALUE"""),6.0)</f>
        <v>6</v>
      </c>
      <c r="F1698" s="42" t="str">
        <f>IFERROR(__xludf.DUMMYFUNCTION("""COMPUTED_VALUE"""),"A")</f>
        <v>A</v>
      </c>
      <c r="G1698" s="42" t="str">
        <f>IFERROR(__xludf.DUMMYFUNCTION("""COMPUTED_VALUE"""),"Intermediate")</f>
        <v>Intermediate</v>
      </c>
      <c r="H1698" s="42" t="str">
        <f>IFERROR(__xludf.DUMMYFUNCTION("""COMPUTED_VALUE"""),"-")</f>
        <v>-</v>
      </c>
      <c r="I1698" s="43" t="str">
        <f>IFERROR(__xludf.DUMMYFUNCTION("""COMPUTED_VALUE"""),"Damage your opponent's Spell Book and Injure 1 of your opponent's MAMODO cards when you win the Battle as an Attacker.")</f>
        <v>Damage your opponent's Spell Book and Injure 1 of your opponent's MAMODO cards when you win the Battle as an Attacker.</v>
      </c>
      <c r="J1698" s="42" t="str">
        <f>IFERROR(__xludf.DUMMYFUNCTION("""COMPUTED_VALUE"""),"+5000")</f>
        <v>+5000</v>
      </c>
      <c r="K1698" s="42">
        <f>IFERROR(__xludf.DUMMYFUNCTION("""COMPUTED_VALUE"""),3.0)</f>
        <v>3</v>
      </c>
      <c r="L1698" s="42" t="str">
        <f>IFERROR(__xludf.DUMMYFUNCTION("""COMPUTED_VALUE"""),"-")</f>
        <v>-</v>
      </c>
      <c r="M1698" s="42" t="str">
        <f>IFERROR(__xludf.DUMMYFUNCTION("""COMPUTED_VALUE"""),"[R]")</f>
        <v>[R]</v>
      </c>
      <c r="N1698" s="42" t="str">
        <f>IFERROR(__xludf.DUMMYFUNCTION("""COMPUTED_VALUE"""),"Riou's 8th spell. A circular energy wave impacts the ground with enough force to leave a smoldering crater.")</f>
        <v>Riou's 8th spell. A circular energy wave impacts the ground with enough force to leave a smoldering crater.</v>
      </c>
      <c r="O1698" s="42"/>
      <c r="P1698" s="42"/>
      <c r="Q1698" s="42"/>
      <c r="R1698" s="42"/>
      <c r="S1698" s="42"/>
      <c r="T1698" s="42"/>
      <c r="U1698" s="42"/>
      <c r="V1698" s="42"/>
      <c r="W1698" s="42"/>
      <c r="X1698" s="42"/>
      <c r="Y1698" s="42"/>
      <c r="Z1698" s="42"/>
    </row>
    <row r="1699">
      <c r="A1699" s="42" t="str">
        <f>IFERROR(__xludf.DUMMYFUNCTION("""COMPUTED_VALUE"""),"S-568")</f>
        <v>S-568</v>
      </c>
      <c r="B1699" s="42" t="str">
        <f>IFERROR(__xludf.DUMMYFUNCTION("""COMPUTED_VALUE"""),"Spell")</f>
        <v>Spell</v>
      </c>
      <c r="C1699" s="42" t="str">
        <f>IFERROR(__xludf.DUMMYFUNCTION("""COMPUTED_VALUE"""),"Don't Look Back")</f>
        <v>Don't Look Back</v>
      </c>
      <c r="D1699" s="42" t="str">
        <f>IFERROR(__xludf.DUMMYFUNCTION("""COMPUTED_VALUE"""),"All Mamodo")</f>
        <v>All Mamodo</v>
      </c>
      <c r="E1699" s="42">
        <f>IFERROR(__xludf.DUMMYFUNCTION("""COMPUTED_VALUE"""),0.0)</f>
        <v>0</v>
      </c>
      <c r="F1699" s="42" t="str">
        <f>IFERROR(__xludf.DUMMYFUNCTION("""COMPUTED_VALUE"""),"AD")</f>
        <v>AD</v>
      </c>
      <c r="G1699" s="42" t="str">
        <f>IFERROR(__xludf.DUMMYFUNCTION("""COMPUTED_VALUE"""),"None")</f>
        <v>None</v>
      </c>
      <c r="H1699" s="42" t="str">
        <f>IFERROR(__xludf.DUMMYFUNCTION("""COMPUTED_VALUE"""),"-")</f>
        <v>-</v>
      </c>
      <c r="I1699" s="43" t="str">
        <f>IFERROR(__xludf.DUMMYFUNCTION("""COMPUTED_VALUE"""),"Damage your opponent's Spell Book when you win the Battle as an Attacker. If you send the PARTNER card attached to the MAMODO card this SPELL card is played for to the Discard Pile, your opponent can neither SACRIFICE nor PROTECT their Spell Book from the"&amp;" Damage of this SPELL card.")</f>
        <v>Damage your opponent's Spell Book when you win the Battle as an Attacker. If you send the PARTNER card attached to the MAMODO card this SPELL card is played for to the Discard Pile, your opponent can neither SACRIFICE nor PROTECT their Spell Book from the Damage of this SPELL card.</v>
      </c>
      <c r="J1699" s="42" t="str">
        <f>IFERROR(__xludf.DUMMYFUNCTION("""COMPUTED_VALUE"""),"+1000")</f>
        <v>+1000</v>
      </c>
      <c r="K1699" s="42" t="str">
        <f>IFERROR(__xludf.DUMMYFUNCTION("""COMPUTED_VALUE"""),"-")</f>
        <v>-</v>
      </c>
      <c r="L1699" s="42" t="str">
        <f>IFERROR(__xludf.DUMMYFUNCTION("""COMPUTED_VALUE"""),"-")</f>
        <v>-</v>
      </c>
      <c r="M1699" s="42" t="str">
        <f>IFERROR(__xludf.DUMMYFUNCTION("""COMPUTED_VALUE"""),"[R]")</f>
        <v>[R]</v>
      </c>
      <c r="N1699" s="42" t="str">
        <f>IFERROR(__xludf.DUMMYFUNCTION("""COMPUTED_VALUE"""),"""We can't defeat Riou unless we let go of everything. We won't be able to...save Japan.""")</f>
        <v>"We can't defeat Riou unless we let go of everything. We won't be able to...save Japan."</v>
      </c>
      <c r="O1699" s="42"/>
      <c r="P1699" s="42"/>
      <c r="Q1699" s="42"/>
      <c r="R1699" s="42"/>
      <c r="S1699" s="42"/>
      <c r="T1699" s="42"/>
      <c r="U1699" s="42"/>
      <c r="V1699" s="42"/>
      <c r="W1699" s="42"/>
      <c r="X1699" s="42"/>
      <c r="Y1699" s="42"/>
      <c r="Z1699" s="42"/>
    </row>
    <row r="1700">
      <c r="A1700" s="42" t="str">
        <f>IFERROR(__xludf.DUMMYFUNCTION("""COMPUTED_VALUE"""),"S-569")</f>
        <v>S-569</v>
      </c>
      <c r="B1700" s="42" t="str">
        <f>IFERROR(__xludf.DUMMYFUNCTION("""COMPUTED_VALUE"""),"Spell")</f>
        <v>Spell</v>
      </c>
      <c r="C1700" s="42" t="str">
        <f>IFERROR(__xludf.DUMMYFUNCTION("""COMPUTED_VALUE"""),"Saifogeo")</f>
        <v>Saifogeo</v>
      </c>
      <c r="D1700" s="42" t="str">
        <f>IFERROR(__xludf.DUMMYFUNCTION("""COMPUTED_VALUE"""),"Tia")</f>
        <v>Tia</v>
      </c>
      <c r="E1700" s="42">
        <f>IFERROR(__xludf.DUMMYFUNCTION("""COMPUTED_VALUE"""),1.0)</f>
        <v>1</v>
      </c>
      <c r="F1700" s="42" t="str">
        <f>IFERROR(__xludf.DUMMYFUNCTION("""COMPUTED_VALUE"""),"A")</f>
        <v>A</v>
      </c>
      <c r="G1700" s="42" t="str">
        <f>IFERROR(__xludf.DUMMYFUNCTION("""COMPUTED_VALUE"""),"None")</f>
        <v>None</v>
      </c>
      <c r="H1700" s="42" t="str">
        <f>IFERROR(__xludf.DUMMYFUNCTION("""COMPUTED_VALUE"""),"-")</f>
        <v>-</v>
      </c>
      <c r="I1700" s="43" t="str">
        <f>IFERROR(__xludf.DUMMYFUNCTION("""COMPUTED_VALUE"""),"Get 4 MP.")</f>
        <v>Get 4 MP.</v>
      </c>
      <c r="J1700" s="42" t="str">
        <f>IFERROR(__xludf.DUMMYFUNCTION("""COMPUTED_VALUE"""),"-")</f>
        <v>-</v>
      </c>
      <c r="K1700" s="42" t="str">
        <f>IFERROR(__xludf.DUMMYFUNCTION("""COMPUTED_VALUE"""),"-")</f>
        <v>-</v>
      </c>
      <c r="L1700" s="42" t="str">
        <f>IFERROR(__xludf.DUMMYFUNCTION("""COMPUTED_VALUE"""),"-")</f>
        <v>-</v>
      </c>
      <c r="M1700" s="42" t="str">
        <f>IFERROR(__xludf.DUMMYFUNCTION("""COMPUTED_VALUE"""),"[S-5]")</f>
        <v>[S-5]</v>
      </c>
      <c r="N1700" s="42" t="str">
        <f>IFERROR(__xludf.DUMMYFUNCTION("""COMPUTED_VALUE"""),"Tia's 5th spell. ""Megumi, time for Saifogeo! I used up all my strength from within just now!""")</f>
        <v>Tia's 5th spell. "Megumi, time for Saifogeo! I used up all my strength from within just now!"</v>
      </c>
      <c r="O1700" s="42"/>
      <c r="P1700" s="42"/>
      <c r="Q1700" s="42"/>
      <c r="R1700" s="42"/>
      <c r="S1700" s="42"/>
      <c r="T1700" s="42"/>
      <c r="U1700" s="42"/>
      <c r="V1700" s="42"/>
      <c r="W1700" s="42"/>
      <c r="X1700" s="42"/>
      <c r="Y1700" s="42"/>
      <c r="Z1700" s="42"/>
    </row>
    <row r="1701">
      <c r="A1701" s="42" t="str">
        <f>IFERROR(__xludf.DUMMYFUNCTION("""COMPUTED_VALUE"""),"S-570")</f>
        <v>S-570</v>
      </c>
      <c r="B1701" s="42" t="str">
        <f>IFERROR(__xludf.DUMMYFUNCTION("""COMPUTED_VALUE"""),"Spell")</f>
        <v>Spell</v>
      </c>
      <c r="C1701" s="42" t="str">
        <f>IFERROR(__xludf.DUMMYFUNCTION("""COMPUTED_VALUE"""),"Redoruk")</f>
        <v>Redoruk</v>
      </c>
      <c r="D1701" s="42" t="str">
        <f>IFERROR(__xludf.DUMMYFUNCTION("""COMPUTED_VALUE"""),"Wonrei")</f>
        <v>Wonrei</v>
      </c>
      <c r="E1701" s="42">
        <f>IFERROR(__xludf.DUMMYFUNCTION("""COMPUTED_VALUE"""),1.0)</f>
        <v>1</v>
      </c>
      <c r="F1701" s="42" t="str">
        <f>IFERROR(__xludf.DUMMYFUNCTION("""COMPUTED_VALUE"""),"A")</f>
        <v>A</v>
      </c>
      <c r="G1701" s="42" t="str">
        <f>IFERROR(__xludf.DUMMYFUNCTION("""COMPUTED_VALUE"""),"None")</f>
        <v>None</v>
      </c>
      <c r="H1701" s="42" t="str">
        <f>IFERROR(__xludf.DUMMYFUNCTION("""COMPUTED_VALUE"""),"-")</f>
        <v>-</v>
      </c>
      <c r="I1701" s="43" t="str">
        <f>IFERROR(__xludf.DUMMYFUNCTION("""COMPUTED_VALUE"""),"[STANDBY] During the next Battle this turn when your Wonrei MAMODO card Attacks, your opponent can neither SACRIFICE nor PROTECT their Spell Book from Damage.")</f>
        <v>[STANDBY] During the next Battle this turn when your Wonrei MAMODO card Attacks, your opponent can neither SACRIFICE nor PROTECT their Spell Book from Damage.</v>
      </c>
      <c r="J1701" s="42" t="str">
        <f>IFERROR(__xludf.DUMMYFUNCTION("""COMPUTED_VALUE"""),"-")</f>
        <v>-</v>
      </c>
      <c r="K1701" s="42" t="str">
        <f>IFERROR(__xludf.DUMMYFUNCTION("""COMPUTED_VALUE"""),"-")</f>
        <v>-</v>
      </c>
      <c r="L1701" s="42" t="str">
        <f>IFERROR(__xludf.DUMMYFUNCTION("""COMPUTED_VALUE"""),"-")</f>
        <v>-</v>
      </c>
      <c r="M1701" s="42" t="str">
        <f>IFERROR(__xludf.DUMMYFUNCTION("""COMPUTED_VALUE"""),"[C]")</f>
        <v>[C]</v>
      </c>
      <c r="N1701" s="42" t="str">
        <f>IFERROR(__xludf.DUMMYFUNCTION("""COMPUTED_VALUE"""),"Wonrei's 3rd spell. It strengthens his legs, enabling him to move at high-speed.")</f>
        <v>Wonrei's 3rd spell. It strengthens his legs, enabling him to move at high-speed.</v>
      </c>
      <c r="O1701" s="42"/>
      <c r="P1701" s="42"/>
      <c r="Q1701" s="42"/>
      <c r="R1701" s="42"/>
      <c r="S1701" s="42"/>
      <c r="T1701" s="42"/>
      <c r="U1701" s="42"/>
      <c r="V1701" s="42"/>
      <c r="W1701" s="42"/>
      <c r="X1701" s="42"/>
      <c r="Y1701" s="42"/>
      <c r="Z1701" s="42"/>
    </row>
    <row r="1702">
      <c r="A1702" s="42" t="str">
        <f>IFERROR(__xludf.DUMMYFUNCTION("""COMPUTED_VALUE"""),"S-571")</f>
        <v>S-571</v>
      </c>
      <c r="B1702" s="42" t="str">
        <f>IFERROR(__xludf.DUMMYFUNCTION("""COMPUTED_VALUE"""),"Spell")</f>
        <v>Spell</v>
      </c>
      <c r="C1702" s="42" t="str">
        <f>IFERROR(__xludf.DUMMYFUNCTION("""COMPUTED_VALUE"""),"Go Boren")</f>
        <v>Go Boren</v>
      </c>
      <c r="D1702" s="42" t="str">
        <f>IFERROR(__xludf.DUMMYFUNCTION("""COMPUTED_VALUE"""),"Wonrei")</f>
        <v>Wonrei</v>
      </c>
      <c r="E1702" s="42">
        <f>IFERROR(__xludf.DUMMYFUNCTION("""COMPUTED_VALUE"""),3.0)</f>
        <v>3</v>
      </c>
      <c r="F1702" s="42" t="str">
        <f>IFERROR(__xludf.DUMMYFUNCTION("""COMPUTED_VALUE"""),"AD")</f>
        <v>AD</v>
      </c>
      <c r="G1702" s="42" t="str">
        <f>IFERROR(__xludf.DUMMYFUNCTION("""COMPUTED_VALUE"""),"Intermediate")</f>
        <v>Intermediate</v>
      </c>
      <c r="H1702" s="42" t="str">
        <f>IFERROR(__xludf.DUMMYFUNCTION("""COMPUTED_VALUE"""),"-")</f>
        <v>-</v>
      </c>
      <c r="I1702" s="43" t="str">
        <f>IFERROR(__xludf.DUMMYFUNCTION("""COMPUTED_VALUE"""),"Damage your opponent's Spell Book when you win the Battle as an Attacker. If you played a SPELL card during this turn with Wonrei as its MAMODO name that contains ""Go"" in its card name, the MP cost of this SPELL card is considered to be 1.")</f>
        <v>Damage your opponent's Spell Book when you win the Battle as an Attacker. If you played a SPELL card during this turn with Wonrei as its MAMODO name that contains "Go" in its card name, the MP cost of this SPELL card is considered to be 1.</v>
      </c>
      <c r="J1702" s="42" t="str">
        <f>IFERROR(__xludf.DUMMYFUNCTION("""COMPUTED_VALUE"""),"+4000")</f>
        <v>+4000</v>
      </c>
      <c r="K1702" s="42">
        <f>IFERROR(__xludf.DUMMYFUNCTION("""COMPUTED_VALUE"""),2.0)</f>
        <v>2</v>
      </c>
      <c r="L1702" s="42" t="str">
        <f>IFERROR(__xludf.DUMMYFUNCTION("""COMPUTED_VALUE"""),"-")</f>
        <v>-</v>
      </c>
      <c r="M1702" s="42" t="str">
        <f>IFERROR(__xludf.DUMMYFUNCTION("""COMPUTED_VALUE"""),"[C]")</f>
        <v>[C]</v>
      </c>
      <c r="N1702" s="42" t="str">
        <f>IFERROR(__xludf.DUMMYFUNCTION("""COMPUTED_VALUE"""),"Wonrei's 4th spell. ""Wonrei...if you fight, I'll fight with you.""")</f>
        <v>Wonrei's 4th spell. "Wonrei...if you fight, I'll fight with you."</v>
      </c>
      <c r="O1702" s="42"/>
      <c r="P1702" s="42"/>
      <c r="Q1702" s="42"/>
      <c r="R1702" s="42"/>
      <c r="S1702" s="42"/>
      <c r="T1702" s="42"/>
      <c r="U1702" s="42"/>
      <c r="V1702" s="42"/>
      <c r="W1702" s="42"/>
      <c r="X1702" s="42"/>
      <c r="Y1702" s="42"/>
      <c r="Z1702" s="42"/>
    </row>
    <row r="1703">
      <c r="A1703" s="42" t="str">
        <f>IFERROR(__xludf.DUMMYFUNCTION("""COMPUTED_VALUE"""),"S-572")</f>
        <v>S-572</v>
      </c>
      <c r="B1703" s="42" t="str">
        <f>IFERROR(__xludf.DUMMYFUNCTION("""COMPUTED_VALUE"""),"Spell")</f>
        <v>Spell</v>
      </c>
      <c r="C1703" s="42" t="str">
        <f>IFERROR(__xludf.DUMMYFUNCTION("""COMPUTED_VALUE"""),"Go Redoruk")</f>
        <v>Go Redoruk</v>
      </c>
      <c r="D1703" s="42" t="str">
        <f>IFERROR(__xludf.DUMMYFUNCTION("""COMPUTED_VALUE"""),"Wonrei")</f>
        <v>Wonrei</v>
      </c>
      <c r="E1703" s="42">
        <f>IFERROR(__xludf.DUMMYFUNCTION("""COMPUTED_VALUE"""),3.0)</f>
        <v>3</v>
      </c>
      <c r="F1703" s="42" t="str">
        <f>IFERROR(__xludf.DUMMYFUNCTION("""COMPUTED_VALUE"""),"AD")</f>
        <v>AD</v>
      </c>
      <c r="G1703" s="42" t="str">
        <f>IFERROR(__xludf.DUMMYFUNCTION("""COMPUTED_VALUE"""),"Intermediate")</f>
        <v>Intermediate</v>
      </c>
      <c r="H1703" s="42" t="str">
        <f>IFERROR(__xludf.DUMMYFUNCTION("""COMPUTED_VALUE"""),"-")</f>
        <v>-</v>
      </c>
      <c r="I1703" s="43" t="str">
        <f>IFERROR(__xludf.DUMMYFUNCTION("""COMPUTED_VALUE"""),"Damage your opponent's Spell Book when you win the Battle as an Attacker. If you played a SPELL card during this turn with Wonrei as its MAMODO name that contains ""Go"" in its card name, the MP cost of this SPELL card is considered to be 1. If you played"&amp;" a SPELL card during this turn with Wonrei as its MAMODO name that contains ""Redoruk"" in its card name, increase the Damage of this SPELL card by 1.")</f>
        <v>Damage your opponent's Spell Book when you win the Battle as an Attacker. If you played a SPELL card during this turn with Wonrei as its MAMODO name that contains "Go" in its card name, the MP cost of this SPELL card is considered to be 1. If you played a SPELL card during this turn with Wonrei as its MAMODO name that contains "Redoruk" in its card name, increase the Damage of this SPELL card by 1.</v>
      </c>
      <c r="J1703" s="42" t="str">
        <f>IFERROR(__xludf.DUMMYFUNCTION("""COMPUTED_VALUE"""),"+3000")</f>
        <v>+3000</v>
      </c>
      <c r="K1703" s="42" t="str">
        <f>IFERROR(__xludf.DUMMYFUNCTION("""COMPUTED_VALUE"""),"-")</f>
        <v>-</v>
      </c>
      <c r="L1703" s="42" t="str">
        <f>IFERROR(__xludf.DUMMYFUNCTION("""COMPUTED_VALUE"""),"-")</f>
        <v>-</v>
      </c>
      <c r="M1703" s="42" t="str">
        <f>IFERROR(__xludf.DUMMYFUNCTION("""COMPUTED_VALUE"""),"[C]")</f>
        <v>[C]</v>
      </c>
      <c r="N1703" s="42" t="str">
        <f>IFERROR(__xludf.DUMMYFUNCTION("""COMPUTED_VALUE"""),"Mamood:Wonrei")</f>
        <v>Mamood:Wonrei</v>
      </c>
      <c r="O1703" s="42"/>
      <c r="P1703" s="42"/>
      <c r="Q1703" s="42"/>
      <c r="R1703" s="42"/>
      <c r="S1703" s="42"/>
      <c r="T1703" s="42"/>
      <c r="U1703" s="42"/>
      <c r="V1703" s="42"/>
      <c r="W1703" s="42"/>
      <c r="X1703" s="42"/>
      <c r="Y1703" s="42"/>
      <c r="Z1703" s="42"/>
    </row>
    <row r="1704">
      <c r="A1704" s="42" t="str">
        <f>IFERROR(__xludf.DUMMYFUNCTION("""COMPUTED_VALUE"""),"S-573")</f>
        <v>S-573</v>
      </c>
      <c r="B1704" s="42" t="str">
        <f>IFERROR(__xludf.DUMMYFUNCTION("""COMPUTED_VALUE"""),"Spell")</f>
        <v>Spell</v>
      </c>
      <c r="C1704" s="42" t="str">
        <f>IFERROR(__xludf.DUMMYFUNCTION("""COMPUTED_VALUE"""),"Gar Redoruk")</f>
        <v>Gar Redoruk</v>
      </c>
      <c r="D1704" s="42" t="str">
        <f>IFERROR(__xludf.DUMMYFUNCTION("""COMPUTED_VALUE"""),"Wonrei")</f>
        <v>Wonrei</v>
      </c>
      <c r="E1704" s="42">
        <f>IFERROR(__xludf.DUMMYFUNCTION("""COMPUTED_VALUE"""),3.0)</f>
        <v>3</v>
      </c>
      <c r="F1704" s="42" t="str">
        <f>IFERROR(__xludf.DUMMYFUNCTION("""COMPUTED_VALUE"""),"A")</f>
        <v>A</v>
      </c>
      <c r="G1704" s="42" t="str">
        <f>IFERROR(__xludf.DUMMYFUNCTION("""COMPUTED_VALUE"""),"Intermediate")</f>
        <v>Intermediate</v>
      </c>
      <c r="H1704" s="42" t="str">
        <f>IFERROR(__xludf.DUMMYFUNCTION("""COMPUTED_VALUE"""),"-")</f>
        <v>-</v>
      </c>
      <c r="I1704" s="43" t="str">
        <f>IFERROR(__xludf.DUMMYFUNCTION("""COMPUTED_VALUE"""),"Damage your opponent's Spell Book when you win the Battle as an Attacker. If you played a SPELL card during this turn with Wonrei as its MAMODO name that contains ""Redoruk"" in its card name, increase the Damage of this SPELL card by 1.")</f>
        <v>Damage your opponent's Spell Book when you win the Battle as an Attacker. If you played a SPELL card during this turn with Wonrei as its MAMODO name that contains "Redoruk" in its card name, increase the Damage of this SPELL card by 1.</v>
      </c>
      <c r="J1704" s="42" t="str">
        <f>IFERROR(__xludf.DUMMYFUNCTION("""COMPUTED_VALUE"""),"+4000")</f>
        <v>+4000</v>
      </c>
      <c r="K1704" s="42">
        <f>IFERROR(__xludf.DUMMYFUNCTION("""COMPUTED_VALUE"""),2.0)</f>
        <v>2</v>
      </c>
      <c r="L1704" s="42" t="str">
        <f>IFERROR(__xludf.DUMMYFUNCTION("""COMPUTED_VALUE"""),"-")</f>
        <v>-</v>
      </c>
      <c r="M1704" s="42" t="str">
        <f>IFERROR(__xludf.DUMMYFUNCTION("""COMPUTED_VALUE"""),"[C]")</f>
        <v>[C]</v>
      </c>
      <c r="N1704" s="42" t="str">
        <f>IFERROR(__xludf.DUMMYFUNCTION("""COMPUTED_VALUE"""),"Wonrei's 7th spell. It propels him toward the enemy with a spinning body slam that has enough power to upheave the ground.")</f>
        <v>Wonrei's 7th spell. It propels him toward the enemy with a spinning body slam that has enough power to upheave the ground.</v>
      </c>
      <c r="O1704" s="42"/>
      <c r="P1704" s="42"/>
      <c r="Q1704" s="42"/>
      <c r="R1704" s="42"/>
      <c r="S1704" s="42"/>
      <c r="T1704" s="42"/>
      <c r="U1704" s="42"/>
      <c r="V1704" s="42"/>
      <c r="W1704" s="42"/>
      <c r="X1704" s="42"/>
      <c r="Y1704" s="42"/>
      <c r="Z1704" s="42"/>
    </row>
    <row r="1705">
      <c r="A1705" s="42" t="str">
        <f>IFERROR(__xludf.DUMMYFUNCTION("""COMPUTED_VALUE"""),"S-574")</f>
        <v>S-574</v>
      </c>
      <c r="B1705" s="42" t="str">
        <f>IFERROR(__xludf.DUMMYFUNCTION("""COMPUTED_VALUE"""),"Spell")</f>
        <v>Spell</v>
      </c>
      <c r="C1705" s="42" t="str">
        <f>IFERROR(__xludf.DUMMYFUNCTION("""COMPUTED_VALUE"""),"Goraio Diboren")</f>
        <v>Goraio Diboren</v>
      </c>
      <c r="D1705" s="42" t="str">
        <f>IFERROR(__xludf.DUMMYFUNCTION("""COMPUTED_VALUE"""),"Wonrei")</f>
        <v>Wonrei</v>
      </c>
      <c r="E1705" s="42">
        <f>IFERROR(__xludf.DUMMYFUNCTION("""COMPUTED_VALUE"""),7.0)</f>
        <v>7</v>
      </c>
      <c r="F1705" s="42" t="str">
        <f>IFERROR(__xludf.DUMMYFUNCTION("""COMPUTED_VALUE"""),"AD")</f>
        <v>AD</v>
      </c>
      <c r="G1705" s="42" t="str">
        <f>IFERROR(__xludf.DUMMYFUNCTION("""COMPUTED_VALUE"""),"Superior")</f>
        <v>Superior</v>
      </c>
      <c r="H1705" s="42" t="str">
        <f>IFERROR(__xludf.DUMMYFUNCTION("""COMPUTED_VALUE"""),"-")</f>
        <v>-</v>
      </c>
      <c r="I1705" s="43" t="str">
        <f>IFERROR(__xludf.DUMMYFUNCTION("""COMPUTED_VALUE"""),"Damage your opponent's Spell Book when you win the Battle as an Attacker. For each time you played a SPELL card during this turn with Wonrei as its MAMODO name, reduce the MP cost of this SPELL card by 2 and increase the Damage of this SPELL card by 1 (ma"&amp;"ximum 3 times).")</f>
        <v>Damage your opponent's Spell Book when you win the Battle as an Attacker. For each time you played a SPELL card during this turn with Wonrei as its MAMODO name, reduce the MP cost of this SPELL card by 2 and increase the Damage of this SPELL card by 1 (maximum 3 times).</v>
      </c>
      <c r="J1705" s="42" t="str">
        <f>IFERROR(__xludf.DUMMYFUNCTION("""COMPUTED_VALUE"""),"+7000")</f>
        <v>+7000</v>
      </c>
      <c r="K1705" s="42">
        <f>IFERROR(__xludf.DUMMYFUNCTION("""COMPUTED_VALUE"""),3.0)</f>
        <v>3</v>
      </c>
      <c r="L1705" s="42" t="str">
        <f>IFERROR(__xludf.DUMMYFUNCTION("""COMPUTED_VALUE"""),"-")</f>
        <v>-</v>
      </c>
      <c r="M1705" s="42" t="str">
        <f>IFERROR(__xludf.DUMMYFUNCTION("""COMPUTED_VALUE"""),"[SR]")</f>
        <v>[SR]</v>
      </c>
      <c r="N1705" s="42" t="str">
        <f>IFERROR(__xludf.DUMMYFUNCTION("""COMPUTED_VALUE"""),"Wonrei's 9th spell. ""In order to protect everyone... I've got to be stronger... Stronger than ever...""")</f>
        <v>Wonrei's 9th spell. "In order to protect everyone... I've got to be stronger... Stronger than ever..."</v>
      </c>
      <c r="O1705" s="42"/>
      <c r="P1705" s="42"/>
      <c r="Q1705" s="42"/>
      <c r="R1705" s="42"/>
      <c r="S1705" s="42"/>
      <c r="T1705" s="42"/>
      <c r="U1705" s="42"/>
      <c r="V1705" s="42"/>
      <c r="W1705" s="42"/>
      <c r="X1705" s="42"/>
      <c r="Y1705" s="42"/>
      <c r="Z1705" s="42"/>
    </row>
    <row r="1706">
      <c r="A1706" s="42" t="str">
        <f>IFERROR(__xludf.DUMMYFUNCTION("""COMPUTED_VALUE"""),"S-575")</f>
        <v>S-575</v>
      </c>
      <c r="B1706" s="42" t="str">
        <f>IFERROR(__xludf.DUMMYFUNCTION("""COMPUTED_VALUE"""),"Spell")</f>
        <v>Spell</v>
      </c>
      <c r="C1706" s="42" t="str">
        <f>IFERROR(__xludf.DUMMYFUNCTION("""COMPUTED_VALUE"""),"Go Rerudo")</f>
        <v>Go Rerudo</v>
      </c>
      <c r="D1706" s="42" t="str">
        <f>IFERROR(__xludf.DUMMYFUNCTION("""COMPUTED_VALUE"""),"Wonrei")</f>
        <v>Wonrei</v>
      </c>
      <c r="E1706" s="42">
        <f>IFERROR(__xludf.DUMMYFUNCTION("""COMPUTED_VALUE"""),2.0)</f>
        <v>2</v>
      </c>
      <c r="F1706" s="42" t="str">
        <f>IFERROR(__xludf.DUMMYFUNCTION("""COMPUTED_VALUE"""),"D")</f>
        <v>D</v>
      </c>
      <c r="G1706" s="42" t="str">
        <f>IFERROR(__xludf.DUMMYFUNCTION("""COMPUTED_VALUE"""),"Intermediate")</f>
        <v>Intermediate</v>
      </c>
      <c r="H1706" s="42" t="str">
        <f>IFERROR(__xludf.DUMMYFUNCTION("""COMPUTED_VALUE"""),"-")</f>
        <v>-</v>
      </c>
      <c r="I1706" s="43" t="str">
        <f>IFERROR(__xludf.DUMMYFUNCTION("""COMPUTED_VALUE"""),"Negate your opponent's Attack when you win the Battle as a Defender. If you played a SPELL card with Wonrei as its MAMODO name during your previous turn, the MP cost of this SPELL card is considered to be 1.")</f>
        <v>Negate your opponent's Attack when you win the Battle as a Defender. If you played a SPELL card with Wonrei as its MAMODO name during your previous turn, the MP cost of this SPELL card is considered to be 1.</v>
      </c>
      <c r="J1706" s="42" t="str">
        <f>IFERROR(__xludf.DUMMYFUNCTION("""COMPUTED_VALUE"""),"+8000")</f>
        <v>+8000</v>
      </c>
      <c r="K1706" s="42" t="str">
        <f>IFERROR(__xludf.DUMMYFUNCTION("""COMPUTED_VALUE"""),"-")</f>
        <v>-</v>
      </c>
      <c r="L1706" s="42" t="str">
        <f>IFERROR(__xludf.DUMMYFUNCTION("""COMPUTED_VALUE"""),"-")</f>
        <v>-</v>
      </c>
      <c r="M1706" s="42" t="str">
        <f>IFERROR(__xludf.DUMMYFUNCTION("""COMPUTED_VALUE"""),"[U]")</f>
        <v>[U]</v>
      </c>
      <c r="N1706" s="42" t="str">
        <f>IFERROR(__xludf.DUMMYFUNCTION("""COMPUTED_VALUE"""),"Wonrei's 10th spell. A reinforced version of Rerudo. ""The shield!""")</f>
        <v>Wonrei's 10th spell. A reinforced version of Rerudo. "The shield!"</v>
      </c>
      <c r="O1706" s="42"/>
      <c r="P1706" s="42"/>
      <c r="Q1706" s="42"/>
      <c r="R1706" s="42"/>
      <c r="S1706" s="42"/>
      <c r="T1706" s="42"/>
      <c r="U1706" s="42"/>
      <c r="V1706" s="42"/>
      <c r="W1706" s="42"/>
      <c r="X1706" s="42"/>
      <c r="Y1706" s="42"/>
      <c r="Z1706" s="42"/>
    </row>
    <row r="1707">
      <c r="A1707" s="42" t="str">
        <f>IFERROR(__xludf.DUMMYFUNCTION("""COMPUTED_VALUE"""),"S-576")</f>
        <v>S-576</v>
      </c>
      <c r="B1707" s="42" t="str">
        <f>IFERROR(__xludf.DUMMYFUNCTION("""COMPUTED_VALUE"""),"Spell")</f>
        <v>Spell</v>
      </c>
      <c r="C1707" s="42" t="str">
        <f>IFERROR(__xludf.DUMMYFUNCTION("""COMPUTED_VALUE"""),"Rofo Diboren")</f>
        <v>Rofo Diboren</v>
      </c>
      <c r="D1707" s="42" t="str">
        <f>IFERROR(__xludf.DUMMYFUNCTION("""COMPUTED_VALUE"""),"Wonrei")</f>
        <v>Wonrei</v>
      </c>
      <c r="E1707" s="42">
        <f>IFERROR(__xludf.DUMMYFUNCTION("""COMPUTED_VALUE"""),3.0)</f>
        <v>3</v>
      </c>
      <c r="F1707" s="42" t="str">
        <f>IFERROR(__xludf.DUMMYFUNCTION("""COMPUTED_VALUE"""),"AD")</f>
        <v>AD</v>
      </c>
      <c r="G1707" s="42" t="str">
        <f>IFERROR(__xludf.DUMMYFUNCTION("""COMPUTED_VALUE"""),"Intermediate")</f>
        <v>Intermediate</v>
      </c>
      <c r="H1707" s="42" t="str">
        <f>IFERROR(__xludf.DUMMYFUNCTION("""COMPUTED_VALUE"""),"-")</f>
        <v>-</v>
      </c>
      <c r="I1707" s="43" t="str">
        <f>IFERROR(__xludf.DUMMYFUNCTION("""COMPUTED_VALUE"""),"Damage your opponent's Spell Book when you win the Battle as an Attacker. If you played a SPELL card during this turn with Wonrei as its MAMODO name that contains ""Diboren"" in its card name, increase the Damage of this SPELL card by 1.")</f>
        <v>Damage your opponent's Spell Book when you win the Battle as an Attacker. If you played a SPELL card during this turn with Wonrei as its MAMODO name that contains "Diboren" in its card name, increase the Damage of this SPELL card by 1.</v>
      </c>
      <c r="J1707" s="42" t="str">
        <f>IFERROR(__xludf.DUMMYFUNCTION("""COMPUTED_VALUE"""),"+4000")</f>
        <v>+4000</v>
      </c>
      <c r="K1707" s="42">
        <f>IFERROR(__xludf.DUMMYFUNCTION("""COMPUTED_VALUE"""),2.0)</f>
        <v>2</v>
      </c>
      <c r="L1707" s="42" t="str">
        <f>IFERROR(__xludf.DUMMYFUNCTION("""COMPUTED_VALUE"""),"-")</f>
        <v>-</v>
      </c>
      <c r="M1707" s="42" t="str">
        <f>IFERROR(__xludf.DUMMYFUNCTION("""COMPUTED_VALUE"""),"[U]")</f>
        <v>[U]</v>
      </c>
      <c r="N1707" s="42" t="str">
        <f>IFERROR(__xludf.DUMMYFUNCTION("""COMPUTED_VALUE"""),"Wonrei's 11th spell. Manifests a massive tiger paw to rend the opponent.")</f>
        <v>Wonrei's 11th spell. Manifests a massive tiger paw to rend the opponent.</v>
      </c>
      <c r="O1707" s="42"/>
      <c r="P1707" s="42"/>
      <c r="Q1707" s="42"/>
      <c r="R1707" s="42"/>
      <c r="S1707" s="42"/>
      <c r="T1707" s="42"/>
      <c r="U1707" s="42"/>
      <c r="V1707" s="42"/>
      <c r="W1707" s="42"/>
      <c r="X1707" s="42"/>
      <c r="Y1707" s="42"/>
      <c r="Z1707" s="42"/>
    </row>
    <row r="1708">
      <c r="A1708" s="42" t="str">
        <f>IFERROR(__xludf.DUMMYFUNCTION("""COMPUTED_VALUE"""),"S-577")</f>
        <v>S-577</v>
      </c>
      <c r="B1708" s="42" t="str">
        <f>IFERROR(__xludf.DUMMYFUNCTION("""COMPUTED_VALUE"""),"Spell")</f>
        <v>Spell</v>
      </c>
      <c r="C1708" s="42" t="str">
        <f>IFERROR(__xludf.DUMMYFUNCTION("""COMPUTED_VALUE"""),"Garfo Diboren")</f>
        <v>Garfo Diboren</v>
      </c>
      <c r="D1708" s="42" t="str">
        <f>IFERROR(__xludf.DUMMYFUNCTION("""COMPUTED_VALUE"""),"Wonrei")</f>
        <v>Wonrei</v>
      </c>
      <c r="E1708" s="42">
        <f>IFERROR(__xludf.DUMMYFUNCTION("""COMPUTED_VALUE"""),4.0)</f>
        <v>4</v>
      </c>
      <c r="F1708" s="42" t="str">
        <f>IFERROR(__xludf.DUMMYFUNCTION("""COMPUTED_VALUE"""),"AD")</f>
        <v>AD</v>
      </c>
      <c r="G1708" s="42" t="str">
        <f>IFERROR(__xludf.DUMMYFUNCTION("""COMPUTED_VALUE"""),"Intermediate")</f>
        <v>Intermediate</v>
      </c>
      <c r="H1708" s="42" t="str">
        <f>IFERROR(__xludf.DUMMYFUNCTION("""COMPUTED_VALUE"""),"-")</f>
        <v>-</v>
      </c>
      <c r="I1708" s="43" t="str">
        <f>IFERROR(__xludf.DUMMYFUNCTION("""COMPUTED_VALUE"""),"Damage your opponent's Spell Book when you win the Battle as an Attacker. If you played a SPELL card during this turn with Wonrei as its MAMODO name that contains ""Diboren"" in its card name, the MP cost of this SPELL card is considered to be 1.")</f>
        <v>Damage your opponent's Spell Book when you win the Battle as an Attacker. If you played a SPELL card during this turn with Wonrei as its MAMODO name that contains "Diboren" in its card name, the MP cost of this SPELL card is considered to be 1.</v>
      </c>
      <c r="J1708" s="42" t="str">
        <f>IFERROR(__xludf.DUMMYFUNCTION("""COMPUTED_VALUE"""),"+5000")</f>
        <v>+5000</v>
      </c>
      <c r="K1708" s="42">
        <f>IFERROR(__xludf.DUMMYFUNCTION("""COMPUTED_VALUE"""),3.0)</f>
        <v>3</v>
      </c>
      <c r="L1708" s="42" t="str">
        <f>IFERROR(__xludf.DUMMYFUNCTION("""COMPUTED_VALUE"""),"-")</f>
        <v>-</v>
      </c>
      <c r="M1708" s="42" t="str">
        <f>IFERROR(__xludf.DUMMYFUNCTION("""COMPUTED_VALUE"""),"[U]")</f>
        <v>[U]</v>
      </c>
      <c r="N1708" s="42" t="str">
        <f>IFERROR(__xludf.DUMMYFUNCTION("""COMPUTED_VALUE"""),"Wonrei's 12th spell. Manifests a massive tiger head with fangs that tear into the enemy.")</f>
        <v>Wonrei's 12th spell. Manifests a massive tiger head with fangs that tear into the enemy.</v>
      </c>
      <c r="O1708" s="42"/>
      <c r="P1708" s="42"/>
      <c r="Q1708" s="42"/>
      <c r="R1708" s="42"/>
      <c r="S1708" s="42"/>
      <c r="T1708" s="42"/>
      <c r="U1708" s="42"/>
      <c r="V1708" s="42"/>
      <c r="W1708" s="42"/>
      <c r="X1708" s="42"/>
      <c r="Y1708" s="42"/>
      <c r="Z1708" s="42"/>
    </row>
    <row r="1709">
      <c r="A1709" s="42" t="str">
        <f>IFERROR(__xludf.DUMMYFUNCTION("""COMPUTED_VALUE"""),"S-578")</f>
        <v>S-578</v>
      </c>
      <c r="B1709" s="42" t="str">
        <f>IFERROR(__xludf.DUMMYFUNCTION("""COMPUTED_VALUE"""),"Spell")</f>
        <v>Spell</v>
      </c>
      <c r="C1709" s="42" t="str">
        <f>IFERROR(__xludf.DUMMYFUNCTION("""COMPUTED_VALUE"""),"Dio Redoruk")</f>
        <v>Dio Redoruk</v>
      </c>
      <c r="D1709" s="42" t="str">
        <f>IFERROR(__xludf.DUMMYFUNCTION("""COMPUTED_VALUE"""),"Wonrei")</f>
        <v>Wonrei</v>
      </c>
      <c r="E1709" s="42">
        <f>IFERROR(__xludf.DUMMYFUNCTION("""COMPUTED_VALUE"""),3.0)</f>
        <v>3</v>
      </c>
      <c r="F1709" s="42" t="str">
        <f>IFERROR(__xludf.DUMMYFUNCTION("""COMPUTED_VALUE"""),"A")</f>
        <v>A</v>
      </c>
      <c r="G1709" s="42" t="str">
        <f>IFERROR(__xludf.DUMMYFUNCTION("""COMPUTED_VALUE"""),"Intermediate")</f>
        <v>Intermediate</v>
      </c>
      <c r="H1709" s="42" t="str">
        <f>IFERROR(__xludf.DUMMYFUNCTION("""COMPUTED_VALUE"""),"-")</f>
        <v>-</v>
      </c>
      <c r="I1709" s="43" t="str">
        <f>IFERROR(__xludf.DUMMYFUNCTION("""COMPUTED_VALUE"""),"Damage your opponent's Spell Book when you win the Battle as an Attacker. If you played a SPELL card during this turn with Wonrei as its MAMODO name that contains ""Redoruk"" in its card name, increase the Damage of this SPELL card by 1.")</f>
        <v>Damage your opponent's Spell Book when you win the Battle as an Attacker. If you played a SPELL card during this turn with Wonrei as its MAMODO name that contains "Redoruk" in its card name, increase the Damage of this SPELL card by 1.</v>
      </c>
      <c r="J1709" s="42" t="str">
        <f>IFERROR(__xludf.DUMMYFUNCTION("""COMPUTED_VALUE"""),"+4000")</f>
        <v>+4000</v>
      </c>
      <c r="K1709" s="42">
        <f>IFERROR(__xludf.DUMMYFUNCTION("""COMPUTED_VALUE"""),2.0)</f>
        <v>2</v>
      </c>
      <c r="L1709" s="42" t="str">
        <f>IFERROR(__xludf.DUMMYFUNCTION("""COMPUTED_VALUE"""),"-")</f>
        <v>-</v>
      </c>
      <c r="M1709" s="42" t="str">
        <f>IFERROR(__xludf.DUMMYFUNCTION("""COMPUTED_VALUE"""),"[U]")</f>
        <v>[U]</v>
      </c>
      <c r="N1709" s="42" t="str">
        <f>IFERROR(__xludf.DUMMYFUNCTION("""COMPUTED_VALUE"""),"Wonrei's 13th spell. A supercharged kick that can topple even the largest of foes.")</f>
        <v>Wonrei's 13th spell. A supercharged kick that can topple even the largest of foes.</v>
      </c>
      <c r="O1709" s="42"/>
      <c r="P1709" s="42"/>
      <c r="Q1709" s="42"/>
      <c r="R1709" s="42"/>
      <c r="S1709" s="42"/>
      <c r="T1709" s="42"/>
      <c r="U1709" s="42"/>
      <c r="V1709" s="42"/>
      <c r="W1709" s="42"/>
      <c r="X1709" s="42"/>
      <c r="Y1709" s="42"/>
      <c r="Z1709" s="42"/>
    </row>
    <row r="1710">
      <c r="A1710" s="42" t="str">
        <f>IFERROR(__xludf.DUMMYFUNCTION("""COMPUTED_VALUE"""),"S-579")</f>
        <v>S-579</v>
      </c>
      <c r="B1710" s="42" t="str">
        <f>IFERROR(__xludf.DUMMYFUNCTION("""COMPUTED_VALUE"""),"Spell")</f>
        <v>Spell</v>
      </c>
      <c r="C1710" s="42" t="str">
        <f>IFERROR(__xludf.DUMMYFUNCTION("""COMPUTED_VALUE"""),"I'll Save Her At Any Cost!")</f>
        <v>I'll Save Her At Any Cost!</v>
      </c>
      <c r="D1710" s="42" t="str">
        <f>IFERROR(__xludf.DUMMYFUNCTION("""COMPUTED_VALUE"""),"Wonrei")</f>
        <v>Wonrei</v>
      </c>
      <c r="E1710" s="42">
        <f>IFERROR(__xludf.DUMMYFUNCTION("""COMPUTED_VALUE"""),0.0)</f>
        <v>0</v>
      </c>
      <c r="F1710" s="42" t="str">
        <f>IFERROR(__xludf.DUMMYFUNCTION("""COMPUTED_VALUE"""),"D")</f>
        <v>D</v>
      </c>
      <c r="G1710" s="42" t="str">
        <f>IFERROR(__xludf.DUMMYFUNCTION("""COMPUTED_VALUE"""),"None")</f>
        <v>None</v>
      </c>
      <c r="H1710" s="42" t="str">
        <f>IFERROR(__xludf.DUMMYFUNCTION("""COMPUTED_VALUE"""),"-")</f>
        <v>-</v>
      </c>
      <c r="I1710" s="43" t="str">
        <f>IFERROR(__xludf.DUMMYFUNCTION("""COMPUTED_VALUE"""),"Send your in-play Wonrei MAMODO card to the Discard Pile to apply the following effect: [STAY] Your Spell Book cannot receive up to 5 Damage during this turn (any Damage that exceeds this amount will be received). Command:Wonrei")</f>
        <v>Send your in-play Wonrei MAMODO card to the Discard Pile to apply the following effect: [STAY] Your Spell Book cannot receive up to 5 Damage during this turn (any Damage that exceeds this amount will be received). Command:Wonrei</v>
      </c>
      <c r="J1710" s="42" t="str">
        <f>IFERROR(__xludf.DUMMYFUNCTION("""COMPUTED_VALUE"""),"-")</f>
        <v>-</v>
      </c>
      <c r="K1710" s="42" t="str">
        <f>IFERROR(__xludf.DUMMYFUNCTION("""COMPUTED_VALUE"""),"-")</f>
        <v>-</v>
      </c>
      <c r="L1710" s="42" t="str">
        <f>IFERROR(__xludf.DUMMYFUNCTION("""COMPUTED_VALUE"""),"-")</f>
        <v>-</v>
      </c>
      <c r="M1710" s="42" t="str">
        <f>IFERROR(__xludf.DUMMYFUNCTION("""COMPUTED_VALUE"""),"[R]")</f>
        <v>[R]</v>
      </c>
      <c r="N1710" s="42" t="str">
        <f>IFERROR(__xludf.DUMMYFUNCTION("""COMPUTED_VALUE"""),"""I won't let her be destroyed! I'll never let you take her! I WILL SAVE HER!""")</f>
        <v>"I won't let her be destroyed! I'll never let you take her! I WILL SAVE HER!"</v>
      </c>
      <c r="O1710" s="42"/>
      <c r="P1710" s="42"/>
      <c r="Q1710" s="42"/>
      <c r="R1710" s="42"/>
      <c r="S1710" s="42"/>
      <c r="T1710" s="42"/>
      <c r="U1710" s="42"/>
      <c r="V1710" s="42"/>
      <c r="W1710" s="42"/>
      <c r="X1710" s="42"/>
      <c r="Y1710" s="42"/>
      <c r="Z1710" s="42"/>
    </row>
    <row r="1711">
      <c r="A1711" s="42" t="str">
        <f>IFERROR(__xludf.DUMMYFUNCTION("""COMPUTED_VALUE"""),"S-580")</f>
        <v>S-580</v>
      </c>
      <c r="B1711" s="42" t="str">
        <f>IFERROR(__xludf.DUMMYFUNCTION("""COMPUTED_VALUE"""),"Spell")</f>
        <v>Spell</v>
      </c>
      <c r="C1711" s="42" t="str">
        <f>IFERROR(__xludf.DUMMYFUNCTION("""COMPUTED_VALUE"""),"Mikor Ma Zegaruga")</f>
        <v>Mikor Ma Zegaruga</v>
      </c>
      <c r="D1711" s="42" t="str">
        <f>IFERROR(__xludf.DUMMYFUNCTION("""COMPUTED_VALUE"""),"Kido")</f>
        <v>Kido</v>
      </c>
      <c r="E1711" s="42">
        <f>IFERROR(__xludf.DUMMYFUNCTION("""COMPUTED_VALUE"""),2.0)</f>
        <v>2</v>
      </c>
      <c r="F1711" s="42" t="str">
        <f>IFERROR(__xludf.DUMMYFUNCTION("""COMPUTED_VALUE"""),"AD")</f>
        <v>AD</v>
      </c>
      <c r="G1711" s="42" t="str">
        <f>IFERROR(__xludf.DUMMYFUNCTION("""COMPUTED_VALUE"""),"Superior")</f>
        <v>Superior</v>
      </c>
      <c r="H1711" s="42" t="str">
        <f>IFERROR(__xludf.DUMMYFUNCTION("""COMPUTED_VALUE"""),"-")</f>
        <v>-</v>
      </c>
      <c r="I1711" s="43" t="str">
        <f>IFERROR(__xludf.DUMMYFUNCTION("""COMPUTED_VALUE"""),"Damage your opponent's Spell Book when you win the Battle as an Attacker. Your opponent can neither SACRIFICE nor PROTECT their Spell Book from the Damage of this SPELL card. Send your in-play Kido MAMODO card to the Discard Pile after the Battle, even wh"&amp;"en prohibited to do so.")</f>
        <v>Damage your opponent's Spell Book when you win the Battle as an Attacker. Your opponent can neither SACRIFICE nor PROTECT their Spell Book from the Damage of this SPELL card. Send your in-play Kido MAMODO card to the Discard Pile after the Battle, even when prohibited to do so.</v>
      </c>
      <c r="J1711" s="42" t="str">
        <f>IFERROR(__xludf.DUMMYFUNCTION("""COMPUTED_VALUE"""),"+6000")</f>
        <v>+6000</v>
      </c>
      <c r="K1711" s="42">
        <f>IFERROR(__xludf.DUMMYFUNCTION("""COMPUTED_VALUE"""),3.0)</f>
        <v>3</v>
      </c>
      <c r="L1711" s="42" t="str">
        <f>IFERROR(__xludf.DUMMYFUNCTION("""COMPUTED_VALUE"""),"-")</f>
        <v>-</v>
      </c>
      <c r="M1711" s="42" t="str">
        <f>IFERROR(__xludf.DUMMYFUNCTION("""COMPUTED_VALUE"""),"[SR]")</f>
        <v>[SR]</v>
      </c>
      <c r="N1711" s="42" t="str">
        <f>IFERROR(__xludf.DUMMYFUNCTION("""COMPUTED_VALUE"""),"Kido's 10th spell. ""Okay, Dr. Riddles. I've gotta go now... Read the last spell, okay?""")</f>
        <v>Kido's 10th spell. "Okay, Dr. Riddles. I've gotta go now... Read the last spell, okay?"</v>
      </c>
      <c r="O1711" s="42"/>
      <c r="P1711" s="42"/>
      <c r="Q1711" s="42"/>
      <c r="R1711" s="42"/>
      <c r="S1711" s="42"/>
      <c r="T1711" s="42"/>
      <c r="U1711" s="42"/>
      <c r="V1711" s="42"/>
      <c r="W1711" s="42"/>
      <c r="X1711" s="42"/>
      <c r="Y1711" s="42"/>
      <c r="Z1711" s="42"/>
    </row>
    <row r="1712">
      <c r="A1712" s="42" t="str">
        <f>IFERROR(__xludf.DUMMYFUNCTION("""COMPUTED_VALUE"""),"S-581")</f>
        <v>S-581</v>
      </c>
      <c r="B1712" s="42" t="str">
        <f>IFERROR(__xludf.DUMMYFUNCTION("""COMPUTED_VALUE"""),"Spell")</f>
        <v>Spell</v>
      </c>
      <c r="C1712" s="42" t="str">
        <f>IFERROR(__xludf.DUMMYFUNCTION("""COMPUTED_VALUE"""),"So Giaku")</f>
        <v>So Giaku</v>
      </c>
      <c r="D1712" s="42" t="str">
        <f>IFERROR(__xludf.DUMMYFUNCTION("""COMPUTED_VALUE"""),"Penny")</f>
        <v>Penny</v>
      </c>
      <c r="E1712" s="42">
        <f>IFERROR(__xludf.DUMMYFUNCTION("""COMPUTED_VALUE"""),2.0)</f>
        <v>2</v>
      </c>
      <c r="F1712" s="42" t="str">
        <f>IFERROR(__xludf.DUMMYFUNCTION("""COMPUTED_VALUE"""),"A")</f>
        <v>A</v>
      </c>
      <c r="G1712" s="42" t="str">
        <f>IFERROR(__xludf.DUMMYFUNCTION("""COMPUTED_VALUE"""),"Superior")</f>
        <v>Superior</v>
      </c>
      <c r="H1712" s="42" t="str">
        <f>IFERROR(__xludf.DUMMYFUNCTION("""COMPUTED_VALUE"""),"-")</f>
        <v>-</v>
      </c>
      <c r="I1712" s="43" t="str">
        <f>IFERROR(__xludf.DUMMYFUNCTION("""COMPUTED_VALUE"""),"Damage your opponent's Spell Book when you win the Battle as an Attacker. When you inflict Damage or Injury, look at your opponent's Spell Book. Select 1 EVENT card from any of the pages and send it to the Discard Pile. Send your in-play Penny MAMODO card"&amp;" to the Discard Pile after the Battle, even when prohibited to do so.")</f>
        <v>Damage your opponent's Spell Book when you win the Battle as an Attacker. When you inflict Damage or Injury, look at your opponent's Spell Book. Select 1 EVENT card from any of the pages and send it to the Discard Pile. Send your in-play Penny MAMODO card to the Discard Pile after the Battle, even when prohibited to do so.</v>
      </c>
      <c r="J1712" s="42" t="str">
        <f>IFERROR(__xludf.DUMMYFUNCTION("""COMPUTED_VALUE"""),"+6000")</f>
        <v>+6000</v>
      </c>
      <c r="K1712" s="42">
        <f>IFERROR(__xludf.DUMMYFUNCTION("""COMPUTED_VALUE"""),3.0)</f>
        <v>3</v>
      </c>
      <c r="L1712" s="42" t="str">
        <f>IFERROR(__xludf.DUMMYFUNCTION("""COMPUTED_VALUE"""),"-")</f>
        <v>-</v>
      </c>
      <c r="M1712" s="42" t="str">
        <f>IFERROR(__xludf.DUMMYFUNCTION("""COMPUTED_VALUE"""),"[SR]")</f>
        <v>[SR]</v>
      </c>
      <c r="N1712" s="42" t="str">
        <f>IFERROR(__xludf.DUMMYFUNCTION("""COMPUTED_VALUE"""),"Penny's 7th spell. ""Come on, Uri! Shoot!""")</f>
        <v>Penny's 7th spell. "Come on, Uri! Shoot!"</v>
      </c>
      <c r="O1712" s="42"/>
      <c r="P1712" s="42"/>
      <c r="Q1712" s="42"/>
      <c r="R1712" s="42"/>
      <c r="S1712" s="42"/>
      <c r="T1712" s="42"/>
      <c r="U1712" s="42"/>
      <c r="V1712" s="42"/>
      <c r="W1712" s="42"/>
      <c r="X1712" s="42"/>
      <c r="Y1712" s="42"/>
      <c r="Z1712" s="42"/>
    </row>
    <row r="1713">
      <c r="A1713" s="42" t="str">
        <f>IFERROR(__xludf.DUMMYFUNCTION("""COMPUTED_VALUE"""),"S-582")</f>
        <v>S-582</v>
      </c>
      <c r="B1713" s="42" t="str">
        <f>IFERROR(__xludf.DUMMYFUNCTION("""COMPUTED_VALUE"""),"Spell")</f>
        <v>Spell</v>
      </c>
      <c r="C1713" s="42" t="str">
        <f>IFERROR(__xludf.DUMMYFUNCTION("""COMPUTED_VALUE"""),"Chagur")</f>
        <v>Chagur</v>
      </c>
      <c r="D1713" s="42" t="str">
        <f>IFERROR(__xludf.DUMMYFUNCTION("""COMPUTED_VALUE"""),"Victoream")</f>
        <v>Victoream</v>
      </c>
      <c r="E1713" s="42">
        <f>IFERROR(__xludf.DUMMYFUNCTION("""COMPUTED_VALUE"""),2.0)</f>
        <v>2</v>
      </c>
      <c r="F1713" s="42" t="str">
        <f>IFERROR(__xludf.DUMMYFUNCTION("""COMPUTED_VALUE"""),"A")</f>
        <v>A</v>
      </c>
      <c r="G1713" s="42" t="str">
        <f>IFERROR(__xludf.DUMMYFUNCTION("""COMPUTED_VALUE"""),"None")</f>
        <v>None</v>
      </c>
      <c r="H1713" s="42" t="str">
        <f>IFERROR(__xludf.DUMMYFUNCTION("""COMPUTED_VALUE"""),"-")</f>
        <v>-</v>
      </c>
      <c r="I1713" s="43" t="str">
        <f>IFERROR(__xludf.DUMMYFUNCTION("""COMPUTED_VALUE"""),"This SPELL card can be played up to twice per turn (per player). Place 1 MP counter on your in-play Victoream MAMODO card. ● Your MP is not reduced when placing an MP counter. ● Up to 5 MP counters can be placed on the Victoream card. ● Remove all MP coun"&amp;"ters when your Victoream MAMODO card when it is sent to the Discard Pile.")</f>
        <v>This SPELL card can be played up to twice per turn (per player). Place 1 MP counter on your in-play Victoream MAMODO card. ● Your MP is not reduced when placing an MP counter. ● Up to 5 MP counters can be placed on the Victoream card. ● Remove all MP counters when your Victoream MAMODO card when it is sent to the Discard Pile.</v>
      </c>
      <c r="J1713" s="42" t="str">
        <f>IFERROR(__xludf.DUMMYFUNCTION("""COMPUTED_VALUE"""),"-")</f>
        <v>-</v>
      </c>
      <c r="K1713" s="42" t="str">
        <f>IFERROR(__xludf.DUMMYFUNCTION("""COMPUTED_VALUE"""),"-")</f>
        <v>-</v>
      </c>
      <c r="L1713" s="42" t="str">
        <f>IFERROR(__xludf.DUMMYFUNCTION("""COMPUTED_VALUE"""),"-")</f>
        <v>-</v>
      </c>
      <c r="M1713" s="42" t="str">
        <f>IFERROR(__xludf.DUMMYFUNCTION("""COMPUTED_VALUE"""),"[R]")</f>
        <v>[R]</v>
      </c>
      <c r="N1713" s="42" t="str">
        <f>IFERROR(__xludf.DUMMYFUNCTION("""COMPUTED_VALUE"""),"Victoream's 3rd spell. ""The heart of great pride, to my left shoulder!""")</f>
        <v>Victoream's 3rd spell. "The heart of great pride, to my left shoulder!"</v>
      </c>
      <c r="O1713" s="42"/>
      <c r="P1713" s="42"/>
      <c r="Q1713" s="42"/>
      <c r="R1713" s="42"/>
      <c r="S1713" s="42"/>
      <c r="T1713" s="42"/>
      <c r="U1713" s="42"/>
      <c r="V1713" s="42"/>
      <c r="W1713" s="42"/>
      <c r="X1713" s="42"/>
      <c r="Y1713" s="42"/>
      <c r="Z1713" s="42"/>
    </row>
    <row r="1714">
      <c r="A1714" s="42" t="str">
        <f>IFERROR(__xludf.DUMMYFUNCTION("""COMPUTED_VALUE"""),"S-583")</f>
        <v>S-583</v>
      </c>
      <c r="B1714" s="42" t="str">
        <f>IFERROR(__xludf.DUMMYFUNCTION("""COMPUTED_VALUE"""),"Spell")</f>
        <v>Spell</v>
      </c>
      <c r="C1714" s="42" t="str">
        <f>IFERROR(__xludf.DUMMYFUNCTION("""COMPUTED_VALUE"""),"Chagur Imisdon")</f>
        <v>Chagur Imisdon</v>
      </c>
      <c r="D1714" s="42" t="str">
        <f>IFERROR(__xludf.DUMMYFUNCTION("""COMPUTED_VALUE"""),"Victoream")</f>
        <v>Victoream</v>
      </c>
      <c r="E1714" s="42">
        <f>IFERROR(__xludf.DUMMYFUNCTION("""COMPUTED_VALUE"""),4.0)</f>
        <v>4</v>
      </c>
      <c r="F1714" s="42" t="str">
        <f>IFERROR(__xludf.DUMMYFUNCTION("""COMPUTED_VALUE"""),"AD")</f>
        <v>AD</v>
      </c>
      <c r="G1714" s="42" t="str">
        <f>IFERROR(__xludf.DUMMYFUNCTION("""COMPUTED_VALUE"""),"Superior")</f>
        <v>Superior</v>
      </c>
      <c r="H1714" s="42" t="str">
        <f>IFERROR(__xludf.DUMMYFUNCTION("""COMPUTED_VALUE"""),"-")</f>
        <v>-</v>
      </c>
      <c r="I1714" s="43" t="str">
        <f>IFERROR(__xludf.DUMMYFUNCTION("""COMPUTED_VALUE"""),"Damage your opponent's Spell Book when you win the Battle as an Attacker. Remove all MP counters on your Victoream MAMODO card when you declare the play of this SPELL card, and add 2000 Power and 2 Damage times the number of MP counters removed. If 5 MP c"&amp;"ounters are removed as a result of this effect, your opponent can neither SACRIFICE nor PROTECT their Spell Book from the Damage of this SPELL card.")</f>
        <v>Damage your opponent's Spell Book when you win the Battle as an Attacker. Remove all MP counters on your Victoream MAMODO card when you declare the play of this SPELL card, and add 2000 Power and 2 Damage times the number of MP counters removed. If 5 MP counters are removed as a result of this effect, your opponent can neither SACRIFICE nor PROTECT their Spell Book from the Damage of this SPELL card.</v>
      </c>
      <c r="J1714" s="42" t="str">
        <f>IFERROR(__xludf.DUMMYFUNCTION("""COMPUTED_VALUE"""),"+2000")</f>
        <v>+2000</v>
      </c>
      <c r="K1714" s="42">
        <f>IFERROR(__xludf.DUMMYFUNCTION("""COMPUTED_VALUE"""),0.0)</f>
        <v>0</v>
      </c>
      <c r="L1714" s="42" t="str">
        <f>IFERROR(__xludf.DUMMYFUNCTION("""COMPUTED_VALUE"""),"-")</f>
        <v>-</v>
      </c>
      <c r="M1714" s="42" t="str">
        <f>IFERROR(__xludf.DUMMYFUNCTION("""COMPUTED_VALUE"""),"[SR]")</f>
        <v>[SR]</v>
      </c>
      <c r="N1714" s="42" t="str">
        <f>IFERROR(__xludf.DUMMYFUNCTION("""COMPUTED_VALUE"""),"Victoream's 4th spell. ""Direction rectified, 45 degrees up! Ha ha ha ha! Shoot them down!""")</f>
        <v>Victoream's 4th spell. "Direction rectified, 45 degrees up! Ha ha ha ha! Shoot them down!"</v>
      </c>
      <c r="O1714" s="42"/>
      <c r="P1714" s="42"/>
      <c r="Q1714" s="42"/>
      <c r="R1714" s="42"/>
      <c r="S1714" s="42"/>
      <c r="T1714" s="42"/>
      <c r="U1714" s="42"/>
      <c r="V1714" s="42"/>
      <c r="W1714" s="42"/>
      <c r="X1714" s="42"/>
      <c r="Y1714" s="42"/>
      <c r="Z1714" s="42"/>
    </row>
    <row r="1715">
      <c r="A1715" s="42" t="str">
        <f>IFERROR(__xludf.DUMMYFUNCTION("""COMPUTED_VALUE"""),"S-584")</f>
        <v>S-584</v>
      </c>
      <c r="B1715" s="42" t="str">
        <f>IFERROR(__xludf.DUMMYFUNCTION("""COMPUTED_VALUE"""),"Spell")</f>
        <v>Spell</v>
      </c>
      <c r="C1715" s="42" t="str">
        <f>IFERROR(__xludf.DUMMYFUNCTION("""COMPUTED_VALUE"""),"Miberna Ma Migron")</f>
        <v>Miberna Ma Migron</v>
      </c>
      <c r="D1715" s="42" t="str">
        <f>IFERROR(__xludf.DUMMYFUNCTION("""COMPUTED_VALUE"""),"Laila")</f>
        <v>Laila</v>
      </c>
      <c r="E1715" s="42">
        <f>IFERROR(__xludf.DUMMYFUNCTION("""COMPUTED_VALUE"""),1.0)</f>
        <v>1</v>
      </c>
      <c r="F1715" s="42" t="str">
        <f>IFERROR(__xludf.DUMMYFUNCTION("""COMPUTED_VALUE"""),"A")</f>
        <v>A</v>
      </c>
      <c r="G1715" s="42" t="str">
        <f>IFERROR(__xludf.DUMMYFUNCTION("""COMPUTED_VALUE"""),"Superior")</f>
        <v>Superior</v>
      </c>
      <c r="H1715" s="42" t="str">
        <f>IFERROR(__xludf.DUMMYFUNCTION("""COMPUTED_VALUE"""),"-")</f>
        <v>-</v>
      </c>
      <c r="I1715" s="43" t="str">
        <f>IFERROR(__xludf.DUMMYFUNCTION("""COMPUTED_VALUE"""),"If you have an Albert PARTNER card in play, this SPELL card can be played up to 3 times per turn (per player). Select 1 of your opponent's in-play MAMODO cards and apply 1 effect: ● Connect:[STAY] Your opponent cannot play SPELL cards for the selected MAM"&amp;"ODO card until the END PHASE of the next turn. ● Harvest:[STAY] Your opponent cannot apply the effects of the selected MAMODO card until the END PHASE of your next turn. Mamood:Laila")</f>
        <v>If you have an Albert PARTNER card in play, this SPELL card can be played up to 3 times per turn (per player). Select 1 of your opponent's in-play MAMODO cards and apply 1 effect: ● Connect:[STAY] Your opponent cannot play SPELL cards for the selected MAMODO card until the END PHASE of the next turn. ● Harvest:[STAY] Your opponent cannot apply the effects of the selected MAMODO card until the END PHASE of your next turn. Mamood:Laila</v>
      </c>
      <c r="J1715" s="42" t="str">
        <f>IFERROR(__xludf.DUMMYFUNCTION("""COMPUTED_VALUE"""),"-")</f>
        <v>-</v>
      </c>
      <c r="K1715" s="42" t="str">
        <f>IFERROR(__xludf.DUMMYFUNCTION("""COMPUTED_VALUE"""),"-")</f>
        <v>-</v>
      </c>
      <c r="L1715" s="42" t="str">
        <f>IFERROR(__xludf.DUMMYFUNCTION("""COMPUTED_VALUE"""),"-")</f>
        <v>-</v>
      </c>
      <c r="M1715" s="42" t="str">
        <f>IFERROR(__xludf.DUMMYFUNCTION("""COMPUTED_VALUE"""),"[SR]")</f>
        <v>[SR]</v>
      </c>
      <c r="N1715" s="42" t="str">
        <f>IFERROR(__xludf.DUMMYFUNCTION("""COMPUTED_VALUE"""),"Laila's 5th spell. ""A, C, H, I, L, Q, T, V, X, Z!"" ""Connect! And...Harvest!""")</f>
        <v>Laila's 5th spell. "A, C, H, I, L, Q, T, V, X, Z!" "Connect! And...Harvest!"</v>
      </c>
      <c r="O1715" s="42"/>
      <c r="P1715" s="42"/>
      <c r="Q1715" s="42"/>
      <c r="R1715" s="42"/>
      <c r="S1715" s="42"/>
      <c r="T1715" s="42"/>
      <c r="U1715" s="42"/>
      <c r="V1715" s="42"/>
      <c r="W1715" s="42"/>
      <c r="X1715" s="42"/>
      <c r="Y1715" s="42"/>
      <c r="Z1715" s="42"/>
    </row>
    <row r="1716">
      <c r="A1716" s="42" t="str">
        <f>IFERROR(__xludf.DUMMYFUNCTION("""COMPUTED_VALUE"""),"S-585")</f>
        <v>S-585</v>
      </c>
      <c r="B1716" s="42" t="str">
        <f>IFERROR(__xludf.DUMMYFUNCTION("""COMPUTED_VALUE"""),"Spell")</f>
        <v>Spell</v>
      </c>
      <c r="C1716" s="42" t="str">
        <f>IFERROR(__xludf.DUMMYFUNCTION("""COMPUTED_VALUE"""),"Girfadom Barsuruk")</f>
        <v>Girfadom Barsuruk</v>
      </c>
      <c r="D1716" s="42" t="str">
        <f>IFERROR(__xludf.DUMMYFUNCTION("""COMPUTED_VALUE"""),"Riou")</f>
        <v>Riou</v>
      </c>
      <c r="E1716" s="42">
        <f>IFERROR(__xludf.DUMMYFUNCTION("""COMPUTED_VALUE"""),1.0)</f>
        <v>1</v>
      </c>
      <c r="F1716" s="42" t="str">
        <f>IFERROR(__xludf.DUMMYFUNCTION("""COMPUTED_VALUE"""),"A")</f>
        <v>A</v>
      </c>
      <c r="G1716" s="42" t="str">
        <f>IFERROR(__xludf.DUMMYFUNCTION("""COMPUTED_VALUE"""),"Superior")</f>
        <v>Superior</v>
      </c>
      <c r="H1716" s="42" t="str">
        <f>IFERROR(__xludf.DUMMYFUNCTION("""COMPUTED_VALUE"""),"-")</f>
        <v>-</v>
      </c>
      <c r="I1716" s="43" t="str">
        <f>IFERROR(__xludf.DUMMYFUNCTION("""COMPUTED_VALUE"""),"Select 1 Riou (Berserker) MAMODO card from any page of your Spell Book and place it on a Riou MAMODO card.")</f>
        <v>Select 1 Riou (Berserker) MAMODO card from any page of your Spell Book and place it on a Riou MAMODO card.</v>
      </c>
      <c r="J1716" s="42" t="str">
        <f>IFERROR(__xludf.DUMMYFUNCTION("""COMPUTED_VALUE"""),"-")</f>
        <v>-</v>
      </c>
      <c r="K1716" s="42" t="str">
        <f>IFERROR(__xludf.DUMMYFUNCTION("""COMPUTED_VALUE"""),"-")</f>
        <v>-</v>
      </c>
      <c r="L1716" s="42" t="str">
        <f>IFERROR(__xludf.DUMMYFUNCTION("""COMPUTED_VALUE"""),"-")</f>
        <v>-</v>
      </c>
      <c r="M1716" s="42" t="str">
        <f>IFERROR(__xludf.DUMMYFUNCTION("""COMPUTED_VALUE"""),"[R]")</f>
        <v>[R]</v>
      </c>
      <c r="N1716" s="42" t="str">
        <f>IFERROR(__xludf.DUMMYFUNCTION("""COMPUTED_VALUE"""),"Riou's 11th spell. ""Banikis! Cast the forbidden spell! As soon as you do, run for cover!""")</f>
        <v>Riou's 11th spell. "Banikis! Cast the forbidden spell! As soon as you do, run for cover!"</v>
      </c>
      <c r="O1716" s="42"/>
      <c r="P1716" s="42"/>
      <c r="Q1716" s="42"/>
      <c r="R1716" s="42"/>
      <c r="S1716" s="42"/>
      <c r="T1716" s="42"/>
      <c r="U1716" s="42"/>
      <c r="V1716" s="42"/>
      <c r="W1716" s="42"/>
      <c r="X1716" s="42"/>
      <c r="Y1716" s="42"/>
      <c r="Z1716" s="42"/>
    </row>
    <row r="1717">
      <c r="A1717" s="42" t="str">
        <f>IFERROR(__xludf.DUMMYFUNCTION("""COMPUTED_VALUE"""),"S-586")</f>
        <v>S-586</v>
      </c>
      <c r="B1717" s="42" t="str">
        <f>IFERROR(__xludf.DUMMYFUNCTION("""COMPUTED_VALUE"""),"Spell")</f>
        <v>Spell</v>
      </c>
      <c r="C1717" s="42" t="str">
        <f>IFERROR(__xludf.DUMMYFUNCTION("""COMPUTED_VALUE"""),"Jauro Zakeruga")</f>
        <v>Jauro Zakeruga</v>
      </c>
      <c r="D1717" s="42" t="str">
        <f>IFERROR(__xludf.DUMMYFUNCTION("""COMPUTED_VALUE"""),"Zeno")</f>
        <v>Zeno</v>
      </c>
      <c r="E1717" s="42">
        <f>IFERROR(__xludf.DUMMYFUNCTION("""COMPUTED_VALUE"""),3.0)</f>
        <v>3</v>
      </c>
      <c r="F1717" s="42" t="str">
        <f>IFERROR(__xludf.DUMMYFUNCTION("""COMPUTED_VALUE"""),"AD")</f>
        <v>AD</v>
      </c>
      <c r="G1717" s="42" t="str">
        <f>IFERROR(__xludf.DUMMYFUNCTION("""COMPUTED_VALUE"""),"Intermediate")</f>
        <v>Intermediate</v>
      </c>
      <c r="H1717" s="42" t="str">
        <f>IFERROR(__xludf.DUMMYFUNCTION("""COMPUTED_VALUE"""),"Thunder")</f>
        <v>Thunder</v>
      </c>
      <c r="I1717" s="43" t="str">
        <f>IFERROR(__xludf.DUMMYFUNCTION("""COMPUTED_VALUE"""),"Damage your opponent's Spell Book when you win the Battle as an Attacker. [COUNTER] Injure your opponent's MAMODO card when you win the Battle as a Defender. Your opponent cannot SACRIFICE against this SPELL card's Injury.")</f>
        <v>Damage your opponent's Spell Book when you win the Battle as an Attacker. [COUNTER] Injure your opponent's MAMODO card when you win the Battle as a Defender. Your opponent cannot SACRIFICE against this SPELL card's Injury.</v>
      </c>
      <c r="J1717" s="42" t="str">
        <f>IFERROR(__xludf.DUMMYFUNCTION("""COMPUTED_VALUE"""),"+3000")</f>
        <v>+3000</v>
      </c>
      <c r="K1717" s="42">
        <f>IFERROR(__xludf.DUMMYFUNCTION("""COMPUTED_VALUE"""),2.0)</f>
        <v>2</v>
      </c>
      <c r="L1717" s="42" t="str">
        <f>IFERROR(__xludf.DUMMYFUNCTION("""COMPUTED_VALUE"""),"-")</f>
        <v>-</v>
      </c>
      <c r="M1717" s="42" t="str">
        <f>IFERROR(__xludf.DUMMYFUNCTION("""COMPUTED_VALUE"""),"[SR]")</f>
        <v>[SR]</v>
      </c>
      <c r="N1717" s="42" t="str">
        <f>IFERROR(__xludf.DUMMYFUNCTION("""COMPUTED_VALUE"""),"Zeno's 4th spell. A myriad of energy arrows spurt outward from an enormous ring of light.")</f>
        <v>Zeno's 4th spell. A myriad of energy arrows spurt outward from an enormous ring of light.</v>
      </c>
      <c r="O1717" s="42"/>
      <c r="P1717" s="42"/>
      <c r="Q1717" s="42"/>
      <c r="R1717" s="42"/>
      <c r="S1717" s="42"/>
      <c r="T1717" s="42"/>
      <c r="U1717" s="42"/>
      <c r="V1717" s="42"/>
      <c r="W1717" s="42"/>
      <c r="X1717" s="42"/>
      <c r="Y1717" s="42"/>
      <c r="Z1717" s="42"/>
    </row>
    <row r="1718">
      <c r="A1718" s="42" t="str">
        <f>IFERROR(__xludf.DUMMYFUNCTION("""COMPUTED_VALUE"""),"S-587")</f>
        <v>S-587</v>
      </c>
      <c r="B1718" s="42" t="str">
        <f>IFERROR(__xludf.DUMMYFUNCTION("""COMPUTED_VALUE"""),"Spell")</f>
        <v>Spell</v>
      </c>
      <c r="C1718" s="42" t="str">
        <f>IFERROR(__xludf.DUMMYFUNCTION("""COMPUTED_VALUE"""),"Giant Sneeze")</f>
        <v>Giant Sneeze</v>
      </c>
      <c r="D1718" s="42" t="str">
        <f>IFERROR(__xludf.DUMMYFUNCTION("""COMPUTED_VALUE"""),"Faudo")</f>
        <v>Faudo</v>
      </c>
      <c r="E1718" s="42">
        <f>IFERROR(__xludf.DUMMYFUNCTION("""COMPUTED_VALUE"""),0.0)</f>
        <v>0</v>
      </c>
      <c r="F1718" s="42" t="str">
        <f>IFERROR(__xludf.DUMMYFUNCTION("""COMPUTED_VALUE"""),"AD")</f>
        <v>AD</v>
      </c>
      <c r="G1718" s="42" t="str">
        <f>IFERROR(__xludf.DUMMYFUNCTION("""COMPUTED_VALUE"""),"None")</f>
        <v>None</v>
      </c>
      <c r="H1718" s="42" t="str">
        <f>IFERROR(__xludf.DUMMYFUNCTION("""COMPUTED_VALUE"""),"-")</f>
        <v>-</v>
      </c>
      <c r="I1718" s="43" t="str">
        <f>IFERROR(__xludf.DUMMYFUNCTION("""COMPUTED_VALUE"""),"Negate all [Stay] OR [Standby] effects. Command:Faudo")</f>
        <v>Negate all [Stay] OR [Standby] effects. Command:Faudo</v>
      </c>
      <c r="J1718" s="42" t="str">
        <f>IFERROR(__xludf.DUMMYFUNCTION("""COMPUTED_VALUE"""),"-")</f>
        <v>-</v>
      </c>
      <c r="K1718" s="42" t="str">
        <f>IFERROR(__xludf.DUMMYFUNCTION("""COMPUTED_VALUE"""),"-")</f>
        <v>-</v>
      </c>
      <c r="L1718" s="42" t="str">
        <f>IFERROR(__xludf.DUMMYFUNCTION("""COMPUTED_VALUE"""),"-")</f>
        <v>-</v>
      </c>
      <c r="M1718" s="42" t="str">
        <f>IFERROR(__xludf.DUMMYFUNCTION("""COMPUTED_VALUE"""),"[C]")</f>
        <v>[C]</v>
      </c>
      <c r="N1718" s="42" t="str">
        <f>IFERROR(__xludf.DUMMYFUNCTION("""COMPUTED_VALUE"""),"""His...His sneeze blew up the whole island!""")</f>
        <v>"His...His sneeze blew up the whole island!"</v>
      </c>
      <c r="O1718" s="42"/>
      <c r="P1718" s="42"/>
      <c r="Q1718" s="42"/>
      <c r="R1718" s="42"/>
      <c r="S1718" s="42"/>
      <c r="T1718" s="42"/>
      <c r="U1718" s="42"/>
      <c r="V1718" s="42"/>
      <c r="W1718" s="42"/>
      <c r="X1718" s="42"/>
      <c r="Y1718" s="42"/>
      <c r="Z1718" s="42"/>
    </row>
    <row r="1719">
      <c r="A1719" s="42" t="str">
        <f>IFERROR(__xludf.DUMMYFUNCTION("""COMPUTED_VALUE"""),"S-588")</f>
        <v>S-588</v>
      </c>
      <c r="B1719" s="42" t="str">
        <f>IFERROR(__xludf.DUMMYFUNCTION("""COMPUTED_VALUE"""),"Spell")</f>
        <v>Spell</v>
      </c>
      <c r="C1719" s="42" t="str">
        <f>IFERROR(__xludf.DUMMYFUNCTION("""COMPUTED_VALUE"""),"Faudo's Main Cannon")</f>
        <v>Faudo's Main Cannon</v>
      </c>
      <c r="D1719" s="42" t="str">
        <f>IFERROR(__xludf.DUMMYFUNCTION("""COMPUTED_VALUE"""),"Faudo")</f>
        <v>Faudo</v>
      </c>
      <c r="E1719" s="42">
        <f>IFERROR(__xludf.DUMMYFUNCTION("""COMPUTED_VALUE"""),1.0)</f>
        <v>1</v>
      </c>
      <c r="F1719" s="42" t="str">
        <f>IFERROR(__xludf.DUMMYFUNCTION("""COMPUTED_VALUE"""),"A")</f>
        <v>A</v>
      </c>
      <c r="G1719" s="42" t="str">
        <f>IFERROR(__xludf.DUMMYFUNCTION("""COMPUTED_VALUE"""),"None")</f>
        <v>None</v>
      </c>
      <c r="H1719" s="42" t="str">
        <f>IFERROR(__xludf.DUMMYFUNCTION("""COMPUTED_VALUE"""),"-")</f>
        <v>-</v>
      </c>
      <c r="I1719" s="43" t="str">
        <f>IFERROR(__xludf.DUMMYFUNCTION("""COMPUTED_VALUE"""),"Damage your opponent's Spell Book when you win the Battle as an Attacker.")</f>
        <v>Damage your opponent's Spell Book when you win the Battle as an Attacker.</v>
      </c>
      <c r="J1719" s="42" t="str">
        <f>IFERROR(__xludf.DUMMYFUNCTION("""COMPUTED_VALUE"""),"+10000")</f>
        <v>+10000</v>
      </c>
      <c r="K1719" s="42" t="str">
        <f>IFERROR(__xludf.DUMMYFUNCTION("""COMPUTED_VALUE"""),"-")</f>
        <v>-</v>
      </c>
      <c r="L1719" s="42" t="str">
        <f>IFERROR(__xludf.DUMMYFUNCTION("""COMPUTED_VALUE"""),"-")</f>
        <v>-</v>
      </c>
      <c r="M1719" s="42" t="str">
        <f>IFERROR(__xludf.DUMMYFUNCTION("""COMPUTED_VALUE"""),"[C]")</f>
        <v>[C]</v>
      </c>
      <c r="N1719" s="42" t="str">
        <f>IFERROR(__xludf.DUMMYFUNCTION("""COMPUTED_VALUE"""),"""Ha ha ha ha ha ha! This is it! This is the power of Faudo!""")</f>
        <v>"Ha ha ha ha ha ha! This is it! This is the power of Faudo!"</v>
      </c>
      <c r="O1719" s="42"/>
      <c r="P1719" s="42"/>
      <c r="Q1719" s="42"/>
      <c r="R1719" s="42"/>
      <c r="S1719" s="42"/>
      <c r="T1719" s="42"/>
      <c r="U1719" s="42"/>
      <c r="V1719" s="42"/>
      <c r="W1719" s="42"/>
      <c r="X1719" s="42"/>
      <c r="Y1719" s="42"/>
      <c r="Z1719" s="42"/>
    </row>
    <row r="1720">
      <c r="A1720" s="42" t="str">
        <f>IFERROR(__xludf.DUMMYFUNCTION("""COMPUTED_VALUE"""),"S-589")</f>
        <v>S-589</v>
      </c>
      <c r="B1720" s="42" t="str">
        <f>IFERROR(__xludf.DUMMYFUNCTION("""COMPUTED_VALUE"""),"Spell")</f>
        <v>Spell</v>
      </c>
      <c r="C1720" s="42" t="str">
        <f>IFERROR(__xludf.DUMMYFUNCTION("""COMPUTED_VALUE"""),"Kaffarlo")</f>
        <v>Kaffarlo</v>
      </c>
      <c r="D1720" s="42" t="str">
        <f>IFERROR(__xludf.DUMMYFUNCTION("""COMPUTED_VALUE"""),"Faudo")</f>
        <v>Faudo</v>
      </c>
      <c r="E1720" s="42">
        <f>IFERROR(__xludf.DUMMYFUNCTION("""COMPUTED_VALUE"""),2.0)</f>
        <v>2</v>
      </c>
      <c r="F1720" s="42" t="str">
        <f>IFERROR(__xludf.DUMMYFUNCTION("""COMPUTED_VALUE"""),"A")</f>
        <v>A</v>
      </c>
      <c r="G1720" s="42" t="str">
        <f>IFERROR(__xludf.DUMMYFUNCTION("""COMPUTED_VALUE"""),"None")</f>
        <v>None</v>
      </c>
      <c r="H1720" s="42" t="str">
        <f>IFERROR(__xludf.DUMMYFUNCTION("""COMPUTED_VALUE"""),"-")</f>
        <v>-</v>
      </c>
      <c r="I1720" s="43" t="str">
        <f>IFERROR(__xludf.DUMMYFUNCTION("""COMPUTED_VALUE"""),"This SPELL card can be played up to twice per turn (per player) Damage your opponent's Spell Book when you win the Battle as an Attacker.")</f>
        <v>This SPELL card can be played up to twice per turn (per player) Damage your opponent's Spell Book when you win the Battle as an Attacker.</v>
      </c>
      <c r="J1720" s="42" t="str">
        <f>IFERROR(__xludf.DUMMYFUNCTION("""COMPUTED_VALUE"""),"+1000")</f>
        <v>+1000</v>
      </c>
      <c r="K1720" s="42" t="str">
        <f>IFERROR(__xludf.DUMMYFUNCTION("""COMPUTED_VALUE"""),"-")</f>
        <v>-</v>
      </c>
      <c r="L1720" s="42" t="str">
        <f>IFERROR(__xludf.DUMMYFUNCTION("""COMPUTED_VALUE"""),"-")</f>
        <v>-</v>
      </c>
      <c r="M1720" s="42" t="str">
        <f>IFERROR(__xludf.DUMMYFUNCTION("""COMPUTED_VALUE"""),"[C]")</f>
        <v>[C]</v>
      </c>
      <c r="N1720" s="42" t="str">
        <f>IFERROR(__xludf.DUMMYFUNCTION("""COMPUTED_VALUE"""),"""Even if we can't use the cannon, we've got lots of other weapons to choose from!""")</f>
        <v>"Even if we can't use the cannon, we've got lots of other weapons to choose from!"</v>
      </c>
      <c r="O1720" s="42"/>
      <c r="P1720" s="42"/>
      <c r="Q1720" s="42"/>
      <c r="R1720" s="42"/>
      <c r="S1720" s="42"/>
      <c r="T1720" s="42"/>
      <c r="U1720" s="42"/>
      <c r="V1720" s="42"/>
      <c r="W1720" s="42"/>
      <c r="X1720" s="42"/>
      <c r="Y1720" s="42"/>
      <c r="Z1720" s="42"/>
    </row>
    <row r="1721">
      <c r="A1721" s="42" t="str">
        <f>IFERROR(__xludf.DUMMYFUNCTION("""COMPUTED_VALUE"""),"S-590")</f>
        <v>S-590</v>
      </c>
      <c r="B1721" s="42" t="str">
        <f>IFERROR(__xludf.DUMMYFUNCTION("""COMPUTED_VALUE"""),"Spell")</f>
        <v>Spell</v>
      </c>
      <c r="C1721" s="42" t="str">
        <f>IFERROR(__xludf.DUMMYFUNCTION("""COMPUTED_VALUE"""),"Fanon Riou Diou")</f>
        <v>Fanon Riou Diou</v>
      </c>
      <c r="D1721" s="42" t="str">
        <f>IFERROR(__xludf.DUMMYFUNCTION("""COMPUTED_VALUE"""),"Riou")</f>
        <v>Riou</v>
      </c>
      <c r="E1721" s="42">
        <f>IFERROR(__xludf.DUMMYFUNCTION("""COMPUTED_VALUE"""),9.0)</f>
        <v>9</v>
      </c>
      <c r="F1721" s="42" t="str">
        <f>IFERROR(__xludf.DUMMYFUNCTION("""COMPUTED_VALUE"""),"AD")</f>
        <v>AD</v>
      </c>
      <c r="G1721" s="42" t="str">
        <f>IFERROR(__xludf.DUMMYFUNCTION("""COMPUTED_VALUE"""),"Superior")</f>
        <v>Superior</v>
      </c>
      <c r="H1721" s="42" t="str">
        <f>IFERROR(__xludf.DUMMYFUNCTION("""COMPUTED_VALUE"""),"-")</f>
        <v>-</v>
      </c>
      <c r="I1721" s="43" t="str">
        <f>IFERROR(__xludf.DUMMYFUNCTION("""COMPUTED_VALUE"""),"Damage your opponent's Spell Book when you win the Battle as an Attacker.")</f>
        <v>Damage your opponent's Spell Book when you win the Battle as an Attacker.</v>
      </c>
      <c r="J1721" s="42" t="str">
        <f>IFERROR(__xludf.DUMMYFUNCTION("""COMPUTED_VALUE"""),"+9000")</f>
        <v>+9000</v>
      </c>
      <c r="K1721" s="42">
        <f>IFERROR(__xludf.DUMMYFUNCTION("""COMPUTED_VALUE"""),9.0)</f>
        <v>9</v>
      </c>
      <c r="L1721" s="42" t="str">
        <f>IFERROR(__xludf.DUMMYFUNCTION("""COMPUTED_VALUE"""),"-")</f>
        <v>-</v>
      </c>
      <c r="M1721" s="42" t="str">
        <f>IFERROR(__xludf.DUMMYFUNCTION("""COMPUTED_VALUE"""),"[R]")</f>
        <v>[R]</v>
      </c>
      <c r="N1721" s="42" t="str">
        <f>IFERROR(__xludf.DUMMYFUNCTION("""COMPUTED_VALUE"""),"Riou's 9th spell. A trio of ferocious beasts unleash their unbridled wrath on his enemy.")</f>
        <v>Riou's 9th spell. A trio of ferocious beasts unleash their unbridled wrath on his enemy.</v>
      </c>
      <c r="O1721" s="42"/>
      <c r="P1721" s="42"/>
      <c r="Q1721" s="42"/>
      <c r="R1721" s="42"/>
      <c r="S1721" s="42"/>
      <c r="T1721" s="42"/>
      <c r="U1721" s="42"/>
      <c r="V1721" s="42"/>
      <c r="W1721" s="42"/>
      <c r="X1721" s="42"/>
      <c r="Y1721" s="42"/>
      <c r="Z1721" s="42"/>
    </row>
    <row r="1722">
      <c r="A1722" s="42" t="str">
        <f>IFERROR(__xludf.DUMMYFUNCTION("""COMPUTED_VALUE"""),"S-591")</f>
        <v>S-591</v>
      </c>
      <c r="B1722" s="42" t="str">
        <f>IFERROR(__xludf.DUMMYFUNCTION("""COMPUTED_VALUE"""),"Spell")</f>
        <v>Spell</v>
      </c>
      <c r="C1722" s="42" t="str">
        <f>IFERROR(__xludf.DUMMYFUNCTION("""COMPUTED_VALUE"""),"Gigano Fanon")</f>
        <v>Gigano Fanon</v>
      </c>
      <c r="D1722" s="42" t="str">
        <f>IFERROR(__xludf.DUMMYFUNCTION("""COMPUTED_VALUE"""),"Riou")</f>
        <v>Riou</v>
      </c>
      <c r="E1722" s="42">
        <f>IFERROR(__xludf.DUMMYFUNCTION("""COMPUTED_VALUE"""),3.0)</f>
        <v>3</v>
      </c>
      <c r="F1722" s="42" t="str">
        <f>IFERROR(__xludf.DUMMYFUNCTION("""COMPUTED_VALUE"""),"A")</f>
        <v>A</v>
      </c>
      <c r="G1722" s="42" t="str">
        <f>IFERROR(__xludf.DUMMYFUNCTION("""COMPUTED_VALUE"""),"Intermediate")</f>
        <v>Intermediate</v>
      </c>
      <c r="H1722" s="42" t="str">
        <f>IFERROR(__xludf.DUMMYFUNCTION("""COMPUTED_VALUE"""),"-")</f>
        <v>-</v>
      </c>
      <c r="I1722" s="43" t="str">
        <f>IFERROR(__xludf.DUMMYFUNCTION("""COMPUTED_VALUE"""),"Damage your opponent's Spell Book when you win the Battle as an Attacker.")</f>
        <v>Damage your opponent's Spell Book when you win the Battle as an Attacker.</v>
      </c>
      <c r="J1722" s="42" t="str">
        <f>IFERROR(__xludf.DUMMYFUNCTION("""COMPUTED_VALUE"""),"+3000")</f>
        <v>+3000</v>
      </c>
      <c r="K1722" s="42">
        <f>IFERROR(__xludf.DUMMYFUNCTION("""COMPUTED_VALUE"""),3.0)</f>
        <v>3</v>
      </c>
      <c r="L1722" s="42" t="str">
        <f>IFERROR(__xludf.DUMMYFUNCTION("""COMPUTED_VALUE"""),"-")</f>
        <v>-</v>
      </c>
      <c r="M1722" s="42" t="str">
        <f>IFERROR(__xludf.DUMMYFUNCTION("""COMPUTED_VALUE"""),"[C]")</f>
        <v>[C]</v>
      </c>
      <c r="N1722" s="42" t="str">
        <f>IFERROR(__xludf.DUMMYFUNCTION("""COMPUTED_VALUE"""),"Riou's 10th spell. Summons a gigantic, bestial head that lunges toward the opponent.")</f>
        <v>Riou's 10th spell. Summons a gigantic, bestial head that lunges toward the opponent.</v>
      </c>
      <c r="O1722" s="42"/>
      <c r="P1722" s="42"/>
      <c r="Q1722" s="42"/>
      <c r="R1722" s="42"/>
      <c r="S1722" s="42"/>
      <c r="T1722" s="42"/>
      <c r="U1722" s="42"/>
      <c r="V1722" s="42"/>
      <c r="W1722" s="42"/>
      <c r="X1722" s="42"/>
      <c r="Y1722" s="42"/>
      <c r="Z1722" s="42"/>
    </row>
    <row r="1723">
      <c r="A1723" s="42" t="str">
        <f>IFERROR(__xludf.DUMMYFUNCTION("""COMPUTED_VALUE"""),"S-592")</f>
        <v>S-592</v>
      </c>
      <c r="B1723" s="42" t="str">
        <f>IFERROR(__xludf.DUMMYFUNCTION("""COMPUTED_VALUE"""),"Spell")</f>
        <v>Spell</v>
      </c>
      <c r="C1723" s="42" t="str">
        <f>IFERROR(__xludf.DUMMYFUNCTION("""COMPUTED_VALUE"""),"Girfadom Barsuruk")</f>
        <v>Girfadom Barsuruk</v>
      </c>
      <c r="D1723" s="42" t="str">
        <f>IFERROR(__xludf.DUMMYFUNCTION("""COMPUTED_VALUE"""),"Riou")</f>
        <v>Riou</v>
      </c>
      <c r="E1723" s="42">
        <f>IFERROR(__xludf.DUMMYFUNCTION("""COMPUTED_VALUE"""),1.0)</f>
        <v>1</v>
      </c>
      <c r="F1723" s="42" t="str">
        <f>IFERROR(__xludf.DUMMYFUNCTION("""COMPUTED_VALUE"""),"A")</f>
        <v>A</v>
      </c>
      <c r="G1723" s="42" t="str">
        <f>IFERROR(__xludf.DUMMYFUNCTION("""COMPUTED_VALUE"""),"Superior")</f>
        <v>Superior</v>
      </c>
      <c r="H1723" s="42" t="str">
        <f>IFERROR(__xludf.DUMMYFUNCTION("""COMPUTED_VALUE"""),"-")</f>
        <v>-</v>
      </c>
      <c r="I1723" s="43" t="str">
        <f>IFERROR(__xludf.DUMMYFUNCTION("""COMPUTED_VALUE"""),"Select 1 Riou (Berserker) MAMODO card from any page of your Spell Book and place it on a Riou MAMODO card. Then, turn 1 page of your Spell Book. Effects that turn pages of your Spell Book can be applied only once per turn (per player).")</f>
        <v>Select 1 Riou (Berserker) MAMODO card from any page of your Spell Book and place it on a Riou MAMODO card. Then, turn 1 page of your Spell Book. Effects that turn pages of your Spell Book can be applied only once per turn (per player).</v>
      </c>
      <c r="J1723" s="42" t="str">
        <f>IFERROR(__xludf.DUMMYFUNCTION("""COMPUTED_VALUE"""),"-")</f>
        <v>-</v>
      </c>
      <c r="K1723" s="42" t="str">
        <f>IFERROR(__xludf.DUMMYFUNCTION("""COMPUTED_VALUE"""),"-")</f>
        <v>-</v>
      </c>
      <c r="L1723" s="42" t="str">
        <f>IFERROR(__xludf.DUMMYFUNCTION("""COMPUTED_VALUE"""),"-")</f>
        <v>-</v>
      </c>
      <c r="M1723" s="42" t="str">
        <f>IFERROR(__xludf.DUMMYFUNCTION("""COMPUTED_VALUE"""),"[U]")</f>
        <v>[U]</v>
      </c>
      <c r="N1723" s="42" t="str">
        <f>IFERROR(__xludf.DUMMYFUNCTION("""COMPUTED_VALUE"""),"Riou's 11th spell. What? you want to use that!?""")</f>
        <v>Riou's 11th spell. What? you want to use that!?"</v>
      </c>
      <c r="O1723" s="42"/>
      <c r="P1723" s="42"/>
      <c r="Q1723" s="42"/>
      <c r="R1723" s="42"/>
      <c r="S1723" s="42"/>
      <c r="T1723" s="42"/>
      <c r="U1723" s="42"/>
      <c r="V1723" s="42"/>
      <c r="W1723" s="42"/>
      <c r="X1723" s="42"/>
      <c r="Y1723" s="42"/>
      <c r="Z1723" s="42"/>
    </row>
    <row r="1724">
      <c r="A1724" s="42" t="str">
        <f>IFERROR(__xludf.DUMMYFUNCTION("""COMPUTED_VALUE"""),"S-593")</f>
        <v>S-593</v>
      </c>
      <c r="B1724" s="42" t="str">
        <f>IFERROR(__xludf.DUMMYFUNCTION("""COMPUTED_VALUE"""),"Spell")</f>
        <v>Spell</v>
      </c>
      <c r="C1724" s="42" t="str">
        <f>IFERROR(__xludf.DUMMYFUNCTION("""COMPUTED_VALUE"""),"Zaker")</f>
        <v>Zaker</v>
      </c>
      <c r="D1724" s="42" t="str">
        <f>IFERROR(__xludf.DUMMYFUNCTION("""COMPUTED_VALUE"""),"Zeno")</f>
        <v>Zeno</v>
      </c>
      <c r="E1724" s="42">
        <f>IFERROR(__xludf.DUMMYFUNCTION("""COMPUTED_VALUE"""),1.0)</f>
        <v>1</v>
      </c>
      <c r="F1724" s="42" t="str">
        <f>IFERROR(__xludf.DUMMYFUNCTION("""COMPUTED_VALUE"""),"AD")</f>
        <v>AD</v>
      </c>
      <c r="G1724" s="42" t="str">
        <f>IFERROR(__xludf.DUMMYFUNCTION("""COMPUTED_VALUE"""),"None")</f>
        <v>None</v>
      </c>
      <c r="H1724" s="42" t="str">
        <f>IFERROR(__xludf.DUMMYFUNCTION("""COMPUTED_VALUE"""),"Thunder")</f>
        <v>Thunder</v>
      </c>
      <c r="I1724" s="43" t="str">
        <f>IFERROR(__xludf.DUMMYFUNCTION("""COMPUTED_VALUE"""),"Damage your opponent's Spell Book when you win the Battle as an Attacker. When you declare the play of this SPELL card, apply 1 of the following effects: ● Add 2000 Power to this SPELL card. ● Increase the Damage of this SPELL card by 1.")</f>
        <v>Damage your opponent's Spell Book when you win the Battle as an Attacker. When you declare the play of this SPELL card, apply 1 of the following effects: ● Add 2000 Power to this SPELL card. ● Increase the Damage of this SPELL card by 1.</v>
      </c>
      <c r="J1724" s="42" t="str">
        <f>IFERROR(__xludf.DUMMYFUNCTION("""COMPUTED_VALUE"""),"+1000")</f>
        <v>+1000</v>
      </c>
      <c r="K1724" s="42">
        <f>IFERROR(__xludf.DUMMYFUNCTION("""COMPUTED_VALUE"""),1.0)</f>
        <v>1</v>
      </c>
      <c r="L1724" s="42" t="str">
        <f>IFERROR(__xludf.DUMMYFUNCTION("""COMPUTED_VALUE"""),"-")</f>
        <v>-</v>
      </c>
      <c r="M1724" s="42" t="str">
        <f>IFERROR(__xludf.DUMMYFUNCTION("""COMPUTED_VALUE"""),"[C]")</f>
        <v>[C]</v>
      </c>
      <c r="N1724" s="42" t="str">
        <f>IFERROR(__xludf.DUMMYFUNCTION("""COMPUTED_VALUE"""),"Zeno's 1st spell. ""If that's his weakest spell...then why is it so powerful?!""")</f>
        <v>Zeno's 1st spell. "If that's his weakest spell...then why is it so powerful?!"</v>
      </c>
      <c r="O1724" s="42"/>
      <c r="P1724" s="42"/>
      <c r="Q1724" s="42"/>
      <c r="R1724" s="42"/>
      <c r="S1724" s="42"/>
      <c r="T1724" s="42"/>
      <c r="U1724" s="42"/>
      <c r="V1724" s="42"/>
      <c r="W1724" s="42"/>
      <c r="X1724" s="42"/>
      <c r="Y1724" s="42"/>
      <c r="Z1724" s="42"/>
    </row>
    <row r="1725">
      <c r="A1725" s="42" t="str">
        <f>IFERROR(__xludf.DUMMYFUNCTION("""COMPUTED_VALUE"""),"S-594")</f>
        <v>S-594</v>
      </c>
      <c r="B1725" s="42" t="str">
        <f>IFERROR(__xludf.DUMMYFUNCTION("""COMPUTED_VALUE"""),"Spell")</f>
        <v>Spell</v>
      </c>
      <c r="C1725" s="42" t="str">
        <f>IFERROR(__xludf.DUMMYFUNCTION("""COMPUTED_VALUE"""),"Zakeruga")</f>
        <v>Zakeruga</v>
      </c>
      <c r="D1725" s="42" t="str">
        <f>IFERROR(__xludf.DUMMYFUNCTION("""COMPUTED_VALUE"""),"Zeno")</f>
        <v>Zeno</v>
      </c>
      <c r="E1725" s="42">
        <f>IFERROR(__xludf.DUMMYFUNCTION("""COMPUTED_VALUE"""),2.0)</f>
        <v>2</v>
      </c>
      <c r="F1725" s="42" t="str">
        <f>IFERROR(__xludf.DUMMYFUNCTION("""COMPUTED_VALUE"""),"AD")</f>
        <v>AD</v>
      </c>
      <c r="G1725" s="42" t="str">
        <f>IFERROR(__xludf.DUMMYFUNCTION("""COMPUTED_VALUE"""),"Intermediate")</f>
        <v>Intermediate</v>
      </c>
      <c r="H1725" s="42" t="str">
        <f>IFERROR(__xludf.DUMMYFUNCTION("""COMPUTED_VALUE"""),"Thunder")</f>
        <v>Thunder</v>
      </c>
      <c r="I1725" s="43" t="str">
        <f>IFERROR(__xludf.DUMMYFUNCTION("""COMPUTED_VALUE"""),"[COUNTER] Damage your opponent's Spell Book when you win the Battle as an Attacker or as a Defender.")</f>
        <v>[COUNTER] Damage your opponent's Spell Book when you win the Battle as an Attacker or as a Defender.</v>
      </c>
      <c r="J1725" s="42" t="str">
        <f>IFERROR(__xludf.DUMMYFUNCTION("""COMPUTED_VALUE"""),"+4000")</f>
        <v>+4000</v>
      </c>
      <c r="K1725" s="42">
        <f>IFERROR(__xludf.DUMMYFUNCTION("""COMPUTED_VALUE"""),1.0)</f>
        <v>1</v>
      </c>
      <c r="L1725" s="42" t="str">
        <f>IFERROR(__xludf.DUMMYFUNCTION("""COMPUTED_VALUE"""),"-")</f>
        <v>-</v>
      </c>
      <c r="M1725" s="42" t="str">
        <f>IFERROR(__xludf.DUMMYFUNCTION("""COMPUTED_VALUE"""),"[C]")</f>
        <v>[C]</v>
      </c>
      <c r="N1725" s="42" t="str">
        <f>IFERROR(__xludf.DUMMYFUNCTION("""COMPUTED_VALUE"""),"Zeno's 2nd spell. ""I'm not even done supplying power to the spell, but he thinks he completely blocked it or something.""")</f>
        <v>Zeno's 2nd spell. "I'm not even done supplying power to the spell, but he thinks he completely blocked it or something."</v>
      </c>
      <c r="O1725" s="42"/>
      <c r="P1725" s="42"/>
      <c r="Q1725" s="42"/>
      <c r="R1725" s="42"/>
      <c r="S1725" s="42"/>
      <c r="T1725" s="42"/>
      <c r="U1725" s="42"/>
      <c r="V1725" s="42"/>
      <c r="W1725" s="42"/>
      <c r="X1725" s="42"/>
      <c r="Y1725" s="42"/>
      <c r="Z1725" s="42"/>
    </row>
    <row r="1726">
      <c r="A1726" s="42" t="str">
        <f>IFERROR(__xludf.DUMMYFUNCTION("""COMPUTED_VALUE"""),"S-595")</f>
        <v>S-595</v>
      </c>
      <c r="B1726" s="42" t="str">
        <f>IFERROR(__xludf.DUMMYFUNCTION("""COMPUTED_VALUE"""),"Spell")</f>
        <v>Spell</v>
      </c>
      <c r="C1726" s="42" t="str">
        <f>IFERROR(__xludf.DUMMYFUNCTION("""COMPUTED_VALUE"""),"Teozaker")</f>
        <v>Teozaker</v>
      </c>
      <c r="D1726" s="42" t="str">
        <f>IFERROR(__xludf.DUMMYFUNCTION("""COMPUTED_VALUE"""),"Zeno")</f>
        <v>Zeno</v>
      </c>
      <c r="E1726" s="42">
        <f>IFERROR(__xludf.DUMMYFUNCTION("""COMPUTED_VALUE"""),2.0)</f>
        <v>2</v>
      </c>
      <c r="F1726" s="42" t="str">
        <f>IFERROR(__xludf.DUMMYFUNCTION("""COMPUTED_VALUE"""),"A")</f>
        <v>A</v>
      </c>
      <c r="G1726" s="42" t="str">
        <f>IFERROR(__xludf.DUMMYFUNCTION("""COMPUTED_VALUE"""),"Intermediate")</f>
        <v>Intermediate</v>
      </c>
      <c r="H1726" s="42" t="str">
        <f>IFERROR(__xludf.DUMMYFUNCTION("""COMPUTED_VALUE"""),"Thunder")</f>
        <v>Thunder</v>
      </c>
      <c r="I1726" s="43" t="str">
        <f>IFERROR(__xludf.DUMMYFUNCTION("""COMPUTED_VALUE"""),"Damage your opponent's Spell Book when you win the Battle as an Attacker. When you declare the play of this SPELL card, you may pay an additional 2 MP; if you do, your opponent can neither SACRIFICE nor PROTECT their Spell Book from the Damage of this SPE"&amp;"LL card.")</f>
        <v>Damage your opponent's Spell Book when you win the Battle as an Attacker. When you declare the play of this SPELL card, you may pay an additional 2 MP; if you do, your opponent can neither SACRIFICE nor PROTECT their Spell Book from the Damage of this SPELL card.</v>
      </c>
      <c r="J1726" s="42" t="str">
        <f>IFERROR(__xludf.DUMMYFUNCTION("""COMPUTED_VALUE"""),"+4000")</f>
        <v>+4000</v>
      </c>
      <c r="K1726" s="42">
        <f>IFERROR(__xludf.DUMMYFUNCTION("""COMPUTED_VALUE"""),2.0)</f>
        <v>2</v>
      </c>
      <c r="L1726" s="42" t="str">
        <f>IFERROR(__xludf.DUMMYFUNCTION("""COMPUTED_VALUE"""),"-")</f>
        <v>-</v>
      </c>
      <c r="M1726" s="42" t="str">
        <f>IFERROR(__xludf.DUMMYFUNCTION("""COMPUTED_VALUE"""),"[U]")</f>
        <v>[U]</v>
      </c>
      <c r="N1726" s="42" t="str">
        <f>IFERROR(__xludf.DUMMYFUNCTION("""COMPUTED_VALUE"""),"Zeno's 3rd spell. ""I don't think a strong spell will be necessary... We can handle this with one shot of our mid-level spell instead.""")</f>
        <v>Zeno's 3rd spell. "I don't think a strong spell will be necessary... We can handle this with one shot of our mid-level spell instead."</v>
      </c>
      <c r="O1726" s="42"/>
      <c r="P1726" s="42"/>
      <c r="Q1726" s="42"/>
      <c r="R1726" s="42"/>
      <c r="S1726" s="42"/>
      <c r="T1726" s="42"/>
      <c r="U1726" s="42"/>
      <c r="V1726" s="42"/>
      <c r="W1726" s="42"/>
      <c r="X1726" s="42"/>
      <c r="Y1726" s="42"/>
      <c r="Z1726" s="42"/>
    </row>
    <row r="1727">
      <c r="A1727" s="42" t="str">
        <f>IFERROR(__xludf.DUMMYFUNCTION("""COMPUTED_VALUE"""),"S-596")</f>
        <v>S-596</v>
      </c>
      <c r="B1727" s="42" t="str">
        <f>IFERROR(__xludf.DUMMYFUNCTION("""COMPUTED_VALUE"""),"Spell")</f>
        <v>Spell</v>
      </c>
      <c r="C1727" s="42" t="str">
        <f>IFERROR(__xludf.DUMMYFUNCTION("""COMPUTED_VALUE"""),"Jauro Zakeruga")</f>
        <v>Jauro Zakeruga</v>
      </c>
      <c r="D1727" s="42" t="str">
        <f>IFERROR(__xludf.DUMMYFUNCTION("""COMPUTED_VALUE"""),"Zeno")</f>
        <v>Zeno</v>
      </c>
      <c r="E1727" s="42">
        <f>IFERROR(__xludf.DUMMYFUNCTION("""COMPUTED_VALUE"""),3.0)</f>
        <v>3</v>
      </c>
      <c r="F1727" s="42" t="str">
        <f>IFERROR(__xludf.DUMMYFUNCTION("""COMPUTED_VALUE"""),"AD")</f>
        <v>AD</v>
      </c>
      <c r="G1727" s="42" t="str">
        <f>IFERROR(__xludf.DUMMYFUNCTION("""COMPUTED_VALUE"""),"Intermediate")</f>
        <v>Intermediate</v>
      </c>
      <c r="H1727" s="42" t="str">
        <f>IFERROR(__xludf.DUMMYFUNCTION("""COMPUTED_VALUE"""),"Thunder")</f>
        <v>Thunder</v>
      </c>
      <c r="I1727" s="43" t="str">
        <f>IFERROR(__xludf.DUMMYFUNCTION("""COMPUTED_VALUE"""),"Damage your opponent's Spell Book when you win the Battle as an Attacker. This SPELL card cannot be negated by your opponent's card effects (except SPELL card effects).")</f>
        <v>Damage your opponent's Spell Book when you win the Battle as an Attacker. This SPELL card cannot be negated by your opponent's card effects (except SPELL card effects).</v>
      </c>
      <c r="J1727" s="42" t="str">
        <f>IFERROR(__xludf.DUMMYFUNCTION("""COMPUTED_VALUE"""),"+4000")</f>
        <v>+4000</v>
      </c>
      <c r="K1727" s="42">
        <f>IFERROR(__xludf.DUMMYFUNCTION("""COMPUTED_VALUE"""),2.0)</f>
        <v>2</v>
      </c>
      <c r="L1727" s="42" t="str">
        <f>IFERROR(__xludf.DUMMYFUNCTION("""COMPUTED_VALUE"""),"-")</f>
        <v>-</v>
      </c>
      <c r="M1727" s="42" t="str">
        <f>IFERROR(__xludf.DUMMYFUNCTION("""COMPUTED_VALUE"""),"[U]")</f>
        <v>[U]</v>
      </c>
      <c r="N1727" s="42" t="str">
        <f>IFERROR(__xludf.DUMMYFUNCTION("""COMPUTED_VALUE"""),"Zeno's 4th spell. In one mighty explosion, Riou's ambitions were forever shattered by the Jauro Zakeruga spell.")</f>
        <v>Zeno's 4th spell. In one mighty explosion, Riou's ambitions were forever shattered by the Jauro Zakeruga spell.</v>
      </c>
      <c r="O1727" s="42"/>
      <c r="P1727" s="42"/>
      <c r="Q1727" s="42"/>
      <c r="R1727" s="42"/>
      <c r="S1727" s="42"/>
      <c r="T1727" s="42"/>
      <c r="U1727" s="42"/>
      <c r="V1727" s="42"/>
      <c r="W1727" s="42"/>
      <c r="X1727" s="42"/>
      <c r="Y1727" s="42"/>
      <c r="Z1727" s="42"/>
    </row>
    <row r="1728">
      <c r="A1728" s="42" t="str">
        <f>IFERROR(__xludf.DUMMYFUNCTION("""COMPUTED_VALUE"""),"S-597")</f>
        <v>S-597</v>
      </c>
      <c r="B1728" s="42" t="str">
        <f>IFERROR(__xludf.DUMMYFUNCTION("""COMPUTED_VALUE"""),"Spell")</f>
        <v>Spell</v>
      </c>
      <c r="C1728" s="42" t="str">
        <f>IFERROR(__xludf.DUMMYFUNCTION("""COMPUTED_VALUE"""),"Staff Combat")</f>
        <v>Staff Combat</v>
      </c>
      <c r="D1728" s="42" t="str">
        <f>IFERROR(__xludf.DUMMYFUNCTION("""COMPUTED_VALUE"""),"Riou / Zeno")</f>
        <v>Riou / Zeno</v>
      </c>
      <c r="E1728" s="42">
        <f>IFERROR(__xludf.DUMMYFUNCTION("""COMPUTED_VALUE"""),0.0)</f>
        <v>0</v>
      </c>
      <c r="F1728" s="42" t="str">
        <f>IFERROR(__xludf.DUMMYFUNCTION("""COMPUTED_VALUE"""),"AD")</f>
        <v>AD</v>
      </c>
      <c r="G1728" s="42" t="str">
        <f>IFERROR(__xludf.DUMMYFUNCTION("""COMPUTED_VALUE"""),"None")</f>
        <v>None</v>
      </c>
      <c r="H1728" s="42" t="str">
        <f>IFERROR(__xludf.DUMMYFUNCTION("""COMPUTED_VALUE"""),"-")</f>
        <v>-</v>
      </c>
      <c r="I1728" s="43" t="str">
        <f>IFERROR(__xludf.DUMMYFUNCTION("""COMPUTED_VALUE"""),"Damage your opponent's Spell Book when you win the Battle as an Attacker. If your opponent is Attacking with a MAMODO card's effect without using a SPELL card, negate the Attack regardless of their Power, and Damage your opponent's Spell Book.")</f>
        <v>Damage your opponent's Spell Book when you win the Battle as an Attacker. If your opponent is Attacking with a MAMODO card's effect without using a SPELL card, negate the Attack regardless of their Power, and Damage your opponent's Spell Book.</v>
      </c>
      <c r="J1728" s="42" t="str">
        <f>IFERROR(__xludf.DUMMYFUNCTION("""COMPUTED_VALUE"""),"+2000")</f>
        <v>+2000</v>
      </c>
      <c r="K1728" s="42" t="str">
        <f>IFERROR(__xludf.DUMMYFUNCTION("""COMPUTED_VALUE"""),"-")</f>
        <v>-</v>
      </c>
      <c r="L1728" s="42" t="str">
        <f>IFERROR(__xludf.DUMMYFUNCTION("""COMPUTED_VALUE"""),"-")</f>
        <v>-</v>
      </c>
      <c r="M1728" s="42" t="str">
        <f>IFERROR(__xludf.DUMMYFUNCTION("""COMPUTED_VALUE"""),"[U]")</f>
        <v>[U]</v>
      </c>
      <c r="N1728" s="42" t="str">
        <f>IFERROR(__xludf.DUMMYFUNCTION("""COMPUTED_VALUE"""),"""You have no idea how to use your staff, do you?""")</f>
        <v>"You have no idea how to use your staff, do you?"</v>
      </c>
      <c r="O1728" s="42"/>
      <c r="P1728" s="42"/>
      <c r="Q1728" s="42"/>
      <c r="R1728" s="42"/>
      <c r="S1728" s="42"/>
      <c r="T1728" s="42"/>
      <c r="U1728" s="42"/>
      <c r="V1728" s="42"/>
      <c r="W1728" s="42"/>
      <c r="X1728" s="42"/>
      <c r="Y1728" s="42"/>
      <c r="Z1728" s="42"/>
    </row>
    <row r="1729">
      <c r="A1729" s="42" t="str">
        <f>IFERROR(__xludf.DUMMYFUNCTION("""COMPUTED_VALUE"""),"S-598")</f>
        <v>S-598</v>
      </c>
      <c r="B1729" s="42" t="str">
        <f>IFERROR(__xludf.DUMMYFUNCTION("""COMPUTED_VALUE"""),"Spell")</f>
        <v>Spell</v>
      </c>
      <c r="C1729" s="42" t="str">
        <f>IFERROR(__xludf.DUMMYFUNCTION("""COMPUTED_VALUE"""),"Wrapping Shield")</f>
        <v>Wrapping Shield</v>
      </c>
      <c r="D1729" s="42" t="str">
        <f>IFERROR(__xludf.DUMMYFUNCTION("""COMPUTED_VALUE"""),"Ponygon")</f>
        <v>Ponygon</v>
      </c>
      <c r="E1729" s="42">
        <f>IFERROR(__xludf.DUMMYFUNCTION("""COMPUTED_VALUE"""),1.0)</f>
        <v>1</v>
      </c>
      <c r="F1729" s="42" t="str">
        <f>IFERROR(__xludf.DUMMYFUNCTION("""COMPUTED_VALUE"""),"D")</f>
        <v>D</v>
      </c>
      <c r="G1729" s="42" t="str">
        <f>IFERROR(__xludf.DUMMYFUNCTION("""COMPUTED_VALUE"""),"Intermediate")</f>
        <v>Intermediate</v>
      </c>
      <c r="H1729" s="42" t="str">
        <f>IFERROR(__xludf.DUMMYFUNCTION("""COMPUTED_VALUE"""),"Fire")</f>
        <v>Fire</v>
      </c>
      <c r="I1729" s="43" t="str">
        <f>IFERROR(__xludf.DUMMYFUNCTION("""COMPUTED_VALUE"""),"Negate your opponent's Attack if their Attack does any of the following: ● Damages your Spell Book and Injures any of your MAMODO cards. ● Injures 2 or more of your MAMODO cards. ● Inflicts Damage more than once. ● Can be used more than once per turn (neg"&amp;"ate only 1 of these Attacks). ")</f>
        <v>Negate your opponent's Attack if their Attack does any of the following: ● Damages your Spell Book and Injures any of your MAMODO cards. ● Injures 2 or more of your MAMODO cards. ● Inflicts Damage more than once. ● Can be used more than once per turn (negate only 1 of these Attacks). </v>
      </c>
      <c r="J1729" s="42" t="str">
        <f>IFERROR(__xludf.DUMMYFUNCTION("""COMPUTED_VALUE"""),"-")</f>
        <v>-</v>
      </c>
      <c r="K1729" s="42" t="str">
        <f>IFERROR(__xludf.DUMMYFUNCTION("""COMPUTED_VALUE"""),"-")</f>
        <v>-</v>
      </c>
      <c r="L1729" s="42" t="str">
        <f>IFERROR(__xludf.DUMMYFUNCTION("""COMPUTED_VALUE"""),"-")</f>
        <v>-</v>
      </c>
      <c r="M1729" s="42" t="str">
        <f>IFERROR(__xludf.DUMMYFUNCTION("""COMPUTED_VALUE"""),"[C]")</f>
        <v>[C]</v>
      </c>
      <c r="N1729" s="42" t="str">
        <f>IFERROR(__xludf.DUMMYFUNCTION("""COMPUTED_VALUE"""),"Command:Ponygon (Dioemur Shudoruk Form) ""Alishie, Riya! Get next to Ponygon! Ponygon! Wrapping Shield!""")</f>
        <v>Command:Ponygon (Dioemur Shudoruk Form) "Alishie, Riya! Get next to Ponygon! Ponygon! Wrapping Shield!"</v>
      </c>
      <c r="O1729" s="42"/>
      <c r="P1729" s="42"/>
      <c r="Q1729" s="42"/>
      <c r="R1729" s="42"/>
      <c r="S1729" s="42"/>
      <c r="T1729" s="42"/>
      <c r="U1729" s="42"/>
      <c r="V1729" s="42"/>
      <c r="W1729" s="42"/>
      <c r="X1729" s="42"/>
      <c r="Y1729" s="42"/>
      <c r="Z1729" s="42"/>
    </row>
    <row r="1730">
      <c r="A1730" s="42" t="str">
        <f>IFERROR(__xludf.DUMMYFUNCTION("""COMPUTED_VALUE"""),"S-599")</f>
        <v>S-599</v>
      </c>
      <c r="B1730" s="42" t="str">
        <f>IFERROR(__xludf.DUMMYFUNCTION("""COMPUTED_VALUE"""),"Spell")</f>
        <v>Spell</v>
      </c>
      <c r="C1730" s="42" t="str">
        <f>IFERROR(__xludf.DUMMYFUNCTION("""COMPUTED_VALUE"""),"Solid Flame Shield")</f>
        <v>Solid Flame Shield</v>
      </c>
      <c r="D1730" s="42" t="str">
        <f>IFERROR(__xludf.DUMMYFUNCTION("""COMPUTED_VALUE"""),"Ponygon")</f>
        <v>Ponygon</v>
      </c>
      <c r="E1730" s="42">
        <f>IFERROR(__xludf.DUMMYFUNCTION("""COMPUTED_VALUE"""),1.0)</f>
        <v>1</v>
      </c>
      <c r="F1730" s="42" t="str">
        <f>IFERROR(__xludf.DUMMYFUNCTION("""COMPUTED_VALUE"""),"D")</f>
        <v>D</v>
      </c>
      <c r="G1730" s="42" t="str">
        <f>IFERROR(__xludf.DUMMYFUNCTION("""COMPUTED_VALUE"""),"Intermediate")</f>
        <v>Intermediate</v>
      </c>
      <c r="H1730" s="42" t="str">
        <f>IFERROR(__xludf.DUMMYFUNCTION("""COMPUTED_VALUE"""),"Fire")</f>
        <v>Fire</v>
      </c>
      <c r="I1730" s="43" t="str">
        <f>IFERROR(__xludf.DUMMYFUNCTION("""COMPUTED_VALUE"""),"Negate your opponent's Attack when you win the Battle as a Defender. When you declare the play of this SPELL card, you may pay an additional 1 MP to add 2000 Power to this SPELL card.")</f>
        <v>Negate your opponent's Attack when you win the Battle as a Defender. When you declare the play of this SPELL card, you may pay an additional 1 MP to add 2000 Power to this SPELL card.</v>
      </c>
      <c r="J1730" s="42" t="str">
        <f>IFERROR(__xludf.DUMMYFUNCTION("""COMPUTED_VALUE"""),"+8000")</f>
        <v>+8000</v>
      </c>
      <c r="K1730" s="42" t="str">
        <f>IFERROR(__xludf.DUMMYFUNCTION("""COMPUTED_VALUE"""),"-")</f>
        <v>-</v>
      </c>
      <c r="L1730" s="42" t="str">
        <f>IFERROR(__xludf.DUMMYFUNCTION("""COMPUTED_VALUE"""),"-")</f>
        <v>-</v>
      </c>
      <c r="M1730" s="42" t="str">
        <f>IFERROR(__xludf.DUMMYFUNCTION("""COMPUTED_VALUE"""),"[C]")</f>
        <v>[C]</v>
      </c>
      <c r="N1730" s="42" t="str">
        <f>IFERROR(__xludf.DUMMYFUNCTION("""COMPUTED_VALUE"""),"Command:Ponygon (Dioemur Shudoruk Form) ""Oh no! Ponygon, use your flame shield! We need the strongest shield you can make!""")</f>
        <v>Command:Ponygon (Dioemur Shudoruk Form) "Oh no! Ponygon, use your flame shield! We need the strongest shield you can make!"</v>
      </c>
      <c r="O1730" s="42"/>
      <c r="P1730" s="42"/>
      <c r="Q1730" s="42"/>
      <c r="R1730" s="42"/>
      <c r="S1730" s="42"/>
      <c r="T1730" s="42"/>
      <c r="U1730" s="42"/>
      <c r="V1730" s="42"/>
      <c r="W1730" s="42"/>
      <c r="X1730" s="42"/>
      <c r="Y1730" s="42"/>
      <c r="Z1730" s="42"/>
    </row>
    <row r="1731">
      <c r="A1731" s="42" t="str">
        <f>IFERROR(__xludf.DUMMYFUNCTION("""COMPUTED_VALUE"""),"S-600")</f>
        <v>S-600</v>
      </c>
      <c r="B1731" s="42" t="str">
        <f>IFERROR(__xludf.DUMMYFUNCTION("""COMPUTED_VALUE"""),"Spell")</f>
        <v>Spell</v>
      </c>
      <c r="C1731" s="42" t="str">
        <f>IFERROR(__xludf.DUMMYFUNCTION("""COMPUTED_VALUE"""),"Flame Javelin")</f>
        <v>Flame Javelin</v>
      </c>
      <c r="D1731" s="42" t="str">
        <f>IFERROR(__xludf.DUMMYFUNCTION("""COMPUTED_VALUE"""),"Ponygon")</f>
        <v>Ponygon</v>
      </c>
      <c r="E1731" s="42">
        <f>IFERROR(__xludf.DUMMYFUNCTION("""COMPUTED_VALUE"""),3.0)</f>
        <v>3</v>
      </c>
      <c r="F1731" s="42" t="str">
        <f>IFERROR(__xludf.DUMMYFUNCTION("""COMPUTED_VALUE"""),"AD")</f>
        <v>AD</v>
      </c>
      <c r="G1731" s="42" t="str">
        <f>IFERROR(__xludf.DUMMYFUNCTION("""COMPUTED_VALUE"""),"Superior")</f>
        <v>Superior</v>
      </c>
      <c r="H1731" s="42" t="str">
        <f>IFERROR(__xludf.DUMMYFUNCTION("""COMPUTED_VALUE"""),"Fire")</f>
        <v>Fire</v>
      </c>
      <c r="I1731" s="43" t="str">
        <f>IFERROR(__xludf.DUMMYFUNCTION("""COMPUTED_VALUE"""),"Damage your opponent's Spell Book when you win the Battle as an Attacker. When you declare the play of this card, you may pay an additional 1 MP to apply 1 of the following effects for each MP paid: ● Your opponent cannot SACRIFICE or PROTECT from Damage."&amp;" ● Reduce the Power of the SPELL your opponent is Defending with to 0.")</f>
        <v>Damage your opponent's Spell Book when you win the Battle as an Attacker. When you declare the play of this card, you may pay an additional 1 MP to apply 1 of the following effects for each MP paid: ● Your opponent cannot SACRIFICE or PROTECT from Damage. ● Reduce the Power of the SPELL your opponent is Defending with to 0.</v>
      </c>
      <c r="J1731" s="42" t="str">
        <f>IFERROR(__xludf.DUMMYFUNCTION("""COMPUTED_VALUE"""),"+5000")</f>
        <v>+5000</v>
      </c>
      <c r="K1731" s="42">
        <f>IFERROR(__xludf.DUMMYFUNCTION("""COMPUTED_VALUE"""),3.0)</f>
        <v>3</v>
      </c>
      <c r="L1731" s="42" t="str">
        <f>IFERROR(__xludf.DUMMYFUNCTION("""COMPUTED_VALUE"""),"-")</f>
        <v>-</v>
      </c>
      <c r="M1731" s="42" t="str">
        <f>IFERROR(__xludf.DUMMYFUNCTION("""COMPUTED_VALUE"""),"[SR]")</f>
        <v>[SR]</v>
      </c>
      <c r="N1731" s="42" t="str">
        <f>IFERROR(__xludf.DUMMYFUNCTION("""COMPUTED_VALUE"""),"Command:Ponygon (Dioemur Shudoruk Form) Ponygon focused all his fire on the tip of his horn... like a spear sharp enough to cut through Fango's massive flames.")</f>
        <v>Command:Ponygon (Dioemur Shudoruk Form) Ponygon focused all his fire on the tip of his horn... like a spear sharp enough to cut through Fango's massive flames.</v>
      </c>
      <c r="O1731" s="42"/>
      <c r="P1731" s="42"/>
      <c r="Q1731" s="42"/>
      <c r="R1731" s="42"/>
      <c r="S1731" s="42"/>
      <c r="T1731" s="42"/>
      <c r="U1731" s="42"/>
      <c r="V1731" s="42"/>
      <c r="W1731" s="42"/>
      <c r="X1731" s="42"/>
      <c r="Y1731" s="42"/>
      <c r="Z1731" s="42"/>
    </row>
    <row r="1732">
      <c r="A1732" s="42" t="str">
        <f>IFERROR(__xludf.DUMMYFUNCTION("""COMPUTED_VALUE"""),"S-601")</f>
        <v>S-601</v>
      </c>
      <c r="B1732" s="42" t="str">
        <f>IFERROR(__xludf.DUMMYFUNCTION("""COMPUTED_VALUE"""),"Spell")</f>
        <v>Spell</v>
      </c>
      <c r="C1732" s="42" t="str">
        <f>IFERROR(__xludf.DUMMYFUNCTION("""COMPUTED_VALUE"""),"Shao Niodoruk")</f>
        <v>Shao Niodoruk</v>
      </c>
      <c r="D1732" s="42" t="str">
        <f>IFERROR(__xludf.DUMMYFUNCTION("""COMPUTED_VALUE"""),"Riya")</f>
        <v>Riya</v>
      </c>
      <c r="E1732" s="42">
        <f>IFERROR(__xludf.DUMMYFUNCTION("""COMPUTED_VALUE"""),5.0)</f>
        <v>5</v>
      </c>
      <c r="F1732" s="42" t="str">
        <f>IFERROR(__xludf.DUMMYFUNCTION("""COMPUTED_VALUE"""),"AD")</f>
        <v>AD</v>
      </c>
      <c r="G1732" s="42" t="str">
        <f>IFERROR(__xludf.DUMMYFUNCTION("""COMPUTED_VALUE"""),"Superior")</f>
        <v>Superior</v>
      </c>
      <c r="H1732" s="42" t="str">
        <f>IFERROR(__xludf.DUMMYFUNCTION("""COMPUTED_VALUE"""),"-")</f>
        <v>-</v>
      </c>
      <c r="I1732" s="43" t="str">
        <f>IFERROR(__xludf.DUMMYFUNCTION("""COMPUTED_VALUE"""),"Damage your opponent's Spell Book when you win the Battle as an Attacker. If you Defended with a different MAMODO's SPELL card on the previous turn, or if you Attacked with another MAMODO's SPELL card during this turn, your opponent can neither SACRIFICE "&amp;"nor PROTECT their Spell Book from Damage.")</f>
        <v>Damage your opponent's Spell Book when you win the Battle as an Attacker. If you Defended with a different MAMODO's SPELL card on the previous turn, or if you Attacked with another MAMODO's SPELL card during this turn, your opponent can neither SACRIFICE nor PROTECT their Spell Book from Damage.</v>
      </c>
      <c r="J1732" s="42" t="str">
        <f>IFERROR(__xludf.DUMMYFUNCTION("""COMPUTED_VALUE"""),"+6000")</f>
        <v>+6000</v>
      </c>
      <c r="K1732" s="42">
        <f>IFERROR(__xludf.DUMMYFUNCTION("""COMPUTED_VALUE"""),3.0)</f>
        <v>3</v>
      </c>
      <c r="L1732" s="42" t="str">
        <f>IFERROR(__xludf.DUMMYFUNCTION("""COMPUTED_VALUE"""),"-")</f>
        <v>-</v>
      </c>
      <c r="M1732" s="42" t="str">
        <f>IFERROR(__xludf.DUMMYFUNCTION("""COMPUTED_VALUE"""),"[R]")</f>
        <v>[R]</v>
      </c>
      <c r="N1732" s="42" t="str">
        <f>IFERROR(__xludf.DUMMYFUNCTION("""COMPUTED_VALUE"""),"Riya's 5th spell. ""Didn't you realize yet? It's not power that you need, but a spirit of belief!""")</f>
        <v>Riya's 5th spell. "Didn't you realize yet? It's not power that you need, but a spirit of belief!"</v>
      </c>
      <c r="O1732" s="42"/>
      <c r="P1732" s="42"/>
      <c r="Q1732" s="42"/>
      <c r="R1732" s="42"/>
      <c r="S1732" s="42"/>
      <c r="T1732" s="42"/>
      <c r="U1732" s="42"/>
      <c r="V1732" s="42"/>
      <c r="W1732" s="42"/>
      <c r="X1732" s="42"/>
      <c r="Y1732" s="42"/>
      <c r="Z1732" s="42"/>
    </row>
    <row r="1733">
      <c r="A1733" s="42" t="str">
        <f>IFERROR(__xludf.DUMMYFUNCTION("""COMPUTED_VALUE"""),"S-602")</f>
        <v>S-602</v>
      </c>
      <c r="B1733" s="42" t="str">
        <f>IFERROR(__xludf.DUMMYFUNCTION("""COMPUTED_VALUE"""),"Spell")</f>
        <v>Spell</v>
      </c>
      <c r="C1733" s="42" t="str">
        <f>IFERROR(__xludf.DUMMYFUNCTION("""COMPUTED_VALUE"""),"Barudo Niosen")</f>
        <v>Barudo Niosen</v>
      </c>
      <c r="D1733" s="42" t="str">
        <f>IFERROR(__xludf.DUMMYFUNCTION("""COMPUTED_VALUE"""),"Riya")</f>
        <v>Riya</v>
      </c>
      <c r="E1733" s="42">
        <f>IFERROR(__xludf.DUMMYFUNCTION("""COMPUTED_VALUE"""),1.0)</f>
        <v>1</v>
      </c>
      <c r="F1733" s="42" t="str">
        <f>IFERROR(__xludf.DUMMYFUNCTION("""COMPUTED_VALUE"""),"AD")</f>
        <v>AD</v>
      </c>
      <c r="G1733" s="42" t="str">
        <f>IFERROR(__xludf.DUMMYFUNCTION("""COMPUTED_VALUE"""),"None")</f>
        <v>None</v>
      </c>
      <c r="H1733" s="42" t="str">
        <f>IFERROR(__xludf.DUMMYFUNCTION("""COMPUTED_VALUE"""),"-")</f>
        <v>-</v>
      </c>
      <c r="I1733" s="43" t="str">
        <f>IFERROR(__xludf.DUMMYFUNCTION("""COMPUTED_VALUE"""),"Damage your opponent's Spell Book when you win the Battle as an Attacker. Before comparing Total Power, you may pay an additional 1 MP to add 2000 Power to this SPELL card (maximum 3 MP).")</f>
        <v>Damage your opponent's Spell Book when you win the Battle as an Attacker. Before comparing Total Power, you may pay an additional 1 MP to add 2000 Power to this SPELL card (maximum 3 MP).</v>
      </c>
      <c r="J1733" s="42" t="str">
        <f>IFERROR(__xludf.DUMMYFUNCTION("""COMPUTED_VALUE"""),"+2000")</f>
        <v>+2000</v>
      </c>
      <c r="K1733" s="42">
        <f>IFERROR(__xludf.DUMMYFUNCTION("""COMPUTED_VALUE"""),2.0)</f>
        <v>2</v>
      </c>
      <c r="L1733" s="42" t="str">
        <f>IFERROR(__xludf.DUMMYFUNCTION("""COMPUTED_VALUE"""),"-")</f>
        <v>-</v>
      </c>
      <c r="M1733" s="42" t="str">
        <f>IFERROR(__xludf.DUMMYFUNCTION("""COMPUTED_VALUE"""),"[C]")</f>
        <v>[C]</v>
      </c>
      <c r="N1733" s="42" t="str">
        <f>IFERROR(__xludf.DUMMYFUNCTION("""COMPUTED_VALUE"""),"Riya's 7th spell. He shoots forth giant pillars that spread apart at Riya's command, bombarding the enemy with shrapnel.")</f>
        <v>Riya's 7th spell. He shoots forth giant pillars that spread apart at Riya's command, bombarding the enemy with shrapnel.</v>
      </c>
      <c r="O1733" s="42"/>
      <c r="P1733" s="42"/>
      <c r="Q1733" s="42"/>
      <c r="R1733" s="42"/>
      <c r="S1733" s="42"/>
      <c r="T1733" s="42"/>
      <c r="U1733" s="42"/>
      <c r="V1733" s="42"/>
      <c r="W1733" s="42"/>
      <c r="X1733" s="42"/>
      <c r="Y1733" s="42"/>
      <c r="Z1733" s="42"/>
    </row>
    <row r="1734">
      <c r="A1734" s="42" t="str">
        <f>IFERROR(__xludf.DUMMYFUNCTION("""COMPUTED_VALUE"""),"S-603")</f>
        <v>S-603</v>
      </c>
      <c r="B1734" s="42" t="str">
        <f>IFERROR(__xludf.DUMMYFUNCTION("""COMPUTED_VALUE"""),"Spell")</f>
        <v>Spell</v>
      </c>
      <c r="C1734" s="42" t="str">
        <f>IFERROR(__xludf.DUMMYFUNCTION("""COMPUTED_VALUE"""),"Digo Shirushio")</f>
        <v>Digo Shirushio</v>
      </c>
      <c r="D1734" s="42" t="str">
        <f>IFERROR(__xludf.DUMMYFUNCTION("""COMPUTED_VALUE"""),"Riya")</f>
        <v>Riya</v>
      </c>
      <c r="E1734" s="42">
        <f>IFERROR(__xludf.DUMMYFUNCTION("""COMPUTED_VALUE"""),1.0)</f>
        <v>1</v>
      </c>
      <c r="F1734" s="42" t="str">
        <f>IFERROR(__xludf.DUMMYFUNCTION("""COMPUTED_VALUE"""),"D")</f>
        <v>D</v>
      </c>
      <c r="G1734" s="42" t="str">
        <f>IFERROR(__xludf.DUMMYFUNCTION("""COMPUTED_VALUE"""),"Intermediate")</f>
        <v>Intermediate</v>
      </c>
      <c r="H1734" s="42" t="str">
        <f>IFERROR(__xludf.DUMMYFUNCTION("""COMPUTED_VALUE"""),"-")</f>
        <v>-</v>
      </c>
      <c r="I1734" s="43" t="str">
        <f>IFERROR(__xludf.DUMMYFUNCTION("""COMPUTED_VALUE"""),"This SPELL card can be played when you already have another MAMODO card Defending in the Battle. When played in this manner, add the Power of this SPELL card to the Total Power of your Defense. Negate your opponent's Attack when you win the Battle as a De"&amp;"fender.")</f>
        <v>This SPELL card can be played when you already have another MAMODO card Defending in the Battle. When played in this manner, add the Power of this SPELL card to the Total Power of your Defense. Negate your opponent's Attack when you win the Battle as a Defender.</v>
      </c>
      <c r="J1734" s="42" t="str">
        <f>IFERROR(__xludf.DUMMYFUNCTION("""COMPUTED_VALUE"""),"+6000")</f>
        <v>+6000</v>
      </c>
      <c r="K1734" s="42" t="str">
        <f>IFERROR(__xludf.DUMMYFUNCTION("""COMPUTED_VALUE"""),"-")</f>
        <v>-</v>
      </c>
      <c r="L1734" s="42" t="str">
        <f>IFERROR(__xludf.DUMMYFUNCTION("""COMPUTED_VALUE"""),"-")</f>
        <v>-</v>
      </c>
      <c r="M1734" s="42" t="str">
        <f>IFERROR(__xludf.DUMMYFUNCTION("""COMPUTED_VALUE"""),"[U]")</f>
        <v>[U]</v>
      </c>
      <c r="N1734" s="42" t="str">
        <f>IFERROR(__xludf.DUMMYFUNCTION("""COMPUTED_VALUE"""),"Riya's 8th spell. ""Let's use our strongest shield too, Riya! We'll help Ponygon block it!""")</f>
        <v>Riya's 8th spell. "Let's use our strongest shield too, Riya! We'll help Ponygon block it!"</v>
      </c>
      <c r="O1734" s="42"/>
      <c r="P1734" s="42"/>
      <c r="Q1734" s="42"/>
      <c r="R1734" s="42"/>
      <c r="S1734" s="42"/>
      <c r="T1734" s="42"/>
      <c r="U1734" s="42"/>
      <c r="V1734" s="42"/>
      <c r="W1734" s="42"/>
      <c r="X1734" s="42"/>
      <c r="Y1734" s="42"/>
      <c r="Z1734" s="42"/>
    </row>
    <row r="1735">
      <c r="A1735" s="42" t="str">
        <f>IFERROR(__xludf.DUMMYFUNCTION("""COMPUTED_VALUE"""),"S-604")</f>
        <v>S-604</v>
      </c>
      <c r="B1735" s="42" t="str">
        <f>IFERROR(__xludf.DUMMYFUNCTION("""COMPUTED_VALUE"""),"Spell")</f>
        <v>Spell</v>
      </c>
      <c r="C1735" s="42" t="str">
        <f>IFERROR(__xludf.DUMMYFUNCTION("""COMPUTED_VALUE"""),"Piku Garnio")</f>
        <v>Piku Garnio</v>
      </c>
      <c r="D1735" s="42" t="str">
        <f>IFERROR(__xludf.DUMMYFUNCTION("""COMPUTED_VALUE"""),"Riya")</f>
        <v>Riya</v>
      </c>
      <c r="E1735" s="42">
        <f>IFERROR(__xludf.DUMMYFUNCTION("""COMPUTED_VALUE"""),1.0)</f>
        <v>1</v>
      </c>
      <c r="F1735" s="42" t="str">
        <f>IFERROR(__xludf.DUMMYFUNCTION("""COMPUTED_VALUE"""),"A")</f>
        <v>A</v>
      </c>
      <c r="G1735" s="42" t="str">
        <f>IFERROR(__xludf.DUMMYFUNCTION("""COMPUTED_VALUE"""),"None")</f>
        <v>None</v>
      </c>
      <c r="H1735" s="42" t="str">
        <f>IFERROR(__xludf.DUMMYFUNCTION("""COMPUTED_VALUE"""),"-")</f>
        <v>-</v>
      </c>
      <c r="I1735" s="43" t="str">
        <f>IFERROR(__xludf.DUMMYFUNCTION("""COMPUTED_VALUE"""),"This SPELL card can be played only if you Attacked with an Alishie PARTNER card during this turn. Apply 1 of the following effects when you win the Battle as an Attacker: ● Damage your opponent's Spell Book. ● Send 1 of your opponent's MAMODO cards that r"&amp;"eceived Damage or Injury from your Alishie PARTNER card's Attacks during this turn to the Discard Pile.")</f>
        <v>This SPELL card can be played only if you Attacked with an Alishie PARTNER card during this turn. Apply 1 of the following effects when you win the Battle as an Attacker: ● Damage your opponent's Spell Book. ● Send 1 of your opponent's MAMODO cards that received Damage or Injury from your Alishie PARTNER card's Attacks during this turn to the Discard Pile.</v>
      </c>
      <c r="J1735" s="42" t="str">
        <f>IFERROR(__xludf.DUMMYFUNCTION("""COMPUTED_VALUE"""),"+2000")</f>
        <v>+2000</v>
      </c>
      <c r="K1735" s="42">
        <f>IFERROR(__xludf.DUMMYFUNCTION("""COMPUTED_VALUE"""),1.0)</f>
        <v>1</v>
      </c>
      <c r="L1735" s="42" t="str">
        <f>IFERROR(__xludf.DUMMYFUNCTION("""COMPUTED_VALUE"""),"-")</f>
        <v>-</v>
      </c>
      <c r="M1735" s="42" t="str">
        <f>IFERROR(__xludf.DUMMYFUNCTION("""COMPUTED_VALUE"""),"[C]")</f>
        <v>[C]</v>
      </c>
      <c r="N1735" s="42" t="str">
        <f>IFERROR(__xludf.DUMMYFUNCTION("""COMPUTED_VALUE"""),"Riya's 9th spell. Alishie and Zaruchim face off... until Riya jumps in to lend his partner a hand!")</f>
        <v>Riya's 9th spell. Alishie and Zaruchim face off... until Riya jumps in to lend his partner a hand!</v>
      </c>
      <c r="O1735" s="42"/>
      <c r="P1735" s="42"/>
      <c r="Q1735" s="42"/>
      <c r="R1735" s="42"/>
      <c r="S1735" s="42"/>
      <c r="T1735" s="42"/>
      <c r="U1735" s="42"/>
      <c r="V1735" s="42"/>
      <c r="W1735" s="42"/>
      <c r="X1735" s="42"/>
      <c r="Y1735" s="42"/>
      <c r="Z1735" s="42"/>
    </row>
    <row r="1736">
      <c r="A1736" s="42" t="str">
        <f>IFERROR(__xludf.DUMMYFUNCTION("""COMPUTED_VALUE"""),"S-605")</f>
        <v>S-605</v>
      </c>
      <c r="B1736" s="42" t="str">
        <f>IFERROR(__xludf.DUMMYFUNCTION("""COMPUTED_VALUE"""),"Spell")</f>
        <v>Spell</v>
      </c>
      <c r="C1736" s="42" t="str">
        <f>IFERROR(__xludf.DUMMYFUNCTION("""COMPUTED_VALUE"""),"Go Niodoruk")</f>
        <v>Go Niodoruk</v>
      </c>
      <c r="D1736" s="42" t="str">
        <f>IFERROR(__xludf.DUMMYFUNCTION("""COMPUTED_VALUE"""),"Riya")</f>
        <v>Riya</v>
      </c>
      <c r="E1736" s="42">
        <f>IFERROR(__xludf.DUMMYFUNCTION("""COMPUTED_VALUE"""),1.0)</f>
        <v>1</v>
      </c>
      <c r="F1736" s="42" t="str">
        <f>IFERROR(__xludf.DUMMYFUNCTION("""COMPUTED_VALUE"""),"A")</f>
        <v>A</v>
      </c>
      <c r="G1736" s="42" t="str">
        <f>IFERROR(__xludf.DUMMYFUNCTION("""COMPUTED_VALUE"""),"Intermediate")</f>
        <v>Intermediate</v>
      </c>
      <c r="H1736" s="42" t="str">
        <f>IFERROR(__xludf.DUMMYFUNCTION("""COMPUTED_VALUE"""),"-")</f>
        <v>-</v>
      </c>
      <c r="I1736" s="43" t="str">
        <f>IFERROR(__xludf.DUMMYFUNCTION("""COMPUTED_VALUE"""),"[STAY] Add the text below to your Riya MAMODO card until the END PHASE of your next turn: ● (Attack) (Defend) [DECLARE TO USE] This card may Attack without using a SPELL card (Total Power=8000, Damage=2) OR, Defend without using a SPELL card (Total Power="&amp;"8000).")</f>
        <v>[STAY] Add the text below to your Riya MAMODO card until the END PHASE of your next turn: ● (Attack) (Defend) [DECLARE TO USE] This card may Attack without using a SPELL card (Total Power=8000, Damage=2) OR, Defend without using a SPELL card (Total Power=8000).</v>
      </c>
      <c r="J1736" s="42" t="str">
        <f>IFERROR(__xludf.DUMMYFUNCTION("""COMPUTED_VALUE"""),"-")</f>
        <v>-</v>
      </c>
      <c r="K1736" s="42" t="str">
        <f>IFERROR(__xludf.DUMMYFUNCTION("""COMPUTED_VALUE"""),"-")</f>
        <v>-</v>
      </c>
      <c r="L1736" s="42" t="str">
        <f>IFERROR(__xludf.DUMMYFUNCTION("""COMPUTED_VALUE"""),"-")</f>
        <v>-</v>
      </c>
      <c r="M1736" s="42" t="str">
        <f>IFERROR(__xludf.DUMMYFUNCTION("""COMPUTED_VALUE"""),"[U]")</f>
        <v>[U]</v>
      </c>
      <c r="N1736" s="42" t="str">
        <f>IFERROR(__xludf.DUMMYFUNCTION("""COMPUTED_VALUE"""),"Riya's 10th spell. ""Are you ready, Riya? Time to power up!""")</f>
        <v>Riya's 10th spell. "Are you ready, Riya? Time to power up!"</v>
      </c>
      <c r="O1736" s="42"/>
      <c r="P1736" s="42"/>
      <c r="Q1736" s="42"/>
      <c r="R1736" s="42"/>
      <c r="S1736" s="42"/>
      <c r="T1736" s="42"/>
      <c r="U1736" s="42"/>
      <c r="V1736" s="42"/>
      <c r="W1736" s="42"/>
      <c r="X1736" s="42"/>
      <c r="Y1736" s="42"/>
      <c r="Z1736" s="42"/>
    </row>
    <row r="1737">
      <c r="A1737" s="42" t="str">
        <f>IFERROR(__xludf.DUMMYFUNCTION("""COMPUTED_VALUE"""),"S-606")</f>
        <v>S-606</v>
      </c>
      <c r="B1737" s="42" t="str">
        <f>IFERROR(__xludf.DUMMYFUNCTION("""COMPUTED_VALUE"""),"Spell")</f>
        <v>Spell</v>
      </c>
      <c r="C1737" s="42" t="str">
        <f>IFERROR(__xludf.DUMMYFUNCTION("""COMPUTED_VALUE"""),"Nidoruk")</f>
        <v>Nidoruk</v>
      </c>
      <c r="D1737" s="42" t="str">
        <f>IFERROR(__xludf.DUMMYFUNCTION("""COMPUTED_VALUE"""),"Riya")</f>
        <v>Riya</v>
      </c>
      <c r="E1737" s="42">
        <f>IFERROR(__xludf.DUMMYFUNCTION("""COMPUTED_VALUE"""),1.0)</f>
        <v>1</v>
      </c>
      <c r="F1737" s="42" t="str">
        <f>IFERROR(__xludf.DUMMYFUNCTION("""COMPUTED_VALUE"""),"D")</f>
        <v>D</v>
      </c>
      <c r="G1737" s="42" t="str">
        <f>IFERROR(__xludf.DUMMYFUNCTION("""COMPUTED_VALUE"""),"None")</f>
        <v>None</v>
      </c>
      <c r="H1737" s="42" t="str">
        <f>IFERROR(__xludf.DUMMYFUNCTION("""COMPUTED_VALUE"""),"-")</f>
        <v>-</v>
      </c>
      <c r="I1737" s="43" t="str">
        <f>IFERROR(__xludf.DUMMYFUNCTION("""COMPUTED_VALUE"""),"Apply both of the following effects in order, regardless of Power: ● Reduce the Damage of your opponent's Attack by 1. ● Your Riya MAMODO card does not receive Damage or Injury from an infliction of 2 Damage or less during this turn ([STAY]).")</f>
        <v>Apply both of the following effects in order, regardless of Power: ● Reduce the Damage of your opponent's Attack by 1. ● Your Riya MAMODO card does not receive Damage or Injury from an infliction of 2 Damage or less during this turn ([STAY]).</v>
      </c>
      <c r="J1737" s="42" t="str">
        <f>IFERROR(__xludf.DUMMYFUNCTION("""COMPUTED_VALUE"""),"-")</f>
        <v>-</v>
      </c>
      <c r="K1737" s="42" t="str">
        <f>IFERROR(__xludf.DUMMYFUNCTION("""COMPUTED_VALUE"""),"-")</f>
        <v>-</v>
      </c>
      <c r="L1737" s="42" t="str">
        <f>IFERROR(__xludf.DUMMYFUNCTION("""COMPUTED_VALUE"""),"-")</f>
        <v>-</v>
      </c>
      <c r="M1737" s="42" t="str">
        <f>IFERROR(__xludf.DUMMYFUNCTION("""COMPUTED_VALUE"""),"[C]")</f>
        <v>[C]</v>
      </c>
      <c r="N1737" s="42" t="str">
        <f>IFERROR(__xludf.DUMMYFUNCTION("""COMPUTED_VALUE"""),"Riya's 11th spell. ""Arrgh! I've got to cast some kind of spell to protect Riya! If I strengthen his body, it might help him absorb the damage!""")</f>
        <v>Riya's 11th spell. "Arrgh! I've got to cast some kind of spell to protect Riya! If I strengthen his body, it might help him absorb the damage!"</v>
      </c>
      <c r="O1737" s="42"/>
      <c r="P1737" s="42"/>
      <c r="Q1737" s="42"/>
      <c r="R1737" s="42"/>
      <c r="S1737" s="42"/>
      <c r="T1737" s="42"/>
      <c r="U1737" s="42"/>
      <c r="V1737" s="42"/>
      <c r="W1737" s="42"/>
      <c r="X1737" s="42"/>
      <c r="Y1737" s="42"/>
      <c r="Z1737" s="42"/>
    </row>
    <row r="1738">
      <c r="A1738" s="42" t="str">
        <f>IFERROR(__xludf.DUMMYFUNCTION("""COMPUTED_VALUE"""),"S-607")</f>
        <v>S-607</v>
      </c>
      <c r="B1738" s="42" t="str">
        <f>IFERROR(__xludf.DUMMYFUNCTION("""COMPUTED_VALUE"""),"Spell")</f>
        <v>Spell</v>
      </c>
      <c r="C1738" s="42" t="str">
        <f>IFERROR(__xludf.DUMMYFUNCTION("""COMPUTED_VALUE"""),"Jiboruo Shidon")</f>
        <v>Jiboruo Shidon</v>
      </c>
      <c r="D1738" s="42" t="str">
        <f>IFERROR(__xludf.DUMMYFUNCTION("""COMPUTED_VALUE"""),"Zaruchim")</f>
        <v>Zaruchim</v>
      </c>
      <c r="E1738" s="42">
        <f>IFERROR(__xludf.DUMMYFUNCTION("""COMPUTED_VALUE"""),6.0)</f>
        <v>6</v>
      </c>
      <c r="F1738" s="42" t="str">
        <f>IFERROR(__xludf.DUMMYFUNCTION("""COMPUTED_VALUE"""),"AD")</f>
        <v>AD</v>
      </c>
      <c r="G1738" s="42" t="str">
        <f>IFERROR(__xludf.DUMMYFUNCTION("""COMPUTED_VALUE"""),"Superior")</f>
        <v>Superior</v>
      </c>
      <c r="H1738" s="42" t="str">
        <f>IFERROR(__xludf.DUMMYFUNCTION("""COMPUTED_VALUE"""),"-")</f>
        <v>-</v>
      </c>
      <c r="I1738" s="43" t="str">
        <f>IFERROR(__xludf.DUMMYFUNCTION("""COMPUTED_VALUE"""),"Damage your opponent's Spell Book when you win the Battle as an Attacker. Reduce your opponent's MP by 4 immediately when you declare the play of this SPELL card.")</f>
        <v>Damage your opponent's Spell Book when you win the Battle as an Attacker. Reduce your opponent's MP by 4 immediately when you declare the play of this SPELL card.</v>
      </c>
      <c r="J1738" s="42" t="str">
        <f>IFERROR(__xludf.DUMMYFUNCTION("""COMPUTED_VALUE"""),"+6000")</f>
        <v>+6000</v>
      </c>
      <c r="K1738" s="42">
        <f>IFERROR(__xludf.DUMMYFUNCTION("""COMPUTED_VALUE"""),3.0)</f>
        <v>3</v>
      </c>
      <c r="L1738" s="42" t="str">
        <f>IFERROR(__xludf.DUMMYFUNCTION("""COMPUTED_VALUE"""),"-")</f>
        <v>-</v>
      </c>
      <c r="M1738" s="42" t="str">
        <f>IFERROR(__xludf.DUMMYFUNCTION("""COMPUTED_VALUE"""),"[R]")</f>
        <v>[R]</v>
      </c>
      <c r="N1738" s="42" t="str">
        <f>IFERROR(__xludf.DUMMYFUNCTION("""COMPUTED_VALUE"""),"Zaruchim's 3rd spell. ""The battle ends here!""")</f>
        <v>Zaruchim's 3rd spell. "The battle ends here!"</v>
      </c>
      <c r="O1738" s="42"/>
      <c r="P1738" s="42"/>
      <c r="Q1738" s="42"/>
      <c r="R1738" s="42"/>
      <c r="S1738" s="42"/>
      <c r="T1738" s="42"/>
      <c r="U1738" s="42"/>
      <c r="V1738" s="42"/>
      <c r="W1738" s="42"/>
      <c r="X1738" s="42"/>
      <c r="Y1738" s="42"/>
      <c r="Z1738" s="42"/>
    </row>
    <row r="1739">
      <c r="A1739" s="42" t="str">
        <f>IFERROR(__xludf.DUMMYFUNCTION("""COMPUTED_VALUE"""),"S-608")</f>
        <v>S-608</v>
      </c>
      <c r="B1739" s="42" t="str">
        <f>IFERROR(__xludf.DUMMYFUNCTION("""COMPUTED_VALUE"""),"Spell")</f>
        <v>Spell</v>
      </c>
      <c r="C1739" s="42" t="str">
        <f>IFERROR(__xludf.DUMMYFUNCTION("""COMPUTED_VALUE"""),"Shidona Shield")</f>
        <v>Shidona Shield</v>
      </c>
      <c r="D1739" s="42" t="str">
        <f>IFERROR(__xludf.DUMMYFUNCTION("""COMPUTED_VALUE"""),"Zaruchim")</f>
        <v>Zaruchim</v>
      </c>
      <c r="E1739" s="42">
        <f>IFERROR(__xludf.DUMMYFUNCTION("""COMPUTED_VALUE"""),1.0)</f>
        <v>1</v>
      </c>
      <c r="F1739" s="42" t="str">
        <f>IFERROR(__xludf.DUMMYFUNCTION("""COMPUTED_VALUE"""),"D")</f>
        <v>D</v>
      </c>
      <c r="G1739" s="42" t="str">
        <f>IFERROR(__xludf.DUMMYFUNCTION("""COMPUTED_VALUE"""),"Intermediate")</f>
        <v>Intermediate</v>
      </c>
      <c r="H1739" s="42" t="str">
        <f>IFERROR(__xludf.DUMMYFUNCTION("""COMPUTED_VALUE"""),"-")</f>
        <v>-</v>
      </c>
      <c r="I1739" s="43" t="str">
        <f>IFERROR(__xludf.DUMMYFUNCTION("""COMPUTED_VALUE"""),"This SPELL card can be played even when you already have another MAMODO card Defending. When played that way, add the Power of this SPELL card to your Total Power in the Battle. Negate your opponent's Attack when you win the Battle as a Defender.")</f>
        <v>This SPELL card can be played even when you already have another MAMODO card Defending. When played that way, add the Power of this SPELL card to your Total Power in the Battle. Negate your opponent's Attack when you win the Battle as a Defender.</v>
      </c>
      <c r="J1739" s="42" t="str">
        <f>IFERROR(__xludf.DUMMYFUNCTION("""COMPUTED_VALUE"""),"+6000")</f>
        <v>+6000</v>
      </c>
      <c r="K1739" s="42" t="str">
        <f>IFERROR(__xludf.DUMMYFUNCTION("""COMPUTED_VALUE"""),"-")</f>
        <v>-</v>
      </c>
      <c r="L1739" s="42" t="str">
        <f>IFERROR(__xludf.DUMMYFUNCTION("""COMPUTED_VALUE"""),"-")</f>
        <v>-</v>
      </c>
      <c r="M1739" s="42" t="str">
        <f>IFERROR(__xludf.DUMMYFUNCTION("""COMPUTED_VALUE"""),"[C]")</f>
        <v>[C]</v>
      </c>
      <c r="N1739" s="42" t="str">
        <f>IFERROR(__xludf.DUMMYFUNCTION("""COMPUTED_VALUE"""),"Zaruchim's 4th spell. The shadow projected from the palm of his hand solidifies into a massive shield.")</f>
        <v>Zaruchim's 4th spell. The shadow projected from the palm of his hand solidifies into a massive shield.</v>
      </c>
      <c r="O1739" s="42"/>
      <c r="P1739" s="42"/>
      <c r="Q1739" s="42"/>
      <c r="R1739" s="42"/>
      <c r="S1739" s="42"/>
      <c r="T1739" s="42"/>
      <c r="U1739" s="42"/>
      <c r="V1739" s="42"/>
      <c r="W1739" s="42"/>
      <c r="X1739" s="42"/>
      <c r="Y1739" s="42"/>
      <c r="Z1739" s="42"/>
    </row>
    <row r="1740">
      <c r="A1740" s="42" t="str">
        <f>IFERROR(__xludf.DUMMYFUNCTION("""COMPUTED_VALUE"""),"S-609")</f>
        <v>S-609</v>
      </c>
      <c r="B1740" s="42" t="str">
        <f>IFERROR(__xludf.DUMMYFUNCTION("""COMPUTED_VALUE"""),"Spell")</f>
        <v>Spell</v>
      </c>
      <c r="C1740" s="42" t="str">
        <f>IFERROR(__xludf.DUMMYFUNCTION("""COMPUTED_VALUE"""),"Ganzu Shidosen")</f>
        <v>Ganzu Shidosen</v>
      </c>
      <c r="D1740" s="42" t="str">
        <f>IFERROR(__xludf.DUMMYFUNCTION("""COMPUTED_VALUE"""),"Zaruchim")</f>
        <v>Zaruchim</v>
      </c>
      <c r="E1740" s="42">
        <f>IFERROR(__xludf.DUMMYFUNCTION("""COMPUTED_VALUE"""),2.0)</f>
        <v>2</v>
      </c>
      <c r="F1740" s="42" t="str">
        <f>IFERROR(__xludf.DUMMYFUNCTION("""COMPUTED_VALUE"""),"A")</f>
        <v>A</v>
      </c>
      <c r="G1740" s="42" t="str">
        <f>IFERROR(__xludf.DUMMYFUNCTION("""COMPUTED_VALUE"""),"Intermediate")</f>
        <v>Intermediate</v>
      </c>
      <c r="H1740" s="42" t="str">
        <f>IFERROR(__xludf.DUMMYFUNCTION("""COMPUTED_VALUE"""),"-")</f>
        <v>-</v>
      </c>
      <c r="I1740" s="43" t="str">
        <f>IFERROR(__xludf.DUMMYFUNCTION("""COMPUTED_VALUE"""),"Damage your opponent's Spell Book when you win the Battle as an Attacker. When you declare the play of this SPELL card, you may pay an additional 2 MP to increase the number of times this SPELL card inflicts Damage by 1 (maximum 4 MP).")</f>
        <v>Damage your opponent's Spell Book when you win the Battle as an Attacker. When you declare the play of this SPELL card, you may pay an additional 2 MP to increase the number of times this SPELL card inflicts Damage by 1 (maximum 4 MP).</v>
      </c>
      <c r="J1740" s="42" t="str">
        <f>IFERROR(__xludf.DUMMYFUNCTION("""COMPUTED_VALUE"""),"+3000")</f>
        <v>+3000</v>
      </c>
      <c r="K1740" s="42">
        <f>IFERROR(__xludf.DUMMYFUNCTION("""COMPUTED_VALUE"""),1.0)</f>
        <v>1</v>
      </c>
      <c r="L1740" s="42" t="str">
        <f>IFERROR(__xludf.DUMMYFUNCTION("""COMPUTED_VALUE"""),"-")</f>
        <v>-</v>
      </c>
      <c r="M1740" s="42" t="str">
        <f>IFERROR(__xludf.DUMMYFUNCTION("""COMPUTED_VALUE"""),"[C]")</f>
        <v>[C]</v>
      </c>
      <c r="N1740" s="42" t="str">
        <f>IFERROR(__xludf.DUMMYFUNCTION("""COMPUTED_VALUE"""),"Zaruchim's 5th spell. Enables him to fire a barrage of dark energy bullets from a pair of machine gun turrets attached to his hands.")</f>
        <v>Zaruchim's 5th spell. Enables him to fire a barrage of dark energy bullets from a pair of machine gun turrets attached to his hands.</v>
      </c>
      <c r="O1740" s="42"/>
      <c r="P1740" s="42"/>
      <c r="Q1740" s="42"/>
      <c r="R1740" s="42"/>
      <c r="S1740" s="42"/>
      <c r="T1740" s="42"/>
      <c r="U1740" s="42"/>
      <c r="V1740" s="42"/>
      <c r="W1740" s="42"/>
      <c r="X1740" s="42"/>
      <c r="Y1740" s="42"/>
      <c r="Z1740" s="42"/>
    </row>
    <row r="1741">
      <c r="A1741" s="42" t="str">
        <f>IFERROR(__xludf.DUMMYFUNCTION("""COMPUTED_VALUE"""),"S-610")</f>
        <v>S-610</v>
      </c>
      <c r="B1741" s="42" t="str">
        <f>IFERROR(__xludf.DUMMYFUNCTION("""COMPUTED_VALUE"""),"Spell")</f>
        <v>Spell</v>
      </c>
      <c r="C1741" s="42" t="str">
        <f>IFERROR(__xludf.DUMMYFUNCTION("""COMPUTED_VALUE"""),"Oruda Shidona")</f>
        <v>Oruda Shidona</v>
      </c>
      <c r="D1741" s="42" t="str">
        <f>IFERROR(__xludf.DUMMYFUNCTION("""COMPUTED_VALUE"""),"Zaruchim")</f>
        <v>Zaruchim</v>
      </c>
      <c r="E1741" s="42">
        <f>IFERROR(__xludf.DUMMYFUNCTION("""COMPUTED_VALUE"""),2.0)</f>
        <v>2</v>
      </c>
      <c r="F1741" s="42" t="str">
        <f>IFERROR(__xludf.DUMMYFUNCTION("""COMPUTED_VALUE"""),"A")</f>
        <v>A</v>
      </c>
      <c r="G1741" s="42" t="str">
        <f>IFERROR(__xludf.DUMMYFUNCTION("""COMPUTED_VALUE"""),"Intermediate")</f>
        <v>Intermediate</v>
      </c>
      <c r="H1741" s="42" t="str">
        <f>IFERROR(__xludf.DUMMYFUNCTION("""COMPUTED_VALUE"""),"-")</f>
        <v>-</v>
      </c>
      <c r="I1741" s="43" t="str">
        <f>IFERROR(__xludf.DUMMYFUNCTION("""COMPUTED_VALUE"""),"Damage your opponent's Spell Book regardless of their Power. This SPELL card cannot be Defended. Your opponent can SACRIFICE or PROTECT their Spell Book from the Damage of this SPELL card even when they are prohibited to do so.")</f>
        <v>Damage your opponent's Spell Book regardless of their Power. This SPELL card cannot be Defended. Your opponent can SACRIFICE or PROTECT their Spell Book from the Damage of this SPELL card even when they are prohibited to do so.</v>
      </c>
      <c r="J1741" s="42" t="str">
        <f>IFERROR(__xludf.DUMMYFUNCTION("""COMPUTED_VALUE"""),"Special")</f>
        <v>Special</v>
      </c>
      <c r="K1741" s="42">
        <f>IFERROR(__xludf.DUMMYFUNCTION("""COMPUTED_VALUE"""),3.0)</f>
        <v>3</v>
      </c>
      <c r="L1741" s="42" t="str">
        <f>IFERROR(__xludf.DUMMYFUNCTION("""COMPUTED_VALUE"""),"-")</f>
        <v>-</v>
      </c>
      <c r="M1741" s="42" t="str">
        <f>IFERROR(__xludf.DUMMYFUNCTION("""COMPUTED_VALUE"""),"[U]")</f>
        <v>[U]</v>
      </c>
      <c r="N1741" s="42" t="str">
        <f>IFERROR(__xludf.DUMMYFUNCTION("""COMPUTED_VALUE"""),"Zaruchim's 7th spell. A myriad of arrow-shaped shadows rapidly strike the enemy all at once.")</f>
        <v>Zaruchim's 7th spell. A myriad of arrow-shaped shadows rapidly strike the enemy all at once.</v>
      </c>
      <c r="O1741" s="42"/>
      <c r="P1741" s="42"/>
      <c r="Q1741" s="42"/>
      <c r="R1741" s="42"/>
      <c r="S1741" s="42"/>
      <c r="T1741" s="42"/>
      <c r="U1741" s="42"/>
      <c r="V1741" s="42"/>
      <c r="W1741" s="42"/>
      <c r="X1741" s="42"/>
      <c r="Y1741" s="42"/>
      <c r="Z1741" s="42"/>
    </row>
    <row r="1742">
      <c r="A1742" s="42" t="str">
        <f>IFERROR(__xludf.DUMMYFUNCTION("""COMPUTED_VALUE"""),"S-611")</f>
        <v>S-611</v>
      </c>
      <c r="B1742" s="42" t="str">
        <f>IFERROR(__xludf.DUMMYFUNCTION("""COMPUTED_VALUE"""),"Spell")</f>
        <v>Spell</v>
      </c>
      <c r="C1742" s="42" t="str">
        <f>IFERROR(__xludf.DUMMYFUNCTION("""COMPUTED_VALUE"""),"Shidona Dipu")</f>
        <v>Shidona Dipu</v>
      </c>
      <c r="D1742" s="42" t="str">
        <f>IFERROR(__xludf.DUMMYFUNCTION("""COMPUTED_VALUE"""),"Zaruchim")</f>
        <v>Zaruchim</v>
      </c>
      <c r="E1742" s="42">
        <f>IFERROR(__xludf.DUMMYFUNCTION("""COMPUTED_VALUE"""),1.0)</f>
        <v>1</v>
      </c>
      <c r="F1742" s="42" t="str">
        <f>IFERROR(__xludf.DUMMYFUNCTION("""COMPUTED_VALUE"""),"A")</f>
        <v>A</v>
      </c>
      <c r="G1742" s="42" t="str">
        <f>IFERROR(__xludf.DUMMYFUNCTION("""COMPUTED_VALUE"""),"None")</f>
        <v>None</v>
      </c>
      <c r="H1742" s="42" t="str">
        <f>IFERROR(__xludf.DUMMYFUNCTION("""COMPUTED_VALUE"""),"-")</f>
        <v>-</v>
      </c>
      <c r="I1742" s="43" t="str">
        <f>IFERROR(__xludf.DUMMYFUNCTION("""COMPUTED_VALUE"""),"[STAY] Add the text below to your Zaruchim MAMODO card until the END PHASE of your next turn: ● (Attack) (Defend) [DECLARE TO USE] This card may Attack without using a SPELL card (Total Power=8000, Damage=2) OR, Defend without using a SPELL card (Total Po"&amp;"wer=8000).")</f>
        <v>[STAY] Add the text below to your Zaruchim MAMODO card until the END PHASE of your next turn: ● (Attack) (Defend) [DECLARE TO USE] This card may Attack without using a SPELL card (Total Power=8000, Damage=2) OR, Defend without using a SPELL card (Total Power=8000).</v>
      </c>
      <c r="J1742" s="42" t="str">
        <f>IFERROR(__xludf.DUMMYFUNCTION("""COMPUTED_VALUE"""),"-")</f>
        <v>-</v>
      </c>
      <c r="K1742" s="42" t="str">
        <f>IFERROR(__xludf.DUMMYFUNCTION("""COMPUTED_VALUE"""),"-")</f>
        <v>-</v>
      </c>
      <c r="L1742" s="42" t="str">
        <f>IFERROR(__xludf.DUMMYFUNCTION("""COMPUTED_VALUE"""),"-")</f>
        <v>-</v>
      </c>
      <c r="M1742" s="42" t="str">
        <f>IFERROR(__xludf.DUMMYFUNCTION("""COMPUTED_VALUE"""),"[C]")</f>
        <v>[C]</v>
      </c>
      <c r="N1742" s="42" t="str">
        <f>IFERROR(__xludf.DUMMYFUNCTION("""COMPUTED_VALUE"""),"Zaruchim's 7th spell. ""Grggh! Turn the shadow into a dagger, Raushin!""")</f>
        <v>Zaruchim's 7th spell. "Grggh! Turn the shadow into a dagger, Raushin!"</v>
      </c>
      <c r="O1742" s="42"/>
      <c r="P1742" s="42"/>
      <c r="Q1742" s="42"/>
      <c r="R1742" s="42"/>
      <c r="S1742" s="42"/>
      <c r="T1742" s="42"/>
      <c r="U1742" s="42"/>
      <c r="V1742" s="42"/>
      <c r="W1742" s="42"/>
      <c r="X1742" s="42"/>
      <c r="Y1742" s="42"/>
      <c r="Z1742" s="42"/>
    </row>
    <row r="1743">
      <c r="A1743" s="42" t="str">
        <f>IFERROR(__xludf.DUMMYFUNCTION("""COMPUTED_VALUE"""),"S-612")</f>
        <v>S-612</v>
      </c>
      <c r="B1743" s="42" t="str">
        <f>IFERROR(__xludf.DUMMYFUNCTION("""COMPUTED_VALUE"""),"Spell")</f>
        <v>Spell</v>
      </c>
      <c r="C1743" s="42" t="str">
        <f>IFERROR(__xludf.DUMMYFUNCTION("""COMPUTED_VALUE"""),"Shidona Di Shizaruk")</f>
        <v>Shidona Di Shizaruk</v>
      </c>
      <c r="D1743" s="42" t="str">
        <f>IFERROR(__xludf.DUMMYFUNCTION("""COMPUTED_VALUE"""),"Zaruchim")</f>
        <v>Zaruchim</v>
      </c>
      <c r="E1743" s="42">
        <f>IFERROR(__xludf.DUMMYFUNCTION("""COMPUTED_VALUE"""),4.0)</f>
        <v>4</v>
      </c>
      <c r="F1743" s="42" t="str">
        <f>IFERROR(__xludf.DUMMYFUNCTION("""COMPUTED_VALUE"""),"A")</f>
        <v>A</v>
      </c>
      <c r="G1743" s="42" t="str">
        <f>IFERROR(__xludf.DUMMYFUNCTION("""COMPUTED_VALUE"""),"Intermediate")</f>
        <v>Intermediate</v>
      </c>
      <c r="H1743" s="42" t="str">
        <f>IFERROR(__xludf.DUMMYFUNCTION("""COMPUTED_VALUE"""),"-")</f>
        <v>-</v>
      </c>
      <c r="I1743" s="43" t="str">
        <f>IFERROR(__xludf.DUMMYFUNCTION("""COMPUTED_VALUE"""),"[STAY] Add the text below to your Zaruchim MAMODO card until the END PHASE of your next turn: ● (Attack) [DECLARE TO USE] This card may Attack without using a SPELL card (Total Power=8000, Damage=2) OR, Defend without using a SPELL card (Total Power=8000)"&amp;". This effect can be applied up to twice per turn (per player).")</f>
        <v>[STAY] Add the text below to your Zaruchim MAMODO card until the END PHASE of your next turn: ● (Attack) [DECLARE TO USE] This card may Attack without using a SPELL card (Total Power=8000, Damage=2) OR, Defend without using a SPELL card (Total Power=8000). This effect can be applied up to twice per turn (per player).</v>
      </c>
      <c r="J1743" s="42" t="str">
        <f>IFERROR(__xludf.DUMMYFUNCTION("""COMPUTED_VALUE"""),"-")</f>
        <v>-</v>
      </c>
      <c r="K1743" s="42" t="str">
        <f>IFERROR(__xludf.DUMMYFUNCTION("""COMPUTED_VALUE"""),"-")</f>
        <v>-</v>
      </c>
      <c r="L1743" s="42" t="str">
        <f>IFERROR(__xludf.DUMMYFUNCTION("""COMPUTED_VALUE"""),"-")</f>
        <v>-</v>
      </c>
      <c r="M1743" s="42" t="str">
        <f>IFERROR(__xludf.DUMMYFUNCTION("""COMPUTED_VALUE"""),"[U]")</f>
        <v>[U]</v>
      </c>
      <c r="N1743" s="42" t="str">
        <f>IFERROR(__xludf.DUMMYFUNCTION("""COMPUTED_VALUE"""),"Zaruchim's 8th spell. ""This should take just 5 minutes!""")</f>
        <v>Zaruchim's 8th spell. "This should take just 5 minutes!"</v>
      </c>
      <c r="O1743" s="42"/>
      <c r="P1743" s="42"/>
      <c r="Q1743" s="42"/>
      <c r="R1743" s="42"/>
      <c r="S1743" s="42"/>
      <c r="T1743" s="42"/>
      <c r="U1743" s="42"/>
      <c r="V1743" s="42"/>
      <c r="W1743" s="42"/>
      <c r="X1743" s="42"/>
      <c r="Y1743" s="42"/>
      <c r="Z1743" s="42"/>
    </row>
    <row r="1744">
      <c r="A1744" s="42" t="str">
        <f>IFERROR(__xludf.DUMMYFUNCTION("""COMPUTED_VALUE"""),"S-613")</f>
        <v>S-613</v>
      </c>
      <c r="B1744" s="42" t="str">
        <f>IFERROR(__xludf.DUMMYFUNCTION("""COMPUTED_VALUE"""),"Spell")</f>
        <v>Spell</v>
      </c>
      <c r="C1744" s="42" t="str">
        <f>IFERROR(__xludf.DUMMYFUNCTION("""COMPUTED_VALUE"""),"Karbing Gadyu")</f>
        <v>Karbing Gadyu</v>
      </c>
      <c r="D1744" s="42" t="str">
        <f>IFERROR(__xludf.DUMMYFUNCTION("""COMPUTED_VALUE"""),"Fango")</f>
        <v>Fango</v>
      </c>
      <c r="E1744" s="42">
        <f>IFERROR(__xludf.DUMMYFUNCTION("""COMPUTED_VALUE"""),2.0)</f>
        <v>2</v>
      </c>
      <c r="F1744" s="42" t="str">
        <f>IFERROR(__xludf.DUMMYFUNCTION("""COMPUTED_VALUE"""),"AD")</f>
        <v>AD</v>
      </c>
      <c r="G1744" s="42" t="str">
        <f>IFERROR(__xludf.DUMMYFUNCTION("""COMPUTED_VALUE"""),"None")</f>
        <v>None</v>
      </c>
      <c r="H1744" s="42" t="str">
        <f>IFERROR(__xludf.DUMMYFUNCTION("""COMPUTED_VALUE"""),"Fire")</f>
        <v>Fire</v>
      </c>
      <c r="I1744" s="43" t="str">
        <f>IFERROR(__xludf.DUMMYFUNCTION("""COMPUTED_VALUE"""),"Damage your opponent's Spell Book when you win the Battle as an Attacker. [COUNTER] Damage your opponent's Spell Book when you win the Battle as a Defender if the Total Power of your Defense is 10000 or more.")</f>
        <v>Damage your opponent's Spell Book when you win the Battle as an Attacker. [COUNTER] Damage your opponent's Spell Book when you win the Battle as a Defender if the Total Power of your Defense is 10000 or more.</v>
      </c>
      <c r="J1744" s="42" t="str">
        <f>IFERROR(__xludf.DUMMYFUNCTION("""COMPUTED_VALUE"""),"+4000")</f>
        <v>+4000</v>
      </c>
      <c r="K1744" s="42">
        <f>IFERROR(__xludf.DUMMYFUNCTION("""COMPUTED_VALUE"""),2.0)</f>
        <v>2</v>
      </c>
      <c r="L1744" s="42" t="str">
        <f>IFERROR(__xludf.DUMMYFUNCTION("""COMPUTED_VALUE"""),"-")</f>
        <v>-</v>
      </c>
      <c r="M1744" s="42" t="str">
        <f>IFERROR(__xludf.DUMMYFUNCTION("""COMPUTED_VALUE"""),"[C]")</f>
        <v>[C]</v>
      </c>
      <c r="N1744" s="42" t="str">
        <f>IFERROR(__xludf.DUMMYFUNCTION("""COMPUTED_VALUE"""),"Fango's 1st spell. ""What a stupid spell. I can block it easily!""")</f>
        <v>Fango's 1st spell. "What a stupid spell. I can block it easily!"</v>
      </c>
      <c r="O1744" s="42"/>
      <c r="P1744" s="42"/>
      <c r="Q1744" s="42"/>
      <c r="R1744" s="42"/>
      <c r="S1744" s="42"/>
      <c r="T1744" s="42"/>
      <c r="U1744" s="42"/>
      <c r="V1744" s="42"/>
      <c r="W1744" s="42"/>
      <c r="X1744" s="42"/>
      <c r="Y1744" s="42"/>
      <c r="Z1744" s="42"/>
    </row>
    <row r="1745">
      <c r="A1745" s="42" t="str">
        <f>IFERROR(__xludf.DUMMYFUNCTION("""COMPUTED_VALUE"""),"S-614")</f>
        <v>S-614</v>
      </c>
      <c r="B1745" s="42" t="str">
        <f>IFERROR(__xludf.DUMMYFUNCTION("""COMPUTED_VALUE"""),"Spell")</f>
        <v>Spell</v>
      </c>
      <c r="C1745" s="42" t="str">
        <f>IFERROR(__xludf.DUMMYFUNCTION("""COMPUTED_VALUE"""),"Alsem Gadyudon")</f>
        <v>Alsem Gadyudon</v>
      </c>
      <c r="D1745" s="42" t="str">
        <f>IFERROR(__xludf.DUMMYFUNCTION("""COMPUTED_VALUE"""),"Fango")</f>
        <v>Fango</v>
      </c>
      <c r="E1745" s="42">
        <f>IFERROR(__xludf.DUMMYFUNCTION("""COMPUTED_VALUE"""),7.0)</f>
        <v>7</v>
      </c>
      <c r="F1745" s="42" t="str">
        <f>IFERROR(__xludf.DUMMYFUNCTION("""COMPUTED_VALUE"""),"AD")</f>
        <v>AD</v>
      </c>
      <c r="G1745" s="42" t="str">
        <f>IFERROR(__xludf.DUMMYFUNCTION("""COMPUTED_VALUE"""),"Superior")</f>
        <v>Superior</v>
      </c>
      <c r="H1745" s="42" t="str">
        <f>IFERROR(__xludf.DUMMYFUNCTION("""COMPUTED_VALUE"""),"Fire")</f>
        <v>Fire</v>
      </c>
      <c r="I1745" s="43" t="str">
        <f>IFERROR(__xludf.DUMMYFUNCTION("""COMPUTED_VALUE"""),"[SEAL BREAKER] Damage your opponent's Spell Book when you win the Battle as an Attacker. When used for Attacking or Defending, Injure 1 of your opponent's in-play DUAL MAMODO or VS MAMODO cards regardless of Power (your opponent cannot SACRIFICE against t"&amp;"his Injury).")</f>
        <v>[SEAL BREAKER] Damage your opponent's Spell Book when you win the Battle as an Attacker. When used for Attacking or Defending, Injure 1 of your opponent's in-play DUAL MAMODO or VS MAMODO cards regardless of Power (your opponent cannot SACRIFICE against this Injury).</v>
      </c>
      <c r="J1745" s="42" t="str">
        <f>IFERROR(__xludf.DUMMYFUNCTION("""COMPUTED_VALUE"""),"+7000")</f>
        <v>+7000</v>
      </c>
      <c r="K1745" s="42">
        <f>IFERROR(__xludf.DUMMYFUNCTION("""COMPUTED_VALUE"""),3.0)</f>
        <v>3</v>
      </c>
      <c r="L1745" s="42" t="str">
        <f>IFERROR(__xludf.DUMMYFUNCTION("""COMPUTED_VALUE"""),"-")</f>
        <v>-</v>
      </c>
      <c r="M1745" s="42" t="str">
        <f>IFERROR(__xludf.DUMMYFUNCTION("""COMPUTED_VALUE"""),"[R]")</f>
        <v>[R]</v>
      </c>
      <c r="N1745" s="42" t="str">
        <f>IFERROR(__xludf.DUMMYFUNCTION("""COMPUTED_VALUE"""),"Fango's 2nd spell. His most powerful attack that was used to help break Faudo's seal.")</f>
        <v>Fango's 2nd spell. His most powerful attack that was used to help break Faudo's seal.</v>
      </c>
      <c r="O1745" s="42"/>
      <c r="P1745" s="42"/>
      <c r="Q1745" s="42"/>
      <c r="R1745" s="42"/>
      <c r="S1745" s="42"/>
      <c r="T1745" s="42"/>
      <c r="U1745" s="42"/>
      <c r="V1745" s="42"/>
      <c r="W1745" s="42"/>
      <c r="X1745" s="42"/>
      <c r="Y1745" s="42"/>
      <c r="Z1745" s="42"/>
    </row>
    <row r="1746">
      <c r="A1746" s="42" t="str">
        <f>IFERROR(__xludf.DUMMYFUNCTION("""COMPUTED_VALUE"""),"S-615")</f>
        <v>S-615</v>
      </c>
      <c r="B1746" s="42" t="str">
        <f>IFERROR(__xludf.DUMMYFUNCTION("""COMPUTED_VALUE"""),"Spell")</f>
        <v>Spell</v>
      </c>
      <c r="C1746" s="42" t="str">
        <f>IFERROR(__xludf.DUMMYFUNCTION("""COMPUTED_VALUE"""),"Wolu Gadyun")</f>
        <v>Wolu Gadyun</v>
      </c>
      <c r="D1746" s="42" t="str">
        <f>IFERROR(__xludf.DUMMYFUNCTION("""COMPUTED_VALUE"""),"Fango")</f>
        <v>Fango</v>
      </c>
      <c r="E1746" s="42">
        <f>IFERROR(__xludf.DUMMYFUNCTION("""COMPUTED_VALUE"""),1.0)</f>
        <v>1</v>
      </c>
      <c r="F1746" s="42" t="str">
        <f>IFERROR(__xludf.DUMMYFUNCTION("""COMPUTED_VALUE"""),"D")</f>
        <v>D</v>
      </c>
      <c r="G1746" s="42" t="str">
        <f>IFERROR(__xludf.DUMMYFUNCTION("""COMPUTED_VALUE"""),"None")</f>
        <v>None</v>
      </c>
      <c r="H1746" s="42" t="str">
        <f>IFERROR(__xludf.DUMMYFUNCTION("""COMPUTED_VALUE"""),"Fire")</f>
        <v>Fire</v>
      </c>
      <c r="I1746" s="43" t="str">
        <f>IFERROR(__xludf.DUMMYFUNCTION("""COMPUTED_VALUE"""),"Negate your opponent's Attack when you win the Battle as a Defender. If your opponent is Attacking without using a SPELL card, negate their Attack regardless of Power. ● Injure the MAMODO that Attacked in the Battle with effects that allow it to Attack wi"&amp;"thout using a SPELL (your opponent cannot SACRIFICE against this Injury). ● If the Attacking card is not a MAMODO card, it is discarded after the Battle.")</f>
        <v>Negate your opponent's Attack when you win the Battle as a Defender. If your opponent is Attacking without using a SPELL card, negate their Attack regardless of Power. ● Injure the MAMODO that Attacked in the Battle with effects that allow it to Attack without using a SPELL (your opponent cannot SACRIFICE against this Injury). ● If the Attacking card is not a MAMODO card, it is discarded after the Battle.</v>
      </c>
      <c r="J1746" s="42" t="str">
        <f>IFERROR(__xludf.DUMMYFUNCTION("""COMPUTED_VALUE"""),"+4000")</f>
        <v>+4000</v>
      </c>
      <c r="K1746" s="42" t="str">
        <f>IFERROR(__xludf.DUMMYFUNCTION("""COMPUTED_VALUE"""),"-")</f>
        <v>-</v>
      </c>
      <c r="L1746" s="42" t="str">
        <f>IFERROR(__xludf.DUMMYFUNCTION("""COMPUTED_VALUE"""),"-")</f>
        <v>-</v>
      </c>
      <c r="M1746" s="42" t="str">
        <f>IFERROR(__xludf.DUMMYFUNCTION("""COMPUTED_VALUE"""),"[C]")</f>
        <v>[C]</v>
      </c>
      <c r="N1746" s="42" t="str">
        <f>IFERROR(__xludf.DUMMYFUNCTION("""COMPUTED_VALUE"""),"Fango's 3rd spell. ""Don't let these pests get any closer. Push them away with the wall of fire!""")</f>
        <v>Fango's 3rd spell. "Don't let these pests get any closer. Push them away with the wall of fire!"</v>
      </c>
      <c r="O1746" s="42"/>
      <c r="P1746" s="42"/>
      <c r="Q1746" s="42"/>
      <c r="R1746" s="42"/>
      <c r="S1746" s="42"/>
      <c r="T1746" s="42"/>
      <c r="U1746" s="42"/>
      <c r="V1746" s="42"/>
      <c r="W1746" s="42"/>
      <c r="X1746" s="42"/>
      <c r="Y1746" s="42"/>
      <c r="Z1746" s="42"/>
    </row>
    <row r="1747">
      <c r="A1747" s="42" t="str">
        <f>IFERROR(__xludf.DUMMYFUNCTION("""COMPUTED_VALUE"""),"S-616")</f>
        <v>S-616</v>
      </c>
      <c r="B1747" s="42" t="str">
        <f>IFERROR(__xludf.DUMMYFUNCTION("""COMPUTED_VALUE"""),"Spell")</f>
        <v>Spell</v>
      </c>
      <c r="C1747" s="42" t="str">
        <f>IFERROR(__xludf.DUMMYFUNCTION("""COMPUTED_VALUE"""),"Orudi Gadyu")</f>
        <v>Orudi Gadyu</v>
      </c>
      <c r="D1747" s="42" t="str">
        <f>IFERROR(__xludf.DUMMYFUNCTION("""COMPUTED_VALUE"""),"Fango")</f>
        <v>Fango</v>
      </c>
      <c r="E1747" s="42">
        <f>IFERROR(__xludf.DUMMYFUNCTION("""COMPUTED_VALUE"""),2.0)</f>
        <v>2</v>
      </c>
      <c r="F1747" s="42" t="str">
        <f>IFERROR(__xludf.DUMMYFUNCTION("""COMPUTED_VALUE"""),"A")</f>
        <v>A</v>
      </c>
      <c r="G1747" s="42" t="str">
        <f>IFERROR(__xludf.DUMMYFUNCTION("""COMPUTED_VALUE"""),"Intermediate")</f>
        <v>Intermediate</v>
      </c>
      <c r="H1747" s="42" t="str">
        <f>IFERROR(__xludf.DUMMYFUNCTION("""COMPUTED_VALUE"""),"Fire")</f>
        <v>Fire</v>
      </c>
      <c r="I1747" s="43" t="str">
        <f>IFERROR(__xludf.DUMMYFUNCTION("""COMPUTED_VALUE"""),"Damage your opponent's Spell Book when you win the Battle as an Attacker. If the Total Power of your Attack with this SPELL card is 10000 or more, your opponent can neither SACRIFICE nor PROTECT their Spell Book from the Damage of this SPELL card.")</f>
        <v>Damage your opponent's Spell Book when you win the Battle as an Attacker. If the Total Power of your Attack with this SPELL card is 10000 or more, your opponent can neither SACRIFICE nor PROTECT their Spell Book from the Damage of this SPELL card.</v>
      </c>
      <c r="J1747" s="42" t="str">
        <f>IFERROR(__xludf.DUMMYFUNCTION("""COMPUTED_VALUE"""),"+4000")</f>
        <v>+4000</v>
      </c>
      <c r="K1747" s="42">
        <f>IFERROR(__xludf.DUMMYFUNCTION("""COMPUTED_VALUE"""),2.0)</f>
        <v>2</v>
      </c>
      <c r="L1747" s="42" t="str">
        <f>IFERROR(__xludf.DUMMYFUNCTION("""COMPUTED_VALUE"""),"-")</f>
        <v>-</v>
      </c>
      <c r="M1747" s="42" t="str">
        <f>IFERROR(__xludf.DUMMYFUNCTION("""COMPUTED_VALUE"""),"[C]")</f>
        <v>[C]</v>
      </c>
      <c r="N1747" s="42" t="str">
        <f>IFERROR(__xludf.DUMMYFUNCTION("""COMPUTED_VALUE"""),"Fango's 4th spell. ""Shoot, those fireballs are homing in on Alishie and Riya!""")</f>
        <v>Fango's 4th spell. "Shoot, those fireballs are homing in on Alishie and Riya!"</v>
      </c>
      <c r="O1747" s="42"/>
      <c r="P1747" s="42"/>
      <c r="Q1747" s="42"/>
      <c r="R1747" s="42"/>
      <c r="S1747" s="42"/>
      <c r="T1747" s="42"/>
      <c r="U1747" s="42"/>
      <c r="V1747" s="42"/>
      <c r="W1747" s="42"/>
      <c r="X1747" s="42"/>
      <c r="Y1747" s="42"/>
      <c r="Z1747" s="42"/>
    </row>
    <row r="1748">
      <c r="A1748" s="42" t="str">
        <f>IFERROR(__xludf.DUMMYFUNCTION("""COMPUTED_VALUE"""),"S-617")</f>
        <v>S-617</v>
      </c>
      <c r="B1748" s="42" t="str">
        <f>IFERROR(__xludf.DUMMYFUNCTION("""COMPUTED_VALUE"""),"Spell")</f>
        <v>Spell</v>
      </c>
      <c r="C1748" s="42" t="str">
        <f>IFERROR(__xludf.DUMMYFUNCTION("""COMPUTED_VALUE"""),"Rior Gadyuga")</f>
        <v>Rior Gadyuga</v>
      </c>
      <c r="D1748" s="42" t="str">
        <f>IFERROR(__xludf.DUMMYFUNCTION("""COMPUTED_VALUE"""),"Fango")</f>
        <v>Fango</v>
      </c>
      <c r="E1748" s="42">
        <f>IFERROR(__xludf.DUMMYFUNCTION("""COMPUTED_VALUE"""),2.0)</f>
        <v>2</v>
      </c>
      <c r="F1748" s="42" t="str">
        <f>IFERROR(__xludf.DUMMYFUNCTION("""COMPUTED_VALUE"""),"A")</f>
        <v>A</v>
      </c>
      <c r="G1748" s="42" t="str">
        <f>IFERROR(__xludf.DUMMYFUNCTION("""COMPUTED_VALUE"""),"Intermediate")</f>
        <v>Intermediate</v>
      </c>
      <c r="H1748" s="42" t="str">
        <f>IFERROR(__xludf.DUMMYFUNCTION("""COMPUTED_VALUE"""),"Fire")</f>
        <v>Fire</v>
      </c>
      <c r="I1748" s="43" t="str">
        <f>IFERROR(__xludf.DUMMYFUNCTION("""COMPUTED_VALUE"""),"Damage your opponent's Spell Book when you win the Battle as an Attacker. If the Total Power of your Attack with this SPELL card is 10000 or more, Damage your opponent's Spell Book twice instead.")</f>
        <v>Damage your opponent's Spell Book when you win the Battle as an Attacker. If the Total Power of your Attack with this SPELL card is 10000 or more, Damage your opponent's Spell Book twice instead.</v>
      </c>
      <c r="J1748" s="42" t="str">
        <f>IFERROR(__xludf.DUMMYFUNCTION("""COMPUTED_VALUE"""),"+4000")</f>
        <v>+4000</v>
      </c>
      <c r="K1748" s="42">
        <f>IFERROR(__xludf.DUMMYFUNCTION("""COMPUTED_VALUE"""),2.0)</f>
        <v>2</v>
      </c>
      <c r="L1748" s="42" t="str">
        <f>IFERROR(__xludf.DUMMYFUNCTION("""COMPUTED_VALUE"""),"-")</f>
        <v>-</v>
      </c>
      <c r="M1748" s="42" t="str">
        <f>IFERROR(__xludf.DUMMYFUNCTION("""COMPUTED_VALUE"""),"[C]")</f>
        <v>[C]</v>
      </c>
      <c r="N1748" s="42" t="str">
        <f>IFERROR(__xludf.DUMMYFUNCTION("""COMPUTED_VALUE"""),"Fango's 5th spell. ""How's that?! Your flame is weaker than my mid-level spell!""")</f>
        <v>Fango's 5th spell. "How's that?! Your flame is weaker than my mid-level spell!"</v>
      </c>
      <c r="O1748" s="42"/>
      <c r="P1748" s="42"/>
      <c r="Q1748" s="42"/>
      <c r="R1748" s="42"/>
      <c r="S1748" s="42"/>
      <c r="T1748" s="42"/>
      <c r="U1748" s="42"/>
      <c r="V1748" s="42"/>
      <c r="W1748" s="42"/>
      <c r="X1748" s="42"/>
      <c r="Y1748" s="42"/>
      <c r="Z1748" s="42"/>
    </row>
    <row r="1749">
      <c r="A1749" s="42" t="str">
        <f>IFERROR(__xludf.DUMMYFUNCTION("""COMPUTED_VALUE"""),"S-618")</f>
        <v>S-618</v>
      </c>
      <c r="B1749" s="42" t="str">
        <f>IFERROR(__xludf.DUMMYFUNCTION("""COMPUTED_VALUE"""),"Spell")</f>
        <v>Spell</v>
      </c>
      <c r="C1749" s="42" t="str">
        <f>IFERROR(__xludf.DUMMYFUNCTION("""COMPUTED_VALUE"""),"Rond Gadyu")</f>
        <v>Rond Gadyu</v>
      </c>
      <c r="D1749" s="42" t="str">
        <f>IFERROR(__xludf.DUMMYFUNCTION("""COMPUTED_VALUE"""),"Fango")</f>
        <v>Fango</v>
      </c>
      <c r="E1749" s="42">
        <f>IFERROR(__xludf.DUMMYFUNCTION("""COMPUTED_VALUE"""),2.0)</f>
        <v>2</v>
      </c>
      <c r="F1749" s="42" t="str">
        <f>IFERROR(__xludf.DUMMYFUNCTION("""COMPUTED_VALUE"""),"A")</f>
        <v>A</v>
      </c>
      <c r="G1749" s="42" t="str">
        <f>IFERROR(__xludf.DUMMYFUNCTION("""COMPUTED_VALUE"""),"Intermediate")</f>
        <v>Intermediate</v>
      </c>
      <c r="H1749" s="42" t="str">
        <f>IFERROR(__xludf.DUMMYFUNCTION("""COMPUTED_VALUE"""),"Fire")</f>
        <v>Fire</v>
      </c>
      <c r="I1749" s="43" t="str">
        <f>IFERROR(__xludf.DUMMYFUNCTION("""COMPUTED_VALUE"""),"This SPELL card can be played once more during this turn if it resulted in a Total Power of 10000 or more for your Attack in the previous Battle in which it was played (this SPELL card cannot be played a third time or more). Damage your opponent's Spell B"&amp;"ook when you win the Battle as an Attacker.")</f>
        <v>This SPELL card can be played once more during this turn if it resulted in a Total Power of 10000 or more for your Attack in the previous Battle in which it was played (this SPELL card cannot be played a third time or more). Damage your opponent's Spell Book when you win the Battle as an Attacker.</v>
      </c>
      <c r="J1749" s="42" t="str">
        <f>IFERROR(__xludf.DUMMYFUNCTION("""COMPUTED_VALUE"""),"+4000")</f>
        <v>+4000</v>
      </c>
      <c r="K1749" s="42">
        <f>IFERROR(__xludf.DUMMYFUNCTION("""COMPUTED_VALUE"""),2.0)</f>
        <v>2</v>
      </c>
      <c r="L1749" s="42" t="str">
        <f>IFERROR(__xludf.DUMMYFUNCTION("""COMPUTED_VALUE"""),"-")</f>
        <v>-</v>
      </c>
      <c r="M1749" s="42" t="str">
        <f>IFERROR(__xludf.DUMMYFUNCTION("""COMPUTED_VALUE"""),"[U]")</f>
        <v>[U]</v>
      </c>
      <c r="N1749" s="42" t="str">
        <f>IFERROR(__xludf.DUMMYFUNCTION("""COMPUTED_VALUE"""),"Fango's 6th spell. ""I can't believe it's taking you so long to defeat these morons!""")</f>
        <v>Fango's 6th spell. "I can't believe it's taking you so long to defeat these morons!"</v>
      </c>
      <c r="O1749" s="42"/>
      <c r="P1749" s="42"/>
      <c r="Q1749" s="42"/>
      <c r="R1749" s="42"/>
      <c r="S1749" s="42"/>
      <c r="T1749" s="42"/>
      <c r="U1749" s="42"/>
      <c r="V1749" s="42"/>
      <c r="W1749" s="42"/>
      <c r="X1749" s="42"/>
      <c r="Y1749" s="42"/>
      <c r="Z1749" s="42"/>
    </row>
    <row r="1750">
      <c r="A1750" s="42" t="str">
        <f>IFERROR(__xludf.DUMMYFUNCTION("""COMPUTED_VALUE"""),"S-619")</f>
        <v>S-619</v>
      </c>
      <c r="B1750" s="42" t="str">
        <f>IFERROR(__xludf.DUMMYFUNCTION("""COMPUTED_VALUE"""),"Spell")</f>
        <v>Spell</v>
      </c>
      <c r="C1750" s="42" t="str">
        <f>IFERROR(__xludf.DUMMYFUNCTION("""COMPUTED_VALUE"""),"Dio Gadyuga")</f>
        <v>Dio Gadyuga</v>
      </c>
      <c r="D1750" s="42" t="str">
        <f>IFERROR(__xludf.DUMMYFUNCTION("""COMPUTED_VALUE"""),"Fango")</f>
        <v>Fango</v>
      </c>
      <c r="E1750" s="42">
        <f>IFERROR(__xludf.DUMMYFUNCTION("""COMPUTED_VALUE"""),7.0)</f>
        <v>7</v>
      </c>
      <c r="F1750" s="42" t="str">
        <f>IFERROR(__xludf.DUMMYFUNCTION("""COMPUTED_VALUE"""),"AD")</f>
        <v>AD</v>
      </c>
      <c r="G1750" s="42" t="str">
        <f>IFERROR(__xludf.DUMMYFUNCTION("""COMPUTED_VALUE"""),"Superior")</f>
        <v>Superior</v>
      </c>
      <c r="H1750" s="42" t="str">
        <f>IFERROR(__xludf.DUMMYFUNCTION("""COMPUTED_VALUE"""),"Fire")</f>
        <v>Fire</v>
      </c>
      <c r="I1750" s="43" t="str">
        <f>IFERROR(__xludf.DUMMYFUNCTION("""COMPUTED_VALUE"""),"Damage your opponent's Spell Book and Injure all of your opponent's MAMODO cards when you win the Battle as an Attacker.")</f>
        <v>Damage your opponent's Spell Book and Injure all of your opponent's MAMODO cards when you win the Battle as an Attacker.</v>
      </c>
      <c r="J1750" s="42" t="str">
        <f>IFERROR(__xludf.DUMMYFUNCTION("""COMPUTED_VALUE"""),"+6000")</f>
        <v>+6000</v>
      </c>
      <c r="K1750" s="42">
        <f>IFERROR(__xludf.DUMMYFUNCTION("""COMPUTED_VALUE"""),3.0)</f>
        <v>3</v>
      </c>
      <c r="L1750" s="42" t="str">
        <f>IFERROR(__xludf.DUMMYFUNCTION("""COMPUTED_VALUE"""),"-")</f>
        <v>-</v>
      </c>
      <c r="M1750" s="42" t="str">
        <f>IFERROR(__xludf.DUMMYFUNCTION("""COMPUTED_VALUE"""),"[U]")</f>
        <v>[U]</v>
      </c>
      <c r="N1750" s="42" t="str">
        <f>IFERROR(__xludf.DUMMYFUNCTION("""COMPUTED_VALUE"""),"Fango's 7th spell. ""I'll destroy you all! Zaruchim! If you don't want to be fried, you'd better get out of the way!""")</f>
        <v>Fango's 7th spell. "I'll destroy you all! Zaruchim! If you don't want to be fried, you'd better get out of the way!"</v>
      </c>
      <c r="O1750" s="42"/>
      <c r="P1750" s="42"/>
      <c r="Q1750" s="42"/>
      <c r="R1750" s="42"/>
      <c r="S1750" s="42"/>
      <c r="T1750" s="42"/>
      <c r="U1750" s="42"/>
      <c r="V1750" s="42"/>
      <c r="W1750" s="42"/>
      <c r="X1750" s="42"/>
      <c r="Y1750" s="42"/>
      <c r="Z1750" s="42"/>
    </row>
    <row r="1751">
      <c r="A1751" s="42" t="str">
        <f>IFERROR(__xludf.DUMMYFUNCTION("""COMPUTED_VALUE"""),"S-620")</f>
        <v>S-620</v>
      </c>
      <c r="B1751" s="42" t="str">
        <f>IFERROR(__xludf.DUMMYFUNCTION("""COMPUTED_VALUE"""),"Spell")</f>
        <v>Spell</v>
      </c>
      <c r="C1751" s="42" t="str">
        <f>IFERROR(__xludf.DUMMYFUNCTION("""COMPUTED_VALUE"""),"Gadyusen")</f>
        <v>Gadyusen</v>
      </c>
      <c r="D1751" s="42" t="str">
        <f>IFERROR(__xludf.DUMMYFUNCTION("""COMPUTED_VALUE"""),"Fango")</f>
        <v>Fango</v>
      </c>
      <c r="E1751" s="42">
        <f>IFERROR(__xludf.DUMMYFUNCTION("""COMPUTED_VALUE"""),2.0)</f>
        <v>2</v>
      </c>
      <c r="F1751" s="42" t="str">
        <f>IFERROR(__xludf.DUMMYFUNCTION("""COMPUTED_VALUE"""),"AD")</f>
        <v>AD</v>
      </c>
      <c r="G1751" s="42" t="str">
        <f>IFERROR(__xludf.DUMMYFUNCTION("""COMPUTED_VALUE"""),"Intermediate")</f>
        <v>Intermediate</v>
      </c>
      <c r="H1751" s="42" t="str">
        <f>IFERROR(__xludf.DUMMYFUNCTION("""COMPUTED_VALUE"""),"Fire")</f>
        <v>Fire</v>
      </c>
      <c r="I1751" s="43" t="str">
        <f>IFERROR(__xludf.DUMMYFUNCTION("""COMPUTED_VALUE"""),"Apply both of the following effects in order when you win the Battle as an Attacker: ● Send 1 of your opponent's in-play VS MAMODO to the Discard Pile. ● Damage your opponent's Spell Book.")</f>
        <v>Apply both of the following effects in order when you win the Battle as an Attacker: ● Send 1 of your opponent's in-play VS MAMODO to the Discard Pile. ● Damage your opponent's Spell Book.</v>
      </c>
      <c r="J1751" s="42" t="str">
        <f>IFERROR(__xludf.DUMMYFUNCTION("""COMPUTED_VALUE"""),"+4000")</f>
        <v>+4000</v>
      </c>
      <c r="K1751" s="42">
        <f>IFERROR(__xludf.DUMMYFUNCTION("""COMPUTED_VALUE"""),2.0)</f>
        <v>2</v>
      </c>
      <c r="L1751" s="42" t="str">
        <f>IFERROR(__xludf.DUMMYFUNCTION("""COMPUTED_VALUE"""),"-")</f>
        <v>-</v>
      </c>
      <c r="M1751" s="42" t="str">
        <f>IFERROR(__xludf.DUMMYFUNCTION("""COMPUTED_VALUE"""),"[C]")</f>
        <v>[C]</v>
      </c>
      <c r="N1751" s="42" t="str">
        <f>IFERROR(__xludf.DUMMYFUNCTION("""COMPUTED_VALUE"""),"Fango's 8th spell. ""Zaruchim wants to beat them so badly. I'm sick of his whining, so I'll finish them first, just to rub it in his face!""")</f>
        <v>Fango's 8th spell. "Zaruchim wants to beat them so badly. I'm sick of his whining, so I'll finish them first, just to rub it in his face!"</v>
      </c>
      <c r="O1751" s="42"/>
      <c r="P1751" s="42"/>
      <c r="Q1751" s="42"/>
      <c r="R1751" s="42"/>
      <c r="S1751" s="42"/>
      <c r="T1751" s="42"/>
      <c r="U1751" s="42"/>
      <c r="V1751" s="42"/>
      <c r="W1751" s="42"/>
      <c r="X1751" s="42"/>
      <c r="Y1751" s="42"/>
      <c r="Z1751" s="42"/>
    </row>
    <row r="1752">
      <c r="A1752" s="42" t="str">
        <f>IFERROR(__xludf.DUMMYFUNCTION("""COMPUTED_VALUE"""),"S-621")</f>
        <v>S-621</v>
      </c>
      <c r="B1752" s="42" t="str">
        <f>IFERROR(__xludf.DUMMYFUNCTION("""COMPUTED_VALUE"""),"Spell")</f>
        <v>Spell</v>
      </c>
      <c r="C1752" s="42" t="str">
        <f>IFERROR(__xludf.DUMMYFUNCTION("""COMPUTED_VALUE"""),"Bargirdo Zakeruga")</f>
        <v>Bargirdo Zakeruga</v>
      </c>
      <c r="D1752" s="42" t="str">
        <f>IFERROR(__xludf.DUMMYFUNCTION("""COMPUTED_VALUE"""),"Zeno")</f>
        <v>Zeno</v>
      </c>
      <c r="E1752" s="42">
        <f>IFERROR(__xludf.DUMMYFUNCTION("""COMPUTED_VALUE"""),2.0)</f>
        <v>2</v>
      </c>
      <c r="F1752" s="42" t="str">
        <f>IFERROR(__xludf.DUMMYFUNCTION("""COMPUTED_VALUE"""),"A")</f>
        <v>A</v>
      </c>
      <c r="G1752" s="42" t="str">
        <f>IFERROR(__xludf.DUMMYFUNCTION("""COMPUTED_VALUE"""),"Intermediate")</f>
        <v>Intermediate</v>
      </c>
      <c r="H1752" s="42" t="str">
        <f>IFERROR(__xludf.DUMMYFUNCTION("""COMPUTED_VALUE"""),"Thunder")</f>
        <v>Thunder</v>
      </c>
      <c r="I1752" s="43" t="str">
        <f>IFERROR(__xludf.DUMMYFUNCTION("""COMPUTED_VALUE"""),"Select 1 of your opponent's in-play MAMODO cards when you win the Battle as an Attacker: [STAY] When your opponent plays a SPELL card for, or applies the effects of, the selected MAMODO card during this game (except effects with [In Play]), Injure the sel"&amp;"ected MAMOOD card. Your opponent's Attack is not negated as a result of the MAMODO being sent to the Discard Pile by this effect.")</f>
        <v>Select 1 of your opponent's in-play MAMODO cards when you win the Battle as an Attacker: [STAY] When your opponent plays a SPELL card for, or applies the effects of, the selected MAMODO card during this game (except effects with [In Play]), Injure the selected MAMOOD card. Your opponent's Attack is not negated as a result of the MAMODO being sent to the Discard Pile by this effect.</v>
      </c>
      <c r="J1752" s="42" t="str">
        <f>IFERROR(__xludf.DUMMYFUNCTION("""COMPUTED_VALUE"""),"+2000")</f>
        <v>+2000</v>
      </c>
      <c r="K1752" s="42" t="str">
        <f>IFERROR(__xludf.DUMMYFUNCTION("""COMPUTED_VALUE"""),"-")</f>
        <v>-</v>
      </c>
      <c r="L1752" s="42" t="str">
        <f>IFERROR(__xludf.DUMMYFUNCTION("""COMPUTED_VALUE"""),"-")</f>
        <v>-</v>
      </c>
      <c r="M1752" s="42" t="str">
        <f>IFERROR(__xludf.DUMMYFUNCTION("""COMPUTED_VALUE"""),"[SR]")</f>
        <v>[SR]</v>
      </c>
      <c r="N1752" s="42" t="str">
        <f>IFERROR(__xludf.DUMMYFUNCTION("""COMPUTED_VALUE"""),"Zeno's 5th spell. ""How does it feel? The sensation of being torn apart? Like living out your worst nightmare.""")</f>
        <v>Zeno's 5th spell. "How does it feel? The sensation of being torn apart? Like living out your worst nightmare."</v>
      </c>
      <c r="O1752" s="42"/>
      <c r="P1752" s="42"/>
      <c r="Q1752" s="42"/>
      <c r="R1752" s="42"/>
      <c r="S1752" s="42"/>
      <c r="T1752" s="42"/>
      <c r="U1752" s="42"/>
      <c r="V1752" s="42"/>
      <c r="W1752" s="42"/>
      <c r="X1752" s="42"/>
      <c r="Y1752" s="42"/>
      <c r="Z1752" s="42"/>
    </row>
    <row r="1753">
      <c r="A1753" s="42" t="str">
        <f>IFERROR(__xludf.DUMMYFUNCTION("""COMPUTED_VALUE"""),"S-622")</f>
        <v>S-622</v>
      </c>
      <c r="B1753" s="42" t="str">
        <f>IFERROR(__xludf.DUMMYFUNCTION("""COMPUTED_VALUE"""),"Spell")</f>
        <v>Spell</v>
      </c>
      <c r="C1753" s="42" t="str">
        <f>IFERROR(__xludf.DUMMYFUNCTION("""COMPUTED_VALUE"""),"Fifths Nagur")</f>
        <v>Fifths Nagur</v>
      </c>
      <c r="D1753" s="42" t="str">
        <f>IFERROR(__xludf.DUMMYFUNCTION("""COMPUTED_VALUE"""),"Ted")</f>
        <v>Ted</v>
      </c>
      <c r="E1753" s="42">
        <f>IFERROR(__xludf.DUMMYFUNCTION("""COMPUTED_VALUE"""),3.0)</f>
        <v>3</v>
      </c>
      <c r="F1753" s="42" t="str">
        <f>IFERROR(__xludf.DUMMYFUNCTION("""COMPUTED_VALUE"""),"A")</f>
        <v>A</v>
      </c>
      <c r="G1753" s="42" t="str">
        <f>IFERROR(__xludf.DUMMYFUNCTION("""COMPUTED_VALUE"""),"Intermediate")</f>
        <v>Intermediate</v>
      </c>
      <c r="H1753" s="42" t="str">
        <f>IFERROR(__xludf.DUMMYFUNCTION("""COMPUTED_VALUE"""),"-")</f>
        <v>-</v>
      </c>
      <c r="I1753" s="43" t="str">
        <f>IFERROR(__xludf.DUMMYFUNCTION("""COMPUTED_VALUE"""),"This SPELL card can be played only if you have successfully played a Fours Nagur SPELL card during this game. Adjust the number of MP counters on your Ted MAMODO card until there are 5 MP counters.")</f>
        <v>This SPELL card can be played only if you have successfully played a Fours Nagur SPELL card during this game. Adjust the number of MP counters on your Ted MAMODO card until there are 5 MP counters.</v>
      </c>
      <c r="J1753" s="42" t="str">
        <f>IFERROR(__xludf.DUMMYFUNCTION("""COMPUTED_VALUE"""),"-")</f>
        <v>-</v>
      </c>
      <c r="K1753" s="42" t="str">
        <f>IFERROR(__xludf.DUMMYFUNCTION("""COMPUTED_VALUE"""),"-")</f>
        <v>-</v>
      </c>
      <c r="L1753" s="42" t="str">
        <f>IFERROR(__xludf.DUMMYFUNCTION("""COMPUTED_VALUE"""),"-")</f>
        <v>-</v>
      </c>
      <c r="M1753" s="42" t="str">
        <f>IFERROR(__xludf.DUMMYFUNCTION("""COMPUTED_VALUE"""),"[U]")</f>
        <v>[U]</v>
      </c>
      <c r="N1753" s="42" t="str">
        <f>IFERROR(__xludf.DUMMYFUNCTION("""COMPUTED_VALUE"""),"Ted's 5th spell. ""We're going into top gear!""")</f>
        <v>Ted's 5th spell. "We're going into top gear!"</v>
      </c>
      <c r="O1753" s="42"/>
      <c r="P1753" s="42"/>
      <c r="Q1753" s="42"/>
      <c r="R1753" s="42"/>
      <c r="S1753" s="42"/>
      <c r="T1753" s="42"/>
      <c r="U1753" s="42"/>
      <c r="V1753" s="42"/>
      <c r="W1753" s="42"/>
      <c r="X1753" s="42"/>
      <c r="Y1753" s="42"/>
      <c r="Z1753" s="42"/>
    </row>
    <row r="1754">
      <c r="A1754" s="42" t="str">
        <f>IFERROR(__xludf.DUMMYFUNCTION("""COMPUTED_VALUE"""),"S-623")</f>
        <v>S-623</v>
      </c>
      <c r="B1754" s="42" t="str">
        <f>IFERROR(__xludf.DUMMYFUNCTION("""COMPUTED_VALUE"""),"Spell")</f>
        <v>Spell</v>
      </c>
      <c r="C1754" s="42" t="str">
        <f>IFERROR(__xludf.DUMMYFUNCTION("""COMPUTED_VALUE"""),"Dragnon Dionagur")</f>
        <v>Dragnon Dionagur</v>
      </c>
      <c r="D1754" s="42" t="str">
        <f>IFERROR(__xludf.DUMMYFUNCTION("""COMPUTED_VALUE"""),"Ted")</f>
        <v>Ted</v>
      </c>
      <c r="E1754" s="42">
        <f>IFERROR(__xludf.DUMMYFUNCTION("""COMPUTED_VALUE"""),4.0)</f>
        <v>4</v>
      </c>
      <c r="F1754" s="42" t="str">
        <f>IFERROR(__xludf.DUMMYFUNCTION("""COMPUTED_VALUE"""),"A")</f>
        <v>A</v>
      </c>
      <c r="G1754" s="42" t="str">
        <f>IFERROR(__xludf.DUMMYFUNCTION("""COMPUTED_VALUE"""),"Superior")</f>
        <v>Superior</v>
      </c>
      <c r="H1754" s="42" t="str">
        <f>IFERROR(__xludf.DUMMYFUNCTION("""COMPUTED_VALUE"""),"-")</f>
        <v>-</v>
      </c>
      <c r="I1754" s="43" t="str">
        <f>IFERROR(__xludf.DUMMYFUNCTION("""COMPUTED_VALUE"""),"This SPELL card can be played only when you have 5 or more MP counters on your Ted MAMODO card. Damage your opponent's Spell Book when you win the Battle as an Attacker. When you declare the play of this SPELL card, you may send your Ted MAMODO card to th"&amp;"e Discard Pile to send 1 of your opponent's in-play MAMODO cards to the Discard Pile (this card's Attack continues as well).")</f>
        <v>This SPELL card can be played only when you have 5 or more MP counters on your Ted MAMODO card. Damage your opponent's Spell Book when you win the Battle as an Attacker. When you declare the play of this SPELL card, you may send your Ted MAMODO card to the Discard Pile to send 1 of your opponent's in-play MAMODO cards to the Discard Pile (this card's Attack continues as well).</v>
      </c>
      <c r="J1754" s="42" t="str">
        <f>IFERROR(__xludf.DUMMYFUNCTION("""COMPUTED_VALUE"""),"+8000")</f>
        <v>+8000</v>
      </c>
      <c r="K1754" s="42">
        <f>IFERROR(__xludf.DUMMYFUNCTION("""COMPUTED_VALUE"""),4.0)</f>
        <v>4</v>
      </c>
      <c r="L1754" s="42" t="str">
        <f>IFERROR(__xludf.DUMMYFUNCTION("""COMPUTED_VALUE"""),"-")</f>
        <v>-</v>
      </c>
      <c r="M1754" s="42" t="str">
        <f>IFERROR(__xludf.DUMMYFUNCTION("""COMPUTED_VALUE"""),"[R]")</f>
        <v>[R]</v>
      </c>
      <c r="N1754" s="42" t="str">
        <f>IFERROR(__xludf.DUMMYFUNCTION("""COMPUTED_VALUE"""),"Ted's 6th spell. ""JIDO! TAKE IT TO THE FINAL GEAR!""")</f>
        <v>Ted's 6th spell. "JIDO! TAKE IT TO THE FINAL GEAR!"</v>
      </c>
      <c r="O1754" s="42"/>
      <c r="P1754" s="42"/>
      <c r="Q1754" s="42"/>
      <c r="R1754" s="42"/>
      <c r="S1754" s="42"/>
      <c r="T1754" s="42"/>
      <c r="U1754" s="42"/>
      <c r="V1754" s="42"/>
      <c r="W1754" s="42"/>
      <c r="X1754" s="42"/>
      <c r="Y1754" s="42"/>
      <c r="Z1754" s="42"/>
    </row>
    <row r="1755">
      <c r="A1755" s="42" t="str">
        <f>IFERROR(__xludf.DUMMYFUNCTION("""COMPUTED_VALUE"""),"S-624")</f>
        <v>S-624</v>
      </c>
      <c r="B1755" s="42" t="str">
        <f>IFERROR(__xludf.DUMMYFUNCTION("""COMPUTED_VALUE"""),"Spell")</f>
        <v>Spell</v>
      </c>
      <c r="C1755" s="42" t="str">
        <f>IFERROR(__xludf.DUMMYFUNCTION("""COMPUTED_VALUE"""),"Kofar")</f>
        <v>Kofar</v>
      </c>
      <c r="D1755" s="42" t="str">
        <f>IFERROR(__xludf.DUMMYFUNCTION("""COMPUTED_VALUE"""),"Cherish")</f>
        <v>Cherish</v>
      </c>
      <c r="E1755" s="42">
        <f>IFERROR(__xludf.DUMMYFUNCTION("""COMPUTED_VALUE"""),1.0)</f>
        <v>1</v>
      </c>
      <c r="F1755" s="42" t="str">
        <f>IFERROR(__xludf.DUMMYFUNCTION("""COMPUTED_VALUE"""),"A")</f>
        <v>A</v>
      </c>
      <c r="G1755" s="42" t="str">
        <f>IFERROR(__xludf.DUMMYFUNCTION("""COMPUTED_VALUE"""),"None")</f>
        <v>None</v>
      </c>
      <c r="H1755" s="42" t="str">
        <f>IFERROR(__xludf.DUMMYFUNCTION("""COMPUTED_VALUE"""),"-")</f>
        <v>-</v>
      </c>
      <c r="I1755" s="43" t="str">
        <f>IFERROR(__xludf.DUMMYFUNCTION("""COMPUTED_VALUE"""),"Apply 1 of the following effects when you win the Battle as an Attacker: ● Damage your opponent's Spell Book. ● Send 1 of your opponent's in-play PARTNER cards to the Discard Pile.")</f>
        <v>Apply 1 of the following effects when you win the Battle as an Attacker: ● Damage your opponent's Spell Book. ● Send 1 of your opponent's in-play PARTNER cards to the Discard Pile.</v>
      </c>
      <c r="J1755" s="42" t="str">
        <f>IFERROR(__xludf.DUMMYFUNCTION("""COMPUTED_VALUE"""),"+2000")</f>
        <v>+2000</v>
      </c>
      <c r="K1755" s="42">
        <f>IFERROR(__xludf.DUMMYFUNCTION("""COMPUTED_VALUE"""),1.0)</f>
        <v>1</v>
      </c>
      <c r="L1755" s="42" t="str">
        <f>IFERROR(__xludf.DUMMYFUNCTION("""COMPUTED_VALUE"""),"-")</f>
        <v>-</v>
      </c>
      <c r="M1755" s="42" t="str">
        <f>IFERROR(__xludf.DUMMYFUNCTION("""COMPUTED_VALUE"""),"[C]")</f>
        <v>[C]</v>
      </c>
      <c r="N1755" s="42" t="str">
        <f>IFERROR(__xludf.DUMMYFUNCTION("""COMPUTED_VALUE"""),"Cherish's 4th spell. She fires at Folgore with no hesitation as he tries to open a door.")</f>
        <v>Cherish's 4th spell. She fires at Folgore with no hesitation as he tries to open a door.</v>
      </c>
      <c r="O1755" s="42"/>
      <c r="P1755" s="42"/>
      <c r="Q1755" s="42"/>
      <c r="R1755" s="42"/>
      <c r="S1755" s="42"/>
      <c r="T1755" s="42"/>
      <c r="U1755" s="42"/>
      <c r="V1755" s="42"/>
      <c r="W1755" s="42"/>
      <c r="X1755" s="42"/>
      <c r="Y1755" s="42"/>
      <c r="Z1755" s="42"/>
    </row>
    <row r="1756">
      <c r="A1756" s="42" t="str">
        <f>IFERROR(__xludf.DUMMYFUNCTION("""COMPUTED_VALUE"""),"S-625")</f>
        <v>S-625</v>
      </c>
      <c r="B1756" s="42" t="str">
        <f>IFERROR(__xludf.DUMMYFUNCTION("""COMPUTED_VALUE"""),"Spell")</f>
        <v>Spell</v>
      </c>
      <c r="C1756" s="42" t="str">
        <f>IFERROR(__xludf.DUMMYFUNCTION("""COMPUTED_VALUE"""),"Gigano Kofar")</f>
        <v>Gigano Kofar</v>
      </c>
      <c r="D1756" s="42" t="str">
        <f>IFERROR(__xludf.DUMMYFUNCTION("""COMPUTED_VALUE"""),"Cherish")</f>
        <v>Cherish</v>
      </c>
      <c r="E1756" s="42">
        <f>IFERROR(__xludf.DUMMYFUNCTION("""COMPUTED_VALUE"""),2.0)</f>
        <v>2</v>
      </c>
      <c r="F1756" s="42" t="str">
        <f>IFERROR(__xludf.DUMMYFUNCTION("""COMPUTED_VALUE"""),"A")</f>
        <v>A</v>
      </c>
      <c r="G1756" s="42" t="str">
        <f>IFERROR(__xludf.DUMMYFUNCTION("""COMPUTED_VALUE"""),"Intermediate")</f>
        <v>Intermediate</v>
      </c>
      <c r="H1756" s="42" t="str">
        <f>IFERROR(__xludf.DUMMYFUNCTION("""COMPUTED_VALUE"""),"-")</f>
        <v>-</v>
      </c>
      <c r="I1756" s="43" t="str">
        <f>IFERROR(__xludf.DUMMYFUNCTION("""COMPUTED_VALUE"""),"Apply 1 of the following effects when you win the Battle as an Attacker: ● Damage your opponent's Spell Book. ● Injure 1 of your opponent's MAMODO cards.")</f>
        <v>Apply 1 of the following effects when you win the Battle as an Attacker: ● Damage your opponent's Spell Book. ● Injure 1 of your opponent's MAMODO cards.</v>
      </c>
      <c r="J1756" s="42" t="str">
        <f>IFERROR(__xludf.DUMMYFUNCTION("""COMPUTED_VALUE"""),"+4000")</f>
        <v>+4000</v>
      </c>
      <c r="K1756" s="42">
        <f>IFERROR(__xludf.DUMMYFUNCTION("""COMPUTED_VALUE"""),2.0)</f>
        <v>2</v>
      </c>
      <c r="L1756" s="42" t="str">
        <f>IFERROR(__xludf.DUMMYFUNCTION("""COMPUTED_VALUE"""),"-")</f>
        <v>-</v>
      </c>
      <c r="M1756" s="42" t="str">
        <f>IFERROR(__xludf.DUMMYFUNCTION("""COMPUTED_VALUE"""),"[U]")</f>
        <v>[U]</v>
      </c>
      <c r="N1756" s="42" t="str">
        <f>IFERROR(__xludf.DUMMYFUNCTION("""COMPUTED_VALUE"""),"Cherish's 5th spell. Let's get rid of them in one shot with a powerful spell, Nicole!""")</f>
        <v>Cherish's 5th spell. Let's get rid of them in one shot with a powerful spell, Nicole!"</v>
      </c>
      <c r="O1756" s="42"/>
      <c r="P1756" s="42"/>
      <c r="Q1756" s="42"/>
      <c r="R1756" s="42"/>
      <c r="S1756" s="42"/>
      <c r="T1756" s="42"/>
      <c r="U1756" s="42"/>
      <c r="V1756" s="42"/>
      <c r="W1756" s="42"/>
      <c r="X1756" s="42"/>
      <c r="Y1756" s="42"/>
      <c r="Z1756" s="42"/>
    </row>
    <row r="1757">
      <c r="A1757" s="42" t="str">
        <f>IFERROR(__xludf.DUMMYFUNCTION("""COMPUTED_VALUE"""),"S-626")</f>
        <v>S-626</v>
      </c>
      <c r="B1757" s="42" t="str">
        <f>IFERROR(__xludf.DUMMYFUNCTION("""COMPUTED_VALUE"""),"Spell")</f>
        <v>Spell</v>
      </c>
      <c r="C1757" s="42" t="str">
        <f>IFERROR(__xludf.DUMMYFUNCTION("""COMPUTED_VALUE"""),"Ganzu Go Kofarga")</f>
        <v>Ganzu Go Kofarga</v>
      </c>
      <c r="D1757" s="42" t="str">
        <f>IFERROR(__xludf.DUMMYFUNCTION("""COMPUTED_VALUE"""),"Cherish")</f>
        <v>Cherish</v>
      </c>
      <c r="E1757" s="42">
        <f>IFERROR(__xludf.DUMMYFUNCTION("""COMPUTED_VALUE"""),3.0)</f>
        <v>3</v>
      </c>
      <c r="F1757" s="42" t="str">
        <f>IFERROR(__xludf.DUMMYFUNCTION("""COMPUTED_VALUE"""),"A")</f>
        <v>A</v>
      </c>
      <c r="G1757" s="42" t="str">
        <f>IFERROR(__xludf.DUMMYFUNCTION("""COMPUTED_VALUE"""),"Intermediate")</f>
        <v>Intermediate</v>
      </c>
      <c r="H1757" s="42" t="str">
        <f>IFERROR(__xludf.DUMMYFUNCTION("""COMPUTED_VALUE"""),"-")</f>
        <v>-</v>
      </c>
      <c r="I1757" s="43" t="str">
        <f>IFERROR(__xludf.DUMMYFUNCTION("""COMPUTED_VALUE"""),"Flip a coin until you get Tails twice; Damage your opponent's Spell Book by a number of times equal to the number of Heads you get times 1 when you win the Battle as an Attacker.")</f>
        <v>Flip a coin until you get Tails twice; Damage your opponent's Spell Book by a number of times equal to the number of Heads you get times 1 when you win the Battle as an Attacker.</v>
      </c>
      <c r="J1757" s="42" t="str">
        <f>IFERROR(__xludf.DUMMYFUNCTION("""COMPUTED_VALUE"""),"+3000")</f>
        <v>+3000</v>
      </c>
      <c r="K1757" s="42">
        <f>IFERROR(__xludf.DUMMYFUNCTION("""COMPUTED_VALUE"""),1.0)</f>
        <v>1</v>
      </c>
      <c r="L1757" s="42" t="str">
        <f>IFERROR(__xludf.DUMMYFUNCTION("""COMPUTED_VALUE"""),"-")</f>
        <v>-</v>
      </c>
      <c r="M1757" s="42" t="str">
        <f>IFERROR(__xludf.DUMMYFUNCTION("""COMPUTED_VALUE"""),"[C]")</f>
        <v>[C]</v>
      </c>
      <c r="N1757" s="42" t="str">
        <f>IFERROR(__xludf.DUMMYFUNCTION("""COMPUTED_VALUE"""),"Cherish's 6th spell. She mercilessly pelts Ted with an array of countless crystals.")</f>
        <v>Cherish's 6th spell. She mercilessly pelts Ted with an array of countless crystals.</v>
      </c>
      <c r="O1757" s="42"/>
      <c r="P1757" s="42"/>
      <c r="Q1757" s="42"/>
      <c r="R1757" s="42"/>
      <c r="S1757" s="42"/>
      <c r="T1757" s="42"/>
      <c r="U1757" s="42"/>
      <c r="V1757" s="42"/>
      <c r="W1757" s="42"/>
      <c r="X1757" s="42"/>
      <c r="Y1757" s="42"/>
      <c r="Z1757" s="42"/>
    </row>
    <row r="1758">
      <c r="A1758" s="42" t="str">
        <f>IFERROR(__xludf.DUMMYFUNCTION("""COMPUTED_VALUE"""),"S-627")</f>
        <v>S-627</v>
      </c>
      <c r="B1758" s="42" t="str">
        <f>IFERROR(__xludf.DUMMYFUNCTION("""COMPUTED_VALUE"""),"Spell")</f>
        <v>Spell</v>
      </c>
      <c r="C1758" s="42" t="str">
        <f>IFERROR(__xludf.DUMMYFUNCTION("""COMPUTED_VALUE"""),"Zeo Zakeruga")</f>
        <v>Zeo Zakeruga</v>
      </c>
      <c r="D1758" s="42" t="str">
        <f>IFERROR(__xludf.DUMMYFUNCTION("""COMPUTED_VALUE"""),"Zeno")</f>
        <v>Zeno</v>
      </c>
      <c r="E1758" s="42">
        <f>IFERROR(__xludf.DUMMYFUNCTION("""COMPUTED_VALUE"""),6.0)</f>
        <v>6</v>
      </c>
      <c r="F1758" s="42" t="str">
        <f>IFERROR(__xludf.DUMMYFUNCTION("""COMPUTED_VALUE"""),"AD")</f>
        <v>AD</v>
      </c>
      <c r="G1758" s="42" t="str">
        <f>IFERROR(__xludf.DUMMYFUNCTION("""COMPUTED_VALUE"""),"Superior")</f>
        <v>Superior</v>
      </c>
      <c r="H1758" s="42" t="str">
        <f>IFERROR(__xludf.DUMMYFUNCTION("""COMPUTED_VALUE"""),"Thunder")</f>
        <v>Thunder</v>
      </c>
      <c r="I1758" s="43" t="str">
        <f>IFERROR(__xludf.DUMMYFUNCTION("""COMPUTED_VALUE"""),"Damage your opponent's Spell Book when you win the Battle as an Attacker. When you are on the last page of your Spell Book, your opponent can neither SACRIFICE nor PROTECT their Spell Book from this card's Damage.")</f>
        <v>Damage your opponent's Spell Book when you win the Battle as an Attacker. When you are on the last page of your Spell Book, your opponent can neither SACRIFICE nor PROTECT their Spell Book from this card's Damage.</v>
      </c>
      <c r="J1758" s="42" t="str">
        <f>IFERROR(__xludf.DUMMYFUNCTION("""COMPUTED_VALUE"""),"+6000")</f>
        <v>+6000</v>
      </c>
      <c r="K1758" s="42">
        <f>IFERROR(__xludf.DUMMYFUNCTION("""COMPUTED_VALUE"""),3.0)</f>
        <v>3</v>
      </c>
      <c r="L1758" s="42" t="str">
        <f>IFERROR(__xludf.DUMMYFUNCTION("""COMPUTED_VALUE"""),"-")</f>
        <v>-</v>
      </c>
      <c r="M1758" s="42" t="str">
        <f>IFERROR(__xludf.DUMMYFUNCTION("""COMPUTED_VALUE"""),"[U]")</f>
        <v>[U]</v>
      </c>
      <c r="N1758" s="42" t="str">
        <f>IFERROR(__xludf.DUMMYFUNCTION("""COMPUTED_VALUE"""),"Zeno's spell from the video games. He summons forth a silver dragon of lightning.")</f>
        <v>Zeno's spell from the video games. He summons forth a silver dragon of lightning.</v>
      </c>
      <c r="O1758" s="42"/>
      <c r="P1758" s="42"/>
      <c r="Q1758" s="42"/>
      <c r="R1758" s="42"/>
      <c r="S1758" s="42"/>
      <c r="T1758" s="42"/>
      <c r="U1758" s="42"/>
      <c r="V1758" s="42"/>
      <c r="W1758" s="42"/>
      <c r="X1758" s="42"/>
      <c r="Y1758" s="42"/>
      <c r="Z1758" s="42"/>
    </row>
    <row r="1759">
      <c r="A1759" s="42" t="str">
        <f>IFERROR(__xludf.DUMMYFUNCTION("""COMPUTED_VALUE"""),"S-628")</f>
        <v>S-628</v>
      </c>
      <c r="B1759" s="42" t="str">
        <f>IFERROR(__xludf.DUMMYFUNCTION("""COMPUTED_VALUE"""),"Spell")</f>
        <v>Spell</v>
      </c>
      <c r="C1759" s="42" t="str">
        <f>IFERROR(__xludf.DUMMYFUNCTION("""COMPUTED_VALUE"""),"Zigadiras Ul Zakeruga")</f>
        <v>Zigadiras Ul Zakeruga</v>
      </c>
      <c r="D1759" s="42" t="str">
        <f>IFERROR(__xludf.DUMMYFUNCTION("""COMPUTED_VALUE"""),"Zeno")</f>
        <v>Zeno</v>
      </c>
      <c r="E1759" s="42">
        <f>IFERROR(__xludf.DUMMYFUNCTION("""COMPUTED_VALUE"""),1.0)</f>
        <v>1</v>
      </c>
      <c r="F1759" s="42" t="str">
        <f>IFERROR(__xludf.DUMMYFUNCTION("""COMPUTED_VALUE"""),"AD")</f>
        <v>AD</v>
      </c>
      <c r="G1759" s="42" t="str">
        <f>IFERROR(__xludf.DUMMYFUNCTION("""COMPUTED_VALUE"""),"Superior")</f>
        <v>Superior</v>
      </c>
      <c r="H1759" s="42" t="str">
        <f>IFERROR(__xludf.DUMMYFUNCTION("""COMPUTED_VALUE"""),"Thunder")</f>
        <v>Thunder</v>
      </c>
      <c r="I1759" s="43" t="str">
        <f>IFERROR(__xludf.DUMMYFUNCTION("""COMPUTED_VALUE"""),"Damage your opponent's Spell Book when you win the Battle as an Attacker.")</f>
        <v>Damage your opponent's Spell Book when you win the Battle as an Attacker.</v>
      </c>
      <c r="J1759" s="42" t="str">
        <f>IFERROR(__xludf.DUMMYFUNCTION("""COMPUTED_VALUE"""),"+10000")</f>
        <v>+10000</v>
      </c>
      <c r="K1759" s="42">
        <f>IFERROR(__xludf.DUMMYFUNCTION("""COMPUTED_VALUE"""),10.0)</f>
        <v>10</v>
      </c>
      <c r="L1759" s="42" t="str">
        <f>IFERROR(__xludf.DUMMYFUNCTION("""COMPUTED_VALUE"""),"-")</f>
        <v>-</v>
      </c>
      <c r="M1759" s="42" t="str">
        <f>IFERROR(__xludf.DUMMYFUNCTION("""COMPUTED_VALUE"""),"[R]")</f>
        <v>[R]</v>
      </c>
      <c r="N1759" s="42" t="str">
        <f>IFERROR(__xludf.DUMMYFUNCTION("""COMPUTED_VALUE"""),"Zeno's spell. ""I don't want a single trace of them left. We're using 'that' spell, got it?""")</f>
        <v>Zeno's spell. "I don't want a single trace of them left. We're using 'that' spell, got it?"</v>
      </c>
      <c r="O1759" s="42"/>
      <c r="P1759" s="42"/>
      <c r="Q1759" s="42"/>
      <c r="R1759" s="42"/>
      <c r="S1759" s="42"/>
      <c r="T1759" s="42"/>
      <c r="U1759" s="42"/>
      <c r="V1759" s="42"/>
      <c r="W1759" s="42"/>
      <c r="X1759" s="42"/>
      <c r="Y1759" s="42"/>
      <c r="Z1759" s="42"/>
    </row>
    <row r="1760">
      <c r="A1760" s="42" t="str">
        <f>IFERROR(__xludf.DUMMYFUNCTION("""COMPUTED_VALUE"""),"S-629")</f>
        <v>S-629</v>
      </c>
      <c r="B1760" s="42" t="str">
        <f>IFERROR(__xludf.DUMMYFUNCTION("""COMPUTED_VALUE"""),"Spell")</f>
        <v>Spell</v>
      </c>
      <c r="C1760" s="42" t="str">
        <f>IFERROR(__xludf.DUMMYFUNCTION("""COMPUTED_VALUE"""),"Am Baskarg")</f>
        <v>Am Baskarg</v>
      </c>
      <c r="D1760" s="42" t="str">
        <f>IFERROR(__xludf.DUMMYFUNCTION("""COMPUTED_VALUE"""),"Gyaron")</f>
        <v>Gyaron</v>
      </c>
      <c r="E1760" s="42">
        <f>IFERROR(__xludf.DUMMYFUNCTION("""COMPUTED_VALUE"""),1.0)</f>
        <v>1</v>
      </c>
      <c r="F1760" s="42" t="str">
        <f>IFERROR(__xludf.DUMMYFUNCTION("""COMPUTED_VALUE"""),"A")</f>
        <v>A</v>
      </c>
      <c r="G1760" s="42" t="str">
        <f>IFERROR(__xludf.DUMMYFUNCTION("""COMPUTED_VALUE"""),"None")</f>
        <v>None</v>
      </c>
      <c r="H1760" s="42" t="str">
        <f>IFERROR(__xludf.DUMMYFUNCTION("""COMPUTED_VALUE"""),"-")</f>
        <v>-</v>
      </c>
      <c r="I1760" s="43" t="str">
        <f>IFERROR(__xludf.DUMMYFUNCTION("""COMPUTED_VALUE"""),"[STAY] Add 2000 Power and 1 Damage to the Total Power when your Gyaron MAMODO card Attacks without using a SPELL card by applying its card effects during this game (this effect cannot be duplicated).")</f>
        <v>[STAY] Add 2000 Power and 1 Damage to the Total Power when your Gyaron MAMODO card Attacks without using a SPELL card by applying its card effects during this game (this effect cannot be duplicated).</v>
      </c>
      <c r="J1760" s="42" t="str">
        <f>IFERROR(__xludf.DUMMYFUNCTION("""COMPUTED_VALUE"""),"-")</f>
        <v>-</v>
      </c>
      <c r="K1760" s="42" t="str">
        <f>IFERROR(__xludf.DUMMYFUNCTION("""COMPUTED_VALUE"""),"-")</f>
        <v>-</v>
      </c>
      <c r="L1760" s="42" t="str">
        <f>IFERROR(__xludf.DUMMYFUNCTION("""COMPUTED_VALUE"""),"-")</f>
        <v>-</v>
      </c>
      <c r="M1760" s="42" t="str">
        <f>IFERROR(__xludf.DUMMYFUNCTION("""COMPUTED_VALUE"""),"[C]")</f>
        <v>[C]</v>
      </c>
      <c r="N1760" s="42" t="str">
        <f>IFERROR(__xludf.DUMMYFUNCTION("""COMPUTED_VALUE"""),"Gyaron's 1st spell. ""You're getting a little cocky if you think you can chat with the enemy!""")</f>
        <v>Gyaron's 1st spell. "You're getting a little cocky if you think you can chat with the enemy!"</v>
      </c>
      <c r="O1760" s="42"/>
      <c r="P1760" s="42"/>
      <c r="Q1760" s="42"/>
      <c r="R1760" s="42"/>
      <c r="S1760" s="42"/>
      <c r="T1760" s="42"/>
      <c r="U1760" s="42"/>
      <c r="V1760" s="42"/>
      <c r="W1760" s="42"/>
      <c r="X1760" s="42"/>
      <c r="Y1760" s="42"/>
      <c r="Z1760" s="42"/>
    </row>
    <row r="1761">
      <c r="A1761" s="42" t="str">
        <f>IFERROR(__xludf.DUMMYFUNCTION("""COMPUTED_VALUE"""),"S-630")</f>
        <v>S-630</v>
      </c>
      <c r="B1761" s="42" t="str">
        <f>IFERROR(__xludf.DUMMYFUNCTION("""COMPUTED_VALUE"""),"Spell")</f>
        <v>Spell</v>
      </c>
      <c r="C1761" s="42" t="str">
        <f>IFERROR(__xludf.DUMMYFUNCTION("""COMPUTED_VALUE"""),"Rei Baskarg")</f>
        <v>Rei Baskarg</v>
      </c>
      <c r="D1761" s="42" t="str">
        <f>IFERROR(__xludf.DUMMYFUNCTION("""COMPUTED_VALUE"""),"Gyaron")</f>
        <v>Gyaron</v>
      </c>
      <c r="E1761" s="42">
        <f>IFERROR(__xludf.DUMMYFUNCTION("""COMPUTED_VALUE"""),2.0)</f>
        <v>2</v>
      </c>
      <c r="F1761" s="42" t="str">
        <f>IFERROR(__xludf.DUMMYFUNCTION("""COMPUTED_VALUE"""),"A")</f>
        <v>A</v>
      </c>
      <c r="G1761" s="42" t="str">
        <f>IFERROR(__xludf.DUMMYFUNCTION("""COMPUTED_VALUE"""),"None")</f>
        <v>None</v>
      </c>
      <c r="H1761" s="42" t="str">
        <f>IFERROR(__xludf.DUMMYFUNCTION("""COMPUTED_VALUE"""),"-")</f>
        <v>-</v>
      </c>
      <c r="I1761" s="43" t="str">
        <f>IFERROR(__xludf.DUMMYFUNCTION("""COMPUTED_VALUE"""),"[STAY] You can apply the effects of your Gyaron MAMODO card that allow it to Attack or Defend without using a SPELL card up to twice per turn (per player) during this game.")</f>
        <v>[STAY] You can apply the effects of your Gyaron MAMODO card that allow it to Attack or Defend without using a SPELL card up to twice per turn (per player) during this game.</v>
      </c>
      <c r="J1761" s="42" t="str">
        <f>IFERROR(__xludf.DUMMYFUNCTION("""COMPUTED_VALUE"""),"-")</f>
        <v>-</v>
      </c>
      <c r="K1761" s="42" t="str">
        <f>IFERROR(__xludf.DUMMYFUNCTION("""COMPUTED_VALUE"""),"-")</f>
        <v>-</v>
      </c>
      <c r="L1761" s="42" t="str">
        <f>IFERROR(__xludf.DUMMYFUNCTION("""COMPUTED_VALUE"""),"-")</f>
        <v>-</v>
      </c>
      <c r="M1761" s="42" t="str">
        <f>IFERROR(__xludf.DUMMYFUNCTION("""COMPUTED_VALUE"""),"[C]")</f>
        <v>[C]</v>
      </c>
      <c r="N1761" s="42" t="str">
        <f>IFERROR(__xludf.DUMMYFUNCTION("""COMPUTED_VALUE"""),"Gyaron's 2nd spell. ""I can increase the power of my arms and legs as much as I want!""")</f>
        <v>Gyaron's 2nd spell. "I can increase the power of my arms and legs as much as I want!"</v>
      </c>
      <c r="O1761" s="42"/>
      <c r="P1761" s="42"/>
      <c r="Q1761" s="42"/>
      <c r="R1761" s="42"/>
      <c r="S1761" s="42"/>
      <c r="T1761" s="42"/>
      <c r="U1761" s="42"/>
      <c r="V1761" s="42"/>
      <c r="W1761" s="42"/>
      <c r="X1761" s="42"/>
      <c r="Y1761" s="42"/>
      <c r="Z1761" s="42"/>
    </row>
    <row r="1762">
      <c r="A1762" s="42" t="str">
        <f>IFERROR(__xludf.DUMMYFUNCTION("""COMPUTED_VALUE"""),"S-631")</f>
        <v>S-631</v>
      </c>
      <c r="B1762" s="42" t="str">
        <f>IFERROR(__xludf.DUMMYFUNCTION("""COMPUTED_VALUE"""),"Spell")</f>
        <v>Spell</v>
      </c>
      <c r="C1762" s="42" t="str">
        <f>IFERROR(__xludf.DUMMYFUNCTION("""COMPUTED_VALUE"""),"Gigam Baskarg")</f>
        <v>Gigam Baskarg</v>
      </c>
      <c r="D1762" s="42" t="str">
        <f>IFERROR(__xludf.DUMMYFUNCTION("""COMPUTED_VALUE"""),"Gyaron")</f>
        <v>Gyaron</v>
      </c>
      <c r="E1762" s="42">
        <f>IFERROR(__xludf.DUMMYFUNCTION("""COMPUTED_VALUE"""),3.0)</f>
        <v>3</v>
      </c>
      <c r="F1762" s="42" t="str">
        <f>IFERROR(__xludf.DUMMYFUNCTION("""COMPUTED_VALUE"""),"A")</f>
        <v>A</v>
      </c>
      <c r="G1762" s="42" t="str">
        <f>IFERROR(__xludf.DUMMYFUNCTION("""COMPUTED_VALUE"""),"None")</f>
        <v>None</v>
      </c>
      <c r="H1762" s="42" t="str">
        <f>IFERROR(__xludf.DUMMYFUNCTION("""COMPUTED_VALUE"""),"-")</f>
        <v>-</v>
      </c>
      <c r="I1762" s="43" t="str">
        <f>IFERROR(__xludf.DUMMYFUNCTION("""COMPUTED_VALUE"""),"This SPELL card can be played only if you have successfully played an Am Baskarg SPELL card during this game. [STAY] Add 2000 Power and 1 Damage to the Total Power when your Gyaron MAMODO card Attacks without using a SPELL card by applying its card effect"&amp;"s during this game (this card's effect cannot be duplicated).")</f>
        <v>This SPELL card can be played only if you have successfully played an Am Baskarg SPELL card during this game. [STAY] Add 2000 Power and 1 Damage to the Total Power when your Gyaron MAMODO card Attacks without using a SPELL card by applying its card effects during this game (this card's effect cannot be duplicated).</v>
      </c>
      <c r="J1762" s="42" t="str">
        <f>IFERROR(__xludf.DUMMYFUNCTION("""COMPUTED_VALUE"""),"-")</f>
        <v>-</v>
      </c>
      <c r="K1762" s="42" t="str">
        <f>IFERROR(__xludf.DUMMYFUNCTION("""COMPUTED_VALUE"""),"-")</f>
        <v>-</v>
      </c>
      <c r="L1762" s="42" t="str">
        <f>IFERROR(__xludf.DUMMYFUNCTION("""COMPUTED_VALUE"""),"-")</f>
        <v>-</v>
      </c>
      <c r="M1762" s="42" t="str">
        <f>IFERROR(__xludf.DUMMYFUNCTION("""COMPUTED_VALUE"""),"[C]")</f>
        <v>[C]</v>
      </c>
      <c r="N1762" s="42" t="str">
        <f>IFERROR(__xludf.DUMMYFUNCTION("""COMPUTED_VALUE"""),"Gyaron's 3rd spell. ""You have no idea how strong my arms can get!""")</f>
        <v>Gyaron's 3rd spell. "You have no idea how strong my arms can get!"</v>
      </c>
      <c r="O1762" s="42"/>
      <c r="P1762" s="42"/>
      <c r="Q1762" s="42"/>
      <c r="R1762" s="42"/>
      <c r="S1762" s="42"/>
      <c r="T1762" s="42"/>
      <c r="U1762" s="42"/>
      <c r="V1762" s="42"/>
      <c r="W1762" s="42"/>
      <c r="X1762" s="42"/>
      <c r="Y1762" s="42"/>
      <c r="Z1762" s="42"/>
    </row>
    <row r="1763">
      <c r="A1763" s="42" t="str">
        <f>IFERROR(__xludf.DUMMYFUNCTION("""COMPUTED_VALUE"""),"S-632")</f>
        <v>S-632</v>
      </c>
      <c r="B1763" s="42" t="str">
        <f>IFERROR(__xludf.DUMMYFUNCTION("""COMPUTED_VALUE"""),"Spell")</f>
        <v>Spell</v>
      </c>
      <c r="C1763" s="42" t="str">
        <f>IFERROR(__xludf.DUMMYFUNCTION("""COMPUTED_VALUE"""),"Dio Ma Baskarg")</f>
        <v>Dio Ma Baskarg</v>
      </c>
      <c r="D1763" s="42" t="str">
        <f>IFERROR(__xludf.DUMMYFUNCTION("""COMPUTED_VALUE"""),"Gyaron")</f>
        <v>Gyaron</v>
      </c>
      <c r="E1763" s="42">
        <f>IFERROR(__xludf.DUMMYFUNCTION("""COMPUTED_VALUE"""),4.0)</f>
        <v>4</v>
      </c>
      <c r="F1763" s="42" t="str">
        <f>IFERROR(__xludf.DUMMYFUNCTION("""COMPUTED_VALUE"""),"A")</f>
        <v>A</v>
      </c>
      <c r="G1763" s="42" t="str">
        <f>IFERROR(__xludf.DUMMYFUNCTION("""COMPUTED_VALUE"""),"Intermediate")</f>
        <v>Intermediate</v>
      </c>
      <c r="H1763" s="42" t="str">
        <f>IFERROR(__xludf.DUMMYFUNCTION("""COMPUTED_VALUE"""),"-")</f>
        <v>-</v>
      </c>
      <c r="I1763" s="43" t="str">
        <f>IFERROR(__xludf.DUMMYFUNCTION("""COMPUTED_VALUE"""),"This SPELL card can be played only if you have successfully played both an Am Baskarg and a Rei Baskarg SPELL card during this game. ● [STAY] Add 2000 Power and 1 Damage to the Total Power when your Gyaron MAMODO card Attacks without using a SPELL card by"&amp;" applying its card effects during this game (this card's effect cannot be duplicated). ● [STAY] Your Gyaron MAMODO cannot be sent to the Discard Pile by your opponent's card effects during this game (except from Damage or Injury).")</f>
        <v>This SPELL card can be played only if you have successfully played both an Am Baskarg and a Rei Baskarg SPELL card during this game. ● [STAY] Add 2000 Power and 1 Damage to the Total Power when your Gyaron MAMODO card Attacks without using a SPELL card by applying its card effects during this game (this card's effect cannot be duplicated). ● [STAY] Your Gyaron MAMODO cannot be sent to the Discard Pile by your opponent's card effects during this game (except from Damage or Injury).</v>
      </c>
      <c r="J1763" s="42" t="str">
        <f>IFERROR(__xludf.DUMMYFUNCTION("""COMPUTED_VALUE"""),"-")</f>
        <v>-</v>
      </c>
      <c r="K1763" s="42" t="str">
        <f>IFERROR(__xludf.DUMMYFUNCTION("""COMPUTED_VALUE"""),"-")</f>
        <v>-</v>
      </c>
      <c r="L1763" s="42" t="str">
        <f>IFERROR(__xludf.DUMMYFUNCTION("""COMPUTED_VALUE"""),"-")</f>
        <v>-</v>
      </c>
      <c r="M1763" s="42" t="str">
        <f>IFERROR(__xludf.DUMMYFUNCTION("""COMPUTED_VALUE"""),"[U]")</f>
        <v>[U]</v>
      </c>
      <c r="N1763" s="42" t="str">
        <f>IFERROR(__xludf.DUMMYFUNCTION("""COMPUTED_VALUE"""),"Gyaron's 4th spell. ""Jet! Raise my strength to the maximum level!""")</f>
        <v>Gyaron's 4th spell. "Jet! Raise my strength to the maximum level!"</v>
      </c>
      <c r="O1763" s="42"/>
      <c r="P1763" s="42"/>
      <c r="Q1763" s="42"/>
      <c r="R1763" s="42"/>
      <c r="S1763" s="42"/>
      <c r="T1763" s="42"/>
      <c r="U1763" s="42"/>
      <c r="V1763" s="42"/>
      <c r="W1763" s="42"/>
      <c r="X1763" s="42"/>
      <c r="Y1763" s="42"/>
      <c r="Z1763" s="42"/>
    </row>
    <row r="1764">
      <c r="A1764" s="42" t="str">
        <f>IFERROR(__xludf.DUMMYFUNCTION("""COMPUTED_VALUE"""),"S-633")</f>
        <v>S-633</v>
      </c>
      <c r="B1764" s="42" t="str">
        <f>IFERROR(__xludf.DUMMYFUNCTION("""COMPUTED_VALUE"""),"Spell")</f>
        <v>Spell</v>
      </c>
      <c r="C1764" s="42" t="str">
        <f>IFERROR(__xludf.DUMMYFUNCTION("""COMPUTED_VALUE"""),"Emalion Baskardo")</f>
        <v>Emalion Baskardo</v>
      </c>
      <c r="D1764" s="42" t="str">
        <f>IFERROR(__xludf.DUMMYFUNCTION("""COMPUTED_VALUE"""),"Gyaron")</f>
        <v>Gyaron</v>
      </c>
      <c r="E1764" s="42">
        <f>IFERROR(__xludf.DUMMYFUNCTION("""COMPUTED_VALUE"""),6.0)</f>
        <v>6</v>
      </c>
      <c r="F1764" s="42" t="str">
        <f>IFERROR(__xludf.DUMMYFUNCTION("""COMPUTED_VALUE"""),"A")</f>
        <v>A</v>
      </c>
      <c r="G1764" s="42" t="str">
        <f>IFERROR(__xludf.DUMMYFUNCTION("""COMPUTED_VALUE"""),"Superior")</f>
        <v>Superior</v>
      </c>
      <c r="H1764" s="42" t="str">
        <f>IFERROR(__xludf.DUMMYFUNCTION("""COMPUTED_VALUE"""),"-")</f>
        <v>-</v>
      </c>
      <c r="I1764" s="43" t="str">
        <f>IFERROR(__xludf.DUMMYFUNCTION("""COMPUTED_VALUE"""),"[SEAL BREAKER] [STANDBY] Damage your opponent's Spell Book when you win the Battle as an Attacker. All MAMODO cards that Defend against this SPELL card, and/or SACRIFICE or PROTECT their Spell Book from this SPELL card's Damage, are sent to the Discard Pi"&amp;"le after the Battle.")</f>
        <v>[SEAL BREAKER] [STANDBY] Damage your opponent's Spell Book when you win the Battle as an Attacker. All MAMODO cards that Defend against this SPELL card, and/or SACRIFICE or PROTECT their Spell Book from this SPELL card's Damage, are sent to the Discard Pile after the Battle.</v>
      </c>
      <c r="J1764" s="42" t="str">
        <f>IFERROR(__xludf.DUMMYFUNCTION("""COMPUTED_VALUE"""),"+6000")</f>
        <v>+6000</v>
      </c>
      <c r="K1764" s="42">
        <f>IFERROR(__xludf.DUMMYFUNCTION("""COMPUTED_VALUE"""),3.0)</f>
        <v>3</v>
      </c>
      <c r="L1764" s="42" t="str">
        <f>IFERROR(__xludf.DUMMYFUNCTION("""COMPUTED_VALUE"""),"-")</f>
        <v>-</v>
      </c>
      <c r="M1764" s="42" t="str">
        <f>IFERROR(__xludf.DUMMYFUNCTION("""COMPUTED_VALUE"""),"[U]")</f>
        <v>[U]</v>
      </c>
      <c r="N1764" s="42" t="str">
        <f>IFERROR(__xludf.DUMMYFUNCTION("""COMPUTED_VALUE"""),"Gyaron's 5th spell. ""Bwa ha ha ha ha! This is it, Ted! Are you ready to disappear forever?""")</f>
        <v>Gyaron's 5th spell. "Bwa ha ha ha ha! This is it, Ted! Are you ready to disappear forever?"</v>
      </c>
      <c r="O1764" s="42"/>
      <c r="P1764" s="42"/>
      <c r="Q1764" s="42"/>
      <c r="R1764" s="42"/>
      <c r="S1764" s="42"/>
      <c r="T1764" s="42"/>
      <c r="U1764" s="42"/>
      <c r="V1764" s="42"/>
      <c r="W1764" s="42"/>
      <c r="X1764" s="42"/>
      <c r="Y1764" s="42"/>
      <c r="Z1764" s="42"/>
    </row>
    <row r="1765">
      <c r="A1765" s="42" t="str">
        <f>IFERROR(__xludf.DUMMYFUNCTION("""COMPUTED_VALUE"""),"S-634")</f>
        <v>S-634</v>
      </c>
      <c r="B1765" s="42" t="str">
        <f>IFERROR(__xludf.DUMMYFUNCTION("""COMPUTED_VALUE"""),"Spell")</f>
        <v>Spell</v>
      </c>
      <c r="C1765" s="42" t="str">
        <f>IFERROR(__xludf.DUMMYFUNCTION("""COMPUTED_VALUE"""),"Vabio Gunobio")</f>
        <v>Vabio Gunobio</v>
      </c>
      <c r="D1765" s="42" t="str">
        <f>IFERROR(__xludf.DUMMYFUNCTION("""COMPUTED_VALUE"""),"Jedun")</f>
        <v>Jedun</v>
      </c>
      <c r="E1765" s="42">
        <f>IFERROR(__xludf.DUMMYFUNCTION("""COMPUTED_VALUE"""),6.0)</f>
        <v>6</v>
      </c>
      <c r="F1765" s="42" t="str">
        <f>IFERROR(__xludf.DUMMYFUNCTION("""COMPUTED_VALUE"""),"AD")</f>
        <v>AD</v>
      </c>
      <c r="G1765" s="42" t="str">
        <f>IFERROR(__xludf.DUMMYFUNCTION("""COMPUTED_VALUE"""),"Superior")</f>
        <v>Superior</v>
      </c>
      <c r="H1765" s="42" t="str">
        <f>IFERROR(__xludf.DUMMYFUNCTION("""COMPUTED_VALUE"""),"-")</f>
        <v>-</v>
      </c>
      <c r="I1765" s="43" t="str">
        <f>IFERROR(__xludf.DUMMYFUNCTION("""COMPUTED_VALUE"""),"[SEAL BREAKER] Flip a coin 5 times; Damage your opponent's Spell Book by a number of times equal to the number of heads you get times 1 when you win the Battle as an Attacker.")</f>
        <v>[SEAL BREAKER] Flip a coin 5 times; Damage your opponent's Spell Book by a number of times equal to the number of heads you get times 1 when you win the Battle as an Attacker.</v>
      </c>
      <c r="J1765" s="42" t="str">
        <f>IFERROR(__xludf.DUMMYFUNCTION("""COMPUTED_VALUE"""),"+6000")</f>
        <v>+6000</v>
      </c>
      <c r="K1765" s="42">
        <f>IFERROR(__xludf.DUMMYFUNCTION("""COMPUTED_VALUE"""),2.0)</f>
        <v>2</v>
      </c>
      <c r="L1765" s="42" t="str">
        <f>IFERROR(__xludf.DUMMYFUNCTION("""COMPUTED_VALUE"""),"-")</f>
        <v>-</v>
      </c>
      <c r="M1765" s="42" t="str">
        <f>IFERROR(__xludf.DUMMYFUNCTION("""COMPUTED_VALUE"""),"[C]")</f>
        <v>[C]</v>
      </c>
      <c r="N1765" s="42" t="str">
        <f>IFERROR(__xludf.DUMMYFUNCTION("""COMPUTED_VALUE"""),"Jedun's 1st spell. A Dioga class spell in which many fanged serpents lunge toward their prey.")</f>
        <v>Jedun's 1st spell. A Dioga class spell in which many fanged serpents lunge toward their prey.</v>
      </c>
      <c r="O1765" s="42"/>
      <c r="P1765" s="42"/>
      <c r="Q1765" s="42"/>
      <c r="R1765" s="42"/>
      <c r="S1765" s="42"/>
      <c r="T1765" s="42"/>
      <c r="U1765" s="42"/>
      <c r="V1765" s="42"/>
      <c r="W1765" s="42"/>
      <c r="X1765" s="42"/>
      <c r="Y1765" s="42"/>
      <c r="Z1765" s="42"/>
    </row>
    <row r="1766">
      <c r="A1766" s="42" t="str">
        <f>IFERROR(__xludf.DUMMYFUNCTION("""COMPUTED_VALUE"""),"S-635")</f>
        <v>S-635</v>
      </c>
      <c r="B1766" s="42" t="str">
        <f>IFERROR(__xludf.DUMMYFUNCTION("""COMPUTED_VALUE"""),"Spell")</f>
        <v>Spell</v>
      </c>
      <c r="C1766" s="42" t="str">
        <f>IFERROR(__xludf.DUMMYFUNCTION("""COMPUTED_VALUE"""),"Digar Doru Zonis")</f>
        <v>Digar Doru Zonis</v>
      </c>
      <c r="D1766" s="42" t="str">
        <f>IFERROR(__xludf.DUMMYFUNCTION("""COMPUTED_VALUE"""),"Bari")</f>
        <v>Bari</v>
      </c>
      <c r="E1766" s="42">
        <f>IFERROR(__xludf.DUMMYFUNCTION("""COMPUTED_VALUE"""),3.0)</f>
        <v>3</v>
      </c>
      <c r="F1766" s="42" t="str">
        <f>IFERROR(__xludf.DUMMYFUNCTION("""COMPUTED_VALUE"""),"AD")</f>
        <v>AD</v>
      </c>
      <c r="G1766" s="42" t="str">
        <f>IFERROR(__xludf.DUMMYFUNCTION("""COMPUTED_VALUE"""),"None")</f>
        <v>None</v>
      </c>
      <c r="H1766" s="42" t="str">
        <f>IFERROR(__xludf.DUMMYFUNCTION("""COMPUTED_VALUE"""),"-")</f>
        <v>-</v>
      </c>
      <c r="I1766" s="43" t="str">
        <f>IFERROR(__xludf.DUMMYFUNCTION("""COMPUTED_VALUE"""),"This SPELL can be played even when you don't have a Bari card in play. Damage your opponent's Spell Book when you win the Battle as an Attacker if you have a Bari MAMODO card in play. When you declare the play of this SPELL card, you may select 1 Bari MAM"&amp;"ODO card from any page of your Spell Book and put it in play.")</f>
        <v>This SPELL can be played even when you don't have a Bari card in play. Damage your opponent's Spell Book when you win the Battle as an Attacker if you have a Bari MAMODO card in play. When you declare the play of this SPELL card, you may select 1 Bari MAMODO card from any page of your Spell Book and put it in play.</v>
      </c>
      <c r="J1766" s="42" t="str">
        <f>IFERROR(__xludf.DUMMYFUNCTION("""COMPUTED_VALUE"""),"+4000")</f>
        <v>+4000</v>
      </c>
      <c r="K1766" s="42">
        <f>IFERROR(__xludf.DUMMYFUNCTION("""COMPUTED_VALUE"""),2.0)</f>
        <v>2</v>
      </c>
      <c r="L1766" s="42" t="str">
        <f>IFERROR(__xludf.DUMMYFUNCTION("""COMPUTED_VALUE"""),"-")</f>
        <v>-</v>
      </c>
      <c r="M1766" s="42" t="str">
        <f>IFERROR(__xludf.DUMMYFUNCTION("""COMPUTED_VALUE"""),"[C]")</f>
        <v>[C]</v>
      </c>
      <c r="N1766" s="42" t="str">
        <f>IFERROR(__xludf.DUMMYFUNCTION("""COMPUTED_VALUE"""),"Bari's 6th spell. ""We'll enter Faudo's body! I'll pierce through at once!""")</f>
        <v>Bari's 6th spell. "We'll enter Faudo's body! I'll pierce through at once!"</v>
      </c>
      <c r="O1766" s="42"/>
      <c r="P1766" s="42"/>
      <c r="Q1766" s="42"/>
      <c r="R1766" s="42"/>
      <c r="S1766" s="42"/>
      <c r="T1766" s="42"/>
      <c r="U1766" s="42"/>
      <c r="V1766" s="42"/>
      <c r="W1766" s="42"/>
      <c r="X1766" s="42"/>
      <c r="Y1766" s="42"/>
      <c r="Z1766" s="42"/>
    </row>
    <row r="1767">
      <c r="A1767" s="42" t="str">
        <f>IFERROR(__xludf.DUMMYFUNCTION("""COMPUTED_VALUE"""),"S-636")</f>
        <v>S-636</v>
      </c>
      <c r="B1767" s="42" t="str">
        <f>IFERROR(__xludf.DUMMYFUNCTION("""COMPUTED_VALUE"""),"Spell")</f>
        <v>Spell</v>
      </c>
      <c r="C1767" s="42" t="str">
        <f>IFERROR(__xludf.DUMMYFUNCTION("""COMPUTED_VALUE"""),"Aradom Gozonis")</f>
        <v>Aradom Gozonis</v>
      </c>
      <c r="D1767" s="42" t="str">
        <f>IFERROR(__xludf.DUMMYFUNCTION("""COMPUTED_VALUE"""),"Bari")</f>
        <v>Bari</v>
      </c>
      <c r="E1767" s="42">
        <f>IFERROR(__xludf.DUMMYFUNCTION("""COMPUTED_VALUE"""),3.0)</f>
        <v>3</v>
      </c>
      <c r="F1767" s="42" t="str">
        <f>IFERROR(__xludf.DUMMYFUNCTION("""COMPUTED_VALUE"""),"A")</f>
        <v>A</v>
      </c>
      <c r="G1767" s="42" t="str">
        <f>IFERROR(__xludf.DUMMYFUNCTION("""COMPUTED_VALUE"""),"Intermediate")</f>
        <v>Intermediate</v>
      </c>
      <c r="H1767" s="42" t="str">
        <f>IFERROR(__xludf.DUMMYFUNCTION("""COMPUTED_VALUE"""),"-")</f>
        <v>-</v>
      </c>
      <c r="I1767" s="43" t="str">
        <f>IFERROR(__xludf.DUMMYFUNCTION("""COMPUTED_VALUE"""),"Injure 1 of your opponent's MAMODO cards when you win the Battle as an Attacker. If this Injury sends any of your opponent's MAMODO cards to the Discard Pile, Damage your opponent's Spell Book as well.")</f>
        <v>Injure 1 of your opponent's MAMODO cards when you win the Battle as an Attacker. If this Injury sends any of your opponent's MAMODO cards to the Discard Pile, Damage your opponent's Spell Book as well.</v>
      </c>
      <c r="J1767" s="42" t="str">
        <f>IFERROR(__xludf.DUMMYFUNCTION("""COMPUTED_VALUE"""),"+4000")</f>
        <v>+4000</v>
      </c>
      <c r="K1767" s="42">
        <f>IFERROR(__xludf.DUMMYFUNCTION("""COMPUTED_VALUE"""),2.0)</f>
        <v>2</v>
      </c>
      <c r="L1767" s="42" t="str">
        <f>IFERROR(__xludf.DUMMYFUNCTION("""COMPUTED_VALUE"""),"-")</f>
        <v>-</v>
      </c>
      <c r="M1767" s="42" t="str">
        <f>IFERROR(__xludf.DUMMYFUNCTION("""COMPUTED_VALUE"""),"[C]")</f>
        <v>[C]</v>
      </c>
      <c r="N1767" s="42" t="str">
        <f>IFERROR(__xludf.DUMMYFUNCTION("""COMPUTED_VALUE"""),"Bari's 7th spell. ""What was that? You're just weak...""")</f>
        <v>Bari's 7th spell. "What was that? You're just weak..."</v>
      </c>
      <c r="O1767" s="42"/>
      <c r="P1767" s="42"/>
      <c r="Q1767" s="42"/>
      <c r="R1767" s="42"/>
      <c r="S1767" s="42"/>
      <c r="T1767" s="42"/>
      <c r="U1767" s="42"/>
      <c r="V1767" s="42"/>
      <c r="W1767" s="42"/>
      <c r="X1767" s="42"/>
      <c r="Y1767" s="42"/>
      <c r="Z1767" s="42"/>
    </row>
    <row r="1768">
      <c r="A1768" s="42" t="str">
        <f>IFERROR(__xludf.DUMMYFUNCTION("""COMPUTED_VALUE"""),"S-637")</f>
        <v>S-637</v>
      </c>
      <c r="B1768" s="42" t="str">
        <f>IFERROR(__xludf.DUMMYFUNCTION("""COMPUTED_VALUE"""),"Spell")</f>
        <v>Spell</v>
      </c>
      <c r="C1768" s="42" t="str">
        <f>IFERROR(__xludf.DUMMYFUNCTION("""COMPUTED_VALUE"""),"Am La Zoruk")</f>
        <v>Am La Zoruk</v>
      </c>
      <c r="D1768" s="42" t="str">
        <f>IFERROR(__xludf.DUMMYFUNCTION("""COMPUTED_VALUE"""),"Bari")</f>
        <v>Bari</v>
      </c>
      <c r="E1768" s="42">
        <f>IFERROR(__xludf.DUMMYFUNCTION("""COMPUTED_VALUE"""),1.0)</f>
        <v>1</v>
      </c>
      <c r="F1768" s="42" t="str">
        <f>IFERROR(__xludf.DUMMYFUNCTION("""COMPUTED_VALUE"""),"D")</f>
        <v>D</v>
      </c>
      <c r="G1768" s="42" t="str">
        <f>IFERROR(__xludf.DUMMYFUNCTION("""COMPUTED_VALUE"""),"None")</f>
        <v>None</v>
      </c>
      <c r="H1768" s="42" t="str">
        <f>IFERROR(__xludf.DUMMYFUNCTION("""COMPUTED_VALUE"""),"-")</f>
        <v>-</v>
      </c>
      <c r="I1768" s="43" t="str">
        <f>IFERROR(__xludf.DUMMYFUNCTION("""COMPUTED_VALUE"""),"[COUNTER] Damage your opponent's Spell Book when you win the Battle as a Defender. If your opponent's Attack does any of the following, you win the Battle regardless of Power: ● Flips a coin more than once. ● Inflicts Damage more than once. ● Can be used "&amp;"more than once per turn.")</f>
        <v>[COUNTER] Damage your opponent's Spell Book when you win the Battle as a Defender. If your opponent's Attack does any of the following, you win the Battle regardless of Power: ● Flips a coin more than once. ● Inflicts Damage more than once. ● Can be used more than once per turn.</v>
      </c>
      <c r="J1768" s="42" t="str">
        <f>IFERROR(__xludf.DUMMYFUNCTION("""COMPUTED_VALUE"""),"-")</f>
        <v>-</v>
      </c>
      <c r="K1768" s="42">
        <f>IFERROR(__xludf.DUMMYFUNCTION("""COMPUTED_VALUE"""),2.0)</f>
        <v>2</v>
      </c>
      <c r="L1768" s="42" t="str">
        <f>IFERROR(__xludf.DUMMYFUNCTION("""COMPUTED_VALUE"""),"-")</f>
        <v>-</v>
      </c>
      <c r="M1768" s="42" t="str">
        <f>IFERROR(__xludf.DUMMYFUNCTION("""COMPUTED_VALUE"""),"[C]")</f>
        <v>[C]</v>
      </c>
      <c r="N1768" s="42" t="str">
        <f>IFERROR(__xludf.DUMMYFUNCTION("""COMPUTED_VALUE"""),"Bari's 8th spell. ""He... grabbed all the light beams?! He's throwing them right back at me!""")</f>
        <v>Bari's 8th spell. "He... grabbed all the light beams?! He's throwing them right back at me!"</v>
      </c>
      <c r="O1768" s="42"/>
      <c r="P1768" s="42"/>
      <c r="Q1768" s="42"/>
      <c r="R1768" s="42"/>
      <c r="S1768" s="42"/>
      <c r="T1768" s="42"/>
      <c r="U1768" s="42"/>
      <c r="V1768" s="42"/>
      <c r="W1768" s="42"/>
      <c r="X1768" s="42"/>
      <c r="Y1768" s="42"/>
      <c r="Z1768" s="42"/>
    </row>
    <row r="1769">
      <c r="A1769" s="42" t="str">
        <f>IFERROR(__xludf.DUMMYFUNCTION("""COMPUTED_VALUE"""),"S-638")</f>
        <v>S-638</v>
      </c>
      <c r="B1769" s="42" t="str">
        <f>IFERROR(__xludf.DUMMYFUNCTION("""COMPUTED_VALUE"""),"Spell")</f>
        <v>Spell</v>
      </c>
      <c r="C1769" s="42" t="str">
        <f>IFERROR(__xludf.DUMMYFUNCTION("""COMPUTED_VALUE"""),"Go Zarushield")</f>
        <v>Go Zarushield</v>
      </c>
      <c r="D1769" s="42" t="str">
        <f>IFERROR(__xludf.DUMMYFUNCTION("""COMPUTED_VALUE"""),"Bari")</f>
        <v>Bari</v>
      </c>
      <c r="E1769" s="42">
        <f>IFERROR(__xludf.DUMMYFUNCTION("""COMPUTED_VALUE"""),2.0)</f>
        <v>2</v>
      </c>
      <c r="F1769" s="42" t="str">
        <f>IFERROR(__xludf.DUMMYFUNCTION("""COMPUTED_VALUE"""),"D")</f>
        <v>D</v>
      </c>
      <c r="G1769" s="42" t="str">
        <f>IFERROR(__xludf.DUMMYFUNCTION("""COMPUTED_VALUE"""),"Intermediate")</f>
        <v>Intermediate</v>
      </c>
      <c r="H1769" s="42" t="str">
        <f>IFERROR(__xludf.DUMMYFUNCTION("""COMPUTED_VALUE"""),"-")</f>
        <v>-</v>
      </c>
      <c r="I1769" s="43" t="str">
        <f>IFERROR(__xludf.DUMMYFUNCTION("""COMPUTED_VALUE"""),"This SPELL card can be played even when you would be turning (or are currently turning) pages of your Spell Book as a result of Damage. Negate your opponent's Attack when you win the Battle as a Defender. If you play this card while turning pages of your "&amp;"Spell Book, compare Total Power with your opponent's Attack; if you win the Battle, stop turning pages.")</f>
        <v>This SPELL card can be played even when you would be turning (or are currently turning) pages of your Spell Book as a result of Damage. Negate your opponent's Attack when you win the Battle as a Defender. If you play this card while turning pages of your Spell Book, compare Total Power with your opponent's Attack; if you win the Battle, stop turning pages.</v>
      </c>
      <c r="J1769" s="42" t="str">
        <f>IFERROR(__xludf.DUMMYFUNCTION("""COMPUTED_VALUE"""),"+8000")</f>
        <v>+8000</v>
      </c>
      <c r="K1769" s="42" t="str">
        <f>IFERROR(__xludf.DUMMYFUNCTION("""COMPUTED_VALUE"""),"-")</f>
        <v>-</v>
      </c>
      <c r="L1769" s="42" t="str">
        <f>IFERROR(__xludf.DUMMYFUNCTION("""COMPUTED_VALUE"""),"-")</f>
        <v>-</v>
      </c>
      <c r="M1769" s="42" t="str">
        <f>IFERROR(__xludf.DUMMYFUNCTION("""COMPUTED_VALUE"""),"[U]")</f>
        <v>[U]</v>
      </c>
      <c r="N1769" s="42" t="str">
        <f>IFERROR(__xludf.DUMMYFUNCTION("""COMPUTED_VALUE"""),"Bari's 9th spell. A colossal shield appears directly in front of Bari's outstretched arms.")</f>
        <v>Bari's 9th spell. A colossal shield appears directly in front of Bari's outstretched arms.</v>
      </c>
      <c r="O1769" s="42"/>
      <c r="P1769" s="42"/>
      <c r="Q1769" s="42"/>
      <c r="R1769" s="42"/>
      <c r="S1769" s="42"/>
      <c r="T1769" s="42"/>
      <c r="U1769" s="42"/>
      <c r="V1769" s="42"/>
      <c r="W1769" s="42"/>
      <c r="X1769" s="42"/>
      <c r="Y1769" s="42"/>
      <c r="Z1769" s="42"/>
    </row>
    <row r="1770">
      <c r="A1770" s="42" t="str">
        <f>IFERROR(__xludf.DUMMYFUNCTION("""COMPUTED_VALUE"""),"S-639")</f>
        <v>S-639</v>
      </c>
      <c r="B1770" s="42" t="str">
        <f>IFERROR(__xludf.DUMMYFUNCTION("""COMPUTED_VALUE"""),"Spell")</f>
        <v>Spell</v>
      </c>
      <c r="C1770" s="42" t="str">
        <f>IFERROR(__xludf.DUMMYFUNCTION("""COMPUTED_VALUE"""),"Dioga Zonisdon")</f>
        <v>Dioga Zonisdon</v>
      </c>
      <c r="D1770" s="42" t="str">
        <f>IFERROR(__xludf.DUMMYFUNCTION("""COMPUTED_VALUE"""),"Bari")</f>
        <v>Bari</v>
      </c>
      <c r="E1770" s="42">
        <f>IFERROR(__xludf.DUMMYFUNCTION("""COMPUTED_VALUE"""),6.0)</f>
        <v>6</v>
      </c>
      <c r="F1770" s="42" t="str">
        <f>IFERROR(__xludf.DUMMYFUNCTION("""COMPUTED_VALUE"""),"A")</f>
        <v>A</v>
      </c>
      <c r="G1770" s="42" t="str">
        <f>IFERROR(__xludf.DUMMYFUNCTION("""COMPUTED_VALUE"""),"Superior")</f>
        <v>Superior</v>
      </c>
      <c r="H1770" s="42" t="str">
        <f>IFERROR(__xludf.DUMMYFUNCTION("""COMPUTED_VALUE"""),"-")</f>
        <v>-</v>
      </c>
      <c r="I1770" s="43" t="str">
        <f>IFERROR(__xludf.DUMMYFUNCTION("""COMPUTED_VALUE"""),"Injure 1 of your opponent's MAMODO cards when you win the Battle as an Attacker. If this Injury sends any of your opponent's MAMODO cards to the Discard Pile, Damage your opponent's Spell Book as well.")</f>
        <v>Injure 1 of your opponent's MAMODO cards when you win the Battle as an Attacker. If this Injury sends any of your opponent's MAMODO cards to the Discard Pile, Damage your opponent's Spell Book as well.</v>
      </c>
      <c r="J1770" s="42" t="str">
        <f>IFERROR(__xludf.DUMMYFUNCTION("""COMPUTED_VALUE"""),"+8000")</f>
        <v>+8000</v>
      </c>
      <c r="K1770" s="42">
        <f>IFERROR(__xludf.DUMMYFUNCTION("""COMPUTED_VALUE"""),4.0)</f>
        <v>4</v>
      </c>
      <c r="L1770" s="42" t="str">
        <f>IFERROR(__xludf.DUMMYFUNCTION("""COMPUTED_VALUE"""),"-")</f>
        <v>-</v>
      </c>
      <c r="M1770" s="42" t="str">
        <f>IFERROR(__xludf.DUMMYFUNCTION("""COMPUTED_VALUE"""),"[R]")</f>
        <v>[R]</v>
      </c>
      <c r="N1770" s="42" t="str">
        <f>IFERROR(__xludf.DUMMYFUNCTION("""COMPUTED_VALUE"""),"Bari's 10th spell. ""Bari's strength is surreal... There were no openings, Keith never even had a chance to fight back...""")</f>
        <v>Bari's 10th spell. "Bari's strength is surreal... There were no openings, Keith never even had a chance to fight back..."</v>
      </c>
      <c r="O1770" s="42"/>
      <c r="P1770" s="42"/>
      <c r="Q1770" s="42"/>
      <c r="R1770" s="42"/>
      <c r="S1770" s="42"/>
      <c r="T1770" s="42"/>
      <c r="U1770" s="42"/>
      <c r="V1770" s="42"/>
      <c r="W1770" s="42"/>
      <c r="X1770" s="42"/>
      <c r="Y1770" s="42"/>
      <c r="Z1770" s="42"/>
    </row>
    <row r="1771">
      <c r="A1771" s="42" t="str">
        <f>IFERROR(__xludf.DUMMYFUNCTION("""COMPUTED_VALUE"""),"S-640")</f>
        <v>S-640</v>
      </c>
      <c r="B1771" s="42" t="str">
        <f>IFERROR(__xludf.DUMMYFUNCTION("""COMPUTED_VALUE"""),"Spell")</f>
        <v>Spell</v>
      </c>
      <c r="C1771" s="42" t="str">
        <f>IFERROR(__xludf.DUMMYFUNCTION("""COMPUTED_VALUE"""),"Doru Ginis")</f>
        <v>Doru Ginis</v>
      </c>
      <c r="D1771" s="42" t="str">
        <f>IFERROR(__xludf.DUMMYFUNCTION("""COMPUTED_VALUE"""),"Keith")</f>
        <v>Keith</v>
      </c>
      <c r="E1771" s="42">
        <f>IFERROR(__xludf.DUMMYFUNCTION("""COMPUTED_VALUE"""),2.0)</f>
        <v>2</v>
      </c>
      <c r="F1771" s="42" t="str">
        <f>IFERROR(__xludf.DUMMYFUNCTION("""COMPUTED_VALUE"""),"A")</f>
        <v>A</v>
      </c>
      <c r="G1771" s="42" t="str">
        <f>IFERROR(__xludf.DUMMYFUNCTION("""COMPUTED_VALUE"""),"None")</f>
        <v>None</v>
      </c>
      <c r="H1771" s="42" t="str">
        <f>IFERROR(__xludf.DUMMYFUNCTION("""COMPUTED_VALUE"""),"-")</f>
        <v>-</v>
      </c>
      <c r="I1771" s="43" t="str">
        <f>IFERROR(__xludf.DUMMYFUNCTION("""COMPUTED_VALUE"""),"Damage your opponent's Spell Book when you win the Battle as an Attacker. Your opponent cannot play SPELL cards with only a ""Defend"" Icon during the Battle.")</f>
        <v>Damage your opponent's Spell Book when you win the Battle as an Attacker. Your opponent cannot play SPELL cards with only a "Defend" Icon during the Battle.</v>
      </c>
      <c r="J1771" s="42" t="str">
        <f>IFERROR(__xludf.DUMMYFUNCTION("""COMPUTED_VALUE"""),"+3000")</f>
        <v>+3000</v>
      </c>
      <c r="K1771" s="42">
        <f>IFERROR(__xludf.DUMMYFUNCTION("""COMPUTED_VALUE"""),2.0)</f>
        <v>2</v>
      </c>
      <c r="L1771" s="42" t="str">
        <f>IFERROR(__xludf.DUMMYFUNCTION("""COMPUTED_VALUE"""),"-")</f>
        <v>-</v>
      </c>
      <c r="M1771" s="42" t="str">
        <f>IFERROR(__xludf.DUMMYFUNCTION("""COMPUTED_VALUE"""),"[C]")</f>
        <v>[C]</v>
      </c>
      <c r="N1771" s="42" t="str">
        <f>IFERROR(__xludf.DUMMYFUNCTION("""COMPUTED_VALUE"""),"Keith's 6th spell. Forms a drill on his arm, which he uses to tear into his rivals.")</f>
        <v>Keith's 6th spell. Forms a drill on his arm, which he uses to tear into his rivals.</v>
      </c>
      <c r="O1771" s="42"/>
      <c r="P1771" s="42"/>
      <c r="Q1771" s="42"/>
      <c r="R1771" s="42"/>
      <c r="S1771" s="42"/>
      <c r="T1771" s="42"/>
      <c r="U1771" s="42"/>
      <c r="V1771" s="42"/>
      <c r="W1771" s="42"/>
      <c r="X1771" s="42"/>
      <c r="Y1771" s="42"/>
      <c r="Z1771" s="42"/>
    </row>
    <row r="1772">
      <c r="A1772" s="42" t="str">
        <f>IFERROR(__xludf.DUMMYFUNCTION("""COMPUTED_VALUE"""),"S-641")</f>
        <v>S-641</v>
      </c>
      <c r="B1772" s="42" t="str">
        <f>IFERROR(__xludf.DUMMYFUNCTION("""COMPUTED_VALUE"""),"Spell")</f>
        <v>Spell</v>
      </c>
      <c r="C1772" s="42" t="str">
        <f>IFERROR(__xludf.DUMMYFUNCTION("""COMPUTED_VALUE"""),"Vargas Ginisgan")</f>
        <v>Vargas Ginisgan</v>
      </c>
      <c r="D1772" s="42" t="str">
        <f>IFERROR(__xludf.DUMMYFUNCTION("""COMPUTED_VALUE"""),"Keith")</f>
        <v>Keith</v>
      </c>
      <c r="E1772" s="42">
        <f>IFERROR(__xludf.DUMMYFUNCTION("""COMPUTED_VALUE"""),3.0)</f>
        <v>3</v>
      </c>
      <c r="F1772" s="42" t="str">
        <f>IFERROR(__xludf.DUMMYFUNCTION("""COMPUTED_VALUE"""),"A")</f>
        <v>A</v>
      </c>
      <c r="G1772" s="42" t="str">
        <f>IFERROR(__xludf.DUMMYFUNCTION("""COMPUTED_VALUE"""),"S-641 | U MP:3 ATT (")</f>
        <v>S-641 | U MP:3 ATT (</v>
      </c>
      <c r="H1772" s="42" t="str">
        <f>IFERROR(__xludf.DUMMYFUNCTION("""COMPUTED_VALUE"""),"-")</f>
        <v>-</v>
      </c>
      <c r="I1772" s="43" t="str">
        <f>IFERROR(__xludf.DUMMYFUNCTION("""COMPUTED_VALUE"""),"Flip a coin 4 times; Damage your opponent's Spell Book by a number of times equal to the number of heads you get times 1 when you win the Battle as an Attacker.")</f>
        <v>Flip a coin 4 times; Damage your opponent's Spell Book by a number of times equal to the number of heads you get times 1 when you win the Battle as an Attacker.</v>
      </c>
      <c r="J1772" s="42" t="str">
        <f>IFERROR(__xludf.DUMMYFUNCTION("""COMPUTED_VALUE"""),"+3000")</f>
        <v>+3000</v>
      </c>
      <c r="K1772" s="42">
        <f>IFERROR(__xludf.DUMMYFUNCTION("""COMPUTED_VALUE"""),1.0)</f>
        <v>1</v>
      </c>
      <c r="L1772" s="42" t="str">
        <f>IFERROR(__xludf.DUMMYFUNCTION("""COMPUTED_VALUE"""),"-")</f>
        <v>-</v>
      </c>
      <c r="M1772" s="42" t="str">
        <f>IFERROR(__xludf.DUMMYFUNCTION("""COMPUTED_VALUE"""),"[U]")</f>
        <v>[U]</v>
      </c>
      <c r="N1772" s="42" t="str">
        <f>IFERROR(__xludf.DUMMYFUNCTION("""COMPUTED_VALUE"""),"Keith's 7th spell. Countless light beams spurt outward from every direction.")</f>
        <v>Keith's 7th spell. Countless light beams spurt outward from every direction.</v>
      </c>
      <c r="O1772" s="42"/>
      <c r="P1772" s="42"/>
      <c r="Q1772" s="42"/>
      <c r="R1772" s="42"/>
      <c r="S1772" s="42"/>
      <c r="T1772" s="42"/>
      <c r="U1772" s="42"/>
      <c r="V1772" s="42"/>
      <c r="W1772" s="42"/>
      <c r="X1772" s="42"/>
      <c r="Y1772" s="42"/>
      <c r="Z1772" s="42"/>
    </row>
    <row r="1773">
      <c r="A1773" s="42" t="str">
        <f>IFERROR(__xludf.DUMMYFUNCTION("""COMPUTED_VALUE"""),"S-642")</f>
        <v>S-642</v>
      </c>
      <c r="B1773" s="42" t="str">
        <f>IFERROR(__xludf.DUMMYFUNCTION("""COMPUTED_VALUE"""),"Spell")</f>
        <v>Spell</v>
      </c>
      <c r="C1773" s="42" t="str">
        <f>IFERROR(__xludf.DUMMYFUNCTION("""COMPUTED_VALUE"""),"Kiron Ginis")</f>
        <v>Kiron Ginis</v>
      </c>
      <c r="D1773" s="42" t="str">
        <f>IFERROR(__xludf.DUMMYFUNCTION("""COMPUTED_VALUE"""),"Keith")</f>
        <v>Keith</v>
      </c>
      <c r="E1773" s="42">
        <f>IFERROR(__xludf.DUMMYFUNCTION("""COMPUTED_VALUE"""),4.0)</f>
        <v>4</v>
      </c>
      <c r="F1773" s="42" t="str">
        <f>IFERROR(__xludf.DUMMYFUNCTION("""COMPUTED_VALUE"""),"A")</f>
        <v>A</v>
      </c>
      <c r="G1773" s="42" t="str">
        <f>IFERROR(__xludf.DUMMYFUNCTION("""COMPUTED_VALUE"""),"Intermediate")</f>
        <v>Intermediate</v>
      </c>
      <c r="H1773" s="42" t="str">
        <f>IFERROR(__xludf.DUMMYFUNCTION("""COMPUTED_VALUE"""),"-")</f>
        <v>-</v>
      </c>
      <c r="I1773" s="43" t="str">
        <f>IFERROR(__xludf.DUMMYFUNCTION("""COMPUTED_VALUE"""),"Apply any of the following effects twice when you win the Battle as an Attacker (the same effect can be applied twice): ● Damage your opponent's Spell Book. ● Injure 1 of your opponent's MAMODO cards.")</f>
        <v>Apply any of the following effects twice when you win the Battle as an Attacker (the same effect can be applied twice): ● Damage your opponent's Spell Book. ● Injure 1 of your opponent's MAMODO cards.</v>
      </c>
      <c r="J1773" s="42" t="str">
        <f>IFERROR(__xludf.DUMMYFUNCTION("""COMPUTED_VALUE"""),"+4000")</f>
        <v>+4000</v>
      </c>
      <c r="K1773" s="42">
        <f>IFERROR(__xludf.DUMMYFUNCTION("""COMPUTED_VALUE"""),2.0)</f>
        <v>2</v>
      </c>
      <c r="L1773" s="42" t="str">
        <f>IFERROR(__xludf.DUMMYFUNCTION("""COMPUTED_VALUE"""),"-")</f>
        <v>-</v>
      </c>
      <c r="M1773" s="42" t="str">
        <f>IFERROR(__xludf.DUMMYFUNCTION("""COMPUTED_VALUE"""),"[U]")</f>
        <v>[U]</v>
      </c>
      <c r="N1773" s="42" t="str">
        <f>IFERROR(__xludf.DUMMYFUNCTION("""COMPUTED_VALUE"""),"Keith's 8th spell. ""Wah... WAAHHH! Why?! Why can't I defeat him?!""")</f>
        <v>Keith's 8th spell. "Wah... WAAHHH! Why?! Why can't I defeat him?!"</v>
      </c>
      <c r="O1773" s="42"/>
      <c r="P1773" s="42"/>
      <c r="Q1773" s="42"/>
      <c r="R1773" s="42"/>
      <c r="S1773" s="42"/>
      <c r="T1773" s="42"/>
      <c r="U1773" s="42"/>
      <c r="V1773" s="42"/>
      <c r="W1773" s="42"/>
      <c r="X1773" s="42"/>
      <c r="Y1773" s="42"/>
      <c r="Z1773" s="42"/>
    </row>
    <row r="1774">
      <c r="A1774" s="42" t="str">
        <f>IFERROR(__xludf.DUMMYFUNCTION("""COMPUTED_VALUE"""),"S-643")</f>
        <v>S-643</v>
      </c>
      <c r="B1774" s="42" t="str">
        <f>IFERROR(__xludf.DUMMYFUNCTION("""COMPUTED_VALUE"""),"Spell")</f>
        <v>Spell</v>
      </c>
      <c r="C1774" s="42" t="str">
        <f>IFERROR(__xludf.DUMMYFUNCTION("""COMPUTED_VALUE"""),"Digar Kurou")</f>
        <v>Digar Kurou</v>
      </c>
      <c r="D1774" s="42" t="str">
        <f>IFERROR(__xludf.DUMMYFUNCTION("""COMPUTED_VALUE"""),"Elzador")</f>
        <v>Elzador</v>
      </c>
      <c r="E1774" s="42">
        <f>IFERROR(__xludf.DUMMYFUNCTION("""COMPUTED_VALUE"""),2.0)</f>
        <v>2</v>
      </c>
      <c r="F1774" s="42" t="str">
        <f>IFERROR(__xludf.DUMMYFUNCTION("""COMPUTED_VALUE"""),"A")</f>
        <v>A</v>
      </c>
      <c r="G1774" s="42" t="str">
        <f>IFERROR(__xludf.DUMMYFUNCTION("""COMPUTED_VALUE"""),"Intermediate")</f>
        <v>Intermediate</v>
      </c>
      <c r="H1774" s="42" t="str">
        <f>IFERROR(__xludf.DUMMYFUNCTION("""COMPUTED_VALUE"""),"-")</f>
        <v>-</v>
      </c>
      <c r="I1774" s="43" t="str">
        <f>IFERROR(__xludf.DUMMYFUNCTION("""COMPUTED_VALUE"""),"Damage your opponent's Spell Book when you win the Battle as an Attacker. Your opponent can neither SACRIFICE nor PROTECT their Spell Book from this SPELL card's Damage unless they reduce their MP by 2.")</f>
        <v>Damage your opponent's Spell Book when you win the Battle as an Attacker. Your opponent can neither SACRIFICE nor PROTECT their Spell Book from this SPELL card's Damage unless they reduce their MP by 2.</v>
      </c>
      <c r="J1774" s="42" t="str">
        <f>IFERROR(__xludf.DUMMYFUNCTION("""COMPUTED_VALUE"""),"+2000")</f>
        <v>+2000</v>
      </c>
      <c r="K1774" s="42">
        <f>IFERROR(__xludf.DUMMYFUNCTION("""COMPUTED_VALUE"""),2.0)</f>
        <v>2</v>
      </c>
      <c r="L1774" s="42" t="str">
        <f>IFERROR(__xludf.DUMMYFUNCTION("""COMPUTED_VALUE"""),"-")</f>
        <v>-</v>
      </c>
      <c r="M1774" s="42" t="str">
        <f>IFERROR(__xludf.DUMMYFUNCTION("""COMPUTED_VALUE"""),"[C]")</f>
        <v>[C]</v>
      </c>
      <c r="N1774" s="42" t="str">
        <f>IFERROR(__xludf.DUMMYFUNCTION("""COMPUTED_VALUE"""),"""AAAAGGGGH! Why can't I see his attacks coming? Why can't I dodge them?!""")</f>
        <v>"AAAAGGGGH! Why can't I see his attacks coming? Why can't I dodge them?!"</v>
      </c>
      <c r="O1774" s="42"/>
      <c r="P1774" s="42"/>
      <c r="Q1774" s="42"/>
      <c r="R1774" s="42"/>
      <c r="S1774" s="42"/>
      <c r="T1774" s="42"/>
      <c r="U1774" s="42"/>
      <c r="V1774" s="42"/>
      <c r="W1774" s="42"/>
      <c r="X1774" s="42"/>
      <c r="Y1774" s="42"/>
      <c r="Z1774" s="42"/>
    </row>
    <row r="1775">
      <c r="A1775" s="42" t="str">
        <f>IFERROR(__xludf.DUMMYFUNCTION("""COMPUTED_VALUE"""),"S-644")</f>
        <v>S-644</v>
      </c>
      <c r="B1775" s="42" t="str">
        <f>IFERROR(__xludf.DUMMYFUNCTION("""COMPUTED_VALUE"""),"Spell")</f>
        <v>Spell</v>
      </c>
      <c r="C1775" s="42" t="str">
        <f>IFERROR(__xludf.DUMMYFUNCTION("""COMPUTED_VALUE"""),"Agio Disgurg")</f>
        <v>Agio Disgurg</v>
      </c>
      <c r="D1775" s="42" t="str">
        <f>IFERROR(__xludf.DUMMYFUNCTION("""COMPUTED_VALUE"""),"Elzador")</f>
        <v>Elzador</v>
      </c>
      <c r="E1775" s="42">
        <f>IFERROR(__xludf.DUMMYFUNCTION("""COMPUTED_VALUE"""),3.0)</f>
        <v>3</v>
      </c>
      <c r="F1775" s="42" t="str">
        <f>IFERROR(__xludf.DUMMYFUNCTION("""COMPUTED_VALUE"""),"A")</f>
        <v>A</v>
      </c>
      <c r="G1775" s="42" t="str">
        <f>IFERROR(__xludf.DUMMYFUNCTION("""COMPUTED_VALUE"""),"Intermediate")</f>
        <v>Intermediate</v>
      </c>
      <c r="H1775" s="42" t="str">
        <f>IFERROR(__xludf.DUMMYFUNCTION("""COMPUTED_VALUE"""),"-")</f>
        <v>-</v>
      </c>
      <c r="I1775" s="43" t="str">
        <f>IFERROR(__xludf.DUMMYFUNCTION("""COMPUTED_VALUE"""),"Damage your opponent's Spell Book when you win the Battle as an Attacker. When you declare the play of this SPELL card, you may immediately turn 1 of your opponent's in-play MAMODO cards to Injured Status.")</f>
        <v>Damage your opponent's Spell Book when you win the Battle as an Attacker. When you declare the play of this SPELL card, you may immediately turn 1 of your opponent's in-play MAMODO cards to Injured Status.</v>
      </c>
      <c r="J1775" s="42" t="str">
        <f>IFERROR(__xludf.DUMMYFUNCTION("""COMPUTED_VALUE"""),"+3000")</f>
        <v>+3000</v>
      </c>
      <c r="K1775" s="42">
        <f>IFERROR(__xludf.DUMMYFUNCTION("""COMPUTED_VALUE"""),3.0)</f>
        <v>3</v>
      </c>
      <c r="L1775" s="42" t="str">
        <f>IFERROR(__xludf.DUMMYFUNCTION("""COMPUTED_VALUE"""),"-")</f>
        <v>-</v>
      </c>
      <c r="M1775" s="42" t="str">
        <f>IFERROR(__xludf.DUMMYFUNCTION("""COMPUTED_VALUE"""),"[U]")</f>
        <v>[U]</v>
      </c>
      <c r="N1775" s="42" t="str">
        <f>IFERROR(__xludf.DUMMYFUNCTION("""COMPUTED_VALUE"""),"Elzador's 2nd spell. With overwhelming power, his massive horn manages to sever Bari's horn in one clean slice.")</f>
        <v>Elzador's 2nd spell. With overwhelming power, his massive horn manages to sever Bari's horn in one clean slice.</v>
      </c>
      <c r="O1775" s="42"/>
      <c r="P1775" s="42"/>
      <c r="Q1775" s="42"/>
      <c r="R1775" s="42"/>
      <c r="S1775" s="42"/>
      <c r="T1775" s="42"/>
      <c r="U1775" s="42"/>
      <c r="V1775" s="42"/>
      <c r="W1775" s="42"/>
      <c r="X1775" s="42"/>
      <c r="Y1775" s="42"/>
      <c r="Z1775" s="42"/>
    </row>
    <row r="1776">
      <c r="A1776" s="42" t="str">
        <f>IFERROR(__xludf.DUMMYFUNCTION("""COMPUTED_VALUE"""),"S-645")</f>
        <v>S-645</v>
      </c>
      <c r="B1776" s="42" t="str">
        <f>IFERROR(__xludf.DUMMYFUNCTION("""COMPUTED_VALUE"""),"Spell")</f>
        <v>Spell</v>
      </c>
      <c r="C1776" s="42" t="str">
        <f>IFERROR(__xludf.DUMMYFUNCTION("""COMPUTED_VALUE"""),"Godima Swordo")</f>
        <v>Godima Swordo</v>
      </c>
      <c r="D1776" s="42" t="str">
        <f>IFERROR(__xludf.DUMMYFUNCTION("""COMPUTED_VALUE"""),"Arth")</f>
        <v>Arth</v>
      </c>
      <c r="E1776" s="42">
        <f>IFERROR(__xludf.DUMMYFUNCTION("""COMPUTED_VALUE"""),2.0)</f>
        <v>2</v>
      </c>
      <c r="F1776" s="42" t="str">
        <f>IFERROR(__xludf.DUMMYFUNCTION("""COMPUTED_VALUE"""),"A")</f>
        <v>A</v>
      </c>
      <c r="G1776" s="42" t="str">
        <f>IFERROR(__xludf.DUMMYFUNCTION("""COMPUTED_VALUE"""),"Intermediate")</f>
        <v>Intermediate</v>
      </c>
      <c r="H1776" s="42" t="str">
        <f>IFERROR(__xludf.DUMMYFUNCTION("""COMPUTED_VALUE"""),"-")</f>
        <v>-</v>
      </c>
      <c r="I1776" s="43" t="str">
        <f>IFERROR(__xludf.DUMMYFUNCTION("""COMPUTED_VALUE"""),"Apply both of the following effects in order when you win the Battle as an Attacker: ● Negate 1 [Stay] effect. ● Damage your opponent's Spell Book.")</f>
        <v>Apply both of the following effects in order when you win the Battle as an Attacker: ● Negate 1 [Stay] effect. ● Damage your opponent's Spell Book.</v>
      </c>
      <c r="J1776" s="42" t="str">
        <f>IFERROR(__xludf.DUMMYFUNCTION("""COMPUTED_VALUE"""),"+4000")</f>
        <v>+4000</v>
      </c>
      <c r="K1776" s="42">
        <f>IFERROR(__xludf.DUMMYFUNCTION("""COMPUTED_VALUE"""),2.0)</f>
        <v>2</v>
      </c>
      <c r="L1776" s="42" t="str">
        <f>IFERROR(__xludf.DUMMYFUNCTION("""COMPUTED_VALUE"""),"-")</f>
        <v>-</v>
      </c>
      <c r="M1776" s="42" t="str">
        <f>IFERROR(__xludf.DUMMYFUNCTION("""COMPUTED_VALUE"""),"[U]")</f>
        <v>[U]</v>
      </c>
      <c r="N1776" s="42" t="str">
        <f>IFERROR(__xludf.DUMMYFUNCTION("""COMPUTED_VALUE"""),"Arth's 9th spell. He slashes through the blood vessels producing Faudo's nutrient fluid with one stroke of his mighty blade!")</f>
        <v>Arth's 9th spell. He slashes through the blood vessels producing Faudo's nutrient fluid with one stroke of his mighty blade!</v>
      </c>
      <c r="O1776" s="42"/>
      <c r="P1776" s="42"/>
      <c r="Q1776" s="42"/>
      <c r="R1776" s="42"/>
      <c r="S1776" s="42"/>
      <c r="T1776" s="42"/>
      <c r="U1776" s="42"/>
      <c r="V1776" s="42"/>
      <c r="W1776" s="42"/>
      <c r="X1776" s="42"/>
      <c r="Y1776" s="42"/>
      <c r="Z1776" s="42"/>
    </row>
    <row r="1777">
      <c r="A1777" s="42" t="str">
        <f>IFERROR(__xludf.DUMMYFUNCTION("""COMPUTED_VALUE"""),"S-646")</f>
        <v>S-646</v>
      </c>
      <c r="B1777" s="42" t="str">
        <f>IFERROR(__xludf.DUMMYFUNCTION("""COMPUTED_VALUE"""),"Spell")</f>
        <v>Spell</v>
      </c>
      <c r="C1777" s="42" t="str">
        <f>IFERROR(__xludf.DUMMYFUNCTION("""COMPUTED_VALUE"""),"Diou Gigorio Gidoruk")</f>
        <v>Diou Gigorio Gidoruk</v>
      </c>
      <c r="D1777" s="42" t="str">
        <f>IFERROR(__xludf.DUMMYFUNCTION("""COMPUTED_VALUE"""),"Karudio")</f>
        <v>Karudio</v>
      </c>
      <c r="E1777" s="42">
        <f>IFERROR(__xludf.DUMMYFUNCTION("""COMPUTED_VALUE"""),4.0)</f>
        <v>4</v>
      </c>
      <c r="F1777" s="42" t="str">
        <f>IFERROR(__xludf.DUMMYFUNCTION("""COMPUTED_VALUE"""),"A")</f>
        <v>A</v>
      </c>
      <c r="G1777" s="42" t="str">
        <f>IFERROR(__xludf.DUMMYFUNCTION("""COMPUTED_VALUE"""),"Superior")</f>
        <v>Superior</v>
      </c>
      <c r="H1777" s="42" t="str">
        <f>IFERROR(__xludf.DUMMYFUNCTION("""COMPUTED_VALUE"""),"Ice")</f>
        <v>Ice</v>
      </c>
      <c r="I1777" s="43" t="str">
        <f>IFERROR(__xludf.DUMMYFUNCTION("""COMPUTED_VALUE"""),"At the end of this Battle, send your Karudio MAMODO card to the Discard Pile even when prohibited to do so. Apply both of the following effects in order when you win the Battle as an Attacker: ● Send 1 of your opponent's in-play MAMODO to the Discard Pile"&amp;". ● Damage your opponent's Spell Book.")</f>
        <v>At the end of this Battle, send your Karudio MAMODO card to the Discard Pile even when prohibited to do so. Apply both of the following effects in order when you win the Battle as an Attacker: ● Send 1 of your opponent's in-play MAMODO to the Discard Pile. ● Damage your opponent's Spell Book.</v>
      </c>
      <c r="J1777" s="42" t="str">
        <f>IFERROR(__xludf.DUMMYFUNCTION("""COMPUTED_VALUE"""),"+8000")</f>
        <v>+8000</v>
      </c>
      <c r="K1777" s="42">
        <f>IFERROR(__xludf.DUMMYFUNCTION("""COMPUTED_VALUE"""),4.0)</f>
        <v>4</v>
      </c>
      <c r="L1777" s="42" t="str">
        <f>IFERROR(__xludf.DUMMYFUNCTION("""COMPUTED_VALUE"""),"-")</f>
        <v>-</v>
      </c>
      <c r="M1777" s="42" t="str">
        <f>IFERROR(__xludf.DUMMYFUNCTION("""COMPUTED_VALUE"""),"[R]")</f>
        <v>[R]</v>
      </c>
      <c r="N1777" s="42" t="str">
        <f>IFERROR(__xludf.DUMMYFUNCTION("""COMPUTED_VALUE"""),"Karudio's 4th spell. ""If we use it that way, you'll shatter into a million pieces!""")</f>
        <v>Karudio's 4th spell. "If we use it that way, you'll shatter into a million pieces!"</v>
      </c>
      <c r="O1777" s="42"/>
      <c r="P1777" s="42"/>
      <c r="Q1777" s="42"/>
      <c r="R1777" s="42"/>
      <c r="S1777" s="42"/>
      <c r="T1777" s="42"/>
      <c r="U1777" s="42"/>
      <c r="V1777" s="42"/>
      <c r="W1777" s="42"/>
      <c r="X1777" s="42"/>
      <c r="Y1777" s="42"/>
      <c r="Z1777" s="42"/>
    </row>
    <row r="1778">
      <c r="A1778" s="42" t="str">
        <f>IFERROR(__xludf.DUMMYFUNCTION("""COMPUTED_VALUE"""),"S-647ab")</f>
        <v>S-647ab</v>
      </c>
      <c r="B1778" s="42" t="str">
        <f>IFERROR(__xludf.DUMMYFUNCTION("""COMPUTED_VALUE"""),"Spell")</f>
        <v>Spell</v>
      </c>
      <c r="C1778" s="42" t="str">
        <f>IFERROR(__xludf.DUMMYFUNCTION("""COMPUTED_VALUE"""),"Bao VS Zigadiras")</f>
        <v>Bao VS Zigadiras</v>
      </c>
      <c r="D1778" s="42" t="str">
        <f>IFERROR(__xludf.DUMMYFUNCTION("""COMPUTED_VALUE"""),"Zatch Bell | Zeno")</f>
        <v>Zatch Bell | Zeno</v>
      </c>
      <c r="E1778" s="42">
        <f>IFERROR(__xludf.DUMMYFUNCTION("""COMPUTED_VALUE"""),5.0)</f>
        <v>5</v>
      </c>
      <c r="F1778" s="42" t="str">
        <f>IFERROR(__xludf.DUMMYFUNCTION("""COMPUTED_VALUE"""),"A")</f>
        <v>A</v>
      </c>
      <c r="G1778" s="42" t="str">
        <f>IFERROR(__xludf.DUMMYFUNCTION("""COMPUTED_VALUE"""),"Superior")</f>
        <v>Superior</v>
      </c>
      <c r="H1778" s="42" t="str">
        <f>IFERROR(__xludf.DUMMYFUNCTION("""COMPUTED_VALUE"""),"Thunder")</f>
        <v>Thunder</v>
      </c>
      <c r="I1778" s="43" t="str">
        <f>IFERROR(__xludf.DUMMYFUNCTION("""COMPUTED_VALUE"""),"This SPELL card can be played only when you have both S-647a and S-647b in the currently open pages of your Spell Book and you have successfully played both a Bao Zakeruga and a Zigadiras Ul Zakeruga SPELL card during this game. Apply both of the followin"&amp;"g effects in order immediately when you declare the play of this SPELL card. Zatch Bell and Zeno cannot be sent to the Discard Pile by this card's effects: ● Send all your in-play MAMODO to the Discard Pile until you have only 1 in play. ● Send all your o"&amp;"pponent's in-play MAMODO to the Discard Pile until they have only 1 in play. Damage your opponent's Spell Book when you win the Battle as an Attacker.")</f>
        <v>This SPELL card can be played only when you have both S-647a and S-647b in the currently open pages of your Spell Book and you have successfully played both a Bao Zakeruga and a Zigadiras Ul Zakeruga SPELL card during this game. Apply both of the following effects in order immediately when you declare the play of this SPELL card. Zatch Bell and Zeno cannot be sent to the Discard Pile by this card's effects: ● Send all your in-play MAMODO to the Discard Pile until you have only 1 in play. ● Send all your opponent's in-play MAMODO to the Discard Pile until they have only 1 in play. Damage your opponent's Spell Book when you win the Battle as an Attacker.</v>
      </c>
      <c r="J1778" s="42" t="str">
        <f>IFERROR(__xludf.DUMMYFUNCTION("""COMPUTED_VALUE"""),"+10000")</f>
        <v>+10000</v>
      </c>
      <c r="K1778" s="42">
        <f>IFERROR(__xludf.DUMMYFUNCTION("""COMPUTED_VALUE"""),5.0)</f>
        <v>5</v>
      </c>
      <c r="L1778" s="42" t="str">
        <f>IFERROR(__xludf.DUMMYFUNCTION("""COMPUTED_VALUE"""),"-")</f>
        <v>-</v>
      </c>
      <c r="M1778" s="42" t="str">
        <f>IFERROR(__xludf.DUMMYFUNCTION("""COMPUTED_VALUE"""),"[SR]")</f>
        <v>[SR]</v>
      </c>
      <c r="N1778" s="42" t="str">
        <f>IFERROR(__xludf.DUMMYFUNCTION("""COMPUTED_VALUE"""),"Fueled by all the strength they can muster, Zatch's Bao and Zeno's Zigadiras collide in one final showdown.")</f>
        <v>Fueled by all the strength they can muster, Zatch's Bao and Zeno's Zigadiras collide in one final showdown.</v>
      </c>
      <c r="O1778" s="42"/>
      <c r="P1778" s="42"/>
      <c r="Q1778" s="42"/>
      <c r="R1778" s="42"/>
      <c r="S1778" s="42"/>
      <c r="T1778" s="42"/>
      <c r="U1778" s="42"/>
      <c r="V1778" s="42"/>
      <c r="W1778" s="42"/>
      <c r="X1778" s="42"/>
      <c r="Y1778" s="42"/>
      <c r="Z1778" s="42"/>
    </row>
    <row r="1779">
      <c r="A1779" s="42" t="str">
        <f>IFERROR(__xludf.DUMMYFUNCTION("""COMPUTED_VALUE"""),"V-001")</f>
        <v>V-001</v>
      </c>
      <c r="B1779" s="42" t="str">
        <f>IFERROR(__xludf.DUMMYFUNCTION("""COMPUTED_VALUE"""),"Volcan")</f>
        <v>Volcan</v>
      </c>
      <c r="C1779" s="42" t="str">
        <f>IFERROR(__xludf.DUMMYFUNCTION("""COMPUTED_VALUE"""),"Volcan the 3rd")</f>
        <v>Volcan the 3rd</v>
      </c>
      <c r="D1779" s="42" t="str">
        <f>IFERROR(__xludf.DUMMYFUNCTION("""COMPUTED_VALUE"""),"-")</f>
        <v>-</v>
      </c>
      <c r="E1779" s="42" t="str">
        <f>IFERROR(__xludf.DUMMYFUNCTION("""COMPUTED_VALUE"""),"-")</f>
        <v>-</v>
      </c>
      <c r="F1779" s="42" t="str">
        <f>IFERROR(__xludf.DUMMYFUNCTION("""COMPUTED_VALUE"""),"-")</f>
        <v>-</v>
      </c>
      <c r="G1779" s="42" t="str">
        <f>IFERROR(__xludf.DUMMYFUNCTION("""COMPUTED_VALUE"""),"None")</f>
        <v>None</v>
      </c>
      <c r="H1779" s="42" t="str">
        <f>IFERROR(__xludf.DUMMYFUNCTION("""COMPUTED_VALUE"""),"-")</f>
        <v>-</v>
      </c>
      <c r="I1779" s="43" t="str">
        <f>IFERROR(__xludf.DUMMYFUNCTION("""COMPUTED_VALUE"""),"This card is attached to 1 of your in-play MAMODO cards. [IN PLAY] The MAMODO card this VOLCAN card is attached to is turned to Normal Status at the END PHASE of each player's turn when the MAMODO card is Injured or Petrified.")</f>
        <v>This card is attached to 1 of your in-play MAMODO cards. [IN PLAY] The MAMODO card this VOLCAN card is attached to is turned to Normal Status at the END PHASE of each player's turn when the MAMODO card is Injured or Petrified.</v>
      </c>
      <c r="J1779" s="42" t="str">
        <f>IFERROR(__xludf.DUMMYFUNCTION("""COMPUTED_VALUE"""),"-")</f>
        <v>-</v>
      </c>
      <c r="K1779" s="42" t="str">
        <f>IFERROR(__xludf.DUMMYFUNCTION("""COMPUTED_VALUE"""),"-")</f>
        <v>-</v>
      </c>
      <c r="L1779" s="42" t="str">
        <f>IFERROR(__xludf.DUMMYFUNCTION("""COMPUTED_VALUE"""),"-")</f>
        <v>-</v>
      </c>
      <c r="M1779" s="42" t="str">
        <f>IFERROR(__xludf.DUMMYFUNCTION("""COMPUTED_VALUE"""),"[C]")</f>
        <v>[C]</v>
      </c>
      <c r="N1779" s="42" t="str">
        <f>IFERROR(__xludf.DUMMYFUNCTION("""COMPUTED_VALUE"""),"""Have you forgotten, Kiyo? Volcan is...Volcan is the first friend you ever gave to me!""")</f>
        <v>"Have you forgotten, Kiyo? Volcan is...Volcan is the first friend you ever gave to me!"</v>
      </c>
      <c r="O1779" s="42"/>
      <c r="P1779" s="42"/>
      <c r="Q1779" s="42"/>
      <c r="R1779" s="42"/>
      <c r="S1779" s="42"/>
      <c r="T1779" s="42"/>
      <c r="U1779" s="42"/>
      <c r="V1779" s="42"/>
      <c r="W1779" s="42"/>
      <c r="X1779" s="42"/>
      <c r="Y1779" s="42"/>
      <c r="Z1779" s="42"/>
    </row>
    <row r="1780">
      <c r="A1780" s="42" t="str">
        <f>IFERROR(__xludf.DUMMYFUNCTION("""COMPUTED_VALUE"""),"V-002")</f>
        <v>V-002</v>
      </c>
      <c r="B1780" s="42" t="str">
        <f>IFERROR(__xludf.DUMMYFUNCTION("""COMPUTED_VALUE"""),"Volcan")</f>
        <v>Volcan</v>
      </c>
      <c r="C1780" s="42" t="str">
        <f>IFERROR(__xludf.DUMMYFUNCTION("""COMPUTED_VALUE"""),"Volcan the 4th")</f>
        <v>Volcan the 4th</v>
      </c>
      <c r="D1780" s="42" t="str">
        <f>IFERROR(__xludf.DUMMYFUNCTION("""COMPUTED_VALUE"""),"-")</f>
        <v>-</v>
      </c>
      <c r="E1780" s="42" t="str">
        <f>IFERROR(__xludf.DUMMYFUNCTION("""COMPUTED_VALUE"""),"-")</f>
        <v>-</v>
      </c>
      <c r="F1780" s="42" t="str">
        <f>IFERROR(__xludf.DUMMYFUNCTION("""COMPUTED_VALUE"""),"-")</f>
        <v>-</v>
      </c>
      <c r="G1780" s="42" t="str">
        <f>IFERROR(__xludf.DUMMYFUNCTION("""COMPUTED_VALUE"""),"None")</f>
        <v>None</v>
      </c>
      <c r="H1780" s="42" t="str">
        <f>IFERROR(__xludf.DUMMYFUNCTION("""COMPUTED_VALUE"""),"-")</f>
        <v>-</v>
      </c>
      <c r="I1780" s="43" t="str">
        <f>IFERROR(__xludf.DUMMYFUNCTION("""COMPUTED_VALUE"""),"This card is put in play separate from your MAMODO card area. [IN PLAY] This VOLCAN card can SACRIFICE or PROTECT your Spell Book from 1 infliction of Damage, even when prohibited to do so. ● When this card receives Damage once, turn it to Disrepair Statu"&amp;"s (sideways). If this card receives Damage while in Disrepair Status, send it to the Discard Pile.")</f>
        <v>This card is put in play separate from your MAMODO card area. [IN PLAY] This VOLCAN card can SACRIFICE or PROTECT your Spell Book from 1 infliction of Damage, even when prohibited to do so. ● When this card receives Damage once, turn it to Disrepair Status (sideways). If this card receives Damage while in Disrepair Status, send it to the Discard Pile.</v>
      </c>
      <c r="J1780" s="42" t="str">
        <f>IFERROR(__xludf.DUMMYFUNCTION("""COMPUTED_VALUE"""),"-")</f>
        <v>-</v>
      </c>
      <c r="K1780" s="42" t="str">
        <f>IFERROR(__xludf.DUMMYFUNCTION("""COMPUTED_VALUE"""),"-")</f>
        <v>-</v>
      </c>
      <c r="L1780" s="42" t="str">
        <f>IFERROR(__xludf.DUMMYFUNCTION("""COMPUTED_VALUE"""),"-")</f>
        <v>-</v>
      </c>
      <c r="M1780" s="42" t="str">
        <f>IFERROR(__xludf.DUMMYFUNCTION("""COMPUTED_VALUE"""),"[U]")</f>
        <v>[U]</v>
      </c>
      <c r="N1780" s="42" t="str">
        <f>IFERROR(__xludf.DUMMYFUNCTION("""COMPUTED_VALUE"""),"""I hereby name you 'Volcan the 4th'!""")</f>
        <v>"I hereby name you 'Volcan the 4th'!"</v>
      </c>
      <c r="O1780" s="42"/>
      <c r="P1780" s="42"/>
      <c r="Q1780" s="42"/>
      <c r="R1780" s="42"/>
      <c r="S1780" s="42"/>
      <c r="T1780" s="42"/>
      <c r="U1780" s="42"/>
      <c r="V1780" s="42"/>
      <c r="W1780" s="42"/>
      <c r="X1780" s="42"/>
      <c r="Y1780" s="42"/>
      <c r="Z1780" s="42"/>
    </row>
    <row r="1781">
      <c r="A1781" s="42" t="str">
        <f>IFERROR(__xludf.DUMMYFUNCTION("""COMPUTED_VALUE"""),"V-003")</f>
        <v>V-003</v>
      </c>
      <c r="B1781" s="42" t="str">
        <f>IFERROR(__xludf.DUMMYFUNCTION("""COMPUTED_VALUE"""),"Volcan")</f>
        <v>Volcan</v>
      </c>
      <c r="C1781" s="42" t="str">
        <f>IFERROR(__xludf.DUMMYFUNCTION("""COMPUTED_VALUE"""),"Volcan the 4th (Flight Mode)")</f>
        <v>Volcan the 4th (Flight Mode)</v>
      </c>
      <c r="D1781" s="42" t="str">
        <f>IFERROR(__xludf.DUMMYFUNCTION("""COMPUTED_VALUE"""),"-")</f>
        <v>-</v>
      </c>
      <c r="E1781" s="42" t="str">
        <f>IFERROR(__xludf.DUMMYFUNCTION("""COMPUTED_VALUE"""),"-")</f>
        <v>-</v>
      </c>
      <c r="F1781" s="42" t="str">
        <f>IFERROR(__xludf.DUMMYFUNCTION("""COMPUTED_VALUE"""),"-")</f>
        <v>-</v>
      </c>
      <c r="G1781" s="42" t="str">
        <f>IFERROR(__xludf.DUMMYFUNCTION("""COMPUTED_VALUE"""),"None")</f>
        <v>None</v>
      </c>
      <c r="H1781" s="42" t="str">
        <f>IFERROR(__xludf.DUMMYFUNCTION("""COMPUTED_VALUE"""),"-")</f>
        <v>-</v>
      </c>
      <c r="I1781" s="43" t="str">
        <f>IFERROR(__xludf.DUMMYFUNCTION("""COMPUTED_VALUE"""),"This card is attached to 1 of your in-play MAMODO cards. [IN PLAY] The MAMODO card this VOLCAN card is attached is put in Flight Status.")</f>
        <v>This card is attached to 1 of your in-play MAMODO cards. [IN PLAY] The MAMODO card this VOLCAN card is attached is put in Flight Status.</v>
      </c>
      <c r="J1781" s="42" t="str">
        <f>IFERROR(__xludf.DUMMYFUNCTION("""COMPUTED_VALUE"""),"-")</f>
        <v>-</v>
      </c>
      <c r="K1781" s="42" t="str">
        <f>IFERROR(__xludf.DUMMYFUNCTION("""COMPUTED_VALUE"""),"-")</f>
        <v>-</v>
      </c>
      <c r="L1781" s="42" t="str">
        <f>IFERROR(__xludf.DUMMYFUNCTION("""COMPUTED_VALUE"""),"-")</f>
        <v>-</v>
      </c>
      <c r="M1781" s="42" t="str">
        <f>IFERROR(__xludf.DUMMYFUNCTION("""COMPUTED_VALUE"""),"[C]")</f>
        <v>[C]</v>
      </c>
      <c r="N1781" s="42" t="str">
        <f>IFERROR(__xludf.DUMMYFUNCTION("""COMPUTED_VALUE"""),"""It can...fly, too...?"" ""So cool!""")</f>
        <v>"It can...fly, too...?" "So cool!"</v>
      </c>
      <c r="O1781" s="42"/>
      <c r="P1781" s="42"/>
      <c r="Q1781" s="42"/>
      <c r="R1781" s="42"/>
      <c r="S1781" s="42"/>
      <c r="T1781" s="42"/>
      <c r="U1781" s="42"/>
      <c r="V1781" s="42"/>
      <c r="W1781" s="42"/>
      <c r="X1781" s="42"/>
      <c r="Y1781" s="42"/>
      <c r="Z1781" s="42"/>
    </row>
    <row r="1782">
      <c r="A1782" s="42" t="str">
        <f>IFERROR(__xludf.DUMMYFUNCTION("""COMPUTED_VALUE"""),"V-004")</f>
        <v>V-004</v>
      </c>
      <c r="B1782" s="42" t="str">
        <f>IFERROR(__xludf.DUMMYFUNCTION("""COMPUTED_VALUE"""),"Volcan")</f>
        <v>Volcan</v>
      </c>
      <c r="C1782" s="42" t="str">
        <f>IFERROR(__xludf.DUMMYFUNCTION("""COMPUTED_VALUE"""),"DS Corps")</f>
        <v>DS Corps</v>
      </c>
      <c r="D1782" s="42" t="str">
        <f>IFERROR(__xludf.DUMMYFUNCTION("""COMPUTED_VALUE"""),"-")</f>
        <v>-</v>
      </c>
      <c r="E1782" s="42" t="str">
        <f>IFERROR(__xludf.DUMMYFUNCTION("""COMPUTED_VALUE"""),"-")</f>
        <v>-</v>
      </c>
      <c r="F1782" s="42" t="str">
        <f>IFERROR(__xludf.DUMMYFUNCTION("""COMPUTED_VALUE"""),"-")</f>
        <v>-</v>
      </c>
      <c r="G1782" s="42" t="str">
        <f>IFERROR(__xludf.DUMMYFUNCTION("""COMPUTED_VALUE"""),"None")</f>
        <v>None</v>
      </c>
      <c r="H1782" s="42" t="str">
        <f>IFERROR(__xludf.DUMMYFUNCTION("""COMPUTED_VALUE"""),"-")</f>
        <v>-</v>
      </c>
      <c r="I1782" s="43" t="str">
        <f>IFERROR(__xludf.DUMMYFUNCTION("""COMPUTED_VALUE"""),"This card is put in play separate from your MAMODO card area. You can have up to 3 DS Corps VOLCAN cards in play, regardless of card name rules. (Attack) [1 MP] This card may Attack without using a SPELL card (Total Power=6000, Damage=1).")</f>
        <v>This card is put in play separate from your MAMODO card area. You can have up to 3 DS Corps VOLCAN cards in play, regardless of card name rules. (Attack) [1 MP] This card may Attack without using a SPELL card (Total Power=6000, Damage=1).</v>
      </c>
      <c r="J1782" s="42" t="str">
        <f>IFERROR(__xludf.DUMMYFUNCTION("""COMPUTED_VALUE"""),"-")</f>
        <v>-</v>
      </c>
      <c r="K1782" s="42" t="str">
        <f>IFERROR(__xludf.DUMMYFUNCTION("""COMPUTED_VALUE"""),"-")</f>
        <v>-</v>
      </c>
      <c r="L1782" s="42" t="str">
        <f>IFERROR(__xludf.DUMMYFUNCTION("""COMPUTED_VALUE"""),"-")</f>
        <v>-</v>
      </c>
      <c r="M1782" s="42" t="str">
        <f>IFERROR(__xludf.DUMMYFUNCTION("""COMPUTED_VALUE"""),"[C]")</f>
        <v>[C]</v>
      </c>
      <c r="N1782" s="42" t="str">
        <f>IFERROR(__xludf.DUMMYFUNCTION("""COMPUTED_VALUE"""),"""Volcan the 4th... There are tons of them!"" ""That's not a good thing!""")</f>
        <v>"Volcan the 4th... There are tons of them!" "That's not a good thing!"</v>
      </c>
      <c r="O1782" s="42"/>
      <c r="P1782" s="42"/>
      <c r="Q1782" s="42"/>
      <c r="R1782" s="42"/>
      <c r="S1782" s="42"/>
      <c r="T1782" s="42"/>
      <c r="U1782" s="42"/>
      <c r="V1782" s="42"/>
      <c r="W1782" s="42"/>
      <c r="X1782" s="42"/>
      <c r="Y1782" s="42"/>
      <c r="Z1782" s="42"/>
    </row>
    <row r="1783">
      <c r="A1783" s="42" t="str">
        <f>IFERROR(__xludf.DUMMYFUNCTION("""COMPUTED_VALUE"""),"V-005")</f>
        <v>V-005</v>
      </c>
      <c r="B1783" s="42" t="str">
        <f>IFERROR(__xludf.DUMMYFUNCTION("""COMPUTED_VALUE"""),"Volcan")</f>
        <v>Volcan</v>
      </c>
      <c r="C1783" s="42" t="str">
        <f>IFERROR(__xludf.DUMMYFUNCTION("""COMPUTED_VALUE"""),"Toy Volcan")</f>
        <v>Toy Volcan</v>
      </c>
      <c r="D1783" s="42" t="str">
        <f>IFERROR(__xludf.DUMMYFUNCTION("""COMPUTED_VALUE"""),"-")</f>
        <v>-</v>
      </c>
      <c r="E1783" s="42" t="str">
        <f>IFERROR(__xludf.DUMMYFUNCTION("""COMPUTED_VALUE"""),"-")</f>
        <v>-</v>
      </c>
      <c r="F1783" s="42" t="str">
        <f>IFERROR(__xludf.DUMMYFUNCTION("""COMPUTED_VALUE"""),"-")</f>
        <v>-</v>
      </c>
      <c r="G1783" s="42" t="str">
        <f>IFERROR(__xludf.DUMMYFUNCTION("""COMPUTED_VALUE"""),"None")</f>
        <v>None</v>
      </c>
      <c r="H1783" s="42" t="str">
        <f>IFERROR(__xludf.DUMMYFUNCTION("""COMPUTED_VALUE"""),"-")</f>
        <v>-</v>
      </c>
      <c r="I1783" s="43" t="str">
        <f>IFERROR(__xludf.DUMMYFUNCTION("""COMPUTED_VALUE"""),"This card is attached to 1 of your in-play MAMODO cards. [IN PLAY] The PARTNER card attached to the MAMODO card this VOLCAN card is attached to cannot be sent to the Discard Pile by your opponent's card effects.")</f>
        <v>This card is attached to 1 of your in-play MAMODO cards. [IN PLAY] The PARTNER card attached to the MAMODO card this VOLCAN card is attached to cannot be sent to the Discard Pile by your opponent's card effects.</v>
      </c>
      <c r="J1783" s="42" t="str">
        <f>IFERROR(__xludf.DUMMYFUNCTION("""COMPUTED_VALUE"""),"-")</f>
        <v>-</v>
      </c>
      <c r="K1783" s="42" t="str">
        <f>IFERROR(__xludf.DUMMYFUNCTION("""COMPUTED_VALUE"""),"-")</f>
        <v>-</v>
      </c>
      <c r="L1783" s="42" t="str">
        <f>IFERROR(__xludf.DUMMYFUNCTION("""COMPUTED_VALUE"""),"-")</f>
        <v>-</v>
      </c>
      <c r="M1783" s="42" t="str">
        <f>IFERROR(__xludf.DUMMYFUNCTION("""COMPUTED_VALUE"""),"[U]")</f>
        <v>[U]</v>
      </c>
      <c r="N1783" s="42" t="str">
        <f>IFERROR(__xludf.DUMMYFUNCTION("""COMPUTED_VALUE"""),"A toy Volcan that Kiyo builds in the future. It has a mysterious program that cannot be executed by any means.")</f>
        <v>A toy Volcan that Kiyo builds in the future. It has a mysterious program that cannot be executed by any means.</v>
      </c>
      <c r="O1783" s="42"/>
      <c r="P1783" s="42"/>
      <c r="Q1783" s="42"/>
      <c r="R1783" s="42"/>
      <c r="S1783" s="42"/>
      <c r="T1783" s="42"/>
      <c r="U1783" s="42"/>
      <c r="V1783" s="42"/>
      <c r="W1783" s="42"/>
      <c r="X1783" s="42"/>
      <c r="Y1783" s="42"/>
      <c r="Z1783" s="42"/>
    </row>
    <row r="1784">
      <c r="A1784" s="42" t="str">
        <f>IFERROR(__xludf.DUMMYFUNCTION("""COMPUTED_VALUE"""),"V-006ab")</f>
        <v>V-006ab</v>
      </c>
      <c r="B1784" s="42" t="str">
        <f>IFERROR(__xludf.DUMMYFUNCTION("""COMPUTED_VALUE"""),"Volcan")</f>
        <v>Volcan</v>
      </c>
      <c r="C1784" s="42" t="str">
        <f>IFERROR(__xludf.DUMMYFUNCTION("""COMPUTED_VALUE"""),"Giant MechaVolcan")</f>
        <v>Giant MechaVolcan</v>
      </c>
      <c r="D1784" s="42" t="str">
        <f>IFERROR(__xludf.DUMMYFUNCTION("""COMPUTED_VALUE"""),"-")</f>
        <v>-</v>
      </c>
      <c r="E1784" s="42" t="str">
        <f>IFERROR(__xludf.DUMMYFUNCTION("""COMPUTED_VALUE"""),"-")</f>
        <v>-</v>
      </c>
      <c r="F1784" s="42" t="str">
        <f>IFERROR(__xludf.DUMMYFUNCTION("""COMPUTED_VALUE"""),"-")</f>
        <v>-</v>
      </c>
      <c r="G1784" s="42" t="str">
        <f>IFERROR(__xludf.DUMMYFUNCTION("""COMPUTED_VALUE"""),"Superior")</f>
        <v>Superior</v>
      </c>
      <c r="H1784" s="42" t="str">
        <f>IFERROR(__xludf.DUMMYFUNCTION("""COMPUTED_VALUE"""),"-")</f>
        <v>-</v>
      </c>
      <c r="I1784" s="43" t="str">
        <f>IFERROR(__xludf.DUMMYFUNCTION("""COMPUTED_VALUE"""),"This card is put in play separate from your MAMODO card area. Send 3 of your in-play VOLCAN cards to the Discard Pile to put V-006a and V-006b in play together (both V-006a and V-006b are considered to be 1 card when in play). (Attack) [1 MP] This card ma"&amp;"y Attack without using a SPELL card (Total Power=8000, Damage=1). This effect can be applied up to 3 times per turn (per player).")</f>
        <v>This card is put in play separate from your MAMODO card area. Send 3 of your in-play VOLCAN cards to the Discard Pile to put V-006a and V-006b in play together (both V-006a and V-006b are considered to be 1 card when in play). (Attack) [1 MP] This card may Attack without using a SPELL card (Total Power=8000, Damage=1). This effect can be applied up to 3 times per turn (per player).</v>
      </c>
      <c r="J1784" s="42" t="str">
        <f>IFERROR(__xludf.DUMMYFUNCTION("""COMPUTED_VALUE"""),"-")</f>
        <v>-</v>
      </c>
      <c r="K1784" s="42" t="str">
        <f>IFERROR(__xludf.DUMMYFUNCTION("""COMPUTED_VALUE"""),"-")</f>
        <v>-</v>
      </c>
      <c r="L1784" s="42" t="str">
        <f>IFERROR(__xludf.DUMMYFUNCTION("""COMPUTED_VALUE"""),"-")</f>
        <v>-</v>
      </c>
      <c r="M1784" s="42" t="str">
        <f>IFERROR(__xludf.DUMMYFUNCTION("""COMPUTED_VALUE"""),"[SR]")</f>
        <v>[SR]</v>
      </c>
      <c r="N1784" s="42" t="str">
        <f>IFERROR(__xludf.DUMMYFUNCTION("""COMPUTED_VALUE"""),"""Do you like it, Kiyo my boy? Behold the culmination of my magic science. Ehehehe...""")</f>
        <v>"Do you like it, Kiyo my boy? Behold the culmination of my magic science. Ehehehe..."</v>
      </c>
      <c r="O1784" s="42"/>
      <c r="P1784" s="42"/>
      <c r="Q1784" s="42"/>
      <c r="R1784" s="42"/>
      <c r="S1784" s="42"/>
      <c r="T1784" s="42"/>
      <c r="U1784" s="42"/>
      <c r="V1784" s="42"/>
      <c r="W1784" s="42"/>
      <c r="X1784" s="42"/>
      <c r="Y1784" s="42"/>
      <c r="Z1784" s="42"/>
    </row>
    <row r="1785">
      <c r="A1785" s="42" t="str">
        <f>IFERROR(__xludf.DUMMYFUNCTION("""COMPUTED_VALUE"""),"X-001")</f>
        <v>X-001</v>
      </c>
      <c r="B1785" s="42" t="str">
        <f>IFERROR(__xludf.DUMMYFUNCTION("""COMPUTED_VALUE"""),"King")</f>
        <v>King</v>
      </c>
      <c r="C1785" s="42" t="str">
        <f>IFERROR(__xludf.DUMMYFUNCTION("""COMPUTED_VALUE"""),"King of the Mamodo World")</f>
        <v>King of the Mamodo World</v>
      </c>
      <c r="D1785" s="42" t="str">
        <f>IFERROR(__xludf.DUMMYFUNCTION("""COMPUTED_VALUE"""),"-")</f>
        <v>-</v>
      </c>
      <c r="E1785" s="42" t="str">
        <f>IFERROR(__xludf.DUMMYFUNCTION("""COMPUTED_VALUE"""),"-")</f>
        <v>-</v>
      </c>
      <c r="F1785" s="42" t="str">
        <f>IFERROR(__xludf.DUMMYFUNCTION("""COMPUTED_VALUE"""),"-")</f>
        <v>-</v>
      </c>
      <c r="G1785" s="42" t="str">
        <f>IFERROR(__xludf.DUMMYFUNCTION("""COMPUTED_VALUE"""),"None")</f>
        <v>None</v>
      </c>
      <c r="H1785" s="42" t="str">
        <f>IFERROR(__xludf.DUMMYFUNCTION("""COMPUTED_VALUE"""),"-")</f>
        <v>-</v>
      </c>
      <c r="I1785" s="43" t="str">
        <f>IFERROR(__xludf.DUMMYFUNCTION("""COMPUTED_VALUE"""),"A KING card is inserted with the MAMODO card in the first page of your Spell Book. Attach the KING card to the MAMODO card during the PREPARATION PHASE of the game. [SEND THIS CARD TO THE DISCARD PILE] Negate 1 of your opponent's active card effects.")</f>
        <v>A KING card is inserted with the MAMODO card in the first page of your Spell Book. Attach the KING card to the MAMODO card during the PREPARATION PHASE of the game. [SEND THIS CARD TO THE DISCARD PILE] Negate 1 of your opponent's active card effects.</v>
      </c>
      <c r="J1785" s="42" t="str">
        <f>IFERROR(__xludf.DUMMYFUNCTION("""COMPUTED_VALUE"""),"-")</f>
        <v>-</v>
      </c>
      <c r="K1785" s="42" t="str">
        <f>IFERROR(__xludf.DUMMYFUNCTION("""COMPUTED_VALUE"""),"-")</f>
        <v>-</v>
      </c>
      <c r="L1785" s="42" t="str">
        <f>IFERROR(__xludf.DUMMYFUNCTION("""COMPUTED_VALUE"""),"-")</f>
        <v>-</v>
      </c>
      <c r="M1785" s="42" t="str">
        <f>IFERROR(__xludf.DUMMYFUNCTION("""COMPUTED_VALUE"""),"[R]")</f>
        <v>[R]</v>
      </c>
      <c r="N1785" s="42" t="str">
        <f>IFERROR(__xludf.DUMMYFUNCTION("""COMPUTED_VALUE"""),"-")</f>
        <v>-</v>
      </c>
      <c r="O1785" s="42"/>
      <c r="P1785" s="42"/>
      <c r="Q1785" s="42"/>
      <c r="R1785" s="42"/>
      <c r="S1785" s="42"/>
      <c r="T1785" s="42"/>
      <c r="U1785" s="42"/>
      <c r="V1785" s="42"/>
      <c r="W1785" s="42"/>
      <c r="X1785" s="42"/>
      <c r="Y1785" s="42"/>
      <c r="Z1785" s="42"/>
    </row>
    <row r="1786">
      <c r="A1786" s="42" t="str">
        <f>IFERROR(__xludf.DUMMYFUNCTION("""COMPUTED_VALUE"""),"X-002")</f>
        <v>X-002</v>
      </c>
      <c r="B1786" s="42" t="str">
        <f>IFERROR(__xludf.DUMMYFUNCTION("""COMPUTED_VALUE"""),"King")</f>
        <v>King</v>
      </c>
      <c r="C1786" s="42" t="str">
        <f>IFERROR(__xludf.DUMMYFUNCTION("""COMPUTED_VALUE"""),"Mamodo King Candidate")</f>
        <v>Mamodo King Candidate</v>
      </c>
      <c r="D1786" s="42" t="str">
        <f>IFERROR(__xludf.DUMMYFUNCTION("""COMPUTED_VALUE"""),"-")</f>
        <v>-</v>
      </c>
      <c r="E1786" s="42" t="str">
        <f>IFERROR(__xludf.DUMMYFUNCTION("""COMPUTED_VALUE"""),"-")</f>
        <v>-</v>
      </c>
      <c r="F1786" s="42" t="str">
        <f>IFERROR(__xludf.DUMMYFUNCTION("""COMPUTED_VALUE"""),"-")</f>
        <v>-</v>
      </c>
      <c r="G1786" s="42" t="str">
        <f>IFERROR(__xludf.DUMMYFUNCTION("""COMPUTED_VALUE"""),"None")</f>
        <v>None</v>
      </c>
      <c r="H1786" s="42" t="str">
        <f>IFERROR(__xludf.DUMMYFUNCTION("""COMPUTED_VALUE"""),"-")</f>
        <v>-</v>
      </c>
      <c r="I1786" s="43" t="str">
        <f>IFERROR(__xludf.DUMMYFUNCTION("""COMPUTED_VALUE"""),"A KING card is inserted with the MAMODO card in the first page of your Spell Book. Attach the KING card to the MAMODO card during the PREPARATION PHASE of the game. [SEND THIS CARD TO THE DISCARD PILE] When the MAMODO card this card is attached to is abou"&amp;"t to be sent to the Discard Pile by your opponent's card effect and/or an infliction of Damage or Injury, negate that effect and/or Injury.")</f>
        <v>A KING card is inserted with the MAMODO card in the first page of your Spell Book. Attach the KING card to the MAMODO card during the PREPARATION PHASE of the game. [SEND THIS CARD TO THE DISCARD PILE] When the MAMODO card this card is attached to is about to be sent to the Discard Pile by your opponent's card effect and/or an infliction of Damage or Injury, negate that effect and/or Injury.</v>
      </c>
      <c r="J1786" s="42" t="str">
        <f>IFERROR(__xludf.DUMMYFUNCTION("""COMPUTED_VALUE"""),"-")</f>
        <v>-</v>
      </c>
      <c r="K1786" s="42" t="str">
        <f>IFERROR(__xludf.DUMMYFUNCTION("""COMPUTED_VALUE"""),"-")</f>
        <v>-</v>
      </c>
      <c r="L1786" s="42" t="str">
        <f>IFERROR(__xludf.DUMMYFUNCTION("""COMPUTED_VALUE"""),"-")</f>
        <v>-</v>
      </c>
      <c r="M1786" s="42" t="str">
        <f>IFERROR(__xludf.DUMMYFUNCTION("""COMPUTED_VALUE"""),"[R]")</f>
        <v>[R]</v>
      </c>
      <c r="N1786" s="42" t="str">
        <f>IFERROR(__xludf.DUMMYFUNCTION("""COMPUTED_VALUE"""),"-")</f>
        <v>-</v>
      </c>
      <c r="O1786" s="42"/>
      <c r="P1786" s="42"/>
      <c r="Q1786" s="42"/>
      <c r="R1786" s="42"/>
      <c r="S1786" s="42"/>
      <c r="T1786" s="42"/>
      <c r="U1786" s="42"/>
      <c r="V1786" s="42"/>
      <c r="W1786" s="42"/>
      <c r="X1786" s="42"/>
      <c r="Y1786" s="42"/>
      <c r="Z1786" s="42"/>
    </row>
    <row r="1787">
      <c r="A1787" s="42" t="str">
        <f>IFERROR(__xludf.DUMMYFUNCTION("""COMPUTED_VALUE"""),"X-003")</f>
        <v>X-003</v>
      </c>
      <c r="B1787" s="42" t="str">
        <f>IFERROR(__xludf.DUMMYFUNCTION("""COMPUTED_VALUE"""),"King")</f>
        <v>King</v>
      </c>
      <c r="C1787" s="42" t="str">
        <f>IFERROR(__xludf.DUMMYFUNCTION("""COMPUTED_VALUE"""),"The Fierce Battle of the Mamodo King")</f>
        <v>The Fierce Battle of the Mamodo King</v>
      </c>
      <c r="D1787" s="42" t="str">
        <f>IFERROR(__xludf.DUMMYFUNCTION("""COMPUTED_VALUE"""),"-")</f>
        <v>-</v>
      </c>
      <c r="E1787" s="42" t="str">
        <f>IFERROR(__xludf.DUMMYFUNCTION("""COMPUTED_VALUE"""),"-")</f>
        <v>-</v>
      </c>
      <c r="F1787" s="42" t="str">
        <f>IFERROR(__xludf.DUMMYFUNCTION("""COMPUTED_VALUE"""),"-")</f>
        <v>-</v>
      </c>
      <c r="G1787" s="42" t="str">
        <f>IFERROR(__xludf.DUMMYFUNCTION("""COMPUTED_VALUE"""),"None")</f>
        <v>None</v>
      </c>
      <c r="H1787" s="42" t="str">
        <f>IFERROR(__xludf.DUMMYFUNCTION("""COMPUTED_VALUE"""),"-")</f>
        <v>-</v>
      </c>
      <c r="I1787" s="43" t="str">
        <f>IFERROR(__xludf.DUMMYFUNCTION("""COMPUTED_VALUE"""),"A KING card is inserted with the MAMODO card in the first page of your Spell Book. Attach the KING card to the MAMODO card during the PREPARATION PHASE of the game. [SEND THIS CARD TO THE DISCARD PILE] Turn 1 page of either player's Spell Book.")</f>
        <v>A KING card is inserted with the MAMODO card in the first page of your Spell Book. Attach the KING card to the MAMODO card during the PREPARATION PHASE of the game. [SEND THIS CARD TO THE DISCARD PILE] Turn 1 page of either player's Spell Book.</v>
      </c>
      <c r="J1787" s="42" t="str">
        <f>IFERROR(__xludf.DUMMYFUNCTION("""COMPUTED_VALUE"""),"-")</f>
        <v>-</v>
      </c>
      <c r="K1787" s="42" t="str">
        <f>IFERROR(__xludf.DUMMYFUNCTION("""COMPUTED_VALUE"""),"-")</f>
        <v>-</v>
      </c>
      <c r="L1787" s="42" t="str">
        <f>IFERROR(__xludf.DUMMYFUNCTION("""COMPUTED_VALUE"""),"-")</f>
        <v>-</v>
      </c>
      <c r="M1787" s="42" t="str">
        <f>IFERROR(__xludf.DUMMYFUNCTION("""COMPUTED_VALUE"""),"[R]")</f>
        <v>[R]</v>
      </c>
      <c r="N1787" s="42" t="str">
        <f>IFERROR(__xludf.DUMMYFUNCTION("""COMPUTED_VALUE"""),"-")</f>
        <v>-</v>
      </c>
      <c r="O1787" s="42"/>
      <c r="P1787" s="42"/>
      <c r="Q1787" s="42"/>
      <c r="R1787" s="42"/>
      <c r="S1787" s="42"/>
      <c r="T1787" s="42"/>
      <c r="U1787" s="42"/>
      <c r="V1787" s="42"/>
      <c r="W1787" s="42"/>
      <c r="X1787" s="42"/>
      <c r="Y1787" s="42"/>
      <c r="Z1787" s="42"/>
    </row>
    <row r="1788">
      <c r="A1788" s="42" t="str">
        <f>IFERROR(__xludf.DUMMYFUNCTION("""COMPUTED_VALUE"""),"X-004")</f>
        <v>X-004</v>
      </c>
      <c r="B1788" s="42" t="str">
        <f>IFERROR(__xludf.DUMMYFUNCTION("""COMPUTED_VALUE"""),"King")</f>
        <v>King</v>
      </c>
      <c r="C1788" s="42" t="str">
        <f>IFERROR(__xludf.DUMMYFUNCTION("""COMPUTED_VALUE"""),"The New Mamodo King")</f>
        <v>The New Mamodo King</v>
      </c>
      <c r="D1788" s="42" t="str">
        <f>IFERROR(__xludf.DUMMYFUNCTION("""COMPUTED_VALUE"""),"-")</f>
        <v>-</v>
      </c>
      <c r="E1788" s="42" t="str">
        <f>IFERROR(__xludf.DUMMYFUNCTION("""COMPUTED_VALUE"""),"-")</f>
        <v>-</v>
      </c>
      <c r="F1788" s="42" t="str">
        <f>IFERROR(__xludf.DUMMYFUNCTION("""COMPUTED_VALUE"""),"-")</f>
        <v>-</v>
      </c>
      <c r="G1788" s="42" t="str">
        <f>IFERROR(__xludf.DUMMYFUNCTION("""COMPUTED_VALUE"""),"None")</f>
        <v>None</v>
      </c>
      <c r="H1788" s="42" t="str">
        <f>IFERROR(__xludf.DUMMYFUNCTION("""COMPUTED_VALUE"""),"-")</f>
        <v>-</v>
      </c>
      <c r="I1788" s="43" t="str">
        <f>IFERROR(__xludf.DUMMYFUNCTION("""COMPUTED_VALUE"""),"A KING card is inserted with the MAMODO card in the first page of your Spell Book. Attach the KING card to the MAMODO card during the PREPARATION PHASE of the game. [SEND THIS CARD TO THE DISCARD PILE] Negate any 1 [Stay] or [Standby] card effect. This ef"&amp;"fect can be applied even when you are prohibited to do so by your opponent's effects.")</f>
        <v>A KING card is inserted with the MAMODO card in the first page of your Spell Book. Attach the KING card to the MAMODO card during the PREPARATION PHASE of the game. [SEND THIS CARD TO THE DISCARD PILE] Negate any 1 [Stay] or [Standby] card effect. This effect can be applied even when you are prohibited to do so by your opponent's effects.</v>
      </c>
      <c r="J1788" s="42" t="str">
        <f>IFERROR(__xludf.DUMMYFUNCTION("""COMPUTED_VALUE"""),"-")</f>
        <v>-</v>
      </c>
      <c r="K1788" s="42" t="str">
        <f>IFERROR(__xludf.DUMMYFUNCTION("""COMPUTED_VALUE"""),"-")</f>
        <v>-</v>
      </c>
      <c r="L1788" s="42" t="str">
        <f>IFERROR(__xludf.DUMMYFUNCTION("""COMPUTED_VALUE"""),"-")</f>
        <v>-</v>
      </c>
      <c r="M1788" s="42" t="str">
        <f>IFERROR(__xludf.DUMMYFUNCTION("""COMPUTED_VALUE"""),"[R]")</f>
        <v>[R]</v>
      </c>
      <c r="N1788" s="42" t="str">
        <f>IFERROR(__xludf.DUMMYFUNCTION("""COMPUTED_VALUE"""),"-")</f>
        <v>-</v>
      </c>
      <c r="O1788" s="42"/>
      <c r="P1788" s="42"/>
      <c r="Q1788" s="42"/>
      <c r="R1788" s="42"/>
      <c r="S1788" s="42"/>
      <c r="T1788" s="42"/>
      <c r="U1788" s="42"/>
      <c r="V1788" s="42"/>
      <c r="W1788" s="42"/>
      <c r="X1788" s="42"/>
      <c r="Y1788" s="42"/>
      <c r="Z1788" s="42"/>
    </row>
    <row r="1789">
      <c r="A1789" s="42"/>
      <c r="B1789" s="42"/>
      <c r="C1789" s="42"/>
      <c r="D1789" s="42"/>
      <c r="E1789" s="42"/>
      <c r="F1789" s="42"/>
      <c r="G1789" s="42"/>
      <c r="H1789" s="42"/>
      <c r="I1789" s="43"/>
      <c r="J1789" s="42"/>
      <c r="K1789" s="42"/>
      <c r="L1789" s="42"/>
      <c r="M1789" s="42"/>
      <c r="N1789" s="42"/>
      <c r="O1789" s="42"/>
      <c r="P1789" s="42"/>
      <c r="Q1789" s="42"/>
      <c r="R1789" s="42"/>
      <c r="S1789" s="42"/>
      <c r="T1789" s="42"/>
      <c r="U1789" s="42"/>
      <c r="V1789" s="42"/>
      <c r="W1789" s="42"/>
      <c r="X1789" s="42"/>
      <c r="Y1789" s="42"/>
      <c r="Z1789" s="42"/>
    </row>
    <row r="1790">
      <c r="A1790" s="42"/>
      <c r="B1790" s="42"/>
      <c r="C1790" s="42"/>
      <c r="D1790" s="42"/>
      <c r="E1790" s="42"/>
      <c r="F1790" s="42"/>
      <c r="G1790" s="42"/>
      <c r="H1790" s="42"/>
      <c r="I1790" s="43"/>
      <c r="J1790" s="42"/>
      <c r="K1790" s="42"/>
      <c r="L1790" s="42"/>
      <c r="M1790" s="42"/>
      <c r="N1790" s="42"/>
      <c r="O1790" s="42"/>
      <c r="P1790" s="42"/>
      <c r="Q1790" s="42"/>
      <c r="R1790" s="42"/>
      <c r="S1790" s="42"/>
      <c r="T1790" s="42"/>
      <c r="U1790" s="42"/>
      <c r="V1790" s="42"/>
      <c r="W1790" s="42"/>
      <c r="X1790" s="42"/>
      <c r="Y1790" s="42"/>
      <c r="Z1790" s="42"/>
    </row>
    <row r="1791">
      <c r="A1791" s="42"/>
      <c r="B1791" s="42"/>
      <c r="C1791" s="42"/>
      <c r="D1791" s="42"/>
      <c r="E1791" s="42"/>
      <c r="F1791" s="42"/>
      <c r="G1791" s="42"/>
      <c r="H1791" s="42"/>
      <c r="I1791" s="43"/>
      <c r="J1791" s="42"/>
      <c r="K1791" s="42"/>
      <c r="L1791" s="42"/>
      <c r="M1791" s="42"/>
      <c r="N1791" s="42"/>
      <c r="O1791" s="42"/>
      <c r="P1791" s="42"/>
      <c r="Q1791" s="42"/>
      <c r="R1791" s="42"/>
      <c r="S1791" s="42"/>
      <c r="T1791" s="42"/>
      <c r="U1791" s="42"/>
      <c r="V1791" s="42"/>
      <c r="W1791" s="42"/>
      <c r="X1791" s="42"/>
      <c r="Y1791" s="42"/>
      <c r="Z1791" s="42"/>
    </row>
    <row r="1792">
      <c r="A1792" s="42"/>
      <c r="B1792" s="42"/>
      <c r="C1792" s="42"/>
      <c r="D1792" s="42"/>
      <c r="E1792" s="42"/>
      <c r="F1792" s="42"/>
      <c r="G1792" s="42"/>
      <c r="H1792" s="42"/>
      <c r="I1792" s="43"/>
      <c r="J1792" s="42"/>
      <c r="K1792" s="42"/>
      <c r="L1792" s="42"/>
      <c r="M1792" s="42"/>
      <c r="N1792" s="42"/>
      <c r="O1792" s="42"/>
      <c r="P1792" s="42"/>
      <c r="Q1792" s="42"/>
      <c r="R1792" s="42"/>
      <c r="S1792" s="42"/>
      <c r="T1792" s="42"/>
      <c r="U1792" s="42"/>
      <c r="V1792" s="42"/>
      <c r="W1792" s="42"/>
      <c r="X1792" s="42"/>
      <c r="Y1792" s="42"/>
      <c r="Z1792" s="42"/>
    </row>
    <row r="1793">
      <c r="A1793" s="42"/>
      <c r="B1793" s="42"/>
      <c r="C1793" s="42"/>
      <c r="D1793" s="42"/>
      <c r="E1793" s="42"/>
      <c r="F1793" s="42"/>
      <c r="G1793" s="42"/>
      <c r="H1793" s="42"/>
      <c r="I1793" s="43"/>
      <c r="J1793" s="42"/>
      <c r="K1793" s="42"/>
      <c r="L1793" s="42"/>
      <c r="M1793" s="42"/>
      <c r="N1793" s="42"/>
      <c r="O1793" s="42"/>
      <c r="P1793" s="42"/>
      <c r="Q1793" s="42"/>
      <c r="R1793" s="42"/>
      <c r="S1793" s="42"/>
      <c r="T1793" s="42"/>
      <c r="U1793" s="42"/>
      <c r="V1793" s="42"/>
      <c r="W1793" s="42"/>
      <c r="X1793" s="42"/>
      <c r="Y1793" s="42"/>
      <c r="Z1793" s="42"/>
    </row>
    <row r="1794">
      <c r="A1794" s="42"/>
      <c r="B1794" s="42"/>
      <c r="C1794" s="42"/>
      <c r="D1794" s="42"/>
      <c r="E1794" s="42"/>
      <c r="F1794" s="42"/>
      <c r="G1794" s="42"/>
      <c r="H1794" s="42"/>
      <c r="I1794" s="43"/>
      <c r="J1794" s="42"/>
      <c r="K1794" s="42"/>
      <c r="L1794" s="42"/>
      <c r="M1794" s="42"/>
      <c r="N1794" s="42"/>
      <c r="O1794" s="42"/>
      <c r="P1794" s="42"/>
      <c r="Q1794" s="42"/>
      <c r="R1794" s="42"/>
      <c r="S1794" s="42"/>
      <c r="T1794" s="42"/>
      <c r="U1794" s="42"/>
      <c r="V1794" s="42"/>
      <c r="W1794" s="42"/>
      <c r="X1794" s="42"/>
      <c r="Y1794" s="42"/>
      <c r="Z1794" s="42"/>
    </row>
    <row r="1795">
      <c r="A1795" s="42"/>
      <c r="B1795" s="42"/>
      <c r="C1795" s="42"/>
      <c r="D1795" s="42"/>
      <c r="E1795" s="42"/>
      <c r="F1795" s="42"/>
      <c r="G1795" s="42"/>
      <c r="H1795" s="42"/>
      <c r="I1795" s="43"/>
      <c r="J1795" s="42"/>
      <c r="K1795" s="42"/>
      <c r="L1795" s="42"/>
      <c r="M1795" s="42"/>
      <c r="N1795" s="42"/>
      <c r="O1795" s="42"/>
      <c r="P1795" s="42"/>
      <c r="Q1795" s="42"/>
      <c r="R1795" s="42"/>
      <c r="S1795" s="42"/>
      <c r="T1795" s="42"/>
      <c r="U1795" s="42"/>
      <c r="V1795" s="42"/>
      <c r="W1795" s="42"/>
      <c r="X1795" s="42"/>
      <c r="Y1795" s="42"/>
      <c r="Z1795" s="42"/>
    </row>
    <row r="1796">
      <c r="A1796" s="42"/>
      <c r="B1796" s="42"/>
      <c r="C1796" s="42"/>
      <c r="D1796" s="42"/>
      <c r="E1796" s="42"/>
      <c r="F1796" s="42"/>
      <c r="G1796" s="42"/>
      <c r="H1796" s="42"/>
      <c r="I1796" s="43"/>
      <c r="J1796" s="42"/>
      <c r="K1796" s="42"/>
      <c r="L1796" s="42"/>
      <c r="M1796" s="42"/>
      <c r="N1796" s="42"/>
      <c r="O1796" s="42"/>
      <c r="P1796" s="42"/>
      <c r="Q1796" s="42"/>
      <c r="R1796" s="42"/>
      <c r="S1796" s="42"/>
      <c r="T1796" s="42"/>
      <c r="U1796" s="42"/>
      <c r="V1796" s="42"/>
      <c r="W1796" s="42"/>
      <c r="X1796" s="42"/>
      <c r="Y1796" s="42"/>
      <c r="Z1796" s="42"/>
    </row>
    <row r="1797">
      <c r="A1797" s="42"/>
      <c r="B1797" s="42"/>
      <c r="C1797" s="42"/>
      <c r="D1797" s="42"/>
      <c r="E1797" s="42"/>
      <c r="F1797" s="42"/>
      <c r="G1797" s="42"/>
      <c r="H1797" s="42"/>
      <c r="I1797" s="43"/>
      <c r="J1797" s="42"/>
      <c r="K1797" s="42"/>
      <c r="L1797" s="42"/>
      <c r="M1797" s="42"/>
      <c r="N1797" s="42"/>
      <c r="O1797" s="42"/>
      <c r="P1797" s="42"/>
      <c r="Q1797" s="42"/>
      <c r="R1797" s="42"/>
      <c r="S1797" s="42"/>
      <c r="T1797" s="42"/>
      <c r="U1797" s="42"/>
      <c r="V1797" s="42"/>
      <c r="W1797" s="42"/>
      <c r="X1797" s="42"/>
      <c r="Y1797" s="42"/>
      <c r="Z1797" s="42"/>
    </row>
    <row r="1798">
      <c r="A1798" s="42"/>
      <c r="B1798" s="42"/>
      <c r="C1798" s="42"/>
      <c r="D1798" s="42"/>
      <c r="E1798" s="42"/>
      <c r="F1798" s="42"/>
      <c r="G1798" s="42"/>
      <c r="H1798" s="42"/>
      <c r="I1798" s="43"/>
      <c r="J1798" s="42"/>
      <c r="K1798" s="42"/>
      <c r="L1798" s="42"/>
      <c r="M1798" s="42"/>
      <c r="N1798" s="42"/>
      <c r="O1798" s="42"/>
      <c r="P1798" s="42"/>
      <c r="Q1798" s="42"/>
      <c r="R1798" s="42"/>
      <c r="S1798" s="42"/>
      <c r="T1798" s="42"/>
      <c r="U1798" s="42"/>
      <c r="V1798" s="42"/>
      <c r="W1798" s="42"/>
      <c r="X1798" s="42"/>
      <c r="Y1798" s="42"/>
      <c r="Z1798" s="42"/>
    </row>
    <row r="1799">
      <c r="A1799" s="42"/>
      <c r="B1799" s="42"/>
      <c r="C1799" s="42"/>
      <c r="D1799" s="42"/>
      <c r="E1799" s="42"/>
      <c r="F1799" s="42"/>
      <c r="G1799" s="42"/>
      <c r="H1799" s="42"/>
      <c r="I1799" s="43"/>
      <c r="J1799" s="42"/>
      <c r="K1799" s="42"/>
      <c r="L1799" s="42"/>
      <c r="M1799" s="42"/>
      <c r="N1799" s="42"/>
      <c r="O1799" s="42"/>
      <c r="P1799" s="42"/>
      <c r="Q1799" s="42"/>
      <c r="R1799" s="42"/>
      <c r="S1799" s="42"/>
      <c r="T1799" s="42"/>
      <c r="U1799" s="42"/>
      <c r="V1799" s="42"/>
      <c r="W1799" s="42"/>
      <c r="X1799" s="42"/>
      <c r="Y1799" s="42"/>
      <c r="Z1799" s="42"/>
    </row>
    <row r="1800">
      <c r="A1800" s="42"/>
      <c r="B1800" s="42"/>
      <c r="C1800" s="42"/>
      <c r="D1800" s="42"/>
      <c r="E1800" s="42"/>
      <c r="F1800" s="42"/>
      <c r="G1800" s="42"/>
      <c r="H1800" s="42"/>
      <c r="I1800" s="43"/>
      <c r="J1800" s="42"/>
      <c r="K1800" s="42"/>
      <c r="L1800" s="42"/>
      <c r="M1800" s="42"/>
      <c r="N1800" s="42"/>
      <c r="O1800" s="42"/>
      <c r="P1800" s="42"/>
      <c r="Q1800" s="42"/>
      <c r="R1800" s="42"/>
      <c r="S1800" s="42"/>
      <c r="T1800" s="42"/>
      <c r="U1800" s="42"/>
      <c r="V1800" s="42"/>
      <c r="W1800" s="42"/>
      <c r="X1800" s="42"/>
      <c r="Y1800" s="42"/>
      <c r="Z1800" s="42"/>
    </row>
    <row r="1801">
      <c r="A1801" s="42"/>
      <c r="B1801" s="42"/>
      <c r="C1801" s="42"/>
      <c r="D1801" s="42"/>
      <c r="E1801" s="42"/>
      <c r="F1801" s="42"/>
      <c r="G1801" s="42"/>
      <c r="H1801" s="42"/>
      <c r="I1801" s="43"/>
      <c r="J1801" s="42"/>
      <c r="K1801" s="42"/>
      <c r="L1801" s="42"/>
      <c r="M1801" s="42"/>
      <c r="N1801" s="42"/>
      <c r="O1801" s="42"/>
      <c r="P1801" s="42"/>
      <c r="Q1801" s="42"/>
      <c r="R1801" s="42"/>
      <c r="S1801" s="42"/>
      <c r="T1801" s="42"/>
      <c r="U1801" s="42"/>
      <c r="V1801" s="42"/>
      <c r="W1801" s="42"/>
      <c r="X1801" s="42"/>
      <c r="Y1801" s="42"/>
      <c r="Z1801" s="42"/>
    </row>
    <row r="1802">
      <c r="A1802" s="42"/>
      <c r="B1802" s="42"/>
      <c r="C1802" s="42"/>
      <c r="D1802" s="42"/>
      <c r="E1802" s="42"/>
      <c r="F1802" s="42"/>
      <c r="G1802" s="42"/>
      <c r="H1802" s="42"/>
      <c r="I1802" s="43"/>
      <c r="J1802" s="42"/>
      <c r="K1802" s="42"/>
      <c r="L1802" s="42"/>
      <c r="M1802" s="42"/>
      <c r="N1802" s="42"/>
      <c r="O1802" s="42"/>
      <c r="P1802" s="42"/>
      <c r="Q1802" s="42"/>
      <c r="R1802" s="42"/>
      <c r="S1802" s="42"/>
      <c r="T1802" s="42"/>
      <c r="U1802" s="42"/>
      <c r="V1802" s="42"/>
      <c r="W1802" s="42"/>
      <c r="X1802" s="42"/>
      <c r="Y1802" s="42"/>
      <c r="Z1802" s="42"/>
    </row>
    <row r="1803">
      <c r="A1803" s="42"/>
      <c r="B1803" s="42"/>
      <c r="C1803" s="42"/>
      <c r="D1803" s="42"/>
      <c r="E1803" s="42"/>
      <c r="F1803" s="42"/>
      <c r="G1803" s="42"/>
      <c r="H1803" s="42"/>
      <c r="I1803" s="43"/>
      <c r="J1803" s="42"/>
      <c r="K1803" s="42"/>
      <c r="L1803" s="42"/>
      <c r="M1803" s="42"/>
      <c r="N1803" s="42"/>
      <c r="O1803" s="42"/>
      <c r="P1803" s="42"/>
      <c r="Q1803" s="42"/>
      <c r="R1803" s="42"/>
      <c r="S1803" s="42"/>
      <c r="T1803" s="42"/>
      <c r="U1803" s="42"/>
      <c r="V1803" s="42"/>
      <c r="W1803" s="42"/>
      <c r="X1803" s="42"/>
      <c r="Y1803" s="42"/>
      <c r="Z1803" s="42"/>
    </row>
    <row r="1804">
      <c r="A1804" s="42"/>
      <c r="B1804" s="42"/>
      <c r="C1804" s="42"/>
      <c r="D1804" s="42"/>
      <c r="E1804" s="42"/>
      <c r="F1804" s="42"/>
      <c r="G1804" s="42"/>
      <c r="H1804" s="42"/>
      <c r="I1804" s="43"/>
      <c r="J1804" s="42"/>
      <c r="K1804" s="42"/>
      <c r="L1804" s="42"/>
      <c r="M1804" s="42"/>
      <c r="N1804" s="42"/>
      <c r="O1804" s="42"/>
      <c r="P1804" s="42"/>
      <c r="Q1804" s="42"/>
      <c r="R1804" s="42"/>
      <c r="S1804" s="42"/>
      <c r="T1804" s="42"/>
      <c r="U1804" s="42"/>
      <c r="V1804" s="42"/>
      <c r="W1804" s="42"/>
      <c r="X1804" s="42"/>
      <c r="Y1804" s="42"/>
      <c r="Z1804" s="42"/>
    </row>
    <row r="1805">
      <c r="A1805" s="42"/>
      <c r="B1805" s="42"/>
      <c r="C1805" s="42"/>
      <c r="D1805" s="42"/>
      <c r="E1805" s="42"/>
      <c r="F1805" s="42"/>
      <c r="G1805" s="42"/>
      <c r="H1805" s="42"/>
      <c r="I1805" s="43"/>
      <c r="J1805" s="42"/>
      <c r="K1805" s="42"/>
      <c r="L1805" s="42"/>
      <c r="M1805" s="42"/>
      <c r="N1805" s="42"/>
      <c r="O1805" s="42"/>
      <c r="P1805" s="42"/>
      <c r="Q1805" s="42"/>
      <c r="R1805" s="42"/>
      <c r="S1805" s="42"/>
      <c r="T1805" s="42"/>
      <c r="U1805" s="42"/>
      <c r="V1805" s="42"/>
      <c r="W1805" s="42"/>
      <c r="X1805" s="42"/>
      <c r="Y1805" s="42"/>
      <c r="Z1805" s="42"/>
    </row>
    <row r="1806">
      <c r="A1806" s="42"/>
      <c r="B1806" s="42"/>
      <c r="C1806" s="42"/>
      <c r="D1806" s="42"/>
      <c r="E1806" s="42"/>
      <c r="F1806" s="42"/>
      <c r="G1806" s="42"/>
      <c r="H1806" s="42"/>
      <c r="I1806" s="43"/>
      <c r="J1806" s="42"/>
      <c r="K1806" s="42"/>
      <c r="L1806" s="42"/>
      <c r="M1806" s="42"/>
      <c r="N1806" s="42"/>
      <c r="O1806" s="42"/>
      <c r="P1806" s="42"/>
      <c r="Q1806" s="42"/>
      <c r="R1806" s="42"/>
      <c r="S1806" s="42"/>
      <c r="T1806" s="42"/>
      <c r="U1806" s="42"/>
      <c r="V1806" s="42"/>
      <c r="W1806" s="42"/>
      <c r="X1806" s="42"/>
      <c r="Y1806" s="42"/>
      <c r="Z1806" s="42"/>
    </row>
    <row r="1807">
      <c r="A1807" s="42"/>
      <c r="B1807" s="42"/>
      <c r="C1807" s="42"/>
      <c r="D1807" s="42"/>
      <c r="E1807" s="42"/>
      <c r="F1807" s="42"/>
      <c r="G1807" s="42"/>
      <c r="H1807" s="42"/>
      <c r="I1807" s="43"/>
      <c r="J1807" s="42"/>
      <c r="K1807" s="42"/>
      <c r="L1807" s="42"/>
      <c r="M1807" s="42"/>
      <c r="N1807" s="42"/>
      <c r="O1807" s="42"/>
      <c r="P1807" s="42"/>
      <c r="Q1807" s="42"/>
      <c r="R1807" s="42"/>
      <c r="S1807" s="42"/>
      <c r="T1807" s="42"/>
      <c r="U1807" s="42"/>
      <c r="V1807" s="42"/>
      <c r="W1807" s="42"/>
      <c r="X1807" s="42"/>
      <c r="Y1807" s="42"/>
      <c r="Z1807" s="42"/>
    </row>
    <row r="1808">
      <c r="A1808" s="42"/>
      <c r="B1808" s="42"/>
      <c r="C1808" s="42"/>
      <c r="D1808" s="42"/>
      <c r="E1808" s="42"/>
      <c r="F1808" s="42"/>
      <c r="G1808" s="42"/>
      <c r="H1808" s="42"/>
      <c r="I1808" s="43"/>
      <c r="J1808" s="42"/>
      <c r="K1808" s="42"/>
      <c r="L1808" s="42"/>
      <c r="M1808" s="42"/>
      <c r="N1808" s="42"/>
      <c r="O1808" s="42"/>
      <c r="P1808" s="42"/>
      <c r="Q1808" s="42"/>
      <c r="R1808" s="42"/>
      <c r="S1808" s="42"/>
      <c r="T1808" s="42"/>
      <c r="U1808" s="42"/>
      <c r="V1808" s="42"/>
      <c r="W1808" s="42"/>
      <c r="X1808" s="42"/>
      <c r="Y1808" s="42"/>
      <c r="Z1808" s="42"/>
    </row>
    <row r="1809">
      <c r="A1809" s="42"/>
      <c r="B1809" s="42"/>
      <c r="C1809" s="42"/>
      <c r="D1809" s="42"/>
      <c r="E1809" s="42"/>
      <c r="F1809" s="42"/>
      <c r="G1809" s="42"/>
      <c r="H1809" s="42"/>
      <c r="I1809" s="43"/>
      <c r="J1809" s="42"/>
      <c r="K1809" s="42"/>
      <c r="L1809" s="42"/>
      <c r="M1809" s="42"/>
      <c r="N1809" s="42"/>
      <c r="O1809" s="42"/>
      <c r="P1809" s="42"/>
      <c r="Q1809" s="42"/>
      <c r="R1809" s="42"/>
      <c r="S1809" s="42"/>
      <c r="T1809" s="42"/>
      <c r="U1809" s="42"/>
      <c r="V1809" s="42"/>
      <c r="W1809" s="42"/>
      <c r="X1809" s="42"/>
      <c r="Y1809" s="42"/>
      <c r="Z1809" s="42"/>
    </row>
    <row r="1810">
      <c r="A1810" s="42"/>
      <c r="B1810" s="42"/>
      <c r="C1810" s="42"/>
      <c r="D1810" s="42"/>
      <c r="E1810" s="42"/>
      <c r="F1810" s="42"/>
      <c r="G1810" s="42"/>
      <c r="H1810" s="42"/>
      <c r="I1810" s="43"/>
      <c r="J1810" s="42"/>
      <c r="K1810" s="42"/>
      <c r="L1810" s="42"/>
      <c r="M1810" s="42"/>
      <c r="N1810" s="42"/>
      <c r="O1810" s="42"/>
      <c r="P1810" s="42"/>
      <c r="Q1810" s="42"/>
      <c r="R1810" s="42"/>
      <c r="S1810" s="42"/>
      <c r="T1810" s="42"/>
      <c r="U1810" s="42"/>
      <c r="V1810" s="42"/>
      <c r="W1810" s="42"/>
      <c r="X1810" s="42"/>
      <c r="Y1810" s="42"/>
      <c r="Z1810" s="42"/>
    </row>
    <row r="1811">
      <c r="A1811" s="42"/>
      <c r="B1811" s="42"/>
      <c r="C1811" s="42"/>
      <c r="D1811" s="42"/>
      <c r="E1811" s="42"/>
      <c r="F1811" s="42"/>
      <c r="G1811" s="42"/>
      <c r="H1811" s="42"/>
      <c r="I1811" s="43"/>
      <c r="J1811" s="42"/>
      <c r="K1811" s="42"/>
      <c r="L1811" s="42"/>
      <c r="M1811" s="42"/>
      <c r="N1811" s="42"/>
      <c r="O1811" s="42"/>
      <c r="P1811" s="42"/>
      <c r="Q1811" s="42"/>
      <c r="R1811" s="42"/>
      <c r="S1811" s="42"/>
      <c r="T1811" s="42"/>
      <c r="U1811" s="42"/>
      <c r="V1811" s="42"/>
      <c r="W1811" s="42"/>
      <c r="X1811" s="42"/>
      <c r="Y1811" s="42"/>
      <c r="Z1811" s="42"/>
    </row>
    <row r="1812">
      <c r="A1812" s="42"/>
      <c r="B1812" s="42"/>
      <c r="C1812" s="42"/>
      <c r="D1812" s="42"/>
      <c r="E1812" s="42"/>
      <c r="F1812" s="42"/>
      <c r="G1812" s="42"/>
      <c r="H1812" s="42"/>
      <c r="I1812" s="43"/>
      <c r="J1812" s="42"/>
      <c r="K1812" s="42"/>
      <c r="L1812" s="42"/>
      <c r="M1812" s="42"/>
      <c r="N1812" s="42"/>
      <c r="O1812" s="42"/>
      <c r="P1812" s="42"/>
      <c r="Q1812" s="42"/>
      <c r="R1812" s="42"/>
      <c r="S1812" s="42"/>
      <c r="T1812" s="42"/>
      <c r="U1812" s="42"/>
      <c r="V1812" s="42"/>
      <c r="W1812" s="42"/>
      <c r="X1812" s="42"/>
      <c r="Y1812" s="42"/>
      <c r="Z1812" s="42"/>
    </row>
    <row r="1813">
      <c r="A1813" s="42"/>
      <c r="B1813" s="42"/>
      <c r="C1813" s="42"/>
      <c r="D1813" s="42"/>
      <c r="E1813" s="42"/>
      <c r="F1813" s="42"/>
      <c r="G1813" s="42"/>
      <c r="H1813" s="42"/>
      <c r="I1813" s="43"/>
      <c r="J1813" s="42"/>
      <c r="K1813" s="42"/>
      <c r="L1813" s="42"/>
      <c r="M1813" s="42"/>
      <c r="N1813" s="42"/>
      <c r="O1813" s="42"/>
      <c r="P1813" s="42"/>
      <c r="Q1813" s="42"/>
      <c r="R1813" s="42"/>
      <c r="S1813" s="42"/>
      <c r="T1813" s="42"/>
      <c r="U1813" s="42"/>
      <c r="V1813" s="42"/>
      <c r="W1813" s="42"/>
      <c r="X1813" s="42"/>
      <c r="Y1813" s="42"/>
      <c r="Z1813" s="42"/>
    </row>
    <row r="1814">
      <c r="A1814" s="42"/>
      <c r="B1814" s="42"/>
      <c r="C1814" s="42"/>
      <c r="D1814" s="42"/>
      <c r="E1814" s="42"/>
      <c r="F1814" s="42"/>
      <c r="G1814" s="42"/>
      <c r="H1814" s="42"/>
      <c r="I1814" s="43"/>
      <c r="J1814" s="42"/>
      <c r="K1814" s="42"/>
      <c r="L1814" s="42"/>
      <c r="M1814" s="42"/>
      <c r="N1814" s="42"/>
      <c r="O1814" s="42"/>
      <c r="P1814" s="42"/>
      <c r="Q1814" s="42"/>
      <c r="R1814" s="42"/>
      <c r="S1814" s="42"/>
      <c r="T1814" s="42"/>
      <c r="U1814" s="42"/>
      <c r="V1814" s="42"/>
      <c r="W1814" s="42"/>
      <c r="X1814" s="42"/>
      <c r="Y1814" s="42"/>
      <c r="Z1814" s="42"/>
    </row>
    <row r="1815">
      <c r="A1815" s="42"/>
      <c r="B1815" s="42"/>
      <c r="C1815" s="42"/>
      <c r="D1815" s="42"/>
      <c r="E1815" s="42"/>
      <c r="F1815" s="42"/>
      <c r="G1815" s="42"/>
      <c r="H1815" s="42"/>
      <c r="I1815" s="43"/>
      <c r="J1815" s="42"/>
      <c r="K1815" s="42"/>
      <c r="L1815" s="42"/>
      <c r="M1815" s="42"/>
      <c r="N1815" s="42"/>
      <c r="O1815" s="42"/>
      <c r="P1815" s="42"/>
      <c r="Q1815" s="42"/>
      <c r="R1815" s="42"/>
      <c r="S1815" s="42"/>
      <c r="T1815" s="42"/>
      <c r="U1815" s="42"/>
      <c r="V1815" s="42"/>
      <c r="W1815" s="42"/>
      <c r="X1815" s="42"/>
      <c r="Y1815" s="42"/>
      <c r="Z1815" s="42"/>
    </row>
    <row r="1816">
      <c r="A1816" s="42"/>
      <c r="B1816" s="42"/>
      <c r="C1816" s="42"/>
      <c r="D1816" s="42"/>
      <c r="E1816" s="42"/>
      <c r="F1816" s="42"/>
      <c r="G1816" s="42"/>
      <c r="H1816" s="42"/>
      <c r="I1816" s="43"/>
      <c r="J1816" s="42"/>
      <c r="K1816" s="42"/>
      <c r="L1816" s="42"/>
      <c r="M1816" s="42"/>
      <c r="N1816" s="42"/>
      <c r="O1816" s="42"/>
      <c r="P1816" s="42"/>
      <c r="Q1816" s="42"/>
      <c r="R1816" s="42"/>
      <c r="S1816" s="42"/>
      <c r="T1816" s="42"/>
      <c r="U1816" s="42"/>
      <c r="V1816" s="42"/>
      <c r="W1816" s="42"/>
      <c r="X1816" s="42"/>
      <c r="Y1816" s="42"/>
      <c r="Z1816" s="42"/>
    </row>
    <row r="1817">
      <c r="A1817" s="42"/>
      <c r="B1817" s="42"/>
      <c r="C1817" s="42"/>
      <c r="D1817" s="42"/>
      <c r="E1817" s="42"/>
      <c r="F1817" s="42"/>
      <c r="G1817" s="42"/>
      <c r="H1817" s="42"/>
      <c r="I1817" s="43"/>
      <c r="J1817" s="42"/>
      <c r="K1817" s="42"/>
      <c r="L1817" s="42"/>
      <c r="M1817" s="42"/>
      <c r="N1817" s="42"/>
      <c r="O1817" s="42"/>
      <c r="P1817" s="42"/>
      <c r="Q1817" s="42"/>
      <c r="R1817" s="42"/>
      <c r="S1817" s="42"/>
      <c r="T1817" s="42"/>
      <c r="U1817" s="42"/>
      <c r="V1817" s="42"/>
      <c r="W1817" s="42"/>
      <c r="X1817" s="42"/>
      <c r="Y1817" s="42"/>
      <c r="Z1817" s="42"/>
    </row>
    <row r="1818">
      <c r="A1818" s="42"/>
      <c r="B1818" s="42"/>
      <c r="C1818" s="42"/>
      <c r="D1818" s="42"/>
      <c r="E1818" s="42"/>
      <c r="F1818" s="42"/>
      <c r="G1818" s="42"/>
      <c r="H1818" s="42"/>
      <c r="I1818" s="43"/>
      <c r="J1818" s="42"/>
      <c r="K1818" s="42"/>
      <c r="L1818" s="42"/>
      <c r="M1818" s="42"/>
      <c r="N1818" s="42"/>
      <c r="O1818" s="42"/>
      <c r="P1818" s="42"/>
      <c r="Q1818" s="42"/>
      <c r="R1818" s="42"/>
      <c r="S1818" s="42"/>
      <c r="T1818" s="42"/>
      <c r="U1818" s="42"/>
      <c r="V1818" s="42"/>
      <c r="W1818" s="42"/>
      <c r="X1818" s="42"/>
      <c r="Y1818" s="42"/>
      <c r="Z1818" s="42"/>
    </row>
    <row r="1819">
      <c r="A1819" s="42"/>
      <c r="B1819" s="42"/>
      <c r="C1819" s="42"/>
      <c r="D1819" s="42"/>
      <c r="E1819" s="42"/>
      <c r="F1819" s="42"/>
      <c r="G1819" s="42"/>
      <c r="H1819" s="42"/>
      <c r="I1819" s="43"/>
      <c r="J1819" s="42"/>
      <c r="K1819" s="42"/>
      <c r="L1819" s="42"/>
      <c r="M1819" s="42"/>
      <c r="N1819" s="42"/>
      <c r="O1819" s="42"/>
      <c r="P1819" s="42"/>
      <c r="Q1819" s="42"/>
      <c r="R1819" s="42"/>
      <c r="S1819" s="42"/>
      <c r="T1819" s="42"/>
      <c r="U1819" s="42"/>
      <c r="V1819" s="42"/>
      <c r="W1819" s="42"/>
      <c r="X1819" s="42"/>
      <c r="Y1819" s="42"/>
      <c r="Z1819" s="42"/>
    </row>
    <row r="1820">
      <c r="A1820" s="42"/>
      <c r="B1820" s="42"/>
      <c r="C1820" s="42"/>
      <c r="D1820" s="42"/>
      <c r="E1820" s="42"/>
      <c r="F1820" s="42"/>
      <c r="G1820" s="42"/>
      <c r="H1820" s="42"/>
      <c r="I1820" s="43"/>
      <c r="J1820" s="42"/>
      <c r="K1820" s="42"/>
      <c r="L1820" s="42"/>
      <c r="M1820" s="42"/>
      <c r="N1820" s="42"/>
      <c r="O1820" s="42"/>
      <c r="P1820" s="42"/>
      <c r="Q1820" s="42"/>
      <c r="R1820" s="42"/>
      <c r="S1820" s="42"/>
      <c r="T1820" s="42"/>
      <c r="U1820" s="42"/>
      <c r="V1820" s="42"/>
      <c r="W1820" s="42"/>
      <c r="X1820" s="42"/>
      <c r="Y1820" s="42"/>
      <c r="Z1820" s="42"/>
    </row>
    <row r="1821">
      <c r="A1821" s="42"/>
      <c r="B1821" s="42"/>
      <c r="C1821" s="42"/>
      <c r="D1821" s="42"/>
      <c r="E1821" s="42"/>
      <c r="F1821" s="42"/>
      <c r="G1821" s="42"/>
      <c r="H1821" s="42"/>
      <c r="I1821" s="43"/>
      <c r="J1821" s="42"/>
      <c r="K1821" s="42"/>
      <c r="L1821" s="42"/>
      <c r="M1821" s="42"/>
      <c r="N1821" s="42"/>
      <c r="O1821" s="42"/>
      <c r="P1821" s="42"/>
      <c r="Q1821" s="42"/>
      <c r="R1821" s="42"/>
      <c r="S1821" s="42"/>
      <c r="T1821" s="42"/>
      <c r="U1821" s="42"/>
      <c r="V1821" s="42"/>
      <c r="W1821" s="42"/>
      <c r="X1821" s="42"/>
      <c r="Y1821" s="42"/>
      <c r="Z1821" s="42"/>
    </row>
    <row r="1822">
      <c r="A1822" s="42"/>
      <c r="B1822" s="42"/>
      <c r="C1822" s="42"/>
      <c r="D1822" s="42"/>
      <c r="E1822" s="42"/>
      <c r="F1822" s="42"/>
      <c r="G1822" s="42"/>
      <c r="H1822" s="42"/>
      <c r="I1822" s="43"/>
      <c r="J1822" s="42"/>
      <c r="K1822" s="42"/>
      <c r="L1822" s="42"/>
      <c r="M1822" s="42"/>
      <c r="N1822" s="42"/>
      <c r="O1822" s="42"/>
      <c r="P1822" s="42"/>
      <c r="Q1822" s="42"/>
      <c r="R1822" s="42"/>
      <c r="S1822" s="42"/>
      <c r="T1822" s="42"/>
      <c r="U1822" s="42"/>
      <c r="V1822" s="42"/>
      <c r="W1822" s="42"/>
      <c r="X1822" s="42"/>
      <c r="Y1822" s="42"/>
      <c r="Z1822" s="42"/>
    </row>
    <row r="1823">
      <c r="A1823" s="42"/>
      <c r="B1823" s="42"/>
      <c r="C1823" s="42"/>
      <c r="D1823" s="42"/>
      <c r="E1823" s="42"/>
      <c r="F1823" s="42"/>
      <c r="G1823" s="42"/>
      <c r="H1823" s="42"/>
      <c r="I1823" s="43"/>
      <c r="J1823" s="42"/>
      <c r="K1823" s="42"/>
      <c r="L1823" s="42"/>
      <c r="M1823" s="42"/>
      <c r="N1823" s="42"/>
      <c r="O1823" s="42"/>
      <c r="P1823" s="42"/>
      <c r="Q1823" s="42"/>
      <c r="R1823" s="42"/>
      <c r="S1823" s="42"/>
      <c r="T1823" s="42"/>
      <c r="U1823" s="42"/>
      <c r="V1823" s="42"/>
      <c r="W1823" s="42"/>
      <c r="X1823" s="42"/>
      <c r="Y1823" s="42"/>
      <c r="Z1823" s="42"/>
    </row>
    <row r="1824">
      <c r="A1824" s="42"/>
      <c r="B1824" s="42"/>
      <c r="C1824" s="42"/>
      <c r="D1824" s="42"/>
      <c r="E1824" s="42"/>
      <c r="F1824" s="42"/>
      <c r="G1824" s="42"/>
      <c r="H1824" s="42"/>
      <c r="I1824" s="43"/>
      <c r="J1824" s="42"/>
      <c r="K1824" s="42"/>
      <c r="L1824" s="42"/>
      <c r="M1824" s="42"/>
      <c r="N1824" s="42"/>
      <c r="O1824" s="42"/>
      <c r="P1824" s="42"/>
      <c r="Q1824" s="42"/>
      <c r="R1824" s="42"/>
      <c r="S1824" s="42"/>
      <c r="T1824" s="42"/>
      <c r="U1824" s="42"/>
      <c r="V1824" s="42"/>
      <c r="W1824" s="42"/>
      <c r="X1824" s="42"/>
      <c r="Y1824" s="42"/>
      <c r="Z1824" s="42"/>
    </row>
    <row r="1825">
      <c r="A1825" s="42"/>
      <c r="B1825" s="42"/>
      <c r="C1825" s="42"/>
      <c r="D1825" s="42"/>
      <c r="E1825" s="42"/>
      <c r="F1825" s="42"/>
      <c r="G1825" s="42"/>
      <c r="H1825" s="42"/>
      <c r="I1825" s="43"/>
      <c r="J1825" s="42"/>
      <c r="K1825" s="42"/>
      <c r="L1825" s="42"/>
      <c r="M1825" s="42"/>
      <c r="N1825" s="42"/>
      <c r="O1825" s="42"/>
      <c r="P1825" s="42"/>
      <c r="Q1825" s="42"/>
      <c r="R1825" s="42"/>
      <c r="S1825" s="42"/>
      <c r="T1825" s="42"/>
      <c r="U1825" s="42"/>
      <c r="V1825" s="42"/>
      <c r="W1825" s="42"/>
      <c r="X1825" s="42"/>
      <c r="Y1825" s="42"/>
      <c r="Z1825" s="42"/>
    </row>
    <row r="1826">
      <c r="A1826" s="42"/>
      <c r="B1826" s="42"/>
      <c r="C1826" s="42"/>
      <c r="D1826" s="42"/>
      <c r="E1826" s="42"/>
      <c r="F1826" s="42"/>
      <c r="G1826" s="42"/>
      <c r="H1826" s="42"/>
      <c r="I1826" s="43"/>
      <c r="J1826" s="42"/>
      <c r="K1826" s="42"/>
      <c r="L1826" s="42"/>
      <c r="M1826" s="42"/>
      <c r="N1826" s="42"/>
      <c r="O1826" s="42"/>
      <c r="P1826" s="42"/>
      <c r="Q1826" s="42"/>
      <c r="R1826" s="42"/>
      <c r="S1826" s="42"/>
      <c r="T1826" s="42"/>
      <c r="U1826" s="42"/>
      <c r="V1826" s="42"/>
      <c r="W1826" s="42"/>
      <c r="X1826" s="42"/>
      <c r="Y1826" s="42"/>
      <c r="Z1826" s="42"/>
    </row>
    <row r="1827">
      <c r="A1827" s="42"/>
      <c r="B1827" s="42"/>
      <c r="C1827" s="42"/>
      <c r="D1827" s="42"/>
      <c r="E1827" s="42"/>
      <c r="F1827" s="42"/>
      <c r="G1827" s="42"/>
      <c r="H1827" s="42"/>
      <c r="I1827" s="43"/>
      <c r="J1827" s="42"/>
      <c r="K1827" s="42"/>
      <c r="L1827" s="42"/>
      <c r="M1827" s="42"/>
      <c r="N1827" s="42"/>
      <c r="O1827" s="42"/>
      <c r="P1827" s="42"/>
      <c r="Q1827" s="42"/>
      <c r="R1827" s="42"/>
      <c r="S1827" s="42"/>
      <c r="T1827" s="42"/>
      <c r="U1827" s="42"/>
      <c r="V1827" s="42"/>
      <c r="W1827" s="42"/>
      <c r="X1827" s="42"/>
      <c r="Y1827" s="42"/>
      <c r="Z1827" s="42"/>
    </row>
    <row r="1828">
      <c r="A1828" s="42"/>
      <c r="B1828" s="42"/>
      <c r="C1828" s="42"/>
      <c r="D1828" s="42"/>
      <c r="E1828" s="42"/>
      <c r="F1828" s="42"/>
      <c r="G1828" s="42"/>
      <c r="H1828" s="42"/>
      <c r="I1828" s="43"/>
      <c r="J1828" s="42"/>
      <c r="K1828" s="42"/>
      <c r="L1828" s="42"/>
      <c r="M1828" s="42"/>
      <c r="N1828" s="42"/>
      <c r="O1828" s="42"/>
      <c r="P1828" s="42"/>
      <c r="Q1828" s="42"/>
      <c r="R1828" s="42"/>
      <c r="S1828" s="42"/>
      <c r="T1828" s="42"/>
      <c r="U1828" s="42"/>
      <c r="V1828" s="42"/>
      <c r="W1828" s="42"/>
      <c r="X1828" s="42"/>
      <c r="Y1828" s="42"/>
      <c r="Z1828" s="42"/>
    </row>
    <row r="1829">
      <c r="A1829" s="42"/>
      <c r="B1829" s="42"/>
      <c r="C1829" s="42"/>
      <c r="D1829" s="42"/>
      <c r="E1829" s="42"/>
      <c r="F1829" s="42"/>
      <c r="G1829" s="42"/>
      <c r="H1829" s="42"/>
      <c r="I1829" s="43"/>
      <c r="J1829" s="42"/>
      <c r="K1829" s="42"/>
      <c r="L1829" s="42"/>
      <c r="M1829" s="42"/>
      <c r="N1829" s="42"/>
      <c r="O1829" s="42"/>
      <c r="P1829" s="42"/>
      <c r="Q1829" s="42"/>
      <c r="R1829" s="42"/>
      <c r="S1829" s="42"/>
      <c r="T1829" s="42"/>
      <c r="U1829" s="42"/>
      <c r="V1829" s="42"/>
      <c r="W1829" s="42"/>
      <c r="X1829" s="42"/>
      <c r="Y1829" s="42"/>
      <c r="Z1829" s="42"/>
    </row>
    <row r="1830">
      <c r="A1830" s="42"/>
      <c r="B1830" s="42"/>
      <c r="C1830" s="42"/>
      <c r="D1830" s="42"/>
      <c r="E1830" s="42"/>
      <c r="F1830" s="42"/>
      <c r="G1830" s="42"/>
      <c r="H1830" s="42"/>
      <c r="I1830" s="43"/>
      <c r="J1830" s="42"/>
      <c r="K1830" s="42"/>
      <c r="L1830" s="42"/>
      <c r="M1830" s="42"/>
      <c r="N1830" s="42"/>
      <c r="O1830" s="42"/>
      <c r="P1830" s="42"/>
      <c r="Q1830" s="42"/>
      <c r="R1830" s="42"/>
      <c r="S1830" s="42"/>
      <c r="T1830" s="42"/>
      <c r="U1830" s="42"/>
      <c r="V1830" s="42"/>
      <c r="W1830" s="42"/>
      <c r="X1830" s="42"/>
      <c r="Y1830" s="42"/>
      <c r="Z1830" s="42"/>
    </row>
    <row r="1831">
      <c r="A1831" s="42"/>
      <c r="B1831" s="42"/>
      <c r="C1831" s="42"/>
      <c r="D1831" s="42"/>
      <c r="E1831" s="42"/>
      <c r="F1831" s="42"/>
      <c r="G1831" s="42"/>
      <c r="H1831" s="42"/>
      <c r="I1831" s="43"/>
      <c r="J1831" s="42"/>
      <c r="K1831" s="42"/>
      <c r="L1831" s="42"/>
      <c r="M1831" s="42"/>
      <c r="N1831" s="42"/>
      <c r="O1831" s="42"/>
      <c r="P1831" s="42"/>
      <c r="Q1831" s="42"/>
      <c r="R1831" s="42"/>
      <c r="S1831" s="42"/>
      <c r="T1831" s="42"/>
      <c r="U1831" s="42"/>
      <c r="V1831" s="42"/>
      <c r="W1831" s="42"/>
      <c r="X1831" s="42"/>
      <c r="Y1831" s="42"/>
      <c r="Z1831" s="42"/>
    </row>
    <row r="1832">
      <c r="A1832" s="42"/>
      <c r="B1832" s="42"/>
      <c r="C1832" s="42"/>
      <c r="D1832" s="42"/>
      <c r="E1832" s="42"/>
      <c r="F1832" s="42"/>
      <c r="G1832" s="42"/>
      <c r="H1832" s="42"/>
      <c r="I1832" s="43"/>
      <c r="J1832" s="42"/>
      <c r="K1832" s="42"/>
      <c r="L1832" s="42"/>
      <c r="M1832" s="42"/>
      <c r="N1832" s="42"/>
      <c r="O1832" s="42"/>
      <c r="P1832" s="42"/>
      <c r="Q1832" s="42"/>
      <c r="R1832" s="42"/>
      <c r="S1832" s="42"/>
      <c r="T1832" s="42"/>
      <c r="U1832" s="42"/>
      <c r="V1832" s="42"/>
      <c r="W1832" s="42"/>
      <c r="X1832" s="42"/>
      <c r="Y1832" s="42"/>
      <c r="Z1832" s="42"/>
    </row>
    <row r="1833">
      <c r="A1833" s="42"/>
      <c r="B1833" s="42"/>
      <c r="C1833" s="42"/>
      <c r="D1833" s="42"/>
      <c r="E1833" s="42"/>
      <c r="F1833" s="42"/>
      <c r="G1833" s="42"/>
      <c r="H1833" s="42"/>
      <c r="I1833" s="43"/>
      <c r="J1833" s="42"/>
      <c r="K1833" s="42"/>
      <c r="L1833" s="42"/>
      <c r="M1833" s="42"/>
      <c r="N1833" s="42"/>
      <c r="O1833" s="42"/>
      <c r="P1833" s="42"/>
      <c r="Q1833" s="42"/>
      <c r="R1833" s="42"/>
      <c r="S1833" s="42"/>
      <c r="T1833" s="42"/>
      <c r="U1833" s="42"/>
      <c r="V1833" s="42"/>
      <c r="W1833" s="42"/>
      <c r="X1833" s="42"/>
      <c r="Y1833" s="42"/>
      <c r="Z1833" s="42"/>
    </row>
    <row r="1834">
      <c r="A1834" s="42"/>
      <c r="B1834" s="42"/>
      <c r="C1834" s="42"/>
      <c r="D1834" s="42"/>
      <c r="E1834" s="42"/>
      <c r="F1834" s="42"/>
      <c r="G1834" s="42"/>
      <c r="H1834" s="42"/>
      <c r="I1834" s="43"/>
      <c r="J1834" s="42"/>
      <c r="K1834" s="42"/>
      <c r="L1834" s="42"/>
      <c r="M1834" s="42"/>
      <c r="N1834" s="42"/>
      <c r="O1834" s="42"/>
      <c r="P1834" s="42"/>
      <c r="Q1834" s="42"/>
      <c r="R1834" s="42"/>
      <c r="S1834" s="42"/>
      <c r="T1834" s="42"/>
      <c r="U1834" s="42"/>
      <c r="V1834" s="42"/>
      <c r="W1834" s="42"/>
      <c r="X1834" s="42"/>
      <c r="Y1834" s="42"/>
      <c r="Z1834" s="42"/>
    </row>
    <row r="1835">
      <c r="A1835" s="42"/>
      <c r="B1835" s="42"/>
      <c r="C1835" s="42"/>
      <c r="D1835" s="42"/>
      <c r="E1835" s="42"/>
      <c r="F1835" s="42"/>
      <c r="G1835" s="42"/>
      <c r="H1835" s="42"/>
      <c r="I1835" s="43"/>
      <c r="J1835" s="42"/>
      <c r="K1835" s="42"/>
      <c r="L1835" s="42"/>
      <c r="M1835" s="42"/>
      <c r="N1835" s="42"/>
      <c r="O1835" s="42"/>
      <c r="P1835" s="42"/>
      <c r="Q1835" s="42"/>
      <c r="R1835" s="42"/>
      <c r="S1835" s="42"/>
      <c r="T1835" s="42"/>
      <c r="U1835" s="42"/>
      <c r="V1835" s="42"/>
      <c r="W1835" s="42"/>
      <c r="X1835" s="42"/>
      <c r="Y1835" s="42"/>
      <c r="Z1835" s="42"/>
    </row>
    <row r="1836">
      <c r="A1836" s="42"/>
      <c r="B1836" s="42"/>
      <c r="C1836" s="42"/>
      <c r="D1836" s="42"/>
      <c r="E1836" s="42"/>
      <c r="F1836" s="42"/>
      <c r="G1836" s="42"/>
      <c r="H1836" s="42"/>
      <c r="I1836" s="43"/>
      <c r="J1836" s="42"/>
      <c r="K1836" s="42"/>
      <c r="L1836" s="42"/>
      <c r="M1836" s="42"/>
      <c r="N1836" s="42"/>
      <c r="O1836" s="42"/>
      <c r="P1836" s="42"/>
      <c r="Q1836" s="42"/>
      <c r="R1836" s="42"/>
      <c r="S1836" s="42"/>
      <c r="T1836" s="42"/>
      <c r="U1836" s="42"/>
      <c r="V1836" s="42"/>
      <c r="W1836" s="42"/>
      <c r="X1836" s="42"/>
      <c r="Y1836" s="42"/>
      <c r="Z1836" s="42"/>
    </row>
    <row r="1837">
      <c r="A1837" s="42"/>
      <c r="B1837" s="42"/>
      <c r="C1837" s="42"/>
      <c r="D1837" s="42"/>
      <c r="E1837" s="42"/>
      <c r="F1837" s="42"/>
      <c r="G1837" s="42"/>
      <c r="H1837" s="42"/>
      <c r="I1837" s="43"/>
      <c r="J1837" s="42"/>
      <c r="K1837" s="42"/>
      <c r="L1837" s="42"/>
      <c r="M1837" s="42"/>
      <c r="N1837" s="42"/>
      <c r="O1837" s="42"/>
      <c r="P1837" s="42"/>
      <c r="Q1837" s="42"/>
      <c r="R1837" s="42"/>
      <c r="S1837" s="42"/>
      <c r="T1837" s="42"/>
      <c r="U1837" s="42"/>
      <c r="V1837" s="42"/>
      <c r="W1837" s="42"/>
      <c r="X1837" s="42"/>
      <c r="Y1837" s="42"/>
      <c r="Z1837" s="42"/>
    </row>
    <row r="1838">
      <c r="A1838" s="42"/>
      <c r="B1838" s="42"/>
      <c r="C1838" s="42"/>
      <c r="D1838" s="42"/>
      <c r="E1838" s="42"/>
      <c r="F1838" s="42"/>
      <c r="G1838" s="42"/>
      <c r="H1838" s="42"/>
      <c r="I1838" s="43"/>
      <c r="J1838" s="42"/>
      <c r="K1838" s="42"/>
      <c r="L1838" s="42"/>
      <c r="M1838" s="42"/>
      <c r="N1838" s="42"/>
      <c r="O1838" s="42"/>
      <c r="P1838" s="42"/>
      <c r="Q1838" s="42"/>
      <c r="R1838" s="42"/>
      <c r="S1838" s="42"/>
      <c r="T1838" s="42"/>
      <c r="U1838" s="42"/>
      <c r="V1838" s="42"/>
      <c r="W1838" s="42"/>
      <c r="X1838" s="42"/>
      <c r="Y1838" s="42"/>
      <c r="Z1838" s="42"/>
    </row>
    <row r="1839">
      <c r="A1839" s="42"/>
      <c r="B1839" s="42"/>
      <c r="C1839" s="42"/>
      <c r="D1839" s="42"/>
      <c r="E1839" s="42"/>
      <c r="F1839" s="42"/>
      <c r="G1839" s="42"/>
      <c r="H1839" s="42"/>
      <c r="I1839" s="43"/>
      <c r="J1839" s="42"/>
      <c r="K1839" s="42"/>
      <c r="L1839" s="42"/>
      <c r="M1839" s="42"/>
      <c r="N1839" s="42"/>
      <c r="O1839" s="42"/>
      <c r="P1839" s="42"/>
      <c r="Q1839" s="42"/>
      <c r="R1839" s="42"/>
      <c r="S1839" s="42"/>
      <c r="T1839" s="42"/>
      <c r="U1839" s="42"/>
      <c r="V1839" s="42"/>
      <c r="W1839" s="42"/>
      <c r="X1839" s="42"/>
      <c r="Y1839" s="42"/>
      <c r="Z1839" s="42"/>
    </row>
    <row r="1840">
      <c r="A1840" s="42"/>
      <c r="B1840" s="42"/>
      <c r="C1840" s="42"/>
      <c r="D1840" s="42"/>
      <c r="E1840" s="42"/>
      <c r="F1840" s="42"/>
      <c r="G1840" s="42"/>
      <c r="H1840" s="42"/>
      <c r="I1840" s="43"/>
      <c r="J1840" s="42"/>
      <c r="K1840" s="42"/>
      <c r="L1840" s="42"/>
      <c r="M1840" s="42"/>
      <c r="N1840" s="42"/>
      <c r="O1840" s="42"/>
      <c r="P1840" s="42"/>
      <c r="Q1840" s="42"/>
      <c r="R1840" s="42"/>
      <c r="S1840" s="42"/>
      <c r="T1840" s="42"/>
      <c r="U1840" s="42"/>
      <c r="V1840" s="42"/>
      <c r="W1840" s="42"/>
      <c r="X1840" s="42"/>
      <c r="Y1840" s="42"/>
      <c r="Z1840" s="42"/>
    </row>
    <row r="1841">
      <c r="A1841" s="42"/>
      <c r="B1841" s="42"/>
      <c r="C1841" s="42"/>
      <c r="D1841" s="42"/>
      <c r="E1841" s="42"/>
      <c r="F1841" s="42"/>
      <c r="G1841" s="42"/>
      <c r="H1841" s="42"/>
      <c r="I1841" s="43"/>
      <c r="J1841" s="42"/>
      <c r="K1841" s="42"/>
      <c r="L1841" s="42"/>
      <c r="M1841" s="42"/>
      <c r="N1841" s="42"/>
      <c r="O1841" s="42"/>
      <c r="P1841" s="42"/>
      <c r="Q1841" s="42"/>
      <c r="R1841" s="42"/>
      <c r="S1841" s="42"/>
      <c r="T1841" s="42"/>
      <c r="U1841" s="42"/>
      <c r="V1841" s="42"/>
      <c r="W1841" s="42"/>
      <c r="X1841" s="42"/>
      <c r="Y1841" s="42"/>
      <c r="Z1841" s="42"/>
    </row>
    <row r="1842">
      <c r="A1842" s="42"/>
      <c r="B1842" s="42"/>
      <c r="C1842" s="42"/>
      <c r="D1842" s="42"/>
      <c r="E1842" s="42"/>
      <c r="F1842" s="42"/>
      <c r="G1842" s="42"/>
      <c r="H1842" s="42"/>
      <c r="I1842" s="43"/>
      <c r="J1842" s="42"/>
      <c r="K1842" s="42"/>
      <c r="L1842" s="42"/>
      <c r="M1842" s="42"/>
      <c r="N1842" s="42"/>
      <c r="O1842" s="42"/>
      <c r="P1842" s="42"/>
      <c r="Q1842" s="42"/>
      <c r="R1842" s="42"/>
      <c r="S1842" s="42"/>
      <c r="T1842" s="42"/>
      <c r="U1842" s="42"/>
      <c r="V1842" s="42"/>
      <c r="W1842" s="42"/>
      <c r="X1842" s="42"/>
      <c r="Y1842" s="42"/>
      <c r="Z1842" s="42"/>
    </row>
    <row r="1843">
      <c r="A1843" s="42"/>
      <c r="B1843" s="42"/>
      <c r="C1843" s="42"/>
      <c r="D1843" s="42"/>
      <c r="E1843" s="42"/>
      <c r="F1843" s="42"/>
      <c r="G1843" s="42"/>
      <c r="H1843" s="42"/>
      <c r="I1843" s="43"/>
      <c r="J1843" s="42"/>
      <c r="K1843" s="42"/>
      <c r="L1843" s="42"/>
      <c r="M1843" s="42"/>
      <c r="N1843" s="42"/>
      <c r="O1843" s="42"/>
      <c r="P1843" s="42"/>
      <c r="Q1843" s="42"/>
      <c r="R1843" s="42"/>
      <c r="S1843" s="42"/>
      <c r="T1843" s="42"/>
      <c r="U1843" s="42"/>
      <c r="V1843" s="42"/>
      <c r="W1843" s="42"/>
      <c r="X1843" s="42"/>
      <c r="Y1843" s="42"/>
      <c r="Z1843" s="42"/>
    </row>
    <row r="1844">
      <c r="A1844" s="42"/>
      <c r="B1844" s="42"/>
      <c r="C1844" s="42"/>
      <c r="D1844" s="42"/>
      <c r="E1844" s="42"/>
      <c r="F1844" s="42"/>
      <c r="G1844" s="42"/>
      <c r="H1844" s="42"/>
      <c r="I1844" s="43"/>
      <c r="J1844" s="42"/>
      <c r="K1844" s="42"/>
      <c r="L1844" s="42"/>
      <c r="M1844" s="42"/>
      <c r="N1844" s="42"/>
      <c r="O1844" s="42"/>
      <c r="P1844" s="42"/>
      <c r="Q1844" s="42"/>
      <c r="R1844" s="42"/>
      <c r="S1844" s="42"/>
      <c r="T1844" s="42"/>
      <c r="U1844" s="42"/>
      <c r="V1844" s="42"/>
      <c r="W1844" s="42"/>
      <c r="X1844" s="42"/>
      <c r="Y1844" s="42"/>
      <c r="Z1844" s="42"/>
    </row>
    <row r="1845">
      <c r="A1845" s="42"/>
      <c r="B1845" s="42"/>
      <c r="C1845" s="42"/>
      <c r="D1845" s="42"/>
      <c r="E1845" s="42"/>
      <c r="F1845" s="42"/>
      <c r="G1845" s="42"/>
      <c r="H1845" s="42"/>
      <c r="I1845" s="43"/>
      <c r="J1845" s="42"/>
      <c r="K1845" s="42"/>
      <c r="L1845" s="42"/>
      <c r="M1845" s="42"/>
      <c r="N1845" s="42"/>
      <c r="O1845" s="42"/>
      <c r="P1845" s="42"/>
      <c r="Q1845" s="42"/>
      <c r="R1845" s="42"/>
      <c r="S1845" s="42"/>
      <c r="T1845" s="42"/>
      <c r="U1845" s="42"/>
      <c r="V1845" s="42"/>
      <c r="W1845" s="42"/>
      <c r="X1845" s="42"/>
      <c r="Y1845" s="42"/>
      <c r="Z1845" s="42"/>
    </row>
    <row r="1846">
      <c r="A1846" s="42"/>
      <c r="B1846" s="42"/>
      <c r="C1846" s="42"/>
      <c r="D1846" s="42"/>
      <c r="E1846" s="42"/>
      <c r="F1846" s="42"/>
      <c r="G1846" s="42"/>
      <c r="H1846" s="42"/>
      <c r="I1846" s="43"/>
      <c r="J1846" s="42"/>
      <c r="K1846" s="42"/>
      <c r="L1846" s="42"/>
      <c r="M1846" s="42"/>
      <c r="N1846" s="42"/>
      <c r="O1846" s="42"/>
      <c r="P1846" s="42"/>
      <c r="Q1846" s="42"/>
      <c r="R1846" s="42"/>
      <c r="S1846" s="42"/>
      <c r="T1846" s="42"/>
      <c r="U1846" s="42"/>
      <c r="V1846" s="42"/>
      <c r="W1846" s="42"/>
      <c r="X1846" s="42"/>
      <c r="Y1846" s="42"/>
      <c r="Z1846" s="42"/>
    </row>
    <row r="1847">
      <c r="A1847" s="42"/>
      <c r="B1847" s="42"/>
      <c r="C1847" s="42"/>
      <c r="D1847" s="42"/>
      <c r="E1847" s="42"/>
      <c r="F1847" s="42"/>
      <c r="G1847" s="42"/>
      <c r="H1847" s="42"/>
      <c r="I1847" s="43"/>
      <c r="J1847" s="42"/>
      <c r="K1847" s="42"/>
      <c r="L1847" s="42"/>
      <c r="M1847" s="42"/>
      <c r="N1847" s="42"/>
      <c r="O1847" s="42"/>
      <c r="P1847" s="42"/>
      <c r="Q1847" s="42"/>
      <c r="R1847" s="42"/>
      <c r="S1847" s="42"/>
      <c r="T1847" s="42"/>
      <c r="U1847" s="42"/>
      <c r="V1847" s="42"/>
      <c r="W1847" s="42"/>
      <c r="X1847" s="42"/>
      <c r="Y1847" s="42"/>
      <c r="Z1847" s="42"/>
    </row>
    <row r="1848">
      <c r="A1848" s="42"/>
      <c r="B1848" s="42"/>
      <c r="C1848" s="42"/>
      <c r="D1848" s="42"/>
      <c r="E1848" s="42"/>
      <c r="F1848" s="42"/>
      <c r="G1848" s="42"/>
      <c r="H1848" s="42"/>
      <c r="I1848" s="43"/>
      <c r="J1848" s="42"/>
      <c r="K1848" s="42"/>
      <c r="L1848" s="42"/>
      <c r="M1848" s="42"/>
      <c r="N1848" s="42"/>
      <c r="O1848" s="42"/>
      <c r="P1848" s="42"/>
      <c r="Q1848" s="42"/>
      <c r="R1848" s="42"/>
      <c r="S1848" s="42"/>
      <c r="T1848" s="42"/>
      <c r="U1848" s="42"/>
      <c r="V1848" s="42"/>
      <c r="W1848" s="42"/>
      <c r="X1848" s="42"/>
      <c r="Y1848" s="42"/>
      <c r="Z1848" s="42"/>
    </row>
    <row r="1849">
      <c r="A1849" s="42"/>
      <c r="B1849" s="42"/>
      <c r="C1849" s="42"/>
      <c r="D1849" s="42"/>
      <c r="E1849" s="42"/>
      <c r="F1849" s="42"/>
      <c r="G1849" s="42"/>
      <c r="H1849" s="42"/>
      <c r="I1849" s="43"/>
      <c r="J1849" s="42"/>
      <c r="K1849" s="42"/>
      <c r="L1849" s="42"/>
      <c r="M1849" s="42"/>
      <c r="N1849" s="42"/>
      <c r="O1849" s="42"/>
      <c r="P1849" s="42"/>
      <c r="Q1849" s="42"/>
      <c r="R1849" s="42"/>
      <c r="S1849" s="42"/>
      <c r="T1849" s="42"/>
      <c r="U1849" s="42"/>
      <c r="V1849" s="42"/>
      <c r="W1849" s="42"/>
      <c r="X1849" s="42"/>
      <c r="Y1849" s="42"/>
      <c r="Z1849" s="42"/>
    </row>
    <row r="1850">
      <c r="A1850" s="42"/>
      <c r="B1850" s="42"/>
      <c r="C1850" s="42"/>
      <c r="D1850" s="42"/>
      <c r="E1850" s="42"/>
      <c r="F1850" s="42"/>
      <c r="G1850" s="42"/>
      <c r="H1850" s="42"/>
      <c r="I1850" s="43"/>
      <c r="J1850" s="42"/>
      <c r="K1850" s="42"/>
      <c r="L1850" s="42"/>
      <c r="M1850" s="42"/>
      <c r="N1850" s="42"/>
      <c r="O1850" s="42"/>
      <c r="P1850" s="42"/>
      <c r="Q1850" s="42"/>
      <c r="R1850" s="42"/>
      <c r="S1850" s="42"/>
      <c r="T1850" s="42"/>
      <c r="U1850" s="42"/>
      <c r="V1850" s="42"/>
      <c r="W1850" s="42"/>
      <c r="X1850" s="42"/>
      <c r="Y1850" s="42"/>
      <c r="Z1850" s="42"/>
    </row>
    <row r="1851">
      <c r="A1851" s="42"/>
      <c r="B1851" s="42"/>
      <c r="C1851" s="42"/>
      <c r="D1851" s="42"/>
      <c r="E1851" s="42"/>
      <c r="F1851" s="42"/>
      <c r="G1851" s="42"/>
      <c r="H1851" s="42"/>
      <c r="I1851" s="43"/>
      <c r="J1851" s="42"/>
      <c r="K1851" s="42"/>
      <c r="L1851" s="42"/>
      <c r="M1851" s="42"/>
      <c r="N1851" s="42"/>
      <c r="O1851" s="42"/>
      <c r="P1851" s="42"/>
      <c r="Q1851" s="42"/>
      <c r="R1851" s="42"/>
      <c r="S1851" s="42"/>
      <c r="T1851" s="42"/>
      <c r="U1851" s="42"/>
      <c r="V1851" s="42"/>
      <c r="W1851" s="42"/>
      <c r="X1851" s="42"/>
      <c r="Y1851" s="42"/>
      <c r="Z1851" s="42"/>
    </row>
    <row r="1852">
      <c r="A1852" s="42"/>
      <c r="B1852" s="42"/>
      <c r="C1852" s="42"/>
      <c r="D1852" s="42"/>
      <c r="E1852" s="42"/>
      <c r="F1852" s="42"/>
      <c r="G1852" s="42"/>
      <c r="H1852" s="42"/>
      <c r="I1852" s="43"/>
      <c r="J1852" s="42"/>
      <c r="K1852" s="42"/>
      <c r="L1852" s="42"/>
      <c r="M1852" s="42"/>
      <c r="N1852" s="42"/>
      <c r="O1852" s="42"/>
      <c r="P1852" s="42"/>
      <c r="Q1852" s="42"/>
      <c r="R1852" s="42"/>
      <c r="S1852" s="42"/>
      <c r="T1852" s="42"/>
      <c r="U1852" s="42"/>
      <c r="V1852" s="42"/>
      <c r="W1852" s="42"/>
      <c r="X1852" s="42"/>
      <c r="Y1852" s="42"/>
      <c r="Z1852" s="42"/>
    </row>
    <row r="1853">
      <c r="A1853" s="42"/>
      <c r="B1853" s="42"/>
      <c r="C1853" s="42"/>
      <c r="D1853" s="42"/>
      <c r="E1853" s="42"/>
      <c r="F1853" s="42"/>
      <c r="G1853" s="42"/>
      <c r="H1853" s="42"/>
      <c r="I1853" s="43"/>
      <c r="J1853" s="42"/>
      <c r="K1853" s="42"/>
      <c r="L1853" s="42"/>
      <c r="M1853" s="42"/>
      <c r="N1853" s="42"/>
      <c r="O1853" s="42"/>
      <c r="P1853" s="42"/>
      <c r="Q1853" s="42"/>
      <c r="R1853" s="42"/>
      <c r="S1853" s="42"/>
      <c r="T1853" s="42"/>
      <c r="U1853" s="42"/>
      <c r="V1853" s="42"/>
      <c r="W1853" s="42"/>
      <c r="X1853" s="42"/>
      <c r="Y1853" s="42"/>
      <c r="Z1853" s="42"/>
    </row>
    <row r="1854">
      <c r="A1854" s="42"/>
      <c r="B1854" s="42"/>
      <c r="C1854" s="42"/>
      <c r="D1854" s="42"/>
      <c r="E1854" s="42"/>
      <c r="F1854" s="42"/>
      <c r="G1854" s="42"/>
      <c r="H1854" s="42"/>
      <c r="I1854" s="43"/>
      <c r="J1854" s="42"/>
      <c r="K1854" s="42"/>
      <c r="L1854" s="42"/>
      <c r="M1854" s="42"/>
      <c r="N1854" s="42"/>
      <c r="O1854" s="42"/>
      <c r="P1854" s="42"/>
      <c r="Q1854" s="42"/>
      <c r="R1854" s="42"/>
      <c r="S1854" s="42"/>
      <c r="T1854" s="42"/>
      <c r="U1854" s="42"/>
      <c r="V1854" s="42"/>
      <c r="W1854" s="42"/>
      <c r="X1854" s="42"/>
      <c r="Y1854" s="42"/>
      <c r="Z1854" s="42"/>
    </row>
    <row r="1855">
      <c r="A1855" s="42"/>
      <c r="B1855" s="42"/>
      <c r="C1855" s="42"/>
      <c r="D1855" s="42"/>
      <c r="E1855" s="42"/>
      <c r="F1855" s="42"/>
      <c r="G1855" s="42"/>
      <c r="H1855" s="42"/>
      <c r="I1855" s="43"/>
      <c r="J1855" s="42"/>
      <c r="K1855" s="42"/>
      <c r="L1855" s="42"/>
      <c r="M1855" s="42"/>
      <c r="N1855" s="42"/>
      <c r="O1855" s="42"/>
      <c r="P1855" s="42"/>
      <c r="Q1855" s="42"/>
      <c r="R1855" s="42"/>
      <c r="S1855" s="42"/>
      <c r="T1855" s="42"/>
      <c r="U1855" s="42"/>
      <c r="V1855" s="42"/>
      <c r="W1855" s="42"/>
      <c r="X1855" s="42"/>
      <c r="Y1855" s="42"/>
      <c r="Z1855" s="42"/>
    </row>
    <row r="1856">
      <c r="A1856" s="42"/>
      <c r="B1856" s="42"/>
      <c r="C1856" s="42"/>
      <c r="D1856" s="42"/>
      <c r="E1856" s="42"/>
      <c r="F1856" s="42"/>
      <c r="G1856" s="42"/>
      <c r="H1856" s="42"/>
      <c r="I1856" s="43"/>
      <c r="J1856" s="42"/>
      <c r="K1856" s="42"/>
      <c r="L1856" s="42"/>
      <c r="M1856" s="42"/>
      <c r="N1856" s="42"/>
      <c r="O1856" s="42"/>
      <c r="P1856" s="42"/>
      <c r="Q1856" s="42"/>
      <c r="R1856" s="42"/>
      <c r="S1856" s="42"/>
      <c r="T1856" s="42"/>
      <c r="U1856" s="42"/>
      <c r="V1856" s="42"/>
      <c r="W1856" s="42"/>
      <c r="X1856" s="42"/>
      <c r="Y1856" s="42"/>
      <c r="Z1856" s="42"/>
    </row>
    <row r="1857">
      <c r="A1857" s="42"/>
      <c r="B1857" s="42"/>
      <c r="C1857" s="42"/>
      <c r="D1857" s="42"/>
      <c r="E1857" s="42"/>
      <c r="F1857" s="42"/>
      <c r="G1857" s="42"/>
      <c r="H1857" s="42"/>
      <c r="I1857" s="43"/>
      <c r="J1857" s="42"/>
      <c r="K1857" s="42"/>
      <c r="L1857" s="42"/>
      <c r="M1857" s="42"/>
      <c r="N1857" s="42"/>
      <c r="O1857" s="42"/>
      <c r="P1857" s="42"/>
      <c r="Q1857" s="42"/>
      <c r="R1857" s="42"/>
      <c r="S1857" s="42"/>
      <c r="T1857" s="42"/>
      <c r="U1857" s="42"/>
      <c r="V1857" s="42"/>
      <c r="W1857" s="42"/>
      <c r="X1857" s="42"/>
      <c r="Y1857" s="42"/>
      <c r="Z1857" s="42"/>
    </row>
    <row r="1858">
      <c r="A1858" s="42"/>
      <c r="B1858" s="42"/>
      <c r="C1858" s="42"/>
      <c r="D1858" s="42"/>
      <c r="E1858" s="42"/>
      <c r="F1858" s="42"/>
      <c r="G1858" s="42"/>
      <c r="H1858" s="42"/>
      <c r="I1858" s="43"/>
      <c r="J1858" s="42"/>
      <c r="K1858" s="42"/>
      <c r="L1858" s="42"/>
      <c r="M1858" s="42"/>
      <c r="N1858" s="42"/>
      <c r="O1858" s="42"/>
      <c r="P1858" s="42"/>
      <c r="Q1858" s="42"/>
      <c r="R1858" s="42"/>
      <c r="S1858" s="42"/>
      <c r="T1858" s="42"/>
      <c r="U1858" s="42"/>
      <c r="V1858" s="42"/>
      <c r="W1858" s="42"/>
      <c r="X1858" s="42"/>
      <c r="Y1858" s="42"/>
      <c r="Z1858" s="42"/>
    </row>
    <row r="1859">
      <c r="A1859" s="42"/>
      <c r="B1859" s="42"/>
      <c r="C1859" s="42"/>
      <c r="D1859" s="42"/>
      <c r="E1859" s="42"/>
      <c r="F1859" s="42"/>
      <c r="G1859" s="42"/>
      <c r="H1859" s="42"/>
      <c r="I1859" s="43"/>
      <c r="J1859" s="42"/>
      <c r="K1859" s="42"/>
      <c r="L1859" s="42"/>
      <c r="M1859" s="42"/>
      <c r="N1859" s="42"/>
      <c r="O1859" s="42"/>
      <c r="P1859" s="42"/>
      <c r="Q1859" s="42"/>
      <c r="R1859" s="42"/>
      <c r="S1859" s="42"/>
      <c r="T1859" s="42"/>
      <c r="U1859" s="42"/>
      <c r="V1859" s="42"/>
      <c r="W1859" s="42"/>
      <c r="X1859" s="42"/>
      <c r="Y1859" s="42"/>
      <c r="Z1859" s="42"/>
    </row>
    <row r="1860">
      <c r="A1860" s="42"/>
      <c r="B1860" s="42"/>
      <c r="C1860" s="42"/>
      <c r="D1860" s="42"/>
      <c r="E1860" s="42"/>
      <c r="F1860" s="42"/>
      <c r="G1860" s="42"/>
      <c r="H1860" s="42"/>
      <c r="I1860" s="43"/>
      <c r="J1860" s="42"/>
      <c r="K1860" s="42"/>
      <c r="L1860" s="42"/>
      <c r="M1860" s="42"/>
      <c r="N1860" s="42"/>
      <c r="O1860" s="42"/>
      <c r="P1860" s="42"/>
      <c r="Q1860" s="42"/>
      <c r="R1860" s="42"/>
      <c r="S1860" s="42"/>
      <c r="T1860" s="42"/>
      <c r="U1860" s="42"/>
      <c r="V1860" s="42"/>
      <c r="W1860" s="42"/>
      <c r="X1860" s="42"/>
      <c r="Y1860" s="42"/>
      <c r="Z1860" s="42"/>
    </row>
    <row r="1861">
      <c r="A1861" s="42"/>
      <c r="B1861" s="42"/>
      <c r="C1861" s="42"/>
      <c r="D1861" s="42"/>
      <c r="E1861" s="42"/>
      <c r="F1861" s="42"/>
      <c r="G1861" s="42"/>
      <c r="H1861" s="42"/>
      <c r="I1861" s="43"/>
      <c r="J1861" s="42"/>
      <c r="K1861" s="42"/>
      <c r="L1861" s="42"/>
      <c r="M1861" s="42"/>
      <c r="N1861" s="42"/>
      <c r="O1861" s="42"/>
      <c r="P1861" s="42"/>
      <c r="Q1861" s="42"/>
      <c r="R1861" s="42"/>
      <c r="S1861" s="42"/>
      <c r="T1861" s="42"/>
      <c r="U1861" s="42"/>
      <c r="V1861" s="42"/>
      <c r="W1861" s="42"/>
      <c r="X1861" s="42"/>
      <c r="Y1861" s="42"/>
      <c r="Z1861" s="42"/>
    </row>
    <row r="1862">
      <c r="A1862" s="42"/>
      <c r="B1862" s="42"/>
      <c r="C1862" s="42"/>
      <c r="D1862" s="42"/>
      <c r="E1862" s="42"/>
      <c r="F1862" s="42"/>
      <c r="G1862" s="42"/>
      <c r="H1862" s="42"/>
      <c r="I1862" s="43"/>
      <c r="J1862" s="42"/>
      <c r="K1862" s="42"/>
      <c r="L1862" s="42"/>
      <c r="M1862" s="42"/>
      <c r="N1862" s="42"/>
      <c r="O1862" s="42"/>
      <c r="P1862" s="42"/>
      <c r="Q1862" s="42"/>
      <c r="R1862" s="42"/>
      <c r="S1862" s="42"/>
      <c r="T1862" s="42"/>
      <c r="U1862" s="42"/>
      <c r="V1862" s="42"/>
      <c r="W1862" s="42"/>
      <c r="X1862" s="42"/>
      <c r="Y1862" s="42"/>
      <c r="Z1862" s="42"/>
    </row>
    <row r="1863">
      <c r="A1863" s="42"/>
      <c r="B1863" s="42"/>
      <c r="C1863" s="42"/>
      <c r="D1863" s="42"/>
      <c r="E1863" s="42"/>
      <c r="F1863" s="42"/>
      <c r="G1863" s="42"/>
      <c r="H1863" s="42"/>
      <c r="I1863" s="43"/>
      <c r="J1863" s="42"/>
      <c r="K1863" s="42"/>
      <c r="L1863" s="42"/>
      <c r="M1863" s="42"/>
      <c r="N1863" s="42"/>
      <c r="O1863" s="42"/>
      <c r="P1863" s="42"/>
      <c r="Q1863" s="42"/>
      <c r="R1863" s="42"/>
      <c r="S1863" s="42"/>
      <c r="T1863" s="42"/>
      <c r="U1863" s="42"/>
      <c r="V1863" s="42"/>
      <c r="W1863" s="42"/>
      <c r="X1863" s="42"/>
      <c r="Y1863" s="42"/>
      <c r="Z1863" s="42"/>
    </row>
    <row r="1864">
      <c r="A1864" s="42"/>
      <c r="B1864" s="42"/>
      <c r="C1864" s="42"/>
      <c r="D1864" s="42"/>
      <c r="E1864" s="42"/>
      <c r="F1864" s="42"/>
      <c r="G1864" s="42"/>
      <c r="H1864" s="42"/>
      <c r="I1864" s="43"/>
      <c r="J1864" s="42"/>
      <c r="K1864" s="42"/>
      <c r="L1864" s="42"/>
      <c r="M1864" s="42"/>
      <c r="N1864" s="42"/>
      <c r="O1864" s="42"/>
      <c r="P1864" s="42"/>
      <c r="Q1864" s="42"/>
      <c r="R1864" s="42"/>
      <c r="S1864" s="42"/>
      <c r="T1864" s="42"/>
      <c r="U1864" s="42"/>
      <c r="V1864" s="42"/>
      <c r="W1864" s="42"/>
      <c r="X1864" s="42"/>
      <c r="Y1864" s="42"/>
      <c r="Z1864" s="42"/>
    </row>
    <row r="1865">
      <c r="A1865" s="42"/>
      <c r="B1865" s="42"/>
      <c r="C1865" s="42"/>
      <c r="D1865" s="42"/>
      <c r="E1865" s="42"/>
      <c r="F1865" s="42"/>
      <c r="G1865" s="42"/>
      <c r="H1865" s="42"/>
      <c r="I1865" s="43"/>
      <c r="J1865" s="42"/>
      <c r="K1865" s="42"/>
      <c r="L1865" s="42"/>
      <c r="M1865" s="42"/>
      <c r="N1865" s="42"/>
      <c r="O1865" s="42"/>
      <c r="P1865" s="42"/>
      <c r="Q1865" s="42"/>
      <c r="R1865" s="42"/>
      <c r="S1865" s="42"/>
      <c r="T1865" s="42"/>
      <c r="U1865" s="42"/>
      <c r="V1865" s="42"/>
      <c r="W1865" s="42"/>
      <c r="X1865" s="42"/>
      <c r="Y1865" s="42"/>
      <c r="Z1865" s="42"/>
    </row>
    <row r="1866">
      <c r="A1866" s="42"/>
      <c r="B1866" s="42"/>
      <c r="C1866" s="42"/>
      <c r="D1866" s="42"/>
      <c r="E1866" s="42"/>
      <c r="F1866" s="42"/>
      <c r="G1866" s="42"/>
      <c r="H1866" s="42"/>
      <c r="I1866" s="43"/>
      <c r="J1866" s="42"/>
      <c r="K1866" s="42"/>
      <c r="L1866" s="42"/>
      <c r="M1866" s="42"/>
      <c r="N1866" s="42"/>
      <c r="O1866" s="42"/>
      <c r="P1866" s="42"/>
      <c r="Q1866" s="42"/>
      <c r="R1866" s="42"/>
      <c r="S1866" s="42"/>
      <c r="T1866" s="42"/>
      <c r="U1866" s="42"/>
      <c r="V1866" s="42"/>
      <c r="W1866" s="42"/>
      <c r="X1866" s="42"/>
      <c r="Y1866" s="42"/>
      <c r="Z1866" s="42"/>
    </row>
    <row r="1867">
      <c r="A1867" s="42"/>
      <c r="B1867" s="42"/>
      <c r="C1867" s="42"/>
      <c r="D1867" s="42"/>
      <c r="E1867" s="42"/>
      <c r="F1867" s="42"/>
      <c r="G1867" s="42"/>
      <c r="H1867" s="42"/>
      <c r="I1867" s="43"/>
      <c r="J1867" s="42"/>
      <c r="K1867" s="42"/>
      <c r="L1867" s="42"/>
      <c r="M1867" s="42"/>
      <c r="N1867" s="42"/>
      <c r="O1867" s="42"/>
      <c r="P1867" s="42"/>
      <c r="Q1867" s="42"/>
      <c r="R1867" s="42"/>
      <c r="S1867" s="42"/>
      <c r="T1867" s="42"/>
      <c r="U1867" s="42"/>
      <c r="V1867" s="42"/>
      <c r="W1867" s="42"/>
      <c r="X1867" s="42"/>
      <c r="Y1867" s="42"/>
      <c r="Z1867" s="42"/>
    </row>
    <row r="1868">
      <c r="A1868" s="42"/>
      <c r="B1868" s="42"/>
      <c r="C1868" s="42"/>
      <c r="D1868" s="42"/>
      <c r="E1868" s="42"/>
      <c r="F1868" s="42"/>
      <c r="G1868" s="42"/>
      <c r="H1868" s="42"/>
      <c r="I1868" s="43"/>
      <c r="J1868" s="42"/>
      <c r="K1868" s="42"/>
      <c r="L1868" s="42"/>
      <c r="M1868" s="42"/>
      <c r="N1868" s="42"/>
      <c r="O1868" s="42"/>
      <c r="P1868" s="42"/>
      <c r="Q1868" s="42"/>
      <c r="R1868" s="42"/>
      <c r="S1868" s="42"/>
      <c r="T1868" s="42"/>
      <c r="U1868" s="42"/>
      <c r="V1868" s="42"/>
      <c r="W1868" s="42"/>
      <c r="X1868" s="42"/>
      <c r="Y1868" s="42"/>
      <c r="Z1868" s="42"/>
    </row>
    <row r="1869">
      <c r="A1869" s="42"/>
      <c r="B1869" s="42"/>
      <c r="C1869" s="42"/>
      <c r="D1869" s="42"/>
      <c r="E1869" s="42"/>
      <c r="F1869" s="42"/>
      <c r="G1869" s="42"/>
      <c r="H1869" s="42"/>
      <c r="I1869" s="43"/>
      <c r="J1869" s="42"/>
      <c r="K1869" s="42"/>
      <c r="L1869" s="42"/>
      <c r="M1869" s="42"/>
      <c r="N1869" s="42"/>
      <c r="O1869" s="42"/>
      <c r="P1869" s="42"/>
      <c r="Q1869" s="42"/>
      <c r="R1869" s="42"/>
      <c r="S1869" s="42"/>
      <c r="T1869" s="42"/>
      <c r="U1869" s="42"/>
      <c r="V1869" s="42"/>
      <c r="W1869" s="42"/>
      <c r="X1869" s="42"/>
      <c r="Y1869" s="42"/>
      <c r="Z1869" s="42"/>
    </row>
    <row r="1870">
      <c r="A1870" s="42"/>
      <c r="B1870" s="42"/>
      <c r="C1870" s="42"/>
      <c r="D1870" s="42"/>
      <c r="E1870" s="42"/>
      <c r="F1870" s="42"/>
      <c r="G1870" s="42"/>
      <c r="H1870" s="42"/>
      <c r="I1870" s="43"/>
      <c r="J1870" s="42"/>
      <c r="K1870" s="42"/>
      <c r="L1870" s="42"/>
      <c r="M1870" s="42"/>
      <c r="N1870" s="42"/>
      <c r="O1870" s="42"/>
      <c r="P1870" s="42"/>
      <c r="Q1870" s="42"/>
      <c r="R1870" s="42"/>
      <c r="S1870" s="42"/>
      <c r="T1870" s="42"/>
      <c r="U1870" s="42"/>
      <c r="V1870" s="42"/>
      <c r="W1870" s="42"/>
      <c r="X1870" s="42"/>
      <c r="Y1870" s="42"/>
      <c r="Z1870" s="42"/>
    </row>
    <row r="1871">
      <c r="A1871" s="42"/>
      <c r="B1871" s="42"/>
      <c r="C1871" s="42"/>
      <c r="D1871" s="42"/>
      <c r="E1871" s="42"/>
      <c r="F1871" s="42"/>
      <c r="G1871" s="42"/>
      <c r="H1871" s="42"/>
      <c r="I1871" s="43"/>
      <c r="J1871" s="42"/>
      <c r="K1871" s="42"/>
      <c r="L1871" s="42"/>
      <c r="M1871" s="42"/>
      <c r="N1871" s="42"/>
      <c r="O1871" s="42"/>
      <c r="P1871" s="42"/>
      <c r="Q1871" s="42"/>
      <c r="R1871" s="42"/>
      <c r="S1871" s="42"/>
      <c r="T1871" s="42"/>
      <c r="U1871" s="42"/>
      <c r="V1871" s="42"/>
      <c r="W1871" s="42"/>
      <c r="X1871" s="42"/>
      <c r="Y1871" s="42"/>
      <c r="Z1871" s="42"/>
    </row>
    <row r="1872">
      <c r="A1872" s="42"/>
      <c r="B1872" s="42"/>
      <c r="C1872" s="42"/>
      <c r="D1872" s="42"/>
      <c r="E1872" s="42"/>
      <c r="F1872" s="42"/>
      <c r="G1872" s="42"/>
      <c r="H1872" s="42"/>
      <c r="I1872" s="43"/>
      <c r="J1872" s="42"/>
      <c r="K1872" s="42"/>
      <c r="L1872" s="42"/>
      <c r="M1872" s="42"/>
      <c r="N1872" s="42"/>
      <c r="O1872" s="42"/>
      <c r="P1872" s="42"/>
      <c r="Q1872" s="42"/>
      <c r="R1872" s="42"/>
      <c r="S1872" s="42"/>
      <c r="T1872" s="42"/>
      <c r="U1872" s="42"/>
      <c r="V1872" s="42"/>
      <c r="W1872" s="42"/>
      <c r="X1872" s="42"/>
      <c r="Y1872" s="42"/>
      <c r="Z1872" s="42"/>
    </row>
    <row r="1873">
      <c r="A1873" s="42"/>
      <c r="B1873" s="42"/>
      <c r="C1873" s="42"/>
      <c r="D1873" s="42"/>
      <c r="E1873" s="42"/>
      <c r="F1873" s="42"/>
      <c r="G1873" s="42"/>
      <c r="H1873" s="42"/>
      <c r="I1873" s="43"/>
      <c r="J1873" s="42"/>
      <c r="K1873" s="42"/>
      <c r="L1873" s="42"/>
      <c r="M1873" s="42"/>
      <c r="N1873" s="42"/>
      <c r="O1873" s="42"/>
      <c r="P1873" s="42"/>
      <c r="Q1873" s="42"/>
      <c r="R1873" s="42"/>
      <c r="S1873" s="42"/>
      <c r="T1873" s="42"/>
      <c r="U1873" s="42"/>
      <c r="V1873" s="42"/>
      <c r="W1873" s="42"/>
      <c r="X1873" s="42"/>
      <c r="Y1873" s="42"/>
      <c r="Z1873" s="42"/>
    </row>
    <row r="1874">
      <c r="A1874" s="42"/>
      <c r="B1874" s="42"/>
      <c r="C1874" s="42"/>
      <c r="D1874" s="42"/>
      <c r="E1874" s="42"/>
      <c r="F1874" s="42"/>
      <c r="G1874" s="42"/>
      <c r="H1874" s="42"/>
      <c r="I1874" s="43"/>
      <c r="J1874" s="42"/>
      <c r="K1874" s="42"/>
      <c r="L1874" s="42"/>
      <c r="M1874" s="42"/>
      <c r="N1874" s="42"/>
      <c r="O1874" s="42"/>
      <c r="P1874" s="42"/>
      <c r="Q1874" s="42"/>
      <c r="R1874" s="42"/>
      <c r="S1874" s="42"/>
      <c r="T1874" s="42"/>
      <c r="U1874" s="42"/>
      <c r="V1874" s="42"/>
      <c r="W1874" s="42"/>
      <c r="X1874" s="42"/>
      <c r="Y1874" s="42"/>
      <c r="Z1874" s="42"/>
    </row>
    <row r="1875">
      <c r="A1875" s="42"/>
      <c r="B1875" s="42"/>
      <c r="C1875" s="42"/>
      <c r="D1875" s="42"/>
      <c r="E1875" s="42"/>
      <c r="F1875" s="42"/>
      <c r="G1875" s="42"/>
      <c r="H1875" s="42"/>
      <c r="I1875" s="43"/>
      <c r="J1875" s="42"/>
      <c r="K1875" s="42"/>
      <c r="L1875" s="42"/>
      <c r="M1875" s="42"/>
      <c r="N1875" s="42"/>
      <c r="O1875" s="42"/>
      <c r="P1875" s="42"/>
      <c r="Q1875" s="42"/>
      <c r="R1875" s="42"/>
      <c r="S1875" s="42"/>
      <c r="T1875" s="42"/>
      <c r="U1875" s="42"/>
      <c r="V1875" s="42"/>
      <c r="W1875" s="42"/>
      <c r="X1875" s="42"/>
      <c r="Y1875" s="42"/>
      <c r="Z1875" s="42"/>
    </row>
    <row r="1876">
      <c r="A1876" s="42"/>
      <c r="B1876" s="42"/>
      <c r="C1876" s="42"/>
      <c r="D1876" s="42"/>
      <c r="E1876" s="42"/>
      <c r="F1876" s="42"/>
      <c r="G1876" s="42"/>
      <c r="H1876" s="42"/>
      <c r="I1876" s="43"/>
      <c r="J1876" s="42"/>
      <c r="K1876" s="42"/>
      <c r="L1876" s="42"/>
      <c r="M1876" s="42"/>
      <c r="N1876" s="42"/>
      <c r="O1876" s="42"/>
      <c r="P1876" s="42"/>
      <c r="Q1876" s="42"/>
      <c r="R1876" s="42"/>
      <c r="S1876" s="42"/>
      <c r="T1876" s="42"/>
      <c r="U1876" s="42"/>
      <c r="V1876" s="42"/>
      <c r="W1876" s="42"/>
      <c r="X1876" s="42"/>
      <c r="Y1876" s="42"/>
      <c r="Z1876" s="42"/>
    </row>
    <row r="1877">
      <c r="A1877" s="42"/>
      <c r="B1877" s="42"/>
      <c r="C1877" s="42"/>
      <c r="D1877" s="42"/>
      <c r="E1877" s="42"/>
      <c r="F1877" s="42"/>
      <c r="G1877" s="42"/>
      <c r="H1877" s="42"/>
      <c r="I1877" s="43"/>
      <c r="J1877" s="42"/>
      <c r="K1877" s="42"/>
      <c r="L1877" s="42"/>
      <c r="M1877" s="42"/>
      <c r="N1877" s="42"/>
      <c r="O1877" s="42"/>
      <c r="P1877" s="42"/>
      <c r="Q1877" s="42"/>
      <c r="R1877" s="42"/>
      <c r="S1877" s="42"/>
      <c r="T1877" s="42"/>
      <c r="U1877" s="42"/>
      <c r="V1877" s="42"/>
      <c r="W1877" s="42"/>
      <c r="X1877" s="42"/>
      <c r="Y1877" s="42"/>
      <c r="Z1877" s="42"/>
    </row>
    <row r="1878">
      <c r="A1878" s="42"/>
      <c r="B1878" s="42"/>
      <c r="C1878" s="42"/>
      <c r="D1878" s="42"/>
      <c r="E1878" s="42"/>
      <c r="F1878" s="42"/>
      <c r="G1878" s="42"/>
      <c r="H1878" s="42"/>
      <c r="I1878" s="43"/>
      <c r="J1878" s="42"/>
      <c r="K1878" s="42"/>
      <c r="L1878" s="42"/>
      <c r="M1878" s="42"/>
      <c r="N1878" s="42"/>
      <c r="O1878" s="42"/>
      <c r="P1878" s="42"/>
      <c r="Q1878" s="42"/>
      <c r="R1878" s="42"/>
      <c r="S1878" s="42"/>
      <c r="T1878" s="42"/>
      <c r="U1878" s="42"/>
      <c r="V1878" s="42"/>
      <c r="W1878" s="42"/>
      <c r="X1878" s="42"/>
      <c r="Y1878" s="42"/>
      <c r="Z1878" s="42"/>
    </row>
    <row r="1879">
      <c r="A1879" s="42"/>
      <c r="B1879" s="42"/>
      <c r="C1879" s="42"/>
      <c r="D1879" s="42"/>
      <c r="E1879" s="42"/>
      <c r="F1879" s="42"/>
      <c r="G1879" s="42"/>
      <c r="H1879" s="42"/>
      <c r="I1879" s="43"/>
      <c r="J1879" s="42"/>
      <c r="K1879" s="42"/>
      <c r="L1879" s="42"/>
      <c r="M1879" s="42"/>
      <c r="N1879" s="42"/>
      <c r="O1879" s="42"/>
      <c r="P1879" s="42"/>
      <c r="Q1879" s="42"/>
      <c r="R1879" s="42"/>
      <c r="S1879" s="42"/>
      <c r="T1879" s="42"/>
      <c r="U1879" s="42"/>
      <c r="V1879" s="42"/>
      <c r="W1879" s="42"/>
      <c r="X1879" s="42"/>
      <c r="Y1879" s="42"/>
      <c r="Z1879" s="42"/>
    </row>
    <row r="1880">
      <c r="A1880" s="42"/>
      <c r="B1880" s="42"/>
      <c r="C1880" s="42"/>
      <c r="D1880" s="42"/>
      <c r="E1880" s="42"/>
      <c r="F1880" s="42"/>
      <c r="G1880" s="42"/>
      <c r="H1880" s="42"/>
      <c r="I1880" s="43"/>
      <c r="J1880" s="42"/>
      <c r="K1880" s="42"/>
      <c r="L1880" s="42"/>
      <c r="M1880" s="42"/>
      <c r="N1880" s="42"/>
      <c r="O1880" s="42"/>
      <c r="P1880" s="42"/>
      <c r="Q1880" s="42"/>
      <c r="R1880" s="42"/>
      <c r="S1880" s="42"/>
      <c r="T1880" s="42"/>
      <c r="U1880" s="42"/>
      <c r="V1880" s="42"/>
      <c r="W1880" s="42"/>
      <c r="X1880" s="42"/>
      <c r="Y1880" s="42"/>
      <c r="Z1880" s="42"/>
    </row>
    <row r="1881">
      <c r="A1881" s="42"/>
      <c r="B1881" s="42"/>
      <c r="C1881" s="42"/>
      <c r="D1881" s="42"/>
      <c r="E1881" s="42"/>
      <c r="F1881" s="42"/>
      <c r="G1881" s="42"/>
      <c r="H1881" s="42"/>
      <c r="I1881" s="43"/>
      <c r="J1881" s="42"/>
      <c r="K1881" s="42"/>
      <c r="L1881" s="42"/>
      <c r="M1881" s="42"/>
      <c r="N1881" s="42"/>
      <c r="O1881" s="42"/>
      <c r="P1881" s="42"/>
      <c r="Q1881" s="42"/>
      <c r="R1881" s="42"/>
      <c r="S1881" s="42"/>
      <c r="T1881" s="42"/>
      <c r="U1881" s="42"/>
      <c r="V1881" s="42"/>
      <c r="W1881" s="42"/>
      <c r="X1881" s="42"/>
      <c r="Y1881" s="42"/>
      <c r="Z1881" s="42"/>
    </row>
    <row r="1882">
      <c r="A1882" s="42"/>
      <c r="B1882" s="42"/>
      <c r="C1882" s="42"/>
      <c r="D1882" s="42"/>
      <c r="E1882" s="42"/>
      <c r="F1882" s="42"/>
      <c r="G1882" s="42"/>
      <c r="H1882" s="42"/>
      <c r="I1882" s="43"/>
      <c r="J1882" s="42"/>
      <c r="K1882" s="42"/>
      <c r="L1882" s="42"/>
      <c r="M1882" s="42"/>
      <c r="N1882" s="42"/>
      <c r="O1882" s="42"/>
      <c r="P1882" s="42"/>
      <c r="Q1882" s="42"/>
      <c r="R1882" s="42"/>
      <c r="S1882" s="42"/>
      <c r="T1882" s="42"/>
      <c r="U1882" s="42"/>
      <c r="V1882" s="42"/>
      <c r="W1882" s="42"/>
      <c r="X1882" s="42"/>
      <c r="Y1882" s="42"/>
      <c r="Z1882" s="42"/>
    </row>
    <row r="1883">
      <c r="A1883" s="42"/>
      <c r="B1883" s="42"/>
      <c r="C1883" s="42"/>
      <c r="D1883" s="42"/>
      <c r="E1883" s="42"/>
      <c r="F1883" s="42"/>
      <c r="G1883" s="42"/>
      <c r="H1883" s="42"/>
      <c r="I1883" s="43"/>
      <c r="J1883" s="42"/>
      <c r="K1883" s="42"/>
      <c r="L1883" s="42"/>
      <c r="M1883" s="42"/>
      <c r="N1883" s="42"/>
      <c r="O1883" s="42"/>
      <c r="P1883" s="42"/>
      <c r="Q1883" s="42"/>
      <c r="R1883" s="42"/>
      <c r="S1883" s="42"/>
      <c r="T1883" s="42"/>
      <c r="U1883" s="42"/>
      <c r="V1883" s="42"/>
      <c r="W1883" s="42"/>
      <c r="X1883" s="42"/>
      <c r="Y1883" s="42"/>
      <c r="Z1883" s="42"/>
    </row>
    <row r="1884">
      <c r="A1884" s="42"/>
      <c r="B1884" s="42"/>
      <c r="C1884" s="42"/>
      <c r="D1884" s="42"/>
      <c r="E1884" s="42"/>
      <c r="F1884" s="42"/>
      <c r="G1884" s="42"/>
      <c r="H1884" s="42"/>
      <c r="I1884" s="43"/>
      <c r="J1884" s="42"/>
      <c r="K1884" s="42"/>
      <c r="L1884" s="42"/>
      <c r="M1884" s="42"/>
      <c r="N1884" s="42"/>
      <c r="O1884" s="42"/>
      <c r="P1884" s="42"/>
      <c r="Q1884" s="42"/>
      <c r="R1884" s="42"/>
      <c r="S1884" s="42"/>
      <c r="T1884" s="42"/>
      <c r="U1884" s="42"/>
      <c r="V1884" s="42"/>
      <c r="W1884" s="42"/>
      <c r="X1884" s="42"/>
      <c r="Y1884" s="42"/>
      <c r="Z1884" s="42"/>
    </row>
    <row r="1885">
      <c r="A1885" s="42"/>
      <c r="B1885" s="42"/>
      <c r="C1885" s="42"/>
      <c r="D1885" s="42"/>
      <c r="E1885" s="42"/>
      <c r="F1885" s="42"/>
      <c r="G1885" s="42"/>
      <c r="H1885" s="42"/>
      <c r="I1885" s="43"/>
      <c r="J1885" s="42"/>
      <c r="K1885" s="42"/>
      <c r="L1885" s="42"/>
      <c r="M1885" s="42"/>
      <c r="N1885" s="42"/>
      <c r="O1885" s="42"/>
      <c r="P1885" s="42"/>
      <c r="Q1885" s="42"/>
      <c r="R1885" s="42"/>
      <c r="S1885" s="42"/>
      <c r="T1885" s="42"/>
      <c r="U1885" s="42"/>
      <c r="V1885" s="42"/>
      <c r="W1885" s="42"/>
      <c r="X1885" s="42"/>
      <c r="Y1885" s="42"/>
      <c r="Z1885" s="42"/>
    </row>
    <row r="1886">
      <c r="A1886" s="42"/>
      <c r="B1886" s="42"/>
      <c r="C1886" s="42"/>
      <c r="D1886" s="42"/>
      <c r="E1886" s="42"/>
      <c r="F1886" s="42"/>
      <c r="G1886" s="42"/>
      <c r="H1886" s="42"/>
      <c r="I1886" s="43"/>
      <c r="J1886" s="42"/>
      <c r="K1886" s="42"/>
      <c r="L1886" s="42"/>
      <c r="M1886" s="42"/>
      <c r="N1886" s="42"/>
      <c r="O1886" s="42"/>
      <c r="P1886" s="42"/>
      <c r="Q1886" s="42"/>
      <c r="R1886" s="42"/>
      <c r="S1886" s="42"/>
      <c r="T1886" s="42"/>
      <c r="U1886" s="42"/>
      <c r="V1886" s="42"/>
      <c r="W1886" s="42"/>
      <c r="X1886" s="42"/>
      <c r="Y1886" s="42"/>
      <c r="Z1886" s="42"/>
    </row>
    <row r="1887">
      <c r="A1887" s="42"/>
      <c r="B1887" s="42"/>
      <c r="C1887" s="42"/>
      <c r="D1887" s="42"/>
      <c r="E1887" s="42"/>
      <c r="F1887" s="42"/>
      <c r="G1887" s="42"/>
      <c r="H1887" s="42"/>
      <c r="I1887" s="43"/>
      <c r="J1887" s="42"/>
      <c r="K1887" s="42"/>
      <c r="L1887" s="42"/>
      <c r="M1887" s="42"/>
      <c r="N1887" s="42"/>
      <c r="O1887" s="42"/>
      <c r="P1887" s="42"/>
      <c r="Q1887" s="42"/>
      <c r="R1887" s="42"/>
      <c r="S1887" s="42"/>
      <c r="T1887" s="42"/>
      <c r="U1887" s="42"/>
      <c r="V1887" s="42"/>
      <c r="W1887" s="42"/>
      <c r="X1887" s="42"/>
      <c r="Y1887" s="42"/>
      <c r="Z1887" s="42"/>
    </row>
    <row r="1888">
      <c r="A1888" s="42"/>
      <c r="B1888" s="42"/>
      <c r="C1888" s="42"/>
      <c r="D1888" s="42"/>
      <c r="E1888" s="42"/>
      <c r="F1888" s="42"/>
      <c r="G1888" s="42"/>
      <c r="H1888" s="42"/>
      <c r="I1888" s="43"/>
      <c r="J1888" s="42"/>
      <c r="K1888" s="42"/>
      <c r="L1888" s="42"/>
      <c r="M1888" s="42"/>
      <c r="N1888" s="42"/>
      <c r="O1888" s="42"/>
      <c r="P1888" s="42"/>
      <c r="Q1888" s="42"/>
      <c r="R1888" s="42"/>
      <c r="S1888" s="42"/>
      <c r="T1888" s="42"/>
      <c r="U1888" s="42"/>
      <c r="V1888" s="42"/>
      <c r="W1888" s="42"/>
      <c r="X1888" s="42"/>
      <c r="Y1888" s="42"/>
      <c r="Z1888" s="42"/>
    </row>
    <row r="1889">
      <c r="A1889" s="42"/>
      <c r="B1889" s="42"/>
      <c r="C1889" s="42"/>
      <c r="D1889" s="42"/>
      <c r="E1889" s="42"/>
      <c r="F1889" s="42"/>
      <c r="G1889" s="42"/>
      <c r="H1889" s="42"/>
      <c r="I1889" s="43"/>
      <c r="J1889" s="42"/>
      <c r="K1889" s="42"/>
      <c r="L1889" s="42"/>
      <c r="M1889" s="42"/>
      <c r="N1889" s="42"/>
      <c r="O1889" s="42"/>
      <c r="P1889" s="42"/>
      <c r="Q1889" s="42"/>
      <c r="R1889" s="42"/>
      <c r="S1889" s="42"/>
      <c r="T1889" s="42"/>
      <c r="U1889" s="42"/>
      <c r="V1889" s="42"/>
      <c r="W1889" s="42"/>
      <c r="X1889" s="42"/>
      <c r="Y1889" s="42"/>
      <c r="Z1889" s="42"/>
    </row>
    <row r="1890">
      <c r="A1890" s="42"/>
      <c r="B1890" s="42"/>
      <c r="C1890" s="42"/>
      <c r="D1890" s="42"/>
      <c r="E1890" s="42"/>
      <c r="F1890" s="42"/>
      <c r="G1890" s="42"/>
      <c r="H1890" s="42"/>
      <c r="I1890" s="43"/>
      <c r="J1890" s="42"/>
      <c r="K1890" s="42"/>
      <c r="L1890" s="42"/>
      <c r="M1890" s="42"/>
      <c r="N1890" s="42"/>
      <c r="O1890" s="42"/>
      <c r="P1890" s="42"/>
      <c r="Q1890" s="42"/>
      <c r="R1890" s="42"/>
      <c r="S1890" s="42"/>
      <c r="T1890" s="42"/>
      <c r="U1890" s="42"/>
      <c r="V1890" s="42"/>
      <c r="W1890" s="42"/>
      <c r="X1890" s="42"/>
      <c r="Y1890" s="42"/>
      <c r="Z1890" s="42"/>
    </row>
    <row r="1891">
      <c r="A1891" s="42"/>
      <c r="B1891" s="42"/>
      <c r="C1891" s="42"/>
      <c r="D1891" s="42"/>
      <c r="E1891" s="42"/>
      <c r="F1891" s="42"/>
      <c r="G1891" s="42"/>
      <c r="H1891" s="42"/>
      <c r="I1891" s="43"/>
      <c r="J1891" s="42"/>
      <c r="K1891" s="42"/>
      <c r="L1891" s="42"/>
      <c r="M1891" s="42"/>
      <c r="N1891" s="42"/>
      <c r="O1891" s="42"/>
      <c r="P1891" s="42"/>
      <c r="Q1891" s="42"/>
      <c r="R1891" s="42"/>
      <c r="S1891" s="42"/>
      <c r="T1891" s="42"/>
      <c r="U1891" s="42"/>
      <c r="V1891" s="42"/>
      <c r="W1891" s="42"/>
      <c r="X1891" s="42"/>
      <c r="Y1891" s="42"/>
      <c r="Z1891" s="42"/>
    </row>
    <row r="1892">
      <c r="A1892" s="42"/>
      <c r="B1892" s="42"/>
      <c r="C1892" s="42"/>
      <c r="D1892" s="42"/>
      <c r="E1892" s="42"/>
      <c r="F1892" s="42"/>
      <c r="G1892" s="42"/>
      <c r="H1892" s="42"/>
      <c r="I1892" s="43"/>
      <c r="J1892" s="42"/>
      <c r="K1892" s="42"/>
      <c r="L1892" s="42"/>
      <c r="M1892" s="42"/>
      <c r="N1892" s="42"/>
      <c r="O1892" s="42"/>
      <c r="P1892" s="42"/>
      <c r="Q1892" s="42"/>
      <c r="R1892" s="42"/>
      <c r="S1892" s="42"/>
      <c r="T1892" s="42"/>
      <c r="U1892" s="42"/>
      <c r="V1892" s="42"/>
      <c r="W1892" s="42"/>
      <c r="X1892" s="42"/>
      <c r="Y1892" s="42"/>
      <c r="Z1892" s="42"/>
    </row>
    <row r="1893">
      <c r="A1893" s="42"/>
      <c r="B1893" s="42"/>
      <c r="C1893" s="42"/>
      <c r="D1893" s="42"/>
      <c r="E1893" s="42"/>
      <c r="F1893" s="42"/>
      <c r="G1893" s="42"/>
      <c r="H1893" s="42"/>
      <c r="I1893" s="43"/>
      <c r="J1893" s="42"/>
      <c r="K1893" s="42"/>
      <c r="L1893" s="42"/>
      <c r="M1893" s="42"/>
      <c r="N1893" s="42"/>
      <c r="O1893" s="42"/>
      <c r="P1893" s="42"/>
      <c r="Q1893" s="42"/>
      <c r="R1893" s="42"/>
      <c r="S1893" s="42"/>
      <c r="T1893" s="42"/>
      <c r="U1893" s="42"/>
      <c r="V1893" s="42"/>
      <c r="W1893" s="42"/>
      <c r="X1893" s="42"/>
      <c r="Y1893" s="42"/>
      <c r="Z1893" s="42"/>
    </row>
    <row r="1894">
      <c r="A1894" s="42"/>
      <c r="B1894" s="42"/>
      <c r="C1894" s="42"/>
      <c r="D1894" s="42"/>
      <c r="E1894" s="42"/>
      <c r="F1894" s="42"/>
      <c r="G1894" s="42"/>
      <c r="H1894" s="42"/>
      <c r="I1894" s="43"/>
      <c r="J1894" s="42"/>
      <c r="K1894" s="42"/>
      <c r="L1894" s="42"/>
      <c r="M1894" s="42"/>
      <c r="N1894" s="42"/>
      <c r="O1894" s="42"/>
      <c r="P1894" s="42"/>
      <c r="Q1894" s="42"/>
      <c r="R1894" s="42"/>
      <c r="S1894" s="42"/>
      <c r="T1894" s="42"/>
      <c r="U1894" s="42"/>
      <c r="V1894" s="42"/>
      <c r="W1894" s="42"/>
      <c r="X1894" s="42"/>
      <c r="Y1894" s="42"/>
      <c r="Z1894" s="42"/>
    </row>
    <row r="1895">
      <c r="A1895" s="42"/>
      <c r="B1895" s="42"/>
      <c r="C1895" s="42"/>
      <c r="D1895" s="42"/>
      <c r="E1895" s="42"/>
      <c r="F1895" s="42"/>
      <c r="G1895" s="42"/>
      <c r="H1895" s="42"/>
      <c r="I1895" s="43"/>
      <c r="J1895" s="42"/>
      <c r="K1895" s="42"/>
      <c r="L1895" s="42"/>
      <c r="M1895" s="42"/>
      <c r="N1895" s="42"/>
      <c r="O1895" s="42"/>
      <c r="P1895" s="42"/>
      <c r="Q1895" s="42"/>
      <c r="R1895" s="42"/>
      <c r="S1895" s="42"/>
      <c r="T1895" s="42"/>
      <c r="U1895" s="42"/>
      <c r="V1895" s="42"/>
      <c r="W1895" s="42"/>
      <c r="X1895" s="42"/>
      <c r="Y1895" s="42"/>
      <c r="Z1895" s="42"/>
    </row>
    <row r="1896">
      <c r="A1896" s="42"/>
      <c r="B1896" s="42"/>
      <c r="C1896" s="42"/>
      <c r="D1896" s="42"/>
      <c r="E1896" s="42"/>
      <c r="F1896" s="42"/>
      <c r="G1896" s="42"/>
      <c r="H1896" s="42"/>
      <c r="I1896" s="43"/>
      <c r="J1896" s="42"/>
      <c r="K1896" s="42"/>
      <c r="L1896" s="42"/>
      <c r="M1896" s="42"/>
      <c r="N1896" s="42"/>
      <c r="O1896" s="42"/>
      <c r="P1896" s="42"/>
      <c r="Q1896" s="42"/>
      <c r="R1896" s="42"/>
      <c r="S1896" s="42"/>
      <c r="T1896" s="42"/>
      <c r="U1896" s="42"/>
      <c r="V1896" s="42"/>
      <c r="W1896" s="42"/>
      <c r="X1896" s="42"/>
      <c r="Y1896" s="42"/>
      <c r="Z1896" s="42"/>
    </row>
    <row r="1897">
      <c r="A1897" s="42"/>
      <c r="B1897" s="42"/>
      <c r="C1897" s="42"/>
      <c r="D1897" s="42"/>
      <c r="E1897" s="42"/>
      <c r="F1897" s="42"/>
      <c r="G1897" s="42"/>
      <c r="H1897" s="42"/>
      <c r="I1897" s="43"/>
      <c r="J1897" s="42"/>
      <c r="K1897" s="42"/>
      <c r="L1897" s="42"/>
      <c r="M1897" s="42"/>
      <c r="N1897" s="42"/>
      <c r="O1897" s="42"/>
      <c r="P1897" s="42"/>
      <c r="Q1897" s="42"/>
      <c r="R1897" s="42"/>
      <c r="S1897" s="42"/>
      <c r="T1897" s="42"/>
      <c r="U1897" s="42"/>
      <c r="V1897" s="42"/>
      <c r="W1897" s="42"/>
      <c r="X1897" s="42"/>
      <c r="Y1897" s="42"/>
      <c r="Z1897" s="42"/>
    </row>
    <row r="1898">
      <c r="A1898" s="42"/>
      <c r="B1898" s="42"/>
      <c r="C1898" s="42"/>
      <c r="D1898" s="42"/>
      <c r="E1898" s="42"/>
      <c r="F1898" s="42"/>
      <c r="G1898" s="42"/>
      <c r="H1898" s="42"/>
      <c r="I1898" s="43"/>
      <c r="J1898" s="42"/>
      <c r="K1898" s="42"/>
      <c r="L1898" s="42"/>
      <c r="M1898" s="42"/>
      <c r="N1898" s="42"/>
      <c r="O1898" s="42"/>
      <c r="P1898" s="42"/>
      <c r="Q1898" s="42"/>
      <c r="R1898" s="42"/>
      <c r="S1898" s="42"/>
      <c r="T1898" s="42"/>
      <c r="U1898" s="42"/>
      <c r="V1898" s="42"/>
      <c r="W1898" s="42"/>
      <c r="X1898" s="42"/>
      <c r="Y1898" s="42"/>
      <c r="Z1898" s="42"/>
    </row>
    <row r="1899">
      <c r="A1899" s="42"/>
      <c r="B1899" s="42"/>
      <c r="C1899" s="42"/>
      <c r="D1899" s="42"/>
      <c r="E1899" s="42"/>
      <c r="F1899" s="42"/>
      <c r="G1899" s="42"/>
      <c r="H1899" s="42"/>
      <c r="I1899" s="43"/>
      <c r="J1899" s="42"/>
      <c r="K1899" s="42"/>
      <c r="L1899" s="42"/>
      <c r="M1899" s="42"/>
      <c r="N1899" s="42"/>
      <c r="O1899" s="42"/>
      <c r="P1899" s="42"/>
      <c r="Q1899" s="42"/>
      <c r="R1899" s="42"/>
      <c r="S1899" s="42"/>
      <c r="T1899" s="42"/>
      <c r="U1899" s="42"/>
      <c r="V1899" s="42"/>
      <c r="W1899" s="42"/>
      <c r="X1899" s="42"/>
      <c r="Y1899" s="42"/>
      <c r="Z1899" s="42"/>
    </row>
    <row r="1900">
      <c r="A1900" s="42"/>
      <c r="B1900" s="42"/>
      <c r="C1900" s="42"/>
      <c r="D1900" s="42"/>
      <c r="E1900" s="42"/>
      <c r="F1900" s="42"/>
      <c r="G1900" s="42"/>
      <c r="H1900" s="42"/>
      <c r="I1900" s="43"/>
      <c r="J1900" s="42"/>
      <c r="K1900" s="42"/>
      <c r="L1900" s="42"/>
      <c r="M1900" s="42"/>
      <c r="N1900" s="42"/>
      <c r="O1900" s="42"/>
      <c r="P1900" s="42"/>
      <c r="Q1900" s="42"/>
      <c r="R1900" s="42"/>
      <c r="S1900" s="42"/>
      <c r="T1900" s="42"/>
      <c r="U1900" s="42"/>
      <c r="V1900" s="42"/>
      <c r="W1900" s="42"/>
      <c r="X1900" s="42"/>
      <c r="Y1900" s="42"/>
      <c r="Z1900" s="42"/>
    </row>
    <row r="1901">
      <c r="A1901" s="42"/>
      <c r="B1901" s="42"/>
      <c r="C1901" s="42"/>
      <c r="D1901" s="42"/>
      <c r="E1901" s="42"/>
      <c r="F1901" s="42"/>
      <c r="G1901" s="42"/>
      <c r="H1901" s="42"/>
      <c r="I1901" s="43"/>
      <c r="J1901" s="42"/>
      <c r="K1901" s="42"/>
      <c r="L1901" s="42"/>
      <c r="M1901" s="42"/>
      <c r="N1901" s="42"/>
      <c r="O1901" s="42"/>
      <c r="P1901" s="42"/>
      <c r="Q1901" s="42"/>
      <c r="R1901" s="42"/>
      <c r="S1901" s="42"/>
      <c r="T1901" s="42"/>
      <c r="U1901" s="42"/>
      <c r="V1901" s="42"/>
      <c r="W1901" s="42"/>
      <c r="X1901" s="42"/>
      <c r="Y1901" s="42"/>
      <c r="Z1901" s="42"/>
    </row>
    <row r="1902">
      <c r="A1902" s="42"/>
      <c r="B1902" s="42"/>
      <c r="C1902" s="42"/>
      <c r="D1902" s="42"/>
      <c r="E1902" s="42"/>
      <c r="F1902" s="42"/>
      <c r="G1902" s="42"/>
      <c r="H1902" s="42"/>
      <c r="I1902" s="43"/>
      <c r="J1902" s="42"/>
      <c r="K1902" s="42"/>
      <c r="L1902" s="42"/>
      <c r="M1902" s="42"/>
      <c r="N1902" s="42"/>
      <c r="O1902" s="42"/>
      <c r="P1902" s="42"/>
      <c r="Q1902" s="42"/>
      <c r="R1902" s="42"/>
      <c r="S1902" s="42"/>
      <c r="T1902" s="42"/>
      <c r="U1902" s="42"/>
      <c r="V1902" s="42"/>
      <c r="W1902" s="42"/>
      <c r="X1902" s="42"/>
      <c r="Y1902" s="42"/>
      <c r="Z1902" s="42"/>
    </row>
    <row r="1903">
      <c r="A1903" s="42"/>
      <c r="B1903" s="42"/>
      <c r="C1903" s="42"/>
      <c r="D1903" s="42"/>
      <c r="E1903" s="42"/>
      <c r="F1903" s="42"/>
      <c r="G1903" s="42"/>
      <c r="H1903" s="42"/>
      <c r="I1903" s="43"/>
      <c r="J1903" s="42"/>
      <c r="K1903" s="42"/>
      <c r="L1903" s="42"/>
      <c r="M1903" s="42"/>
      <c r="N1903" s="42"/>
      <c r="O1903" s="42"/>
      <c r="P1903" s="42"/>
      <c r="Q1903" s="42"/>
      <c r="R1903" s="42"/>
      <c r="S1903" s="42"/>
      <c r="T1903" s="42"/>
      <c r="U1903" s="42"/>
      <c r="V1903" s="42"/>
      <c r="W1903" s="42"/>
      <c r="X1903" s="42"/>
      <c r="Y1903" s="42"/>
      <c r="Z1903" s="42"/>
    </row>
    <row r="1904">
      <c r="A1904" s="42"/>
      <c r="B1904" s="42"/>
      <c r="C1904" s="42"/>
      <c r="D1904" s="42"/>
      <c r="E1904" s="42"/>
      <c r="F1904" s="42"/>
      <c r="G1904" s="42"/>
      <c r="H1904" s="42"/>
      <c r="I1904" s="43"/>
      <c r="J1904" s="42"/>
      <c r="K1904" s="42"/>
      <c r="L1904" s="42"/>
      <c r="M1904" s="42"/>
      <c r="N1904" s="42"/>
      <c r="O1904" s="42"/>
      <c r="P1904" s="42"/>
      <c r="Q1904" s="42"/>
      <c r="R1904" s="42"/>
      <c r="S1904" s="42"/>
      <c r="T1904" s="42"/>
      <c r="U1904" s="42"/>
      <c r="V1904" s="42"/>
      <c r="W1904" s="42"/>
      <c r="X1904" s="42"/>
      <c r="Y1904" s="42"/>
      <c r="Z1904" s="42"/>
    </row>
    <row r="1905">
      <c r="A1905" s="42"/>
      <c r="B1905" s="42"/>
      <c r="C1905" s="42"/>
      <c r="D1905" s="42"/>
      <c r="E1905" s="42"/>
      <c r="F1905" s="42"/>
      <c r="G1905" s="42"/>
      <c r="H1905" s="42"/>
      <c r="I1905" s="43"/>
      <c r="J1905" s="42"/>
      <c r="K1905" s="42"/>
      <c r="L1905" s="42"/>
      <c r="M1905" s="42"/>
      <c r="N1905" s="42"/>
      <c r="O1905" s="42"/>
      <c r="P1905" s="42"/>
      <c r="Q1905" s="42"/>
      <c r="R1905" s="42"/>
      <c r="S1905" s="42"/>
      <c r="T1905" s="42"/>
      <c r="U1905" s="42"/>
      <c r="V1905" s="42"/>
      <c r="W1905" s="42"/>
      <c r="X1905" s="42"/>
      <c r="Y1905" s="42"/>
      <c r="Z1905" s="42"/>
    </row>
    <row r="1906">
      <c r="A1906" s="42"/>
      <c r="B1906" s="42"/>
      <c r="C1906" s="42"/>
      <c r="D1906" s="42"/>
      <c r="E1906" s="42"/>
      <c r="F1906" s="42"/>
      <c r="G1906" s="42"/>
      <c r="H1906" s="42"/>
      <c r="I1906" s="43"/>
      <c r="J1906" s="42"/>
      <c r="K1906" s="42"/>
      <c r="L1906" s="42"/>
      <c r="M1906" s="42"/>
      <c r="N1906" s="42"/>
      <c r="O1906" s="42"/>
      <c r="P1906" s="42"/>
      <c r="Q1906" s="42"/>
      <c r="R1906" s="42"/>
      <c r="S1906" s="42"/>
      <c r="T1906" s="42"/>
      <c r="U1906" s="42"/>
      <c r="V1906" s="42"/>
      <c r="W1906" s="42"/>
      <c r="X1906" s="42"/>
      <c r="Y1906" s="42"/>
      <c r="Z1906" s="42"/>
    </row>
    <row r="1907">
      <c r="A1907" s="42"/>
      <c r="B1907" s="42"/>
      <c r="C1907" s="42"/>
      <c r="D1907" s="42"/>
      <c r="E1907" s="42"/>
      <c r="F1907" s="42"/>
      <c r="G1907" s="42"/>
      <c r="H1907" s="42"/>
      <c r="I1907" s="43"/>
      <c r="J1907" s="42"/>
      <c r="K1907" s="42"/>
      <c r="L1907" s="42"/>
      <c r="M1907" s="42"/>
      <c r="N1907" s="42"/>
      <c r="O1907" s="42"/>
      <c r="P1907" s="42"/>
      <c r="Q1907" s="42"/>
      <c r="R1907" s="42"/>
      <c r="S1907" s="42"/>
      <c r="T1907" s="42"/>
      <c r="U1907" s="42"/>
      <c r="V1907" s="42"/>
      <c r="W1907" s="42"/>
      <c r="X1907" s="42"/>
      <c r="Y1907" s="42"/>
      <c r="Z1907" s="42"/>
    </row>
    <row r="1908">
      <c r="A1908" s="42"/>
      <c r="B1908" s="42"/>
      <c r="C1908" s="42"/>
      <c r="D1908" s="42"/>
      <c r="E1908" s="42"/>
      <c r="F1908" s="42"/>
      <c r="G1908" s="42"/>
      <c r="H1908" s="42"/>
      <c r="I1908" s="43"/>
      <c r="J1908" s="42"/>
      <c r="K1908" s="42"/>
      <c r="L1908" s="42"/>
      <c r="M1908" s="42"/>
      <c r="N1908" s="42"/>
      <c r="O1908" s="42"/>
      <c r="P1908" s="42"/>
      <c r="Q1908" s="42"/>
      <c r="R1908" s="42"/>
      <c r="S1908" s="42"/>
      <c r="T1908" s="42"/>
      <c r="U1908" s="42"/>
      <c r="V1908" s="42"/>
      <c r="W1908" s="42"/>
      <c r="X1908" s="42"/>
      <c r="Y1908" s="42"/>
      <c r="Z1908" s="42"/>
    </row>
    <row r="1909">
      <c r="A1909" s="42"/>
      <c r="B1909" s="42"/>
      <c r="C1909" s="42"/>
      <c r="D1909" s="42"/>
      <c r="E1909" s="42"/>
      <c r="F1909" s="42"/>
      <c r="G1909" s="42"/>
      <c r="H1909" s="42"/>
      <c r="I1909" s="43"/>
      <c r="J1909" s="42"/>
      <c r="K1909" s="42"/>
      <c r="L1909" s="42"/>
      <c r="M1909" s="42"/>
      <c r="N1909" s="42"/>
      <c r="O1909" s="42"/>
      <c r="P1909" s="42"/>
      <c r="Q1909" s="42"/>
      <c r="R1909" s="42"/>
      <c r="S1909" s="42"/>
      <c r="T1909" s="42"/>
      <c r="U1909" s="42"/>
      <c r="V1909" s="42"/>
      <c r="W1909" s="42"/>
      <c r="X1909" s="42"/>
      <c r="Y1909" s="42"/>
      <c r="Z1909" s="42"/>
    </row>
    <row r="1910">
      <c r="A1910" s="42"/>
      <c r="B1910" s="42"/>
      <c r="C1910" s="42"/>
      <c r="D1910" s="42"/>
      <c r="E1910" s="42"/>
      <c r="F1910" s="42"/>
      <c r="G1910" s="42"/>
      <c r="H1910" s="42"/>
      <c r="I1910" s="43"/>
      <c r="J1910" s="42"/>
      <c r="K1910" s="42"/>
      <c r="L1910" s="42"/>
      <c r="M1910" s="42"/>
      <c r="N1910" s="42"/>
      <c r="O1910" s="42"/>
      <c r="P1910" s="42"/>
      <c r="Q1910" s="42"/>
      <c r="R1910" s="42"/>
      <c r="S1910" s="42"/>
      <c r="T1910" s="42"/>
      <c r="U1910" s="42"/>
      <c r="V1910" s="42"/>
      <c r="W1910" s="42"/>
      <c r="X1910" s="42"/>
      <c r="Y1910" s="42"/>
      <c r="Z1910" s="42"/>
    </row>
    <row r="1911">
      <c r="A1911" s="42"/>
      <c r="B1911" s="42"/>
      <c r="C1911" s="42"/>
      <c r="D1911" s="42"/>
      <c r="E1911" s="42"/>
      <c r="F1911" s="42"/>
      <c r="G1911" s="42"/>
      <c r="H1911" s="42"/>
      <c r="I1911" s="43"/>
      <c r="J1911" s="42"/>
      <c r="K1911" s="42"/>
      <c r="L1911" s="42"/>
      <c r="M1911" s="42"/>
      <c r="N1911" s="42"/>
      <c r="O1911" s="42"/>
      <c r="P1911" s="42"/>
      <c r="Q1911" s="42"/>
      <c r="R1911" s="42"/>
      <c r="S1911" s="42"/>
      <c r="T1911" s="42"/>
      <c r="U1911" s="42"/>
      <c r="V1911" s="42"/>
      <c r="W1911" s="42"/>
      <c r="X1911" s="42"/>
      <c r="Y1911" s="42"/>
      <c r="Z1911" s="42"/>
    </row>
    <row r="1912">
      <c r="A1912" s="42"/>
      <c r="B1912" s="42"/>
      <c r="C1912" s="42"/>
      <c r="D1912" s="42"/>
      <c r="E1912" s="42"/>
      <c r="F1912" s="42"/>
      <c r="G1912" s="42"/>
      <c r="H1912" s="42"/>
      <c r="I1912" s="43"/>
      <c r="J1912" s="42"/>
      <c r="K1912" s="42"/>
      <c r="L1912" s="42"/>
      <c r="M1912" s="42"/>
      <c r="N1912" s="42"/>
      <c r="O1912" s="42"/>
      <c r="P1912" s="42"/>
      <c r="Q1912" s="42"/>
      <c r="R1912" s="42"/>
      <c r="S1912" s="42"/>
      <c r="T1912" s="42"/>
      <c r="U1912" s="42"/>
      <c r="V1912" s="42"/>
      <c r="W1912" s="42"/>
      <c r="X1912" s="42"/>
      <c r="Y1912" s="42"/>
      <c r="Z1912" s="42"/>
    </row>
    <row r="1913">
      <c r="A1913" s="42"/>
      <c r="B1913" s="42"/>
      <c r="C1913" s="42"/>
      <c r="D1913" s="42"/>
      <c r="E1913" s="42"/>
      <c r="F1913" s="42"/>
      <c r="G1913" s="42"/>
      <c r="H1913" s="42"/>
      <c r="I1913" s="43"/>
      <c r="J1913" s="42"/>
      <c r="K1913" s="42"/>
      <c r="L1913" s="42"/>
      <c r="M1913" s="42"/>
      <c r="N1913" s="42"/>
      <c r="O1913" s="42"/>
      <c r="P1913" s="42"/>
      <c r="Q1913" s="42"/>
      <c r="R1913" s="42"/>
      <c r="S1913" s="42"/>
      <c r="T1913" s="42"/>
      <c r="U1913" s="42"/>
      <c r="V1913" s="42"/>
      <c r="W1913" s="42"/>
      <c r="X1913" s="42"/>
      <c r="Y1913" s="42"/>
      <c r="Z1913" s="42"/>
    </row>
    <row r="1914">
      <c r="A1914" s="42"/>
      <c r="B1914" s="42"/>
      <c r="C1914" s="42"/>
      <c r="D1914" s="42"/>
      <c r="E1914" s="42"/>
      <c r="F1914" s="42"/>
      <c r="G1914" s="42"/>
      <c r="H1914" s="42"/>
      <c r="I1914" s="43"/>
      <c r="J1914" s="42"/>
      <c r="K1914" s="42"/>
      <c r="L1914" s="42"/>
      <c r="M1914" s="42"/>
      <c r="N1914" s="42"/>
      <c r="O1914" s="42"/>
      <c r="P1914" s="42"/>
      <c r="Q1914" s="42"/>
      <c r="R1914" s="42"/>
      <c r="S1914" s="42"/>
      <c r="T1914" s="42"/>
      <c r="U1914" s="42"/>
      <c r="V1914" s="42"/>
      <c r="W1914" s="42"/>
      <c r="X1914" s="42"/>
      <c r="Y1914" s="42"/>
      <c r="Z1914" s="42"/>
    </row>
    <row r="1915">
      <c r="A1915" s="42"/>
      <c r="B1915" s="42"/>
      <c r="C1915" s="42"/>
      <c r="D1915" s="42"/>
      <c r="E1915" s="42"/>
      <c r="F1915" s="42"/>
      <c r="G1915" s="42"/>
      <c r="H1915" s="42"/>
      <c r="I1915" s="43"/>
      <c r="J1915" s="42"/>
      <c r="K1915" s="42"/>
      <c r="L1915" s="42"/>
      <c r="M1915" s="42"/>
      <c r="N1915" s="42"/>
      <c r="O1915" s="42"/>
      <c r="P1915" s="42"/>
      <c r="Q1915" s="42"/>
      <c r="R1915" s="42"/>
      <c r="S1915" s="42"/>
      <c r="T1915" s="42"/>
      <c r="U1915" s="42"/>
      <c r="V1915" s="42"/>
      <c r="W1915" s="42"/>
      <c r="X1915" s="42"/>
      <c r="Y1915" s="42"/>
      <c r="Z1915" s="42"/>
    </row>
    <row r="1916">
      <c r="A1916" s="42"/>
      <c r="B1916" s="42"/>
      <c r="C1916" s="42"/>
      <c r="D1916" s="42"/>
      <c r="E1916" s="42"/>
      <c r="F1916" s="42"/>
      <c r="G1916" s="42"/>
      <c r="H1916" s="42"/>
      <c r="I1916" s="43"/>
      <c r="J1916" s="42"/>
      <c r="K1916" s="42"/>
      <c r="L1916" s="42"/>
      <c r="M1916" s="42"/>
      <c r="N1916" s="42"/>
      <c r="O1916" s="42"/>
      <c r="P1916" s="42"/>
      <c r="Q1916" s="42"/>
      <c r="R1916" s="42"/>
      <c r="S1916" s="42"/>
      <c r="T1916" s="42"/>
      <c r="U1916" s="42"/>
      <c r="V1916" s="42"/>
      <c r="W1916" s="42"/>
      <c r="X1916" s="42"/>
      <c r="Y1916" s="42"/>
      <c r="Z1916" s="42"/>
    </row>
    <row r="1917">
      <c r="A1917" s="42"/>
      <c r="B1917" s="42"/>
      <c r="C1917" s="42"/>
      <c r="D1917" s="42"/>
      <c r="E1917" s="42"/>
      <c r="F1917" s="42"/>
      <c r="G1917" s="42"/>
      <c r="H1917" s="42"/>
      <c r="I1917" s="43"/>
      <c r="J1917" s="42"/>
      <c r="K1917" s="42"/>
      <c r="L1917" s="42"/>
      <c r="M1917" s="42"/>
      <c r="N1917" s="42"/>
      <c r="O1917" s="42"/>
      <c r="P1917" s="42"/>
      <c r="Q1917" s="42"/>
      <c r="R1917" s="42"/>
      <c r="S1917" s="42"/>
      <c r="T1917" s="42"/>
      <c r="U1917" s="42"/>
      <c r="V1917" s="42"/>
      <c r="W1917" s="42"/>
      <c r="X1917" s="42"/>
      <c r="Y1917" s="42"/>
      <c r="Z1917" s="42"/>
    </row>
    <row r="1918">
      <c r="A1918" s="42"/>
      <c r="B1918" s="42"/>
      <c r="C1918" s="42"/>
      <c r="D1918" s="42"/>
      <c r="E1918" s="42"/>
      <c r="F1918" s="42"/>
      <c r="G1918" s="42"/>
      <c r="H1918" s="42"/>
      <c r="I1918" s="43"/>
      <c r="J1918" s="42"/>
      <c r="K1918" s="42"/>
      <c r="L1918" s="42"/>
      <c r="M1918" s="42"/>
      <c r="N1918" s="42"/>
      <c r="O1918" s="42"/>
      <c r="P1918" s="42"/>
      <c r="Q1918" s="42"/>
      <c r="R1918" s="42"/>
      <c r="S1918" s="42"/>
      <c r="T1918" s="42"/>
      <c r="U1918" s="42"/>
      <c r="V1918" s="42"/>
      <c r="W1918" s="42"/>
      <c r="X1918" s="42"/>
      <c r="Y1918" s="42"/>
      <c r="Z1918" s="42"/>
    </row>
    <row r="1919">
      <c r="A1919" s="42"/>
      <c r="B1919" s="42"/>
      <c r="C1919" s="42"/>
      <c r="D1919" s="42"/>
      <c r="E1919" s="42"/>
      <c r="F1919" s="42"/>
      <c r="G1919" s="42"/>
      <c r="H1919" s="42"/>
      <c r="I1919" s="43"/>
      <c r="J1919" s="42"/>
      <c r="K1919" s="42"/>
      <c r="L1919" s="42"/>
      <c r="M1919" s="42"/>
      <c r="N1919" s="42"/>
      <c r="O1919" s="42"/>
      <c r="P1919" s="42"/>
      <c r="Q1919" s="42"/>
      <c r="R1919" s="42"/>
      <c r="S1919" s="42"/>
      <c r="T1919" s="42"/>
      <c r="U1919" s="42"/>
      <c r="V1919" s="42"/>
      <c r="W1919" s="42"/>
      <c r="X1919" s="42"/>
      <c r="Y1919" s="42"/>
      <c r="Z1919" s="42"/>
    </row>
    <row r="1920">
      <c r="A1920" s="42"/>
      <c r="B1920" s="42"/>
      <c r="C1920" s="42"/>
      <c r="D1920" s="42"/>
      <c r="E1920" s="42"/>
      <c r="F1920" s="42"/>
      <c r="G1920" s="42"/>
      <c r="H1920" s="42"/>
      <c r="I1920" s="43"/>
      <c r="J1920" s="42"/>
      <c r="K1920" s="42"/>
      <c r="L1920" s="42"/>
      <c r="M1920" s="42"/>
      <c r="N1920" s="42"/>
      <c r="O1920" s="42"/>
      <c r="P1920" s="42"/>
      <c r="Q1920" s="42"/>
      <c r="R1920" s="42"/>
      <c r="S1920" s="42"/>
      <c r="T1920" s="42"/>
      <c r="U1920" s="42"/>
      <c r="V1920" s="42"/>
      <c r="W1920" s="42"/>
      <c r="X1920" s="42"/>
      <c r="Y1920" s="42"/>
      <c r="Z1920" s="42"/>
    </row>
    <row r="1921">
      <c r="A1921" s="42"/>
      <c r="B1921" s="42"/>
      <c r="C1921" s="42"/>
      <c r="D1921" s="42"/>
      <c r="E1921" s="42"/>
      <c r="F1921" s="42"/>
      <c r="G1921" s="42"/>
      <c r="H1921" s="42"/>
      <c r="I1921" s="43"/>
      <c r="J1921" s="42"/>
      <c r="K1921" s="42"/>
      <c r="L1921" s="42"/>
      <c r="M1921" s="42"/>
      <c r="N1921" s="42"/>
      <c r="O1921" s="42"/>
      <c r="P1921" s="42"/>
      <c r="Q1921" s="42"/>
      <c r="R1921" s="42"/>
      <c r="S1921" s="42"/>
      <c r="T1921" s="42"/>
      <c r="U1921" s="42"/>
      <c r="V1921" s="42"/>
      <c r="W1921" s="42"/>
      <c r="X1921" s="42"/>
      <c r="Y1921" s="42"/>
      <c r="Z1921" s="42"/>
    </row>
    <row r="1922">
      <c r="A1922" s="42"/>
      <c r="B1922" s="42"/>
      <c r="C1922" s="42"/>
      <c r="D1922" s="42"/>
      <c r="E1922" s="42"/>
      <c r="F1922" s="42"/>
      <c r="G1922" s="42"/>
      <c r="H1922" s="42"/>
      <c r="I1922" s="43"/>
      <c r="J1922" s="42"/>
      <c r="K1922" s="42"/>
      <c r="L1922" s="42"/>
      <c r="M1922" s="42"/>
      <c r="N1922" s="42"/>
      <c r="O1922" s="42"/>
      <c r="P1922" s="42"/>
      <c r="Q1922" s="42"/>
      <c r="R1922" s="42"/>
      <c r="S1922" s="42"/>
      <c r="T1922" s="42"/>
      <c r="U1922" s="42"/>
      <c r="V1922" s="42"/>
      <c r="W1922" s="42"/>
      <c r="X1922" s="42"/>
      <c r="Y1922" s="42"/>
      <c r="Z1922" s="42"/>
    </row>
    <row r="1923">
      <c r="A1923" s="42"/>
      <c r="B1923" s="42"/>
      <c r="C1923" s="42"/>
      <c r="D1923" s="42"/>
      <c r="E1923" s="42"/>
      <c r="F1923" s="42"/>
      <c r="G1923" s="42"/>
      <c r="H1923" s="42"/>
      <c r="I1923" s="43"/>
      <c r="J1923" s="42"/>
      <c r="K1923" s="42"/>
      <c r="L1923" s="42"/>
      <c r="M1923" s="42"/>
      <c r="N1923" s="42"/>
      <c r="O1923" s="42"/>
      <c r="P1923" s="42"/>
      <c r="Q1923" s="42"/>
      <c r="R1923" s="42"/>
      <c r="S1923" s="42"/>
      <c r="T1923" s="42"/>
      <c r="U1923" s="42"/>
      <c r="V1923" s="42"/>
      <c r="W1923" s="42"/>
      <c r="X1923" s="42"/>
      <c r="Y1923" s="42"/>
      <c r="Z1923" s="42"/>
    </row>
    <row r="1924">
      <c r="A1924" s="42"/>
      <c r="B1924" s="42"/>
      <c r="C1924" s="42"/>
      <c r="D1924" s="42"/>
      <c r="E1924" s="42"/>
      <c r="F1924" s="42"/>
      <c r="G1924" s="42"/>
      <c r="H1924" s="42"/>
      <c r="I1924" s="43"/>
      <c r="J1924" s="42"/>
      <c r="K1924" s="42"/>
      <c r="L1924" s="42"/>
      <c r="M1924" s="42"/>
      <c r="N1924" s="42"/>
      <c r="O1924" s="42"/>
      <c r="P1924" s="42"/>
      <c r="Q1924" s="42"/>
      <c r="R1924" s="42"/>
      <c r="S1924" s="42"/>
      <c r="T1924" s="42"/>
      <c r="U1924" s="42"/>
      <c r="V1924" s="42"/>
      <c r="W1924" s="42"/>
      <c r="X1924" s="42"/>
      <c r="Y1924" s="42"/>
      <c r="Z1924" s="42"/>
    </row>
    <row r="1925">
      <c r="A1925" s="42"/>
      <c r="B1925" s="42"/>
      <c r="C1925" s="42"/>
      <c r="D1925" s="42"/>
      <c r="E1925" s="42"/>
      <c r="F1925" s="42"/>
      <c r="G1925" s="42"/>
      <c r="H1925" s="42"/>
      <c r="I1925" s="43"/>
      <c r="J1925" s="42"/>
      <c r="K1925" s="42"/>
      <c r="L1925" s="42"/>
      <c r="M1925" s="42"/>
      <c r="N1925" s="42"/>
      <c r="O1925" s="42"/>
      <c r="P1925" s="42"/>
      <c r="Q1925" s="42"/>
      <c r="R1925" s="42"/>
      <c r="S1925" s="42"/>
      <c r="T1925" s="42"/>
      <c r="U1925" s="42"/>
      <c r="V1925" s="42"/>
      <c r="W1925" s="42"/>
      <c r="X1925" s="42"/>
      <c r="Y1925" s="42"/>
      <c r="Z1925" s="42"/>
    </row>
    <row r="1926">
      <c r="A1926" s="42"/>
      <c r="B1926" s="42"/>
      <c r="C1926" s="42"/>
      <c r="D1926" s="42"/>
      <c r="E1926" s="42"/>
      <c r="F1926" s="42"/>
      <c r="G1926" s="42"/>
      <c r="H1926" s="42"/>
      <c r="I1926" s="43"/>
      <c r="J1926" s="42"/>
      <c r="K1926" s="42"/>
      <c r="L1926" s="42"/>
      <c r="M1926" s="42"/>
      <c r="N1926" s="42"/>
      <c r="O1926" s="42"/>
      <c r="P1926" s="42"/>
      <c r="Q1926" s="42"/>
      <c r="R1926" s="42"/>
      <c r="S1926" s="42"/>
      <c r="T1926" s="42"/>
      <c r="U1926" s="42"/>
      <c r="V1926" s="42"/>
      <c r="W1926" s="42"/>
      <c r="X1926" s="42"/>
      <c r="Y1926" s="42"/>
      <c r="Z1926" s="42"/>
    </row>
    <row r="1927">
      <c r="A1927" s="42"/>
      <c r="B1927" s="42"/>
      <c r="C1927" s="42"/>
      <c r="D1927" s="42"/>
      <c r="E1927" s="42"/>
      <c r="F1927" s="42"/>
      <c r="G1927" s="42"/>
      <c r="H1927" s="42"/>
      <c r="I1927" s="43"/>
      <c r="J1927" s="42"/>
      <c r="K1927" s="42"/>
      <c r="L1927" s="42"/>
      <c r="M1927" s="42"/>
      <c r="N1927" s="42"/>
      <c r="O1927" s="42"/>
      <c r="P1927" s="42"/>
      <c r="Q1927" s="42"/>
      <c r="R1927" s="42"/>
      <c r="S1927" s="42"/>
      <c r="T1927" s="42"/>
      <c r="U1927" s="42"/>
      <c r="V1927" s="42"/>
      <c r="W1927" s="42"/>
      <c r="X1927" s="42"/>
      <c r="Y1927" s="42"/>
      <c r="Z1927" s="42"/>
    </row>
    <row r="1928">
      <c r="A1928" s="42"/>
      <c r="B1928" s="42"/>
      <c r="C1928" s="42"/>
      <c r="D1928" s="42"/>
      <c r="E1928" s="42"/>
      <c r="F1928" s="42"/>
      <c r="G1928" s="42"/>
      <c r="H1928" s="42"/>
      <c r="I1928" s="43"/>
      <c r="J1928" s="42"/>
      <c r="K1928" s="42"/>
      <c r="L1928" s="42"/>
      <c r="M1928" s="42"/>
      <c r="N1928" s="42"/>
      <c r="O1928" s="42"/>
      <c r="P1928" s="42"/>
      <c r="Q1928" s="42"/>
      <c r="R1928" s="42"/>
      <c r="S1928" s="42"/>
      <c r="T1928" s="42"/>
      <c r="U1928" s="42"/>
      <c r="V1928" s="42"/>
      <c r="W1928" s="42"/>
      <c r="X1928" s="42"/>
      <c r="Y1928" s="42"/>
      <c r="Z1928" s="42"/>
    </row>
    <row r="1929">
      <c r="A1929" s="42"/>
      <c r="B1929" s="42"/>
      <c r="C1929" s="42"/>
      <c r="D1929" s="42"/>
      <c r="E1929" s="42"/>
      <c r="F1929" s="42"/>
      <c r="G1929" s="42"/>
      <c r="H1929" s="42"/>
      <c r="I1929" s="43"/>
      <c r="J1929" s="42"/>
      <c r="K1929" s="42"/>
      <c r="L1929" s="42"/>
      <c r="M1929" s="42"/>
      <c r="N1929" s="42"/>
      <c r="O1929" s="42"/>
      <c r="P1929" s="42"/>
      <c r="Q1929" s="42"/>
      <c r="R1929" s="42"/>
      <c r="S1929" s="42"/>
      <c r="T1929" s="42"/>
      <c r="U1929" s="42"/>
      <c r="V1929" s="42"/>
      <c r="W1929" s="42"/>
      <c r="X1929" s="42"/>
      <c r="Y1929" s="42"/>
      <c r="Z1929" s="42"/>
    </row>
    <row r="1930">
      <c r="A1930" s="42"/>
      <c r="B1930" s="42"/>
      <c r="C1930" s="42"/>
      <c r="D1930" s="42"/>
      <c r="E1930" s="42"/>
      <c r="F1930" s="42"/>
      <c r="G1930" s="42"/>
      <c r="H1930" s="42"/>
      <c r="I1930" s="43"/>
      <c r="J1930" s="42"/>
      <c r="K1930" s="42"/>
      <c r="L1930" s="42"/>
      <c r="M1930" s="42"/>
      <c r="N1930" s="42"/>
      <c r="O1930" s="42"/>
      <c r="P1930" s="42"/>
      <c r="Q1930" s="42"/>
      <c r="R1930" s="42"/>
      <c r="S1930" s="42"/>
      <c r="T1930" s="42"/>
      <c r="U1930" s="42"/>
      <c r="V1930" s="42"/>
      <c r="W1930" s="42"/>
      <c r="X1930" s="42"/>
      <c r="Y1930" s="42"/>
      <c r="Z1930" s="42"/>
    </row>
    <row r="1931">
      <c r="A1931" s="42"/>
      <c r="B1931" s="42"/>
      <c r="C1931" s="42"/>
      <c r="D1931" s="42"/>
      <c r="E1931" s="42"/>
      <c r="F1931" s="42"/>
      <c r="G1931" s="42"/>
      <c r="H1931" s="42"/>
      <c r="I1931" s="43"/>
      <c r="J1931" s="42"/>
      <c r="K1931" s="42"/>
      <c r="L1931" s="42"/>
      <c r="M1931" s="42"/>
      <c r="N1931" s="42"/>
      <c r="O1931" s="42"/>
      <c r="P1931" s="42"/>
      <c r="Q1931" s="42"/>
      <c r="R1931" s="42"/>
      <c r="S1931" s="42"/>
      <c r="T1931" s="42"/>
      <c r="U1931" s="42"/>
      <c r="V1931" s="42"/>
      <c r="W1931" s="42"/>
      <c r="X1931" s="42"/>
      <c r="Y1931" s="42"/>
      <c r="Z1931" s="42"/>
    </row>
    <row r="1932">
      <c r="A1932" s="42"/>
      <c r="B1932" s="42"/>
      <c r="C1932" s="42"/>
      <c r="D1932" s="42"/>
      <c r="E1932" s="42"/>
      <c r="F1932" s="42"/>
      <c r="G1932" s="42"/>
      <c r="H1932" s="42"/>
      <c r="I1932" s="43"/>
      <c r="J1932" s="42"/>
      <c r="K1932" s="42"/>
      <c r="L1932" s="42"/>
      <c r="M1932" s="42"/>
      <c r="N1932" s="42"/>
      <c r="O1932" s="42"/>
      <c r="P1932" s="42"/>
      <c r="Q1932" s="42"/>
      <c r="R1932" s="42"/>
      <c r="S1932" s="42"/>
      <c r="T1932" s="42"/>
      <c r="U1932" s="42"/>
      <c r="V1932" s="42"/>
      <c r="W1932" s="42"/>
      <c r="X1932" s="42"/>
      <c r="Y1932" s="42"/>
      <c r="Z1932" s="42"/>
    </row>
    <row r="1933">
      <c r="A1933" s="42"/>
      <c r="B1933" s="42"/>
      <c r="C1933" s="42"/>
      <c r="D1933" s="42"/>
      <c r="E1933" s="42"/>
      <c r="F1933" s="42"/>
      <c r="G1933" s="42"/>
      <c r="H1933" s="42"/>
      <c r="I1933" s="43"/>
      <c r="J1933" s="42"/>
      <c r="K1933" s="42"/>
      <c r="L1933" s="42"/>
      <c r="M1933" s="42"/>
      <c r="N1933" s="42"/>
      <c r="O1933" s="42"/>
      <c r="P1933" s="42"/>
      <c r="Q1933" s="42"/>
      <c r="R1933" s="42"/>
      <c r="S1933" s="42"/>
      <c r="T1933" s="42"/>
      <c r="U1933" s="42"/>
      <c r="V1933" s="42"/>
      <c r="W1933" s="42"/>
      <c r="X1933" s="42"/>
      <c r="Y1933" s="42"/>
      <c r="Z1933" s="42"/>
    </row>
    <row r="1934">
      <c r="A1934" s="42"/>
      <c r="B1934" s="42"/>
      <c r="C1934" s="42"/>
      <c r="D1934" s="42"/>
      <c r="E1934" s="42"/>
      <c r="F1934" s="42"/>
      <c r="G1934" s="42"/>
      <c r="H1934" s="42"/>
      <c r="I1934" s="43"/>
      <c r="J1934" s="42"/>
      <c r="K1934" s="42"/>
      <c r="L1934" s="42"/>
      <c r="M1934" s="42"/>
      <c r="N1934" s="42"/>
      <c r="O1934" s="42"/>
      <c r="P1934" s="42"/>
      <c r="Q1934" s="42"/>
      <c r="R1934" s="42"/>
      <c r="S1934" s="42"/>
      <c r="T1934" s="42"/>
      <c r="U1934" s="42"/>
      <c r="V1934" s="42"/>
      <c r="W1934" s="42"/>
      <c r="X1934" s="42"/>
      <c r="Y1934" s="42"/>
      <c r="Z1934" s="42"/>
    </row>
    <row r="1935">
      <c r="A1935" s="42"/>
      <c r="B1935" s="42"/>
      <c r="C1935" s="42"/>
      <c r="D1935" s="42"/>
      <c r="E1935" s="42"/>
      <c r="F1935" s="42"/>
      <c r="G1935" s="42"/>
      <c r="H1935" s="42"/>
      <c r="I1935" s="43"/>
      <c r="J1935" s="42"/>
      <c r="K1935" s="42"/>
      <c r="L1935" s="42"/>
      <c r="M1935" s="42"/>
      <c r="N1935" s="42"/>
      <c r="O1935" s="42"/>
      <c r="P1935" s="42"/>
      <c r="Q1935" s="42"/>
      <c r="R1935" s="42"/>
      <c r="S1935" s="42"/>
      <c r="T1935" s="42"/>
      <c r="U1935" s="42"/>
      <c r="V1935" s="42"/>
      <c r="W1935" s="42"/>
      <c r="X1935" s="42"/>
      <c r="Y1935" s="42"/>
      <c r="Z1935" s="42"/>
    </row>
    <row r="1936">
      <c r="A1936" s="42"/>
      <c r="B1936" s="42"/>
      <c r="C1936" s="42"/>
      <c r="D1936" s="42"/>
      <c r="E1936" s="42"/>
      <c r="F1936" s="42"/>
      <c r="G1936" s="42"/>
      <c r="H1936" s="42"/>
      <c r="I1936" s="43"/>
      <c r="J1936" s="42"/>
      <c r="K1936" s="42"/>
      <c r="L1936" s="42"/>
      <c r="M1936" s="42"/>
      <c r="N1936" s="42"/>
      <c r="O1936" s="42"/>
      <c r="P1936" s="42"/>
      <c r="Q1936" s="42"/>
      <c r="R1936" s="42"/>
      <c r="S1936" s="42"/>
      <c r="T1936" s="42"/>
      <c r="U1936" s="42"/>
      <c r="V1936" s="42"/>
      <c r="W1936" s="42"/>
      <c r="X1936" s="42"/>
      <c r="Y1936" s="42"/>
      <c r="Z1936" s="42"/>
    </row>
    <row r="1937">
      <c r="A1937" s="42"/>
      <c r="B1937" s="42"/>
      <c r="C1937" s="42"/>
      <c r="D1937" s="42"/>
      <c r="E1937" s="42"/>
      <c r="F1937" s="42"/>
      <c r="G1937" s="42"/>
      <c r="H1937" s="42"/>
      <c r="I1937" s="43"/>
      <c r="J1937" s="42"/>
      <c r="K1937" s="42"/>
      <c r="L1937" s="42"/>
      <c r="M1937" s="42"/>
      <c r="N1937" s="42"/>
      <c r="O1937" s="42"/>
      <c r="P1937" s="42"/>
      <c r="Q1937" s="42"/>
      <c r="R1937" s="42"/>
      <c r="S1937" s="42"/>
      <c r="T1937" s="42"/>
      <c r="U1937" s="42"/>
      <c r="V1937" s="42"/>
      <c r="W1937" s="42"/>
      <c r="X1937" s="42"/>
      <c r="Y1937" s="42"/>
      <c r="Z1937" s="42"/>
    </row>
    <row r="1938">
      <c r="A1938" s="42"/>
      <c r="B1938" s="42"/>
      <c r="C1938" s="42"/>
      <c r="D1938" s="42"/>
      <c r="E1938" s="42"/>
      <c r="F1938" s="42"/>
      <c r="G1938" s="42"/>
      <c r="H1938" s="42"/>
      <c r="I1938" s="43"/>
      <c r="J1938" s="42"/>
      <c r="K1938" s="42"/>
      <c r="L1938" s="42"/>
      <c r="M1938" s="42"/>
      <c r="N1938" s="42"/>
      <c r="O1938" s="42"/>
      <c r="P1938" s="42"/>
      <c r="Q1938" s="42"/>
      <c r="R1938" s="42"/>
      <c r="S1938" s="42"/>
      <c r="T1938" s="42"/>
      <c r="U1938" s="42"/>
      <c r="V1938" s="42"/>
      <c r="W1938" s="42"/>
      <c r="X1938" s="42"/>
      <c r="Y1938" s="42"/>
      <c r="Z1938" s="42"/>
    </row>
    <row r="1939">
      <c r="A1939" s="42"/>
      <c r="B1939" s="42"/>
      <c r="C1939" s="42"/>
      <c r="D1939" s="42"/>
      <c r="E1939" s="42"/>
      <c r="F1939" s="42"/>
      <c r="G1939" s="42"/>
      <c r="H1939" s="42"/>
      <c r="I1939" s="43"/>
      <c r="J1939" s="42"/>
      <c r="K1939" s="42"/>
      <c r="L1939" s="42"/>
      <c r="M1939" s="42"/>
      <c r="N1939" s="42"/>
      <c r="O1939" s="42"/>
      <c r="P1939" s="42"/>
      <c r="Q1939" s="42"/>
      <c r="R1939" s="42"/>
      <c r="S1939" s="42"/>
      <c r="T1939" s="42"/>
      <c r="U1939" s="42"/>
      <c r="V1939" s="42"/>
      <c r="W1939" s="42"/>
      <c r="X1939" s="42"/>
      <c r="Y1939" s="42"/>
      <c r="Z1939" s="42"/>
    </row>
    <row r="1940">
      <c r="A1940" s="42"/>
      <c r="B1940" s="42"/>
      <c r="C1940" s="42"/>
      <c r="D1940" s="42"/>
      <c r="E1940" s="42"/>
      <c r="F1940" s="42"/>
      <c r="G1940" s="42"/>
      <c r="H1940" s="42"/>
      <c r="I1940" s="43"/>
      <c r="J1940" s="42"/>
      <c r="K1940" s="42"/>
      <c r="L1940" s="42"/>
      <c r="M1940" s="42"/>
      <c r="N1940" s="42"/>
      <c r="O1940" s="42"/>
      <c r="P1940" s="42"/>
      <c r="Q1940" s="42"/>
      <c r="R1940" s="42"/>
      <c r="S1940" s="42"/>
      <c r="T1940" s="42"/>
      <c r="U1940" s="42"/>
      <c r="V1940" s="42"/>
      <c r="W1940" s="42"/>
      <c r="X1940" s="42"/>
      <c r="Y1940" s="42"/>
      <c r="Z1940" s="42"/>
    </row>
    <row r="1941">
      <c r="A1941" s="42"/>
      <c r="B1941" s="42"/>
      <c r="C1941" s="42"/>
      <c r="D1941" s="42"/>
      <c r="E1941" s="42"/>
      <c r="F1941" s="42"/>
      <c r="G1941" s="42"/>
      <c r="H1941" s="42"/>
      <c r="I1941" s="43"/>
      <c r="J1941" s="42"/>
      <c r="K1941" s="42"/>
      <c r="L1941" s="42"/>
      <c r="M1941" s="42"/>
      <c r="N1941" s="42"/>
      <c r="O1941" s="42"/>
      <c r="P1941" s="42"/>
      <c r="Q1941" s="42"/>
      <c r="R1941" s="42"/>
      <c r="S1941" s="42"/>
      <c r="T1941" s="42"/>
      <c r="U1941" s="42"/>
      <c r="V1941" s="42"/>
      <c r="W1941" s="42"/>
      <c r="X1941" s="42"/>
      <c r="Y1941" s="42"/>
      <c r="Z1941" s="42"/>
    </row>
    <row r="1942">
      <c r="A1942" s="42"/>
      <c r="B1942" s="42"/>
      <c r="C1942" s="42"/>
      <c r="D1942" s="42"/>
      <c r="E1942" s="42"/>
      <c r="F1942" s="42"/>
      <c r="G1942" s="42"/>
      <c r="H1942" s="42"/>
      <c r="I1942" s="43"/>
      <c r="J1942" s="42"/>
      <c r="K1942" s="42"/>
      <c r="L1942" s="42"/>
      <c r="M1942" s="42"/>
      <c r="N1942" s="42"/>
      <c r="O1942" s="42"/>
      <c r="P1942" s="42"/>
      <c r="Q1942" s="42"/>
      <c r="R1942" s="42"/>
      <c r="S1942" s="42"/>
      <c r="T1942" s="42"/>
      <c r="U1942" s="42"/>
      <c r="V1942" s="42"/>
      <c r="W1942" s="42"/>
      <c r="X1942" s="42"/>
      <c r="Y1942" s="42"/>
      <c r="Z1942" s="42"/>
    </row>
    <row r="1943">
      <c r="A1943" s="42"/>
      <c r="B1943" s="42"/>
      <c r="C1943" s="42"/>
      <c r="D1943" s="42"/>
      <c r="E1943" s="42"/>
      <c r="F1943" s="42"/>
      <c r="G1943" s="42"/>
      <c r="H1943" s="42"/>
      <c r="I1943" s="43"/>
      <c r="J1943" s="42"/>
      <c r="K1943" s="42"/>
      <c r="L1943" s="42"/>
      <c r="M1943" s="42"/>
      <c r="N1943" s="42"/>
      <c r="O1943" s="42"/>
      <c r="P1943" s="42"/>
      <c r="Q1943" s="42"/>
      <c r="R1943" s="42"/>
      <c r="S1943" s="42"/>
      <c r="T1943" s="42"/>
      <c r="U1943" s="42"/>
      <c r="V1943" s="42"/>
      <c r="W1943" s="42"/>
      <c r="X1943" s="42"/>
      <c r="Y1943" s="42"/>
      <c r="Z1943" s="42"/>
    </row>
    <row r="1944">
      <c r="A1944" s="42"/>
      <c r="B1944" s="42"/>
      <c r="C1944" s="42"/>
      <c r="D1944" s="42"/>
      <c r="E1944" s="42"/>
      <c r="F1944" s="42"/>
      <c r="G1944" s="42"/>
      <c r="H1944" s="42"/>
      <c r="I1944" s="43"/>
      <c r="J1944" s="42"/>
      <c r="K1944" s="42"/>
      <c r="L1944" s="42"/>
      <c r="M1944" s="42"/>
      <c r="N1944" s="42"/>
      <c r="O1944" s="42"/>
      <c r="P1944" s="42"/>
      <c r="Q1944" s="42"/>
      <c r="R1944" s="42"/>
      <c r="S1944" s="42"/>
      <c r="T1944" s="42"/>
      <c r="U1944" s="42"/>
      <c r="V1944" s="42"/>
      <c r="W1944" s="42"/>
      <c r="X1944" s="42"/>
      <c r="Y1944" s="42"/>
      <c r="Z1944" s="42"/>
    </row>
    <row r="1945">
      <c r="A1945" s="42"/>
      <c r="B1945" s="42"/>
      <c r="C1945" s="42"/>
      <c r="D1945" s="42"/>
      <c r="E1945" s="42"/>
      <c r="F1945" s="42"/>
      <c r="G1945" s="42"/>
      <c r="H1945" s="42"/>
      <c r="I1945" s="43"/>
      <c r="J1945" s="42"/>
      <c r="K1945" s="42"/>
      <c r="L1945" s="42"/>
      <c r="M1945" s="42"/>
      <c r="N1945" s="42"/>
      <c r="O1945" s="42"/>
      <c r="P1945" s="42"/>
      <c r="Q1945" s="42"/>
      <c r="R1945" s="42"/>
      <c r="S1945" s="42"/>
      <c r="T1945" s="42"/>
      <c r="U1945" s="42"/>
      <c r="V1945" s="42"/>
      <c r="W1945" s="42"/>
      <c r="X1945" s="42"/>
      <c r="Y1945" s="42"/>
      <c r="Z1945" s="42"/>
    </row>
    <row r="1946">
      <c r="A1946" s="42"/>
      <c r="B1946" s="42"/>
      <c r="C1946" s="42"/>
      <c r="D1946" s="42"/>
      <c r="E1946" s="42"/>
      <c r="F1946" s="42"/>
      <c r="G1946" s="42"/>
      <c r="H1946" s="42"/>
      <c r="I1946" s="43"/>
      <c r="J1946" s="42"/>
      <c r="K1946" s="42"/>
      <c r="L1946" s="42"/>
      <c r="M1946" s="42"/>
      <c r="N1946" s="42"/>
      <c r="O1946" s="42"/>
      <c r="P1946" s="42"/>
      <c r="Q1946" s="42"/>
      <c r="R1946" s="42"/>
      <c r="S1946" s="42"/>
      <c r="T1946" s="42"/>
      <c r="U1946" s="42"/>
      <c r="V1946" s="42"/>
      <c r="W1946" s="42"/>
      <c r="X1946" s="42"/>
      <c r="Y1946" s="42"/>
      <c r="Z1946" s="42"/>
    </row>
    <row r="1947">
      <c r="A1947" s="42"/>
      <c r="B1947" s="42"/>
      <c r="C1947" s="42"/>
      <c r="D1947" s="42"/>
      <c r="E1947" s="42"/>
      <c r="F1947" s="42"/>
      <c r="G1947" s="42"/>
      <c r="H1947" s="42"/>
      <c r="I1947" s="43"/>
      <c r="J1947" s="42"/>
      <c r="K1947" s="42"/>
      <c r="L1947" s="42"/>
      <c r="M1947" s="42"/>
      <c r="N1947" s="42"/>
      <c r="O1947" s="42"/>
      <c r="P1947" s="42"/>
      <c r="Q1947" s="42"/>
      <c r="R1947" s="42"/>
      <c r="S1947" s="42"/>
      <c r="T1947" s="42"/>
      <c r="U1947" s="42"/>
      <c r="V1947" s="42"/>
      <c r="W1947" s="42"/>
      <c r="X1947" s="42"/>
      <c r="Y1947" s="42"/>
      <c r="Z1947" s="42"/>
    </row>
    <row r="1948">
      <c r="A1948" s="42"/>
      <c r="B1948" s="42"/>
      <c r="C1948" s="42"/>
      <c r="D1948" s="42"/>
      <c r="E1948" s="42"/>
      <c r="F1948" s="42"/>
      <c r="G1948" s="42"/>
      <c r="H1948" s="42"/>
      <c r="I1948" s="43"/>
      <c r="J1948" s="42"/>
      <c r="K1948" s="42"/>
      <c r="L1948" s="42"/>
      <c r="M1948" s="42"/>
      <c r="N1948" s="42"/>
      <c r="O1948" s="42"/>
      <c r="P1948" s="42"/>
      <c r="Q1948" s="42"/>
      <c r="R1948" s="42"/>
      <c r="S1948" s="42"/>
      <c r="T1948" s="42"/>
      <c r="U1948" s="42"/>
      <c r="V1948" s="42"/>
      <c r="W1948" s="42"/>
      <c r="X1948" s="42"/>
      <c r="Y1948" s="42"/>
      <c r="Z1948" s="42"/>
    </row>
    <row r="1949">
      <c r="A1949" s="42"/>
      <c r="B1949" s="42"/>
      <c r="C1949" s="42"/>
      <c r="D1949" s="42"/>
      <c r="E1949" s="42"/>
      <c r="F1949" s="42"/>
      <c r="G1949" s="42"/>
      <c r="H1949" s="42"/>
      <c r="I1949" s="43"/>
      <c r="J1949" s="42"/>
      <c r="K1949" s="42"/>
      <c r="L1949" s="42"/>
      <c r="M1949" s="42"/>
      <c r="N1949" s="42"/>
      <c r="O1949" s="42"/>
      <c r="P1949" s="42"/>
      <c r="Q1949" s="42"/>
      <c r="R1949" s="42"/>
      <c r="S1949" s="42"/>
      <c r="T1949" s="42"/>
      <c r="U1949" s="42"/>
      <c r="V1949" s="42"/>
      <c r="W1949" s="42"/>
      <c r="X1949" s="42"/>
      <c r="Y1949" s="42"/>
      <c r="Z1949" s="42"/>
    </row>
    <row r="1950">
      <c r="A1950" s="42"/>
      <c r="B1950" s="42"/>
      <c r="C1950" s="42"/>
      <c r="D1950" s="42"/>
      <c r="E1950" s="42"/>
      <c r="F1950" s="42"/>
      <c r="G1950" s="42"/>
      <c r="H1950" s="42"/>
      <c r="I1950" s="43"/>
      <c r="J1950" s="42"/>
      <c r="K1950" s="42"/>
      <c r="L1950" s="42"/>
      <c r="M1950" s="42"/>
      <c r="N1950" s="42"/>
      <c r="O1950" s="42"/>
      <c r="P1950" s="42"/>
      <c r="Q1950" s="42"/>
      <c r="R1950" s="42"/>
      <c r="S1950" s="42"/>
      <c r="T1950" s="42"/>
      <c r="U1950" s="42"/>
      <c r="V1950" s="42"/>
      <c r="W1950" s="42"/>
      <c r="X1950" s="42"/>
      <c r="Y1950" s="42"/>
      <c r="Z1950" s="42"/>
    </row>
    <row r="1951">
      <c r="A1951" s="42"/>
      <c r="B1951" s="42"/>
      <c r="C1951" s="42"/>
      <c r="D1951" s="42"/>
      <c r="E1951" s="42"/>
      <c r="F1951" s="42"/>
      <c r="G1951" s="42"/>
      <c r="H1951" s="42"/>
      <c r="I1951" s="43"/>
      <c r="J1951" s="42"/>
      <c r="K1951" s="42"/>
      <c r="L1951" s="42"/>
      <c r="M1951" s="42"/>
      <c r="N1951" s="42"/>
      <c r="O1951" s="42"/>
      <c r="P1951" s="42"/>
      <c r="Q1951" s="42"/>
      <c r="R1951" s="42"/>
      <c r="S1951" s="42"/>
      <c r="T1951" s="42"/>
      <c r="U1951" s="42"/>
      <c r="V1951" s="42"/>
      <c r="W1951" s="42"/>
      <c r="X1951" s="42"/>
      <c r="Y1951" s="42"/>
      <c r="Z1951" s="42"/>
    </row>
    <row r="1952">
      <c r="A1952" s="42"/>
      <c r="B1952" s="42"/>
      <c r="C1952" s="42"/>
      <c r="D1952" s="42"/>
      <c r="E1952" s="42"/>
      <c r="F1952" s="42"/>
      <c r="G1952" s="42"/>
      <c r="H1952" s="42"/>
      <c r="I1952" s="43"/>
      <c r="J1952" s="42"/>
      <c r="K1952" s="42"/>
      <c r="L1952" s="42"/>
      <c r="M1952" s="42"/>
      <c r="N1952" s="42"/>
      <c r="O1952" s="42"/>
      <c r="P1952" s="42"/>
      <c r="Q1952" s="42"/>
      <c r="R1952" s="42"/>
      <c r="S1952" s="42"/>
      <c r="T1952" s="42"/>
      <c r="U1952" s="42"/>
      <c r="V1952" s="42"/>
      <c r="W1952" s="42"/>
      <c r="X1952" s="42"/>
      <c r="Y1952" s="42"/>
      <c r="Z1952" s="42"/>
    </row>
    <row r="1953">
      <c r="A1953" s="42"/>
      <c r="B1953" s="42"/>
      <c r="C1953" s="42"/>
      <c r="D1953" s="42"/>
      <c r="E1953" s="42"/>
      <c r="F1953" s="42"/>
      <c r="G1953" s="42"/>
      <c r="H1953" s="42"/>
      <c r="I1953" s="43"/>
      <c r="J1953" s="42"/>
      <c r="K1953" s="42"/>
      <c r="L1953" s="42"/>
      <c r="M1953" s="42"/>
      <c r="N1953" s="42"/>
      <c r="O1953" s="42"/>
      <c r="P1953" s="42"/>
      <c r="Q1953" s="42"/>
      <c r="R1953" s="42"/>
      <c r="S1953" s="42"/>
      <c r="T1953" s="42"/>
      <c r="U1953" s="42"/>
      <c r="V1953" s="42"/>
      <c r="W1953" s="42"/>
      <c r="X1953" s="42"/>
      <c r="Y1953" s="42"/>
      <c r="Z1953" s="42"/>
    </row>
    <row r="1954">
      <c r="A1954" s="42"/>
      <c r="B1954" s="42"/>
      <c r="C1954" s="42"/>
      <c r="D1954" s="42"/>
      <c r="E1954" s="42"/>
      <c r="F1954" s="42"/>
      <c r="G1954" s="42"/>
      <c r="H1954" s="42"/>
      <c r="I1954" s="43"/>
      <c r="J1954" s="42"/>
      <c r="K1954" s="42"/>
      <c r="L1954" s="42"/>
      <c r="M1954" s="42"/>
      <c r="N1954" s="42"/>
      <c r="O1954" s="42"/>
      <c r="P1954" s="42"/>
      <c r="Q1954" s="42"/>
      <c r="R1954" s="42"/>
      <c r="S1954" s="42"/>
      <c r="T1954" s="42"/>
      <c r="U1954" s="42"/>
      <c r="V1954" s="42"/>
      <c r="W1954" s="42"/>
      <c r="X1954" s="42"/>
      <c r="Y1954" s="42"/>
      <c r="Z1954" s="42"/>
    </row>
    <row r="1955">
      <c r="A1955" s="42"/>
      <c r="B1955" s="42"/>
      <c r="C1955" s="42"/>
      <c r="D1955" s="42"/>
      <c r="E1955" s="42"/>
      <c r="F1955" s="42"/>
      <c r="G1955" s="42"/>
      <c r="H1955" s="42"/>
      <c r="I1955" s="43"/>
      <c r="J1955" s="42"/>
      <c r="K1955" s="42"/>
      <c r="L1955" s="42"/>
      <c r="M1955" s="42"/>
      <c r="N1955" s="42"/>
      <c r="O1955" s="42"/>
      <c r="P1955" s="42"/>
      <c r="Q1955" s="42"/>
      <c r="R1955" s="42"/>
      <c r="S1955" s="42"/>
      <c r="T1955" s="42"/>
      <c r="U1955" s="42"/>
      <c r="V1955" s="42"/>
      <c r="W1955" s="42"/>
      <c r="X1955" s="42"/>
      <c r="Y1955" s="42"/>
      <c r="Z1955" s="42"/>
    </row>
    <row r="1956">
      <c r="A1956" s="42"/>
      <c r="B1956" s="42"/>
      <c r="C1956" s="42"/>
      <c r="D1956" s="42"/>
      <c r="E1956" s="42"/>
      <c r="F1956" s="42"/>
      <c r="G1956" s="42"/>
      <c r="H1956" s="42"/>
      <c r="I1956" s="43"/>
      <c r="J1956" s="42"/>
      <c r="K1956" s="42"/>
      <c r="L1956" s="42"/>
      <c r="M1956" s="42"/>
      <c r="N1956" s="42"/>
      <c r="O1956" s="42"/>
      <c r="P1956" s="42"/>
      <c r="Q1956" s="42"/>
      <c r="R1956" s="42"/>
      <c r="S1956" s="42"/>
      <c r="T1956" s="42"/>
      <c r="U1956" s="42"/>
      <c r="V1956" s="42"/>
      <c r="W1956" s="42"/>
      <c r="X1956" s="42"/>
      <c r="Y1956" s="42"/>
      <c r="Z1956" s="42"/>
    </row>
    <row r="1957">
      <c r="A1957" s="42"/>
      <c r="B1957" s="42"/>
      <c r="C1957" s="42"/>
      <c r="D1957" s="42"/>
      <c r="E1957" s="42"/>
      <c r="F1957" s="42"/>
      <c r="G1957" s="42"/>
      <c r="H1957" s="42"/>
      <c r="I1957" s="43"/>
      <c r="J1957" s="42"/>
      <c r="K1957" s="42"/>
      <c r="L1957" s="42"/>
      <c r="M1957" s="42"/>
      <c r="N1957" s="42"/>
      <c r="O1957" s="42"/>
      <c r="P1957" s="42"/>
      <c r="Q1957" s="42"/>
      <c r="R1957" s="42"/>
      <c r="S1957" s="42"/>
      <c r="T1957" s="42"/>
      <c r="U1957" s="42"/>
      <c r="V1957" s="42"/>
      <c r="W1957" s="42"/>
      <c r="X1957" s="42"/>
      <c r="Y1957" s="42"/>
      <c r="Z1957" s="42"/>
    </row>
    <row r="1958">
      <c r="A1958" s="42"/>
      <c r="B1958" s="42"/>
      <c r="C1958" s="42"/>
      <c r="D1958" s="42"/>
      <c r="E1958" s="42"/>
      <c r="F1958" s="42"/>
      <c r="G1958" s="42"/>
      <c r="H1958" s="42"/>
      <c r="I1958" s="43"/>
      <c r="J1958" s="42"/>
      <c r="K1958" s="42"/>
      <c r="L1958" s="42"/>
      <c r="M1958" s="42"/>
      <c r="N1958" s="42"/>
      <c r="O1958" s="42"/>
      <c r="P1958" s="42"/>
      <c r="Q1958" s="42"/>
      <c r="R1958" s="42"/>
      <c r="S1958" s="42"/>
      <c r="T1958" s="42"/>
      <c r="U1958" s="42"/>
      <c r="V1958" s="42"/>
      <c r="W1958" s="42"/>
      <c r="X1958" s="42"/>
      <c r="Y1958" s="42"/>
      <c r="Z1958" s="42"/>
    </row>
    <row r="1959">
      <c r="A1959" s="42"/>
      <c r="B1959" s="42"/>
      <c r="C1959" s="42"/>
      <c r="D1959" s="42"/>
      <c r="E1959" s="42"/>
      <c r="F1959" s="42"/>
      <c r="G1959" s="42"/>
      <c r="H1959" s="42"/>
      <c r="I1959" s="43"/>
      <c r="J1959" s="42"/>
      <c r="K1959" s="42"/>
      <c r="L1959" s="42"/>
      <c r="M1959" s="42"/>
      <c r="N1959" s="42"/>
      <c r="O1959" s="42"/>
      <c r="P1959" s="42"/>
      <c r="Q1959" s="42"/>
      <c r="R1959" s="42"/>
      <c r="S1959" s="42"/>
      <c r="T1959" s="42"/>
      <c r="U1959" s="42"/>
      <c r="V1959" s="42"/>
      <c r="W1959" s="42"/>
      <c r="X1959" s="42"/>
      <c r="Y1959" s="42"/>
      <c r="Z1959" s="42"/>
    </row>
    <row r="1960">
      <c r="A1960" s="42"/>
      <c r="B1960" s="42"/>
      <c r="C1960" s="42"/>
      <c r="D1960" s="42"/>
      <c r="E1960" s="42"/>
      <c r="F1960" s="42"/>
      <c r="G1960" s="42"/>
      <c r="H1960" s="42"/>
      <c r="I1960" s="43"/>
      <c r="J1960" s="42"/>
      <c r="K1960" s="42"/>
      <c r="L1960" s="42"/>
      <c r="M1960" s="42"/>
      <c r="N1960" s="42"/>
      <c r="O1960" s="42"/>
      <c r="P1960" s="42"/>
      <c r="Q1960" s="42"/>
      <c r="R1960" s="42"/>
      <c r="S1960" s="42"/>
      <c r="T1960" s="42"/>
      <c r="U1960" s="42"/>
      <c r="V1960" s="42"/>
      <c r="W1960" s="42"/>
      <c r="X1960" s="42"/>
      <c r="Y1960" s="42"/>
      <c r="Z1960" s="42"/>
    </row>
    <row r="1961">
      <c r="A1961" s="42"/>
      <c r="B1961" s="42"/>
      <c r="C1961" s="42"/>
      <c r="D1961" s="42"/>
      <c r="E1961" s="42"/>
      <c r="F1961" s="42"/>
      <c r="G1961" s="42"/>
      <c r="H1961" s="42"/>
      <c r="I1961" s="43"/>
      <c r="J1961" s="42"/>
      <c r="K1961" s="42"/>
      <c r="L1961" s="42"/>
      <c r="M1961" s="42"/>
      <c r="N1961" s="42"/>
      <c r="O1961" s="42"/>
      <c r="P1961" s="42"/>
      <c r="Q1961" s="42"/>
      <c r="R1961" s="42"/>
      <c r="S1961" s="42"/>
      <c r="T1961" s="42"/>
      <c r="U1961" s="42"/>
      <c r="V1961" s="42"/>
      <c r="W1961" s="42"/>
      <c r="X1961" s="42"/>
      <c r="Y1961" s="42"/>
      <c r="Z1961" s="42"/>
    </row>
    <row r="1962">
      <c r="A1962" s="42"/>
      <c r="B1962" s="42"/>
      <c r="C1962" s="42"/>
      <c r="D1962" s="42"/>
      <c r="E1962" s="42"/>
      <c r="F1962" s="42"/>
      <c r="G1962" s="42"/>
      <c r="H1962" s="42"/>
      <c r="I1962" s="43"/>
      <c r="J1962" s="42"/>
      <c r="K1962" s="42"/>
      <c r="L1962" s="42"/>
      <c r="M1962" s="42"/>
      <c r="N1962" s="42"/>
      <c r="O1962" s="42"/>
      <c r="P1962" s="42"/>
      <c r="Q1962" s="42"/>
      <c r="R1962" s="42"/>
      <c r="S1962" s="42"/>
      <c r="T1962" s="42"/>
      <c r="U1962" s="42"/>
      <c r="V1962" s="42"/>
      <c r="W1962" s="42"/>
      <c r="X1962" s="42"/>
      <c r="Y1962" s="42"/>
      <c r="Z1962" s="42"/>
    </row>
    <row r="1963">
      <c r="A1963" s="42"/>
      <c r="B1963" s="42"/>
      <c r="C1963" s="42"/>
      <c r="D1963" s="42"/>
      <c r="E1963" s="42"/>
      <c r="F1963" s="42"/>
      <c r="G1963" s="42"/>
      <c r="H1963" s="42"/>
      <c r="I1963" s="43"/>
      <c r="J1963" s="42"/>
      <c r="K1963" s="42"/>
      <c r="L1963" s="42"/>
      <c r="M1963" s="42"/>
      <c r="N1963" s="42"/>
      <c r="O1963" s="42"/>
      <c r="P1963" s="42"/>
      <c r="Q1963" s="42"/>
      <c r="R1963" s="42"/>
      <c r="S1963" s="42"/>
      <c r="T1963" s="42"/>
      <c r="U1963" s="42"/>
      <c r="V1963" s="42"/>
      <c r="W1963" s="42"/>
      <c r="X1963" s="42"/>
      <c r="Y1963" s="42"/>
      <c r="Z1963" s="42"/>
    </row>
    <row r="1964">
      <c r="A1964" s="42"/>
      <c r="B1964" s="42"/>
      <c r="C1964" s="42"/>
      <c r="D1964" s="42"/>
      <c r="E1964" s="42"/>
      <c r="F1964" s="42"/>
      <c r="G1964" s="42"/>
      <c r="H1964" s="42"/>
      <c r="I1964" s="43"/>
      <c r="J1964" s="42"/>
      <c r="K1964" s="42"/>
      <c r="L1964" s="42"/>
      <c r="M1964" s="42"/>
      <c r="N1964" s="42"/>
      <c r="O1964" s="42"/>
      <c r="P1964" s="42"/>
      <c r="Q1964" s="42"/>
      <c r="R1964" s="42"/>
      <c r="S1964" s="42"/>
      <c r="T1964" s="42"/>
      <c r="U1964" s="42"/>
      <c r="V1964" s="42"/>
      <c r="W1964" s="42"/>
      <c r="X1964" s="42"/>
      <c r="Y1964" s="42"/>
      <c r="Z1964" s="42"/>
    </row>
    <row r="1965">
      <c r="A1965" s="42"/>
      <c r="B1965" s="42"/>
      <c r="C1965" s="42"/>
      <c r="D1965" s="42"/>
      <c r="E1965" s="42"/>
      <c r="F1965" s="42"/>
      <c r="G1965" s="42"/>
      <c r="H1965" s="42"/>
      <c r="I1965" s="43"/>
      <c r="J1965" s="42"/>
      <c r="K1965" s="42"/>
      <c r="L1965" s="42"/>
      <c r="M1965" s="42"/>
      <c r="N1965" s="42"/>
      <c r="O1965" s="42"/>
      <c r="P1965" s="42"/>
      <c r="Q1965" s="42"/>
      <c r="R1965" s="42"/>
      <c r="S1965" s="42"/>
      <c r="T1965" s="42"/>
      <c r="U1965" s="42"/>
      <c r="V1965" s="42"/>
      <c r="W1965" s="42"/>
      <c r="X1965" s="42"/>
      <c r="Y1965" s="42"/>
      <c r="Z1965" s="42"/>
    </row>
    <row r="1966">
      <c r="A1966" s="42"/>
      <c r="B1966" s="42"/>
      <c r="C1966" s="42"/>
      <c r="D1966" s="42"/>
      <c r="E1966" s="42"/>
      <c r="F1966" s="42"/>
      <c r="G1966" s="42"/>
      <c r="H1966" s="42"/>
      <c r="I1966" s="43"/>
      <c r="J1966" s="42"/>
      <c r="K1966" s="42"/>
      <c r="L1966" s="42"/>
      <c r="M1966" s="42"/>
      <c r="N1966" s="42"/>
      <c r="O1966" s="42"/>
      <c r="P1966" s="42"/>
      <c r="Q1966" s="42"/>
      <c r="R1966" s="42"/>
      <c r="S1966" s="42"/>
      <c r="T1966" s="42"/>
      <c r="U1966" s="42"/>
      <c r="V1966" s="42"/>
      <c r="W1966" s="42"/>
      <c r="X1966" s="42"/>
      <c r="Y1966" s="42"/>
      <c r="Z1966" s="42"/>
    </row>
    <row r="1967">
      <c r="A1967" s="42"/>
      <c r="B1967" s="42"/>
      <c r="C1967" s="42"/>
      <c r="D1967" s="42"/>
      <c r="E1967" s="42"/>
      <c r="F1967" s="42"/>
      <c r="G1967" s="42"/>
      <c r="H1967" s="42"/>
      <c r="I1967" s="43"/>
      <c r="J1967" s="42"/>
      <c r="K1967" s="42"/>
      <c r="L1967" s="42"/>
      <c r="M1967" s="42"/>
      <c r="N1967" s="42"/>
      <c r="O1967" s="42"/>
      <c r="P1967" s="42"/>
      <c r="Q1967" s="42"/>
      <c r="R1967" s="42"/>
      <c r="S1967" s="42"/>
      <c r="T1967" s="42"/>
      <c r="U1967" s="42"/>
      <c r="V1967" s="42"/>
      <c r="W1967" s="42"/>
      <c r="X1967" s="42"/>
      <c r="Y1967" s="42"/>
      <c r="Z1967" s="42"/>
    </row>
    <row r="1968">
      <c r="A1968" s="42"/>
      <c r="B1968" s="42"/>
      <c r="C1968" s="42"/>
      <c r="D1968" s="42"/>
      <c r="E1968" s="42"/>
      <c r="F1968" s="42"/>
      <c r="G1968" s="42"/>
      <c r="H1968" s="42"/>
      <c r="I1968" s="43"/>
      <c r="J1968" s="42"/>
      <c r="K1968" s="42"/>
      <c r="L1968" s="42"/>
      <c r="M1968" s="42"/>
      <c r="N1968" s="42"/>
      <c r="O1968" s="42"/>
      <c r="P1968" s="42"/>
      <c r="Q1968" s="42"/>
      <c r="R1968" s="42"/>
      <c r="S1968" s="42"/>
      <c r="T1968" s="42"/>
      <c r="U1968" s="42"/>
      <c r="V1968" s="42"/>
      <c r="W1968" s="42"/>
      <c r="X1968" s="42"/>
      <c r="Y1968" s="42"/>
      <c r="Z1968" s="42"/>
    </row>
    <row r="1969">
      <c r="A1969" s="42"/>
      <c r="B1969" s="42"/>
      <c r="C1969" s="42"/>
      <c r="D1969" s="42"/>
      <c r="E1969" s="42"/>
      <c r="F1969" s="42"/>
      <c r="G1969" s="42"/>
      <c r="H1969" s="42"/>
      <c r="I1969" s="43"/>
      <c r="J1969" s="42"/>
      <c r="K1969" s="42"/>
      <c r="L1969" s="42"/>
      <c r="M1969" s="42"/>
      <c r="N1969" s="42"/>
      <c r="O1969" s="42"/>
      <c r="P1969" s="42"/>
      <c r="Q1969" s="42"/>
      <c r="R1969" s="42"/>
      <c r="S1969" s="42"/>
      <c r="T1969" s="42"/>
      <c r="U1969" s="42"/>
      <c r="V1969" s="42"/>
      <c r="W1969" s="42"/>
      <c r="X1969" s="42"/>
      <c r="Y1969" s="42"/>
      <c r="Z1969" s="42"/>
    </row>
    <row r="1970">
      <c r="A1970" s="42"/>
      <c r="B1970" s="42"/>
      <c r="C1970" s="42"/>
      <c r="D1970" s="42"/>
      <c r="E1970" s="42"/>
      <c r="F1970" s="42"/>
      <c r="G1970" s="42"/>
      <c r="H1970" s="42"/>
      <c r="I1970" s="43"/>
      <c r="J1970" s="42"/>
      <c r="K1970" s="42"/>
      <c r="L1970" s="42"/>
      <c r="M1970" s="42"/>
      <c r="N1970" s="42"/>
      <c r="O1970" s="42"/>
      <c r="P1970" s="42"/>
      <c r="Q1970" s="42"/>
      <c r="R1970" s="42"/>
      <c r="S1970" s="42"/>
      <c r="T1970" s="42"/>
      <c r="U1970" s="42"/>
      <c r="V1970" s="42"/>
      <c r="W1970" s="42"/>
      <c r="X1970" s="42"/>
      <c r="Y1970" s="42"/>
      <c r="Z1970" s="42"/>
    </row>
    <row r="1971">
      <c r="A1971" s="42"/>
      <c r="B1971" s="42"/>
      <c r="C1971" s="42"/>
      <c r="D1971" s="42"/>
      <c r="E1971" s="42"/>
      <c r="F1971" s="42"/>
      <c r="G1971" s="42"/>
      <c r="H1971" s="42"/>
      <c r="I1971" s="43"/>
      <c r="J1971" s="42"/>
      <c r="K1971" s="42"/>
      <c r="L1971" s="42"/>
      <c r="M1971" s="42"/>
      <c r="N1971" s="42"/>
      <c r="O1971" s="42"/>
      <c r="P1971" s="42"/>
      <c r="Q1971" s="42"/>
      <c r="R1971" s="42"/>
      <c r="S1971" s="42"/>
      <c r="T1971" s="42"/>
      <c r="U1971" s="42"/>
      <c r="V1971" s="42"/>
      <c r="W1971" s="42"/>
      <c r="X1971" s="42"/>
      <c r="Y1971" s="42"/>
      <c r="Z1971" s="42"/>
    </row>
    <row r="1972">
      <c r="A1972" s="42"/>
      <c r="B1972" s="42"/>
      <c r="C1972" s="42"/>
      <c r="D1972" s="42"/>
      <c r="E1972" s="42"/>
      <c r="F1972" s="42"/>
      <c r="G1972" s="42"/>
      <c r="H1972" s="42"/>
      <c r="I1972" s="43"/>
      <c r="J1972" s="42"/>
      <c r="K1972" s="42"/>
      <c r="L1972" s="42"/>
      <c r="M1972" s="42"/>
      <c r="N1972" s="42"/>
      <c r="O1972" s="42"/>
      <c r="P1972" s="42"/>
      <c r="Q1972" s="42"/>
      <c r="R1972" s="42"/>
      <c r="S1972" s="42"/>
      <c r="T1972" s="42"/>
      <c r="U1972" s="42"/>
      <c r="V1972" s="42"/>
      <c r="W1972" s="42"/>
      <c r="X1972" s="42"/>
      <c r="Y1972" s="42"/>
      <c r="Z1972" s="42"/>
    </row>
    <row r="1973">
      <c r="A1973" s="42"/>
      <c r="B1973" s="42"/>
      <c r="C1973" s="42"/>
      <c r="D1973" s="42"/>
      <c r="E1973" s="42"/>
      <c r="F1973" s="42"/>
      <c r="G1973" s="42"/>
      <c r="H1973" s="42"/>
      <c r="I1973" s="43"/>
      <c r="J1973" s="42"/>
      <c r="K1973" s="42"/>
      <c r="L1973" s="42"/>
      <c r="M1973" s="42"/>
      <c r="N1973" s="42"/>
      <c r="O1973" s="42"/>
      <c r="P1973" s="42"/>
      <c r="Q1973" s="42"/>
      <c r="R1973" s="42"/>
      <c r="S1973" s="42"/>
      <c r="T1973" s="42"/>
      <c r="U1973" s="42"/>
      <c r="V1973" s="42"/>
      <c r="W1973" s="42"/>
      <c r="X1973" s="42"/>
      <c r="Y1973" s="42"/>
      <c r="Z1973" s="42"/>
    </row>
    <row r="1974">
      <c r="A1974" s="42"/>
      <c r="B1974" s="42"/>
      <c r="C1974" s="42"/>
      <c r="D1974" s="42"/>
      <c r="E1974" s="42"/>
      <c r="F1974" s="42"/>
      <c r="G1974" s="42"/>
      <c r="H1974" s="42"/>
      <c r="I1974" s="43"/>
      <c r="J1974" s="42"/>
      <c r="K1974" s="42"/>
      <c r="L1974" s="42"/>
      <c r="M1974" s="42"/>
      <c r="N1974" s="42"/>
      <c r="O1974" s="42"/>
      <c r="P1974" s="42"/>
      <c r="Q1974" s="42"/>
      <c r="R1974" s="42"/>
      <c r="S1974" s="42"/>
      <c r="T1974" s="42"/>
      <c r="U1974" s="42"/>
      <c r="V1974" s="42"/>
      <c r="W1974" s="42"/>
      <c r="X1974" s="42"/>
      <c r="Y1974" s="42"/>
      <c r="Z1974" s="42"/>
    </row>
    <row r="1975">
      <c r="A1975" s="42"/>
      <c r="B1975" s="42"/>
      <c r="C1975" s="42"/>
      <c r="D1975" s="42"/>
      <c r="E1975" s="42"/>
      <c r="F1975" s="42"/>
      <c r="G1975" s="42"/>
      <c r="H1975" s="42"/>
      <c r="I1975" s="43"/>
      <c r="J1975" s="42"/>
      <c r="K1975" s="42"/>
      <c r="L1975" s="42"/>
      <c r="M1975" s="42"/>
      <c r="N1975" s="42"/>
      <c r="O1975" s="42"/>
      <c r="P1975" s="42"/>
      <c r="Q1975" s="42"/>
      <c r="R1975" s="42"/>
      <c r="S1975" s="42"/>
      <c r="T1975" s="42"/>
      <c r="U1975" s="42"/>
      <c r="V1975" s="42"/>
      <c r="W1975" s="42"/>
      <c r="X1975" s="42"/>
      <c r="Y1975" s="42"/>
      <c r="Z1975" s="42"/>
    </row>
    <row r="1976">
      <c r="A1976" s="42"/>
      <c r="B1976" s="42"/>
      <c r="C1976" s="42"/>
      <c r="D1976" s="42"/>
      <c r="E1976" s="42"/>
      <c r="F1976" s="42"/>
      <c r="G1976" s="42"/>
      <c r="H1976" s="42"/>
      <c r="I1976" s="43"/>
      <c r="J1976" s="42"/>
      <c r="K1976" s="42"/>
      <c r="L1976" s="42"/>
      <c r="M1976" s="42"/>
      <c r="N1976" s="42"/>
      <c r="O1976" s="42"/>
      <c r="P1976" s="42"/>
      <c r="Q1976" s="42"/>
      <c r="R1976" s="42"/>
      <c r="S1976" s="42"/>
      <c r="T1976" s="42"/>
      <c r="U1976" s="42"/>
      <c r="V1976" s="42"/>
      <c r="W1976" s="42"/>
      <c r="X1976" s="42"/>
      <c r="Y1976" s="42"/>
      <c r="Z1976" s="42"/>
    </row>
    <row r="1977">
      <c r="A1977" s="42"/>
      <c r="B1977" s="42"/>
      <c r="C1977" s="42"/>
      <c r="D1977" s="42"/>
      <c r="E1977" s="42"/>
      <c r="F1977" s="42"/>
      <c r="G1977" s="42"/>
      <c r="H1977" s="42"/>
      <c r="I1977" s="43"/>
      <c r="J1977" s="42"/>
      <c r="K1977" s="42"/>
      <c r="L1977" s="42"/>
      <c r="M1977" s="42"/>
      <c r="N1977" s="42"/>
      <c r="O1977" s="42"/>
      <c r="P1977" s="42"/>
      <c r="Q1977" s="42"/>
      <c r="R1977" s="42"/>
      <c r="S1977" s="42"/>
      <c r="T1977" s="42"/>
      <c r="U1977" s="42"/>
      <c r="V1977" s="42"/>
      <c r="W1977" s="42"/>
      <c r="X1977" s="42"/>
      <c r="Y1977" s="42"/>
      <c r="Z1977" s="42"/>
    </row>
    <row r="1978">
      <c r="A1978" s="42"/>
      <c r="B1978" s="42"/>
      <c r="C1978" s="42"/>
      <c r="D1978" s="42"/>
      <c r="E1978" s="42"/>
      <c r="F1978" s="42"/>
      <c r="G1978" s="42"/>
      <c r="H1978" s="42"/>
      <c r="I1978" s="43"/>
      <c r="J1978" s="42"/>
      <c r="K1978" s="42"/>
      <c r="L1978" s="42"/>
      <c r="M1978" s="42"/>
      <c r="N1978" s="42"/>
      <c r="O1978" s="42"/>
      <c r="P1978" s="42"/>
      <c r="Q1978" s="42"/>
      <c r="R1978" s="42"/>
      <c r="S1978" s="42"/>
      <c r="T1978" s="42"/>
      <c r="U1978" s="42"/>
      <c r="V1978" s="42"/>
      <c r="W1978" s="42"/>
      <c r="X1978" s="42"/>
      <c r="Y1978" s="42"/>
      <c r="Z1978" s="42"/>
    </row>
    <row r="1979">
      <c r="A1979" s="42"/>
      <c r="B1979" s="42"/>
      <c r="C1979" s="42"/>
      <c r="D1979" s="42"/>
      <c r="E1979" s="42"/>
      <c r="F1979" s="42"/>
      <c r="G1979" s="42"/>
      <c r="H1979" s="42"/>
      <c r="I1979" s="43"/>
      <c r="J1979" s="42"/>
      <c r="K1979" s="42"/>
      <c r="L1979" s="42"/>
      <c r="M1979" s="42"/>
      <c r="N1979" s="42"/>
      <c r="O1979" s="42"/>
      <c r="P1979" s="42"/>
      <c r="Q1979" s="42"/>
      <c r="R1979" s="42"/>
      <c r="S1979" s="42"/>
      <c r="T1979" s="42"/>
      <c r="U1979" s="42"/>
      <c r="V1979" s="42"/>
      <c r="W1979" s="42"/>
      <c r="X1979" s="42"/>
      <c r="Y1979" s="42"/>
      <c r="Z1979" s="42"/>
    </row>
    <row r="1980">
      <c r="A1980" s="42"/>
      <c r="B1980" s="42"/>
      <c r="C1980" s="42"/>
      <c r="D1980" s="42"/>
      <c r="E1980" s="42"/>
      <c r="F1980" s="42"/>
      <c r="G1980" s="42"/>
      <c r="H1980" s="42"/>
      <c r="I1980" s="43"/>
      <c r="J1980" s="42"/>
      <c r="K1980" s="42"/>
      <c r="L1980" s="42"/>
      <c r="M1980" s="42"/>
      <c r="N1980" s="42"/>
      <c r="O1980" s="42"/>
      <c r="P1980" s="42"/>
      <c r="Q1980" s="42"/>
      <c r="R1980" s="42"/>
      <c r="S1980" s="42"/>
      <c r="T1980" s="42"/>
      <c r="U1980" s="42"/>
      <c r="V1980" s="42"/>
      <c r="W1980" s="42"/>
      <c r="X1980" s="42"/>
      <c r="Y1980" s="42"/>
      <c r="Z1980" s="42"/>
    </row>
    <row r="1981">
      <c r="A1981" s="42"/>
      <c r="B1981" s="42"/>
      <c r="C1981" s="42"/>
      <c r="D1981" s="42"/>
      <c r="E1981" s="42"/>
      <c r="F1981" s="42"/>
      <c r="G1981" s="42"/>
      <c r="H1981" s="42"/>
      <c r="I1981" s="43"/>
      <c r="J1981" s="42"/>
      <c r="K1981" s="42"/>
      <c r="L1981" s="42"/>
      <c r="M1981" s="42"/>
      <c r="N1981" s="42"/>
      <c r="O1981" s="42"/>
      <c r="P1981" s="42"/>
      <c r="Q1981" s="42"/>
      <c r="R1981" s="42"/>
      <c r="S1981" s="42"/>
      <c r="T1981" s="42"/>
      <c r="U1981" s="42"/>
      <c r="V1981" s="42"/>
      <c r="W1981" s="42"/>
      <c r="X1981" s="42"/>
      <c r="Y1981" s="42"/>
      <c r="Z1981" s="42"/>
    </row>
    <row r="1982">
      <c r="A1982" s="42"/>
      <c r="B1982" s="42"/>
      <c r="C1982" s="42"/>
      <c r="D1982" s="42"/>
      <c r="E1982" s="42"/>
      <c r="F1982" s="42"/>
      <c r="G1982" s="42"/>
      <c r="H1982" s="42"/>
      <c r="I1982" s="43"/>
      <c r="J1982" s="42"/>
      <c r="K1982" s="42"/>
      <c r="L1982" s="42"/>
      <c r="M1982" s="42"/>
      <c r="N1982" s="42"/>
      <c r="O1982" s="42"/>
      <c r="P1982" s="42"/>
      <c r="Q1982" s="42"/>
      <c r="R1982" s="42"/>
      <c r="S1982" s="42"/>
      <c r="T1982" s="42"/>
      <c r="U1982" s="42"/>
      <c r="V1982" s="42"/>
      <c r="W1982" s="42"/>
      <c r="X1982" s="42"/>
      <c r="Y1982" s="42"/>
      <c r="Z1982" s="42"/>
    </row>
    <row r="1983">
      <c r="A1983" s="42"/>
      <c r="B1983" s="42"/>
      <c r="C1983" s="42"/>
      <c r="D1983" s="42"/>
      <c r="E1983" s="42"/>
      <c r="F1983" s="42"/>
      <c r="G1983" s="42"/>
      <c r="H1983" s="42"/>
      <c r="I1983" s="43"/>
      <c r="J1983" s="42"/>
      <c r="K1983" s="42"/>
      <c r="L1983" s="42"/>
      <c r="M1983" s="42"/>
      <c r="N1983" s="42"/>
      <c r="O1983" s="42"/>
      <c r="P1983" s="42"/>
      <c r="Q1983" s="42"/>
      <c r="R1983" s="42"/>
      <c r="S1983" s="42"/>
      <c r="T1983" s="42"/>
      <c r="U1983" s="42"/>
      <c r="V1983" s="42"/>
      <c r="W1983" s="42"/>
      <c r="X1983" s="42"/>
      <c r="Y1983" s="42"/>
      <c r="Z1983" s="42"/>
    </row>
    <row r="1984">
      <c r="A1984" s="42"/>
      <c r="B1984" s="42"/>
      <c r="C1984" s="42"/>
      <c r="D1984" s="42"/>
      <c r="E1984" s="42"/>
      <c r="F1984" s="42"/>
      <c r="G1984" s="42"/>
      <c r="H1984" s="42"/>
      <c r="I1984" s="43"/>
      <c r="J1984" s="42"/>
      <c r="K1984" s="42"/>
      <c r="L1984" s="42"/>
      <c r="M1984" s="42"/>
      <c r="N1984" s="42"/>
      <c r="O1984" s="42"/>
      <c r="P1984" s="42"/>
      <c r="Q1984" s="42"/>
      <c r="R1984" s="42"/>
      <c r="S1984" s="42"/>
      <c r="T1984" s="42"/>
      <c r="U1984" s="42"/>
      <c r="V1984" s="42"/>
      <c r="W1984" s="42"/>
      <c r="X1984" s="42"/>
      <c r="Y1984" s="42"/>
      <c r="Z1984" s="42"/>
    </row>
    <row r="1985">
      <c r="A1985" s="42"/>
      <c r="B1985" s="42"/>
      <c r="C1985" s="42"/>
      <c r="D1985" s="42"/>
      <c r="E1985" s="42"/>
      <c r="F1985" s="42"/>
      <c r="G1985" s="42"/>
      <c r="H1985" s="42"/>
      <c r="I1985" s="43"/>
      <c r="J1985" s="42"/>
      <c r="K1985" s="42"/>
      <c r="L1985" s="42"/>
      <c r="M1985" s="42"/>
      <c r="N1985" s="42"/>
      <c r="O1985" s="42"/>
      <c r="P1985" s="42"/>
      <c r="Q1985" s="42"/>
      <c r="R1985" s="42"/>
      <c r="S1985" s="42"/>
      <c r="T1985" s="42"/>
      <c r="U1985" s="42"/>
      <c r="V1985" s="42"/>
      <c r="W1985" s="42"/>
      <c r="X1985" s="42"/>
      <c r="Y1985" s="42"/>
      <c r="Z1985" s="42"/>
    </row>
    <row r="1986">
      <c r="A1986" s="42"/>
      <c r="B1986" s="42"/>
      <c r="C1986" s="42"/>
      <c r="D1986" s="42"/>
      <c r="E1986" s="42"/>
      <c r="F1986" s="42"/>
      <c r="G1986" s="42"/>
      <c r="H1986" s="42"/>
      <c r="I1986" s="43"/>
      <c r="J1986" s="42"/>
      <c r="K1986" s="42"/>
      <c r="L1986" s="42"/>
      <c r="M1986" s="42"/>
      <c r="N1986" s="42"/>
      <c r="O1986" s="42"/>
      <c r="P1986" s="42"/>
      <c r="Q1986" s="42"/>
      <c r="R1986" s="42"/>
      <c r="S1986" s="42"/>
      <c r="T1986" s="42"/>
      <c r="U1986" s="42"/>
      <c r="V1986" s="42"/>
      <c r="W1986" s="42"/>
      <c r="X1986" s="42"/>
      <c r="Y1986" s="42"/>
      <c r="Z1986" s="42"/>
    </row>
    <row r="1987">
      <c r="A1987" s="42"/>
      <c r="B1987" s="42"/>
      <c r="C1987" s="42"/>
      <c r="D1987" s="42"/>
      <c r="E1987" s="42"/>
      <c r="F1987" s="42"/>
      <c r="G1987" s="42"/>
      <c r="H1987" s="42"/>
      <c r="I1987" s="43"/>
      <c r="J1987" s="42"/>
      <c r="K1987" s="42"/>
      <c r="L1987" s="42"/>
      <c r="M1987" s="42"/>
      <c r="N1987" s="42"/>
      <c r="O1987" s="42"/>
      <c r="P1987" s="42"/>
      <c r="Q1987" s="42"/>
      <c r="R1987" s="42"/>
      <c r="S1987" s="42"/>
      <c r="T1987" s="42"/>
      <c r="U1987" s="42"/>
      <c r="V1987" s="42"/>
      <c r="W1987" s="42"/>
      <c r="X1987" s="42"/>
      <c r="Y1987" s="42"/>
      <c r="Z1987" s="42"/>
    </row>
    <row r="1988">
      <c r="A1988" s="42"/>
      <c r="B1988" s="42"/>
      <c r="C1988" s="42"/>
      <c r="D1988" s="42"/>
      <c r="E1988" s="42"/>
      <c r="F1988" s="42"/>
      <c r="G1988" s="42"/>
      <c r="H1988" s="42"/>
      <c r="I1988" s="43"/>
      <c r="J1988" s="42"/>
      <c r="K1988" s="42"/>
      <c r="L1988" s="42"/>
      <c r="M1988" s="42"/>
      <c r="N1988" s="42"/>
      <c r="O1988" s="42"/>
      <c r="P1988" s="42"/>
      <c r="Q1988" s="42"/>
      <c r="R1988" s="42"/>
      <c r="S1988" s="42"/>
      <c r="T1988" s="42"/>
      <c r="U1988" s="42"/>
      <c r="V1988" s="42"/>
      <c r="W1988" s="42"/>
      <c r="X1988" s="42"/>
      <c r="Y1988" s="42"/>
      <c r="Z1988" s="42"/>
    </row>
    <row r="1989">
      <c r="A1989" s="42"/>
      <c r="B1989" s="42"/>
      <c r="C1989" s="42"/>
      <c r="D1989" s="42"/>
      <c r="E1989" s="42"/>
      <c r="F1989" s="42"/>
      <c r="G1989" s="42"/>
      <c r="H1989" s="42"/>
      <c r="I1989" s="43"/>
      <c r="J1989" s="42"/>
      <c r="K1989" s="42"/>
      <c r="L1989" s="42"/>
      <c r="M1989" s="42"/>
      <c r="N1989" s="42"/>
      <c r="O1989" s="42"/>
      <c r="P1989" s="42"/>
      <c r="Q1989" s="42"/>
      <c r="R1989" s="42"/>
      <c r="S1989" s="42"/>
      <c r="T1989" s="42"/>
      <c r="U1989" s="42"/>
      <c r="V1989" s="42"/>
      <c r="W1989" s="42"/>
      <c r="X1989" s="42"/>
      <c r="Y1989" s="42"/>
      <c r="Z1989" s="42"/>
    </row>
    <row r="1990">
      <c r="A1990" s="42"/>
      <c r="B1990" s="42"/>
      <c r="C1990" s="42"/>
      <c r="D1990" s="42"/>
      <c r="E1990" s="42"/>
      <c r="F1990" s="42"/>
      <c r="G1990" s="42"/>
      <c r="H1990" s="42"/>
      <c r="I1990" s="43"/>
      <c r="J1990" s="42"/>
      <c r="K1990" s="42"/>
      <c r="L1990" s="42"/>
      <c r="M1990" s="42"/>
      <c r="N1990" s="42"/>
      <c r="O1990" s="42"/>
      <c r="P1990" s="42"/>
      <c r="Q1990" s="42"/>
      <c r="R1990" s="42"/>
      <c r="S1990" s="42"/>
      <c r="T1990" s="42"/>
      <c r="U1990" s="42"/>
      <c r="V1990" s="42"/>
      <c r="W1990" s="42"/>
      <c r="X1990" s="42"/>
      <c r="Y1990" s="42"/>
      <c r="Z1990" s="42"/>
    </row>
    <row r="1991">
      <c r="A1991" s="42"/>
      <c r="B1991" s="42"/>
      <c r="C1991" s="42"/>
      <c r="D1991" s="42"/>
      <c r="E1991" s="42"/>
      <c r="F1991" s="42"/>
      <c r="G1991" s="42"/>
      <c r="H1991" s="42"/>
      <c r="I1991" s="43"/>
      <c r="J1991" s="42"/>
      <c r="K1991" s="42"/>
      <c r="L1991" s="42"/>
      <c r="M1991" s="42"/>
      <c r="N1991" s="42"/>
      <c r="O1991" s="42"/>
      <c r="P1991" s="42"/>
      <c r="Q1991" s="42"/>
      <c r="R1991" s="42"/>
      <c r="S1991" s="42"/>
      <c r="T1991" s="42"/>
      <c r="U1991" s="42"/>
      <c r="V1991" s="42"/>
      <c r="W1991" s="42"/>
      <c r="X1991" s="42"/>
      <c r="Y1991" s="42"/>
      <c r="Z1991" s="42"/>
    </row>
    <row r="1992">
      <c r="A1992" s="42"/>
      <c r="B1992" s="42"/>
      <c r="C1992" s="42"/>
      <c r="D1992" s="42"/>
      <c r="E1992" s="42"/>
      <c r="F1992" s="42"/>
      <c r="G1992" s="42"/>
      <c r="H1992" s="42"/>
      <c r="I1992" s="43"/>
      <c r="J1992" s="42"/>
      <c r="K1992" s="42"/>
      <c r="L1992" s="42"/>
      <c r="M1992" s="42"/>
      <c r="N1992" s="42"/>
      <c r="O1992" s="42"/>
      <c r="P1992" s="42"/>
      <c r="Q1992" s="42"/>
      <c r="R1992" s="42"/>
      <c r="S1992" s="42"/>
      <c r="T1992" s="42"/>
      <c r="U1992" s="42"/>
      <c r="V1992" s="42"/>
      <c r="W1992" s="42"/>
      <c r="X1992" s="42"/>
      <c r="Y1992" s="42"/>
      <c r="Z1992" s="42"/>
    </row>
    <row r="1993">
      <c r="A1993" s="42"/>
      <c r="B1993" s="42"/>
      <c r="C1993" s="42"/>
      <c r="D1993" s="42"/>
      <c r="E1993" s="42"/>
      <c r="F1993" s="42"/>
      <c r="G1993" s="42"/>
      <c r="H1993" s="42"/>
      <c r="I1993" s="43"/>
      <c r="J1993" s="42"/>
      <c r="K1993" s="42"/>
      <c r="L1993" s="42"/>
      <c r="M1993" s="42"/>
      <c r="N1993" s="42"/>
      <c r="O1993" s="42"/>
      <c r="P1993" s="42"/>
      <c r="Q1993" s="42"/>
      <c r="R1993" s="42"/>
      <c r="S1993" s="42"/>
      <c r="T1993" s="42"/>
      <c r="U1993" s="42"/>
      <c r="V1993" s="42"/>
      <c r="W1993" s="42"/>
      <c r="X1993" s="42"/>
      <c r="Y1993" s="42"/>
      <c r="Z1993" s="42"/>
    </row>
    <row r="1994">
      <c r="A1994" s="42"/>
      <c r="B1994" s="42"/>
      <c r="C1994" s="42"/>
      <c r="D1994" s="42"/>
      <c r="E1994" s="42"/>
      <c r="F1994" s="42"/>
      <c r="G1994" s="42"/>
      <c r="H1994" s="42"/>
      <c r="I1994" s="43"/>
      <c r="J1994" s="42"/>
      <c r="K1994" s="42"/>
      <c r="L1994" s="42"/>
      <c r="M1994" s="42"/>
      <c r="N1994" s="42"/>
      <c r="O1994" s="42"/>
      <c r="P1994" s="42"/>
      <c r="Q1994" s="42"/>
      <c r="R1994" s="42"/>
      <c r="S1994" s="42"/>
      <c r="T1994" s="42"/>
      <c r="U1994" s="42"/>
      <c r="V1994" s="42"/>
      <c r="W1994" s="42"/>
      <c r="X1994" s="42"/>
      <c r="Y1994" s="42"/>
      <c r="Z1994" s="42"/>
    </row>
    <row r="1995">
      <c r="A1995" s="42"/>
      <c r="B1995" s="42"/>
      <c r="C1995" s="42"/>
      <c r="D1995" s="42"/>
      <c r="E1995" s="42"/>
      <c r="F1995" s="42"/>
      <c r="G1995" s="42"/>
      <c r="H1995" s="42"/>
      <c r="I1995" s="43"/>
      <c r="J1995" s="42"/>
      <c r="K1995" s="42"/>
      <c r="L1995" s="42"/>
      <c r="M1995" s="42"/>
      <c r="N1995" s="42"/>
      <c r="O1995" s="42"/>
      <c r="P1995" s="42"/>
      <c r="Q1995" s="42"/>
      <c r="R1995" s="42"/>
      <c r="S1995" s="42"/>
      <c r="T1995" s="42"/>
      <c r="U1995" s="42"/>
      <c r="V1995" s="42"/>
      <c r="W1995" s="42"/>
      <c r="X1995" s="42"/>
      <c r="Y1995" s="42"/>
      <c r="Z1995" s="42"/>
    </row>
    <row r="1996">
      <c r="A1996" s="42"/>
      <c r="B1996" s="42"/>
      <c r="C1996" s="42"/>
      <c r="D1996" s="42"/>
      <c r="E1996" s="42"/>
      <c r="F1996" s="42"/>
      <c r="G1996" s="42"/>
      <c r="H1996" s="42"/>
      <c r="I1996" s="43"/>
      <c r="J1996" s="42"/>
      <c r="K1996" s="42"/>
      <c r="L1996" s="42"/>
      <c r="M1996" s="42"/>
      <c r="N1996" s="42"/>
      <c r="O1996" s="42"/>
      <c r="P1996" s="42"/>
      <c r="Q1996" s="42"/>
      <c r="R1996" s="42"/>
      <c r="S1996" s="42"/>
      <c r="T1996" s="42"/>
      <c r="U1996" s="42"/>
      <c r="V1996" s="42"/>
      <c r="W1996" s="42"/>
      <c r="X1996" s="42"/>
      <c r="Y1996" s="42"/>
      <c r="Z1996" s="42"/>
    </row>
    <row r="1997">
      <c r="A1997" s="42"/>
      <c r="B1997" s="42"/>
      <c r="C1997" s="42"/>
      <c r="D1997" s="42"/>
      <c r="E1997" s="42"/>
      <c r="F1997" s="42"/>
      <c r="G1997" s="42"/>
      <c r="H1997" s="42"/>
      <c r="I1997" s="43"/>
      <c r="J1997" s="42"/>
      <c r="K1997" s="42"/>
      <c r="L1997" s="42"/>
      <c r="M1997" s="42"/>
      <c r="N1997" s="42"/>
      <c r="O1997" s="42"/>
      <c r="P1997" s="42"/>
      <c r="Q1997" s="42"/>
      <c r="R1997" s="42"/>
      <c r="S1997" s="42"/>
      <c r="T1997" s="42"/>
      <c r="U1997" s="42"/>
      <c r="V1997" s="42"/>
      <c r="W1997" s="42"/>
      <c r="X1997" s="42"/>
      <c r="Y1997" s="42"/>
      <c r="Z1997" s="42"/>
    </row>
    <row r="1998">
      <c r="A1998" s="42"/>
      <c r="B1998" s="42"/>
      <c r="C1998" s="42"/>
      <c r="D1998" s="42"/>
      <c r="E1998" s="42"/>
      <c r="F1998" s="42"/>
      <c r="G1998" s="42"/>
      <c r="H1998" s="42"/>
      <c r="I1998" s="43"/>
      <c r="J1998" s="42"/>
      <c r="K1998" s="42"/>
      <c r="L1998" s="42"/>
      <c r="M1998" s="42"/>
      <c r="N1998" s="42"/>
      <c r="O1998" s="42"/>
      <c r="P1998" s="42"/>
      <c r="Q1998" s="42"/>
      <c r="R1998" s="42"/>
      <c r="S1998" s="42"/>
      <c r="T1998" s="42"/>
      <c r="U1998" s="42"/>
      <c r="V1998" s="42"/>
      <c r="W1998" s="42"/>
      <c r="X1998" s="42"/>
      <c r="Y1998" s="42"/>
      <c r="Z1998" s="42"/>
    </row>
    <row r="1999">
      <c r="A1999" s="42"/>
      <c r="B1999" s="42"/>
      <c r="C1999" s="42"/>
      <c r="D1999" s="42"/>
      <c r="E1999" s="42"/>
      <c r="F1999" s="42"/>
      <c r="G1999" s="42"/>
      <c r="H1999" s="42"/>
      <c r="I1999" s="43"/>
      <c r="J1999" s="42"/>
      <c r="K1999" s="42"/>
      <c r="L1999" s="42"/>
      <c r="M1999" s="42"/>
      <c r="N1999" s="42"/>
      <c r="O1999" s="42"/>
      <c r="P1999" s="42"/>
      <c r="Q1999" s="42"/>
      <c r="R1999" s="42"/>
      <c r="S1999" s="42"/>
      <c r="T1999" s="42"/>
      <c r="U1999" s="42"/>
      <c r="V1999" s="42"/>
      <c r="W1999" s="42"/>
      <c r="X1999" s="42"/>
      <c r="Y1999" s="42"/>
      <c r="Z1999" s="42"/>
    </row>
    <row r="2000">
      <c r="A2000" s="42"/>
      <c r="B2000" s="42"/>
      <c r="C2000" s="42"/>
      <c r="D2000" s="42"/>
      <c r="E2000" s="42"/>
      <c r="F2000" s="42"/>
      <c r="G2000" s="42"/>
      <c r="H2000" s="42"/>
      <c r="I2000" s="43"/>
      <c r="J2000" s="42"/>
      <c r="K2000" s="42"/>
      <c r="L2000" s="42"/>
      <c r="M2000" s="42"/>
      <c r="N2000" s="42"/>
      <c r="O2000" s="42"/>
      <c r="P2000" s="42"/>
      <c r="Q2000" s="42"/>
      <c r="R2000" s="42"/>
      <c r="S2000" s="42"/>
      <c r="T2000" s="42"/>
      <c r="U2000" s="42"/>
      <c r="V2000" s="42"/>
      <c r="W2000" s="42"/>
      <c r="X2000" s="42"/>
      <c r="Y2000" s="42"/>
      <c r="Z2000" s="42"/>
    </row>
    <row r="2001">
      <c r="A2001" s="42"/>
      <c r="B2001" s="42"/>
      <c r="C2001" s="42"/>
      <c r="D2001" s="42"/>
      <c r="E2001" s="42"/>
      <c r="F2001" s="42"/>
      <c r="G2001" s="42"/>
      <c r="H2001" s="42"/>
      <c r="I2001" s="43"/>
      <c r="J2001" s="42"/>
      <c r="K2001" s="42"/>
      <c r="L2001" s="42"/>
      <c r="M2001" s="42"/>
      <c r="N2001" s="42"/>
      <c r="O2001" s="42"/>
      <c r="P2001" s="42"/>
      <c r="Q2001" s="42"/>
      <c r="R2001" s="42"/>
      <c r="S2001" s="42"/>
      <c r="T2001" s="42"/>
      <c r="U2001" s="42"/>
      <c r="V2001" s="42"/>
      <c r="W2001" s="42"/>
      <c r="X2001" s="42"/>
      <c r="Y2001" s="42"/>
      <c r="Z2001" s="42"/>
    </row>
    <row r="2002">
      <c r="A2002" s="42"/>
      <c r="B2002" s="42"/>
      <c r="C2002" s="42"/>
      <c r="D2002" s="42"/>
      <c r="E2002" s="42"/>
      <c r="F2002" s="42"/>
      <c r="G2002" s="42"/>
      <c r="H2002" s="42"/>
      <c r="I2002" s="43"/>
      <c r="J2002" s="42"/>
      <c r="K2002" s="42"/>
      <c r="L2002" s="42"/>
      <c r="M2002" s="42"/>
      <c r="N2002" s="42"/>
      <c r="O2002" s="42"/>
      <c r="P2002" s="42"/>
      <c r="Q2002" s="42"/>
      <c r="R2002" s="42"/>
      <c r="S2002" s="42"/>
      <c r="T2002" s="42"/>
      <c r="U2002" s="42"/>
      <c r="V2002" s="42"/>
      <c r="W2002" s="42"/>
      <c r="X2002" s="42"/>
      <c r="Y2002" s="42"/>
      <c r="Z2002" s="42"/>
    </row>
    <row r="2003">
      <c r="A2003" s="42"/>
      <c r="B2003" s="42"/>
      <c r="C2003" s="42"/>
      <c r="D2003" s="42"/>
      <c r="E2003" s="42"/>
      <c r="F2003" s="42"/>
      <c r="G2003" s="42"/>
      <c r="H2003" s="42"/>
      <c r="I2003" s="43"/>
      <c r="J2003" s="42"/>
      <c r="K2003" s="42"/>
      <c r="L2003" s="42"/>
      <c r="M2003" s="42"/>
      <c r="N2003" s="42"/>
      <c r="O2003" s="42"/>
      <c r="P2003" s="42"/>
      <c r="Q2003" s="42"/>
      <c r="R2003" s="42"/>
      <c r="S2003" s="42"/>
      <c r="T2003" s="42"/>
      <c r="U2003" s="42"/>
      <c r="V2003" s="42"/>
      <c r="W2003" s="42"/>
      <c r="X2003" s="42"/>
      <c r="Y2003" s="42"/>
      <c r="Z2003" s="42"/>
    </row>
    <row r="2004">
      <c r="A2004" s="42"/>
      <c r="B2004" s="42"/>
      <c r="C2004" s="42"/>
      <c r="D2004" s="42"/>
      <c r="E2004" s="42"/>
      <c r="F2004" s="42"/>
      <c r="G2004" s="42"/>
      <c r="H2004" s="42"/>
      <c r="I2004" s="43"/>
      <c r="J2004" s="42"/>
      <c r="K2004" s="42"/>
      <c r="L2004" s="42"/>
      <c r="M2004" s="42"/>
      <c r="N2004" s="42"/>
      <c r="O2004" s="42"/>
      <c r="P2004" s="42"/>
      <c r="Q2004" s="42"/>
      <c r="R2004" s="42"/>
      <c r="S2004" s="42"/>
      <c r="T2004" s="42"/>
      <c r="U2004" s="42"/>
      <c r="V2004" s="42"/>
      <c r="W2004" s="42"/>
      <c r="X2004" s="42"/>
      <c r="Y2004" s="42"/>
      <c r="Z2004" s="42"/>
    </row>
    <row r="2005">
      <c r="A2005" s="42"/>
      <c r="B2005" s="42"/>
      <c r="C2005" s="42"/>
      <c r="D2005" s="42"/>
      <c r="E2005" s="42"/>
      <c r="F2005" s="42"/>
      <c r="G2005" s="42"/>
      <c r="H2005" s="42"/>
      <c r="I2005" s="43"/>
      <c r="J2005" s="42"/>
      <c r="K2005" s="42"/>
      <c r="L2005" s="42"/>
      <c r="M2005" s="42"/>
      <c r="N2005" s="42"/>
      <c r="O2005" s="42"/>
      <c r="P2005" s="42"/>
      <c r="Q2005" s="42"/>
      <c r="R2005" s="42"/>
      <c r="S2005" s="42"/>
      <c r="T2005" s="42"/>
      <c r="U2005" s="42"/>
      <c r="V2005" s="42"/>
      <c r="W2005" s="42"/>
      <c r="X2005" s="42"/>
      <c r="Y2005" s="42"/>
      <c r="Z2005" s="42"/>
    </row>
    <row r="2006">
      <c r="A2006" s="42"/>
      <c r="B2006" s="42"/>
      <c r="C2006" s="42"/>
      <c r="D2006" s="42"/>
      <c r="E2006" s="42"/>
      <c r="F2006" s="42"/>
      <c r="G2006" s="42"/>
      <c r="H2006" s="42"/>
      <c r="I2006" s="43"/>
      <c r="J2006" s="42"/>
      <c r="K2006" s="42"/>
      <c r="L2006" s="42"/>
      <c r="M2006" s="42"/>
      <c r="N2006" s="42"/>
      <c r="O2006" s="42"/>
      <c r="P2006" s="42"/>
      <c r="Q2006" s="42"/>
      <c r="R2006" s="42"/>
      <c r="S2006" s="42"/>
      <c r="T2006" s="42"/>
      <c r="U2006" s="42"/>
      <c r="V2006" s="42"/>
      <c r="W2006" s="42"/>
      <c r="X2006" s="42"/>
      <c r="Y2006" s="42"/>
      <c r="Z2006" s="42"/>
    </row>
    <row r="2007">
      <c r="A2007" s="42"/>
      <c r="B2007" s="42"/>
      <c r="C2007" s="42"/>
      <c r="D2007" s="42"/>
      <c r="E2007" s="42"/>
      <c r="F2007" s="42"/>
      <c r="G2007" s="42"/>
      <c r="H2007" s="42"/>
      <c r="I2007" s="43"/>
      <c r="J2007" s="42"/>
      <c r="K2007" s="42"/>
      <c r="L2007" s="42"/>
      <c r="M2007" s="42"/>
      <c r="N2007" s="42"/>
      <c r="O2007" s="42"/>
      <c r="P2007" s="42"/>
      <c r="Q2007" s="42"/>
      <c r="R2007" s="42"/>
      <c r="S2007" s="42"/>
      <c r="T2007" s="42"/>
      <c r="U2007" s="42"/>
      <c r="V2007" s="42"/>
      <c r="W2007" s="42"/>
      <c r="X2007" s="42"/>
      <c r="Y2007" s="42"/>
      <c r="Z2007" s="42"/>
    </row>
    <row r="2008">
      <c r="A2008" s="42"/>
      <c r="B2008" s="42"/>
      <c r="C2008" s="42"/>
      <c r="D2008" s="42"/>
      <c r="E2008" s="42"/>
      <c r="F2008" s="42"/>
      <c r="G2008" s="42"/>
      <c r="H2008" s="42"/>
      <c r="I2008" s="43"/>
      <c r="J2008" s="42"/>
      <c r="K2008" s="42"/>
      <c r="L2008" s="42"/>
      <c r="M2008" s="42"/>
      <c r="N2008" s="42"/>
      <c r="O2008" s="42"/>
      <c r="P2008" s="42"/>
      <c r="Q2008" s="42"/>
      <c r="R2008" s="42"/>
      <c r="S2008" s="42"/>
      <c r="T2008" s="42"/>
      <c r="U2008" s="42"/>
      <c r="V2008" s="42"/>
      <c r="W2008" s="42"/>
      <c r="X2008" s="42"/>
      <c r="Y2008" s="42"/>
      <c r="Z2008" s="42"/>
    </row>
    <row r="2009">
      <c r="A2009" s="42"/>
      <c r="B2009" s="42"/>
      <c r="C2009" s="42"/>
      <c r="D2009" s="42"/>
      <c r="E2009" s="42"/>
      <c r="F2009" s="42"/>
      <c r="G2009" s="42"/>
      <c r="H2009" s="42"/>
      <c r="I2009" s="43"/>
      <c r="J2009" s="42"/>
      <c r="K2009" s="42"/>
      <c r="L2009" s="42"/>
      <c r="M2009" s="42"/>
      <c r="N2009" s="42"/>
      <c r="O2009" s="42"/>
      <c r="P2009" s="42"/>
      <c r="Q2009" s="42"/>
      <c r="R2009" s="42"/>
      <c r="S2009" s="42"/>
      <c r="T2009" s="42"/>
      <c r="U2009" s="42"/>
      <c r="V2009" s="42"/>
      <c r="W2009" s="42"/>
      <c r="X2009" s="42"/>
      <c r="Y2009" s="42"/>
      <c r="Z2009" s="42"/>
    </row>
    <row r="2010">
      <c r="A2010" s="42"/>
      <c r="B2010" s="42"/>
      <c r="C2010" s="42"/>
      <c r="D2010" s="42"/>
      <c r="E2010" s="42"/>
      <c r="F2010" s="42"/>
      <c r="G2010" s="42"/>
      <c r="H2010" s="42"/>
      <c r="I2010" s="43"/>
      <c r="J2010" s="42"/>
      <c r="K2010" s="42"/>
      <c r="L2010" s="42"/>
      <c r="M2010" s="42"/>
      <c r="N2010" s="42"/>
      <c r="O2010" s="42"/>
      <c r="P2010" s="42"/>
      <c r="Q2010" s="42"/>
      <c r="R2010" s="42"/>
      <c r="S2010" s="42"/>
      <c r="T2010" s="42"/>
      <c r="U2010" s="42"/>
      <c r="V2010" s="42"/>
      <c r="W2010" s="42"/>
      <c r="X2010" s="42"/>
      <c r="Y2010" s="42"/>
      <c r="Z2010" s="42"/>
    </row>
    <row r="2011">
      <c r="A2011" s="42"/>
      <c r="B2011" s="42"/>
      <c r="C2011" s="42"/>
      <c r="D2011" s="42"/>
      <c r="E2011" s="42"/>
      <c r="F2011" s="42"/>
      <c r="G2011" s="42"/>
      <c r="H2011" s="42"/>
      <c r="I2011" s="43"/>
      <c r="J2011" s="42"/>
      <c r="K2011" s="42"/>
      <c r="L2011" s="42"/>
      <c r="M2011" s="42"/>
      <c r="N2011" s="42"/>
      <c r="O2011" s="42"/>
      <c r="P2011" s="42"/>
      <c r="Q2011" s="42"/>
      <c r="R2011" s="42"/>
      <c r="S2011" s="42"/>
      <c r="T2011" s="42"/>
      <c r="U2011" s="42"/>
      <c r="V2011" s="42"/>
      <c r="W2011" s="42"/>
      <c r="X2011" s="42"/>
      <c r="Y2011" s="42"/>
      <c r="Z2011" s="42"/>
    </row>
    <row r="2012">
      <c r="A2012" s="42"/>
      <c r="B2012" s="42"/>
      <c r="C2012" s="42"/>
      <c r="D2012" s="42"/>
      <c r="E2012" s="42"/>
      <c r="F2012" s="42"/>
      <c r="G2012" s="42"/>
      <c r="H2012" s="42"/>
      <c r="I2012" s="43"/>
      <c r="J2012" s="42"/>
      <c r="K2012" s="42"/>
      <c r="L2012" s="42"/>
      <c r="M2012" s="42"/>
      <c r="N2012" s="42"/>
      <c r="O2012" s="42"/>
      <c r="P2012" s="42"/>
      <c r="Q2012" s="42"/>
      <c r="R2012" s="42"/>
      <c r="S2012" s="42"/>
      <c r="T2012" s="42"/>
      <c r="U2012" s="42"/>
      <c r="V2012" s="42"/>
      <c r="W2012" s="42"/>
      <c r="X2012" s="42"/>
      <c r="Y2012" s="42"/>
      <c r="Z2012" s="42"/>
    </row>
    <row r="2013">
      <c r="A2013" s="42"/>
      <c r="B2013" s="42"/>
      <c r="C2013" s="42"/>
      <c r="D2013" s="42"/>
      <c r="E2013" s="42"/>
      <c r="F2013" s="42"/>
      <c r="G2013" s="42"/>
      <c r="H2013" s="42"/>
      <c r="I2013" s="43"/>
      <c r="J2013" s="42"/>
      <c r="K2013" s="42"/>
      <c r="L2013" s="42"/>
      <c r="M2013" s="42"/>
      <c r="N2013" s="42"/>
      <c r="O2013" s="42"/>
      <c r="P2013" s="42"/>
      <c r="Q2013" s="42"/>
      <c r="R2013" s="42"/>
      <c r="S2013" s="42"/>
      <c r="T2013" s="42"/>
      <c r="U2013" s="42"/>
      <c r="V2013" s="42"/>
      <c r="W2013" s="42"/>
      <c r="X2013" s="42"/>
      <c r="Y2013" s="42"/>
      <c r="Z2013" s="42"/>
    </row>
    <row r="2014">
      <c r="A2014" s="42"/>
      <c r="B2014" s="42"/>
      <c r="C2014" s="42"/>
      <c r="D2014" s="42"/>
      <c r="E2014" s="42"/>
      <c r="F2014" s="42"/>
      <c r="G2014" s="42"/>
      <c r="H2014" s="42"/>
      <c r="I2014" s="43"/>
      <c r="J2014" s="42"/>
      <c r="K2014" s="42"/>
      <c r="L2014" s="42"/>
      <c r="M2014" s="42"/>
      <c r="N2014" s="42"/>
      <c r="O2014" s="42"/>
      <c r="P2014" s="42"/>
      <c r="Q2014" s="42"/>
      <c r="R2014" s="42"/>
      <c r="S2014" s="42"/>
      <c r="T2014" s="42"/>
      <c r="U2014" s="42"/>
      <c r="V2014" s="42"/>
      <c r="W2014" s="42"/>
      <c r="X2014" s="42"/>
      <c r="Y2014" s="42"/>
      <c r="Z2014" s="42"/>
    </row>
    <row r="2015">
      <c r="A2015" s="42"/>
      <c r="B2015" s="42"/>
      <c r="C2015" s="42"/>
      <c r="D2015" s="42"/>
      <c r="E2015" s="42"/>
      <c r="F2015" s="42"/>
      <c r="G2015" s="42"/>
      <c r="H2015" s="42"/>
      <c r="I2015" s="43"/>
      <c r="J2015" s="42"/>
      <c r="K2015" s="42"/>
      <c r="L2015" s="42"/>
      <c r="M2015" s="42"/>
      <c r="N2015" s="42"/>
      <c r="O2015" s="42"/>
      <c r="P2015" s="42"/>
      <c r="Q2015" s="42"/>
      <c r="R2015" s="42"/>
      <c r="S2015" s="42"/>
      <c r="T2015" s="42"/>
      <c r="U2015" s="42"/>
      <c r="V2015" s="42"/>
      <c r="W2015" s="42"/>
      <c r="X2015" s="42"/>
      <c r="Y2015" s="42"/>
      <c r="Z2015" s="42"/>
    </row>
    <row r="2016">
      <c r="A2016" s="42"/>
      <c r="B2016" s="42"/>
      <c r="C2016" s="42"/>
      <c r="D2016" s="42"/>
      <c r="E2016" s="42"/>
      <c r="F2016" s="42"/>
      <c r="G2016" s="42"/>
      <c r="H2016" s="42"/>
      <c r="I2016" s="43"/>
      <c r="J2016" s="42"/>
      <c r="K2016" s="42"/>
      <c r="L2016" s="42"/>
      <c r="M2016" s="42"/>
      <c r="N2016" s="42"/>
      <c r="O2016" s="42"/>
      <c r="P2016" s="42"/>
      <c r="Q2016" s="42"/>
      <c r="R2016" s="42"/>
      <c r="S2016" s="42"/>
      <c r="T2016" s="42"/>
      <c r="U2016" s="42"/>
      <c r="V2016" s="42"/>
      <c r="W2016" s="42"/>
      <c r="X2016" s="42"/>
      <c r="Y2016" s="42"/>
      <c r="Z2016" s="42"/>
    </row>
    <row r="2017">
      <c r="A2017" s="42"/>
      <c r="B2017" s="42"/>
      <c r="C2017" s="42"/>
      <c r="D2017" s="42"/>
      <c r="E2017" s="42"/>
      <c r="F2017" s="42"/>
      <c r="G2017" s="42"/>
      <c r="H2017" s="42"/>
      <c r="I2017" s="43"/>
      <c r="J2017" s="42"/>
      <c r="K2017" s="42"/>
      <c r="L2017" s="42"/>
      <c r="M2017" s="42"/>
      <c r="N2017" s="42"/>
      <c r="O2017" s="42"/>
      <c r="P2017" s="42"/>
      <c r="Q2017" s="42"/>
      <c r="R2017" s="42"/>
      <c r="S2017" s="42"/>
      <c r="T2017" s="42"/>
      <c r="U2017" s="42"/>
      <c r="V2017" s="42"/>
      <c r="W2017" s="42"/>
      <c r="X2017" s="42"/>
      <c r="Y2017" s="42"/>
      <c r="Z2017" s="42"/>
    </row>
    <row r="2018">
      <c r="A2018" s="42"/>
      <c r="B2018" s="42"/>
      <c r="C2018" s="42"/>
      <c r="D2018" s="42"/>
      <c r="E2018" s="42"/>
      <c r="F2018" s="42"/>
      <c r="G2018" s="42"/>
      <c r="H2018" s="42"/>
      <c r="I2018" s="43"/>
      <c r="J2018" s="42"/>
      <c r="K2018" s="42"/>
      <c r="L2018" s="42"/>
      <c r="M2018" s="42"/>
      <c r="N2018" s="42"/>
      <c r="O2018" s="42"/>
      <c r="P2018" s="42"/>
      <c r="Q2018" s="42"/>
      <c r="R2018" s="42"/>
      <c r="S2018" s="42"/>
      <c r="T2018" s="42"/>
      <c r="U2018" s="42"/>
      <c r="V2018" s="42"/>
      <c r="W2018" s="42"/>
      <c r="X2018" s="42"/>
      <c r="Y2018" s="42"/>
      <c r="Z2018" s="42"/>
    </row>
    <row r="2019">
      <c r="A2019" s="42"/>
      <c r="B2019" s="42"/>
      <c r="C2019" s="42"/>
      <c r="D2019" s="42"/>
      <c r="E2019" s="42"/>
      <c r="F2019" s="42"/>
      <c r="G2019" s="42"/>
      <c r="H2019" s="42"/>
      <c r="I2019" s="43"/>
      <c r="J2019" s="42"/>
      <c r="K2019" s="42"/>
      <c r="L2019" s="42"/>
      <c r="M2019" s="42"/>
      <c r="N2019" s="42"/>
      <c r="O2019" s="42"/>
      <c r="P2019" s="42"/>
      <c r="Q2019" s="42"/>
      <c r="R2019" s="42"/>
      <c r="S2019" s="42"/>
      <c r="T2019" s="42"/>
      <c r="U2019" s="42"/>
      <c r="V2019" s="42"/>
      <c r="W2019" s="42"/>
      <c r="X2019" s="42"/>
      <c r="Y2019" s="42"/>
      <c r="Z2019" s="42"/>
    </row>
    <row r="2020">
      <c r="A2020" s="42"/>
      <c r="B2020" s="42"/>
      <c r="C2020" s="42"/>
      <c r="D2020" s="42"/>
      <c r="E2020" s="42"/>
      <c r="F2020" s="42"/>
      <c r="G2020" s="42"/>
      <c r="H2020" s="42"/>
      <c r="I2020" s="43"/>
      <c r="J2020" s="42"/>
      <c r="K2020" s="42"/>
      <c r="L2020" s="42"/>
      <c r="M2020" s="42"/>
      <c r="N2020" s="42"/>
      <c r="O2020" s="42"/>
      <c r="P2020" s="42"/>
      <c r="Q2020" s="42"/>
      <c r="R2020" s="42"/>
      <c r="S2020" s="42"/>
      <c r="T2020" s="42"/>
      <c r="U2020" s="42"/>
      <c r="V2020" s="42"/>
      <c r="W2020" s="42"/>
      <c r="X2020" s="42"/>
      <c r="Y2020" s="42"/>
      <c r="Z2020" s="42"/>
    </row>
    <row r="2021">
      <c r="A2021" s="42"/>
      <c r="B2021" s="42"/>
      <c r="C2021" s="42"/>
      <c r="D2021" s="42"/>
      <c r="E2021" s="42"/>
      <c r="F2021" s="42"/>
      <c r="G2021" s="42"/>
      <c r="H2021" s="42"/>
      <c r="I2021" s="43"/>
      <c r="J2021" s="42"/>
      <c r="K2021" s="42"/>
      <c r="L2021" s="42"/>
      <c r="M2021" s="42"/>
      <c r="N2021" s="42"/>
      <c r="O2021" s="42"/>
      <c r="P2021" s="42"/>
      <c r="Q2021" s="42"/>
      <c r="R2021" s="42"/>
      <c r="S2021" s="42"/>
      <c r="T2021" s="42"/>
      <c r="U2021" s="42"/>
      <c r="V2021" s="42"/>
      <c r="W2021" s="42"/>
      <c r="X2021" s="42"/>
      <c r="Y2021" s="42"/>
      <c r="Z2021" s="42"/>
    </row>
    <row r="2022">
      <c r="A2022" s="42"/>
      <c r="B2022" s="42"/>
      <c r="C2022" s="42"/>
      <c r="D2022" s="42"/>
      <c r="E2022" s="42"/>
      <c r="F2022" s="42"/>
      <c r="G2022" s="42"/>
      <c r="H2022" s="42"/>
      <c r="I2022" s="43"/>
      <c r="J2022" s="42"/>
      <c r="K2022" s="42"/>
      <c r="L2022" s="42"/>
      <c r="M2022" s="42"/>
      <c r="N2022" s="42"/>
      <c r="O2022" s="42"/>
      <c r="P2022" s="42"/>
      <c r="Q2022" s="42"/>
      <c r="R2022" s="42"/>
      <c r="S2022" s="42"/>
      <c r="T2022" s="42"/>
      <c r="U2022" s="42"/>
      <c r="V2022" s="42"/>
      <c r="W2022" s="42"/>
      <c r="X2022" s="42"/>
      <c r="Y2022" s="42"/>
      <c r="Z2022" s="42"/>
    </row>
    <row r="2023">
      <c r="A2023" s="42"/>
      <c r="B2023" s="42"/>
      <c r="C2023" s="42"/>
      <c r="D2023" s="42"/>
      <c r="E2023" s="42"/>
      <c r="F2023" s="42"/>
      <c r="G2023" s="42"/>
      <c r="H2023" s="42"/>
      <c r="I2023" s="43"/>
      <c r="J2023" s="42"/>
      <c r="K2023" s="42"/>
      <c r="L2023" s="42"/>
      <c r="M2023" s="42"/>
      <c r="N2023" s="42"/>
      <c r="O2023" s="42"/>
      <c r="P2023" s="42"/>
      <c r="Q2023" s="42"/>
      <c r="R2023" s="42"/>
      <c r="S2023" s="42"/>
      <c r="T2023" s="42"/>
      <c r="U2023" s="42"/>
      <c r="V2023" s="42"/>
      <c r="W2023" s="42"/>
      <c r="X2023" s="42"/>
      <c r="Y2023" s="42"/>
      <c r="Z2023" s="42"/>
    </row>
    <row r="2024">
      <c r="A2024" s="42"/>
      <c r="B2024" s="42"/>
      <c r="C2024" s="42"/>
      <c r="D2024" s="42"/>
      <c r="E2024" s="42"/>
      <c r="F2024" s="42"/>
      <c r="G2024" s="42"/>
      <c r="H2024" s="42"/>
      <c r="I2024" s="43"/>
      <c r="J2024" s="42"/>
      <c r="K2024" s="42"/>
      <c r="L2024" s="42"/>
      <c r="M2024" s="42"/>
      <c r="N2024" s="42"/>
      <c r="O2024" s="42"/>
      <c r="P2024" s="42"/>
      <c r="Q2024" s="42"/>
      <c r="R2024" s="42"/>
      <c r="S2024" s="42"/>
      <c r="T2024" s="42"/>
      <c r="U2024" s="42"/>
      <c r="V2024" s="42"/>
      <c r="W2024" s="42"/>
      <c r="X2024" s="42"/>
      <c r="Y2024" s="42"/>
      <c r="Z2024" s="42"/>
    </row>
    <row r="2025">
      <c r="A2025" s="42"/>
      <c r="B2025" s="42"/>
      <c r="C2025" s="42"/>
      <c r="D2025" s="42"/>
      <c r="E2025" s="42"/>
      <c r="F2025" s="42"/>
      <c r="G2025" s="42"/>
      <c r="H2025" s="42"/>
      <c r="I2025" s="43"/>
      <c r="J2025" s="42"/>
      <c r="K2025" s="42"/>
      <c r="L2025" s="42"/>
      <c r="M2025" s="42"/>
      <c r="N2025" s="42"/>
      <c r="O2025" s="42"/>
      <c r="P2025" s="42"/>
      <c r="Q2025" s="42"/>
      <c r="R2025" s="42"/>
      <c r="S2025" s="42"/>
      <c r="T2025" s="42"/>
      <c r="U2025" s="42"/>
      <c r="V2025" s="42"/>
      <c r="W2025" s="42"/>
      <c r="X2025" s="42"/>
      <c r="Y2025" s="42"/>
      <c r="Z2025" s="42"/>
    </row>
    <row r="2026">
      <c r="A2026" s="42"/>
      <c r="B2026" s="42"/>
      <c r="C2026" s="42"/>
      <c r="D2026" s="42"/>
      <c r="E2026" s="42"/>
      <c r="F2026" s="42"/>
      <c r="G2026" s="42"/>
      <c r="H2026" s="42"/>
      <c r="I2026" s="43"/>
      <c r="J2026" s="42"/>
      <c r="K2026" s="42"/>
      <c r="L2026" s="42"/>
      <c r="M2026" s="42"/>
      <c r="N2026" s="42"/>
      <c r="O2026" s="42"/>
      <c r="P2026" s="42"/>
      <c r="Q2026" s="42"/>
      <c r="R2026" s="42"/>
      <c r="S2026" s="42"/>
      <c r="T2026" s="42"/>
      <c r="U2026" s="42"/>
      <c r="V2026" s="42"/>
      <c r="W2026" s="42"/>
      <c r="X2026" s="42"/>
      <c r="Y2026" s="42"/>
      <c r="Z2026" s="42"/>
    </row>
    <row r="2027">
      <c r="A2027" s="42"/>
      <c r="B2027" s="42"/>
      <c r="C2027" s="42"/>
      <c r="D2027" s="42"/>
      <c r="E2027" s="42"/>
      <c r="F2027" s="42"/>
      <c r="G2027" s="42"/>
      <c r="H2027" s="42"/>
      <c r="I2027" s="43"/>
      <c r="J2027" s="42"/>
      <c r="K2027" s="42"/>
      <c r="L2027" s="42"/>
      <c r="M2027" s="42"/>
      <c r="N2027" s="42"/>
      <c r="O2027" s="42"/>
      <c r="P2027" s="42"/>
      <c r="Q2027" s="42"/>
      <c r="R2027" s="42"/>
      <c r="S2027" s="42"/>
      <c r="T2027" s="42"/>
      <c r="U2027" s="42"/>
      <c r="V2027" s="42"/>
      <c r="W2027" s="42"/>
      <c r="X2027" s="42"/>
      <c r="Y2027" s="42"/>
      <c r="Z2027" s="42"/>
    </row>
    <row r="2028">
      <c r="A2028" s="42"/>
      <c r="B2028" s="42"/>
      <c r="C2028" s="42"/>
      <c r="D2028" s="42"/>
      <c r="E2028" s="42"/>
      <c r="F2028" s="42"/>
      <c r="G2028" s="42"/>
      <c r="H2028" s="42"/>
      <c r="I2028" s="43"/>
      <c r="J2028" s="42"/>
      <c r="K2028" s="42"/>
      <c r="L2028" s="42"/>
      <c r="M2028" s="42"/>
      <c r="N2028" s="42"/>
      <c r="O2028" s="42"/>
      <c r="P2028" s="42"/>
      <c r="Q2028" s="42"/>
      <c r="R2028" s="42"/>
      <c r="S2028" s="42"/>
      <c r="T2028" s="42"/>
      <c r="U2028" s="42"/>
      <c r="V2028" s="42"/>
      <c r="W2028" s="42"/>
      <c r="X2028" s="42"/>
      <c r="Y2028" s="42"/>
      <c r="Z2028" s="42"/>
    </row>
    <row r="2029">
      <c r="A2029" s="42"/>
      <c r="B2029" s="42"/>
      <c r="C2029" s="42"/>
      <c r="D2029" s="42"/>
      <c r="E2029" s="42"/>
      <c r="F2029" s="42"/>
      <c r="G2029" s="42"/>
      <c r="H2029" s="42"/>
      <c r="I2029" s="43"/>
      <c r="J2029" s="42"/>
      <c r="K2029" s="42"/>
      <c r="L2029" s="42"/>
      <c r="M2029" s="42"/>
      <c r="N2029" s="42"/>
      <c r="O2029" s="42"/>
      <c r="P2029" s="42"/>
      <c r="Q2029" s="42"/>
      <c r="R2029" s="42"/>
      <c r="S2029" s="42"/>
      <c r="T2029" s="42"/>
      <c r="U2029" s="42"/>
      <c r="V2029" s="42"/>
      <c r="W2029" s="42"/>
      <c r="X2029" s="42"/>
      <c r="Y2029" s="42"/>
      <c r="Z2029" s="42"/>
    </row>
    <row r="2030">
      <c r="A2030" s="42"/>
      <c r="B2030" s="42"/>
      <c r="C2030" s="42"/>
      <c r="D2030" s="42"/>
      <c r="E2030" s="42"/>
      <c r="F2030" s="42"/>
      <c r="G2030" s="42"/>
      <c r="H2030" s="42"/>
      <c r="I2030" s="43"/>
      <c r="J2030" s="42"/>
      <c r="K2030" s="42"/>
      <c r="L2030" s="42"/>
      <c r="M2030" s="42"/>
      <c r="N2030" s="42"/>
      <c r="O2030" s="42"/>
      <c r="P2030" s="42"/>
      <c r="Q2030" s="42"/>
      <c r="R2030" s="42"/>
      <c r="S2030" s="42"/>
      <c r="T2030" s="42"/>
      <c r="U2030" s="42"/>
      <c r="V2030" s="42"/>
      <c r="W2030" s="42"/>
      <c r="X2030" s="42"/>
      <c r="Y2030" s="42"/>
      <c r="Z2030" s="42"/>
    </row>
    <row r="2031">
      <c r="A2031" s="42"/>
      <c r="B2031" s="42"/>
      <c r="C2031" s="42"/>
      <c r="D2031" s="42"/>
      <c r="E2031" s="42"/>
      <c r="F2031" s="42"/>
      <c r="G2031" s="42"/>
      <c r="H2031" s="42"/>
      <c r="I2031" s="43"/>
      <c r="J2031" s="42"/>
      <c r="K2031" s="42"/>
      <c r="L2031" s="42"/>
      <c r="M2031" s="42"/>
      <c r="N2031" s="42"/>
      <c r="O2031" s="42"/>
      <c r="P2031" s="42"/>
      <c r="Q2031" s="42"/>
      <c r="R2031" s="42"/>
      <c r="S2031" s="42"/>
      <c r="T2031" s="42"/>
      <c r="U2031" s="42"/>
      <c r="V2031" s="42"/>
      <c r="W2031" s="42"/>
      <c r="X2031" s="42"/>
      <c r="Y2031" s="42"/>
      <c r="Z2031" s="42"/>
    </row>
    <row r="2032">
      <c r="A2032" s="42"/>
      <c r="B2032" s="42"/>
      <c r="C2032" s="42"/>
      <c r="D2032" s="42"/>
      <c r="E2032" s="42"/>
      <c r="F2032" s="42"/>
      <c r="G2032" s="42"/>
      <c r="H2032" s="42"/>
      <c r="I2032" s="43"/>
      <c r="J2032" s="42"/>
      <c r="K2032" s="42"/>
      <c r="L2032" s="42"/>
      <c r="M2032" s="42"/>
      <c r="N2032" s="42"/>
      <c r="O2032" s="42"/>
      <c r="P2032" s="42"/>
      <c r="Q2032" s="42"/>
      <c r="R2032" s="42"/>
      <c r="S2032" s="42"/>
      <c r="T2032" s="42"/>
      <c r="U2032" s="42"/>
      <c r="V2032" s="42"/>
      <c r="W2032" s="42"/>
      <c r="X2032" s="42"/>
      <c r="Y2032" s="42"/>
      <c r="Z2032" s="42"/>
    </row>
    <row r="2033">
      <c r="A2033" s="42"/>
      <c r="B2033" s="42"/>
      <c r="C2033" s="42"/>
      <c r="D2033" s="42"/>
      <c r="E2033" s="42"/>
      <c r="F2033" s="42"/>
      <c r="G2033" s="42"/>
      <c r="H2033" s="42"/>
      <c r="I2033" s="43"/>
      <c r="J2033" s="42"/>
      <c r="K2033" s="42"/>
      <c r="L2033" s="42"/>
      <c r="M2033" s="42"/>
      <c r="N2033" s="42"/>
      <c r="O2033" s="42"/>
      <c r="P2033" s="42"/>
      <c r="Q2033" s="42"/>
      <c r="R2033" s="42"/>
      <c r="S2033" s="42"/>
      <c r="T2033" s="42"/>
      <c r="U2033" s="42"/>
      <c r="V2033" s="42"/>
      <c r="W2033" s="42"/>
      <c r="X2033" s="42"/>
      <c r="Y2033" s="42"/>
      <c r="Z2033" s="42"/>
    </row>
    <row r="2034">
      <c r="A2034" s="42"/>
      <c r="B2034" s="42"/>
      <c r="C2034" s="42"/>
      <c r="D2034" s="42"/>
      <c r="E2034" s="42"/>
      <c r="F2034" s="42"/>
      <c r="G2034" s="42"/>
      <c r="H2034" s="42"/>
      <c r="I2034" s="43"/>
      <c r="J2034" s="42"/>
      <c r="K2034" s="42"/>
      <c r="L2034" s="42"/>
      <c r="M2034" s="42"/>
      <c r="N2034" s="42"/>
      <c r="O2034" s="42"/>
      <c r="P2034" s="42"/>
      <c r="Q2034" s="42"/>
      <c r="R2034" s="42"/>
      <c r="S2034" s="42"/>
      <c r="T2034" s="42"/>
      <c r="U2034" s="42"/>
      <c r="V2034" s="42"/>
      <c r="W2034" s="42"/>
      <c r="X2034" s="42"/>
      <c r="Y2034" s="42"/>
      <c r="Z2034" s="42"/>
    </row>
    <row r="2035">
      <c r="A2035" s="42"/>
      <c r="B2035" s="42"/>
      <c r="C2035" s="42"/>
      <c r="D2035" s="42"/>
      <c r="E2035" s="42"/>
      <c r="F2035" s="42"/>
      <c r="G2035" s="42"/>
      <c r="H2035" s="42"/>
      <c r="I2035" s="43"/>
      <c r="J2035" s="42"/>
      <c r="K2035" s="42"/>
      <c r="L2035" s="42"/>
      <c r="M2035" s="42"/>
      <c r="N2035" s="42"/>
      <c r="O2035" s="42"/>
      <c r="P2035" s="42"/>
      <c r="Q2035" s="42"/>
      <c r="R2035" s="42"/>
      <c r="S2035" s="42"/>
      <c r="T2035" s="42"/>
      <c r="U2035" s="42"/>
      <c r="V2035" s="42"/>
      <c r="W2035" s="42"/>
      <c r="X2035" s="42"/>
      <c r="Y2035" s="42"/>
      <c r="Z2035" s="42"/>
    </row>
    <row r="2036">
      <c r="A2036" s="42"/>
      <c r="B2036" s="42"/>
      <c r="C2036" s="42"/>
      <c r="D2036" s="42"/>
      <c r="E2036" s="42"/>
      <c r="F2036" s="42"/>
      <c r="G2036" s="42"/>
      <c r="H2036" s="42"/>
      <c r="I2036" s="43"/>
      <c r="J2036" s="42"/>
      <c r="K2036" s="42"/>
      <c r="L2036" s="42"/>
      <c r="M2036" s="42"/>
      <c r="N2036" s="42"/>
      <c r="O2036" s="42"/>
      <c r="P2036" s="42"/>
      <c r="Q2036" s="42"/>
      <c r="R2036" s="42"/>
      <c r="S2036" s="42"/>
      <c r="T2036" s="42"/>
      <c r="U2036" s="42"/>
      <c r="V2036" s="42"/>
      <c r="W2036" s="42"/>
      <c r="X2036" s="42"/>
      <c r="Y2036" s="42"/>
      <c r="Z2036" s="42"/>
    </row>
    <row r="2037">
      <c r="A2037" s="42"/>
      <c r="B2037" s="42"/>
      <c r="C2037" s="42"/>
      <c r="D2037" s="42"/>
      <c r="E2037" s="42"/>
      <c r="F2037" s="42"/>
      <c r="G2037" s="42"/>
      <c r="H2037" s="42"/>
      <c r="I2037" s="43"/>
      <c r="J2037" s="42"/>
      <c r="K2037" s="42"/>
      <c r="L2037" s="42"/>
      <c r="M2037" s="42"/>
      <c r="N2037" s="42"/>
      <c r="O2037" s="42"/>
      <c r="P2037" s="42"/>
      <c r="Q2037" s="42"/>
      <c r="R2037" s="42"/>
      <c r="S2037" s="42"/>
      <c r="T2037" s="42"/>
      <c r="U2037" s="42"/>
      <c r="V2037" s="42"/>
      <c r="W2037" s="42"/>
      <c r="X2037" s="42"/>
      <c r="Y2037" s="42"/>
      <c r="Z2037" s="42"/>
    </row>
    <row r="2038">
      <c r="A2038" s="42"/>
      <c r="B2038" s="42"/>
      <c r="C2038" s="42"/>
      <c r="D2038" s="42"/>
      <c r="E2038" s="42"/>
      <c r="F2038" s="42"/>
      <c r="G2038" s="42"/>
      <c r="H2038" s="42"/>
      <c r="I2038" s="43"/>
      <c r="J2038" s="42"/>
      <c r="K2038" s="42"/>
      <c r="L2038" s="42"/>
      <c r="M2038" s="42"/>
      <c r="N2038" s="42"/>
      <c r="O2038" s="42"/>
      <c r="P2038" s="42"/>
      <c r="Q2038" s="42"/>
      <c r="R2038" s="42"/>
      <c r="S2038" s="42"/>
      <c r="T2038" s="42"/>
      <c r="U2038" s="42"/>
      <c r="V2038" s="42"/>
      <c r="W2038" s="42"/>
      <c r="X2038" s="42"/>
      <c r="Y2038" s="42"/>
      <c r="Z2038" s="42"/>
    </row>
    <row r="2039">
      <c r="A2039" s="42"/>
      <c r="B2039" s="42"/>
      <c r="C2039" s="42"/>
      <c r="D2039" s="42"/>
      <c r="E2039" s="42"/>
      <c r="F2039" s="42"/>
      <c r="G2039" s="42"/>
      <c r="H2039" s="42"/>
      <c r="I2039" s="43"/>
      <c r="J2039" s="42"/>
      <c r="K2039" s="42"/>
      <c r="L2039" s="42"/>
      <c r="M2039" s="42"/>
      <c r="N2039" s="42"/>
      <c r="O2039" s="42"/>
      <c r="P2039" s="42"/>
      <c r="Q2039" s="42"/>
      <c r="R2039" s="42"/>
      <c r="S2039" s="42"/>
      <c r="T2039" s="42"/>
      <c r="U2039" s="42"/>
      <c r="V2039" s="42"/>
      <c r="W2039" s="42"/>
      <c r="X2039" s="42"/>
      <c r="Y2039" s="42"/>
      <c r="Z2039" s="42"/>
    </row>
    <row r="2040">
      <c r="A2040" s="42"/>
      <c r="B2040" s="42"/>
      <c r="C2040" s="42"/>
      <c r="D2040" s="42"/>
      <c r="E2040" s="42"/>
      <c r="F2040" s="42"/>
      <c r="G2040" s="42"/>
      <c r="H2040" s="42"/>
      <c r="I2040" s="43"/>
      <c r="J2040" s="42"/>
      <c r="K2040" s="42"/>
      <c r="L2040" s="42"/>
      <c r="M2040" s="42"/>
      <c r="N2040" s="42"/>
      <c r="O2040" s="42"/>
      <c r="P2040" s="42"/>
      <c r="Q2040" s="42"/>
      <c r="R2040" s="42"/>
      <c r="S2040" s="42"/>
      <c r="T2040" s="42"/>
      <c r="U2040" s="42"/>
      <c r="V2040" s="42"/>
      <c r="W2040" s="42"/>
      <c r="X2040" s="42"/>
      <c r="Y2040" s="42"/>
      <c r="Z2040" s="42"/>
    </row>
    <row r="2041">
      <c r="A2041" s="42"/>
      <c r="B2041" s="42"/>
      <c r="C2041" s="42"/>
      <c r="D2041" s="42"/>
      <c r="E2041" s="42"/>
      <c r="F2041" s="42"/>
      <c r="G2041" s="42"/>
      <c r="H2041" s="42"/>
      <c r="I2041" s="43"/>
      <c r="J2041" s="42"/>
      <c r="K2041" s="42"/>
      <c r="L2041" s="42"/>
      <c r="M2041" s="42"/>
      <c r="N2041" s="42"/>
      <c r="O2041" s="42"/>
      <c r="P2041" s="42"/>
      <c r="Q2041" s="42"/>
      <c r="R2041" s="42"/>
      <c r="S2041" s="42"/>
      <c r="T2041" s="42"/>
      <c r="U2041" s="42"/>
      <c r="V2041" s="42"/>
      <c r="W2041" s="42"/>
      <c r="X2041" s="42"/>
      <c r="Y2041" s="42"/>
      <c r="Z2041" s="42"/>
    </row>
    <row r="2042">
      <c r="A2042" s="42"/>
      <c r="B2042" s="42"/>
      <c r="C2042" s="42"/>
      <c r="D2042" s="42"/>
      <c r="E2042" s="42"/>
      <c r="F2042" s="42"/>
      <c r="G2042" s="42"/>
      <c r="H2042" s="42"/>
      <c r="I2042" s="43"/>
      <c r="J2042" s="42"/>
      <c r="K2042" s="42"/>
      <c r="L2042" s="42"/>
      <c r="M2042" s="42"/>
      <c r="N2042" s="42"/>
      <c r="O2042" s="42"/>
      <c r="P2042" s="42"/>
      <c r="Q2042" s="42"/>
      <c r="R2042" s="42"/>
      <c r="S2042" s="42"/>
      <c r="T2042" s="42"/>
      <c r="U2042" s="42"/>
      <c r="V2042" s="42"/>
      <c r="W2042" s="42"/>
      <c r="X2042" s="42"/>
      <c r="Y2042" s="42"/>
      <c r="Z2042" s="42"/>
    </row>
    <row r="2043">
      <c r="A2043" s="42"/>
      <c r="B2043" s="42"/>
      <c r="C2043" s="42"/>
      <c r="D2043" s="42"/>
      <c r="E2043" s="42"/>
      <c r="F2043" s="42"/>
      <c r="G2043" s="42"/>
      <c r="H2043" s="42"/>
      <c r="I2043" s="43"/>
      <c r="J2043" s="42"/>
      <c r="K2043" s="42"/>
      <c r="L2043" s="42"/>
      <c r="M2043" s="42"/>
      <c r="N2043" s="42"/>
      <c r="O2043" s="42"/>
      <c r="P2043" s="42"/>
      <c r="Q2043" s="42"/>
      <c r="R2043" s="42"/>
      <c r="S2043" s="42"/>
      <c r="T2043" s="42"/>
      <c r="U2043" s="42"/>
      <c r="V2043" s="42"/>
      <c r="W2043" s="42"/>
      <c r="X2043" s="42"/>
      <c r="Y2043" s="42"/>
      <c r="Z2043" s="42"/>
    </row>
    <row r="2044">
      <c r="A2044" s="42"/>
      <c r="B2044" s="42"/>
      <c r="C2044" s="42"/>
      <c r="D2044" s="42"/>
      <c r="E2044" s="42"/>
      <c r="F2044" s="42"/>
      <c r="G2044" s="42"/>
      <c r="H2044" s="42"/>
      <c r="I2044" s="43"/>
      <c r="J2044" s="42"/>
      <c r="K2044" s="42"/>
      <c r="L2044" s="42"/>
      <c r="M2044" s="42"/>
      <c r="N2044" s="42"/>
      <c r="O2044" s="42"/>
      <c r="P2044" s="42"/>
      <c r="Q2044" s="42"/>
      <c r="R2044" s="42"/>
      <c r="S2044" s="42"/>
      <c r="T2044" s="42"/>
      <c r="U2044" s="42"/>
      <c r="V2044" s="42"/>
      <c r="W2044" s="42"/>
      <c r="X2044" s="42"/>
      <c r="Y2044" s="42"/>
      <c r="Z2044" s="42"/>
    </row>
    <row r="2045">
      <c r="A2045" s="42"/>
      <c r="B2045" s="42"/>
      <c r="C2045" s="42"/>
      <c r="D2045" s="42"/>
      <c r="E2045" s="42"/>
      <c r="F2045" s="42"/>
      <c r="G2045" s="42"/>
      <c r="H2045" s="42"/>
      <c r="I2045" s="43"/>
      <c r="J2045" s="42"/>
      <c r="K2045" s="42"/>
      <c r="L2045" s="42"/>
      <c r="M2045" s="42"/>
      <c r="N2045" s="42"/>
      <c r="O2045" s="42"/>
      <c r="P2045" s="42"/>
      <c r="Q2045" s="42"/>
      <c r="R2045" s="42"/>
      <c r="S2045" s="42"/>
      <c r="T2045" s="42"/>
      <c r="U2045" s="42"/>
      <c r="V2045" s="42"/>
      <c r="W2045" s="42"/>
      <c r="X2045" s="42"/>
      <c r="Y2045" s="42"/>
      <c r="Z2045" s="42"/>
    </row>
    <row r="2046">
      <c r="A2046" s="42"/>
      <c r="B2046" s="42"/>
      <c r="C2046" s="42"/>
      <c r="D2046" s="42"/>
      <c r="E2046" s="42"/>
      <c r="F2046" s="42"/>
      <c r="G2046" s="42"/>
      <c r="H2046" s="42"/>
      <c r="I2046" s="43"/>
      <c r="J2046" s="42"/>
      <c r="K2046" s="42"/>
      <c r="L2046" s="42"/>
      <c r="M2046" s="42"/>
      <c r="N2046" s="42"/>
      <c r="O2046" s="42"/>
      <c r="P2046" s="42"/>
      <c r="Q2046" s="42"/>
      <c r="R2046" s="42"/>
      <c r="S2046" s="42"/>
      <c r="T2046" s="42"/>
      <c r="U2046" s="42"/>
      <c r="V2046" s="42"/>
      <c r="W2046" s="42"/>
      <c r="X2046" s="42"/>
      <c r="Y2046" s="42"/>
      <c r="Z2046" s="42"/>
    </row>
    <row r="2047">
      <c r="A2047" s="42"/>
      <c r="B2047" s="42"/>
      <c r="C2047" s="42"/>
      <c r="D2047" s="42"/>
      <c r="E2047" s="42"/>
      <c r="F2047" s="42"/>
      <c r="G2047" s="42"/>
      <c r="H2047" s="42"/>
      <c r="I2047" s="43"/>
      <c r="J2047" s="42"/>
      <c r="K2047" s="42"/>
      <c r="L2047" s="42"/>
      <c r="M2047" s="42"/>
      <c r="N2047" s="42"/>
      <c r="O2047" s="42"/>
      <c r="P2047" s="42"/>
      <c r="Q2047" s="42"/>
      <c r="R2047" s="42"/>
      <c r="S2047" s="42"/>
      <c r="T2047" s="42"/>
      <c r="U2047" s="42"/>
      <c r="V2047" s="42"/>
      <c r="W2047" s="42"/>
      <c r="X2047" s="42"/>
      <c r="Y2047" s="42"/>
      <c r="Z2047" s="42"/>
    </row>
    <row r="2048">
      <c r="A2048" s="42"/>
      <c r="B2048" s="42"/>
      <c r="C2048" s="42"/>
      <c r="D2048" s="42"/>
      <c r="E2048" s="42"/>
      <c r="F2048" s="42"/>
      <c r="G2048" s="42"/>
      <c r="H2048" s="42"/>
      <c r="I2048" s="43"/>
      <c r="J2048" s="42"/>
      <c r="K2048" s="42"/>
      <c r="L2048" s="42"/>
      <c r="M2048" s="42"/>
      <c r="N2048" s="42"/>
      <c r="O2048" s="42"/>
      <c r="P2048" s="42"/>
      <c r="Q2048" s="42"/>
      <c r="R2048" s="42"/>
      <c r="S2048" s="42"/>
      <c r="T2048" s="42"/>
      <c r="U2048" s="42"/>
      <c r="V2048" s="42"/>
      <c r="W2048" s="42"/>
      <c r="X2048" s="42"/>
      <c r="Y2048" s="42"/>
      <c r="Z2048" s="42"/>
    </row>
    <row r="2049">
      <c r="A2049" s="42"/>
      <c r="B2049" s="42"/>
      <c r="C2049" s="42"/>
      <c r="D2049" s="42"/>
      <c r="E2049" s="42"/>
      <c r="F2049" s="42"/>
      <c r="G2049" s="42"/>
      <c r="H2049" s="42"/>
      <c r="I2049" s="43"/>
      <c r="J2049" s="42"/>
      <c r="K2049" s="42"/>
      <c r="L2049" s="42"/>
      <c r="M2049" s="42"/>
      <c r="N2049" s="42"/>
      <c r="O2049" s="42"/>
      <c r="P2049" s="42"/>
      <c r="Q2049" s="42"/>
      <c r="R2049" s="42"/>
      <c r="S2049" s="42"/>
      <c r="T2049" s="42"/>
      <c r="U2049" s="42"/>
      <c r="V2049" s="42"/>
      <c r="W2049" s="42"/>
      <c r="X2049" s="42"/>
      <c r="Y2049" s="42"/>
      <c r="Z2049" s="42"/>
    </row>
    <row r="2050">
      <c r="A2050" s="42"/>
      <c r="B2050" s="42"/>
      <c r="C2050" s="42"/>
      <c r="D2050" s="42"/>
      <c r="E2050" s="42"/>
      <c r="F2050" s="42"/>
      <c r="G2050" s="42"/>
      <c r="H2050" s="42"/>
      <c r="I2050" s="43"/>
      <c r="J2050" s="42"/>
      <c r="K2050" s="42"/>
      <c r="L2050" s="42"/>
      <c r="M2050" s="42"/>
      <c r="N2050" s="42"/>
      <c r="O2050" s="42"/>
      <c r="P2050" s="42"/>
      <c r="Q2050" s="42"/>
      <c r="R2050" s="42"/>
      <c r="S2050" s="42"/>
      <c r="T2050" s="42"/>
      <c r="U2050" s="42"/>
      <c r="V2050" s="42"/>
      <c r="W2050" s="42"/>
      <c r="X2050" s="42"/>
      <c r="Y2050" s="42"/>
      <c r="Z2050" s="42"/>
    </row>
    <row r="2051">
      <c r="A2051" s="42"/>
      <c r="B2051" s="42"/>
      <c r="C2051" s="42"/>
      <c r="D2051" s="42"/>
      <c r="E2051" s="42"/>
      <c r="F2051" s="42"/>
      <c r="G2051" s="42"/>
      <c r="H2051" s="42"/>
      <c r="I2051" s="43"/>
      <c r="J2051" s="42"/>
      <c r="K2051" s="42"/>
      <c r="L2051" s="42"/>
      <c r="M2051" s="42"/>
      <c r="N2051" s="42"/>
      <c r="O2051" s="42"/>
      <c r="P2051" s="42"/>
      <c r="Q2051" s="42"/>
      <c r="R2051" s="42"/>
      <c r="S2051" s="42"/>
      <c r="T2051" s="42"/>
      <c r="U2051" s="42"/>
      <c r="V2051" s="42"/>
      <c r="W2051" s="42"/>
      <c r="X2051" s="42"/>
      <c r="Y2051" s="42"/>
      <c r="Z2051" s="42"/>
    </row>
    <row r="2052">
      <c r="A2052" s="42"/>
      <c r="B2052" s="42"/>
      <c r="C2052" s="42"/>
      <c r="D2052" s="42"/>
      <c r="E2052" s="42"/>
      <c r="F2052" s="42"/>
      <c r="G2052" s="42"/>
      <c r="H2052" s="42"/>
      <c r="I2052" s="43"/>
      <c r="J2052" s="42"/>
      <c r="K2052" s="42"/>
      <c r="L2052" s="42"/>
      <c r="M2052" s="42"/>
      <c r="N2052" s="42"/>
      <c r="O2052" s="42"/>
      <c r="P2052" s="42"/>
      <c r="Q2052" s="42"/>
      <c r="R2052" s="42"/>
      <c r="S2052" s="42"/>
      <c r="T2052" s="42"/>
      <c r="U2052" s="42"/>
      <c r="V2052" s="42"/>
      <c r="W2052" s="42"/>
      <c r="X2052" s="42"/>
      <c r="Y2052" s="42"/>
      <c r="Z2052" s="42"/>
    </row>
    <row r="2053">
      <c r="A2053" s="42"/>
      <c r="B2053" s="42"/>
      <c r="C2053" s="42"/>
      <c r="D2053" s="42"/>
      <c r="E2053" s="42"/>
      <c r="F2053" s="42"/>
      <c r="G2053" s="42"/>
      <c r="H2053" s="42"/>
      <c r="I2053" s="43"/>
      <c r="J2053" s="42"/>
      <c r="K2053" s="42"/>
      <c r="L2053" s="42"/>
      <c r="M2053" s="42"/>
      <c r="N2053" s="42"/>
      <c r="O2053" s="42"/>
      <c r="P2053" s="42"/>
      <c r="Q2053" s="42"/>
      <c r="R2053" s="42"/>
      <c r="S2053" s="42"/>
      <c r="T2053" s="42"/>
      <c r="U2053" s="42"/>
      <c r="V2053" s="42"/>
      <c r="W2053" s="42"/>
      <c r="X2053" s="42"/>
      <c r="Y2053" s="42"/>
      <c r="Z2053" s="42"/>
    </row>
    <row r="2054">
      <c r="A2054" s="42"/>
      <c r="B2054" s="42"/>
      <c r="C2054" s="42"/>
      <c r="D2054" s="42"/>
      <c r="E2054" s="42"/>
      <c r="F2054" s="42"/>
      <c r="G2054" s="42"/>
      <c r="H2054" s="42"/>
      <c r="I2054" s="43"/>
      <c r="J2054" s="42"/>
      <c r="K2054" s="42"/>
      <c r="L2054" s="42"/>
      <c r="M2054" s="42"/>
      <c r="N2054" s="42"/>
      <c r="O2054" s="42"/>
      <c r="P2054" s="42"/>
      <c r="Q2054" s="42"/>
      <c r="R2054" s="42"/>
      <c r="S2054" s="42"/>
      <c r="T2054" s="42"/>
      <c r="U2054" s="42"/>
      <c r="V2054" s="42"/>
      <c r="W2054" s="42"/>
      <c r="X2054" s="42"/>
      <c r="Y2054" s="42"/>
      <c r="Z2054" s="42"/>
    </row>
    <row r="2055">
      <c r="A2055" s="42"/>
      <c r="B2055" s="42"/>
      <c r="C2055" s="42"/>
      <c r="D2055" s="42"/>
      <c r="E2055" s="42"/>
      <c r="F2055" s="42"/>
      <c r="G2055" s="42"/>
      <c r="H2055" s="42"/>
      <c r="I2055" s="43"/>
      <c r="J2055" s="42"/>
      <c r="K2055" s="42"/>
      <c r="L2055" s="42"/>
      <c r="M2055" s="42"/>
      <c r="N2055" s="42"/>
      <c r="O2055" s="42"/>
      <c r="P2055" s="42"/>
      <c r="Q2055" s="42"/>
      <c r="R2055" s="42"/>
      <c r="S2055" s="42"/>
      <c r="T2055" s="42"/>
      <c r="U2055" s="42"/>
      <c r="V2055" s="42"/>
      <c r="W2055" s="42"/>
      <c r="X2055" s="42"/>
      <c r="Y2055" s="42"/>
      <c r="Z2055" s="42"/>
    </row>
    <row r="2056">
      <c r="A2056" s="42"/>
      <c r="B2056" s="42"/>
      <c r="C2056" s="42"/>
      <c r="D2056" s="42"/>
      <c r="E2056" s="42"/>
      <c r="F2056" s="42"/>
      <c r="G2056" s="42"/>
      <c r="H2056" s="42"/>
      <c r="I2056" s="43"/>
      <c r="J2056" s="42"/>
      <c r="K2056" s="42"/>
      <c r="L2056" s="42"/>
      <c r="M2056" s="42"/>
      <c r="N2056" s="42"/>
      <c r="O2056" s="42"/>
      <c r="P2056" s="42"/>
      <c r="Q2056" s="42"/>
      <c r="R2056" s="42"/>
      <c r="S2056" s="42"/>
      <c r="T2056" s="42"/>
      <c r="U2056" s="42"/>
      <c r="V2056" s="42"/>
      <c r="W2056" s="42"/>
      <c r="X2056" s="42"/>
      <c r="Y2056" s="42"/>
      <c r="Z2056" s="42"/>
    </row>
    <row r="2057">
      <c r="A2057" s="42"/>
      <c r="B2057" s="42"/>
      <c r="C2057" s="42"/>
      <c r="D2057" s="42"/>
      <c r="E2057" s="42"/>
      <c r="F2057" s="42"/>
      <c r="G2057" s="42"/>
      <c r="H2057" s="42"/>
      <c r="I2057" s="43"/>
      <c r="J2057" s="42"/>
      <c r="K2057" s="42"/>
      <c r="L2057" s="42"/>
      <c r="M2057" s="42"/>
      <c r="N2057" s="42"/>
      <c r="O2057" s="42"/>
      <c r="P2057" s="42"/>
      <c r="Q2057" s="42"/>
      <c r="R2057" s="42"/>
      <c r="S2057" s="42"/>
      <c r="T2057" s="42"/>
      <c r="U2057" s="42"/>
      <c r="V2057" s="42"/>
      <c r="W2057" s="42"/>
      <c r="X2057" s="42"/>
      <c r="Y2057" s="42"/>
      <c r="Z2057" s="42"/>
    </row>
    <row r="2058">
      <c r="A2058" s="42"/>
      <c r="B2058" s="42"/>
      <c r="C2058" s="42"/>
      <c r="D2058" s="42"/>
      <c r="E2058" s="42"/>
      <c r="F2058" s="42"/>
      <c r="G2058" s="42"/>
      <c r="H2058" s="42"/>
      <c r="I2058" s="43"/>
      <c r="J2058" s="42"/>
      <c r="K2058" s="42"/>
      <c r="L2058" s="42"/>
      <c r="M2058" s="42"/>
      <c r="N2058" s="42"/>
      <c r="O2058" s="42"/>
      <c r="P2058" s="42"/>
      <c r="Q2058" s="42"/>
      <c r="R2058" s="42"/>
      <c r="S2058" s="42"/>
      <c r="T2058" s="42"/>
      <c r="U2058" s="42"/>
      <c r="V2058" s="42"/>
      <c r="W2058" s="42"/>
      <c r="X2058" s="42"/>
      <c r="Y2058" s="42"/>
      <c r="Z2058" s="42"/>
    </row>
    <row r="2059">
      <c r="A2059" s="42"/>
      <c r="B2059" s="42"/>
      <c r="C2059" s="42"/>
      <c r="D2059" s="42"/>
      <c r="E2059" s="42"/>
      <c r="F2059" s="42"/>
      <c r="G2059" s="42"/>
      <c r="H2059" s="42"/>
      <c r="I2059" s="43"/>
      <c r="J2059" s="42"/>
      <c r="K2059" s="42"/>
      <c r="L2059" s="42"/>
      <c r="M2059" s="42"/>
      <c r="N2059" s="42"/>
      <c r="O2059" s="42"/>
      <c r="P2059" s="42"/>
      <c r="Q2059" s="42"/>
      <c r="R2059" s="42"/>
      <c r="S2059" s="42"/>
      <c r="T2059" s="42"/>
      <c r="U2059" s="42"/>
      <c r="V2059" s="42"/>
      <c r="W2059" s="42"/>
      <c r="X2059" s="42"/>
      <c r="Y2059" s="42"/>
      <c r="Z2059" s="42"/>
    </row>
    <row r="2060">
      <c r="A2060" s="42"/>
      <c r="B2060" s="42"/>
      <c r="C2060" s="42"/>
      <c r="D2060" s="42"/>
      <c r="E2060" s="42"/>
      <c r="F2060" s="42"/>
      <c r="G2060" s="42"/>
      <c r="H2060" s="42"/>
      <c r="I2060" s="43"/>
      <c r="J2060" s="42"/>
      <c r="K2060" s="42"/>
      <c r="L2060" s="42"/>
      <c r="M2060" s="42"/>
      <c r="N2060" s="42"/>
      <c r="O2060" s="42"/>
      <c r="P2060" s="42"/>
      <c r="Q2060" s="42"/>
      <c r="R2060" s="42"/>
      <c r="S2060" s="42"/>
      <c r="T2060" s="42"/>
      <c r="U2060" s="42"/>
      <c r="V2060" s="42"/>
      <c r="W2060" s="42"/>
      <c r="X2060" s="42"/>
      <c r="Y2060" s="42"/>
      <c r="Z2060" s="42"/>
    </row>
    <row r="2061">
      <c r="A2061" s="42"/>
      <c r="B2061" s="42"/>
      <c r="C2061" s="42"/>
      <c r="D2061" s="42"/>
      <c r="E2061" s="42"/>
      <c r="F2061" s="42"/>
      <c r="G2061" s="42"/>
      <c r="H2061" s="42"/>
      <c r="I2061" s="43"/>
      <c r="J2061" s="42"/>
      <c r="K2061" s="42"/>
      <c r="L2061" s="42"/>
      <c r="M2061" s="42"/>
      <c r="N2061" s="42"/>
      <c r="O2061" s="42"/>
      <c r="P2061" s="42"/>
      <c r="Q2061" s="42"/>
      <c r="R2061" s="42"/>
      <c r="S2061" s="42"/>
      <c r="T2061" s="42"/>
      <c r="U2061" s="42"/>
      <c r="V2061" s="42"/>
      <c r="W2061" s="42"/>
      <c r="X2061" s="42"/>
      <c r="Y2061" s="42"/>
      <c r="Z2061" s="42"/>
    </row>
    <row r="2062">
      <c r="A2062" s="42"/>
      <c r="B2062" s="42"/>
      <c r="C2062" s="42"/>
      <c r="D2062" s="42"/>
      <c r="E2062" s="42"/>
      <c r="F2062" s="42"/>
      <c r="G2062" s="42"/>
      <c r="H2062" s="42"/>
      <c r="I2062" s="43"/>
      <c r="J2062" s="42"/>
      <c r="K2062" s="42"/>
      <c r="L2062" s="42"/>
      <c r="M2062" s="42"/>
      <c r="N2062" s="42"/>
      <c r="O2062" s="42"/>
      <c r="P2062" s="42"/>
      <c r="Q2062" s="42"/>
      <c r="R2062" s="42"/>
      <c r="S2062" s="42"/>
      <c r="T2062" s="42"/>
      <c r="U2062" s="42"/>
      <c r="V2062" s="42"/>
      <c r="W2062" s="42"/>
      <c r="X2062" s="42"/>
      <c r="Y2062" s="42"/>
      <c r="Z2062" s="42"/>
    </row>
    <row r="2063">
      <c r="A2063" s="42"/>
      <c r="B2063" s="42"/>
      <c r="C2063" s="42"/>
      <c r="D2063" s="42"/>
      <c r="E2063" s="42"/>
      <c r="F2063" s="42"/>
      <c r="G2063" s="42"/>
      <c r="H2063" s="42"/>
      <c r="I2063" s="43"/>
      <c r="J2063" s="42"/>
      <c r="K2063" s="42"/>
      <c r="L2063" s="42"/>
      <c r="M2063" s="42"/>
      <c r="N2063" s="42"/>
      <c r="O2063" s="42"/>
      <c r="P2063" s="42"/>
      <c r="Q2063" s="42"/>
      <c r="R2063" s="42"/>
      <c r="S2063" s="42"/>
      <c r="T2063" s="42"/>
      <c r="U2063" s="42"/>
      <c r="V2063" s="42"/>
      <c r="W2063" s="42"/>
      <c r="X2063" s="42"/>
      <c r="Y2063" s="42"/>
      <c r="Z2063" s="42"/>
    </row>
    <row r="2064">
      <c r="A2064" s="42"/>
      <c r="B2064" s="42"/>
      <c r="C2064" s="42"/>
      <c r="D2064" s="42"/>
      <c r="E2064" s="42"/>
      <c r="F2064" s="42"/>
      <c r="G2064" s="42"/>
      <c r="H2064" s="42"/>
      <c r="I2064" s="43"/>
      <c r="J2064" s="42"/>
      <c r="K2064" s="42"/>
      <c r="L2064" s="42"/>
      <c r="M2064" s="42"/>
      <c r="N2064" s="42"/>
      <c r="O2064" s="42"/>
      <c r="P2064" s="42"/>
      <c r="Q2064" s="42"/>
      <c r="R2064" s="42"/>
      <c r="S2064" s="42"/>
      <c r="T2064" s="42"/>
      <c r="U2064" s="42"/>
      <c r="V2064" s="42"/>
      <c r="W2064" s="42"/>
      <c r="X2064" s="42"/>
      <c r="Y2064" s="42"/>
      <c r="Z2064" s="42"/>
    </row>
    <row r="2065">
      <c r="A2065" s="42"/>
      <c r="B2065" s="42"/>
      <c r="C2065" s="42"/>
      <c r="D2065" s="42"/>
      <c r="E2065" s="42"/>
      <c r="F2065" s="42"/>
      <c r="G2065" s="42"/>
      <c r="H2065" s="42"/>
      <c r="I2065" s="43"/>
      <c r="J2065" s="42"/>
      <c r="K2065" s="42"/>
      <c r="L2065" s="42"/>
      <c r="M2065" s="42"/>
      <c r="N2065" s="42"/>
      <c r="O2065" s="42"/>
      <c r="P2065" s="42"/>
      <c r="Q2065" s="42"/>
      <c r="R2065" s="42"/>
      <c r="S2065" s="42"/>
      <c r="T2065" s="42"/>
      <c r="U2065" s="42"/>
      <c r="V2065" s="42"/>
      <c r="W2065" s="42"/>
      <c r="X2065" s="42"/>
      <c r="Y2065" s="42"/>
      <c r="Z2065" s="42"/>
    </row>
    <row r="2066">
      <c r="A2066" s="42"/>
      <c r="B2066" s="42"/>
      <c r="C2066" s="42"/>
      <c r="D2066" s="42"/>
      <c r="E2066" s="42"/>
      <c r="F2066" s="42"/>
      <c r="G2066" s="42"/>
      <c r="H2066" s="42"/>
      <c r="I2066" s="43"/>
      <c r="J2066" s="42"/>
      <c r="K2066" s="42"/>
      <c r="L2066" s="42"/>
      <c r="M2066" s="42"/>
      <c r="N2066" s="42"/>
      <c r="O2066" s="42"/>
      <c r="P2066" s="42"/>
      <c r="Q2066" s="42"/>
      <c r="R2066" s="42"/>
      <c r="S2066" s="42"/>
      <c r="T2066" s="42"/>
      <c r="U2066" s="42"/>
      <c r="V2066" s="42"/>
      <c r="W2066" s="42"/>
      <c r="X2066" s="42"/>
      <c r="Y2066" s="42"/>
      <c r="Z2066" s="42"/>
    </row>
    <row r="2067">
      <c r="A2067" s="42"/>
      <c r="B2067" s="42"/>
      <c r="C2067" s="42"/>
      <c r="D2067" s="42"/>
      <c r="E2067" s="42"/>
      <c r="F2067" s="42"/>
      <c r="G2067" s="42"/>
      <c r="H2067" s="42"/>
      <c r="I2067" s="43"/>
      <c r="J2067" s="42"/>
      <c r="K2067" s="42"/>
      <c r="L2067" s="42"/>
      <c r="M2067" s="42"/>
      <c r="N2067" s="42"/>
      <c r="O2067" s="42"/>
      <c r="P2067" s="42"/>
      <c r="Q2067" s="42"/>
      <c r="R2067" s="42"/>
      <c r="S2067" s="42"/>
      <c r="T2067" s="42"/>
      <c r="U2067" s="42"/>
      <c r="V2067" s="42"/>
      <c r="W2067" s="42"/>
      <c r="X2067" s="42"/>
      <c r="Y2067" s="42"/>
      <c r="Z2067" s="42"/>
    </row>
    <row r="2068">
      <c r="A2068" s="42"/>
      <c r="B2068" s="42"/>
      <c r="C2068" s="42"/>
      <c r="D2068" s="42"/>
      <c r="E2068" s="42"/>
      <c r="F2068" s="42"/>
      <c r="G2068" s="42"/>
      <c r="H2068" s="42"/>
      <c r="I2068" s="43"/>
      <c r="J2068" s="42"/>
      <c r="K2068" s="42"/>
      <c r="L2068" s="42"/>
      <c r="M2068" s="42"/>
      <c r="N2068" s="42"/>
      <c r="O2068" s="42"/>
      <c r="P2068" s="42"/>
      <c r="Q2068" s="42"/>
      <c r="R2068" s="42"/>
      <c r="S2068" s="42"/>
      <c r="T2068" s="42"/>
      <c r="U2068" s="42"/>
      <c r="V2068" s="42"/>
      <c r="W2068" s="42"/>
      <c r="X2068" s="42"/>
      <c r="Y2068" s="42"/>
      <c r="Z2068" s="42"/>
    </row>
    <row r="2069">
      <c r="A2069" s="42"/>
      <c r="B2069" s="42"/>
      <c r="C2069" s="42"/>
      <c r="D2069" s="42"/>
      <c r="E2069" s="42"/>
      <c r="F2069" s="42"/>
      <c r="G2069" s="42"/>
      <c r="H2069" s="42"/>
      <c r="I2069" s="43"/>
      <c r="J2069" s="42"/>
      <c r="K2069" s="42"/>
      <c r="L2069" s="42"/>
      <c r="M2069" s="42"/>
      <c r="N2069" s="42"/>
      <c r="O2069" s="42"/>
      <c r="P2069" s="42"/>
      <c r="Q2069" s="42"/>
      <c r="R2069" s="42"/>
      <c r="S2069" s="42"/>
      <c r="T2069" s="42"/>
      <c r="U2069" s="42"/>
      <c r="V2069" s="42"/>
      <c r="W2069" s="42"/>
      <c r="X2069" s="42"/>
      <c r="Y2069" s="42"/>
      <c r="Z2069" s="42"/>
    </row>
    <row r="2070">
      <c r="A2070" s="42"/>
      <c r="B2070" s="42"/>
      <c r="C2070" s="42"/>
      <c r="D2070" s="42"/>
      <c r="E2070" s="42"/>
      <c r="F2070" s="42"/>
      <c r="G2070" s="42"/>
      <c r="H2070" s="42"/>
      <c r="I2070" s="43"/>
      <c r="J2070" s="42"/>
      <c r="K2070" s="42"/>
      <c r="L2070" s="42"/>
      <c r="M2070" s="42"/>
      <c r="N2070" s="42"/>
      <c r="O2070" s="42"/>
      <c r="P2070" s="42"/>
      <c r="Q2070" s="42"/>
      <c r="R2070" s="42"/>
      <c r="S2070" s="42"/>
      <c r="T2070" s="42"/>
      <c r="U2070" s="42"/>
      <c r="V2070" s="42"/>
      <c r="W2070" s="42"/>
      <c r="X2070" s="42"/>
      <c r="Y2070" s="42"/>
      <c r="Z2070" s="42"/>
    </row>
    <row r="2071">
      <c r="A2071" s="42"/>
      <c r="B2071" s="42"/>
      <c r="C2071" s="42"/>
      <c r="D2071" s="42"/>
      <c r="E2071" s="42"/>
      <c r="F2071" s="42"/>
      <c r="G2071" s="42"/>
      <c r="H2071" s="42"/>
      <c r="I2071" s="43"/>
      <c r="J2071" s="42"/>
      <c r="K2071" s="42"/>
      <c r="L2071" s="42"/>
      <c r="M2071" s="42"/>
      <c r="N2071" s="42"/>
      <c r="O2071" s="42"/>
      <c r="P2071" s="42"/>
      <c r="Q2071" s="42"/>
      <c r="R2071" s="42"/>
      <c r="S2071" s="42"/>
      <c r="T2071" s="42"/>
      <c r="U2071" s="42"/>
      <c r="V2071" s="42"/>
      <c r="W2071" s="42"/>
      <c r="X2071" s="42"/>
      <c r="Y2071" s="42"/>
      <c r="Z2071" s="42"/>
    </row>
    <row r="2072">
      <c r="A2072" s="42"/>
      <c r="B2072" s="42"/>
      <c r="C2072" s="42"/>
      <c r="D2072" s="42"/>
      <c r="E2072" s="42"/>
      <c r="F2072" s="42"/>
      <c r="G2072" s="42"/>
      <c r="H2072" s="42"/>
      <c r="I2072" s="43"/>
      <c r="J2072" s="42"/>
      <c r="K2072" s="42"/>
      <c r="L2072" s="42"/>
      <c r="M2072" s="42"/>
      <c r="N2072" s="42"/>
      <c r="O2072" s="42"/>
      <c r="P2072" s="42"/>
      <c r="Q2072" s="42"/>
      <c r="R2072" s="42"/>
      <c r="S2072" s="42"/>
      <c r="T2072" s="42"/>
      <c r="U2072" s="42"/>
      <c r="V2072" s="42"/>
      <c r="W2072" s="42"/>
      <c r="X2072" s="42"/>
      <c r="Y2072" s="42"/>
      <c r="Z2072" s="42"/>
    </row>
    <row r="2073">
      <c r="A2073" s="42"/>
      <c r="B2073" s="42"/>
      <c r="C2073" s="42"/>
      <c r="D2073" s="42"/>
      <c r="E2073" s="42"/>
      <c r="F2073" s="42"/>
      <c r="G2073" s="42"/>
      <c r="H2073" s="42"/>
      <c r="I2073" s="43"/>
      <c r="J2073" s="42"/>
      <c r="K2073" s="42"/>
      <c r="L2073" s="42"/>
      <c r="M2073" s="42"/>
      <c r="N2073" s="42"/>
      <c r="O2073" s="42"/>
      <c r="P2073" s="42"/>
      <c r="Q2073" s="42"/>
      <c r="R2073" s="42"/>
      <c r="S2073" s="42"/>
      <c r="T2073" s="42"/>
      <c r="U2073" s="42"/>
      <c r="V2073" s="42"/>
      <c r="W2073" s="42"/>
      <c r="X2073" s="42"/>
      <c r="Y2073" s="42"/>
      <c r="Z2073" s="42"/>
    </row>
    <row r="2074">
      <c r="A2074" s="42"/>
      <c r="B2074" s="42"/>
      <c r="C2074" s="42"/>
      <c r="D2074" s="42"/>
      <c r="E2074" s="42"/>
      <c r="F2074" s="42"/>
      <c r="G2074" s="42"/>
      <c r="H2074" s="42"/>
      <c r="I2074" s="43"/>
      <c r="J2074" s="42"/>
      <c r="K2074" s="42"/>
      <c r="L2074" s="42"/>
      <c r="M2074" s="42"/>
      <c r="N2074" s="42"/>
      <c r="O2074" s="42"/>
      <c r="P2074" s="42"/>
      <c r="Q2074" s="42"/>
      <c r="R2074" s="42"/>
      <c r="S2074" s="42"/>
      <c r="T2074" s="42"/>
      <c r="U2074" s="42"/>
      <c r="V2074" s="42"/>
      <c r="W2074" s="42"/>
      <c r="X2074" s="42"/>
      <c r="Y2074" s="42"/>
      <c r="Z2074" s="42"/>
    </row>
    <row r="2075">
      <c r="A2075" s="42"/>
      <c r="B2075" s="42"/>
      <c r="C2075" s="42"/>
      <c r="D2075" s="42"/>
      <c r="E2075" s="42"/>
      <c r="F2075" s="42"/>
      <c r="G2075" s="42"/>
      <c r="H2075" s="42"/>
      <c r="I2075" s="43"/>
      <c r="J2075" s="42"/>
      <c r="K2075" s="42"/>
      <c r="L2075" s="42"/>
      <c r="M2075" s="42"/>
      <c r="N2075" s="42"/>
      <c r="O2075" s="42"/>
      <c r="P2075" s="42"/>
      <c r="Q2075" s="42"/>
      <c r="R2075" s="42"/>
      <c r="S2075" s="42"/>
      <c r="T2075" s="42"/>
      <c r="U2075" s="42"/>
      <c r="V2075" s="42"/>
      <c r="W2075" s="42"/>
      <c r="X2075" s="42"/>
      <c r="Y2075" s="42"/>
      <c r="Z2075" s="42"/>
    </row>
    <row r="2076">
      <c r="A2076" s="42"/>
      <c r="B2076" s="42"/>
      <c r="C2076" s="42"/>
      <c r="D2076" s="42"/>
      <c r="E2076" s="42"/>
      <c r="F2076" s="42"/>
      <c r="G2076" s="42"/>
      <c r="H2076" s="42"/>
      <c r="I2076" s="43"/>
      <c r="J2076" s="42"/>
      <c r="K2076" s="42"/>
      <c r="L2076" s="42"/>
      <c r="M2076" s="42"/>
      <c r="N2076" s="42"/>
      <c r="O2076" s="42"/>
      <c r="P2076" s="42"/>
      <c r="Q2076" s="42"/>
      <c r="R2076" s="42"/>
      <c r="S2076" s="42"/>
      <c r="T2076" s="42"/>
      <c r="U2076" s="42"/>
      <c r="V2076" s="42"/>
      <c r="W2076" s="42"/>
      <c r="X2076" s="42"/>
      <c r="Y2076" s="42"/>
      <c r="Z2076" s="42"/>
    </row>
    <row r="2077">
      <c r="A2077" s="42"/>
      <c r="B2077" s="42"/>
      <c r="C2077" s="42"/>
      <c r="D2077" s="42"/>
      <c r="E2077" s="42"/>
      <c r="F2077" s="42"/>
      <c r="G2077" s="42"/>
      <c r="H2077" s="42"/>
      <c r="I2077" s="43"/>
      <c r="J2077" s="42"/>
      <c r="K2077" s="42"/>
      <c r="L2077" s="42"/>
      <c r="M2077" s="42"/>
      <c r="N2077" s="42"/>
      <c r="O2077" s="42"/>
      <c r="P2077" s="42"/>
      <c r="Q2077" s="42"/>
      <c r="R2077" s="42"/>
      <c r="S2077" s="42"/>
      <c r="T2077" s="42"/>
      <c r="U2077" s="42"/>
      <c r="V2077" s="42"/>
      <c r="W2077" s="42"/>
      <c r="X2077" s="42"/>
      <c r="Y2077" s="42"/>
      <c r="Z2077" s="42"/>
    </row>
    <row r="2078">
      <c r="A2078" s="42"/>
      <c r="B2078" s="42"/>
      <c r="C2078" s="42"/>
      <c r="D2078" s="42"/>
      <c r="E2078" s="42"/>
      <c r="F2078" s="42"/>
      <c r="G2078" s="42"/>
      <c r="H2078" s="42"/>
      <c r="I2078" s="43"/>
      <c r="J2078" s="42"/>
      <c r="K2078" s="42"/>
      <c r="L2078" s="42"/>
      <c r="M2078" s="42"/>
      <c r="N2078" s="42"/>
      <c r="O2078" s="42"/>
      <c r="P2078" s="42"/>
      <c r="Q2078" s="42"/>
      <c r="R2078" s="42"/>
      <c r="S2078" s="42"/>
      <c r="T2078" s="42"/>
      <c r="U2078" s="42"/>
      <c r="V2078" s="42"/>
      <c r="W2078" s="42"/>
      <c r="X2078" s="42"/>
      <c r="Y2078" s="42"/>
      <c r="Z2078" s="42"/>
    </row>
    <row r="2079">
      <c r="A2079" s="42"/>
      <c r="B2079" s="42"/>
      <c r="C2079" s="42"/>
      <c r="D2079" s="42"/>
      <c r="E2079" s="42"/>
      <c r="F2079" s="42"/>
      <c r="G2079" s="42"/>
      <c r="H2079" s="42"/>
      <c r="I2079" s="43"/>
      <c r="J2079" s="42"/>
      <c r="K2079" s="42"/>
      <c r="L2079" s="42"/>
      <c r="M2079" s="42"/>
      <c r="N2079" s="42"/>
      <c r="O2079" s="42"/>
      <c r="P2079" s="42"/>
      <c r="Q2079" s="42"/>
      <c r="R2079" s="42"/>
      <c r="S2079" s="42"/>
      <c r="T2079" s="42"/>
      <c r="U2079" s="42"/>
      <c r="V2079" s="42"/>
      <c r="W2079" s="42"/>
      <c r="X2079" s="42"/>
      <c r="Y2079" s="42"/>
      <c r="Z2079" s="42"/>
    </row>
    <row r="2080">
      <c r="A2080" s="42"/>
      <c r="B2080" s="42"/>
      <c r="C2080" s="42"/>
      <c r="D2080" s="42"/>
      <c r="E2080" s="42"/>
      <c r="F2080" s="42"/>
      <c r="G2080" s="42"/>
      <c r="H2080" s="42"/>
      <c r="I2080" s="43"/>
      <c r="J2080" s="42"/>
      <c r="K2080" s="42"/>
      <c r="L2080" s="42"/>
      <c r="M2080" s="42"/>
      <c r="N2080" s="42"/>
      <c r="O2080" s="42"/>
      <c r="P2080" s="42"/>
      <c r="Q2080" s="42"/>
      <c r="R2080" s="42"/>
      <c r="S2080" s="42"/>
      <c r="T2080" s="42"/>
      <c r="U2080" s="42"/>
      <c r="V2080" s="42"/>
      <c r="W2080" s="42"/>
      <c r="X2080" s="42"/>
      <c r="Y2080" s="42"/>
      <c r="Z2080" s="42"/>
    </row>
    <row r="2081">
      <c r="A2081" s="42"/>
      <c r="B2081" s="42"/>
      <c r="C2081" s="42"/>
      <c r="D2081" s="42"/>
      <c r="E2081" s="42"/>
      <c r="F2081" s="42"/>
      <c r="G2081" s="42"/>
      <c r="H2081" s="42"/>
      <c r="I2081" s="43"/>
      <c r="J2081" s="42"/>
      <c r="K2081" s="42"/>
      <c r="L2081" s="42"/>
      <c r="M2081" s="42"/>
      <c r="N2081" s="42"/>
      <c r="O2081" s="42"/>
      <c r="P2081" s="42"/>
      <c r="Q2081" s="42"/>
      <c r="R2081" s="42"/>
      <c r="S2081" s="42"/>
      <c r="T2081" s="42"/>
      <c r="U2081" s="42"/>
      <c r="V2081" s="42"/>
      <c r="W2081" s="42"/>
      <c r="X2081" s="42"/>
      <c r="Y2081" s="42"/>
      <c r="Z2081" s="42"/>
    </row>
    <row r="2082">
      <c r="A2082" s="42"/>
      <c r="B2082" s="42"/>
      <c r="C2082" s="42"/>
      <c r="D2082" s="42"/>
      <c r="E2082" s="42"/>
      <c r="F2082" s="42"/>
      <c r="G2082" s="42"/>
      <c r="H2082" s="42"/>
      <c r="I2082" s="43"/>
      <c r="J2082" s="42"/>
      <c r="K2082" s="42"/>
      <c r="L2082" s="42"/>
      <c r="M2082" s="42"/>
      <c r="N2082" s="42"/>
      <c r="O2082" s="42"/>
      <c r="P2082" s="42"/>
      <c r="Q2082" s="42"/>
      <c r="R2082" s="42"/>
      <c r="S2082" s="42"/>
      <c r="T2082" s="42"/>
      <c r="U2082" s="42"/>
      <c r="V2082" s="42"/>
      <c r="W2082" s="42"/>
      <c r="X2082" s="42"/>
      <c r="Y2082" s="42"/>
      <c r="Z2082" s="42"/>
    </row>
    <row r="2083">
      <c r="A2083" s="42"/>
      <c r="B2083" s="42"/>
      <c r="C2083" s="42"/>
      <c r="D2083" s="42"/>
      <c r="E2083" s="42"/>
      <c r="F2083" s="42"/>
      <c r="G2083" s="42"/>
      <c r="H2083" s="42"/>
      <c r="I2083" s="43"/>
      <c r="J2083" s="42"/>
      <c r="K2083" s="42"/>
      <c r="L2083" s="42"/>
      <c r="M2083" s="42"/>
      <c r="N2083" s="42"/>
      <c r="O2083" s="42"/>
      <c r="P2083" s="42"/>
      <c r="Q2083" s="42"/>
      <c r="R2083" s="42"/>
      <c r="S2083" s="42"/>
      <c r="T2083" s="42"/>
      <c r="U2083" s="42"/>
      <c r="V2083" s="42"/>
      <c r="W2083" s="42"/>
      <c r="X2083" s="42"/>
      <c r="Y2083" s="42"/>
      <c r="Z2083" s="42"/>
    </row>
    <row r="2084">
      <c r="A2084" s="42"/>
      <c r="B2084" s="42"/>
      <c r="C2084" s="42"/>
      <c r="D2084" s="42"/>
      <c r="E2084" s="42"/>
      <c r="F2084" s="42"/>
      <c r="G2084" s="42"/>
      <c r="H2084" s="42"/>
      <c r="I2084" s="43"/>
      <c r="J2084" s="42"/>
      <c r="K2084" s="42"/>
      <c r="L2084" s="42"/>
      <c r="M2084" s="42"/>
      <c r="N2084" s="42"/>
      <c r="O2084" s="42"/>
      <c r="P2084" s="42"/>
      <c r="Q2084" s="42"/>
      <c r="R2084" s="42"/>
      <c r="S2084" s="42"/>
      <c r="T2084" s="42"/>
      <c r="U2084" s="42"/>
      <c r="V2084" s="42"/>
      <c r="W2084" s="42"/>
      <c r="X2084" s="42"/>
      <c r="Y2084" s="42"/>
      <c r="Z2084" s="42"/>
    </row>
    <row r="2085">
      <c r="A2085" s="42"/>
      <c r="B2085" s="42"/>
      <c r="C2085" s="42"/>
      <c r="D2085" s="42"/>
      <c r="E2085" s="42"/>
      <c r="F2085" s="42"/>
      <c r="G2085" s="42"/>
      <c r="H2085" s="42"/>
      <c r="I2085" s="43"/>
      <c r="J2085" s="42"/>
      <c r="K2085" s="42"/>
      <c r="L2085" s="42"/>
      <c r="M2085" s="42"/>
      <c r="N2085" s="42"/>
      <c r="O2085" s="42"/>
      <c r="P2085" s="42"/>
      <c r="Q2085" s="42"/>
      <c r="R2085" s="42"/>
      <c r="S2085" s="42"/>
      <c r="T2085" s="42"/>
      <c r="U2085" s="42"/>
      <c r="V2085" s="42"/>
      <c r="W2085" s="42"/>
      <c r="X2085" s="42"/>
      <c r="Y2085" s="42"/>
      <c r="Z2085" s="42"/>
    </row>
    <row r="2086">
      <c r="A2086" s="42"/>
      <c r="B2086" s="42"/>
      <c r="C2086" s="42"/>
      <c r="D2086" s="42"/>
      <c r="E2086" s="42"/>
      <c r="F2086" s="42"/>
      <c r="G2086" s="42"/>
      <c r="H2086" s="42"/>
      <c r="I2086" s="43"/>
      <c r="J2086" s="42"/>
      <c r="K2086" s="42"/>
      <c r="L2086" s="42"/>
      <c r="M2086" s="42"/>
      <c r="N2086" s="42"/>
      <c r="O2086" s="42"/>
      <c r="P2086" s="42"/>
      <c r="Q2086" s="42"/>
      <c r="R2086" s="42"/>
      <c r="S2086" s="42"/>
      <c r="T2086" s="42"/>
      <c r="U2086" s="42"/>
      <c r="V2086" s="42"/>
      <c r="W2086" s="42"/>
      <c r="X2086" s="42"/>
      <c r="Y2086" s="42"/>
      <c r="Z2086" s="42"/>
    </row>
    <row r="2087">
      <c r="A2087" s="42"/>
      <c r="B2087" s="42"/>
      <c r="C2087" s="42"/>
      <c r="D2087" s="42"/>
      <c r="E2087" s="42"/>
      <c r="F2087" s="42"/>
      <c r="G2087" s="42"/>
      <c r="H2087" s="42"/>
      <c r="I2087" s="43"/>
      <c r="J2087" s="42"/>
      <c r="K2087" s="42"/>
      <c r="L2087" s="42"/>
      <c r="M2087" s="42"/>
      <c r="N2087" s="42"/>
      <c r="O2087" s="42"/>
      <c r="P2087" s="42"/>
      <c r="Q2087" s="42"/>
      <c r="R2087" s="42"/>
      <c r="S2087" s="42"/>
      <c r="T2087" s="42"/>
      <c r="U2087" s="42"/>
      <c r="V2087" s="42"/>
      <c r="W2087" s="42"/>
      <c r="X2087" s="42"/>
      <c r="Y2087" s="42"/>
      <c r="Z2087" s="42"/>
    </row>
    <row r="2088">
      <c r="A2088" s="42"/>
      <c r="B2088" s="42"/>
      <c r="C2088" s="42"/>
      <c r="D2088" s="42"/>
      <c r="E2088" s="42"/>
      <c r="F2088" s="42"/>
      <c r="G2088" s="42"/>
      <c r="H2088" s="42"/>
      <c r="I2088" s="43"/>
      <c r="J2088" s="42"/>
      <c r="K2088" s="42"/>
      <c r="L2088" s="42"/>
      <c r="M2088" s="42"/>
      <c r="N2088" s="42"/>
      <c r="O2088" s="42"/>
      <c r="P2088" s="42"/>
      <c r="Q2088" s="42"/>
      <c r="R2088" s="42"/>
      <c r="S2088" s="42"/>
      <c r="T2088" s="42"/>
      <c r="U2088" s="42"/>
      <c r="V2088" s="42"/>
      <c r="W2088" s="42"/>
      <c r="X2088" s="42"/>
      <c r="Y2088" s="42"/>
      <c r="Z2088" s="42"/>
    </row>
    <row r="2089">
      <c r="A2089" s="42"/>
      <c r="B2089" s="42"/>
      <c r="C2089" s="42"/>
      <c r="D2089" s="42"/>
      <c r="E2089" s="42"/>
      <c r="F2089" s="42"/>
      <c r="G2089" s="42"/>
      <c r="H2089" s="42"/>
      <c r="I2089" s="43"/>
      <c r="J2089" s="42"/>
      <c r="K2089" s="42"/>
      <c r="L2089" s="42"/>
      <c r="M2089" s="42"/>
      <c r="N2089" s="42"/>
      <c r="O2089" s="42"/>
      <c r="P2089" s="42"/>
      <c r="Q2089" s="42"/>
      <c r="R2089" s="42"/>
      <c r="S2089" s="42"/>
      <c r="T2089" s="42"/>
      <c r="U2089" s="42"/>
      <c r="V2089" s="42"/>
      <c r="W2089" s="42"/>
      <c r="X2089" s="42"/>
      <c r="Y2089" s="42"/>
      <c r="Z2089" s="42"/>
    </row>
    <row r="2090">
      <c r="A2090" s="42"/>
      <c r="B2090" s="42"/>
      <c r="C2090" s="42"/>
      <c r="D2090" s="42"/>
      <c r="E2090" s="42"/>
      <c r="F2090" s="42"/>
      <c r="G2090" s="42"/>
      <c r="H2090" s="42"/>
      <c r="I2090" s="43"/>
      <c r="J2090" s="42"/>
      <c r="K2090" s="42"/>
      <c r="L2090" s="42"/>
      <c r="M2090" s="42"/>
      <c r="N2090" s="42"/>
      <c r="O2090" s="42"/>
      <c r="P2090" s="42"/>
      <c r="Q2090" s="42"/>
      <c r="R2090" s="42"/>
      <c r="S2090" s="42"/>
      <c r="T2090" s="42"/>
      <c r="U2090" s="42"/>
      <c r="V2090" s="42"/>
      <c r="W2090" s="42"/>
      <c r="X2090" s="42"/>
      <c r="Y2090" s="42"/>
      <c r="Z2090" s="42"/>
    </row>
    <row r="2091">
      <c r="A2091" s="42"/>
      <c r="B2091" s="42"/>
      <c r="C2091" s="42"/>
      <c r="D2091" s="42"/>
      <c r="E2091" s="42"/>
      <c r="F2091" s="42"/>
      <c r="G2091" s="42"/>
      <c r="H2091" s="42"/>
      <c r="I2091" s="43"/>
      <c r="J2091" s="42"/>
      <c r="K2091" s="42"/>
      <c r="L2091" s="42"/>
      <c r="M2091" s="42"/>
      <c r="N2091" s="42"/>
      <c r="O2091" s="42"/>
      <c r="P2091" s="42"/>
      <c r="Q2091" s="42"/>
      <c r="R2091" s="42"/>
      <c r="S2091" s="42"/>
      <c r="T2091" s="42"/>
      <c r="U2091" s="42"/>
      <c r="V2091" s="42"/>
      <c r="W2091" s="42"/>
      <c r="X2091" s="42"/>
      <c r="Y2091" s="42"/>
      <c r="Z2091" s="42"/>
    </row>
    <row r="2092">
      <c r="A2092" s="42"/>
      <c r="B2092" s="42"/>
      <c r="C2092" s="42"/>
      <c r="D2092" s="42"/>
      <c r="E2092" s="42"/>
      <c r="F2092" s="42"/>
      <c r="G2092" s="42"/>
      <c r="H2092" s="42"/>
      <c r="I2092" s="43"/>
      <c r="J2092" s="42"/>
      <c r="K2092" s="42"/>
      <c r="L2092" s="42"/>
      <c r="M2092" s="42"/>
      <c r="N2092" s="42"/>
      <c r="O2092" s="42"/>
      <c r="P2092" s="42"/>
      <c r="Q2092" s="42"/>
      <c r="R2092" s="42"/>
      <c r="S2092" s="42"/>
      <c r="T2092" s="42"/>
      <c r="U2092" s="42"/>
      <c r="V2092" s="42"/>
      <c r="W2092" s="42"/>
      <c r="X2092" s="42"/>
      <c r="Y2092" s="42"/>
      <c r="Z2092" s="42"/>
    </row>
    <row r="2093">
      <c r="A2093" s="42"/>
      <c r="B2093" s="42"/>
      <c r="C2093" s="42"/>
      <c r="D2093" s="42"/>
      <c r="E2093" s="42"/>
      <c r="F2093" s="42"/>
      <c r="G2093" s="42"/>
      <c r="H2093" s="42"/>
      <c r="I2093" s="43"/>
      <c r="J2093" s="42"/>
      <c r="K2093" s="42"/>
      <c r="L2093" s="42"/>
      <c r="M2093" s="42"/>
      <c r="N2093" s="42"/>
      <c r="O2093" s="42"/>
      <c r="P2093" s="42"/>
      <c r="Q2093" s="42"/>
      <c r="R2093" s="42"/>
      <c r="S2093" s="42"/>
      <c r="T2093" s="42"/>
      <c r="U2093" s="42"/>
      <c r="V2093" s="42"/>
      <c r="W2093" s="42"/>
      <c r="X2093" s="42"/>
      <c r="Y2093" s="42"/>
      <c r="Z2093" s="42"/>
    </row>
    <row r="2094">
      <c r="A2094" s="42"/>
      <c r="B2094" s="42"/>
      <c r="C2094" s="42"/>
      <c r="D2094" s="42"/>
      <c r="E2094" s="42"/>
      <c r="F2094" s="42"/>
      <c r="G2094" s="42"/>
      <c r="H2094" s="42"/>
      <c r="I2094" s="43"/>
      <c r="J2094" s="42"/>
      <c r="K2094" s="42"/>
      <c r="L2094" s="42"/>
      <c r="M2094" s="42"/>
      <c r="N2094" s="42"/>
      <c r="O2094" s="42"/>
      <c r="P2094" s="42"/>
      <c r="Q2094" s="42"/>
      <c r="R2094" s="42"/>
      <c r="S2094" s="42"/>
      <c r="T2094" s="42"/>
      <c r="U2094" s="42"/>
      <c r="V2094" s="42"/>
      <c r="W2094" s="42"/>
      <c r="X2094" s="42"/>
      <c r="Y2094" s="42"/>
      <c r="Z2094" s="42"/>
    </row>
    <row r="2095">
      <c r="A2095" s="42"/>
      <c r="B2095" s="42"/>
      <c r="C2095" s="42"/>
      <c r="D2095" s="42"/>
      <c r="E2095" s="42"/>
      <c r="F2095" s="42"/>
      <c r="G2095" s="42"/>
      <c r="H2095" s="42"/>
      <c r="I2095" s="43"/>
      <c r="J2095" s="42"/>
      <c r="K2095" s="42"/>
      <c r="L2095" s="42"/>
      <c r="M2095" s="42"/>
      <c r="N2095" s="42"/>
      <c r="O2095" s="42"/>
      <c r="P2095" s="42"/>
      <c r="Q2095" s="42"/>
      <c r="R2095" s="42"/>
      <c r="S2095" s="42"/>
      <c r="T2095" s="42"/>
      <c r="U2095" s="42"/>
      <c r="V2095" s="42"/>
      <c r="W2095" s="42"/>
      <c r="X2095" s="42"/>
      <c r="Y2095" s="42"/>
      <c r="Z2095" s="42"/>
    </row>
    <row r="2096">
      <c r="A2096" s="42"/>
      <c r="B2096" s="42"/>
      <c r="C2096" s="42"/>
      <c r="D2096" s="42"/>
      <c r="E2096" s="42"/>
      <c r="F2096" s="42"/>
      <c r="G2096" s="42"/>
      <c r="H2096" s="42"/>
      <c r="I2096" s="43"/>
      <c r="J2096" s="42"/>
      <c r="K2096" s="42"/>
      <c r="L2096" s="42"/>
      <c r="M2096" s="42"/>
      <c r="N2096" s="42"/>
      <c r="O2096" s="42"/>
      <c r="P2096" s="42"/>
      <c r="Q2096" s="42"/>
      <c r="R2096" s="42"/>
      <c r="S2096" s="42"/>
      <c r="T2096" s="42"/>
      <c r="U2096" s="42"/>
      <c r="V2096" s="42"/>
      <c r="W2096" s="42"/>
      <c r="X2096" s="42"/>
      <c r="Y2096" s="42"/>
      <c r="Z2096" s="42"/>
    </row>
    <row r="2097">
      <c r="A2097" s="42"/>
      <c r="B2097" s="42"/>
      <c r="C2097" s="42"/>
      <c r="D2097" s="42"/>
      <c r="E2097" s="42"/>
      <c r="F2097" s="42"/>
      <c r="G2097" s="42"/>
      <c r="H2097" s="42"/>
      <c r="I2097" s="43"/>
      <c r="J2097" s="42"/>
      <c r="K2097" s="42"/>
      <c r="L2097" s="42"/>
      <c r="M2097" s="42"/>
      <c r="N2097" s="42"/>
      <c r="O2097" s="42"/>
      <c r="P2097" s="42"/>
      <c r="Q2097" s="42"/>
      <c r="R2097" s="42"/>
      <c r="S2097" s="42"/>
      <c r="T2097" s="42"/>
      <c r="U2097" s="42"/>
      <c r="V2097" s="42"/>
      <c r="W2097" s="42"/>
      <c r="X2097" s="42"/>
      <c r="Y2097" s="42"/>
      <c r="Z2097" s="42"/>
    </row>
    <row r="2098">
      <c r="A2098" s="42"/>
      <c r="B2098" s="42"/>
      <c r="C2098" s="42"/>
      <c r="D2098" s="42"/>
      <c r="E2098" s="42"/>
      <c r="F2098" s="42"/>
      <c r="G2098" s="42"/>
      <c r="H2098" s="42"/>
      <c r="I2098" s="43"/>
      <c r="J2098" s="42"/>
      <c r="K2098" s="42"/>
      <c r="L2098" s="42"/>
      <c r="M2098" s="42"/>
      <c r="N2098" s="42"/>
      <c r="O2098" s="42"/>
      <c r="P2098" s="42"/>
      <c r="Q2098" s="42"/>
      <c r="R2098" s="42"/>
      <c r="S2098" s="42"/>
      <c r="T2098" s="42"/>
      <c r="U2098" s="42"/>
      <c r="V2098" s="42"/>
      <c r="W2098" s="42"/>
      <c r="X2098" s="42"/>
      <c r="Y2098" s="42"/>
      <c r="Z2098" s="42"/>
    </row>
    <row r="2099">
      <c r="A2099" s="42"/>
      <c r="B2099" s="42"/>
      <c r="C2099" s="42"/>
      <c r="D2099" s="42"/>
      <c r="E2099" s="42"/>
      <c r="F2099" s="42"/>
      <c r="G2099" s="42"/>
      <c r="H2099" s="42"/>
      <c r="I2099" s="43"/>
      <c r="J2099" s="42"/>
      <c r="K2099" s="42"/>
      <c r="L2099" s="42"/>
      <c r="M2099" s="42"/>
      <c r="N2099" s="42"/>
      <c r="O2099" s="42"/>
      <c r="P2099" s="42"/>
      <c r="Q2099" s="42"/>
      <c r="R2099" s="42"/>
      <c r="S2099" s="42"/>
      <c r="T2099" s="42"/>
      <c r="U2099" s="42"/>
      <c r="V2099" s="42"/>
      <c r="W2099" s="42"/>
      <c r="X2099" s="42"/>
      <c r="Y2099" s="42"/>
      <c r="Z2099" s="42"/>
    </row>
    <row r="2100">
      <c r="A2100" s="42"/>
      <c r="B2100" s="42"/>
      <c r="C2100" s="42"/>
      <c r="D2100" s="42"/>
      <c r="E2100" s="42"/>
      <c r="F2100" s="42"/>
      <c r="G2100" s="42"/>
      <c r="H2100" s="42"/>
      <c r="I2100" s="43"/>
      <c r="J2100" s="42"/>
      <c r="K2100" s="42"/>
      <c r="L2100" s="42"/>
      <c r="M2100" s="42"/>
      <c r="N2100" s="42"/>
      <c r="O2100" s="42"/>
      <c r="P2100" s="42"/>
      <c r="Q2100" s="42"/>
      <c r="R2100" s="42"/>
      <c r="S2100" s="42"/>
      <c r="T2100" s="42"/>
      <c r="U2100" s="42"/>
      <c r="V2100" s="42"/>
      <c r="W2100" s="42"/>
      <c r="X2100" s="42"/>
      <c r="Y2100" s="42"/>
      <c r="Z2100" s="42"/>
    </row>
    <row r="2101">
      <c r="A2101" s="42"/>
      <c r="B2101" s="42"/>
      <c r="C2101" s="42"/>
      <c r="D2101" s="42"/>
      <c r="E2101" s="42"/>
      <c r="F2101" s="42"/>
      <c r="G2101" s="42"/>
      <c r="H2101" s="42"/>
      <c r="I2101" s="43"/>
      <c r="J2101" s="42"/>
      <c r="K2101" s="42"/>
      <c r="L2101" s="42"/>
      <c r="M2101" s="42"/>
      <c r="N2101" s="42"/>
      <c r="O2101" s="42"/>
      <c r="P2101" s="42"/>
      <c r="Q2101" s="42"/>
      <c r="R2101" s="42"/>
      <c r="S2101" s="42"/>
      <c r="T2101" s="42"/>
      <c r="U2101" s="42"/>
      <c r="V2101" s="42"/>
      <c r="W2101" s="42"/>
      <c r="X2101" s="42"/>
      <c r="Y2101" s="42"/>
      <c r="Z2101" s="42"/>
    </row>
    <row r="2102">
      <c r="A2102" s="42"/>
      <c r="B2102" s="42"/>
      <c r="C2102" s="42"/>
      <c r="D2102" s="42"/>
      <c r="E2102" s="42"/>
      <c r="F2102" s="42"/>
      <c r="G2102" s="42"/>
      <c r="H2102" s="42"/>
      <c r="I2102" s="43"/>
      <c r="J2102" s="42"/>
      <c r="K2102" s="42"/>
      <c r="L2102" s="42"/>
      <c r="M2102" s="42"/>
      <c r="N2102" s="42"/>
      <c r="O2102" s="42"/>
      <c r="P2102" s="42"/>
      <c r="Q2102" s="42"/>
      <c r="R2102" s="42"/>
      <c r="S2102" s="42"/>
      <c r="T2102" s="42"/>
      <c r="U2102" s="42"/>
      <c r="V2102" s="42"/>
      <c r="W2102" s="42"/>
      <c r="X2102" s="42"/>
      <c r="Y2102" s="42"/>
      <c r="Z2102" s="42"/>
    </row>
    <row r="2103">
      <c r="A2103" s="42"/>
      <c r="B2103" s="42"/>
      <c r="C2103" s="42"/>
      <c r="D2103" s="42"/>
      <c r="E2103" s="42"/>
      <c r="F2103" s="42"/>
      <c r="G2103" s="42"/>
      <c r="H2103" s="42"/>
      <c r="I2103" s="43"/>
      <c r="J2103" s="42"/>
      <c r="K2103" s="42"/>
      <c r="L2103" s="42"/>
      <c r="M2103" s="42"/>
      <c r="N2103" s="42"/>
      <c r="O2103" s="42"/>
      <c r="P2103" s="42"/>
      <c r="Q2103" s="42"/>
      <c r="R2103" s="42"/>
      <c r="S2103" s="42"/>
      <c r="T2103" s="42"/>
      <c r="U2103" s="42"/>
      <c r="V2103" s="42"/>
      <c r="W2103" s="42"/>
      <c r="X2103" s="42"/>
      <c r="Y2103" s="42"/>
      <c r="Z2103" s="42"/>
    </row>
    <row r="2104">
      <c r="A2104" s="42"/>
      <c r="B2104" s="42"/>
      <c r="C2104" s="42"/>
      <c r="D2104" s="42"/>
      <c r="E2104" s="42"/>
      <c r="F2104" s="42"/>
      <c r="G2104" s="42"/>
      <c r="H2104" s="42"/>
      <c r="I2104" s="43"/>
      <c r="J2104" s="42"/>
      <c r="K2104" s="42"/>
      <c r="L2104" s="42"/>
      <c r="M2104" s="42"/>
      <c r="N2104" s="42"/>
      <c r="O2104" s="42"/>
      <c r="P2104" s="42"/>
      <c r="Q2104" s="42"/>
      <c r="R2104" s="42"/>
      <c r="S2104" s="42"/>
      <c r="T2104" s="42"/>
      <c r="U2104" s="42"/>
      <c r="V2104" s="42"/>
      <c r="W2104" s="42"/>
      <c r="X2104" s="42"/>
      <c r="Y2104" s="42"/>
      <c r="Z2104" s="42"/>
    </row>
    <row r="2105">
      <c r="A2105" s="42"/>
      <c r="B2105" s="42"/>
      <c r="C2105" s="42"/>
      <c r="D2105" s="42"/>
      <c r="E2105" s="42"/>
      <c r="F2105" s="42"/>
      <c r="G2105" s="42"/>
      <c r="H2105" s="42"/>
      <c r="I2105" s="43"/>
      <c r="J2105" s="42"/>
      <c r="K2105" s="42"/>
      <c r="L2105" s="42"/>
      <c r="M2105" s="42"/>
      <c r="N2105" s="42"/>
      <c r="O2105" s="42"/>
      <c r="P2105" s="42"/>
      <c r="Q2105" s="42"/>
      <c r="R2105" s="42"/>
      <c r="S2105" s="42"/>
      <c r="T2105" s="42"/>
      <c r="U2105" s="42"/>
      <c r="V2105" s="42"/>
      <c r="W2105" s="42"/>
      <c r="X2105" s="42"/>
      <c r="Y2105" s="42"/>
      <c r="Z2105" s="42"/>
    </row>
    <row r="2106">
      <c r="A2106" s="42"/>
      <c r="B2106" s="42"/>
      <c r="C2106" s="42"/>
      <c r="D2106" s="42"/>
      <c r="E2106" s="42"/>
      <c r="F2106" s="42"/>
      <c r="G2106" s="42"/>
      <c r="H2106" s="42"/>
      <c r="I2106" s="43"/>
      <c r="J2106" s="42"/>
      <c r="K2106" s="42"/>
      <c r="L2106" s="42"/>
      <c r="M2106" s="42"/>
      <c r="N2106" s="42"/>
      <c r="O2106" s="42"/>
      <c r="P2106" s="42"/>
      <c r="Q2106" s="42"/>
      <c r="R2106" s="42"/>
      <c r="S2106" s="42"/>
      <c r="T2106" s="42"/>
      <c r="U2106" s="42"/>
      <c r="V2106" s="42"/>
      <c r="W2106" s="42"/>
      <c r="X2106" s="42"/>
      <c r="Y2106" s="42"/>
      <c r="Z2106" s="42"/>
    </row>
    <row r="2107">
      <c r="A2107" s="42"/>
      <c r="B2107" s="42"/>
      <c r="C2107" s="42"/>
      <c r="D2107" s="42"/>
      <c r="E2107" s="42"/>
      <c r="F2107" s="42"/>
      <c r="G2107" s="42"/>
      <c r="H2107" s="42"/>
      <c r="I2107" s="43"/>
      <c r="J2107" s="42"/>
      <c r="K2107" s="42"/>
      <c r="L2107" s="42"/>
      <c r="M2107" s="42"/>
      <c r="N2107" s="42"/>
      <c r="O2107" s="42"/>
      <c r="P2107" s="42"/>
      <c r="Q2107" s="42"/>
      <c r="R2107" s="42"/>
      <c r="S2107" s="42"/>
      <c r="T2107" s="42"/>
      <c r="U2107" s="42"/>
      <c r="V2107" s="42"/>
      <c r="W2107" s="42"/>
      <c r="X2107" s="42"/>
      <c r="Y2107" s="42"/>
      <c r="Z2107" s="42"/>
    </row>
    <row r="2108">
      <c r="A2108" s="42"/>
      <c r="B2108" s="42"/>
      <c r="C2108" s="42"/>
      <c r="D2108" s="42"/>
      <c r="E2108" s="42"/>
      <c r="F2108" s="42"/>
      <c r="G2108" s="42"/>
      <c r="H2108" s="42"/>
      <c r="I2108" s="43"/>
      <c r="J2108" s="42"/>
      <c r="K2108" s="42"/>
      <c r="L2108" s="42"/>
      <c r="M2108" s="42"/>
      <c r="N2108" s="42"/>
      <c r="O2108" s="42"/>
      <c r="P2108" s="42"/>
      <c r="Q2108" s="42"/>
      <c r="R2108" s="42"/>
      <c r="S2108" s="42"/>
      <c r="T2108" s="42"/>
      <c r="U2108" s="42"/>
      <c r="V2108" s="42"/>
      <c r="W2108" s="42"/>
      <c r="X2108" s="42"/>
      <c r="Y2108" s="42"/>
      <c r="Z2108" s="42"/>
    </row>
    <row r="2109">
      <c r="A2109" s="42"/>
      <c r="B2109" s="42"/>
      <c r="C2109" s="42"/>
      <c r="D2109" s="42"/>
      <c r="E2109" s="42"/>
      <c r="F2109" s="42"/>
      <c r="G2109" s="42"/>
      <c r="H2109" s="42"/>
      <c r="I2109" s="43"/>
      <c r="J2109" s="42"/>
      <c r="K2109" s="42"/>
      <c r="L2109" s="42"/>
      <c r="M2109" s="42"/>
      <c r="N2109" s="42"/>
      <c r="O2109" s="42"/>
      <c r="P2109" s="42"/>
      <c r="Q2109" s="42"/>
      <c r="R2109" s="42"/>
      <c r="S2109" s="42"/>
      <c r="T2109" s="42"/>
      <c r="U2109" s="42"/>
      <c r="V2109" s="42"/>
      <c r="W2109" s="42"/>
      <c r="X2109" s="42"/>
      <c r="Y2109" s="42"/>
      <c r="Z2109" s="42"/>
    </row>
    <row r="2110">
      <c r="A2110" s="42"/>
      <c r="B2110" s="42"/>
      <c r="C2110" s="42"/>
      <c r="D2110" s="42"/>
      <c r="E2110" s="42"/>
      <c r="F2110" s="42"/>
      <c r="G2110" s="42"/>
      <c r="H2110" s="42"/>
      <c r="I2110" s="43"/>
      <c r="J2110" s="42"/>
      <c r="K2110" s="42"/>
      <c r="L2110" s="42"/>
      <c r="M2110" s="42"/>
      <c r="N2110" s="42"/>
      <c r="O2110" s="42"/>
      <c r="P2110" s="42"/>
      <c r="Q2110" s="42"/>
      <c r="R2110" s="42"/>
      <c r="S2110" s="42"/>
      <c r="T2110" s="42"/>
      <c r="U2110" s="42"/>
      <c r="V2110" s="42"/>
      <c r="W2110" s="42"/>
      <c r="X2110" s="42"/>
      <c r="Y2110" s="42"/>
      <c r="Z2110" s="42"/>
    </row>
    <row r="2111">
      <c r="A2111" s="42"/>
      <c r="B2111" s="42"/>
      <c r="C2111" s="42"/>
      <c r="D2111" s="42"/>
      <c r="E2111" s="42"/>
      <c r="F2111" s="42"/>
      <c r="G2111" s="42"/>
      <c r="H2111" s="42"/>
      <c r="I2111" s="43"/>
      <c r="J2111" s="42"/>
      <c r="K2111" s="42"/>
      <c r="L2111" s="42"/>
      <c r="M2111" s="42"/>
      <c r="N2111" s="42"/>
      <c r="O2111" s="42"/>
      <c r="P2111" s="42"/>
      <c r="Q2111" s="42"/>
      <c r="R2111" s="42"/>
      <c r="S2111" s="42"/>
      <c r="T2111" s="42"/>
      <c r="U2111" s="42"/>
      <c r="V2111" s="42"/>
      <c r="W2111" s="42"/>
      <c r="X2111" s="42"/>
      <c r="Y2111" s="42"/>
      <c r="Z2111" s="42"/>
    </row>
    <row r="2112">
      <c r="A2112" s="42"/>
      <c r="B2112" s="42"/>
      <c r="C2112" s="42"/>
      <c r="D2112" s="42"/>
      <c r="E2112" s="42"/>
      <c r="F2112" s="42"/>
      <c r="G2112" s="42"/>
      <c r="H2112" s="42"/>
      <c r="I2112" s="43"/>
      <c r="J2112" s="42"/>
      <c r="K2112" s="42"/>
      <c r="L2112" s="42"/>
      <c r="M2112" s="42"/>
      <c r="N2112" s="42"/>
      <c r="O2112" s="42"/>
      <c r="P2112" s="42"/>
      <c r="Q2112" s="42"/>
      <c r="R2112" s="42"/>
      <c r="S2112" s="42"/>
      <c r="T2112" s="42"/>
      <c r="U2112" s="42"/>
      <c r="V2112" s="42"/>
      <c r="W2112" s="42"/>
      <c r="X2112" s="42"/>
      <c r="Y2112" s="42"/>
      <c r="Z2112" s="42"/>
    </row>
    <row r="2113">
      <c r="A2113" s="42"/>
      <c r="B2113" s="42"/>
      <c r="C2113" s="42"/>
      <c r="D2113" s="42"/>
      <c r="E2113" s="42"/>
      <c r="F2113" s="42"/>
      <c r="G2113" s="42"/>
      <c r="H2113" s="42"/>
      <c r="I2113" s="43"/>
      <c r="J2113" s="42"/>
      <c r="K2113" s="42"/>
      <c r="L2113" s="42"/>
      <c r="M2113" s="42"/>
      <c r="N2113" s="42"/>
      <c r="O2113" s="42"/>
      <c r="P2113" s="42"/>
      <c r="Q2113" s="42"/>
      <c r="R2113" s="42"/>
      <c r="S2113" s="42"/>
      <c r="T2113" s="42"/>
      <c r="U2113" s="42"/>
      <c r="V2113" s="42"/>
      <c r="W2113" s="42"/>
      <c r="X2113" s="42"/>
      <c r="Y2113" s="42"/>
      <c r="Z2113" s="42"/>
    </row>
    <row r="2114">
      <c r="A2114" s="42"/>
      <c r="B2114" s="42"/>
      <c r="C2114" s="42"/>
      <c r="D2114" s="42"/>
      <c r="E2114" s="42"/>
      <c r="F2114" s="42"/>
      <c r="G2114" s="42"/>
      <c r="H2114" s="42"/>
      <c r="I2114" s="43"/>
      <c r="J2114" s="42"/>
      <c r="K2114" s="42"/>
      <c r="L2114" s="42"/>
      <c r="M2114" s="42"/>
      <c r="N2114" s="42"/>
      <c r="O2114" s="42"/>
      <c r="P2114" s="42"/>
      <c r="Q2114" s="42"/>
      <c r="R2114" s="42"/>
      <c r="S2114" s="42"/>
      <c r="T2114" s="42"/>
      <c r="U2114" s="42"/>
      <c r="V2114" s="42"/>
      <c r="W2114" s="42"/>
      <c r="X2114" s="42"/>
      <c r="Y2114" s="42"/>
      <c r="Z2114" s="42"/>
    </row>
    <row r="2115">
      <c r="A2115" s="42"/>
      <c r="B2115" s="42"/>
      <c r="C2115" s="42"/>
      <c r="D2115" s="42"/>
      <c r="E2115" s="42"/>
      <c r="F2115" s="42"/>
      <c r="G2115" s="42"/>
      <c r="H2115" s="42"/>
      <c r="I2115" s="43"/>
      <c r="J2115" s="42"/>
      <c r="K2115" s="42"/>
      <c r="L2115" s="42"/>
      <c r="M2115" s="42"/>
      <c r="N2115" s="42"/>
      <c r="O2115" s="42"/>
      <c r="P2115" s="42"/>
      <c r="Q2115" s="42"/>
      <c r="R2115" s="42"/>
      <c r="S2115" s="42"/>
      <c r="T2115" s="42"/>
      <c r="U2115" s="42"/>
      <c r="V2115" s="42"/>
      <c r="W2115" s="42"/>
      <c r="X2115" s="42"/>
      <c r="Y2115" s="42"/>
      <c r="Z2115" s="42"/>
    </row>
    <row r="2116">
      <c r="A2116" s="42"/>
      <c r="B2116" s="42"/>
      <c r="C2116" s="42"/>
      <c r="D2116" s="42"/>
      <c r="E2116" s="42"/>
      <c r="F2116" s="42"/>
      <c r="G2116" s="42"/>
      <c r="H2116" s="42"/>
      <c r="I2116" s="43"/>
      <c r="J2116" s="42"/>
      <c r="K2116" s="42"/>
      <c r="L2116" s="42"/>
      <c r="M2116" s="42"/>
      <c r="N2116" s="42"/>
      <c r="O2116" s="42"/>
      <c r="P2116" s="42"/>
      <c r="Q2116" s="42"/>
      <c r="R2116" s="42"/>
      <c r="S2116" s="42"/>
      <c r="T2116" s="42"/>
      <c r="U2116" s="42"/>
      <c r="V2116" s="42"/>
      <c r="W2116" s="42"/>
      <c r="X2116" s="42"/>
      <c r="Y2116" s="42"/>
      <c r="Z2116" s="42"/>
    </row>
    <row r="2117">
      <c r="A2117" s="42"/>
      <c r="B2117" s="42"/>
      <c r="C2117" s="42"/>
      <c r="D2117" s="42"/>
      <c r="E2117" s="42"/>
      <c r="F2117" s="42"/>
      <c r="G2117" s="42"/>
      <c r="H2117" s="42"/>
      <c r="I2117" s="43"/>
      <c r="J2117" s="42"/>
      <c r="K2117" s="42"/>
      <c r="L2117" s="42"/>
      <c r="M2117" s="42"/>
      <c r="N2117" s="42"/>
      <c r="O2117" s="42"/>
      <c r="P2117" s="42"/>
      <c r="Q2117" s="42"/>
      <c r="R2117" s="42"/>
      <c r="S2117" s="42"/>
      <c r="T2117" s="42"/>
      <c r="U2117" s="42"/>
      <c r="V2117" s="42"/>
      <c r="W2117" s="42"/>
      <c r="X2117" s="42"/>
      <c r="Y2117" s="42"/>
      <c r="Z2117" s="42"/>
    </row>
    <row r="2118">
      <c r="A2118" s="42"/>
      <c r="B2118" s="42"/>
      <c r="C2118" s="42"/>
      <c r="D2118" s="42"/>
      <c r="E2118" s="42"/>
      <c r="F2118" s="42"/>
      <c r="G2118" s="42"/>
      <c r="H2118" s="42"/>
      <c r="I2118" s="43"/>
      <c r="J2118" s="42"/>
      <c r="K2118" s="42"/>
      <c r="L2118" s="42"/>
      <c r="M2118" s="42"/>
      <c r="N2118" s="42"/>
      <c r="O2118" s="42"/>
      <c r="P2118" s="42"/>
      <c r="Q2118" s="42"/>
      <c r="R2118" s="42"/>
      <c r="S2118" s="42"/>
      <c r="T2118" s="42"/>
      <c r="U2118" s="42"/>
      <c r="V2118" s="42"/>
      <c r="W2118" s="42"/>
      <c r="X2118" s="42"/>
      <c r="Y2118" s="42"/>
      <c r="Z2118" s="42"/>
    </row>
    <row r="2119">
      <c r="A2119" s="42"/>
      <c r="B2119" s="42"/>
      <c r="C2119" s="42"/>
      <c r="D2119" s="42"/>
      <c r="E2119" s="42"/>
      <c r="F2119" s="42"/>
      <c r="G2119" s="42"/>
      <c r="H2119" s="42"/>
      <c r="I2119" s="43"/>
      <c r="J2119" s="42"/>
      <c r="K2119" s="42"/>
      <c r="L2119" s="42"/>
      <c r="M2119" s="42"/>
      <c r="N2119" s="42"/>
      <c r="O2119" s="42"/>
      <c r="P2119" s="42"/>
      <c r="Q2119" s="42"/>
      <c r="R2119" s="42"/>
      <c r="S2119" s="42"/>
      <c r="T2119" s="42"/>
      <c r="U2119" s="42"/>
      <c r="V2119" s="42"/>
      <c r="W2119" s="42"/>
      <c r="X2119" s="42"/>
      <c r="Y2119" s="42"/>
      <c r="Z2119" s="42"/>
    </row>
    <row r="2120">
      <c r="A2120" s="42"/>
      <c r="B2120" s="42"/>
      <c r="C2120" s="42"/>
      <c r="D2120" s="42"/>
      <c r="E2120" s="42"/>
      <c r="F2120" s="42"/>
      <c r="G2120" s="42"/>
      <c r="H2120" s="42"/>
      <c r="I2120" s="43"/>
      <c r="J2120" s="42"/>
      <c r="K2120" s="42"/>
      <c r="L2120" s="42"/>
      <c r="M2120" s="42"/>
      <c r="N2120" s="42"/>
      <c r="O2120" s="42"/>
      <c r="P2120" s="42"/>
      <c r="Q2120" s="42"/>
      <c r="R2120" s="42"/>
      <c r="S2120" s="42"/>
      <c r="T2120" s="42"/>
      <c r="U2120" s="42"/>
      <c r="V2120" s="42"/>
      <c r="W2120" s="42"/>
      <c r="X2120" s="42"/>
      <c r="Y2120" s="42"/>
      <c r="Z2120" s="42"/>
    </row>
    <row r="2121">
      <c r="A2121" s="42"/>
      <c r="B2121" s="42"/>
      <c r="C2121" s="42"/>
      <c r="D2121" s="42"/>
      <c r="E2121" s="42"/>
      <c r="F2121" s="42"/>
      <c r="G2121" s="42"/>
      <c r="H2121" s="42"/>
      <c r="I2121" s="43"/>
      <c r="J2121" s="42"/>
      <c r="K2121" s="42"/>
      <c r="L2121" s="42"/>
      <c r="M2121" s="42"/>
      <c r="N2121" s="42"/>
      <c r="O2121" s="42"/>
      <c r="P2121" s="42"/>
      <c r="Q2121" s="42"/>
      <c r="R2121" s="42"/>
      <c r="S2121" s="42"/>
      <c r="T2121" s="42"/>
      <c r="U2121" s="42"/>
      <c r="V2121" s="42"/>
      <c r="W2121" s="42"/>
      <c r="X2121" s="42"/>
      <c r="Y2121" s="42"/>
      <c r="Z2121" s="42"/>
    </row>
    <row r="2122">
      <c r="A2122" s="42"/>
      <c r="B2122" s="42"/>
      <c r="C2122" s="42"/>
      <c r="D2122" s="42"/>
      <c r="E2122" s="42"/>
      <c r="F2122" s="42"/>
      <c r="G2122" s="42"/>
      <c r="H2122" s="42"/>
      <c r="I2122" s="43"/>
      <c r="J2122" s="42"/>
      <c r="K2122" s="42"/>
      <c r="L2122" s="42"/>
      <c r="M2122" s="42"/>
      <c r="N2122" s="42"/>
      <c r="O2122" s="42"/>
      <c r="P2122" s="42"/>
      <c r="Q2122" s="42"/>
      <c r="R2122" s="42"/>
      <c r="S2122" s="42"/>
      <c r="T2122" s="42"/>
      <c r="U2122" s="42"/>
      <c r="V2122" s="42"/>
      <c r="W2122" s="42"/>
      <c r="X2122" s="42"/>
      <c r="Y2122" s="42"/>
      <c r="Z2122" s="42"/>
    </row>
    <row r="2123">
      <c r="A2123" s="42"/>
      <c r="B2123" s="42"/>
      <c r="C2123" s="42"/>
      <c r="D2123" s="42"/>
      <c r="E2123" s="42"/>
      <c r="F2123" s="42"/>
      <c r="G2123" s="42"/>
      <c r="H2123" s="42"/>
      <c r="I2123" s="43"/>
      <c r="J2123" s="42"/>
      <c r="K2123" s="42"/>
      <c r="L2123" s="42"/>
      <c r="M2123" s="42"/>
      <c r="N2123" s="42"/>
      <c r="O2123" s="42"/>
      <c r="P2123" s="42"/>
      <c r="Q2123" s="42"/>
      <c r="R2123" s="42"/>
      <c r="S2123" s="42"/>
      <c r="T2123" s="42"/>
      <c r="U2123" s="42"/>
      <c r="V2123" s="42"/>
      <c r="W2123" s="42"/>
      <c r="X2123" s="42"/>
      <c r="Y2123" s="42"/>
      <c r="Z2123" s="42"/>
    </row>
    <row r="2124">
      <c r="A2124" s="42"/>
      <c r="B2124" s="42"/>
      <c r="C2124" s="42"/>
      <c r="D2124" s="42"/>
      <c r="E2124" s="42"/>
      <c r="F2124" s="42"/>
      <c r="G2124" s="42"/>
      <c r="H2124" s="42"/>
      <c r="I2124" s="43"/>
      <c r="J2124" s="42"/>
      <c r="K2124" s="42"/>
      <c r="L2124" s="42"/>
      <c r="M2124" s="42"/>
      <c r="N2124" s="42"/>
      <c r="O2124" s="42"/>
      <c r="P2124" s="42"/>
      <c r="Q2124" s="42"/>
      <c r="R2124" s="42"/>
      <c r="S2124" s="42"/>
      <c r="T2124" s="42"/>
      <c r="U2124" s="42"/>
      <c r="V2124" s="42"/>
      <c r="W2124" s="42"/>
      <c r="X2124" s="42"/>
      <c r="Y2124" s="42"/>
      <c r="Z2124" s="42"/>
    </row>
    <row r="2125">
      <c r="A2125" s="42"/>
      <c r="B2125" s="42"/>
      <c r="C2125" s="42"/>
      <c r="D2125" s="42"/>
      <c r="E2125" s="42"/>
      <c r="F2125" s="42"/>
      <c r="G2125" s="42"/>
      <c r="H2125" s="42"/>
      <c r="I2125" s="43"/>
      <c r="J2125" s="42"/>
      <c r="K2125" s="42"/>
      <c r="L2125" s="42"/>
      <c r="M2125" s="42"/>
      <c r="N2125" s="42"/>
      <c r="O2125" s="42"/>
      <c r="P2125" s="42"/>
      <c r="Q2125" s="42"/>
      <c r="R2125" s="42"/>
      <c r="S2125" s="42"/>
      <c r="T2125" s="42"/>
      <c r="U2125" s="42"/>
      <c r="V2125" s="42"/>
      <c r="W2125" s="42"/>
      <c r="X2125" s="42"/>
      <c r="Y2125" s="42"/>
      <c r="Z2125" s="42"/>
    </row>
    <row r="2126">
      <c r="A2126" s="42"/>
      <c r="B2126" s="42"/>
      <c r="C2126" s="42"/>
      <c r="D2126" s="42"/>
      <c r="E2126" s="42"/>
      <c r="F2126" s="42"/>
      <c r="G2126" s="42"/>
      <c r="H2126" s="42"/>
      <c r="I2126" s="43"/>
      <c r="J2126" s="42"/>
      <c r="K2126" s="42"/>
      <c r="L2126" s="42"/>
      <c r="M2126" s="42"/>
      <c r="N2126" s="42"/>
      <c r="O2126" s="42"/>
      <c r="P2126" s="42"/>
      <c r="Q2126" s="42"/>
      <c r="R2126" s="42"/>
      <c r="S2126" s="42"/>
      <c r="T2126" s="42"/>
      <c r="U2126" s="42"/>
      <c r="V2126" s="42"/>
      <c r="W2126" s="42"/>
      <c r="X2126" s="42"/>
      <c r="Y2126" s="42"/>
      <c r="Z2126" s="42"/>
    </row>
    <row r="2127">
      <c r="A2127" s="42"/>
      <c r="B2127" s="42"/>
      <c r="C2127" s="42"/>
      <c r="D2127" s="42"/>
      <c r="E2127" s="42"/>
      <c r="F2127" s="42"/>
      <c r="G2127" s="42"/>
      <c r="H2127" s="42"/>
      <c r="I2127" s="43"/>
      <c r="J2127" s="42"/>
      <c r="K2127" s="42"/>
      <c r="L2127" s="42"/>
      <c r="M2127" s="42"/>
      <c r="N2127" s="42"/>
      <c r="O2127" s="42"/>
      <c r="P2127" s="42"/>
      <c r="Q2127" s="42"/>
      <c r="R2127" s="42"/>
      <c r="S2127" s="42"/>
      <c r="T2127" s="42"/>
      <c r="U2127" s="42"/>
      <c r="V2127" s="42"/>
      <c r="W2127" s="42"/>
      <c r="X2127" s="42"/>
      <c r="Y2127" s="42"/>
      <c r="Z2127" s="42"/>
    </row>
    <row r="2128">
      <c r="A2128" s="42"/>
      <c r="B2128" s="42"/>
      <c r="C2128" s="42"/>
      <c r="D2128" s="42"/>
      <c r="E2128" s="42"/>
      <c r="F2128" s="42"/>
      <c r="G2128" s="42"/>
      <c r="H2128" s="42"/>
      <c r="I2128" s="43"/>
      <c r="J2128" s="42"/>
      <c r="K2128" s="42"/>
      <c r="L2128" s="42"/>
      <c r="M2128" s="42"/>
      <c r="N2128" s="42"/>
      <c r="O2128" s="42"/>
      <c r="P2128" s="42"/>
      <c r="Q2128" s="42"/>
      <c r="R2128" s="42"/>
      <c r="S2128" s="42"/>
      <c r="T2128" s="42"/>
      <c r="U2128" s="42"/>
      <c r="V2128" s="42"/>
      <c r="W2128" s="42"/>
      <c r="X2128" s="42"/>
      <c r="Y2128" s="42"/>
      <c r="Z2128" s="42"/>
    </row>
    <row r="2129">
      <c r="A2129" s="42"/>
      <c r="B2129" s="42"/>
      <c r="C2129" s="42"/>
      <c r="D2129" s="42"/>
      <c r="E2129" s="42"/>
      <c r="F2129" s="42"/>
      <c r="G2129" s="42"/>
      <c r="H2129" s="42"/>
      <c r="I2129" s="43"/>
      <c r="J2129" s="42"/>
      <c r="K2129" s="42"/>
      <c r="L2129" s="42"/>
      <c r="M2129" s="42"/>
      <c r="N2129" s="42"/>
      <c r="O2129" s="42"/>
      <c r="P2129" s="42"/>
      <c r="Q2129" s="42"/>
      <c r="R2129" s="42"/>
      <c r="S2129" s="42"/>
      <c r="T2129" s="42"/>
      <c r="U2129" s="42"/>
      <c r="V2129" s="42"/>
      <c r="W2129" s="42"/>
      <c r="X2129" s="42"/>
      <c r="Y2129" s="42"/>
      <c r="Z2129" s="42"/>
    </row>
    <row r="2130">
      <c r="A2130" s="42"/>
      <c r="B2130" s="42"/>
      <c r="C2130" s="42"/>
      <c r="D2130" s="42"/>
      <c r="E2130" s="42"/>
      <c r="F2130" s="42"/>
      <c r="G2130" s="42"/>
      <c r="H2130" s="42"/>
      <c r="I2130" s="43"/>
      <c r="J2130" s="42"/>
      <c r="K2130" s="42"/>
      <c r="L2130" s="42"/>
      <c r="M2130" s="42"/>
      <c r="N2130" s="42"/>
      <c r="O2130" s="42"/>
      <c r="P2130" s="42"/>
      <c r="Q2130" s="42"/>
      <c r="R2130" s="42"/>
      <c r="S2130" s="42"/>
      <c r="T2130" s="42"/>
      <c r="U2130" s="42"/>
      <c r="V2130" s="42"/>
      <c r="W2130" s="42"/>
      <c r="X2130" s="42"/>
      <c r="Y2130" s="42"/>
      <c r="Z2130" s="42"/>
    </row>
    <row r="2131">
      <c r="A2131" s="42"/>
      <c r="B2131" s="42"/>
      <c r="C2131" s="42"/>
      <c r="D2131" s="42"/>
      <c r="E2131" s="42"/>
      <c r="F2131" s="42"/>
      <c r="G2131" s="42"/>
      <c r="H2131" s="42"/>
      <c r="I2131" s="43"/>
      <c r="J2131" s="42"/>
      <c r="K2131" s="42"/>
      <c r="L2131" s="42"/>
      <c r="M2131" s="42"/>
      <c r="N2131" s="42"/>
      <c r="O2131" s="42"/>
      <c r="P2131" s="42"/>
      <c r="Q2131" s="42"/>
      <c r="R2131" s="42"/>
      <c r="S2131" s="42"/>
      <c r="T2131" s="42"/>
      <c r="U2131" s="42"/>
      <c r="V2131" s="42"/>
      <c r="W2131" s="42"/>
      <c r="X2131" s="42"/>
      <c r="Y2131" s="42"/>
      <c r="Z2131" s="42"/>
    </row>
    <row r="2132">
      <c r="A2132" s="42"/>
      <c r="B2132" s="42"/>
      <c r="C2132" s="42"/>
      <c r="D2132" s="42"/>
      <c r="E2132" s="42"/>
      <c r="F2132" s="42"/>
      <c r="G2132" s="42"/>
      <c r="H2132" s="42"/>
      <c r="I2132" s="43"/>
      <c r="J2132" s="42"/>
      <c r="K2132" s="42"/>
      <c r="L2132" s="42"/>
      <c r="M2132" s="42"/>
      <c r="N2132" s="42"/>
      <c r="O2132" s="42"/>
      <c r="P2132" s="42"/>
      <c r="Q2132" s="42"/>
      <c r="R2132" s="42"/>
      <c r="S2132" s="42"/>
      <c r="T2132" s="42"/>
      <c r="U2132" s="42"/>
      <c r="V2132" s="42"/>
      <c r="W2132" s="42"/>
      <c r="X2132" s="42"/>
      <c r="Y2132" s="42"/>
      <c r="Z2132" s="42"/>
    </row>
    <row r="2133">
      <c r="A2133" s="42"/>
      <c r="B2133" s="42"/>
      <c r="C2133" s="42"/>
      <c r="D2133" s="42"/>
      <c r="E2133" s="42"/>
      <c r="F2133" s="42"/>
      <c r="G2133" s="42"/>
      <c r="H2133" s="42"/>
      <c r="I2133" s="43"/>
      <c r="J2133" s="42"/>
      <c r="K2133" s="42"/>
      <c r="L2133" s="42"/>
      <c r="M2133" s="42"/>
      <c r="N2133" s="42"/>
      <c r="O2133" s="42"/>
      <c r="P2133" s="42"/>
      <c r="Q2133" s="42"/>
      <c r="R2133" s="42"/>
      <c r="S2133" s="42"/>
      <c r="T2133" s="42"/>
      <c r="U2133" s="42"/>
      <c r="V2133" s="42"/>
      <c r="W2133" s="42"/>
      <c r="X2133" s="42"/>
      <c r="Y2133" s="42"/>
      <c r="Z2133" s="42"/>
    </row>
    <row r="2134">
      <c r="A2134" s="42"/>
      <c r="B2134" s="42"/>
      <c r="C2134" s="42"/>
      <c r="D2134" s="42"/>
      <c r="E2134" s="42"/>
      <c r="F2134" s="42"/>
      <c r="G2134" s="42"/>
      <c r="H2134" s="42"/>
      <c r="I2134" s="43"/>
      <c r="J2134" s="42"/>
      <c r="K2134" s="42"/>
      <c r="L2134" s="42"/>
      <c r="M2134" s="42"/>
      <c r="N2134" s="42"/>
      <c r="O2134" s="42"/>
      <c r="P2134" s="42"/>
      <c r="Q2134" s="42"/>
      <c r="R2134" s="42"/>
      <c r="S2134" s="42"/>
      <c r="T2134" s="42"/>
      <c r="U2134" s="42"/>
      <c r="V2134" s="42"/>
      <c r="W2134" s="42"/>
      <c r="X2134" s="42"/>
      <c r="Y2134" s="42"/>
      <c r="Z2134" s="42"/>
    </row>
    <row r="2135">
      <c r="A2135" s="42"/>
      <c r="B2135" s="42"/>
      <c r="C2135" s="42"/>
      <c r="D2135" s="42"/>
      <c r="E2135" s="42"/>
      <c r="F2135" s="42"/>
      <c r="G2135" s="42"/>
      <c r="H2135" s="42"/>
      <c r="I2135" s="43"/>
      <c r="J2135" s="42"/>
      <c r="K2135" s="42"/>
      <c r="L2135" s="42"/>
      <c r="M2135" s="42"/>
      <c r="N2135" s="42"/>
      <c r="O2135" s="42"/>
      <c r="P2135" s="42"/>
      <c r="Q2135" s="42"/>
      <c r="R2135" s="42"/>
      <c r="S2135" s="42"/>
      <c r="T2135" s="42"/>
      <c r="U2135" s="42"/>
      <c r="V2135" s="42"/>
      <c r="W2135" s="42"/>
      <c r="X2135" s="42"/>
      <c r="Y2135" s="42"/>
      <c r="Z2135" s="42"/>
    </row>
    <row r="2136">
      <c r="A2136" s="42"/>
      <c r="B2136" s="42"/>
      <c r="C2136" s="42"/>
      <c r="D2136" s="42"/>
      <c r="E2136" s="42"/>
      <c r="F2136" s="42"/>
      <c r="G2136" s="42"/>
      <c r="H2136" s="42"/>
      <c r="I2136" s="43"/>
      <c r="J2136" s="42"/>
      <c r="K2136" s="42"/>
      <c r="L2136" s="42"/>
      <c r="M2136" s="42"/>
      <c r="N2136" s="42"/>
      <c r="O2136" s="42"/>
      <c r="P2136" s="42"/>
      <c r="Q2136" s="42"/>
      <c r="R2136" s="42"/>
      <c r="S2136" s="42"/>
      <c r="T2136" s="42"/>
      <c r="U2136" s="42"/>
      <c r="V2136" s="42"/>
      <c r="W2136" s="42"/>
      <c r="X2136" s="42"/>
      <c r="Y2136" s="42"/>
      <c r="Z2136" s="42"/>
    </row>
    <row r="2137">
      <c r="A2137" s="42"/>
      <c r="B2137" s="42"/>
      <c r="C2137" s="42"/>
      <c r="D2137" s="42"/>
      <c r="E2137" s="42"/>
      <c r="F2137" s="42"/>
      <c r="G2137" s="42"/>
      <c r="H2137" s="42"/>
      <c r="I2137" s="43"/>
      <c r="J2137" s="42"/>
      <c r="K2137" s="42"/>
      <c r="L2137" s="42"/>
      <c r="M2137" s="42"/>
      <c r="N2137" s="42"/>
      <c r="O2137" s="42"/>
      <c r="P2137" s="42"/>
      <c r="Q2137" s="42"/>
      <c r="R2137" s="42"/>
      <c r="S2137" s="42"/>
      <c r="T2137" s="42"/>
      <c r="U2137" s="42"/>
      <c r="V2137" s="42"/>
      <c r="W2137" s="42"/>
      <c r="X2137" s="42"/>
      <c r="Y2137" s="42"/>
      <c r="Z2137" s="42"/>
    </row>
    <row r="2138">
      <c r="A2138" s="42"/>
      <c r="B2138" s="42"/>
      <c r="C2138" s="42"/>
      <c r="D2138" s="42"/>
      <c r="E2138" s="42"/>
      <c r="F2138" s="42"/>
      <c r="G2138" s="42"/>
      <c r="H2138" s="42"/>
      <c r="I2138" s="43"/>
      <c r="J2138" s="42"/>
      <c r="K2138" s="42"/>
      <c r="L2138" s="42"/>
      <c r="M2138" s="42"/>
      <c r="N2138" s="42"/>
      <c r="O2138" s="42"/>
      <c r="P2138" s="42"/>
      <c r="Q2138" s="42"/>
      <c r="R2138" s="42"/>
      <c r="S2138" s="42"/>
      <c r="T2138" s="42"/>
      <c r="U2138" s="42"/>
      <c r="V2138" s="42"/>
      <c r="W2138" s="42"/>
      <c r="X2138" s="42"/>
      <c r="Y2138" s="42"/>
      <c r="Z2138" s="42"/>
    </row>
    <row r="2139">
      <c r="A2139" s="42"/>
      <c r="B2139" s="42"/>
      <c r="C2139" s="42"/>
      <c r="D2139" s="42"/>
      <c r="E2139" s="42"/>
      <c r="F2139" s="42"/>
      <c r="G2139" s="42"/>
      <c r="H2139" s="42"/>
      <c r="I2139" s="43"/>
      <c r="J2139" s="42"/>
      <c r="K2139" s="42"/>
      <c r="L2139" s="42"/>
      <c r="M2139" s="42"/>
      <c r="N2139" s="42"/>
      <c r="O2139" s="42"/>
      <c r="P2139" s="42"/>
      <c r="Q2139" s="42"/>
      <c r="R2139" s="42"/>
      <c r="S2139" s="42"/>
      <c r="T2139" s="42"/>
      <c r="U2139" s="42"/>
      <c r="V2139" s="42"/>
      <c r="W2139" s="42"/>
      <c r="X2139" s="42"/>
      <c r="Y2139" s="42"/>
      <c r="Z2139" s="42"/>
    </row>
    <row r="2140">
      <c r="A2140" s="42"/>
      <c r="B2140" s="42"/>
      <c r="C2140" s="42"/>
      <c r="D2140" s="42"/>
      <c r="E2140" s="42"/>
      <c r="F2140" s="42"/>
      <c r="G2140" s="42"/>
      <c r="H2140" s="42"/>
      <c r="I2140" s="43"/>
      <c r="J2140" s="42"/>
      <c r="K2140" s="42"/>
      <c r="L2140" s="42"/>
      <c r="M2140" s="42"/>
      <c r="N2140" s="42"/>
      <c r="O2140" s="42"/>
      <c r="P2140" s="42"/>
      <c r="Q2140" s="42"/>
      <c r="R2140" s="42"/>
      <c r="S2140" s="42"/>
      <c r="T2140" s="42"/>
      <c r="U2140" s="42"/>
      <c r="V2140" s="42"/>
      <c r="W2140" s="42"/>
      <c r="X2140" s="42"/>
      <c r="Y2140" s="42"/>
      <c r="Z2140" s="42"/>
    </row>
    <row r="2141">
      <c r="A2141" s="42"/>
      <c r="B2141" s="42"/>
      <c r="C2141" s="42"/>
      <c r="D2141" s="42"/>
      <c r="E2141" s="42"/>
      <c r="F2141" s="42"/>
      <c r="G2141" s="42"/>
      <c r="H2141" s="42"/>
      <c r="I2141" s="43"/>
      <c r="J2141" s="42"/>
      <c r="K2141" s="42"/>
      <c r="L2141" s="42"/>
      <c r="M2141" s="42"/>
      <c r="N2141" s="42"/>
      <c r="O2141" s="42"/>
      <c r="P2141" s="42"/>
      <c r="Q2141" s="42"/>
      <c r="R2141" s="42"/>
      <c r="S2141" s="42"/>
      <c r="T2141" s="42"/>
      <c r="U2141" s="42"/>
      <c r="V2141" s="42"/>
      <c r="W2141" s="42"/>
      <c r="X2141" s="42"/>
      <c r="Y2141" s="42"/>
      <c r="Z2141" s="42"/>
    </row>
    <row r="2142">
      <c r="A2142" s="42"/>
      <c r="B2142" s="42"/>
      <c r="C2142" s="42"/>
      <c r="D2142" s="42"/>
      <c r="E2142" s="42"/>
      <c r="F2142" s="42"/>
      <c r="G2142" s="42"/>
      <c r="H2142" s="42"/>
      <c r="I2142" s="43"/>
      <c r="J2142" s="42"/>
      <c r="K2142" s="42"/>
      <c r="L2142" s="42"/>
      <c r="M2142" s="42"/>
      <c r="N2142" s="42"/>
      <c r="O2142" s="42"/>
      <c r="P2142" s="42"/>
      <c r="Q2142" s="42"/>
      <c r="R2142" s="42"/>
      <c r="S2142" s="42"/>
      <c r="T2142" s="42"/>
      <c r="U2142" s="42"/>
      <c r="V2142" s="42"/>
      <c r="W2142" s="42"/>
      <c r="X2142" s="42"/>
      <c r="Y2142" s="42"/>
      <c r="Z2142" s="42"/>
    </row>
    <row r="2143">
      <c r="A2143" s="42"/>
      <c r="B2143" s="42"/>
      <c r="C2143" s="42"/>
      <c r="D2143" s="42"/>
      <c r="E2143" s="42"/>
      <c r="F2143" s="42"/>
      <c r="G2143" s="42"/>
      <c r="H2143" s="42"/>
      <c r="I2143" s="43"/>
      <c r="J2143" s="42"/>
      <c r="K2143" s="42"/>
      <c r="L2143" s="42"/>
      <c r="M2143" s="42"/>
      <c r="N2143" s="42"/>
      <c r="O2143" s="42"/>
      <c r="P2143" s="42"/>
      <c r="Q2143" s="42"/>
      <c r="R2143" s="42"/>
      <c r="S2143" s="42"/>
      <c r="T2143" s="42"/>
      <c r="U2143" s="42"/>
      <c r="V2143" s="42"/>
      <c r="W2143" s="42"/>
      <c r="X2143" s="42"/>
      <c r="Y2143" s="42"/>
      <c r="Z2143" s="42"/>
    </row>
    <row r="2144">
      <c r="A2144" s="42"/>
      <c r="B2144" s="42"/>
      <c r="C2144" s="42"/>
      <c r="D2144" s="42"/>
      <c r="E2144" s="42"/>
      <c r="F2144" s="42"/>
      <c r="G2144" s="42"/>
      <c r="H2144" s="42"/>
      <c r="I2144" s="43"/>
      <c r="J2144" s="42"/>
      <c r="K2144" s="42"/>
      <c r="L2144" s="42"/>
      <c r="M2144" s="42"/>
      <c r="N2144" s="42"/>
      <c r="O2144" s="42"/>
      <c r="P2144" s="42"/>
      <c r="Q2144" s="42"/>
      <c r="R2144" s="42"/>
      <c r="S2144" s="42"/>
      <c r="T2144" s="42"/>
      <c r="U2144" s="42"/>
      <c r="V2144" s="42"/>
      <c r="W2144" s="42"/>
      <c r="X2144" s="42"/>
      <c r="Y2144" s="42"/>
      <c r="Z2144" s="42"/>
    </row>
    <row r="2145">
      <c r="A2145" s="42"/>
      <c r="B2145" s="42"/>
      <c r="C2145" s="42"/>
      <c r="D2145" s="42"/>
      <c r="E2145" s="42"/>
      <c r="F2145" s="42"/>
      <c r="G2145" s="42"/>
      <c r="H2145" s="42"/>
      <c r="I2145" s="43"/>
      <c r="J2145" s="42"/>
      <c r="K2145" s="42"/>
      <c r="L2145" s="42"/>
      <c r="M2145" s="42"/>
      <c r="N2145" s="42"/>
      <c r="O2145" s="42"/>
      <c r="P2145" s="42"/>
      <c r="Q2145" s="42"/>
      <c r="R2145" s="42"/>
      <c r="S2145" s="42"/>
      <c r="T2145" s="42"/>
      <c r="U2145" s="42"/>
      <c r="V2145" s="42"/>
      <c r="W2145" s="42"/>
      <c r="X2145" s="42"/>
      <c r="Y2145" s="42"/>
      <c r="Z2145" s="42"/>
    </row>
    <row r="2146">
      <c r="A2146" s="42"/>
      <c r="B2146" s="42"/>
      <c r="C2146" s="42"/>
      <c r="D2146" s="42"/>
      <c r="E2146" s="42"/>
      <c r="F2146" s="42"/>
      <c r="G2146" s="42"/>
      <c r="H2146" s="42"/>
      <c r="I2146" s="43"/>
      <c r="J2146" s="42"/>
      <c r="K2146" s="42"/>
      <c r="L2146" s="42"/>
      <c r="M2146" s="42"/>
      <c r="N2146" s="42"/>
      <c r="O2146" s="42"/>
      <c r="P2146" s="42"/>
      <c r="Q2146" s="42"/>
      <c r="R2146" s="42"/>
      <c r="S2146" s="42"/>
      <c r="T2146" s="42"/>
      <c r="U2146" s="42"/>
      <c r="V2146" s="42"/>
      <c r="W2146" s="42"/>
      <c r="X2146" s="42"/>
      <c r="Y2146" s="42"/>
      <c r="Z2146" s="42"/>
    </row>
    <row r="2147">
      <c r="A2147" s="42"/>
      <c r="B2147" s="42"/>
      <c r="C2147" s="42"/>
      <c r="D2147" s="42"/>
      <c r="E2147" s="42"/>
      <c r="F2147" s="42"/>
      <c r="G2147" s="42"/>
      <c r="H2147" s="42"/>
      <c r="I2147" s="43"/>
      <c r="J2147" s="42"/>
      <c r="K2147" s="42"/>
      <c r="L2147" s="42"/>
      <c r="M2147" s="42"/>
      <c r="N2147" s="42"/>
      <c r="O2147" s="42"/>
      <c r="P2147" s="42"/>
      <c r="Q2147" s="42"/>
      <c r="R2147" s="42"/>
      <c r="S2147" s="42"/>
      <c r="T2147" s="42"/>
      <c r="U2147" s="42"/>
      <c r="V2147" s="42"/>
      <c r="W2147" s="42"/>
      <c r="X2147" s="42"/>
      <c r="Y2147" s="42"/>
      <c r="Z2147" s="42"/>
    </row>
    <row r="2148">
      <c r="A2148" s="42"/>
      <c r="B2148" s="42"/>
      <c r="C2148" s="42"/>
      <c r="D2148" s="42"/>
      <c r="E2148" s="42"/>
      <c r="F2148" s="42"/>
      <c r="G2148" s="42"/>
      <c r="H2148" s="42"/>
      <c r="I2148" s="43"/>
      <c r="J2148" s="42"/>
      <c r="K2148" s="42"/>
      <c r="L2148" s="42"/>
      <c r="M2148" s="42"/>
      <c r="N2148" s="42"/>
      <c r="O2148" s="42"/>
      <c r="P2148" s="42"/>
      <c r="Q2148" s="42"/>
      <c r="R2148" s="42"/>
      <c r="S2148" s="42"/>
      <c r="T2148" s="42"/>
      <c r="U2148" s="42"/>
      <c r="V2148" s="42"/>
      <c r="W2148" s="42"/>
      <c r="X2148" s="42"/>
      <c r="Y2148" s="42"/>
      <c r="Z2148" s="42"/>
    </row>
    <row r="2149">
      <c r="A2149" s="42"/>
      <c r="B2149" s="42"/>
      <c r="C2149" s="42"/>
      <c r="D2149" s="42"/>
      <c r="E2149" s="42"/>
      <c r="F2149" s="42"/>
      <c r="G2149" s="42"/>
      <c r="H2149" s="42"/>
      <c r="I2149" s="43"/>
      <c r="J2149" s="42"/>
      <c r="K2149" s="42"/>
      <c r="L2149" s="42"/>
      <c r="M2149" s="42"/>
      <c r="N2149" s="42"/>
      <c r="O2149" s="42"/>
      <c r="P2149" s="42"/>
      <c r="Q2149" s="42"/>
      <c r="R2149" s="42"/>
      <c r="S2149" s="42"/>
      <c r="T2149" s="42"/>
      <c r="U2149" s="42"/>
      <c r="V2149" s="42"/>
      <c r="W2149" s="42"/>
      <c r="X2149" s="42"/>
      <c r="Y2149" s="42"/>
      <c r="Z2149" s="42"/>
    </row>
    <row r="2150">
      <c r="A2150" s="42"/>
      <c r="B2150" s="42"/>
      <c r="C2150" s="42"/>
      <c r="D2150" s="42"/>
      <c r="E2150" s="42"/>
      <c r="F2150" s="42"/>
      <c r="G2150" s="42"/>
      <c r="H2150" s="42"/>
      <c r="I2150" s="43"/>
      <c r="J2150" s="42"/>
      <c r="K2150" s="42"/>
      <c r="L2150" s="42"/>
      <c r="M2150" s="42"/>
      <c r="N2150" s="42"/>
      <c r="O2150" s="42"/>
      <c r="P2150" s="42"/>
      <c r="Q2150" s="42"/>
      <c r="R2150" s="42"/>
      <c r="S2150" s="42"/>
      <c r="T2150" s="42"/>
      <c r="U2150" s="42"/>
      <c r="V2150" s="42"/>
      <c r="W2150" s="42"/>
      <c r="X2150" s="42"/>
      <c r="Y2150" s="42"/>
      <c r="Z2150" s="42"/>
    </row>
    <row r="2151">
      <c r="A2151" s="42"/>
      <c r="B2151" s="42"/>
      <c r="C2151" s="42"/>
      <c r="D2151" s="42"/>
      <c r="E2151" s="42"/>
      <c r="F2151" s="42"/>
      <c r="G2151" s="42"/>
      <c r="H2151" s="42"/>
      <c r="I2151" s="43"/>
      <c r="J2151" s="42"/>
      <c r="K2151" s="42"/>
      <c r="L2151" s="42"/>
      <c r="M2151" s="42"/>
      <c r="N2151" s="42"/>
      <c r="O2151" s="42"/>
      <c r="P2151" s="42"/>
      <c r="Q2151" s="42"/>
      <c r="R2151" s="42"/>
      <c r="S2151" s="42"/>
      <c r="T2151" s="42"/>
      <c r="U2151" s="42"/>
      <c r="V2151" s="42"/>
      <c r="W2151" s="42"/>
      <c r="X2151" s="42"/>
      <c r="Y2151" s="42"/>
      <c r="Z2151" s="42"/>
    </row>
    <row r="2152">
      <c r="A2152" s="42"/>
      <c r="B2152" s="42"/>
      <c r="C2152" s="42"/>
      <c r="D2152" s="42"/>
      <c r="E2152" s="42"/>
      <c r="F2152" s="42"/>
      <c r="G2152" s="42"/>
      <c r="H2152" s="42"/>
      <c r="I2152" s="43"/>
      <c r="J2152" s="42"/>
      <c r="K2152" s="42"/>
      <c r="L2152" s="42"/>
      <c r="M2152" s="42"/>
      <c r="N2152" s="42"/>
      <c r="O2152" s="42"/>
      <c r="P2152" s="42"/>
      <c r="Q2152" s="42"/>
      <c r="R2152" s="42"/>
      <c r="S2152" s="42"/>
      <c r="T2152" s="42"/>
      <c r="U2152" s="42"/>
      <c r="V2152" s="42"/>
      <c r="W2152" s="42"/>
      <c r="X2152" s="42"/>
      <c r="Y2152" s="42"/>
      <c r="Z2152" s="42"/>
    </row>
    <row r="2153">
      <c r="A2153" s="42"/>
      <c r="B2153" s="42"/>
      <c r="C2153" s="42"/>
      <c r="D2153" s="42"/>
      <c r="E2153" s="42"/>
      <c r="F2153" s="42"/>
      <c r="G2153" s="42"/>
      <c r="H2153" s="42"/>
      <c r="I2153" s="43"/>
      <c r="J2153" s="42"/>
      <c r="K2153" s="42"/>
      <c r="L2153" s="42"/>
      <c r="M2153" s="42"/>
      <c r="N2153" s="42"/>
      <c r="O2153" s="42"/>
      <c r="P2153" s="42"/>
      <c r="Q2153" s="42"/>
      <c r="R2153" s="42"/>
      <c r="S2153" s="42"/>
      <c r="T2153" s="42"/>
      <c r="U2153" s="42"/>
      <c r="V2153" s="42"/>
      <c r="W2153" s="42"/>
      <c r="X2153" s="42"/>
      <c r="Y2153" s="42"/>
      <c r="Z2153" s="42"/>
    </row>
    <row r="2154">
      <c r="A2154" s="42"/>
      <c r="B2154" s="42"/>
      <c r="C2154" s="42"/>
      <c r="D2154" s="42"/>
      <c r="E2154" s="42"/>
      <c r="F2154" s="42"/>
      <c r="G2154" s="42"/>
      <c r="H2154" s="42"/>
      <c r="I2154" s="43"/>
      <c r="J2154" s="42"/>
      <c r="K2154" s="42"/>
      <c r="L2154" s="42"/>
      <c r="M2154" s="42"/>
      <c r="N2154" s="42"/>
      <c r="O2154" s="42"/>
      <c r="P2154" s="42"/>
      <c r="Q2154" s="42"/>
      <c r="R2154" s="42"/>
      <c r="S2154" s="42"/>
      <c r="T2154" s="42"/>
      <c r="U2154" s="42"/>
      <c r="V2154" s="42"/>
      <c r="W2154" s="42"/>
      <c r="X2154" s="42"/>
      <c r="Y2154" s="42"/>
      <c r="Z2154" s="42"/>
    </row>
    <row r="2155">
      <c r="A2155" s="42"/>
      <c r="B2155" s="42"/>
      <c r="C2155" s="42"/>
      <c r="D2155" s="42"/>
      <c r="E2155" s="42"/>
      <c r="F2155" s="42"/>
      <c r="G2155" s="42"/>
      <c r="H2155" s="42"/>
      <c r="I2155" s="43"/>
      <c r="J2155" s="42"/>
      <c r="K2155" s="42"/>
      <c r="L2155" s="42"/>
      <c r="M2155" s="42"/>
      <c r="N2155" s="42"/>
      <c r="O2155" s="42"/>
      <c r="P2155" s="42"/>
      <c r="Q2155" s="42"/>
      <c r="R2155" s="42"/>
      <c r="S2155" s="42"/>
      <c r="T2155" s="42"/>
      <c r="U2155" s="42"/>
      <c r="V2155" s="42"/>
      <c r="W2155" s="42"/>
      <c r="X2155" s="42"/>
      <c r="Y2155" s="42"/>
      <c r="Z2155" s="42"/>
    </row>
    <row r="2156">
      <c r="A2156" s="42"/>
      <c r="B2156" s="42"/>
      <c r="C2156" s="42"/>
      <c r="D2156" s="42"/>
      <c r="E2156" s="42"/>
      <c r="F2156" s="42"/>
      <c r="G2156" s="42"/>
      <c r="H2156" s="42"/>
      <c r="I2156" s="43"/>
      <c r="J2156" s="42"/>
      <c r="K2156" s="42"/>
      <c r="L2156" s="42"/>
      <c r="M2156" s="42"/>
      <c r="N2156" s="42"/>
      <c r="O2156" s="42"/>
      <c r="P2156" s="42"/>
      <c r="Q2156" s="42"/>
      <c r="R2156" s="42"/>
      <c r="S2156" s="42"/>
      <c r="T2156" s="42"/>
      <c r="U2156" s="42"/>
      <c r="V2156" s="42"/>
      <c r="W2156" s="42"/>
      <c r="X2156" s="42"/>
      <c r="Y2156" s="42"/>
      <c r="Z2156" s="42"/>
    </row>
    <row r="2157">
      <c r="A2157" s="42"/>
      <c r="B2157" s="42"/>
      <c r="C2157" s="42"/>
      <c r="D2157" s="42"/>
      <c r="E2157" s="42"/>
      <c r="F2157" s="42"/>
      <c r="G2157" s="42"/>
      <c r="H2157" s="42"/>
      <c r="I2157" s="43"/>
      <c r="J2157" s="42"/>
      <c r="K2157" s="42"/>
      <c r="L2157" s="42"/>
      <c r="M2157" s="42"/>
      <c r="N2157" s="42"/>
      <c r="O2157" s="42"/>
      <c r="P2157" s="42"/>
      <c r="Q2157" s="42"/>
      <c r="R2157" s="42"/>
      <c r="S2157" s="42"/>
      <c r="T2157" s="42"/>
      <c r="U2157" s="42"/>
      <c r="V2157" s="42"/>
      <c r="W2157" s="42"/>
      <c r="X2157" s="42"/>
      <c r="Y2157" s="42"/>
      <c r="Z2157" s="42"/>
    </row>
    <row r="2158">
      <c r="A2158" s="42"/>
      <c r="B2158" s="42"/>
      <c r="C2158" s="42"/>
      <c r="D2158" s="42"/>
      <c r="E2158" s="42"/>
      <c r="F2158" s="42"/>
      <c r="G2158" s="42"/>
      <c r="H2158" s="42"/>
      <c r="I2158" s="43"/>
      <c r="J2158" s="42"/>
      <c r="K2158" s="42"/>
      <c r="L2158" s="42"/>
      <c r="M2158" s="42"/>
      <c r="N2158" s="42"/>
      <c r="O2158" s="42"/>
      <c r="P2158" s="42"/>
      <c r="Q2158" s="42"/>
      <c r="R2158" s="42"/>
      <c r="S2158" s="42"/>
      <c r="T2158" s="42"/>
      <c r="U2158" s="42"/>
      <c r="V2158" s="42"/>
      <c r="W2158" s="42"/>
      <c r="X2158" s="42"/>
      <c r="Y2158" s="42"/>
      <c r="Z2158" s="42"/>
    </row>
    <row r="2159">
      <c r="A2159" s="42"/>
      <c r="B2159" s="42"/>
      <c r="C2159" s="42"/>
      <c r="D2159" s="42"/>
      <c r="E2159" s="42"/>
      <c r="F2159" s="42"/>
      <c r="G2159" s="42"/>
      <c r="H2159" s="42"/>
      <c r="I2159" s="43"/>
      <c r="J2159" s="42"/>
      <c r="K2159" s="42"/>
      <c r="L2159" s="42"/>
      <c r="M2159" s="42"/>
      <c r="N2159" s="42"/>
      <c r="O2159" s="42"/>
      <c r="P2159" s="42"/>
      <c r="Q2159" s="42"/>
      <c r="R2159" s="42"/>
      <c r="S2159" s="42"/>
      <c r="T2159" s="42"/>
      <c r="U2159" s="42"/>
      <c r="V2159" s="42"/>
      <c r="W2159" s="42"/>
      <c r="X2159" s="42"/>
      <c r="Y2159" s="42"/>
      <c r="Z2159" s="42"/>
    </row>
    <row r="2160">
      <c r="A2160" s="42"/>
      <c r="B2160" s="42"/>
      <c r="C2160" s="42"/>
      <c r="D2160" s="42"/>
      <c r="E2160" s="42"/>
      <c r="F2160" s="42"/>
      <c r="G2160" s="42"/>
      <c r="H2160" s="42"/>
      <c r="I2160" s="43"/>
      <c r="J2160" s="42"/>
      <c r="K2160" s="42"/>
      <c r="L2160" s="42"/>
      <c r="M2160" s="42"/>
      <c r="N2160" s="42"/>
      <c r="O2160" s="42"/>
      <c r="P2160" s="42"/>
      <c r="Q2160" s="42"/>
      <c r="R2160" s="42"/>
      <c r="S2160" s="42"/>
      <c r="T2160" s="42"/>
      <c r="U2160" s="42"/>
      <c r="V2160" s="42"/>
      <c r="W2160" s="42"/>
      <c r="X2160" s="42"/>
      <c r="Y2160" s="42"/>
      <c r="Z2160" s="42"/>
    </row>
    <row r="2161">
      <c r="A2161" s="42"/>
      <c r="B2161" s="42"/>
      <c r="C2161" s="42"/>
      <c r="D2161" s="42"/>
      <c r="E2161" s="42"/>
      <c r="F2161" s="42"/>
      <c r="G2161" s="42"/>
      <c r="H2161" s="42"/>
      <c r="I2161" s="43"/>
      <c r="J2161" s="42"/>
      <c r="K2161" s="42"/>
      <c r="L2161" s="42"/>
      <c r="M2161" s="42"/>
      <c r="N2161" s="42"/>
      <c r="O2161" s="42"/>
      <c r="P2161" s="42"/>
      <c r="Q2161" s="42"/>
      <c r="R2161" s="42"/>
      <c r="S2161" s="42"/>
      <c r="T2161" s="42"/>
      <c r="U2161" s="42"/>
      <c r="V2161" s="42"/>
      <c r="W2161" s="42"/>
      <c r="X2161" s="42"/>
      <c r="Y2161" s="42"/>
      <c r="Z2161" s="42"/>
    </row>
    <row r="2162">
      <c r="A2162" s="42"/>
      <c r="B2162" s="42"/>
      <c r="C2162" s="42"/>
      <c r="D2162" s="42"/>
      <c r="E2162" s="42"/>
      <c r="F2162" s="42"/>
      <c r="G2162" s="42"/>
      <c r="H2162" s="42"/>
      <c r="I2162" s="43"/>
      <c r="J2162" s="42"/>
      <c r="K2162" s="42"/>
      <c r="L2162" s="42"/>
      <c r="M2162" s="42"/>
      <c r="N2162" s="42"/>
      <c r="O2162" s="42"/>
      <c r="P2162" s="42"/>
      <c r="Q2162" s="42"/>
      <c r="R2162" s="42"/>
      <c r="S2162" s="42"/>
      <c r="T2162" s="42"/>
      <c r="U2162" s="42"/>
      <c r="V2162" s="42"/>
      <c r="W2162" s="42"/>
      <c r="X2162" s="42"/>
      <c r="Y2162" s="42"/>
      <c r="Z2162" s="42"/>
    </row>
    <row r="2163">
      <c r="A2163" s="42"/>
      <c r="B2163" s="42"/>
      <c r="C2163" s="42"/>
      <c r="D2163" s="42"/>
      <c r="E2163" s="42"/>
      <c r="F2163" s="42"/>
      <c r="G2163" s="42"/>
      <c r="H2163" s="42"/>
      <c r="I2163" s="43"/>
      <c r="J2163" s="42"/>
      <c r="K2163" s="42"/>
      <c r="L2163" s="42"/>
      <c r="M2163" s="42"/>
      <c r="N2163" s="42"/>
      <c r="O2163" s="42"/>
      <c r="P2163" s="42"/>
      <c r="Q2163" s="42"/>
      <c r="R2163" s="42"/>
      <c r="S2163" s="42"/>
      <c r="T2163" s="42"/>
      <c r="U2163" s="42"/>
      <c r="V2163" s="42"/>
      <c r="W2163" s="42"/>
      <c r="X2163" s="42"/>
      <c r="Y2163" s="42"/>
      <c r="Z2163" s="42"/>
    </row>
    <row r="2164">
      <c r="A2164" s="42"/>
      <c r="B2164" s="42"/>
      <c r="C2164" s="42"/>
      <c r="D2164" s="42"/>
      <c r="E2164" s="42"/>
      <c r="F2164" s="42"/>
      <c r="G2164" s="42"/>
      <c r="H2164" s="42"/>
      <c r="I2164" s="43"/>
      <c r="J2164" s="42"/>
      <c r="K2164" s="42"/>
      <c r="L2164" s="42"/>
      <c r="M2164" s="42"/>
      <c r="N2164" s="42"/>
      <c r="O2164" s="42"/>
      <c r="P2164" s="42"/>
      <c r="Q2164" s="42"/>
      <c r="R2164" s="42"/>
      <c r="S2164" s="42"/>
      <c r="T2164" s="42"/>
      <c r="U2164" s="42"/>
      <c r="V2164" s="42"/>
      <c r="W2164" s="42"/>
      <c r="X2164" s="42"/>
      <c r="Y2164" s="42"/>
      <c r="Z2164" s="42"/>
    </row>
    <row r="2165">
      <c r="A2165" s="42"/>
      <c r="B2165" s="42"/>
      <c r="C2165" s="42"/>
      <c r="D2165" s="42"/>
      <c r="E2165" s="42"/>
      <c r="F2165" s="42"/>
      <c r="G2165" s="42"/>
      <c r="H2165" s="42"/>
      <c r="I2165" s="43"/>
      <c r="J2165" s="42"/>
      <c r="K2165" s="42"/>
      <c r="L2165" s="42"/>
      <c r="M2165" s="42"/>
      <c r="N2165" s="42"/>
      <c r="O2165" s="42"/>
      <c r="P2165" s="42"/>
      <c r="Q2165" s="42"/>
      <c r="R2165" s="42"/>
      <c r="S2165" s="42"/>
      <c r="T2165" s="42"/>
      <c r="U2165" s="42"/>
      <c r="V2165" s="42"/>
      <c r="W2165" s="42"/>
      <c r="X2165" s="42"/>
      <c r="Y2165" s="42"/>
      <c r="Z2165" s="42"/>
    </row>
    <row r="2166">
      <c r="A2166" s="42"/>
      <c r="B2166" s="42"/>
      <c r="C2166" s="42"/>
      <c r="D2166" s="42"/>
      <c r="E2166" s="42"/>
      <c r="F2166" s="42"/>
      <c r="G2166" s="42"/>
      <c r="H2166" s="42"/>
      <c r="I2166" s="43"/>
      <c r="J2166" s="42"/>
      <c r="K2166" s="42"/>
      <c r="L2166" s="42"/>
      <c r="M2166" s="42"/>
      <c r="N2166" s="42"/>
      <c r="O2166" s="42"/>
      <c r="P2166" s="42"/>
      <c r="Q2166" s="42"/>
      <c r="R2166" s="42"/>
      <c r="S2166" s="42"/>
      <c r="T2166" s="42"/>
      <c r="U2166" s="42"/>
      <c r="V2166" s="42"/>
      <c r="W2166" s="42"/>
      <c r="X2166" s="42"/>
      <c r="Y2166" s="42"/>
      <c r="Z2166" s="42"/>
    </row>
    <row r="2167">
      <c r="A2167" s="42"/>
      <c r="B2167" s="42"/>
      <c r="C2167" s="42"/>
      <c r="D2167" s="42"/>
      <c r="E2167" s="42"/>
      <c r="F2167" s="42"/>
      <c r="G2167" s="42"/>
      <c r="H2167" s="42"/>
      <c r="I2167" s="43"/>
      <c r="J2167" s="42"/>
      <c r="K2167" s="42"/>
      <c r="L2167" s="42"/>
      <c r="M2167" s="42"/>
      <c r="N2167" s="42"/>
      <c r="O2167" s="42"/>
      <c r="P2167" s="42"/>
      <c r="Q2167" s="42"/>
      <c r="R2167" s="42"/>
      <c r="S2167" s="42"/>
      <c r="T2167" s="42"/>
      <c r="U2167" s="42"/>
      <c r="V2167" s="42"/>
      <c r="W2167" s="42"/>
      <c r="X2167" s="42"/>
      <c r="Y2167" s="42"/>
      <c r="Z2167" s="42"/>
    </row>
    <row r="2168">
      <c r="A2168" s="42"/>
      <c r="B2168" s="42"/>
      <c r="C2168" s="42"/>
      <c r="D2168" s="42"/>
      <c r="E2168" s="42"/>
      <c r="F2168" s="42"/>
      <c r="G2168" s="42"/>
      <c r="H2168" s="42"/>
      <c r="I2168" s="43"/>
      <c r="J2168" s="42"/>
      <c r="K2168" s="42"/>
      <c r="L2168" s="42"/>
      <c r="M2168" s="42"/>
      <c r="N2168" s="42"/>
      <c r="O2168" s="42"/>
      <c r="P2168" s="42"/>
      <c r="Q2168" s="42"/>
      <c r="R2168" s="42"/>
      <c r="S2168" s="42"/>
      <c r="T2168" s="42"/>
      <c r="U2168" s="42"/>
      <c r="V2168" s="42"/>
      <c r="W2168" s="42"/>
      <c r="X2168" s="42"/>
      <c r="Y2168" s="42"/>
      <c r="Z2168" s="42"/>
    </row>
    <row r="2169">
      <c r="A2169" s="42"/>
      <c r="B2169" s="42"/>
      <c r="C2169" s="42"/>
      <c r="D2169" s="42"/>
      <c r="E2169" s="42"/>
      <c r="F2169" s="42"/>
      <c r="G2169" s="42"/>
      <c r="H2169" s="42"/>
      <c r="I2169" s="43"/>
      <c r="J2169" s="42"/>
      <c r="K2169" s="42"/>
      <c r="L2169" s="42"/>
      <c r="M2169" s="42"/>
      <c r="N2169" s="42"/>
      <c r="O2169" s="42"/>
      <c r="P2169" s="42"/>
      <c r="Q2169" s="42"/>
      <c r="R2169" s="42"/>
      <c r="S2169" s="42"/>
      <c r="T2169" s="42"/>
      <c r="U2169" s="42"/>
      <c r="V2169" s="42"/>
      <c r="W2169" s="42"/>
      <c r="X2169" s="42"/>
      <c r="Y2169" s="42"/>
      <c r="Z2169" s="42"/>
    </row>
    <row r="2170">
      <c r="A2170" s="42"/>
      <c r="B2170" s="42"/>
      <c r="C2170" s="42"/>
      <c r="D2170" s="42"/>
      <c r="E2170" s="42"/>
      <c r="F2170" s="42"/>
      <c r="G2170" s="42"/>
      <c r="H2170" s="42"/>
      <c r="I2170" s="43"/>
      <c r="J2170" s="42"/>
      <c r="K2170" s="42"/>
      <c r="L2170" s="42"/>
      <c r="M2170" s="42"/>
      <c r="N2170" s="42"/>
      <c r="O2170" s="42"/>
      <c r="P2170" s="42"/>
      <c r="Q2170" s="42"/>
      <c r="R2170" s="42"/>
      <c r="S2170" s="42"/>
      <c r="T2170" s="42"/>
      <c r="U2170" s="42"/>
      <c r="V2170" s="42"/>
      <c r="W2170" s="42"/>
      <c r="X2170" s="42"/>
      <c r="Y2170" s="42"/>
      <c r="Z2170" s="42"/>
    </row>
    <row r="2171">
      <c r="A2171" s="42"/>
      <c r="B2171" s="42"/>
      <c r="C2171" s="42"/>
      <c r="D2171" s="42"/>
      <c r="E2171" s="42"/>
      <c r="F2171" s="42"/>
      <c r="G2171" s="42"/>
      <c r="H2171" s="42"/>
      <c r="I2171" s="43"/>
      <c r="J2171" s="42"/>
      <c r="K2171" s="42"/>
      <c r="L2171" s="42"/>
      <c r="M2171" s="42"/>
      <c r="N2171" s="42"/>
      <c r="O2171" s="42"/>
      <c r="P2171" s="42"/>
      <c r="Q2171" s="42"/>
      <c r="R2171" s="42"/>
      <c r="S2171" s="42"/>
      <c r="T2171" s="42"/>
      <c r="U2171" s="42"/>
      <c r="V2171" s="42"/>
      <c r="W2171" s="42"/>
      <c r="X2171" s="42"/>
      <c r="Y2171" s="42"/>
      <c r="Z2171" s="42"/>
    </row>
    <row r="2172">
      <c r="A2172" s="42"/>
      <c r="B2172" s="42"/>
      <c r="C2172" s="42"/>
      <c r="D2172" s="42"/>
      <c r="E2172" s="42"/>
      <c r="F2172" s="42"/>
      <c r="G2172" s="42"/>
      <c r="H2172" s="42"/>
      <c r="I2172" s="43"/>
      <c r="J2172" s="42"/>
      <c r="K2172" s="42"/>
      <c r="L2172" s="42"/>
      <c r="M2172" s="42"/>
      <c r="N2172" s="42"/>
      <c r="O2172" s="42"/>
      <c r="P2172" s="42"/>
      <c r="Q2172" s="42"/>
      <c r="R2172" s="42"/>
      <c r="S2172" s="42"/>
      <c r="T2172" s="42"/>
      <c r="U2172" s="42"/>
      <c r="V2172" s="42"/>
      <c r="W2172" s="42"/>
      <c r="X2172" s="42"/>
      <c r="Y2172" s="42"/>
      <c r="Z2172" s="42"/>
    </row>
    <row r="2173">
      <c r="A2173" s="42"/>
      <c r="B2173" s="42"/>
      <c r="C2173" s="42"/>
      <c r="D2173" s="42"/>
      <c r="E2173" s="42"/>
      <c r="F2173" s="42"/>
      <c r="G2173" s="42"/>
      <c r="H2173" s="42"/>
      <c r="I2173" s="43"/>
      <c r="J2173" s="42"/>
      <c r="K2173" s="42"/>
      <c r="L2173" s="42"/>
      <c r="M2173" s="42"/>
      <c r="N2173" s="42"/>
      <c r="O2173" s="42"/>
      <c r="P2173" s="42"/>
      <c r="Q2173" s="42"/>
      <c r="R2173" s="42"/>
      <c r="S2173" s="42"/>
      <c r="T2173" s="42"/>
      <c r="U2173" s="42"/>
      <c r="V2173" s="42"/>
      <c r="W2173" s="42"/>
      <c r="X2173" s="42"/>
      <c r="Y2173" s="42"/>
      <c r="Z2173" s="42"/>
    </row>
    <row r="2174">
      <c r="A2174" s="42"/>
      <c r="B2174" s="42"/>
      <c r="C2174" s="42"/>
      <c r="D2174" s="42"/>
      <c r="E2174" s="42"/>
      <c r="F2174" s="42"/>
      <c r="G2174" s="42"/>
      <c r="H2174" s="42"/>
      <c r="I2174" s="43"/>
      <c r="J2174" s="42"/>
      <c r="K2174" s="42"/>
      <c r="L2174" s="42"/>
      <c r="M2174" s="42"/>
      <c r="N2174" s="42"/>
      <c r="O2174" s="42"/>
      <c r="P2174" s="42"/>
      <c r="Q2174" s="42"/>
      <c r="R2174" s="42"/>
      <c r="S2174" s="42"/>
      <c r="T2174" s="42"/>
      <c r="U2174" s="42"/>
      <c r="V2174" s="42"/>
      <c r="W2174" s="42"/>
      <c r="X2174" s="42"/>
      <c r="Y2174" s="42"/>
      <c r="Z2174" s="42"/>
    </row>
    <row r="2175">
      <c r="A2175" s="42"/>
      <c r="B2175" s="42"/>
      <c r="C2175" s="42"/>
      <c r="D2175" s="42"/>
      <c r="E2175" s="42"/>
      <c r="F2175" s="42"/>
      <c r="G2175" s="42"/>
      <c r="H2175" s="42"/>
      <c r="I2175" s="43"/>
      <c r="J2175" s="42"/>
      <c r="K2175" s="42"/>
      <c r="L2175" s="42"/>
      <c r="M2175" s="42"/>
      <c r="N2175" s="42"/>
      <c r="O2175" s="42"/>
      <c r="P2175" s="42"/>
      <c r="Q2175" s="42"/>
      <c r="R2175" s="42"/>
      <c r="S2175" s="42"/>
      <c r="T2175" s="42"/>
      <c r="U2175" s="42"/>
      <c r="V2175" s="42"/>
      <c r="W2175" s="42"/>
      <c r="X2175" s="42"/>
      <c r="Y2175" s="42"/>
      <c r="Z2175" s="42"/>
    </row>
    <row r="2176">
      <c r="A2176" s="42"/>
      <c r="B2176" s="42"/>
      <c r="C2176" s="42"/>
      <c r="D2176" s="42"/>
      <c r="E2176" s="42"/>
      <c r="F2176" s="42"/>
      <c r="G2176" s="42"/>
      <c r="H2176" s="42"/>
      <c r="I2176" s="43"/>
      <c r="J2176" s="42"/>
      <c r="K2176" s="42"/>
      <c r="L2176" s="42"/>
      <c r="M2176" s="42"/>
      <c r="N2176" s="42"/>
      <c r="O2176" s="42"/>
      <c r="P2176" s="42"/>
      <c r="Q2176" s="42"/>
      <c r="R2176" s="42"/>
      <c r="S2176" s="42"/>
      <c r="T2176" s="42"/>
      <c r="U2176" s="42"/>
      <c r="V2176" s="42"/>
      <c r="W2176" s="42"/>
      <c r="X2176" s="42"/>
      <c r="Y2176" s="42"/>
      <c r="Z2176" s="42"/>
    </row>
    <row r="2177">
      <c r="A2177" s="42"/>
      <c r="B2177" s="42"/>
      <c r="C2177" s="42"/>
      <c r="D2177" s="42"/>
      <c r="E2177" s="42"/>
      <c r="F2177" s="42"/>
      <c r="G2177" s="42"/>
      <c r="H2177" s="42"/>
      <c r="I2177" s="43"/>
      <c r="J2177" s="42"/>
      <c r="K2177" s="42"/>
      <c r="L2177" s="42"/>
      <c r="M2177" s="42"/>
      <c r="N2177" s="42"/>
      <c r="O2177" s="42"/>
      <c r="P2177" s="42"/>
      <c r="Q2177" s="42"/>
      <c r="R2177" s="42"/>
      <c r="S2177" s="42"/>
      <c r="T2177" s="42"/>
      <c r="U2177" s="42"/>
      <c r="V2177" s="42"/>
      <c r="W2177" s="42"/>
      <c r="X2177" s="42"/>
      <c r="Y2177" s="42"/>
      <c r="Z2177" s="42"/>
    </row>
    <row r="2178">
      <c r="A2178" s="42"/>
      <c r="B2178" s="42"/>
      <c r="C2178" s="42"/>
      <c r="D2178" s="42"/>
      <c r="E2178" s="42"/>
      <c r="F2178" s="42"/>
      <c r="G2178" s="42"/>
      <c r="H2178" s="42"/>
      <c r="I2178" s="43"/>
      <c r="J2178" s="42"/>
      <c r="K2178" s="42"/>
      <c r="L2178" s="42"/>
      <c r="M2178" s="42"/>
      <c r="N2178" s="42"/>
      <c r="O2178" s="42"/>
      <c r="P2178" s="42"/>
      <c r="Q2178" s="42"/>
      <c r="R2178" s="42"/>
      <c r="S2178" s="42"/>
      <c r="T2178" s="42"/>
      <c r="U2178" s="42"/>
      <c r="V2178" s="42"/>
      <c r="W2178" s="42"/>
      <c r="X2178" s="42"/>
      <c r="Y2178" s="42"/>
      <c r="Z2178" s="42"/>
    </row>
    <row r="2179">
      <c r="A2179" s="42"/>
      <c r="B2179" s="42"/>
      <c r="C2179" s="42"/>
      <c r="D2179" s="42"/>
      <c r="E2179" s="42"/>
      <c r="F2179" s="42"/>
      <c r="G2179" s="42"/>
      <c r="H2179" s="42"/>
      <c r="I2179" s="43"/>
      <c r="J2179" s="42"/>
      <c r="K2179" s="42"/>
      <c r="L2179" s="42"/>
      <c r="M2179" s="42"/>
      <c r="N2179" s="42"/>
      <c r="O2179" s="42"/>
      <c r="P2179" s="42"/>
      <c r="Q2179" s="42"/>
      <c r="R2179" s="42"/>
      <c r="S2179" s="42"/>
      <c r="T2179" s="42"/>
      <c r="U2179" s="42"/>
      <c r="V2179" s="42"/>
      <c r="W2179" s="42"/>
      <c r="X2179" s="42"/>
      <c r="Y2179" s="42"/>
      <c r="Z2179" s="42"/>
    </row>
    <row r="2180">
      <c r="A2180" s="42"/>
      <c r="B2180" s="42"/>
      <c r="C2180" s="42"/>
      <c r="D2180" s="42"/>
      <c r="E2180" s="42"/>
      <c r="F2180" s="42"/>
      <c r="G2180" s="42"/>
      <c r="H2180" s="42"/>
      <c r="I2180" s="43"/>
      <c r="J2180" s="42"/>
      <c r="K2180" s="42"/>
      <c r="L2180" s="42"/>
      <c r="M2180" s="42"/>
      <c r="N2180" s="42"/>
      <c r="O2180" s="42"/>
      <c r="P2180" s="42"/>
      <c r="Q2180" s="42"/>
      <c r="R2180" s="42"/>
      <c r="S2180" s="42"/>
      <c r="T2180" s="42"/>
      <c r="U2180" s="42"/>
      <c r="V2180" s="42"/>
      <c r="W2180" s="42"/>
      <c r="X2180" s="42"/>
      <c r="Y2180" s="42"/>
      <c r="Z2180" s="42"/>
    </row>
    <row r="2181">
      <c r="A2181" s="42"/>
      <c r="B2181" s="42"/>
      <c r="C2181" s="42"/>
      <c r="D2181" s="42"/>
      <c r="E2181" s="42"/>
      <c r="F2181" s="42"/>
      <c r="G2181" s="42"/>
      <c r="H2181" s="42"/>
      <c r="I2181" s="43"/>
      <c r="J2181" s="42"/>
      <c r="K2181" s="42"/>
      <c r="L2181" s="42"/>
      <c r="M2181" s="42"/>
      <c r="N2181" s="42"/>
      <c r="O2181" s="42"/>
      <c r="P2181" s="42"/>
      <c r="Q2181" s="42"/>
      <c r="R2181" s="42"/>
      <c r="S2181" s="42"/>
      <c r="T2181" s="42"/>
      <c r="U2181" s="42"/>
      <c r="V2181" s="42"/>
      <c r="W2181" s="42"/>
      <c r="X2181" s="42"/>
      <c r="Y2181" s="42"/>
      <c r="Z2181" s="42"/>
    </row>
    <row r="2182">
      <c r="A2182" s="42"/>
      <c r="B2182" s="42"/>
      <c r="C2182" s="42"/>
      <c r="D2182" s="42"/>
      <c r="E2182" s="42"/>
      <c r="F2182" s="42"/>
      <c r="G2182" s="42"/>
      <c r="H2182" s="42"/>
      <c r="I2182" s="43"/>
      <c r="J2182" s="42"/>
      <c r="K2182" s="42"/>
      <c r="L2182" s="42"/>
      <c r="M2182" s="42"/>
      <c r="N2182" s="42"/>
      <c r="O2182" s="42"/>
      <c r="P2182" s="42"/>
      <c r="Q2182" s="42"/>
      <c r="R2182" s="42"/>
      <c r="S2182" s="42"/>
      <c r="T2182" s="42"/>
      <c r="U2182" s="42"/>
      <c r="V2182" s="42"/>
      <c r="W2182" s="42"/>
      <c r="X2182" s="42"/>
      <c r="Y2182" s="42"/>
      <c r="Z2182" s="42"/>
    </row>
    <row r="2183">
      <c r="A2183" s="42"/>
      <c r="B2183" s="42"/>
      <c r="C2183" s="42"/>
      <c r="D2183" s="42"/>
      <c r="E2183" s="42"/>
      <c r="F2183" s="42"/>
      <c r="G2183" s="42"/>
      <c r="H2183" s="42"/>
      <c r="I2183" s="43"/>
      <c r="J2183" s="42"/>
      <c r="K2183" s="42"/>
      <c r="L2183" s="42"/>
      <c r="M2183" s="42"/>
      <c r="N2183" s="42"/>
      <c r="O2183" s="42"/>
      <c r="P2183" s="42"/>
      <c r="Q2183" s="42"/>
      <c r="R2183" s="42"/>
      <c r="S2183" s="42"/>
      <c r="T2183" s="42"/>
      <c r="U2183" s="42"/>
      <c r="V2183" s="42"/>
      <c r="W2183" s="42"/>
      <c r="X2183" s="42"/>
      <c r="Y2183" s="42"/>
      <c r="Z2183" s="42"/>
    </row>
    <row r="2184">
      <c r="A2184" s="42"/>
      <c r="B2184" s="42"/>
      <c r="C2184" s="42"/>
      <c r="D2184" s="42"/>
      <c r="E2184" s="42"/>
      <c r="F2184" s="42"/>
      <c r="G2184" s="42"/>
      <c r="H2184" s="42"/>
      <c r="I2184" s="43"/>
      <c r="J2184" s="42"/>
      <c r="K2184" s="42"/>
      <c r="L2184" s="42"/>
      <c r="M2184" s="42"/>
      <c r="N2184" s="42"/>
      <c r="O2184" s="42"/>
      <c r="P2184" s="42"/>
      <c r="Q2184" s="42"/>
      <c r="R2184" s="42"/>
      <c r="S2184" s="42"/>
      <c r="T2184" s="42"/>
      <c r="U2184" s="42"/>
      <c r="V2184" s="42"/>
      <c r="W2184" s="42"/>
      <c r="X2184" s="42"/>
      <c r="Y2184" s="42"/>
      <c r="Z2184" s="42"/>
    </row>
    <row r="2185">
      <c r="A2185" s="42"/>
      <c r="B2185" s="42"/>
      <c r="C2185" s="42"/>
      <c r="D2185" s="42"/>
      <c r="E2185" s="42"/>
      <c r="F2185" s="42"/>
      <c r="G2185" s="42"/>
      <c r="H2185" s="42"/>
      <c r="I2185" s="43"/>
      <c r="J2185" s="42"/>
      <c r="K2185" s="42"/>
      <c r="L2185" s="42"/>
      <c r="M2185" s="42"/>
      <c r="N2185" s="42"/>
      <c r="O2185" s="42"/>
      <c r="P2185" s="42"/>
      <c r="Q2185" s="42"/>
      <c r="R2185" s="42"/>
      <c r="S2185" s="42"/>
      <c r="T2185" s="42"/>
      <c r="U2185" s="42"/>
      <c r="V2185" s="42"/>
      <c r="W2185" s="42"/>
      <c r="X2185" s="42"/>
      <c r="Y2185" s="42"/>
      <c r="Z2185" s="42"/>
    </row>
    <row r="2186">
      <c r="A2186" s="42"/>
      <c r="B2186" s="42"/>
      <c r="C2186" s="42"/>
      <c r="D2186" s="42"/>
      <c r="E2186" s="42"/>
      <c r="F2186" s="42"/>
      <c r="G2186" s="42"/>
      <c r="H2186" s="42"/>
      <c r="I2186" s="43"/>
      <c r="J2186" s="42"/>
      <c r="K2186" s="42"/>
      <c r="L2186" s="42"/>
      <c r="M2186" s="42"/>
      <c r="N2186" s="42"/>
      <c r="O2186" s="42"/>
      <c r="P2186" s="42"/>
      <c r="Q2186" s="42"/>
      <c r="R2186" s="42"/>
      <c r="S2186" s="42"/>
      <c r="T2186" s="42"/>
      <c r="U2186" s="42"/>
      <c r="V2186" s="42"/>
      <c r="W2186" s="42"/>
      <c r="X2186" s="42"/>
      <c r="Y2186" s="42"/>
      <c r="Z2186" s="42"/>
    </row>
    <row r="2187">
      <c r="A2187" s="42"/>
      <c r="B2187" s="42"/>
      <c r="C2187" s="42"/>
      <c r="D2187" s="42"/>
      <c r="E2187" s="42"/>
      <c r="F2187" s="42"/>
      <c r="G2187" s="42"/>
      <c r="H2187" s="42"/>
      <c r="I2187" s="43"/>
      <c r="J2187" s="42"/>
      <c r="K2187" s="42"/>
      <c r="L2187" s="42"/>
      <c r="M2187" s="42"/>
      <c r="N2187" s="42"/>
      <c r="O2187" s="42"/>
      <c r="P2187" s="42"/>
      <c r="Q2187" s="42"/>
      <c r="R2187" s="42"/>
      <c r="S2187" s="42"/>
      <c r="T2187" s="42"/>
      <c r="U2187" s="42"/>
      <c r="V2187" s="42"/>
      <c r="W2187" s="42"/>
      <c r="X2187" s="42"/>
      <c r="Y2187" s="42"/>
      <c r="Z2187" s="42"/>
    </row>
    <row r="2188">
      <c r="A2188" s="42"/>
      <c r="B2188" s="42"/>
      <c r="C2188" s="42"/>
      <c r="D2188" s="42"/>
      <c r="E2188" s="42"/>
      <c r="F2188" s="42"/>
      <c r="G2188" s="42"/>
      <c r="H2188" s="42"/>
      <c r="I2188" s="43"/>
      <c r="J2188" s="42"/>
      <c r="K2188" s="42"/>
      <c r="L2188" s="42"/>
      <c r="M2188" s="42"/>
      <c r="N2188" s="42"/>
      <c r="O2188" s="42"/>
      <c r="P2188" s="42"/>
      <c r="Q2188" s="42"/>
      <c r="R2188" s="42"/>
      <c r="S2188" s="42"/>
      <c r="T2188" s="42"/>
      <c r="U2188" s="42"/>
      <c r="V2188" s="42"/>
      <c r="W2188" s="42"/>
      <c r="X2188" s="42"/>
      <c r="Y2188" s="42"/>
      <c r="Z2188" s="42"/>
    </row>
    <row r="2189">
      <c r="A2189" s="42"/>
      <c r="B2189" s="42"/>
      <c r="C2189" s="42"/>
      <c r="D2189" s="42"/>
      <c r="E2189" s="42"/>
      <c r="F2189" s="42"/>
      <c r="G2189" s="42"/>
      <c r="H2189" s="42"/>
      <c r="I2189" s="43"/>
      <c r="J2189" s="42"/>
      <c r="K2189" s="42"/>
      <c r="L2189" s="42"/>
      <c r="M2189" s="42"/>
      <c r="N2189" s="42"/>
      <c r="O2189" s="42"/>
      <c r="P2189" s="42"/>
      <c r="Q2189" s="42"/>
      <c r="R2189" s="42"/>
      <c r="S2189" s="42"/>
      <c r="T2189" s="42"/>
      <c r="U2189" s="42"/>
      <c r="V2189" s="42"/>
      <c r="W2189" s="42"/>
      <c r="X2189" s="42"/>
      <c r="Y2189" s="42"/>
      <c r="Z2189" s="42"/>
    </row>
    <row r="2190">
      <c r="A2190" s="42"/>
      <c r="B2190" s="42"/>
      <c r="C2190" s="42"/>
      <c r="D2190" s="42"/>
      <c r="E2190" s="42"/>
      <c r="F2190" s="42"/>
      <c r="G2190" s="42"/>
      <c r="H2190" s="42"/>
      <c r="I2190" s="43"/>
      <c r="J2190" s="42"/>
      <c r="K2190" s="42"/>
      <c r="L2190" s="42"/>
      <c r="M2190" s="42"/>
      <c r="N2190" s="42"/>
      <c r="O2190" s="42"/>
      <c r="P2190" s="42"/>
      <c r="Q2190" s="42"/>
      <c r="R2190" s="42"/>
      <c r="S2190" s="42"/>
      <c r="T2190" s="42"/>
      <c r="U2190" s="42"/>
      <c r="V2190" s="42"/>
      <c r="W2190" s="42"/>
      <c r="X2190" s="42"/>
      <c r="Y2190" s="42"/>
      <c r="Z2190" s="42"/>
    </row>
    <row r="2191">
      <c r="A2191" s="42"/>
      <c r="B2191" s="42"/>
      <c r="C2191" s="42"/>
      <c r="D2191" s="42"/>
      <c r="E2191" s="42"/>
      <c r="F2191" s="42"/>
      <c r="G2191" s="42"/>
      <c r="H2191" s="42"/>
      <c r="I2191" s="43"/>
      <c r="J2191" s="42"/>
      <c r="K2191" s="42"/>
      <c r="L2191" s="42"/>
      <c r="M2191" s="42"/>
      <c r="N2191" s="42"/>
      <c r="O2191" s="42"/>
      <c r="P2191" s="42"/>
      <c r="Q2191" s="42"/>
      <c r="R2191" s="42"/>
      <c r="S2191" s="42"/>
      <c r="T2191" s="42"/>
      <c r="U2191" s="42"/>
      <c r="V2191" s="42"/>
      <c r="W2191" s="42"/>
      <c r="X2191" s="42"/>
      <c r="Y2191" s="42"/>
      <c r="Z2191" s="42"/>
    </row>
    <row r="2192">
      <c r="A2192" s="42"/>
      <c r="B2192" s="42"/>
      <c r="C2192" s="42"/>
      <c r="D2192" s="42"/>
      <c r="E2192" s="42"/>
      <c r="F2192" s="42"/>
      <c r="G2192" s="42"/>
      <c r="H2192" s="42"/>
      <c r="I2192" s="43"/>
      <c r="J2192" s="42"/>
      <c r="K2192" s="42"/>
      <c r="L2192" s="42"/>
      <c r="M2192" s="42"/>
      <c r="N2192" s="42"/>
      <c r="O2192" s="42"/>
      <c r="P2192" s="42"/>
      <c r="Q2192" s="42"/>
      <c r="R2192" s="42"/>
      <c r="S2192" s="42"/>
      <c r="T2192" s="42"/>
      <c r="U2192" s="42"/>
      <c r="V2192" s="42"/>
      <c r="W2192" s="42"/>
      <c r="X2192" s="42"/>
      <c r="Y2192" s="42"/>
      <c r="Z2192" s="42"/>
    </row>
    <row r="2193">
      <c r="A2193" s="42"/>
      <c r="B2193" s="42"/>
      <c r="C2193" s="42"/>
      <c r="D2193" s="42"/>
      <c r="E2193" s="42"/>
      <c r="F2193" s="42"/>
      <c r="G2193" s="42"/>
      <c r="H2193" s="42"/>
      <c r="I2193" s="43"/>
      <c r="J2193" s="42"/>
      <c r="K2193" s="42"/>
      <c r="L2193" s="42"/>
      <c r="M2193" s="42"/>
      <c r="N2193" s="42"/>
      <c r="O2193" s="42"/>
      <c r="P2193" s="42"/>
      <c r="Q2193" s="42"/>
      <c r="R2193" s="42"/>
      <c r="S2193" s="42"/>
      <c r="T2193" s="42"/>
      <c r="U2193" s="42"/>
      <c r="V2193" s="42"/>
      <c r="W2193" s="42"/>
      <c r="X2193" s="42"/>
      <c r="Y2193" s="42"/>
      <c r="Z2193" s="42"/>
    </row>
    <row r="2194">
      <c r="A2194" s="42"/>
      <c r="B2194" s="42"/>
      <c r="C2194" s="42"/>
      <c r="D2194" s="42"/>
      <c r="E2194" s="42"/>
      <c r="F2194" s="42"/>
      <c r="G2194" s="42"/>
      <c r="H2194" s="42"/>
      <c r="I2194" s="43"/>
      <c r="J2194" s="42"/>
      <c r="K2194" s="42"/>
      <c r="L2194" s="42"/>
      <c r="M2194" s="42"/>
      <c r="N2194" s="42"/>
      <c r="O2194" s="42"/>
      <c r="P2194" s="42"/>
      <c r="Q2194" s="42"/>
      <c r="R2194" s="42"/>
      <c r="S2194" s="42"/>
      <c r="T2194" s="42"/>
      <c r="U2194" s="42"/>
      <c r="V2194" s="42"/>
      <c r="W2194" s="42"/>
      <c r="X2194" s="42"/>
      <c r="Y2194" s="42"/>
      <c r="Z2194" s="42"/>
    </row>
    <row r="2195">
      <c r="A2195" s="42"/>
      <c r="B2195" s="42"/>
      <c r="C2195" s="42"/>
      <c r="D2195" s="42"/>
      <c r="E2195" s="42"/>
      <c r="F2195" s="42"/>
      <c r="G2195" s="42"/>
      <c r="H2195" s="42"/>
      <c r="I2195" s="43"/>
      <c r="J2195" s="42"/>
      <c r="K2195" s="42"/>
      <c r="L2195" s="42"/>
      <c r="M2195" s="42"/>
      <c r="N2195" s="42"/>
      <c r="O2195" s="42"/>
      <c r="P2195" s="42"/>
      <c r="Q2195" s="42"/>
      <c r="R2195" s="42"/>
      <c r="S2195" s="42"/>
      <c r="T2195" s="42"/>
      <c r="U2195" s="42"/>
      <c r="V2195" s="42"/>
      <c r="W2195" s="42"/>
      <c r="X2195" s="42"/>
      <c r="Y2195" s="42"/>
      <c r="Z2195" s="42"/>
    </row>
    <row r="2196">
      <c r="A2196" s="42"/>
      <c r="B2196" s="42"/>
      <c r="C2196" s="42"/>
      <c r="D2196" s="42"/>
      <c r="E2196" s="42"/>
      <c r="F2196" s="42"/>
      <c r="G2196" s="42"/>
      <c r="H2196" s="42"/>
      <c r="I2196" s="43"/>
      <c r="J2196" s="42"/>
      <c r="K2196" s="42"/>
      <c r="L2196" s="42"/>
      <c r="M2196" s="42"/>
      <c r="N2196" s="42"/>
      <c r="O2196" s="42"/>
      <c r="P2196" s="42"/>
      <c r="Q2196" s="42"/>
      <c r="R2196" s="42"/>
      <c r="S2196" s="42"/>
      <c r="T2196" s="42"/>
      <c r="U2196" s="42"/>
      <c r="V2196" s="42"/>
      <c r="W2196" s="42"/>
      <c r="X2196" s="42"/>
      <c r="Y2196" s="42"/>
      <c r="Z2196" s="42"/>
    </row>
    <row r="2197">
      <c r="A2197" s="42"/>
      <c r="B2197" s="42"/>
      <c r="C2197" s="42"/>
      <c r="D2197" s="42"/>
      <c r="E2197" s="42"/>
      <c r="F2197" s="42"/>
      <c r="G2197" s="42"/>
      <c r="H2197" s="42"/>
      <c r="I2197" s="43"/>
      <c r="J2197" s="42"/>
      <c r="K2197" s="42"/>
      <c r="L2197" s="42"/>
      <c r="M2197" s="42"/>
      <c r="N2197" s="42"/>
      <c r="O2197" s="42"/>
      <c r="P2197" s="42"/>
      <c r="Q2197" s="42"/>
      <c r="R2197" s="42"/>
      <c r="S2197" s="42"/>
      <c r="T2197" s="42"/>
      <c r="U2197" s="42"/>
      <c r="V2197" s="42"/>
      <c r="W2197" s="42"/>
      <c r="X2197" s="42"/>
      <c r="Y2197" s="42"/>
      <c r="Z2197" s="42"/>
    </row>
    <row r="2198">
      <c r="A2198" s="42"/>
      <c r="B2198" s="42"/>
      <c r="C2198" s="42"/>
      <c r="D2198" s="42"/>
      <c r="E2198" s="42"/>
      <c r="F2198" s="42"/>
      <c r="G2198" s="42"/>
      <c r="H2198" s="42"/>
      <c r="I2198" s="43"/>
      <c r="J2198" s="42"/>
      <c r="K2198" s="42"/>
      <c r="L2198" s="42"/>
      <c r="M2198" s="42"/>
      <c r="N2198" s="42"/>
      <c r="O2198" s="42"/>
      <c r="P2198" s="42"/>
      <c r="Q2198" s="42"/>
      <c r="R2198" s="42"/>
      <c r="S2198" s="42"/>
      <c r="T2198" s="42"/>
      <c r="U2198" s="42"/>
      <c r="V2198" s="42"/>
      <c r="W2198" s="42"/>
      <c r="X2198" s="42"/>
      <c r="Y2198" s="42"/>
      <c r="Z2198" s="42"/>
    </row>
    <row r="2199">
      <c r="A2199" s="42"/>
      <c r="B2199" s="42"/>
      <c r="C2199" s="42"/>
      <c r="D2199" s="42"/>
      <c r="E2199" s="42"/>
      <c r="F2199" s="42"/>
      <c r="G2199" s="42"/>
      <c r="H2199" s="42"/>
      <c r="I2199" s="43"/>
      <c r="J2199" s="42"/>
      <c r="K2199" s="42"/>
      <c r="L2199" s="42"/>
      <c r="M2199" s="42"/>
      <c r="N2199" s="42"/>
      <c r="O2199" s="42"/>
      <c r="P2199" s="42"/>
      <c r="Q2199" s="42"/>
      <c r="R2199" s="42"/>
      <c r="S2199" s="42"/>
      <c r="T2199" s="42"/>
      <c r="U2199" s="42"/>
      <c r="V2199" s="42"/>
      <c r="W2199" s="42"/>
      <c r="X2199" s="42"/>
      <c r="Y2199" s="42"/>
      <c r="Z2199" s="42"/>
    </row>
    <row r="2200">
      <c r="A2200" s="42"/>
      <c r="B2200" s="42"/>
      <c r="C2200" s="42"/>
      <c r="D2200" s="42"/>
      <c r="E2200" s="42"/>
      <c r="F2200" s="42"/>
      <c r="G2200" s="42"/>
      <c r="H2200" s="42"/>
      <c r="I2200" s="43"/>
      <c r="J2200" s="42"/>
      <c r="K2200" s="42"/>
      <c r="L2200" s="42"/>
      <c r="M2200" s="42"/>
      <c r="N2200" s="42"/>
      <c r="O2200" s="42"/>
      <c r="P2200" s="42"/>
      <c r="Q2200" s="42"/>
      <c r="R2200" s="42"/>
      <c r="S2200" s="42"/>
      <c r="T2200" s="42"/>
      <c r="U2200" s="42"/>
      <c r="V2200" s="42"/>
      <c r="W2200" s="42"/>
      <c r="X2200" s="42"/>
      <c r="Y2200" s="42"/>
      <c r="Z2200" s="42"/>
    </row>
    <row r="2201">
      <c r="A2201" s="42"/>
      <c r="B2201" s="42"/>
      <c r="C2201" s="42"/>
      <c r="D2201" s="42"/>
      <c r="E2201" s="42"/>
      <c r="F2201" s="42"/>
      <c r="G2201" s="42"/>
      <c r="H2201" s="42"/>
      <c r="I2201" s="43"/>
      <c r="J2201" s="42"/>
      <c r="K2201" s="42"/>
      <c r="L2201" s="42"/>
      <c r="M2201" s="42"/>
      <c r="N2201" s="42"/>
      <c r="O2201" s="42"/>
      <c r="P2201" s="42"/>
      <c r="Q2201" s="42"/>
      <c r="R2201" s="42"/>
      <c r="S2201" s="42"/>
      <c r="T2201" s="42"/>
      <c r="U2201" s="42"/>
      <c r="V2201" s="42"/>
      <c r="W2201" s="42"/>
      <c r="X2201" s="42"/>
      <c r="Y2201" s="42"/>
      <c r="Z2201" s="42"/>
    </row>
    <row r="2202">
      <c r="A2202" s="42"/>
      <c r="B2202" s="42"/>
      <c r="C2202" s="42"/>
      <c r="D2202" s="42"/>
      <c r="E2202" s="42"/>
      <c r="F2202" s="42"/>
      <c r="G2202" s="42"/>
      <c r="H2202" s="42"/>
      <c r="I2202" s="43"/>
      <c r="J2202" s="42"/>
      <c r="K2202" s="42"/>
      <c r="L2202" s="42"/>
      <c r="M2202" s="42"/>
      <c r="N2202" s="42"/>
      <c r="O2202" s="42"/>
      <c r="P2202" s="42"/>
      <c r="Q2202" s="42"/>
      <c r="R2202" s="42"/>
      <c r="S2202" s="42"/>
      <c r="T2202" s="42"/>
      <c r="U2202" s="42"/>
      <c r="V2202" s="42"/>
      <c r="W2202" s="42"/>
      <c r="X2202" s="42"/>
      <c r="Y2202" s="42"/>
      <c r="Z2202" s="42"/>
    </row>
    <row r="2203">
      <c r="A2203" s="42"/>
      <c r="B2203" s="42"/>
      <c r="C2203" s="42"/>
      <c r="D2203" s="42"/>
      <c r="E2203" s="42"/>
      <c r="F2203" s="42"/>
      <c r="G2203" s="42"/>
      <c r="H2203" s="42"/>
      <c r="I2203" s="43"/>
      <c r="J2203" s="42"/>
      <c r="K2203" s="42"/>
      <c r="L2203" s="42"/>
      <c r="M2203" s="42"/>
      <c r="N2203" s="42"/>
      <c r="O2203" s="42"/>
      <c r="P2203" s="42"/>
      <c r="Q2203" s="42"/>
      <c r="R2203" s="42"/>
      <c r="S2203" s="42"/>
      <c r="T2203" s="42"/>
      <c r="U2203" s="42"/>
      <c r="V2203" s="42"/>
      <c r="W2203" s="42"/>
      <c r="X2203" s="42"/>
      <c r="Y2203" s="42"/>
      <c r="Z2203" s="42"/>
    </row>
    <row r="2204">
      <c r="A2204" s="42"/>
      <c r="B2204" s="42"/>
      <c r="C2204" s="42"/>
      <c r="D2204" s="42"/>
      <c r="E2204" s="42"/>
      <c r="F2204" s="42"/>
      <c r="G2204" s="42"/>
      <c r="H2204" s="42"/>
      <c r="I2204" s="43"/>
      <c r="J2204" s="42"/>
      <c r="K2204" s="42"/>
      <c r="L2204" s="42"/>
      <c r="M2204" s="42"/>
      <c r="N2204" s="42"/>
      <c r="O2204" s="42"/>
      <c r="P2204" s="42"/>
      <c r="Q2204" s="42"/>
      <c r="R2204" s="42"/>
      <c r="S2204" s="42"/>
      <c r="T2204" s="42"/>
      <c r="U2204" s="42"/>
      <c r="V2204" s="42"/>
      <c r="W2204" s="42"/>
      <c r="X2204" s="42"/>
      <c r="Y2204" s="42"/>
      <c r="Z2204" s="42"/>
    </row>
    <row r="2205">
      <c r="A2205" s="42"/>
      <c r="B2205" s="42"/>
      <c r="C2205" s="42"/>
      <c r="D2205" s="42"/>
      <c r="E2205" s="42"/>
      <c r="F2205" s="42"/>
      <c r="G2205" s="42"/>
      <c r="H2205" s="42"/>
      <c r="I2205" s="43"/>
      <c r="J2205" s="42"/>
      <c r="K2205" s="42"/>
      <c r="L2205" s="42"/>
      <c r="M2205" s="42"/>
      <c r="N2205" s="42"/>
      <c r="O2205" s="42"/>
      <c r="P2205" s="42"/>
      <c r="Q2205" s="42"/>
      <c r="R2205" s="42"/>
      <c r="S2205" s="42"/>
      <c r="T2205" s="42"/>
      <c r="U2205" s="42"/>
      <c r="V2205" s="42"/>
      <c r="W2205" s="42"/>
      <c r="X2205" s="42"/>
      <c r="Y2205" s="42"/>
      <c r="Z2205" s="42"/>
    </row>
    <row r="2206">
      <c r="A2206" s="42"/>
      <c r="B2206" s="42"/>
      <c r="C2206" s="42"/>
      <c r="D2206" s="42"/>
      <c r="E2206" s="42"/>
      <c r="F2206" s="42"/>
      <c r="G2206" s="42"/>
      <c r="H2206" s="42"/>
      <c r="I2206" s="43"/>
      <c r="J2206" s="42"/>
      <c r="K2206" s="42"/>
      <c r="L2206" s="42"/>
      <c r="M2206" s="42"/>
      <c r="N2206" s="42"/>
      <c r="O2206" s="42"/>
      <c r="P2206" s="42"/>
      <c r="Q2206" s="42"/>
      <c r="R2206" s="42"/>
      <c r="S2206" s="42"/>
      <c r="T2206" s="42"/>
      <c r="U2206" s="42"/>
      <c r="V2206" s="42"/>
      <c r="W2206" s="42"/>
      <c r="X2206" s="42"/>
      <c r="Y2206" s="42"/>
      <c r="Z2206" s="42"/>
    </row>
    <row r="2207">
      <c r="A2207" s="42"/>
      <c r="B2207" s="42"/>
      <c r="C2207" s="42"/>
      <c r="D2207" s="42"/>
      <c r="E2207" s="42"/>
      <c r="F2207" s="42"/>
      <c r="G2207" s="42"/>
      <c r="H2207" s="42"/>
      <c r="I2207" s="43"/>
      <c r="J2207" s="42"/>
      <c r="K2207" s="42"/>
      <c r="L2207" s="42"/>
      <c r="M2207" s="42"/>
      <c r="N2207" s="42"/>
      <c r="O2207" s="42"/>
      <c r="P2207" s="42"/>
      <c r="Q2207" s="42"/>
      <c r="R2207" s="42"/>
      <c r="S2207" s="42"/>
      <c r="T2207" s="42"/>
      <c r="U2207" s="42"/>
      <c r="V2207" s="42"/>
      <c r="W2207" s="42"/>
      <c r="X2207" s="42"/>
      <c r="Y2207" s="42"/>
      <c r="Z2207" s="42"/>
    </row>
    <row r="2208">
      <c r="A2208" s="42"/>
      <c r="B2208" s="42"/>
      <c r="C2208" s="42"/>
      <c r="D2208" s="42"/>
      <c r="E2208" s="42"/>
      <c r="F2208" s="42"/>
      <c r="G2208" s="42"/>
      <c r="H2208" s="42"/>
      <c r="I2208" s="43"/>
      <c r="J2208" s="42"/>
      <c r="K2208" s="42"/>
      <c r="L2208" s="42"/>
      <c r="M2208" s="42"/>
      <c r="N2208" s="42"/>
      <c r="O2208" s="42"/>
      <c r="P2208" s="42"/>
      <c r="Q2208" s="42"/>
      <c r="R2208" s="42"/>
      <c r="S2208" s="42"/>
      <c r="T2208" s="42"/>
      <c r="U2208" s="42"/>
      <c r="V2208" s="42"/>
      <c r="W2208" s="42"/>
      <c r="X2208" s="42"/>
      <c r="Y2208" s="42"/>
      <c r="Z2208" s="42"/>
    </row>
    <row r="2209">
      <c r="A2209" s="42"/>
      <c r="B2209" s="42"/>
      <c r="C2209" s="42"/>
      <c r="D2209" s="42"/>
      <c r="E2209" s="42"/>
      <c r="F2209" s="42"/>
      <c r="G2209" s="42"/>
      <c r="H2209" s="42"/>
      <c r="I2209" s="43"/>
      <c r="J2209" s="42"/>
      <c r="K2209" s="42"/>
      <c r="L2209" s="42"/>
      <c r="M2209" s="42"/>
      <c r="N2209" s="42"/>
      <c r="O2209" s="42"/>
      <c r="P2209" s="42"/>
      <c r="Q2209" s="42"/>
      <c r="R2209" s="42"/>
      <c r="S2209" s="42"/>
      <c r="T2209" s="42"/>
      <c r="U2209" s="42"/>
      <c r="V2209" s="42"/>
      <c r="W2209" s="42"/>
      <c r="X2209" s="42"/>
      <c r="Y2209" s="42"/>
      <c r="Z2209" s="42"/>
    </row>
    <row r="2210">
      <c r="A2210" s="42"/>
      <c r="B2210" s="42"/>
      <c r="C2210" s="42"/>
      <c r="D2210" s="42"/>
      <c r="E2210" s="42"/>
      <c r="F2210" s="42"/>
      <c r="G2210" s="42"/>
      <c r="H2210" s="42"/>
      <c r="I2210" s="43"/>
      <c r="J2210" s="42"/>
      <c r="K2210" s="42"/>
      <c r="L2210" s="42"/>
      <c r="M2210" s="42"/>
      <c r="N2210" s="42"/>
      <c r="O2210" s="42"/>
      <c r="P2210" s="42"/>
      <c r="Q2210" s="42"/>
      <c r="R2210" s="42"/>
      <c r="S2210" s="42"/>
      <c r="T2210" s="42"/>
      <c r="U2210" s="42"/>
      <c r="V2210" s="42"/>
      <c r="W2210" s="42"/>
      <c r="X2210" s="42"/>
      <c r="Y2210" s="42"/>
      <c r="Z2210" s="42"/>
    </row>
    <row r="2211">
      <c r="A2211" s="42"/>
      <c r="B2211" s="42"/>
      <c r="C2211" s="42"/>
      <c r="D2211" s="42"/>
      <c r="E2211" s="42"/>
      <c r="F2211" s="42"/>
      <c r="G2211" s="42"/>
      <c r="H2211" s="42"/>
      <c r="I2211" s="43"/>
      <c r="J2211" s="42"/>
      <c r="K2211" s="42"/>
      <c r="L2211" s="42"/>
      <c r="M2211" s="42"/>
      <c r="N2211" s="42"/>
      <c r="O2211" s="42"/>
      <c r="P2211" s="42"/>
      <c r="Q2211" s="42"/>
      <c r="R2211" s="42"/>
      <c r="S2211" s="42"/>
      <c r="T2211" s="42"/>
      <c r="U2211" s="42"/>
      <c r="V2211" s="42"/>
      <c r="W2211" s="42"/>
      <c r="X2211" s="42"/>
      <c r="Y2211" s="42"/>
      <c r="Z2211" s="42"/>
    </row>
    <row r="2212">
      <c r="A2212" s="42"/>
      <c r="B2212" s="42"/>
      <c r="C2212" s="42"/>
      <c r="D2212" s="42"/>
      <c r="E2212" s="42"/>
      <c r="F2212" s="42"/>
      <c r="G2212" s="42"/>
      <c r="H2212" s="42"/>
      <c r="I2212" s="43"/>
      <c r="J2212" s="42"/>
      <c r="K2212" s="42"/>
      <c r="L2212" s="42"/>
      <c r="M2212" s="42"/>
      <c r="N2212" s="42"/>
      <c r="O2212" s="42"/>
      <c r="P2212" s="42"/>
      <c r="Q2212" s="42"/>
      <c r="R2212" s="42"/>
      <c r="S2212" s="42"/>
      <c r="T2212" s="42"/>
      <c r="U2212" s="42"/>
      <c r="V2212" s="42"/>
      <c r="W2212" s="42"/>
      <c r="X2212" s="42"/>
      <c r="Y2212" s="42"/>
      <c r="Z2212" s="42"/>
    </row>
    <row r="2213">
      <c r="A2213" s="42"/>
      <c r="B2213" s="42"/>
      <c r="C2213" s="42"/>
      <c r="D2213" s="42"/>
      <c r="E2213" s="42"/>
      <c r="F2213" s="42"/>
      <c r="G2213" s="42"/>
      <c r="H2213" s="42"/>
      <c r="I2213" s="43"/>
      <c r="J2213" s="42"/>
      <c r="K2213" s="42"/>
      <c r="L2213" s="42"/>
      <c r="M2213" s="42"/>
      <c r="N2213" s="42"/>
      <c r="O2213" s="42"/>
      <c r="P2213" s="42"/>
      <c r="Q2213" s="42"/>
      <c r="R2213" s="42"/>
      <c r="S2213" s="42"/>
      <c r="T2213" s="42"/>
      <c r="U2213" s="42"/>
      <c r="V2213" s="42"/>
      <c r="W2213" s="42"/>
      <c r="X2213" s="42"/>
      <c r="Y2213" s="42"/>
      <c r="Z2213" s="42"/>
    </row>
    <row r="2214">
      <c r="A2214" s="42"/>
      <c r="B2214" s="42"/>
      <c r="C2214" s="42"/>
      <c r="D2214" s="42"/>
      <c r="E2214" s="42"/>
      <c r="F2214" s="42"/>
      <c r="G2214" s="42"/>
      <c r="H2214" s="42"/>
      <c r="I2214" s="43"/>
      <c r="J2214" s="42"/>
      <c r="K2214" s="42"/>
      <c r="L2214" s="42"/>
      <c r="M2214" s="42"/>
      <c r="N2214" s="42"/>
      <c r="O2214" s="42"/>
      <c r="P2214" s="42"/>
      <c r="Q2214" s="42"/>
      <c r="R2214" s="42"/>
      <c r="S2214" s="42"/>
      <c r="T2214" s="42"/>
      <c r="U2214" s="42"/>
      <c r="V2214" s="42"/>
      <c r="W2214" s="42"/>
      <c r="X2214" s="42"/>
      <c r="Y2214" s="42"/>
      <c r="Z2214" s="42"/>
    </row>
    <row r="2215">
      <c r="A2215" s="42"/>
      <c r="B2215" s="42"/>
      <c r="C2215" s="42"/>
      <c r="D2215" s="42"/>
      <c r="E2215" s="42"/>
      <c r="F2215" s="42"/>
      <c r="G2215" s="42"/>
      <c r="H2215" s="42"/>
      <c r="I2215" s="43"/>
      <c r="J2215" s="42"/>
      <c r="K2215" s="42"/>
      <c r="L2215" s="42"/>
      <c r="M2215" s="42"/>
      <c r="N2215" s="42"/>
      <c r="O2215" s="42"/>
      <c r="P2215" s="42"/>
      <c r="Q2215" s="42"/>
      <c r="R2215" s="42"/>
      <c r="S2215" s="42"/>
      <c r="T2215" s="42"/>
      <c r="U2215" s="42"/>
      <c r="V2215" s="42"/>
      <c r="W2215" s="42"/>
      <c r="X2215" s="42"/>
      <c r="Y2215" s="42"/>
      <c r="Z2215" s="42"/>
    </row>
    <row r="2216">
      <c r="A2216" s="42"/>
      <c r="B2216" s="42"/>
      <c r="C2216" s="42"/>
      <c r="D2216" s="42"/>
      <c r="E2216" s="42"/>
      <c r="F2216" s="42"/>
      <c r="G2216" s="42"/>
      <c r="H2216" s="42"/>
      <c r="I2216" s="43"/>
      <c r="J2216" s="42"/>
      <c r="K2216" s="42"/>
      <c r="L2216" s="42"/>
      <c r="M2216" s="42"/>
      <c r="N2216" s="42"/>
      <c r="O2216" s="42"/>
      <c r="P2216" s="42"/>
      <c r="Q2216" s="42"/>
      <c r="R2216" s="42"/>
      <c r="S2216" s="42"/>
      <c r="T2216" s="42"/>
      <c r="U2216" s="42"/>
      <c r="V2216" s="42"/>
      <c r="W2216" s="42"/>
      <c r="X2216" s="42"/>
      <c r="Y2216" s="42"/>
      <c r="Z2216" s="42"/>
    </row>
    <row r="2217">
      <c r="A2217" s="42"/>
      <c r="B2217" s="42"/>
      <c r="C2217" s="42"/>
      <c r="D2217" s="42"/>
      <c r="E2217" s="42"/>
      <c r="F2217" s="42"/>
      <c r="G2217" s="42"/>
      <c r="H2217" s="42"/>
      <c r="I2217" s="43"/>
      <c r="J2217" s="42"/>
      <c r="K2217" s="42"/>
      <c r="L2217" s="42"/>
      <c r="M2217" s="42"/>
      <c r="N2217" s="42"/>
      <c r="O2217" s="42"/>
      <c r="P2217" s="42"/>
      <c r="Q2217" s="42"/>
      <c r="R2217" s="42"/>
      <c r="S2217" s="42"/>
      <c r="T2217" s="42"/>
      <c r="U2217" s="42"/>
      <c r="V2217" s="42"/>
      <c r="W2217" s="42"/>
      <c r="X2217" s="42"/>
      <c r="Y2217" s="42"/>
      <c r="Z2217" s="42"/>
    </row>
    <row r="2218">
      <c r="A2218" s="42"/>
      <c r="B2218" s="42"/>
      <c r="C2218" s="42"/>
      <c r="D2218" s="42"/>
      <c r="E2218" s="42"/>
      <c r="F2218" s="42"/>
      <c r="G2218" s="42"/>
      <c r="H2218" s="42"/>
      <c r="I2218" s="43"/>
      <c r="J2218" s="42"/>
      <c r="K2218" s="42"/>
      <c r="L2218" s="42"/>
      <c r="M2218" s="42"/>
      <c r="N2218" s="42"/>
      <c r="O2218" s="42"/>
      <c r="P2218" s="42"/>
      <c r="Q2218" s="42"/>
      <c r="R2218" s="42"/>
      <c r="S2218" s="42"/>
      <c r="T2218" s="42"/>
      <c r="U2218" s="42"/>
      <c r="V2218" s="42"/>
      <c r="W2218" s="42"/>
      <c r="X2218" s="42"/>
      <c r="Y2218" s="42"/>
      <c r="Z2218" s="42"/>
    </row>
    <row r="2219">
      <c r="A2219" s="42"/>
      <c r="B2219" s="42"/>
      <c r="C2219" s="42"/>
      <c r="D2219" s="42"/>
      <c r="E2219" s="42"/>
      <c r="F2219" s="42"/>
      <c r="G2219" s="42"/>
      <c r="H2219" s="42"/>
      <c r="I2219" s="43"/>
      <c r="J2219" s="42"/>
      <c r="K2219" s="42"/>
      <c r="L2219" s="42"/>
      <c r="M2219" s="42"/>
      <c r="N2219" s="42"/>
      <c r="O2219" s="42"/>
      <c r="P2219" s="42"/>
      <c r="Q2219" s="42"/>
      <c r="R2219" s="42"/>
      <c r="S2219" s="42"/>
      <c r="T2219" s="42"/>
      <c r="U2219" s="42"/>
      <c r="V2219" s="42"/>
      <c r="W2219" s="42"/>
      <c r="X2219" s="42"/>
      <c r="Y2219" s="42"/>
      <c r="Z2219" s="42"/>
    </row>
    <row r="2220">
      <c r="A2220" s="42"/>
      <c r="B2220" s="42"/>
      <c r="C2220" s="42"/>
      <c r="D2220" s="42"/>
      <c r="E2220" s="42"/>
      <c r="F2220" s="42"/>
      <c r="G2220" s="42"/>
      <c r="H2220" s="42"/>
      <c r="I2220" s="43"/>
      <c r="J2220" s="42"/>
      <c r="K2220" s="42"/>
      <c r="L2220" s="42"/>
      <c r="M2220" s="42"/>
      <c r="N2220" s="42"/>
      <c r="O2220" s="42"/>
      <c r="P2220" s="42"/>
      <c r="Q2220" s="42"/>
      <c r="R2220" s="42"/>
      <c r="S2220" s="42"/>
      <c r="T2220" s="42"/>
      <c r="U2220" s="42"/>
      <c r="V2220" s="42"/>
      <c r="W2220" s="42"/>
      <c r="X2220" s="42"/>
      <c r="Y2220" s="42"/>
      <c r="Z2220" s="42"/>
    </row>
    <row r="2221">
      <c r="A2221" s="42"/>
      <c r="B2221" s="42"/>
      <c r="C2221" s="42"/>
      <c r="D2221" s="42"/>
      <c r="E2221" s="42"/>
      <c r="F2221" s="42"/>
      <c r="G2221" s="42"/>
      <c r="H2221" s="42"/>
      <c r="I2221" s="43"/>
      <c r="J2221" s="42"/>
      <c r="K2221" s="42"/>
      <c r="L2221" s="42"/>
      <c r="M2221" s="42"/>
      <c r="N2221" s="42"/>
      <c r="O2221" s="42"/>
      <c r="P2221" s="42"/>
      <c r="Q2221" s="42"/>
      <c r="R2221" s="42"/>
      <c r="S2221" s="42"/>
      <c r="T2221" s="42"/>
      <c r="U2221" s="42"/>
      <c r="V2221" s="42"/>
      <c r="W2221" s="42"/>
      <c r="X2221" s="42"/>
      <c r="Y2221" s="42"/>
      <c r="Z2221" s="42"/>
    </row>
    <row r="2222">
      <c r="A2222" s="42"/>
      <c r="B2222" s="42"/>
      <c r="C2222" s="42"/>
      <c r="D2222" s="42"/>
      <c r="E2222" s="42"/>
      <c r="F2222" s="42"/>
      <c r="G2222" s="42"/>
      <c r="H2222" s="42"/>
      <c r="I2222" s="43"/>
      <c r="J2222" s="42"/>
      <c r="K2222" s="42"/>
      <c r="L2222" s="42"/>
      <c r="M2222" s="42"/>
      <c r="N2222" s="42"/>
      <c r="O2222" s="42"/>
      <c r="P2222" s="42"/>
      <c r="Q2222" s="42"/>
      <c r="R2222" s="42"/>
      <c r="S2222" s="42"/>
      <c r="T2222" s="42"/>
      <c r="U2222" s="42"/>
      <c r="V2222" s="42"/>
      <c r="W2222" s="42"/>
      <c r="X2222" s="42"/>
      <c r="Y2222" s="42"/>
      <c r="Z2222" s="42"/>
    </row>
    <row r="2223">
      <c r="A2223" s="42"/>
      <c r="B2223" s="42"/>
      <c r="C2223" s="42"/>
      <c r="D2223" s="42"/>
      <c r="E2223" s="42"/>
      <c r="F2223" s="42"/>
      <c r="G2223" s="42"/>
      <c r="H2223" s="42"/>
      <c r="I2223" s="43"/>
      <c r="J2223" s="42"/>
      <c r="K2223" s="42"/>
      <c r="L2223" s="42"/>
      <c r="M2223" s="42"/>
      <c r="N2223" s="42"/>
      <c r="O2223" s="42"/>
      <c r="P2223" s="42"/>
      <c r="Q2223" s="42"/>
      <c r="R2223" s="42"/>
      <c r="S2223" s="42"/>
      <c r="T2223" s="42"/>
      <c r="U2223" s="42"/>
      <c r="V2223" s="42"/>
      <c r="W2223" s="42"/>
      <c r="X2223" s="42"/>
      <c r="Y2223" s="42"/>
      <c r="Z2223" s="42"/>
    </row>
    <row r="2224">
      <c r="A2224" s="42"/>
      <c r="B2224" s="42"/>
      <c r="C2224" s="42"/>
      <c r="D2224" s="42"/>
      <c r="E2224" s="42"/>
      <c r="F2224" s="42"/>
      <c r="G2224" s="42"/>
      <c r="H2224" s="42"/>
      <c r="I2224" s="43"/>
      <c r="J2224" s="42"/>
      <c r="K2224" s="42"/>
      <c r="L2224" s="42"/>
      <c r="M2224" s="42"/>
      <c r="N2224" s="42"/>
      <c r="O2224" s="42"/>
      <c r="P2224" s="42"/>
      <c r="Q2224" s="42"/>
      <c r="R2224" s="42"/>
      <c r="S2224" s="42"/>
      <c r="T2224" s="42"/>
      <c r="U2224" s="42"/>
      <c r="V2224" s="42"/>
      <c r="W2224" s="42"/>
      <c r="X2224" s="42"/>
      <c r="Y2224" s="42"/>
      <c r="Z2224" s="42"/>
    </row>
    <row r="2225">
      <c r="A2225" s="42"/>
      <c r="B2225" s="42"/>
      <c r="C2225" s="42"/>
      <c r="D2225" s="42"/>
      <c r="E2225" s="42"/>
      <c r="F2225" s="42"/>
      <c r="G2225" s="42"/>
      <c r="H2225" s="42"/>
      <c r="I2225" s="43"/>
      <c r="J2225" s="42"/>
      <c r="K2225" s="42"/>
      <c r="L2225" s="42"/>
      <c r="M2225" s="42"/>
      <c r="N2225" s="42"/>
      <c r="O2225" s="42"/>
      <c r="P2225" s="42"/>
      <c r="Q2225" s="42"/>
      <c r="R2225" s="42"/>
      <c r="S2225" s="42"/>
      <c r="T2225" s="42"/>
      <c r="U2225" s="42"/>
      <c r="V2225" s="42"/>
      <c r="W2225" s="42"/>
      <c r="X2225" s="42"/>
      <c r="Y2225" s="42"/>
      <c r="Z2225" s="42"/>
    </row>
    <row r="2226">
      <c r="A2226" s="42"/>
      <c r="B2226" s="42"/>
      <c r="C2226" s="42"/>
      <c r="D2226" s="42"/>
      <c r="E2226" s="42"/>
      <c r="F2226" s="42"/>
      <c r="G2226" s="42"/>
      <c r="H2226" s="42"/>
      <c r="I2226" s="43"/>
      <c r="J2226" s="42"/>
      <c r="K2226" s="42"/>
      <c r="L2226" s="42"/>
      <c r="M2226" s="42"/>
      <c r="N2226" s="42"/>
      <c r="O2226" s="42"/>
      <c r="P2226" s="42"/>
      <c r="Q2226" s="42"/>
      <c r="R2226" s="42"/>
      <c r="S2226" s="42"/>
      <c r="T2226" s="42"/>
      <c r="U2226" s="42"/>
      <c r="V2226" s="42"/>
      <c r="W2226" s="42"/>
      <c r="X2226" s="42"/>
      <c r="Y2226" s="42"/>
      <c r="Z2226" s="42"/>
    </row>
    <row r="2227">
      <c r="A2227" s="42"/>
      <c r="B2227" s="42"/>
      <c r="C2227" s="42"/>
      <c r="D2227" s="42"/>
      <c r="E2227" s="42"/>
      <c r="F2227" s="42"/>
      <c r="G2227" s="42"/>
      <c r="H2227" s="42"/>
      <c r="I2227" s="43"/>
      <c r="J2227" s="42"/>
      <c r="K2227" s="42"/>
      <c r="L2227" s="42"/>
      <c r="M2227" s="42"/>
      <c r="N2227" s="42"/>
      <c r="O2227" s="42"/>
      <c r="P2227" s="42"/>
      <c r="Q2227" s="42"/>
      <c r="R2227" s="42"/>
      <c r="S2227" s="42"/>
      <c r="T2227" s="42"/>
      <c r="U2227" s="42"/>
      <c r="V2227" s="42"/>
      <c r="W2227" s="42"/>
      <c r="X2227" s="42"/>
      <c r="Y2227" s="42"/>
      <c r="Z2227" s="42"/>
    </row>
    <row r="2228">
      <c r="A2228" s="42"/>
      <c r="B2228" s="42"/>
      <c r="C2228" s="42"/>
      <c r="D2228" s="42"/>
      <c r="E2228" s="42"/>
      <c r="F2228" s="42"/>
      <c r="G2228" s="42"/>
      <c r="H2228" s="42"/>
      <c r="I2228" s="43"/>
      <c r="J2228" s="42"/>
      <c r="K2228" s="42"/>
      <c r="L2228" s="42"/>
      <c r="M2228" s="42"/>
      <c r="N2228" s="42"/>
      <c r="O2228" s="42"/>
      <c r="P2228" s="42"/>
      <c r="Q2228" s="42"/>
      <c r="R2228" s="42"/>
      <c r="S2228" s="42"/>
      <c r="T2228" s="42"/>
      <c r="U2228" s="42"/>
      <c r="V2228" s="42"/>
      <c r="W2228" s="42"/>
      <c r="X2228" s="42"/>
      <c r="Y2228" s="42"/>
      <c r="Z2228" s="42"/>
    </row>
    <row r="2229">
      <c r="A2229" s="42"/>
      <c r="B2229" s="42"/>
      <c r="C2229" s="42"/>
      <c r="D2229" s="42"/>
      <c r="E2229" s="42"/>
      <c r="F2229" s="42"/>
      <c r="G2229" s="42"/>
      <c r="H2229" s="42"/>
      <c r="I2229" s="43"/>
      <c r="J2229" s="42"/>
      <c r="K2229" s="42"/>
      <c r="L2229" s="42"/>
      <c r="M2229" s="42"/>
      <c r="N2229" s="42"/>
      <c r="O2229" s="42"/>
      <c r="P2229" s="42"/>
      <c r="Q2229" s="42"/>
      <c r="R2229" s="42"/>
      <c r="S2229" s="42"/>
      <c r="T2229" s="42"/>
      <c r="U2229" s="42"/>
      <c r="V2229" s="42"/>
      <c r="W2229" s="42"/>
      <c r="X2229" s="42"/>
      <c r="Y2229" s="42"/>
      <c r="Z2229" s="42"/>
    </row>
    <row r="2230">
      <c r="A2230" s="42"/>
      <c r="B2230" s="42"/>
      <c r="C2230" s="42"/>
      <c r="D2230" s="42"/>
      <c r="E2230" s="42"/>
      <c r="F2230" s="42"/>
      <c r="G2230" s="42"/>
      <c r="H2230" s="42"/>
      <c r="I2230" s="43"/>
      <c r="J2230" s="42"/>
      <c r="K2230" s="42"/>
      <c r="L2230" s="42"/>
      <c r="M2230" s="42"/>
      <c r="N2230" s="42"/>
      <c r="O2230" s="42"/>
      <c r="P2230" s="42"/>
      <c r="Q2230" s="42"/>
      <c r="R2230" s="42"/>
      <c r="S2230" s="42"/>
      <c r="T2230" s="42"/>
      <c r="U2230" s="42"/>
      <c r="V2230" s="42"/>
      <c r="W2230" s="42"/>
      <c r="X2230" s="42"/>
      <c r="Y2230" s="42"/>
      <c r="Z2230" s="42"/>
    </row>
    <row r="2231">
      <c r="A2231" s="42"/>
      <c r="B2231" s="42"/>
      <c r="C2231" s="42"/>
      <c r="D2231" s="42"/>
      <c r="E2231" s="42"/>
      <c r="F2231" s="42"/>
      <c r="G2231" s="42"/>
      <c r="H2231" s="42"/>
      <c r="I2231" s="43"/>
      <c r="J2231" s="42"/>
      <c r="K2231" s="42"/>
      <c r="L2231" s="42"/>
      <c r="M2231" s="42"/>
      <c r="N2231" s="42"/>
      <c r="O2231" s="42"/>
      <c r="P2231" s="42"/>
      <c r="Q2231" s="42"/>
      <c r="R2231" s="42"/>
      <c r="S2231" s="42"/>
      <c r="T2231" s="42"/>
      <c r="U2231" s="42"/>
      <c r="V2231" s="42"/>
      <c r="W2231" s="42"/>
      <c r="X2231" s="42"/>
      <c r="Y2231" s="42"/>
      <c r="Z2231" s="42"/>
    </row>
    <row r="2232">
      <c r="A2232" s="42"/>
      <c r="B2232" s="42"/>
      <c r="C2232" s="42"/>
      <c r="D2232" s="42"/>
      <c r="E2232" s="42"/>
      <c r="F2232" s="42"/>
      <c r="G2232" s="42"/>
      <c r="H2232" s="42"/>
      <c r="I2232" s="43"/>
      <c r="J2232" s="42"/>
      <c r="K2232" s="42"/>
      <c r="L2232" s="42"/>
      <c r="M2232" s="42"/>
      <c r="N2232" s="42"/>
      <c r="O2232" s="42"/>
      <c r="P2232" s="42"/>
      <c r="Q2232" s="42"/>
      <c r="R2232" s="42"/>
      <c r="S2232" s="42"/>
      <c r="T2232" s="42"/>
      <c r="U2232" s="42"/>
      <c r="V2232" s="42"/>
      <c r="W2232" s="42"/>
      <c r="X2232" s="42"/>
      <c r="Y2232" s="42"/>
      <c r="Z2232" s="42"/>
    </row>
    <row r="2233">
      <c r="A2233" s="42"/>
      <c r="B2233" s="42"/>
      <c r="C2233" s="42"/>
      <c r="D2233" s="42"/>
      <c r="E2233" s="42"/>
      <c r="F2233" s="42"/>
      <c r="G2233" s="42"/>
      <c r="H2233" s="42"/>
      <c r="I2233" s="43"/>
      <c r="J2233" s="42"/>
      <c r="K2233" s="42"/>
      <c r="L2233" s="42"/>
      <c r="M2233" s="42"/>
      <c r="N2233" s="42"/>
      <c r="O2233" s="42"/>
      <c r="P2233" s="42"/>
      <c r="Q2233" s="42"/>
      <c r="R2233" s="42"/>
      <c r="S2233" s="42"/>
      <c r="T2233" s="42"/>
      <c r="U2233" s="42"/>
      <c r="V2233" s="42"/>
      <c r="W2233" s="42"/>
      <c r="X2233" s="42"/>
      <c r="Y2233" s="42"/>
      <c r="Z2233" s="42"/>
    </row>
    <row r="2234">
      <c r="A2234" s="42"/>
      <c r="B2234" s="42"/>
      <c r="C2234" s="42"/>
      <c r="D2234" s="42"/>
      <c r="E2234" s="42"/>
      <c r="F2234" s="42"/>
      <c r="G2234" s="42"/>
      <c r="H2234" s="42"/>
      <c r="I2234" s="43"/>
      <c r="J2234" s="42"/>
      <c r="K2234" s="42"/>
      <c r="L2234" s="42"/>
      <c r="M2234" s="42"/>
      <c r="N2234" s="42"/>
      <c r="O2234" s="42"/>
      <c r="P2234" s="42"/>
      <c r="Q2234" s="42"/>
      <c r="R2234" s="42"/>
      <c r="S2234" s="42"/>
      <c r="T2234" s="42"/>
      <c r="U2234" s="42"/>
      <c r="V2234" s="42"/>
      <c r="W2234" s="42"/>
      <c r="X2234" s="42"/>
      <c r="Y2234" s="42"/>
      <c r="Z2234" s="42"/>
    </row>
    <row r="2235">
      <c r="A2235" s="42"/>
      <c r="B2235" s="42"/>
      <c r="C2235" s="42"/>
      <c r="D2235" s="42"/>
      <c r="E2235" s="42"/>
      <c r="F2235" s="42"/>
      <c r="G2235" s="42"/>
      <c r="H2235" s="42"/>
      <c r="I2235" s="43"/>
      <c r="J2235" s="42"/>
      <c r="K2235" s="42"/>
      <c r="L2235" s="42"/>
      <c r="M2235" s="42"/>
      <c r="N2235" s="42"/>
      <c r="O2235" s="42"/>
      <c r="P2235" s="42"/>
      <c r="Q2235" s="42"/>
      <c r="R2235" s="42"/>
      <c r="S2235" s="42"/>
      <c r="T2235" s="42"/>
      <c r="U2235" s="42"/>
      <c r="V2235" s="42"/>
      <c r="W2235" s="42"/>
      <c r="X2235" s="42"/>
      <c r="Y2235" s="42"/>
      <c r="Z2235" s="42"/>
    </row>
    <row r="2236">
      <c r="A2236" s="42"/>
      <c r="B2236" s="42"/>
      <c r="C2236" s="42"/>
      <c r="D2236" s="42"/>
      <c r="E2236" s="42"/>
      <c r="F2236" s="42"/>
      <c r="G2236" s="42"/>
      <c r="H2236" s="42"/>
      <c r="I2236" s="43"/>
      <c r="J2236" s="42"/>
      <c r="K2236" s="42"/>
      <c r="L2236" s="42"/>
      <c r="M2236" s="42"/>
      <c r="N2236" s="42"/>
      <c r="O2236" s="42"/>
      <c r="P2236" s="42"/>
      <c r="Q2236" s="42"/>
      <c r="R2236" s="42"/>
      <c r="S2236" s="42"/>
      <c r="T2236" s="42"/>
      <c r="U2236" s="42"/>
      <c r="V2236" s="42"/>
      <c r="W2236" s="42"/>
      <c r="X2236" s="42"/>
      <c r="Y2236" s="42"/>
      <c r="Z2236" s="42"/>
    </row>
    <row r="2237">
      <c r="A2237" s="42"/>
      <c r="B2237" s="42"/>
      <c r="C2237" s="42"/>
      <c r="D2237" s="42"/>
      <c r="E2237" s="42"/>
      <c r="F2237" s="42"/>
      <c r="G2237" s="42"/>
      <c r="H2237" s="42"/>
      <c r="I2237" s="43"/>
      <c r="J2237" s="42"/>
      <c r="K2237" s="42"/>
      <c r="L2237" s="42"/>
      <c r="M2237" s="42"/>
      <c r="N2237" s="42"/>
      <c r="O2237" s="42"/>
      <c r="P2237" s="42"/>
      <c r="Q2237" s="42"/>
      <c r="R2237" s="42"/>
      <c r="S2237" s="42"/>
      <c r="T2237" s="42"/>
      <c r="U2237" s="42"/>
      <c r="V2237" s="42"/>
      <c r="W2237" s="42"/>
      <c r="X2237" s="42"/>
      <c r="Y2237" s="42"/>
      <c r="Z2237" s="42"/>
    </row>
    <row r="2238">
      <c r="A2238" s="42"/>
      <c r="B2238" s="42"/>
      <c r="C2238" s="42"/>
      <c r="D2238" s="42"/>
      <c r="E2238" s="42"/>
      <c r="F2238" s="42"/>
      <c r="G2238" s="42"/>
      <c r="H2238" s="42"/>
      <c r="I2238" s="43"/>
      <c r="J2238" s="42"/>
      <c r="K2238" s="42"/>
      <c r="L2238" s="42"/>
      <c r="M2238" s="42"/>
      <c r="N2238" s="42"/>
      <c r="O2238" s="42"/>
      <c r="P2238" s="42"/>
      <c r="Q2238" s="42"/>
      <c r="R2238" s="42"/>
      <c r="S2238" s="42"/>
      <c r="T2238" s="42"/>
      <c r="U2238" s="42"/>
      <c r="V2238" s="42"/>
      <c r="W2238" s="42"/>
      <c r="X2238" s="42"/>
      <c r="Y2238" s="42"/>
      <c r="Z2238" s="42"/>
    </row>
    <row r="2239">
      <c r="A2239" s="42"/>
      <c r="B2239" s="42"/>
      <c r="C2239" s="42"/>
      <c r="D2239" s="42"/>
      <c r="E2239" s="42"/>
      <c r="F2239" s="42"/>
      <c r="G2239" s="42"/>
      <c r="H2239" s="42"/>
      <c r="I2239" s="43"/>
      <c r="J2239" s="42"/>
      <c r="K2239" s="42"/>
      <c r="L2239" s="42"/>
      <c r="M2239" s="42"/>
      <c r="N2239" s="42"/>
      <c r="O2239" s="42"/>
      <c r="P2239" s="42"/>
      <c r="Q2239" s="42"/>
      <c r="R2239" s="42"/>
      <c r="S2239" s="42"/>
      <c r="T2239" s="42"/>
      <c r="U2239" s="42"/>
      <c r="V2239" s="42"/>
      <c r="W2239" s="42"/>
      <c r="X2239" s="42"/>
      <c r="Y2239" s="42"/>
      <c r="Z2239" s="42"/>
    </row>
    <row r="2240">
      <c r="A2240" s="42"/>
      <c r="B2240" s="42"/>
      <c r="C2240" s="42"/>
      <c r="D2240" s="42"/>
      <c r="E2240" s="42"/>
      <c r="F2240" s="42"/>
      <c r="G2240" s="42"/>
      <c r="H2240" s="42"/>
      <c r="I2240" s="43"/>
      <c r="J2240" s="42"/>
      <c r="K2240" s="42"/>
      <c r="L2240" s="42"/>
      <c r="M2240" s="42"/>
      <c r="N2240" s="42"/>
      <c r="O2240" s="42"/>
      <c r="P2240" s="42"/>
      <c r="Q2240" s="42"/>
      <c r="R2240" s="42"/>
      <c r="S2240" s="42"/>
      <c r="T2240" s="42"/>
      <c r="U2240" s="42"/>
      <c r="V2240" s="42"/>
      <c r="W2240" s="42"/>
      <c r="X2240" s="42"/>
      <c r="Y2240" s="42"/>
      <c r="Z2240" s="42"/>
    </row>
    <row r="2241">
      <c r="A2241" s="42"/>
      <c r="B2241" s="42"/>
      <c r="C2241" s="42"/>
      <c r="D2241" s="42"/>
      <c r="E2241" s="42"/>
      <c r="F2241" s="42"/>
      <c r="G2241" s="42"/>
      <c r="H2241" s="42"/>
      <c r="I2241" s="43"/>
      <c r="J2241" s="42"/>
      <c r="K2241" s="42"/>
      <c r="L2241" s="42"/>
      <c r="M2241" s="42"/>
      <c r="N2241" s="42"/>
      <c r="O2241" s="42"/>
      <c r="P2241" s="42"/>
      <c r="Q2241" s="42"/>
      <c r="R2241" s="42"/>
      <c r="S2241" s="42"/>
      <c r="T2241" s="42"/>
      <c r="U2241" s="42"/>
      <c r="V2241" s="42"/>
      <c r="W2241" s="42"/>
      <c r="X2241" s="42"/>
      <c r="Y2241" s="42"/>
      <c r="Z2241" s="42"/>
    </row>
    <row r="2242">
      <c r="A2242" s="42"/>
      <c r="B2242" s="42"/>
      <c r="C2242" s="42"/>
      <c r="D2242" s="42"/>
      <c r="E2242" s="42"/>
      <c r="F2242" s="42"/>
      <c r="G2242" s="42"/>
      <c r="H2242" s="42"/>
      <c r="I2242" s="43"/>
      <c r="J2242" s="42"/>
      <c r="K2242" s="42"/>
      <c r="L2242" s="42"/>
      <c r="M2242" s="42"/>
      <c r="N2242" s="42"/>
      <c r="O2242" s="42"/>
      <c r="P2242" s="42"/>
      <c r="Q2242" s="42"/>
      <c r="R2242" s="42"/>
      <c r="S2242" s="42"/>
      <c r="T2242" s="42"/>
      <c r="U2242" s="42"/>
      <c r="V2242" s="42"/>
      <c r="W2242" s="42"/>
      <c r="X2242" s="42"/>
      <c r="Y2242" s="42"/>
      <c r="Z2242" s="42"/>
    </row>
    <row r="2243">
      <c r="A2243" s="42"/>
      <c r="B2243" s="42"/>
      <c r="C2243" s="42"/>
      <c r="D2243" s="42"/>
      <c r="E2243" s="42"/>
      <c r="F2243" s="42"/>
      <c r="G2243" s="42"/>
      <c r="H2243" s="42"/>
      <c r="I2243" s="43"/>
      <c r="J2243" s="42"/>
      <c r="K2243" s="42"/>
      <c r="L2243" s="42"/>
      <c r="M2243" s="42"/>
      <c r="N2243" s="42"/>
      <c r="O2243" s="42"/>
      <c r="P2243" s="42"/>
      <c r="Q2243" s="42"/>
      <c r="R2243" s="42"/>
      <c r="S2243" s="42"/>
      <c r="T2243" s="42"/>
      <c r="U2243" s="42"/>
      <c r="V2243" s="42"/>
      <c r="W2243" s="42"/>
      <c r="X2243" s="42"/>
      <c r="Y2243" s="42"/>
      <c r="Z2243" s="42"/>
    </row>
    <row r="2244">
      <c r="A2244" s="42"/>
      <c r="B2244" s="42"/>
      <c r="C2244" s="42"/>
      <c r="D2244" s="42"/>
      <c r="E2244" s="42"/>
      <c r="F2244" s="42"/>
      <c r="G2244" s="42"/>
      <c r="H2244" s="42"/>
      <c r="I2244" s="43"/>
      <c r="J2244" s="42"/>
      <c r="K2244" s="42"/>
      <c r="L2244" s="42"/>
      <c r="M2244" s="42"/>
      <c r="N2244" s="42"/>
      <c r="O2244" s="42"/>
      <c r="P2244" s="42"/>
      <c r="Q2244" s="42"/>
      <c r="R2244" s="42"/>
      <c r="S2244" s="42"/>
      <c r="T2244" s="42"/>
      <c r="U2244" s="42"/>
      <c r="V2244" s="42"/>
      <c r="W2244" s="42"/>
      <c r="X2244" s="42"/>
      <c r="Y2244" s="42"/>
      <c r="Z2244" s="42"/>
    </row>
    <row r="2245">
      <c r="A2245" s="42"/>
      <c r="B2245" s="42"/>
      <c r="C2245" s="42"/>
      <c r="D2245" s="42"/>
      <c r="E2245" s="42"/>
      <c r="F2245" s="42"/>
      <c r="G2245" s="42"/>
      <c r="H2245" s="42"/>
      <c r="I2245" s="43"/>
      <c r="J2245" s="42"/>
      <c r="K2245" s="42"/>
      <c r="L2245" s="42"/>
      <c r="M2245" s="42"/>
      <c r="N2245" s="42"/>
      <c r="O2245" s="42"/>
      <c r="P2245" s="42"/>
      <c r="Q2245" s="42"/>
      <c r="R2245" s="42"/>
      <c r="S2245" s="42"/>
      <c r="T2245" s="42"/>
      <c r="U2245" s="42"/>
      <c r="V2245" s="42"/>
      <c r="W2245" s="42"/>
      <c r="X2245" s="42"/>
      <c r="Y2245" s="42"/>
      <c r="Z2245" s="42"/>
    </row>
    <row r="2246">
      <c r="A2246" s="42"/>
      <c r="B2246" s="42"/>
      <c r="C2246" s="42"/>
      <c r="D2246" s="42"/>
      <c r="E2246" s="42"/>
      <c r="F2246" s="42"/>
      <c r="G2246" s="42"/>
      <c r="H2246" s="42"/>
      <c r="I2246" s="43"/>
      <c r="J2246" s="42"/>
      <c r="K2246" s="42"/>
      <c r="L2246" s="42"/>
      <c r="M2246" s="42"/>
      <c r="N2246" s="42"/>
      <c r="O2246" s="42"/>
      <c r="P2246" s="42"/>
      <c r="Q2246" s="42"/>
      <c r="R2246" s="42"/>
      <c r="S2246" s="42"/>
      <c r="T2246" s="42"/>
      <c r="U2246" s="42"/>
      <c r="V2246" s="42"/>
      <c r="W2246" s="42"/>
      <c r="X2246" s="42"/>
      <c r="Y2246" s="42"/>
      <c r="Z2246" s="42"/>
    </row>
    <row r="2247">
      <c r="A2247" s="42"/>
      <c r="B2247" s="42"/>
      <c r="C2247" s="42"/>
      <c r="D2247" s="42"/>
      <c r="E2247" s="42"/>
      <c r="F2247" s="42"/>
      <c r="G2247" s="42"/>
      <c r="H2247" s="42"/>
      <c r="I2247" s="43"/>
      <c r="J2247" s="42"/>
      <c r="K2247" s="42"/>
      <c r="L2247" s="42"/>
      <c r="M2247" s="42"/>
      <c r="N2247" s="42"/>
      <c r="O2247" s="42"/>
      <c r="P2247" s="42"/>
      <c r="Q2247" s="42"/>
      <c r="R2247" s="42"/>
      <c r="S2247" s="42"/>
      <c r="T2247" s="42"/>
      <c r="U2247" s="42"/>
      <c r="V2247" s="42"/>
      <c r="W2247" s="42"/>
      <c r="X2247" s="42"/>
      <c r="Y2247" s="42"/>
      <c r="Z2247" s="42"/>
    </row>
    <row r="2248">
      <c r="A2248" s="42"/>
      <c r="B2248" s="42"/>
      <c r="C2248" s="42"/>
      <c r="D2248" s="42"/>
      <c r="E2248" s="42"/>
      <c r="F2248" s="42"/>
      <c r="G2248" s="42"/>
      <c r="H2248" s="42"/>
      <c r="I2248" s="43"/>
      <c r="J2248" s="42"/>
      <c r="K2248" s="42"/>
      <c r="L2248" s="42"/>
      <c r="M2248" s="42"/>
      <c r="N2248" s="42"/>
      <c r="O2248" s="42"/>
      <c r="P2248" s="42"/>
      <c r="Q2248" s="42"/>
      <c r="R2248" s="42"/>
      <c r="S2248" s="42"/>
      <c r="T2248" s="42"/>
      <c r="U2248" s="42"/>
      <c r="V2248" s="42"/>
      <c r="W2248" s="42"/>
      <c r="X2248" s="42"/>
      <c r="Y2248" s="42"/>
      <c r="Z2248" s="42"/>
    </row>
    <row r="2249">
      <c r="A2249" s="42"/>
      <c r="B2249" s="42"/>
      <c r="C2249" s="42"/>
      <c r="D2249" s="42"/>
      <c r="E2249" s="42"/>
      <c r="F2249" s="42"/>
      <c r="G2249" s="42"/>
      <c r="H2249" s="42"/>
      <c r="I2249" s="43"/>
      <c r="J2249" s="42"/>
      <c r="K2249" s="42"/>
      <c r="L2249" s="42"/>
      <c r="M2249" s="42"/>
      <c r="N2249" s="42"/>
      <c r="O2249" s="42"/>
      <c r="P2249" s="42"/>
      <c r="Q2249" s="42"/>
      <c r="R2249" s="42"/>
      <c r="S2249" s="42"/>
      <c r="T2249" s="42"/>
      <c r="U2249" s="42"/>
      <c r="V2249" s="42"/>
      <c r="W2249" s="42"/>
      <c r="X2249" s="42"/>
      <c r="Y2249" s="42"/>
      <c r="Z2249" s="42"/>
    </row>
    <row r="2250">
      <c r="A2250" s="42"/>
      <c r="B2250" s="42"/>
      <c r="C2250" s="42"/>
      <c r="D2250" s="42"/>
      <c r="E2250" s="42"/>
      <c r="F2250" s="42"/>
      <c r="G2250" s="42"/>
      <c r="H2250" s="42"/>
      <c r="I2250" s="43"/>
      <c r="J2250" s="42"/>
      <c r="K2250" s="42"/>
      <c r="L2250" s="42"/>
      <c r="M2250" s="42"/>
      <c r="N2250" s="42"/>
      <c r="O2250" s="42"/>
      <c r="P2250" s="42"/>
      <c r="Q2250" s="42"/>
      <c r="R2250" s="42"/>
      <c r="S2250" s="42"/>
      <c r="T2250" s="42"/>
      <c r="U2250" s="42"/>
      <c r="V2250" s="42"/>
      <c r="W2250" s="42"/>
      <c r="X2250" s="42"/>
      <c r="Y2250" s="42"/>
      <c r="Z2250" s="42"/>
    </row>
    <row r="2251">
      <c r="A2251" s="42"/>
      <c r="B2251" s="42"/>
      <c r="C2251" s="42"/>
      <c r="D2251" s="42"/>
      <c r="E2251" s="42"/>
      <c r="F2251" s="42"/>
      <c r="G2251" s="42"/>
      <c r="H2251" s="42"/>
      <c r="I2251" s="43"/>
      <c r="J2251" s="42"/>
      <c r="K2251" s="42"/>
      <c r="L2251" s="42"/>
      <c r="M2251" s="42"/>
      <c r="N2251" s="42"/>
      <c r="O2251" s="42"/>
      <c r="P2251" s="42"/>
      <c r="Q2251" s="42"/>
      <c r="R2251" s="42"/>
      <c r="S2251" s="42"/>
      <c r="T2251" s="42"/>
      <c r="U2251" s="42"/>
      <c r="V2251" s="42"/>
      <c r="W2251" s="42"/>
      <c r="X2251" s="42"/>
      <c r="Y2251" s="42"/>
      <c r="Z2251" s="42"/>
    </row>
    <row r="2252">
      <c r="A2252" s="42"/>
      <c r="B2252" s="42"/>
      <c r="C2252" s="42"/>
      <c r="D2252" s="42"/>
      <c r="E2252" s="42"/>
      <c r="F2252" s="42"/>
      <c r="G2252" s="42"/>
      <c r="H2252" s="42"/>
      <c r="I2252" s="43"/>
      <c r="J2252" s="42"/>
      <c r="K2252" s="42"/>
      <c r="L2252" s="42"/>
      <c r="M2252" s="42"/>
      <c r="N2252" s="42"/>
      <c r="O2252" s="42"/>
      <c r="P2252" s="42"/>
      <c r="Q2252" s="42"/>
      <c r="R2252" s="42"/>
      <c r="S2252" s="42"/>
      <c r="T2252" s="42"/>
      <c r="U2252" s="42"/>
      <c r="V2252" s="42"/>
      <c r="W2252" s="42"/>
      <c r="X2252" s="42"/>
      <c r="Y2252" s="42"/>
      <c r="Z2252" s="42"/>
    </row>
    <row r="2253">
      <c r="A2253" s="42"/>
      <c r="B2253" s="42"/>
      <c r="C2253" s="42"/>
      <c r="D2253" s="42"/>
      <c r="E2253" s="42"/>
      <c r="F2253" s="42"/>
      <c r="G2253" s="42"/>
      <c r="H2253" s="42"/>
      <c r="I2253" s="43"/>
      <c r="J2253" s="42"/>
      <c r="K2253" s="42"/>
      <c r="L2253" s="42"/>
      <c r="M2253" s="42"/>
      <c r="N2253" s="42"/>
      <c r="O2253" s="42"/>
      <c r="P2253" s="42"/>
      <c r="Q2253" s="42"/>
      <c r="R2253" s="42"/>
      <c r="S2253" s="42"/>
      <c r="T2253" s="42"/>
      <c r="U2253" s="42"/>
      <c r="V2253" s="42"/>
      <c r="W2253" s="42"/>
      <c r="X2253" s="42"/>
      <c r="Y2253" s="42"/>
      <c r="Z2253" s="42"/>
    </row>
    <row r="2254">
      <c r="A2254" s="42"/>
      <c r="B2254" s="42"/>
      <c r="C2254" s="42"/>
      <c r="D2254" s="42"/>
      <c r="E2254" s="42"/>
      <c r="F2254" s="42"/>
      <c r="G2254" s="42"/>
      <c r="H2254" s="42"/>
      <c r="I2254" s="43"/>
      <c r="J2254" s="42"/>
      <c r="K2254" s="42"/>
      <c r="L2254" s="42"/>
      <c r="M2254" s="42"/>
      <c r="N2254" s="42"/>
      <c r="O2254" s="42"/>
      <c r="P2254" s="42"/>
      <c r="Q2254" s="42"/>
      <c r="R2254" s="42"/>
      <c r="S2254" s="42"/>
      <c r="T2254" s="42"/>
      <c r="U2254" s="42"/>
      <c r="V2254" s="42"/>
      <c r="W2254" s="42"/>
      <c r="X2254" s="42"/>
      <c r="Y2254" s="42"/>
      <c r="Z2254" s="42"/>
    </row>
    <row r="2255">
      <c r="A2255" s="42"/>
      <c r="B2255" s="42"/>
      <c r="C2255" s="42"/>
      <c r="D2255" s="42"/>
      <c r="E2255" s="42"/>
      <c r="F2255" s="42"/>
      <c r="G2255" s="42"/>
      <c r="H2255" s="42"/>
      <c r="I2255" s="43"/>
      <c r="J2255" s="42"/>
      <c r="K2255" s="42"/>
      <c r="L2255" s="42"/>
      <c r="M2255" s="42"/>
      <c r="N2255" s="42"/>
      <c r="O2255" s="42"/>
      <c r="P2255" s="42"/>
      <c r="Q2255" s="42"/>
      <c r="R2255" s="42"/>
      <c r="S2255" s="42"/>
      <c r="T2255" s="42"/>
      <c r="U2255" s="42"/>
      <c r="V2255" s="42"/>
      <c r="W2255" s="42"/>
      <c r="X2255" s="42"/>
      <c r="Y2255" s="42"/>
      <c r="Z2255" s="42"/>
    </row>
    <row r="2256">
      <c r="A2256" s="42"/>
      <c r="B2256" s="42"/>
      <c r="C2256" s="42"/>
      <c r="D2256" s="42"/>
      <c r="E2256" s="42"/>
      <c r="F2256" s="42"/>
      <c r="G2256" s="42"/>
      <c r="H2256" s="42"/>
      <c r="I2256" s="43"/>
      <c r="J2256" s="42"/>
      <c r="K2256" s="42"/>
      <c r="L2256" s="42"/>
      <c r="M2256" s="42"/>
      <c r="N2256" s="42"/>
      <c r="O2256" s="42"/>
      <c r="P2256" s="42"/>
      <c r="Q2256" s="42"/>
      <c r="R2256" s="42"/>
      <c r="S2256" s="42"/>
      <c r="T2256" s="42"/>
      <c r="U2256" s="42"/>
      <c r="V2256" s="42"/>
      <c r="W2256" s="42"/>
      <c r="X2256" s="42"/>
      <c r="Y2256" s="42"/>
      <c r="Z2256" s="42"/>
    </row>
    <row r="2257">
      <c r="A2257" s="42"/>
      <c r="B2257" s="42"/>
      <c r="C2257" s="42"/>
      <c r="D2257" s="42"/>
      <c r="E2257" s="42"/>
      <c r="F2257" s="42"/>
      <c r="G2257" s="42"/>
      <c r="H2257" s="42"/>
      <c r="I2257" s="43"/>
      <c r="J2257" s="42"/>
      <c r="K2257" s="42"/>
      <c r="L2257" s="42"/>
      <c r="M2257" s="42"/>
      <c r="N2257" s="42"/>
      <c r="O2257" s="42"/>
      <c r="P2257" s="42"/>
      <c r="Q2257" s="42"/>
      <c r="R2257" s="42"/>
      <c r="S2257" s="42"/>
      <c r="T2257" s="42"/>
      <c r="U2257" s="42"/>
      <c r="V2257" s="42"/>
      <c r="W2257" s="42"/>
      <c r="X2257" s="42"/>
      <c r="Y2257" s="42"/>
      <c r="Z2257" s="42"/>
    </row>
    <row r="2258">
      <c r="A2258" s="42"/>
      <c r="B2258" s="42"/>
      <c r="C2258" s="42"/>
      <c r="D2258" s="42"/>
      <c r="E2258" s="42"/>
      <c r="F2258" s="42"/>
      <c r="G2258" s="42"/>
      <c r="H2258" s="42"/>
      <c r="I2258" s="43"/>
      <c r="J2258" s="42"/>
      <c r="K2258" s="42"/>
      <c r="L2258" s="42"/>
      <c r="M2258" s="42"/>
      <c r="N2258" s="42"/>
      <c r="O2258" s="42"/>
      <c r="P2258" s="42"/>
      <c r="Q2258" s="42"/>
      <c r="R2258" s="42"/>
      <c r="S2258" s="42"/>
      <c r="T2258" s="42"/>
      <c r="U2258" s="42"/>
      <c r="V2258" s="42"/>
      <c r="W2258" s="42"/>
      <c r="X2258" s="42"/>
      <c r="Y2258" s="42"/>
      <c r="Z2258" s="42"/>
    </row>
    <row r="2259">
      <c r="A2259" s="42"/>
      <c r="B2259" s="42"/>
      <c r="C2259" s="42"/>
      <c r="D2259" s="42"/>
      <c r="E2259" s="42"/>
      <c r="F2259" s="42"/>
      <c r="G2259" s="42"/>
      <c r="H2259" s="42"/>
      <c r="I2259" s="43"/>
      <c r="J2259" s="42"/>
      <c r="K2259" s="42"/>
      <c r="L2259" s="42"/>
      <c r="M2259" s="42"/>
      <c r="N2259" s="42"/>
      <c r="O2259" s="42"/>
      <c r="P2259" s="42"/>
      <c r="Q2259" s="42"/>
      <c r="R2259" s="42"/>
      <c r="S2259" s="42"/>
      <c r="T2259" s="42"/>
      <c r="U2259" s="42"/>
      <c r="V2259" s="42"/>
      <c r="W2259" s="42"/>
      <c r="X2259" s="42"/>
      <c r="Y2259" s="42"/>
      <c r="Z2259" s="42"/>
    </row>
    <row r="2260">
      <c r="A2260" s="42"/>
      <c r="B2260" s="42"/>
      <c r="C2260" s="42"/>
      <c r="D2260" s="42"/>
      <c r="E2260" s="42"/>
      <c r="F2260" s="42"/>
      <c r="G2260" s="42"/>
      <c r="H2260" s="42"/>
      <c r="I2260" s="43"/>
      <c r="J2260" s="42"/>
      <c r="K2260" s="42"/>
      <c r="L2260" s="42"/>
      <c r="M2260" s="42"/>
      <c r="N2260" s="42"/>
      <c r="O2260" s="42"/>
      <c r="P2260" s="42"/>
      <c r="Q2260" s="42"/>
      <c r="R2260" s="42"/>
      <c r="S2260" s="42"/>
      <c r="T2260" s="42"/>
      <c r="U2260" s="42"/>
      <c r="V2260" s="42"/>
      <c r="W2260" s="42"/>
      <c r="X2260" s="42"/>
      <c r="Y2260" s="42"/>
      <c r="Z2260" s="42"/>
    </row>
    <row r="2261">
      <c r="A2261" s="42"/>
      <c r="B2261" s="42"/>
      <c r="C2261" s="42"/>
      <c r="D2261" s="42"/>
      <c r="E2261" s="42"/>
      <c r="F2261" s="42"/>
      <c r="G2261" s="42"/>
      <c r="H2261" s="42"/>
      <c r="I2261" s="43"/>
      <c r="J2261" s="42"/>
      <c r="K2261" s="42"/>
      <c r="L2261" s="42"/>
      <c r="M2261" s="42"/>
      <c r="N2261" s="42"/>
      <c r="O2261" s="42"/>
      <c r="P2261" s="42"/>
      <c r="Q2261" s="42"/>
      <c r="R2261" s="42"/>
      <c r="S2261" s="42"/>
      <c r="T2261" s="42"/>
      <c r="U2261" s="42"/>
      <c r="V2261" s="42"/>
      <c r="W2261" s="42"/>
      <c r="X2261" s="42"/>
      <c r="Y2261" s="42"/>
      <c r="Z2261" s="42"/>
    </row>
    <row r="2262">
      <c r="A2262" s="42"/>
      <c r="B2262" s="42"/>
      <c r="C2262" s="42"/>
      <c r="D2262" s="42"/>
      <c r="E2262" s="42"/>
      <c r="F2262" s="42"/>
      <c r="G2262" s="42"/>
      <c r="H2262" s="42"/>
      <c r="I2262" s="43"/>
      <c r="J2262" s="42"/>
      <c r="K2262" s="42"/>
      <c r="L2262" s="42"/>
      <c r="M2262" s="42"/>
      <c r="N2262" s="42"/>
      <c r="O2262" s="42"/>
      <c r="P2262" s="42"/>
      <c r="Q2262" s="42"/>
      <c r="R2262" s="42"/>
      <c r="S2262" s="42"/>
      <c r="T2262" s="42"/>
      <c r="U2262" s="42"/>
      <c r="V2262" s="42"/>
      <c r="W2262" s="42"/>
      <c r="X2262" s="42"/>
      <c r="Y2262" s="42"/>
      <c r="Z2262" s="42"/>
    </row>
    <row r="2263">
      <c r="A2263" s="42"/>
      <c r="B2263" s="42"/>
      <c r="C2263" s="42"/>
      <c r="D2263" s="42"/>
      <c r="E2263" s="42"/>
      <c r="F2263" s="42"/>
      <c r="G2263" s="42"/>
      <c r="H2263" s="42"/>
      <c r="I2263" s="43"/>
      <c r="J2263" s="42"/>
      <c r="K2263" s="42"/>
      <c r="L2263" s="42"/>
      <c r="M2263" s="42"/>
      <c r="N2263" s="42"/>
      <c r="O2263" s="42"/>
      <c r="P2263" s="42"/>
      <c r="Q2263" s="42"/>
      <c r="R2263" s="42"/>
      <c r="S2263" s="42"/>
      <c r="T2263" s="42"/>
      <c r="U2263" s="42"/>
      <c r="V2263" s="42"/>
      <c r="W2263" s="42"/>
      <c r="X2263" s="42"/>
      <c r="Y2263" s="42"/>
      <c r="Z2263" s="42"/>
    </row>
    <row r="2264">
      <c r="A2264" s="42"/>
      <c r="B2264" s="42"/>
      <c r="C2264" s="42"/>
      <c r="D2264" s="42"/>
      <c r="E2264" s="42"/>
      <c r="F2264" s="42"/>
      <c r="G2264" s="42"/>
      <c r="H2264" s="42"/>
      <c r="I2264" s="43"/>
      <c r="J2264" s="42"/>
      <c r="K2264" s="42"/>
      <c r="L2264" s="42"/>
      <c r="M2264" s="42"/>
      <c r="N2264" s="42"/>
      <c r="O2264" s="42"/>
      <c r="P2264" s="42"/>
      <c r="Q2264" s="42"/>
      <c r="R2264" s="42"/>
      <c r="S2264" s="42"/>
      <c r="T2264" s="42"/>
      <c r="U2264" s="42"/>
      <c r="V2264" s="42"/>
      <c r="W2264" s="42"/>
      <c r="X2264" s="42"/>
      <c r="Y2264" s="42"/>
      <c r="Z2264" s="42"/>
    </row>
    <row r="2265">
      <c r="A2265" s="42"/>
      <c r="B2265" s="42"/>
      <c r="C2265" s="42"/>
      <c r="D2265" s="42"/>
      <c r="E2265" s="42"/>
      <c r="F2265" s="42"/>
      <c r="G2265" s="42"/>
      <c r="H2265" s="42"/>
      <c r="I2265" s="43"/>
      <c r="J2265" s="42"/>
      <c r="K2265" s="42"/>
      <c r="L2265" s="42"/>
      <c r="M2265" s="42"/>
      <c r="N2265" s="42"/>
      <c r="O2265" s="42"/>
      <c r="P2265" s="42"/>
      <c r="Q2265" s="42"/>
      <c r="R2265" s="42"/>
      <c r="S2265" s="42"/>
      <c r="T2265" s="42"/>
      <c r="U2265" s="42"/>
      <c r="V2265" s="42"/>
      <c r="W2265" s="42"/>
      <c r="X2265" s="42"/>
      <c r="Y2265" s="42"/>
      <c r="Z2265" s="42"/>
    </row>
    <row r="2266">
      <c r="A2266" s="42"/>
      <c r="B2266" s="42"/>
      <c r="C2266" s="42"/>
      <c r="D2266" s="42"/>
      <c r="E2266" s="42"/>
      <c r="F2266" s="42"/>
      <c r="G2266" s="42"/>
      <c r="H2266" s="42"/>
      <c r="I2266" s="43"/>
      <c r="J2266" s="42"/>
      <c r="K2266" s="42"/>
      <c r="L2266" s="42"/>
      <c r="M2266" s="42"/>
      <c r="N2266" s="42"/>
      <c r="O2266" s="42"/>
      <c r="P2266" s="42"/>
      <c r="Q2266" s="42"/>
      <c r="R2266" s="42"/>
      <c r="S2266" s="42"/>
      <c r="T2266" s="42"/>
      <c r="U2266" s="42"/>
      <c r="V2266" s="42"/>
      <c r="W2266" s="42"/>
      <c r="X2266" s="42"/>
      <c r="Y2266" s="42"/>
      <c r="Z2266" s="42"/>
    </row>
    <row r="2267">
      <c r="A2267" s="42"/>
      <c r="B2267" s="42"/>
      <c r="C2267" s="42"/>
      <c r="D2267" s="42"/>
      <c r="E2267" s="42"/>
      <c r="F2267" s="42"/>
      <c r="G2267" s="42"/>
      <c r="H2267" s="42"/>
      <c r="I2267" s="43"/>
      <c r="J2267" s="42"/>
      <c r="K2267" s="42"/>
      <c r="L2267" s="42"/>
      <c r="M2267" s="42"/>
      <c r="N2267" s="42"/>
      <c r="O2267" s="42"/>
      <c r="P2267" s="42"/>
      <c r="Q2267" s="42"/>
      <c r="R2267" s="42"/>
      <c r="S2267" s="42"/>
      <c r="T2267" s="42"/>
      <c r="U2267" s="42"/>
      <c r="V2267" s="42"/>
      <c r="W2267" s="42"/>
      <c r="X2267" s="42"/>
      <c r="Y2267" s="42"/>
      <c r="Z2267" s="42"/>
    </row>
    <row r="2268">
      <c r="A2268" s="42"/>
      <c r="B2268" s="42"/>
      <c r="C2268" s="42"/>
      <c r="D2268" s="42"/>
      <c r="E2268" s="42"/>
      <c r="F2268" s="42"/>
      <c r="G2268" s="42"/>
      <c r="H2268" s="42"/>
      <c r="I2268" s="43"/>
      <c r="J2268" s="42"/>
      <c r="K2268" s="42"/>
      <c r="L2268" s="42"/>
      <c r="M2268" s="42"/>
      <c r="N2268" s="42"/>
      <c r="O2268" s="42"/>
      <c r="P2268" s="42"/>
      <c r="Q2268" s="42"/>
      <c r="R2268" s="42"/>
      <c r="S2268" s="42"/>
      <c r="T2268" s="42"/>
      <c r="U2268" s="42"/>
      <c r="V2268" s="42"/>
      <c r="W2268" s="42"/>
      <c r="X2268" s="42"/>
      <c r="Y2268" s="42"/>
      <c r="Z2268" s="42"/>
    </row>
    <row r="2269">
      <c r="A2269" s="42"/>
      <c r="B2269" s="42"/>
      <c r="C2269" s="42"/>
      <c r="D2269" s="42"/>
      <c r="E2269" s="42"/>
      <c r="F2269" s="42"/>
      <c r="G2269" s="42"/>
      <c r="H2269" s="42"/>
      <c r="I2269" s="43"/>
      <c r="J2269" s="42"/>
      <c r="K2269" s="42"/>
      <c r="L2269" s="42"/>
      <c r="M2269" s="42"/>
      <c r="N2269" s="42"/>
      <c r="O2269" s="42"/>
      <c r="P2269" s="42"/>
      <c r="Q2269" s="42"/>
      <c r="R2269" s="42"/>
      <c r="S2269" s="42"/>
      <c r="T2269" s="42"/>
      <c r="U2269" s="42"/>
      <c r="V2269" s="42"/>
      <c r="W2269" s="42"/>
      <c r="X2269" s="42"/>
      <c r="Y2269" s="42"/>
      <c r="Z2269" s="42"/>
    </row>
    <row r="2270">
      <c r="A2270" s="42"/>
      <c r="B2270" s="42"/>
      <c r="C2270" s="42"/>
      <c r="D2270" s="42"/>
      <c r="E2270" s="42"/>
      <c r="F2270" s="42"/>
      <c r="G2270" s="42"/>
      <c r="H2270" s="42"/>
      <c r="I2270" s="43"/>
      <c r="J2270" s="42"/>
      <c r="K2270" s="42"/>
      <c r="L2270" s="42"/>
      <c r="M2270" s="42"/>
      <c r="N2270" s="42"/>
      <c r="O2270" s="42"/>
      <c r="P2270" s="42"/>
      <c r="Q2270" s="42"/>
      <c r="R2270" s="42"/>
      <c r="S2270" s="42"/>
      <c r="T2270" s="42"/>
      <c r="U2270" s="42"/>
      <c r="V2270" s="42"/>
      <c r="W2270" s="42"/>
      <c r="X2270" s="42"/>
      <c r="Y2270" s="42"/>
      <c r="Z2270" s="42"/>
    </row>
    <row r="2271">
      <c r="A2271" s="42"/>
      <c r="B2271" s="42"/>
      <c r="C2271" s="42"/>
      <c r="D2271" s="42"/>
      <c r="E2271" s="42"/>
      <c r="F2271" s="42"/>
      <c r="G2271" s="42"/>
      <c r="H2271" s="42"/>
      <c r="I2271" s="43"/>
      <c r="J2271" s="42"/>
      <c r="K2271" s="42"/>
      <c r="L2271" s="42"/>
      <c r="M2271" s="42"/>
      <c r="N2271" s="42"/>
      <c r="O2271" s="42"/>
      <c r="P2271" s="42"/>
      <c r="Q2271" s="42"/>
      <c r="R2271" s="42"/>
      <c r="S2271" s="42"/>
      <c r="T2271" s="42"/>
      <c r="U2271" s="42"/>
      <c r="V2271" s="42"/>
      <c r="W2271" s="42"/>
      <c r="X2271" s="42"/>
      <c r="Y2271" s="42"/>
      <c r="Z2271" s="42"/>
    </row>
  </sheetData>
  <conditionalFormatting sqref="A10:Z2271">
    <cfRule type="expression" dxfId="3" priority="1">
      <formula>AND($B10="Event", ISODD(ROW()))</formula>
    </cfRule>
  </conditionalFormatting>
  <conditionalFormatting sqref="A10:Z2271">
    <cfRule type="expression" dxfId="4" priority="2">
      <formula>AND($B10="Event", ISEVEN(ROW()))</formula>
    </cfRule>
  </conditionalFormatting>
  <conditionalFormatting sqref="A10:Z2271">
    <cfRule type="expression" dxfId="5" priority="3">
      <formula>AND(REGEXMATCH($B10, "Mamodo"), ISODD(ROW()))</formula>
    </cfRule>
  </conditionalFormatting>
  <conditionalFormatting sqref="A10:Z2271">
    <cfRule type="expression" dxfId="6" priority="4">
      <formula>AND(REGEXMATCH($B10, "Mamodo"), ISEVEN(ROW()))</formula>
    </cfRule>
  </conditionalFormatting>
  <conditionalFormatting sqref="A10:Z2271">
    <cfRule type="expression" dxfId="7" priority="5">
      <formula>AND($B10="Partner", ISODD(ROW()))</formula>
    </cfRule>
  </conditionalFormatting>
  <conditionalFormatting sqref="A10:Z2271">
    <cfRule type="expression" dxfId="8" priority="6">
      <formula>AND($B10="Partner", ISEVEN(ROW()))</formula>
    </cfRule>
  </conditionalFormatting>
  <conditionalFormatting sqref="A10:Z2271">
    <cfRule type="expression" dxfId="9" priority="7">
      <formula>AND($B10="Spell", ISODD(ROW()))</formula>
    </cfRule>
  </conditionalFormatting>
  <conditionalFormatting sqref="A10:Z2271">
    <cfRule type="expression" dxfId="10" priority="8">
      <formula>AND($B10="Spell", ISEVEN(ROW()))</formula>
    </cfRule>
  </conditionalFormatting>
  <conditionalFormatting sqref="A10:Z2271">
    <cfRule type="expression" dxfId="11" priority="9">
      <formula>AND($B10="Majestic 12", ISODD(ROW()))</formula>
    </cfRule>
  </conditionalFormatting>
  <conditionalFormatting sqref="A10:Z2271">
    <cfRule type="expression" dxfId="12" priority="10">
      <formula>AND($B10="Majestic 12", ISEVEN(ROW()))</formula>
    </cfRule>
  </conditionalFormatting>
  <conditionalFormatting sqref="A10:Z2271">
    <cfRule type="expression" dxfId="5" priority="11">
      <formula>AND(REGEXMATCH($B10, "Kiremaro"), ISODD(ROW()))</formula>
    </cfRule>
  </conditionalFormatting>
  <conditionalFormatting sqref="A10:Z2271">
    <cfRule type="expression" dxfId="6" priority="12">
      <formula>AND(REGEXMATCH($B10, "Kiremaro"), ISEVEN(ROW()))</formula>
    </cfRule>
  </conditionalFormatting>
  <hyperlinks>
    <hyperlink r:id="rId1" ref="A11"/>
    <hyperlink r:id="rId2" ref="A12"/>
    <hyperlink r:id="rId3" ref="A13"/>
    <hyperlink r:id="rId4" ref="A14"/>
    <hyperlink r:id="rId5" ref="A15"/>
    <hyperlink r:id="rId6" ref="A16"/>
    <hyperlink r:id="rId7" ref="A17"/>
    <hyperlink r:id="rId8" ref="A18"/>
    <hyperlink r:id="rId9" ref="A19"/>
    <hyperlink r:id="rId10" ref="A20"/>
    <hyperlink r:id="rId11" ref="A21"/>
    <hyperlink r:id="rId12" ref="A22"/>
    <hyperlink r:id="rId13" ref="A23"/>
    <hyperlink r:id="rId14" ref="A24"/>
    <hyperlink r:id="rId15" ref="A25"/>
    <hyperlink r:id="rId16" ref="A26"/>
    <hyperlink r:id="rId17" ref="A27"/>
    <hyperlink r:id="rId18" ref="A28"/>
    <hyperlink r:id="rId19" ref="A29"/>
    <hyperlink r:id="rId20" ref="A30"/>
    <hyperlink r:id="rId21" ref="A31"/>
    <hyperlink r:id="rId22" ref="A32"/>
    <hyperlink r:id="rId23" ref="A33"/>
    <hyperlink r:id="rId24" ref="A34"/>
    <hyperlink r:id="rId25" ref="A35"/>
    <hyperlink r:id="rId26" ref="A36"/>
    <hyperlink r:id="rId27" ref="A37"/>
    <hyperlink r:id="rId28" ref="A38"/>
    <hyperlink r:id="rId29" ref="A39"/>
    <hyperlink r:id="rId30" ref="A40"/>
    <hyperlink r:id="rId31" ref="A41"/>
    <hyperlink r:id="rId32" ref="A42"/>
    <hyperlink r:id="rId33" ref="A43"/>
    <hyperlink r:id="rId34" ref="A44"/>
    <hyperlink r:id="rId35" ref="A45"/>
    <hyperlink r:id="rId36" ref="A46"/>
    <hyperlink r:id="rId37" ref="A47"/>
    <hyperlink r:id="rId38" ref="A48"/>
    <hyperlink r:id="rId39" ref="A49"/>
    <hyperlink r:id="rId40" ref="A50"/>
    <hyperlink r:id="rId41" ref="A51"/>
    <hyperlink r:id="rId42" ref="A52"/>
    <hyperlink r:id="rId43" ref="A53"/>
    <hyperlink r:id="rId44" ref="A54"/>
    <hyperlink r:id="rId45" ref="A55"/>
    <hyperlink r:id="rId46" ref="A56"/>
    <hyperlink r:id="rId47" ref="A57"/>
    <hyperlink r:id="rId48" ref="A58"/>
    <hyperlink r:id="rId49" ref="A59"/>
    <hyperlink r:id="rId50" ref="A60"/>
    <hyperlink r:id="rId51" ref="A61"/>
    <hyperlink r:id="rId52" ref="A62"/>
    <hyperlink r:id="rId53" ref="A63"/>
    <hyperlink r:id="rId54" ref="A64"/>
    <hyperlink r:id="rId55" ref="A65"/>
    <hyperlink r:id="rId56" ref="A66"/>
    <hyperlink r:id="rId57" ref="A67"/>
    <hyperlink r:id="rId58" ref="A68"/>
    <hyperlink r:id="rId59" ref="A69"/>
    <hyperlink r:id="rId60" ref="A70"/>
    <hyperlink r:id="rId61" ref="A71"/>
    <hyperlink r:id="rId62" ref="A72"/>
    <hyperlink r:id="rId63" ref="A73"/>
    <hyperlink r:id="rId64" ref="A74"/>
    <hyperlink r:id="rId65" ref="A75"/>
    <hyperlink r:id="rId66" ref="A76"/>
    <hyperlink r:id="rId67" ref="A77"/>
    <hyperlink r:id="rId68" ref="A78"/>
    <hyperlink r:id="rId69" ref="A79"/>
    <hyperlink r:id="rId70" ref="A80"/>
    <hyperlink r:id="rId71" ref="A81"/>
    <hyperlink r:id="rId72" ref="A82"/>
    <hyperlink r:id="rId73" ref="A83"/>
    <hyperlink r:id="rId74" ref="A84"/>
    <hyperlink r:id="rId75" ref="A85"/>
    <hyperlink r:id="rId76" ref="A86"/>
    <hyperlink r:id="rId77" ref="A87"/>
    <hyperlink r:id="rId78" ref="A88"/>
    <hyperlink r:id="rId79" ref="A89"/>
    <hyperlink r:id="rId80" ref="A90"/>
    <hyperlink r:id="rId81" ref="A91"/>
    <hyperlink r:id="rId82" ref="A92"/>
    <hyperlink r:id="rId83" ref="A93"/>
    <hyperlink r:id="rId84" ref="A94"/>
    <hyperlink r:id="rId85" ref="A95"/>
    <hyperlink r:id="rId86" ref="A96"/>
    <hyperlink r:id="rId87" ref="A97"/>
    <hyperlink r:id="rId88" ref="A98"/>
    <hyperlink r:id="rId89" ref="A99"/>
    <hyperlink r:id="rId90" ref="A100"/>
    <hyperlink r:id="rId91" ref="A101"/>
    <hyperlink r:id="rId92" ref="A102"/>
    <hyperlink r:id="rId93" ref="A103"/>
    <hyperlink r:id="rId94" ref="A104"/>
    <hyperlink r:id="rId95" ref="A105"/>
    <hyperlink r:id="rId96" ref="A106"/>
    <hyperlink r:id="rId97" ref="A107"/>
    <hyperlink r:id="rId98" ref="A108"/>
    <hyperlink r:id="rId99" ref="A109"/>
    <hyperlink r:id="rId100" ref="A110"/>
    <hyperlink r:id="rId101" ref="A111"/>
    <hyperlink r:id="rId102" ref="A112"/>
    <hyperlink r:id="rId103" ref="A113"/>
    <hyperlink r:id="rId104" ref="A114"/>
    <hyperlink r:id="rId105" ref="A115"/>
    <hyperlink r:id="rId106" ref="A116"/>
    <hyperlink r:id="rId107" ref="A117"/>
    <hyperlink r:id="rId108" ref="A118"/>
    <hyperlink r:id="rId109" ref="A119"/>
    <hyperlink r:id="rId110" ref="A120"/>
    <hyperlink r:id="rId111" ref="A121"/>
    <hyperlink r:id="rId112" ref="A122"/>
    <hyperlink r:id="rId113" ref="A123"/>
    <hyperlink r:id="rId114" ref="A124"/>
    <hyperlink r:id="rId115" ref="A125"/>
    <hyperlink r:id="rId116" ref="A126"/>
    <hyperlink r:id="rId117" ref="A127"/>
    <hyperlink r:id="rId118" ref="A128"/>
    <hyperlink r:id="rId119" ref="A129"/>
    <hyperlink r:id="rId120" ref="A130"/>
    <hyperlink r:id="rId121" ref="A131"/>
    <hyperlink r:id="rId122" ref="A132"/>
    <hyperlink r:id="rId123" ref="A133"/>
    <hyperlink r:id="rId124" ref="A134"/>
    <hyperlink r:id="rId125" ref="A135"/>
    <hyperlink r:id="rId126" ref="A136"/>
    <hyperlink r:id="rId127" ref="A137"/>
    <hyperlink r:id="rId128" ref="A138"/>
    <hyperlink r:id="rId129" ref="A139"/>
    <hyperlink r:id="rId130" ref="A140"/>
    <hyperlink r:id="rId131" ref="A141"/>
    <hyperlink r:id="rId132" ref="A142"/>
    <hyperlink r:id="rId133" ref="A143"/>
    <hyperlink r:id="rId134" ref="A144"/>
    <hyperlink r:id="rId135" ref="A145"/>
    <hyperlink r:id="rId136" ref="A146"/>
    <hyperlink r:id="rId137" ref="A147"/>
    <hyperlink r:id="rId138" ref="A148"/>
    <hyperlink r:id="rId139" ref="A149"/>
    <hyperlink r:id="rId140" ref="A150"/>
    <hyperlink r:id="rId141" ref="A151"/>
    <hyperlink r:id="rId142" ref="A152"/>
    <hyperlink r:id="rId143" ref="A153"/>
    <hyperlink r:id="rId144" ref="A154"/>
    <hyperlink r:id="rId145" ref="A155"/>
    <hyperlink r:id="rId146" ref="A156"/>
    <hyperlink r:id="rId147" ref="A157"/>
    <hyperlink r:id="rId148" ref="A158"/>
    <hyperlink r:id="rId149" ref="A159"/>
    <hyperlink r:id="rId150" ref="A160"/>
    <hyperlink r:id="rId151" ref="A161"/>
    <hyperlink r:id="rId152" ref="A162"/>
    <hyperlink r:id="rId153" ref="A163"/>
    <hyperlink r:id="rId154" ref="A164"/>
    <hyperlink r:id="rId155" ref="A165"/>
    <hyperlink r:id="rId156" ref="A166"/>
    <hyperlink r:id="rId157" ref="A167"/>
    <hyperlink r:id="rId158" ref="A168"/>
    <hyperlink r:id="rId159" ref="A169"/>
    <hyperlink r:id="rId160" ref="A170"/>
    <hyperlink r:id="rId161" ref="A171"/>
    <hyperlink r:id="rId162" ref="A172"/>
    <hyperlink r:id="rId163" ref="A173"/>
    <hyperlink r:id="rId164" ref="A174"/>
    <hyperlink r:id="rId165" ref="A175"/>
    <hyperlink r:id="rId166" ref="A177"/>
    <hyperlink r:id="rId167" ref="A178"/>
    <hyperlink r:id="rId168" ref="A179"/>
    <hyperlink r:id="rId169" ref="A180"/>
    <hyperlink r:id="rId170" ref="A181"/>
    <hyperlink r:id="rId171" ref="A182"/>
    <hyperlink r:id="rId172" ref="A183"/>
    <hyperlink r:id="rId173" ref="A184"/>
    <hyperlink r:id="rId174" ref="A185"/>
    <hyperlink r:id="rId175" ref="A186"/>
    <hyperlink r:id="rId176" ref="A187"/>
    <hyperlink r:id="rId177" ref="A188"/>
    <hyperlink r:id="rId178" ref="A189"/>
    <hyperlink r:id="rId179" ref="A190"/>
    <hyperlink r:id="rId180" ref="A191"/>
    <hyperlink r:id="rId181" ref="A192"/>
    <hyperlink r:id="rId182" ref="A193"/>
    <hyperlink r:id="rId183" ref="A194"/>
    <hyperlink r:id="rId184" ref="A195"/>
    <hyperlink r:id="rId185" ref="A196"/>
    <hyperlink r:id="rId186" ref="A197"/>
    <hyperlink r:id="rId187" ref="A198"/>
    <hyperlink r:id="rId188" ref="A199"/>
    <hyperlink r:id="rId189" ref="A200"/>
    <hyperlink r:id="rId190" ref="A201"/>
    <hyperlink r:id="rId191" ref="A202"/>
    <hyperlink r:id="rId192" ref="A203"/>
    <hyperlink r:id="rId193" ref="A204"/>
    <hyperlink r:id="rId194" ref="A205"/>
    <hyperlink r:id="rId195" ref="A206"/>
    <hyperlink r:id="rId196" ref="A207"/>
    <hyperlink r:id="rId197" ref="A208"/>
    <hyperlink r:id="rId198" ref="A209"/>
    <hyperlink r:id="rId199" ref="A210"/>
    <hyperlink r:id="rId200" ref="A211"/>
    <hyperlink r:id="rId201" ref="A212"/>
    <hyperlink r:id="rId202" ref="A213"/>
    <hyperlink r:id="rId203" ref="A214"/>
    <hyperlink r:id="rId204" ref="A215"/>
    <hyperlink r:id="rId205" ref="A216"/>
    <hyperlink r:id="rId206" ref="A217"/>
    <hyperlink r:id="rId207" ref="A218"/>
    <hyperlink r:id="rId208" ref="A219"/>
    <hyperlink r:id="rId209" ref="A220"/>
    <hyperlink r:id="rId210" ref="A221"/>
    <hyperlink r:id="rId211" ref="A222"/>
    <hyperlink r:id="rId212" ref="A223"/>
    <hyperlink r:id="rId213" ref="A224"/>
    <hyperlink r:id="rId214" ref="A225"/>
    <hyperlink r:id="rId215" ref="A226"/>
    <hyperlink r:id="rId216" ref="A227"/>
    <hyperlink r:id="rId217" ref="A228"/>
    <hyperlink r:id="rId218" ref="A229"/>
    <hyperlink r:id="rId219" ref="A230"/>
    <hyperlink r:id="rId220" ref="A268"/>
    <hyperlink r:id="rId221" ref="A269"/>
    <hyperlink r:id="rId222" ref="A270"/>
    <hyperlink r:id="rId223" ref="A271"/>
    <hyperlink r:id="rId224" ref="A272"/>
    <hyperlink r:id="rId225" ref="A273"/>
    <hyperlink r:id="rId226" ref="A274"/>
    <hyperlink r:id="rId227" ref="A275"/>
    <hyperlink r:id="rId228" ref="A276"/>
    <hyperlink r:id="rId229" ref="A277"/>
    <hyperlink r:id="rId230" ref="A278"/>
    <hyperlink r:id="rId231" ref="A279"/>
    <hyperlink r:id="rId232" ref="A280"/>
    <hyperlink r:id="rId233" ref="A281"/>
    <hyperlink r:id="rId234" ref="A282"/>
    <hyperlink r:id="rId235" ref="A283"/>
    <hyperlink r:id="rId236" ref="A284"/>
    <hyperlink r:id="rId237" ref="A285"/>
    <hyperlink r:id="rId238" ref="A286"/>
    <hyperlink r:id="rId239" ref="A287"/>
    <hyperlink r:id="rId240" ref="A288"/>
    <hyperlink r:id="rId241" ref="A289"/>
    <hyperlink r:id="rId242" ref="A290"/>
    <hyperlink r:id="rId243" ref="A291"/>
    <hyperlink r:id="rId244" ref="A292"/>
    <hyperlink r:id="rId245" ref="A293"/>
    <hyperlink r:id="rId246" ref="A294"/>
    <hyperlink r:id="rId247" ref="A295"/>
    <hyperlink r:id="rId248" ref="A296"/>
    <hyperlink r:id="rId249" ref="A297"/>
    <hyperlink r:id="rId250" ref="A298"/>
    <hyperlink r:id="rId251" ref="A299"/>
    <hyperlink r:id="rId252" ref="A300"/>
    <hyperlink r:id="rId253" ref="A301"/>
    <hyperlink r:id="rId254" ref="A302"/>
    <hyperlink r:id="rId255" ref="A303"/>
    <hyperlink r:id="rId256" ref="A304"/>
    <hyperlink r:id="rId257" ref="A305"/>
    <hyperlink r:id="rId258" ref="A306"/>
    <hyperlink r:id="rId259" ref="A307"/>
    <hyperlink r:id="rId260" ref="A308"/>
    <hyperlink r:id="rId261" ref="A309"/>
    <hyperlink r:id="rId262" ref="A310"/>
    <hyperlink r:id="rId263" ref="A311"/>
    <hyperlink r:id="rId264" ref="A312"/>
    <hyperlink r:id="rId265" ref="A313"/>
    <hyperlink r:id="rId266" ref="A314"/>
    <hyperlink r:id="rId267" ref="A315"/>
    <hyperlink r:id="rId268" ref="A316"/>
    <hyperlink r:id="rId269" ref="A317"/>
    <hyperlink r:id="rId270" ref="A318"/>
    <hyperlink r:id="rId271" ref="A319"/>
    <hyperlink r:id="rId272" ref="A320"/>
    <hyperlink r:id="rId273" ref="A321"/>
    <hyperlink r:id="rId274" ref="A322"/>
    <hyperlink r:id="rId275" ref="A323"/>
    <hyperlink r:id="rId276" ref="A324"/>
    <hyperlink r:id="rId277" ref="A325"/>
    <hyperlink r:id="rId278" ref="A326"/>
    <hyperlink r:id="rId279" ref="A327"/>
    <hyperlink r:id="rId280" ref="A328"/>
    <hyperlink r:id="rId281" ref="A329"/>
    <hyperlink r:id="rId282" ref="A330"/>
    <hyperlink r:id="rId283" ref="A331"/>
    <hyperlink r:id="rId284" ref="A332"/>
    <hyperlink r:id="rId285" ref="A333"/>
    <hyperlink r:id="rId286" ref="A334"/>
    <hyperlink r:id="rId287" ref="A335"/>
    <hyperlink r:id="rId288" ref="A336"/>
    <hyperlink r:id="rId289" ref="A337"/>
    <hyperlink r:id="rId290" ref="A338"/>
    <hyperlink r:id="rId291" ref="A339"/>
    <hyperlink r:id="rId292" ref="A340"/>
    <hyperlink r:id="rId293" ref="A341"/>
    <hyperlink r:id="rId294" ref="A342"/>
    <hyperlink r:id="rId295" ref="A343"/>
    <hyperlink r:id="rId296" ref="A344"/>
    <hyperlink r:id="rId297" ref="A345"/>
    <hyperlink r:id="rId298" ref="A346"/>
    <hyperlink r:id="rId299" ref="A347"/>
    <hyperlink r:id="rId300" ref="A348"/>
    <hyperlink r:id="rId301" ref="A349"/>
    <hyperlink r:id="rId302" ref="A350"/>
    <hyperlink r:id="rId303" ref="A351"/>
    <hyperlink r:id="rId304" ref="A352"/>
    <hyperlink r:id="rId305" ref="A353"/>
    <hyperlink r:id="rId306" ref="A354"/>
    <hyperlink r:id="rId307" ref="A355"/>
    <hyperlink r:id="rId308" ref="A356"/>
    <hyperlink r:id="rId309" ref="A357"/>
    <hyperlink r:id="rId310" ref="A358"/>
    <hyperlink r:id="rId311" ref="A359"/>
    <hyperlink r:id="rId312" ref="A360"/>
    <hyperlink r:id="rId313" ref="A361"/>
    <hyperlink r:id="rId314" ref="A362"/>
    <hyperlink r:id="rId315" ref="A363"/>
    <hyperlink r:id="rId316" ref="A364"/>
    <hyperlink r:id="rId317" ref="A365"/>
    <hyperlink r:id="rId318" ref="A366"/>
    <hyperlink r:id="rId319" ref="A367"/>
    <hyperlink r:id="rId320" ref="A368"/>
    <hyperlink r:id="rId321" ref="A369"/>
    <hyperlink r:id="rId322" ref="A370"/>
    <hyperlink r:id="rId323" ref="A371"/>
    <hyperlink r:id="rId324" ref="A372"/>
    <hyperlink r:id="rId325" ref="A373"/>
    <hyperlink r:id="rId326" ref="A374"/>
    <hyperlink r:id="rId327" ref="A375"/>
    <hyperlink r:id="rId328" ref="A376"/>
    <hyperlink r:id="rId329" ref="A377"/>
    <hyperlink r:id="rId330" ref="A378"/>
    <hyperlink r:id="rId331" ref="A379"/>
    <hyperlink r:id="rId332" ref="A380"/>
    <hyperlink r:id="rId333" ref="A381"/>
    <hyperlink r:id="rId334" ref="A382"/>
    <hyperlink r:id="rId335" ref="A383"/>
    <hyperlink r:id="rId336" ref="A384"/>
    <hyperlink r:id="rId337" ref="A385"/>
    <hyperlink r:id="rId338" ref="A386"/>
    <hyperlink r:id="rId339" ref="A387"/>
    <hyperlink r:id="rId340" ref="A388"/>
    <hyperlink r:id="rId341" ref="A389"/>
    <hyperlink r:id="rId342" ref="A390"/>
    <hyperlink r:id="rId343" ref="A391"/>
    <hyperlink r:id="rId344" ref="A392"/>
    <hyperlink r:id="rId345" ref="A393"/>
    <hyperlink r:id="rId346" ref="A394"/>
    <hyperlink r:id="rId347" ref="A395"/>
    <hyperlink r:id="rId348" ref="A396"/>
    <hyperlink r:id="rId349" ref="A397"/>
    <hyperlink r:id="rId350" ref="A398"/>
    <hyperlink r:id="rId351" ref="A399"/>
    <hyperlink r:id="rId352" ref="A400"/>
    <hyperlink r:id="rId353" ref="A401"/>
    <hyperlink r:id="rId354" ref="A402"/>
    <hyperlink r:id="rId355" ref="A403"/>
    <hyperlink r:id="rId356" ref="A404"/>
    <hyperlink r:id="rId357" ref="A405"/>
    <hyperlink r:id="rId358" ref="A406"/>
    <hyperlink r:id="rId359" ref="A407"/>
    <hyperlink r:id="rId360" ref="A408"/>
    <hyperlink r:id="rId361" ref="A409"/>
    <hyperlink r:id="rId362" ref="A410"/>
    <hyperlink r:id="rId363" ref="A411"/>
    <hyperlink r:id="rId364" ref="A412"/>
    <hyperlink r:id="rId365" ref="A413"/>
    <hyperlink r:id="rId366" ref="A414"/>
    <hyperlink r:id="rId367" ref="A415"/>
    <hyperlink r:id="rId368" ref="A416"/>
    <hyperlink r:id="rId369" ref="A417"/>
    <hyperlink r:id="rId370" ref="A418"/>
    <hyperlink r:id="rId371" ref="A419"/>
    <hyperlink r:id="rId372" ref="A420"/>
    <hyperlink r:id="rId373" ref="A421"/>
    <hyperlink r:id="rId374" ref="A422"/>
    <hyperlink r:id="rId375" ref="A423"/>
    <hyperlink r:id="rId376" ref="A424"/>
    <hyperlink r:id="rId377" ref="A425"/>
    <hyperlink r:id="rId378" ref="A426"/>
    <hyperlink r:id="rId379" ref="A427"/>
    <hyperlink r:id="rId380" ref="A428"/>
    <hyperlink r:id="rId381" ref="A429"/>
    <hyperlink r:id="rId382" ref="A430"/>
    <hyperlink r:id="rId383" ref="A431"/>
    <hyperlink r:id="rId384" ref="A432"/>
    <hyperlink r:id="rId385" ref="A433"/>
    <hyperlink r:id="rId386" ref="A434"/>
    <hyperlink r:id="rId387" ref="A435"/>
    <hyperlink r:id="rId388" ref="A436"/>
    <hyperlink r:id="rId389" ref="A437"/>
    <hyperlink r:id="rId390" ref="A438"/>
    <hyperlink r:id="rId391" ref="A439"/>
    <hyperlink r:id="rId392" ref="A440"/>
    <hyperlink r:id="rId393" ref="A441"/>
    <hyperlink r:id="rId394" ref="A442"/>
    <hyperlink r:id="rId395" ref="A443"/>
    <hyperlink r:id="rId396" ref="A444"/>
    <hyperlink r:id="rId397" ref="A445"/>
    <hyperlink r:id="rId398" ref="A446"/>
    <hyperlink r:id="rId399" ref="A447"/>
    <hyperlink r:id="rId400" ref="A448"/>
    <hyperlink r:id="rId401" ref="A449"/>
    <hyperlink r:id="rId402" ref="A450"/>
    <hyperlink r:id="rId403" ref="A451"/>
    <hyperlink r:id="rId404" ref="A452"/>
    <hyperlink r:id="rId405" ref="A453"/>
    <hyperlink r:id="rId406" ref="A454"/>
    <hyperlink r:id="rId407" ref="A455"/>
    <hyperlink r:id="rId408" ref="A456"/>
    <hyperlink r:id="rId409" ref="A457"/>
    <hyperlink r:id="rId410" ref="A458"/>
    <hyperlink r:id="rId411" ref="A459"/>
    <hyperlink r:id="rId412" ref="A460"/>
    <hyperlink r:id="rId413" ref="A461"/>
    <hyperlink r:id="rId414" ref="A462"/>
    <hyperlink r:id="rId415" ref="A463"/>
    <hyperlink r:id="rId416" ref="A464"/>
    <hyperlink r:id="rId417" ref="A465"/>
    <hyperlink r:id="rId418" ref="A466"/>
    <hyperlink r:id="rId419" ref="A467"/>
    <hyperlink r:id="rId420" ref="A468"/>
    <hyperlink r:id="rId421" ref="A469"/>
    <hyperlink r:id="rId422" ref="A470"/>
    <hyperlink r:id="rId423" ref="A471"/>
    <hyperlink r:id="rId424" ref="A472"/>
    <hyperlink r:id="rId425" ref="A473"/>
    <hyperlink r:id="rId426" ref="A474"/>
    <hyperlink r:id="rId427" ref="A475"/>
    <hyperlink r:id="rId428" ref="A476"/>
    <hyperlink r:id="rId429" ref="A477"/>
    <hyperlink r:id="rId430" ref="A478"/>
    <hyperlink r:id="rId431" ref="A479"/>
    <hyperlink r:id="rId432" ref="A480"/>
    <hyperlink r:id="rId433" ref="A481"/>
    <hyperlink r:id="rId434" ref="A482"/>
    <hyperlink r:id="rId435" ref="A483"/>
    <hyperlink r:id="rId436" ref="A484"/>
    <hyperlink r:id="rId437" ref="A485"/>
    <hyperlink r:id="rId438" ref="A486"/>
    <hyperlink r:id="rId439" ref="A487"/>
    <hyperlink r:id="rId440" ref="A488"/>
    <hyperlink r:id="rId441" ref="A489"/>
    <hyperlink r:id="rId442" ref="A490"/>
    <hyperlink r:id="rId443" ref="A491"/>
    <hyperlink r:id="rId444" ref="A492"/>
    <hyperlink r:id="rId445" ref="A493"/>
    <hyperlink r:id="rId446" ref="A494"/>
    <hyperlink r:id="rId447" ref="A495"/>
    <hyperlink r:id="rId448" ref="A496"/>
    <hyperlink r:id="rId449" ref="A497"/>
    <hyperlink r:id="rId450" ref="A498"/>
    <hyperlink r:id="rId451" ref="A499"/>
    <hyperlink r:id="rId452" ref="A500"/>
    <hyperlink r:id="rId453" ref="A501"/>
    <hyperlink r:id="rId454" ref="A502"/>
    <hyperlink r:id="rId455" ref="A503"/>
    <hyperlink r:id="rId456" ref="A504"/>
    <hyperlink r:id="rId457" ref="A505"/>
    <hyperlink r:id="rId458" ref="A506"/>
    <hyperlink r:id="rId459" ref="A507"/>
    <hyperlink r:id="rId460" ref="A508"/>
    <hyperlink r:id="rId461" ref="A509"/>
    <hyperlink r:id="rId462" ref="A510"/>
    <hyperlink r:id="rId463" ref="A511"/>
    <hyperlink r:id="rId464" ref="A512"/>
    <hyperlink r:id="rId465" ref="A513"/>
    <hyperlink r:id="rId466" ref="A514"/>
    <hyperlink r:id="rId467" ref="A515"/>
    <hyperlink r:id="rId468" ref="A516"/>
    <hyperlink r:id="rId469" ref="A517"/>
    <hyperlink r:id="rId470" ref="A518"/>
    <hyperlink r:id="rId471" ref="A519"/>
    <hyperlink r:id="rId472" ref="A520"/>
    <hyperlink r:id="rId473" ref="A521"/>
    <hyperlink r:id="rId474" ref="A522"/>
    <hyperlink r:id="rId475" ref="A523"/>
    <hyperlink r:id="rId476" ref="A524"/>
    <hyperlink r:id="rId477" ref="A525"/>
    <hyperlink r:id="rId478" ref="A526"/>
    <hyperlink r:id="rId479" ref="A527"/>
    <hyperlink r:id="rId480" ref="A528"/>
    <hyperlink r:id="rId481" ref="A529"/>
    <hyperlink r:id="rId482" ref="A530"/>
    <hyperlink r:id="rId483" ref="A531"/>
    <hyperlink r:id="rId484" ref="A532"/>
    <hyperlink r:id="rId485" ref="A533"/>
    <hyperlink r:id="rId486" ref="A534"/>
    <hyperlink r:id="rId487" ref="A535"/>
    <hyperlink r:id="rId488" ref="A536"/>
    <hyperlink r:id="rId489" ref="A537"/>
    <hyperlink r:id="rId490" ref="A538"/>
    <hyperlink r:id="rId491" ref="A539"/>
    <hyperlink r:id="rId492" ref="A540"/>
    <hyperlink r:id="rId493" ref="A541"/>
    <hyperlink r:id="rId494" ref="A542"/>
    <hyperlink r:id="rId495" ref="A543"/>
    <hyperlink r:id="rId496" ref="A544"/>
    <hyperlink r:id="rId497" ref="A545"/>
    <hyperlink r:id="rId498" ref="A546"/>
    <hyperlink r:id="rId499" ref="A547"/>
    <hyperlink r:id="rId500" ref="A548"/>
    <hyperlink r:id="rId501" ref="A549"/>
    <hyperlink r:id="rId502" ref="A550"/>
    <hyperlink r:id="rId503" ref="A551"/>
    <hyperlink r:id="rId504" ref="A552"/>
    <hyperlink r:id="rId505" ref="A553"/>
    <hyperlink r:id="rId506" ref="A554"/>
    <hyperlink r:id="rId507" ref="A555"/>
    <hyperlink r:id="rId508" ref="A556"/>
    <hyperlink r:id="rId509" ref="A557"/>
    <hyperlink r:id="rId510" ref="A558"/>
    <hyperlink r:id="rId511" ref="A559"/>
    <hyperlink r:id="rId512" ref="A560"/>
    <hyperlink r:id="rId513" ref="A561"/>
    <hyperlink r:id="rId514" ref="A562"/>
    <hyperlink r:id="rId515" ref="A563"/>
    <hyperlink r:id="rId516" ref="A564"/>
    <hyperlink r:id="rId517" ref="A565"/>
    <hyperlink r:id="rId518" ref="A566"/>
    <hyperlink r:id="rId519" ref="A567"/>
    <hyperlink r:id="rId520" ref="A568"/>
    <hyperlink r:id="rId521" ref="A569"/>
    <hyperlink r:id="rId522" ref="A570"/>
    <hyperlink r:id="rId523" ref="A571"/>
    <hyperlink r:id="rId524" ref="A572"/>
    <hyperlink r:id="rId525" ref="A573"/>
    <hyperlink r:id="rId526" ref="A574"/>
    <hyperlink r:id="rId527" ref="A575"/>
    <hyperlink r:id="rId528" ref="A576"/>
    <hyperlink r:id="rId529" ref="A577"/>
    <hyperlink r:id="rId530" ref="A578"/>
    <hyperlink r:id="rId531" ref="A579"/>
    <hyperlink r:id="rId532" ref="A580"/>
    <hyperlink r:id="rId533" ref="A581"/>
    <hyperlink r:id="rId534" ref="A582"/>
    <hyperlink r:id="rId535" ref="A583"/>
    <hyperlink r:id="rId536" ref="A584"/>
    <hyperlink r:id="rId537" ref="A585"/>
    <hyperlink r:id="rId538" ref="A586"/>
    <hyperlink r:id="rId539" ref="A587"/>
    <hyperlink r:id="rId540" ref="A588"/>
    <hyperlink r:id="rId541" ref="A589"/>
    <hyperlink r:id="rId542" ref="A590"/>
    <hyperlink r:id="rId543" ref="A591"/>
    <hyperlink r:id="rId544" ref="A592"/>
    <hyperlink r:id="rId545" ref="A593"/>
    <hyperlink r:id="rId546" ref="A594"/>
    <hyperlink r:id="rId547" ref="A595"/>
    <hyperlink r:id="rId548" ref="A596"/>
    <hyperlink r:id="rId549" ref="A597"/>
    <hyperlink r:id="rId550" ref="A598"/>
    <hyperlink r:id="rId551" ref="A599"/>
    <hyperlink r:id="rId552" ref="A600"/>
    <hyperlink r:id="rId553" ref="A601"/>
    <hyperlink r:id="rId554" ref="A602"/>
    <hyperlink r:id="rId555" ref="A603"/>
    <hyperlink r:id="rId556" ref="A604"/>
    <hyperlink r:id="rId557" ref="A605"/>
    <hyperlink r:id="rId558" ref="A606"/>
    <hyperlink r:id="rId559" ref="A607"/>
    <hyperlink r:id="rId560" ref="A608"/>
    <hyperlink r:id="rId561" ref="A609"/>
    <hyperlink r:id="rId562" ref="A610"/>
    <hyperlink r:id="rId563" ref="A611"/>
    <hyperlink r:id="rId564" ref="A612"/>
    <hyperlink r:id="rId565" ref="A613"/>
    <hyperlink r:id="rId566" ref="A614"/>
    <hyperlink r:id="rId567" ref="A615"/>
    <hyperlink r:id="rId568" ref="A616"/>
    <hyperlink r:id="rId569" ref="A617"/>
    <hyperlink r:id="rId570" ref="A618"/>
    <hyperlink r:id="rId571" ref="A619"/>
    <hyperlink r:id="rId572" ref="A620"/>
    <hyperlink r:id="rId573" ref="A621"/>
    <hyperlink r:id="rId574" ref="A622"/>
    <hyperlink r:id="rId575" ref="A623"/>
    <hyperlink r:id="rId576" ref="A624"/>
    <hyperlink r:id="rId577" ref="A625"/>
    <hyperlink r:id="rId578" ref="A626"/>
    <hyperlink r:id="rId579" ref="A627"/>
    <hyperlink r:id="rId580" ref="A628"/>
    <hyperlink r:id="rId581" ref="A629"/>
    <hyperlink r:id="rId582" ref="A630"/>
    <hyperlink r:id="rId583" ref="A631"/>
    <hyperlink r:id="rId584" ref="A632"/>
    <hyperlink r:id="rId585" ref="A633"/>
    <hyperlink r:id="rId586" ref="A634"/>
    <hyperlink r:id="rId587" ref="A635"/>
    <hyperlink r:id="rId588" ref="A636"/>
    <hyperlink r:id="rId589" ref="A637"/>
    <hyperlink r:id="rId590" ref="A638"/>
    <hyperlink r:id="rId591" ref="A639"/>
    <hyperlink r:id="rId592" ref="A640"/>
    <hyperlink r:id="rId593" ref="A641"/>
    <hyperlink r:id="rId594" ref="A642"/>
    <hyperlink r:id="rId595" ref="A643"/>
    <hyperlink r:id="rId596" ref="A644"/>
    <hyperlink r:id="rId597" ref="A645"/>
    <hyperlink r:id="rId598" ref="A646"/>
    <hyperlink r:id="rId599" ref="A647"/>
    <hyperlink r:id="rId600" ref="A648"/>
    <hyperlink r:id="rId601" ref="A649"/>
    <hyperlink r:id="rId602" ref="A650"/>
    <hyperlink r:id="rId603" ref="A651"/>
    <hyperlink r:id="rId604" ref="A652"/>
    <hyperlink r:id="rId605" ref="A653"/>
    <hyperlink r:id="rId606" ref="A654"/>
    <hyperlink r:id="rId607" ref="A655"/>
    <hyperlink r:id="rId608" ref="A656"/>
    <hyperlink r:id="rId609" ref="A657"/>
    <hyperlink r:id="rId610" ref="A658"/>
    <hyperlink r:id="rId611" ref="A659"/>
    <hyperlink r:id="rId612" ref="A660"/>
    <hyperlink r:id="rId613" ref="A661"/>
    <hyperlink r:id="rId614" ref="A662"/>
    <hyperlink r:id="rId615" ref="A663"/>
    <hyperlink r:id="rId616" ref="A664"/>
    <hyperlink r:id="rId617" ref="A665"/>
    <hyperlink r:id="rId618" ref="A666"/>
    <hyperlink r:id="rId619" ref="A667"/>
    <hyperlink r:id="rId620" ref="A668"/>
    <hyperlink r:id="rId621" ref="A669"/>
    <hyperlink r:id="rId622" ref="A670"/>
    <hyperlink r:id="rId623" ref="A671"/>
    <hyperlink r:id="rId624" ref="A672"/>
    <hyperlink r:id="rId625" ref="A673"/>
    <hyperlink r:id="rId626" ref="A674"/>
    <hyperlink r:id="rId627" ref="A675"/>
    <hyperlink r:id="rId628" ref="A676"/>
    <hyperlink r:id="rId629" ref="A677"/>
    <hyperlink r:id="rId630" ref="A678"/>
    <hyperlink r:id="rId631" ref="A679"/>
    <hyperlink r:id="rId632" ref="A680"/>
    <hyperlink r:id="rId633" ref="A681"/>
    <hyperlink r:id="rId634" ref="A682"/>
    <hyperlink r:id="rId635" ref="A683"/>
    <hyperlink r:id="rId636" ref="A684"/>
    <hyperlink r:id="rId637" ref="A685"/>
    <hyperlink r:id="rId638" ref="A686"/>
    <hyperlink r:id="rId639" ref="A687"/>
    <hyperlink r:id="rId640" ref="A688"/>
    <hyperlink r:id="rId641" ref="A689"/>
    <hyperlink r:id="rId642" ref="A690"/>
    <hyperlink r:id="rId643" ref="A691"/>
    <hyperlink r:id="rId644" ref="A692"/>
    <hyperlink r:id="rId645" ref="A693"/>
    <hyperlink r:id="rId646" ref="A694"/>
    <hyperlink r:id="rId647" ref="A695"/>
    <hyperlink r:id="rId648" ref="A696"/>
    <hyperlink r:id="rId649" ref="A697"/>
    <hyperlink r:id="rId650" ref="A698"/>
    <hyperlink r:id="rId651" ref="A699"/>
    <hyperlink r:id="rId652" ref="A700"/>
    <hyperlink r:id="rId653" ref="A701"/>
    <hyperlink r:id="rId654" ref="A702"/>
    <hyperlink r:id="rId655" ref="A703"/>
    <hyperlink r:id="rId656" ref="A704"/>
    <hyperlink r:id="rId657" ref="A705"/>
    <hyperlink r:id="rId658" ref="A706"/>
    <hyperlink r:id="rId659" ref="A707"/>
    <hyperlink r:id="rId660" ref="A708"/>
    <hyperlink r:id="rId661" ref="A709"/>
    <hyperlink r:id="rId662" ref="A710"/>
    <hyperlink r:id="rId663" ref="A711"/>
    <hyperlink r:id="rId664" ref="A712"/>
    <hyperlink r:id="rId665" ref="A713"/>
    <hyperlink r:id="rId666" ref="A714"/>
    <hyperlink r:id="rId667" ref="A715"/>
    <hyperlink r:id="rId668" ref="A716"/>
    <hyperlink r:id="rId669" ref="A717"/>
    <hyperlink r:id="rId670" ref="A718"/>
    <hyperlink r:id="rId671" ref="A719"/>
    <hyperlink r:id="rId672" ref="A720"/>
    <hyperlink r:id="rId673" ref="A721"/>
    <hyperlink r:id="rId674" ref="A722"/>
    <hyperlink r:id="rId675" ref="A723"/>
    <hyperlink r:id="rId676" ref="A724"/>
    <hyperlink r:id="rId677" ref="A725"/>
    <hyperlink r:id="rId678" ref="A726"/>
    <hyperlink r:id="rId679" ref="A727"/>
    <hyperlink r:id="rId680" ref="A728"/>
    <hyperlink r:id="rId681" ref="A729"/>
    <hyperlink r:id="rId682" ref="A730"/>
    <hyperlink r:id="rId683" ref="A731"/>
    <hyperlink r:id="rId684" ref="A732"/>
    <hyperlink r:id="rId685" ref="A733"/>
    <hyperlink r:id="rId686" ref="A734"/>
    <hyperlink r:id="rId687" ref="A735"/>
    <hyperlink r:id="rId688" ref="A736"/>
    <hyperlink r:id="rId689" ref="A737"/>
    <hyperlink r:id="rId690" ref="A738"/>
    <hyperlink r:id="rId691" ref="A739"/>
    <hyperlink r:id="rId692" ref="A740"/>
    <hyperlink r:id="rId693" ref="A741"/>
    <hyperlink r:id="rId694" ref="A742"/>
    <hyperlink r:id="rId695" ref="A743"/>
    <hyperlink r:id="rId696" ref="A744"/>
    <hyperlink r:id="rId697" ref="A745"/>
    <hyperlink r:id="rId698" ref="A746"/>
    <hyperlink r:id="rId699" ref="A747"/>
    <hyperlink r:id="rId700" ref="A748"/>
    <hyperlink r:id="rId701" ref="A749"/>
    <hyperlink r:id="rId702" ref="A750"/>
    <hyperlink r:id="rId703" ref="A751"/>
    <hyperlink r:id="rId704" ref="A752"/>
    <hyperlink r:id="rId705" ref="A753"/>
    <hyperlink r:id="rId706" ref="A754"/>
    <hyperlink r:id="rId707" ref="A755"/>
    <hyperlink r:id="rId708" ref="A756"/>
    <hyperlink r:id="rId709" ref="A757"/>
    <hyperlink r:id="rId710" ref="A758"/>
    <hyperlink r:id="rId711" ref="A759"/>
    <hyperlink r:id="rId712" ref="A760"/>
    <hyperlink r:id="rId713" ref="A761"/>
    <hyperlink r:id="rId714" ref="A762"/>
    <hyperlink r:id="rId715" ref="A763"/>
    <hyperlink r:id="rId716" ref="A764"/>
    <hyperlink r:id="rId717" ref="A765"/>
    <hyperlink r:id="rId718" ref="A766"/>
    <hyperlink r:id="rId719" ref="A767"/>
    <hyperlink r:id="rId720" ref="A768"/>
    <hyperlink r:id="rId721" ref="A769"/>
    <hyperlink r:id="rId722" ref="A770"/>
    <hyperlink r:id="rId723" ref="A771"/>
    <hyperlink r:id="rId724" ref="A772"/>
    <hyperlink r:id="rId725" ref="A773"/>
    <hyperlink r:id="rId726" ref="A774"/>
    <hyperlink r:id="rId727" ref="A775"/>
    <hyperlink r:id="rId728" ref="A776"/>
    <hyperlink r:id="rId729" ref="A777"/>
    <hyperlink r:id="rId730" ref="A778"/>
    <hyperlink r:id="rId731" ref="A779"/>
    <hyperlink r:id="rId732" ref="A780"/>
    <hyperlink r:id="rId733" ref="A781"/>
    <hyperlink r:id="rId734" ref="A782"/>
    <hyperlink r:id="rId735" ref="A783"/>
    <hyperlink r:id="rId736" ref="A853"/>
    <hyperlink r:id="rId737" ref="A854"/>
    <hyperlink r:id="rId738" ref="A855"/>
    <hyperlink r:id="rId739" ref="A856"/>
    <hyperlink r:id="rId740" ref="A857"/>
    <hyperlink r:id="rId741" ref="A858"/>
    <hyperlink r:id="rId742" ref="A859"/>
    <hyperlink r:id="rId743" ref="A860"/>
    <hyperlink r:id="rId744" ref="A861"/>
    <hyperlink r:id="rId745" ref="A862"/>
    <hyperlink r:id="rId746" ref="A863"/>
    <hyperlink r:id="rId747" ref="A864"/>
    <hyperlink r:id="rId748" ref="A865"/>
    <hyperlink r:id="rId749" ref="A866"/>
    <hyperlink r:id="rId750" ref="A867"/>
    <hyperlink r:id="rId751" ref="A868"/>
    <hyperlink r:id="rId752" ref="A869"/>
    <hyperlink r:id="rId753" ref="A870"/>
    <hyperlink r:id="rId754" ref="A871"/>
    <hyperlink r:id="rId755" ref="A872"/>
    <hyperlink r:id="rId756" ref="A873"/>
    <hyperlink r:id="rId757" ref="A874"/>
    <hyperlink r:id="rId758" ref="A875"/>
    <hyperlink r:id="rId759" ref="A876"/>
    <hyperlink r:id="rId760" ref="A877"/>
    <hyperlink r:id="rId761" ref="A878"/>
    <hyperlink r:id="rId762" ref="A879"/>
    <hyperlink r:id="rId763" ref="A880"/>
    <hyperlink r:id="rId764" ref="A881"/>
    <hyperlink r:id="rId765" ref="A882"/>
    <hyperlink r:id="rId766" ref="A883"/>
    <hyperlink r:id="rId767" ref="A884"/>
    <hyperlink r:id="rId768" ref="A885"/>
    <hyperlink r:id="rId769" ref="A886"/>
    <hyperlink r:id="rId770" ref="A887"/>
    <hyperlink r:id="rId771" ref="A888"/>
    <hyperlink r:id="rId772" ref="A889"/>
    <hyperlink r:id="rId773" ref="A890"/>
    <hyperlink r:id="rId774" ref="A891"/>
    <hyperlink r:id="rId775" ref="A892"/>
    <hyperlink r:id="rId776" ref="A893"/>
    <hyperlink r:id="rId777" ref="A894"/>
    <hyperlink r:id="rId778" ref="A895"/>
    <hyperlink r:id="rId779" ref="A896"/>
    <hyperlink r:id="rId780" ref="A897"/>
    <hyperlink r:id="rId781" ref="A898"/>
    <hyperlink r:id="rId782" ref="A899"/>
    <hyperlink r:id="rId783" ref="A900"/>
    <hyperlink r:id="rId784" ref="A901"/>
    <hyperlink r:id="rId785" ref="A902"/>
    <hyperlink r:id="rId786" ref="A903"/>
    <hyperlink r:id="rId787" ref="A904"/>
    <hyperlink r:id="rId788" ref="A905"/>
    <hyperlink r:id="rId789" ref="A906"/>
    <hyperlink r:id="rId790" ref="A907"/>
    <hyperlink r:id="rId791" ref="A908"/>
    <hyperlink r:id="rId792" ref="A909"/>
    <hyperlink r:id="rId793" ref="A910"/>
    <hyperlink r:id="rId794" ref="A911"/>
    <hyperlink r:id="rId795" ref="A912"/>
    <hyperlink r:id="rId796" ref="A913"/>
    <hyperlink r:id="rId797" ref="A914"/>
    <hyperlink r:id="rId798" ref="A915"/>
    <hyperlink r:id="rId799" ref="A916"/>
    <hyperlink r:id="rId800" ref="A917"/>
    <hyperlink r:id="rId801" ref="A918"/>
    <hyperlink r:id="rId802" ref="A919"/>
    <hyperlink r:id="rId803" ref="A920"/>
    <hyperlink r:id="rId804" ref="A921"/>
    <hyperlink r:id="rId805" ref="A922"/>
    <hyperlink r:id="rId806" ref="A923"/>
    <hyperlink r:id="rId807" ref="A924"/>
    <hyperlink r:id="rId808" ref="A925"/>
    <hyperlink r:id="rId809" ref="A926"/>
    <hyperlink r:id="rId810" ref="A927"/>
    <hyperlink r:id="rId811" ref="A928"/>
    <hyperlink r:id="rId812" ref="A929"/>
    <hyperlink r:id="rId813" ref="A930"/>
    <hyperlink r:id="rId814" ref="A931"/>
    <hyperlink r:id="rId815" ref="A932"/>
    <hyperlink r:id="rId816" ref="A933"/>
    <hyperlink r:id="rId817" ref="A934"/>
    <hyperlink r:id="rId818" ref="A935"/>
    <hyperlink r:id="rId819" ref="A936"/>
    <hyperlink r:id="rId820" ref="A937"/>
    <hyperlink r:id="rId821" ref="A938"/>
    <hyperlink r:id="rId822" ref="A939"/>
    <hyperlink r:id="rId823" ref="A940"/>
    <hyperlink r:id="rId824" ref="A941"/>
    <hyperlink r:id="rId825" ref="A942"/>
    <hyperlink r:id="rId826" ref="A943"/>
    <hyperlink r:id="rId827" ref="A944"/>
    <hyperlink r:id="rId828" ref="A945"/>
    <hyperlink r:id="rId829" ref="A946"/>
    <hyperlink r:id="rId830" ref="A947"/>
    <hyperlink r:id="rId831" ref="A948"/>
    <hyperlink r:id="rId832" ref="A949"/>
    <hyperlink r:id="rId833" ref="A950"/>
    <hyperlink r:id="rId834" ref="A951"/>
    <hyperlink r:id="rId835" ref="A952"/>
    <hyperlink r:id="rId836" ref="A953"/>
    <hyperlink r:id="rId837" ref="A954"/>
    <hyperlink r:id="rId838" ref="A955"/>
    <hyperlink r:id="rId839" ref="A956"/>
    <hyperlink r:id="rId840" ref="A957"/>
    <hyperlink r:id="rId841" ref="A958"/>
    <hyperlink r:id="rId842" ref="A959"/>
    <hyperlink r:id="rId843" ref="A960"/>
    <hyperlink r:id="rId844" ref="A961"/>
    <hyperlink r:id="rId845" ref="A962"/>
    <hyperlink r:id="rId846" ref="A963"/>
    <hyperlink r:id="rId847" ref="A964"/>
    <hyperlink r:id="rId848" ref="A965"/>
    <hyperlink r:id="rId849" ref="A966"/>
    <hyperlink r:id="rId850" ref="A967"/>
    <hyperlink r:id="rId851" ref="A968"/>
    <hyperlink r:id="rId852" ref="A969"/>
    <hyperlink r:id="rId853" ref="A970"/>
    <hyperlink r:id="rId854" ref="A971"/>
    <hyperlink r:id="rId855" ref="A972"/>
    <hyperlink r:id="rId856" ref="A973"/>
    <hyperlink r:id="rId857" ref="A974"/>
    <hyperlink r:id="rId858" ref="A975"/>
    <hyperlink r:id="rId859" ref="A976"/>
    <hyperlink r:id="rId860" ref="A977"/>
    <hyperlink r:id="rId861" ref="A978"/>
    <hyperlink r:id="rId862" ref="A979"/>
    <hyperlink r:id="rId863" ref="A980"/>
    <hyperlink r:id="rId864" ref="A981"/>
    <hyperlink r:id="rId865" ref="A982"/>
    <hyperlink r:id="rId866" ref="A983"/>
    <hyperlink r:id="rId867" ref="A984"/>
    <hyperlink r:id="rId868" ref="A985"/>
    <hyperlink r:id="rId869" ref="A986"/>
    <hyperlink r:id="rId870" ref="A987"/>
    <hyperlink r:id="rId871" ref="A988"/>
    <hyperlink r:id="rId872" ref="A989"/>
    <hyperlink r:id="rId873" ref="A990"/>
    <hyperlink r:id="rId874" ref="A991"/>
    <hyperlink r:id="rId875" ref="A992"/>
    <hyperlink r:id="rId876" ref="A993"/>
    <hyperlink r:id="rId877" ref="A994"/>
    <hyperlink r:id="rId878" ref="A995"/>
    <hyperlink r:id="rId879" ref="A996"/>
    <hyperlink r:id="rId880" ref="A997"/>
    <hyperlink r:id="rId881" ref="A998"/>
    <hyperlink r:id="rId882" ref="A999"/>
    <hyperlink r:id="rId883" ref="A1000"/>
    <hyperlink r:id="rId884" ref="A1001"/>
    <hyperlink r:id="rId885" ref="A1002"/>
    <hyperlink r:id="rId886" ref="A1003"/>
    <hyperlink r:id="rId887" ref="A1004"/>
    <hyperlink r:id="rId888" ref="A1005"/>
    <hyperlink r:id="rId889" ref="A1006"/>
    <hyperlink r:id="rId890" ref="A1007"/>
    <hyperlink r:id="rId891" ref="A1008"/>
    <hyperlink r:id="rId892" ref="A1009"/>
    <hyperlink r:id="rId893" ref="A1010"/>
    <hyperlink r:id="rId894" ref="A1011"/>
    <hyperlink r:id="rId895" ref="A1012"/>
    <hyperlink r:id="rId896" ref="A1013"/>
    <hyperlink r:id="rId897" ref="A1014"/>
    <hyperlink r:id="rId898" ref="A1015"/>
    <hyperlink r:id="rId899" ref="A1016"/>
    <hyperlink r:id="rId900" ref="A1017"/>
    <hyperlink r:id="rId901" ref="A1018"/>
    <hyperlink r:id="rId902" ref="A1019"/>
    <hyperlink r:id="rId903" ref="A1020"/>
    <hyperlink r:id="rId904" ref="A1021"/>
    <hyperlink r:id="rId905" ref="A1022"/>
    <hyperlink r:id="rId906" ref="A1028"/>
    <hyperlink r:id="rId907" ref="A1029"/>
    <hyperlink r:id="rId908" ref="A1031"/>
    <hyperlink r:id="rId909" ref="A1032"/>
    <hyperlink r:id="rId910" ref="A1033"/>
    <hyperlink r:id="rId911" ref="A1034"/>
    <hyperlink r:id="rId912" ref="A1035"/>
    <hyperlink r:id="rId913" ref="A1036"/>
    <hyperlink r:id="rId914" ref="A1037"/>
    <hyperlink r:id="rId915" ref="A1050"/>
    <hyperlink r:id="rId916" ref="A1051"/>
    <hyperlink r:id="rId917" ref="A1052"/>
    <hyperlink r:id="rId918" ref="A1053"/>
    <hyperlink r:id="rId919" ref="A1054"/>
    <hyperlink r:id="rId920" ref="A1055"/>
    <hyperlink r:id="rId921" ref="A1056"/>
    <hyperlink r:id="rId922" ref="A1057"/>
    <hyperlink r:id="rId923" ref="A1058"/>
    <hyperlink r:id="rId924" ref="A1059"/>
    <hyperlink r:id="rId925" ref="A1060"/>
    <hyperlink r:id="rId926" ref="A1061"/>
    <hyperlink r:id="rId927" ref="A1062"/>
    <hyperlink r:id="rId928" ref="A1063"/>
    <hyperlink r:id="rId929" ref="A1064"/>
    <hyperlink r:id="rId930" ref="A1065"/>
    <hyperlink r:id="rId931" ref="A1066"/>
    <hyperlink r:id="rId932" ref="A1067"/>
    <hyperlink r:id="rId933" ref="A1068"/>
    <hyperlink r:id="rId934" ref="A1069"/>
    <hyperlink r:id="rId935" ref="A1070"/>
    <hyperlink r:id="rId936" ref="A1071"/>
    <hyperlink r:id="rId937" ref="A1072"/>
    <hyperlink r:id="rId938" ref="A1073"/>
    <hyperlink r:id="rId939" ref="A1074"/>
    <hyperlink r:id="rId940" ref="A1075"/>
    <hyperlink r:id="rId941" ref="A1076"/>
    <hyperlink r:id="rId942" ref="A1077"/>
    <hyperlink r:id="rId943" ref="A1078"/>
    <hyperlink r:id="rId944" ref="A1079"/>
    <hyperlink r:id="rId945" ref="A1080"/>
    <hyperlink r:id="rId946" ref="A1081"/>
    <hyperlink r:id="rId947" ref="A1082"/>
    <hyperlink r:id="rId948" ref="A1083"/>
    <hyperlink r:id="rId949" ref="A1084"/>
    <hyperlink r:id="rId950" ref="A1085"/>
    <hyperlink r:id="rId951" ref="A1086"/>
    <hyperlink r:id="rId952" ref="A1087"/>
    <hyperlink r:id="rId953" ref="A1088"/>
    <hyperlink r:id="rId954" ref="A1089"/>
    <hyperlink r:id="rId955" ref="A1090"/>
    <hyperlink r:id="rId956" ref="A1091"/>
    <hyperlink r:id="rId957" ref="A1092"/>
    <hyperlink r:id="rId958" ref="A1093"/>
    <hyperlink r:id="rId959" ref="A1094"/>
    <hyperlink r:id="rId960" ref="A1095"/>
    <hyperlink r:id="rId961" ref="A1096"/>
    <hyperlink r:id="rId962" ref="A1097"/>
    <hyperlink r:id="rId963" ref="A1098"/>
    <hyperlink r:id="rId964" ref="A1099"/>
    <hyperlink r:id="rId965" ref="A1100"/>
    <hyperlink r:id="rId966" ref="A1101"/>
    <hyperlink r:id="rId967" ref="A1102"/>
    <hyperlink r:id="rId968" ref="A1103"/>
    <hyperlink r:id="rId969" ref="A1104"/>
    <hyperlink r:id="rId970" ref="A1105"/>
    <hyperlink r:id="rId971" ref="A1106"/>
    <hyperlink r:id="rId972" ref="A1107"/>
    <hyperlink r:id="rId973" ref="A1108"/>
    <hyperlink r:id="rId974" ref="A1109"/>
    <hyperlink r:id="rId975" ref="A1110"/>
    <hyperlink r:id="rId976" ref="A1111"/>
    <hyperlink r:id="rId977" ref="A1112"/>
    <hyperlink r:id="rId978" ref="A1122"/>
    <hyperlink r:id="rId979" ref="A1123"/>
    <hyperlink r:id="rId980" ref="A1124"/>
    <hyperlink r:id="rId981" ref="A1125"/>
    <hyperlink r:id="rId982" ref="A1126"/>
    <hyperlink r:id="rId983" ref="A1127"/>
    <hyperlink r:id="rId984" ref="A1128"/>
    <hyperlink r:id="rId985" ref="A1129"/>
    <hyperlink r:id="rId986" ref="A1130"/>
    <hyperlink r:id="rId987" ref="A1131"/>
    <hyperlink r:id="rId988" ref="A1132"/>
    <hyperlink r:id="rId989" ref="A1133"/>
    <hyperlink r:id="rId990" ref="A1134"/>
    <hyperlink r:id="rId991" ref="A1135"/>
    <hyperlink r:id="rId992" ref="A1136"/>
    <hyperlink r:id="rId993" ref="A1137"/>
    <hyperlink r:id="rId994" ref="A1138"/>
    <hyperlink r:id="rId995" ref="A1139"/>
    <hyperlink r:id="rId996" ref="A1140"/>
    <hyperlink r:id="rId997" ref="A1141"/>
    <hyperlink r:id="rId998" ref="A1142"/>
    <hyperlink r:id="rId999" ref="A1143"/>
    <hyperlink r:id="rId1000" ref="A1144"/>
    <hyperlink r:id="rId1001" ref="A1145"/>
    <hyperlink r:id="rId1002" ref="A1146"/>
    <hyperlink r:id="rId1003" ref="A1147"/>
    <hyperlink r:id="rId1004" ref="A1148"/>
    <hyperlink r:id="rId1005" ref="A1149"/>
    <hyperlink r:id="rId1006" ref="A1150"/>
    <hyperlink r:id="rId1007" ref="A1151"/>
    <hyperlink r:id="rId1008" ref="A1152"/>
    <hyperlink r:id="rId1009" ref="A1153"/>
    <hyperlink r:id="rId1010" ref="A1154"/>
    <hyperlink r:id="rId1011" ref="A1155"/>
    <hyperlink r:id="rId1012" ref="A1156"/>
    <hyperlink r:id="rId1013" ref="A1157"/>
    <hyperlink r:id="rId1014" ref="A1158"/>
    <hyperlink r:id="rId1015" ref="A1159"/>
    <hyperlink r:id="rId1016" ref="A1160"/>
    <hyperlink r:id="rId1017" ref="A1161"/>
    <hyperlink r:id="rId1018" ref="A1162"/>
    <hyperlink r:id="rId1019" ref="A1163"/>
    <hyperlink r:id="rId1020" ref="A1164"/>
    <hyperlink r:id="rId1021" ref="A1165"/>
    <hyperlink r:id="rId1022" ref="A1166"/>
    <hyperlink r:id="rId1023" ref="A1167"/>
    <hyperlink r:id="rId1024" ref="A1168"/>
    <hyperlink r:id="rId1025" ref="A1169"/>
    <hyperlink r:id="rId1026" ref="A1170"/>
    <hyperlink r:id="rId1027" ref="A1171"/>
    <hyperlink r:id="rId1028" ref="A1172"/>
    <hyperlink r:id="rId1029" ref="A1173"/>
    <hyperlink r:id="rId1030" ref="A1174"/>
    <hyperlink r:id="rId1031" ref="A1175"/>
    <hyperlink r:id="rId1032" ref="A1176"/>
    <hyperlink r:id="rId1033" ref="A1177"/>
    <hyperlink r:id="rId1034" ref="A1178"/>
    <hyperlink r:id="rId1035" ref="A1179"/>
    <hyperlink r:id="rId1036" ref="A1180"/>
    <hyperlink r:id="rId1037" ref="A1181"/>
    <hyperlink r:id="rId1038" ref="A1182"/>
    <hyperlink r:id="rId1039" ref="A1183"/>
    <hyperlink r:id="rId1040" ref="A1184"/>
    <hyperlink r:id="rId1041" ref="A1185"/>
    <hyperlink r:id="rId1042" ref="A1186"/>
    <hyperlink r:id="rId1043" ref="A1187"/>
    <hyperlink r:id="rId1044" ref="A1188"/>
    <hyperlink r:id="rId1045" ref="A1189"/>
    <hyperlink r:id="rId1046" ref="A1190"/>
    <hyperlink r:id="rId1047" ref="A1191"/>
    <hyperlink r:id="rId1048" ref="A1192"/>
    <hyperlink r:id="rId1049" ref="A1193"/>
    <hyperlink r:id="rId1050" ref="A1194"/>
    <hyperlink r:id="rId1051" ref="A1195"/>
    <hyperlink r:id="rId1052" ref="A1196"/>
    <hyperlink r:id="rId1053" ref="A1197"/>
    <hyperlink r:id="rId1054" ref="A1198"/>
    <hyperlink r:id="rId1055" ref="A1199"/>
    <hyperlink r:id="rId1056" ref="A1200"/>
    <hyperlink r:id="rId1057" ref="A1201"/>
    <hyperlink r:id="rId1058" ref="A1202"/>
    <hyperlink r:id="rId1059" ref="A1203"/>
    <hyperlink r:id="rId1060" ref="A1204"/>
    <hyperlink r:id="rId1061" ref="A1205"/>
    <hyperlink r:id="rId1062" ref="A1206"/>
    <hyperlink r:id="rId1063" ref="A1207"/>
    <hyperlink r:id="rId1064" ref="A1208"/>
    <hyperlink r:id="rId1065" ref="A1209"/>
    <hyperlink r:id="rId1066" ref="A1210"/>
    <hyperlink r:id="rId1067" ref="A1211"/>
    <hyperlink r:id="rId1068" ref="A1212"/>
    <hyperlink r:id="rId1069" ref="A1213"/>
    <hyperlink r:id="rId1070" ref="A1214"/>
    <hyperlink r:id="rId1071" ref="A1215"/>
    <hyperlink r:id="rId1072" ref="A1216"/>
    <hyperlink r:id="rId1073" ref="A1217"/>
    <hyperlink r:id="rId1074" ref="A1218"/>
    <hyperlink r:id="rId1075" ref="A1219"/>
    <hyperlink r:id="rId1076" ref="A1220"/>
    <hyperlink r:id="rId1077" ref="A1221"/>
    <hyperlink r:id="rId1078" ref="A1222"/>
    <hyperlink r:id="rId1079" ref="A1223"/>
    <hyperlink r:id="rId1080" ref="A1224"/>
    <hyperlink r:id="rId1081" ref="A1225"/>
    <hyperlink r:id="rId1082" ref="A1226"/>
    <hyperlink r:id="rId1083" ref="A1227"/>
    <hyperlink r:id="rId1084" ref="A1228"/>
    <hyperlink r:id="rId1085" ref="A1229"/>
    <hyperlink r:id="rId1086" ref="A1230"/>
    <hyperlink r:id="rId1087" ref="A1231"/>
    <hyperlink r:id="rId1088" ref="A1232"/>
    <hyperlink r:id="rId1089" ref="A1233"/>
    <hyperlink r:id="rId1090" ref="A1234"/>
    <hyperlink r:id="rId1091" ref="A1235"/>
    <hyperlink r:id="rId1092" ref="A1236"/>
    <hyperlink r:id="rId1093" ref="A1237"/>
    <hyperlink r:id="rId1094" ref="A1238"/>
    <hyperlink r:id="rId1095" ref="A1239"/>
    <hyperlink r:id="rId1096" ref="A1240"/>
    <hyperlink r:id="rId1097" ref="A1241"/>
    <hyperlink r:id="rId1098" ref="A1242"/>
    <hyperlink r:id="rId1099" ref="A1243"/>
    <hyperlink r:id="rId1100" ref="A1244"/>
    <hyperlink r:id="rId1101" ref="A1245"/>
    <hyperlink r:id="rId1102" ref="A1246"/>
    <hyperlink r:id="rId1103" ref="A1247"/>
    <hyperlink r:id="rId1104" ref="A1248"/>
    <hyperlink r:id="rId1105" ref="A1249"/>
    <hyperlink r:id="rId1106" ref="A1250"/>
    <hyperlink r:id="rId1107" ref="A1251"/>
    <hyperlink r:id="rId1108" ref="A1252"/>
    <hyperlink r:id="rId1109" ref="A1253"/>
    <hyperlink r:id="rId1110" ref="A1254"/>
    <hyperlink r:id="rId1111" ref="A1255"/>
    <hyperlink r:id="rId1112" ref="A1256"/>
    <hyperlink r:id="rId1113" ref="A1257"/>
    <hyperlink r:id="rId1114" ref="A1258"/>
    <hyperlink r:id="rId1115" ref="A1259"/>
    <hyperlink r:id="rId1116" ref="A1260"/>
    <hyperlink r:id="rId1117" ref="A1261"/>
    <hyperlink r:id="rId1118" ref="A1262"/>
    <hyperlink r:id="rId1119" ref="A1263"/>
    <hyperlink r:id="rId1120" ref="A1264"/>
    <hyperlink r:id="rId1121" ref="A1265"/>
    <hyperlink r:id="rId1122" ref="A1266"/>
    <hyperlink r:id="rId1123" ref="A1267"/>
    <hyperlink r:id="rId1124" ref="A1268"/>
    <hyperlink r:id="rId1125" ref="A1269"/>
    <hyperlink r:id="rId1126" ref="A1270"/>
    <hyperlink r:id="rId1127" ref="A1271"/>
    <hyperlink r:id="rId1128" ref="A1272"/>
    <hyperlink r:id="rId1129" ref="A1273"/>
    <hyperlink r:id="rId1130" ref="A1274"/>
    <hyperlink r:id="rId1131" ref="A1275"/>
    <hyperlink r:id="rId1132" ref="A1276"/>
    <hyperlink r:id="rId1133" ref="A1277"/>
    <hyperlink r:id="rId1134" ref="A1278"/>
    <hyperlink r:id="rId1135" ref="A1279"/>
    <hyperlink r:id="rId1136" ref="A1280"/>
    <hyperlink r:id="rId1137" ref="A1281"/>
    <hyperlink r:id="rId1138" ref="A1282"/>
    <hyperlink r:id="rId1139" ref="A1283"/>
    <hyperlink r:id="rId1140" ref="A1284"/>
    <hyperlink r:id="rId1141" ref="A1285"/>
    <hyperlink r:id="rId1142" ref="A1286"/>
    <hyperlink r:id="rId1143" ref="A1287"/>
    <hyperlink r:id="rId1144" ref="A1288"/>
    <hyperlink r:id="rId1145" ref="A1289"/>
    <hyperlink r:id="rId1146" ref="A1290"/>
    <hyperlink r:id="rId1147" ref="A1291"/>
    <hyperlink r:id="rId1148" ref="A1292"/>
    <hyperlink r:id="rId1149" ref="A1293"/>
    <hyperlink r:id="rId1150" ref="A1294"/>
    <hyperlink r:id="rId1151" ref="A1295"/>
    <hyperlink r:id="rId1152" ref="A1296"/>
    <hyperlink r:id="rId1153" ref="A1297"/>
    <hyperlink r:id="rId1154" ref="A1298"/>
    <hyperlink r:id="rId1155" ref="A1299"/>
    <hyperlink r:id="rId1156" ref="A1300"/>
    <hyperlink r:id="rId1157" ref="A1301"/>
    <hyperlink r:id="rId1158" ref="A1302"/>
    <hyperlink r:id="rId1159" ref="A1303"/>
    <hyperlink r:id="rId1160" ref="A1304"/>
    <hyperlink r:id="rId1161" ref="A1305"/>
    <hyperlink r:id="rId1162" ref="A1306"/>
    <hyperlink r:id="rId1163" ref="A1307"/>
    <hyperlink r:id="rId1164" ref="A1308"/>
    <hyperlink r:id="rId1165" ref="A1309"/>
    <hyperlink r:id="rId1166" ref="A1310"/>
    <hyperlink r:id="rId1167" ref="A1311"/>
    <hyperlink r:id="rId1168" ref="A1312"/>
    <hyperlink r:id="rId1169" ref="A1313"/>
    <hyperlink r:id="rId1170" ref="A1314"/>
    <hyperlink r:id="rId1171" ref="A1315"/>
    <hyperlink r:id="rId1172" ref="A1316"/>
    <hyperlink r:id="rId1173" ref="A1317"/>
    <hyperlink r:id="rId1174" ref="A1318"/>
    <hyperlink r:id="rId1175" ref="A1319"/>
    <hyperlink r:id="rId1176" ref="A1320"/>
    <hyperlink r:id="rId1177" ref="A1321"/>
    <hyperlink r:id="rId1178" ref="A1322"/>
    <hyperlink r:id="rId1179" ref="A1323"/>
    <hyperlink r:id="rId1180" ref="A1324"/>
    <hyperlink r:id="rId1181" ref="A1325"/>
    <hyperlink r:id="rId1182" ref="A1326"/>
    <hyperlink r:id="rId1183" ref="A1327"/>
    <hyperlink r:id="rId1184" ref="A1328"/>
    <hyperlink r:id="rId1185" ref="A1329"/>
    <hyperlink r:id="rId1186" ref="A1330"/>
    <hyperlink r:id="rId1187" ref="A1331"/>
    <hyperlink r:id="rId1188" ref="A1332"/>
    <hyperlink r:id="rId1189" ref="A1333"/>
    <hyperlink r:id="rId1190" ref="A1334"/>
    <hyperlink r:id="rId1191" ref="A1335"/>
    <hyperlink r:id="rId1192" ref="A1336"/>
    <hyperlink r:id="rId1193" ref="A1337"/>
    <hyperlink r:id="rId1194" ref="A1338"/>
    <hyperlink r:id="rId1195" ref="A1339"/>
    <hyperlink r:id="rId1196" ref="A1340"/>
    <hyperlink r:id="rId1197" ref="A1341"/>
    <hyperlink r:id="rId1198" ref="A1342"/>
    <hyperlink r:id="rId1199" ref="A1343"/>
    <hyperlink r:id="rId1200" ref="A1344"/>
    <hyperlink r:id="rId1201" ref="A1345"/>
    <hyperlink r:id="rId1202" ref="A1346"/>
    <hyperlink r:id="rId1203" ref="A1347"/>
    <hyperlink r:id="rId1204" ref="A1348"/>
    <hyperlink r:id="rId1205" ref="A1349"/>
    <hyperlink r:id="rId1206" ref="A1350"/>
    <hyperlink r:id="rId1207" ref="A1351"/>
    <hyperlink r:id="rId1208" ref="A1352"/>
    <hyperlink r:id="rId1209" ref="A1353"/>
    <hyperlink r:id="rId1210" ref="A1354"/>
    <hyperlink r:id="rId1211" ref="A1355"/>
    <hyperlink r:id="rId1212" ref="A1356"/>
    <hyperlink r:id="rId1213" ref="A1357"/>
    <hyperlink r:id="rId1214" ref="A1358"/>
    <hyperlink r:id="rId1215" ref="A1359"/>
    <hyperlink r:id="rId1216" ref="A1360"/>
    <hyperlink r:id="rId1217" ref="A1361"/>
    <hyperlink r:id="rId1218" ref="A1362"/>
    <hyperlink r:id="rId1219" ref="A1363"/>
    <hyperlink r:id="rId1220" ref="A1364"/>
    <hyperlink r:id="rId1221" ref="A1365"/>
    <hyperlink r:id="rId1222" ref="A1366"/>
    <hyperlink r:id="rId1223" ref="A1367"/>
    <hyperlink r:id="rId1224" ref="A1368"/>
    <hyperlink r:id="rId1225" ref="A1369"/>
    <hyperlink r:id="rId1226" ref="A1370"/>
    <hyperlink r:id="rId1227" ref="A1371"/>
    <hyperlink r:id="rId1228" ref="A1372"/>
    <hyperlink r:id="rId1229" ref="A1373"/>
    <hyperlink r:id="rId1230" ref="A1374"/>
    <hyperlink r:id="rId1231" ref="A1375"/>
    <hyperlink r:id="rId1232" ref="A1376"/>
    <hyperlink r:id="rId1233" ref="A1377"/>
    <hyperlink r:id="rId1234" ref="A1378"/>
    <hyperlink r:id="rId1235" ref="A1379"/>
    <hyperlink r:id="rId1236" ref="A1380"/>
    <hyperlink r:id="rId1237" ref="A1381"/>
    <hyperlink r:id="rId1238" ref="A1382"/>
    <hyperlink r:id="rId1239" ref="A1383"/>
    <hyperlink r:id="rId1240" ref="A1384"/>
    <hyperlink r:id="rId1241" ref="A1385"/>
    <hyperlink r:id="rId1242" ref="A1386"/>
    <hyperlink r:id="rId1243" ref="A1387"/>
    <hyperlink r:id="rId1244" ref="A1388"/>
    <hyperlink r:id="rId1245" ref="A1389"/>
    <hyperlink r:id="rId1246" ref="A1390"/>
    <hyperlink r:id="rId1247" ref="A1391"/>
    <hyperlink r:id="rId1248" ref="A1392"/>
    <hyperlink r:id="rId1249" ref="A1393"/>
    <hyperlink r:id="rId1250" ref="A1394"/>
    <hyperlink r:id="rId1251" ref="A1395"/>
    <hyperlink r:id="rId1252" ref="A1396"/>
    <hyperlink r:id="rId1253" ref="A1397"/>
    <hyperlink r:id="rId1254" ref="A1398"/>
    <hyperlink r:id="rId1255" ref="A1399"/>
    <hyperlink r:id="rId1256" ref="A1400"/>
    <hyperlink r:id="rId1257" ref="A1401"/>
    <hyperlink r:id="rId1258" ref="A1402"/>
    <hyperlink r:id="rId1259" ref="A1403"/>
    <hyperlink r:id="rId1260" ref="A1404"/>
    <hyperlink r:id="rId1261" ref="A1405"/>
    <hyperlink r:id="rId1262" ref="A1406"/>
    <hyperlink r:id="rId1263" ref="A1407"/>
    <hyperlink r:id="rId1264" ref="A1408"/>
    <hyperlink r:id="rId1265" ref="A1409"/>
    <hyperlink r:id="rId1266" ref="A1410"/>
    <hyperlink r:id="rId1267" ref="A1411"/>
    <hyperlink r:id="rId1268" ref="A1412"/>
    <hyperlink r:id="rId1269" ref="A1413"/>
    <hyperlink r:id="rId1270" ref="A1414"/>
    <hyperlink r:id="rId1271" ref="A1415"/>
    <hyperlink r:id="rId1272" ref="A1416"/>
    <hyperlink r:id="rId1273" ref="A1417"/>
    <hyperlink r:id="rId1274" ref="A1418"/>
    <hyperlink r:id="rId1275" ref="A1419"/>
    <hyperlink r:id="rId1276" ref="A1420"/>
    <hyperlink r:id="rId1277" ref="A1421"/>
    <hyperlink r:id="rId1278" ref="A1422"/>
    <hyperlink r:id="rId1279" ref="A1423"/>
    <hyperlink r:id="rId1280" ref="A1424"/>
    <hyperlink r:id="rId1281" ref="A1425"/>
    <hyperlink r:id="rId1282" ref="A1426"/>
    <hyperlink r:id="rId1283" ref="A1427"/>
    <hyperlink r:id="rId1284" ref="A1428"/>
    <hyperlink r:id="rId1285" ref="A1429"/>
    <hyperlink r:id="rId1286" ref="A1430"/>
    <hyperlink r:id="rId1287" ref="A1431"/>
    <hyperlink r:id="rId1288" ref="A1432"/>
    <hyperlink r:id="rId1289" ref="A1433"/>
    <hyperlink r:id="rId1290" ref="A1434"/>
    <hyperlink r:id="rId1291" ref="A1435"/>
    <hyperlink r:id="rId1292" ref="A1436"/>
    <hyperlink r:id="rId1293" ref="A1437"/>
    <hyperlink r:id="rId1294" ref="A1438"/>
    <hyperlink r:id="rId1295" ref="A1439"/>
    <hyperlink r:id="rId1296" ref="A1440"/>
    <hyperlink r:id="rId1297" ref="A1441"/>
    <hyperlink r:id="rId1298" ref="A1442"/>
    <hyperlink r:id="rId1299" ref="A1443"/>
    <hyperlink r:id="rId1300" ref="A1444"/>
    <hyperlink r:id="rId1301" ref="A1445"/>
    <hyperlink r:id="rId1302" ref="A1446"/>
    <hyperlink r:id="rId1303" ref="A1447"/>
    <hyperlink r:id="rId1304" ref="A1448"/>
    <hyperlink r:id="rId1305" ref="A1449"/>
    <hyperlink r:id="rId1306" ref="A1450"/>
    <hyperlink r:id="rId1307" ref="A1451"/>
    <hyperlink r:id="rId1308" ref="A1452"/>
    <hyperlink r:id="rId1309" ref="A1453"/>
    <hyperlink r:id="rId1310" ref="A1454"/>
    <hyperlink r:id="rId1311" ref="A1455"/>
    <hyperlink r:id="rId1312" ref="A1456"/>
    <hyperlink r:id="rId1313" ref="A1457"/>
    <hyperlink r:id="rId1314" ref="A1458"/>
    <hyperlink r:id="rId1315" ref="A1459"/>
    <hyperlink r:id="rId1316" ref="A1460"/>
    <hyperlink r:id="rId1317" ref="A1461"/>
    <hyperlink r:id="rId1318" ref="A1462"/>
    <hyperlink r:id="rId1319" ref="A1463"/>
    <hyperlink r:id="rId1320" ref="A1464"/>
    <hyperlink r:id="rId1321" ref="A1465"/>
    <hyperlink r:id="rId1322" ref="A1466"/>
    <hyperlink r:id="rId1323" ref="A1467"/>
    <hyperlink r:id="rId1324" ref="A1468"/>
    <hyperlink r:id="rId1325" ref="A1469"/>
    <hyperlink r:id="rId1326" ref="A1470"/>
    <hyperlink r:id="rId1327" ref="A1471"/>
    <hyperlink r:id="rId1328" ref="A1472"/>
    <hyperlink r:id="rId1329" ref="A1473"/>
    <hyperlink r:id="rId1330" ref="A1474"/>
    <hyperlink r:id="rId1331" ref="A1475"/>
    <hyperlink r:id="rId1332" ref="A1476"/>
    <hyperlink r:id="rId1333" ref="A1477"/>
    <hyperlink r:id="rId1334" ref="A1478"/>
    <hyperlink r:id="rId1335" ref="A1479"/>
    <hyperlink r:id="rId1336" ref="A1480"/>
    <hyperlink r:id="rId1337" ref="A1481"/>
    <hyperlink r:id="rId1338" ref="A1482"/>
    <hyperlink r:id="rId1339" ref="A1483"/>
    <hyperlink r:id="rId1340" ref="A1484"/>
    <hyperlink r:id="rId1341" ref="A1485"/>
    <hyperlink r:id="rId1342" ref="A1486"/>
    <hyperlink r:id="rId1343" ref="A1487"/>
    <hyperlink r:id="rId1344" ref="A1488"/>
    <hyperlink r:id="rId1345" ref="A1489"/>
    <hyperlink r:id="rId1346" ref="A1490"/>
    <hyperlink r:id="rId1347" ref="A1491"/>
    <hyperlink r:id="rId1348" ref="A1492"/>
    <hyperlink r:id="rId1349" ref="A1493"/>
    <hyperlink r:id="rId1350" ref="A1494"/>
    <hyperlink r:id="rId1351" ref="A1495"/>
    <hyperlink r:id="rId1352" ref="A1496"/>
    <hyperlink r:id="rId1353" ref="A1497"/>
    <hyperlink r:id="rId1354" ref="A1498"/>
    <hyperlink r:id="rId1355" ref="A1499"/>
    <hyperlink r:id="rId1356" ref="A1500"/>
    <hyperlink r:id="rId1357" ref="A1501"/>
    <hyperlink r:id="rId1358" ref="A1502"/>
    <hyperlink r:id="rId1359" ref="A1503"/>
    <hyperlink r:id="rId1360" ref="A1504"/>
    <hyperlink r:id="rId1361" ref="A1505"/>
    <hyperlink r:id="rId1362" ref="A1506"/>
    <hyperlink r:id="rId1363" ref="A1507"/>
    <hyperlink r:id="rId1364" ref="A1508"/>
    <hyperlink r:id="rId1365" ref="A1509"/>
    <hyperlink r:id="rId1366" ref="A1510"/>
    <hyperlink r:id="rId1367" ref="A1511"/>
    <hyperlink r:id="rId1368" ref="A1512"/>
    <hyperlink r:id="rId1369" ref="A1513"/>
    <hyperlink r:id="rId1370" ref="A1514"/>
    <hyperlink r:id="rId1371" ref="A1515"/>
    <hyperlink r:id="rId1372" ref="A1516"/>
    <hyperlink r:id="rId1373" ref="A1517"/>
    <hyperlink r:id="rId1374" ref="A1518"/>
    <hyperlink r:id="rId1375" ref="A1519"/>
    <hyperlink r:id="rId1376" ref="A1520"/>
    <hyperlink r:id="rId1377" ref="A1521"/>
    <hyperlink r:id="rId1378" ref="A1522"/>
    <hyperlink r:id="rId1379" ref="A1523"/>
    <hyperlink r:id="rId1380" ref="A1524"/>
    <hyperlink r:id="rId1381" ref="A1525"/>
    <hyperlink r:id="rId1382" ref="A1526"/>
    <hyperlink r:id="rId1383" ref="A1527"/>
    <hyperlink r:id="rId1384" ref="A1528"/>
    <hyperlink r:id="rId1385" ref="A1529"/>
    <hyperlink r:id="rId1386" ref="A1530"/>
    <hyperlink r:id="rId1387" ref="A1531"/>
    <hyperlink r:id="rId1388" ref="A1532"/>
    <hyperlink r:id="rId1389" ref="A1533"/>
    <hyperlink r:id="rId1390" ref="A1534"/>
    <hyperlink r:id="rId1391" ref="A1535"/>
    <hyperlink r:id="rId1392" ref="A1536"/>
    <hyperlink r:id="rId1393" ref="A1537"/>
    <hyperlink r:id="rId1394" ref="A1538"/>
    <hyperlink r:id="rId1395" ref="A1539"/>
    <hyperlink r:id="rId1396" ref="A1540"/>
    <hyperlink r:id="rId1397" ref="A1541"/>
    <hyperlink r:id="rId1398" ref="A1542"/>
    <hyperlink r:id="rId1399" ref="A1543"/>
    <hyperlink r:id="rId1400" ref="A1544"/>
    <hyperlink r:id="rId1401" ref="A1545"/>
    <hyperlink r:id="rId1402" ref="A1546"/>
    <hyperlink r:id="rId1403" ref="A1547"/>
    <hyperlink r:id="rId1404" ref="A1548"/>
    <hyperlink r:id="rId1405" ref="A1549"/>
    <hyperlink r:id="rId1406" ref="A1550"/>
    <hyperlink r:id="rId1407" ref="A1551"/>
    <hyperlink r:id="rId1408" ref="A1552"/>
    <hyperlink r:id="rId1409" ref="A1553"/>
    <hyperlink r:id="rId1410" ref="A1554"/>
    <hyperlink r:id="rId1411" ref="A1555"/>
    <hyperlink r:id="rId1412" ref="A1556"/>
    <hyperlink r:id="rId1413" ref="A1557"/>
    <hyperlink r:id="rId1414" ref="A1558"/>
    <hyperlink r:id="rId1415" ref="A1559"/>
    <hyperlink r:id="rId1416" ref="A1560"/>
    <hyperlink r:id="rId1417" ref="A1561"/>
    <hyperlink r:id="rId1418" ref="A1562"/>
    <hyperlink r:id="rId1419" ref="A1563"/>
    <hyperlink r:id="rId1420" ref="A1564"/>
    <hyperlink r:id="rId1421" ref="A1565"/>
    <hyperlink r:id="rId1422" ref="A1566"/>
    <hyperlink r:id="rId1423" ref="A1567"/>
  </hyperlinks>
  <drawing r:id="rId1424"/>
  <tableParts count="1">
    <tablePart r:id="rId1426"/>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13"/>
    <col customWidth="1" min="2" max="2" width="10.75"/>
    <col customWidth="1" min="5" max="5" width="4.5"/>
    <col customWidth="1" min="6" max="6" width="4.38"/>
    <col customWidth="1" min="7" max="7" width="9.88"/>
    <col customWidth="1" min="8" max="8" width="10.5"/>
    <col customWidth="1" min="9" max="9" width="53.63"/>
    <col customWidth="1" min="10" max="10" width="8.38"/>
    <col customWidth="1" min="11" max="11" width="5.0"/>
    <col customWidth="1" min="13" max="13" width="7.25"/>
  </cols>
  <sheetData>
    <row r="1">
      <c r="A1" s="1" t="s">
        <v>0</v>
      </c>
      <c r="B1" s="1" t="s">
        <v>1</v>
      </c>
      <c r="C1" s="1" t="s">
        <v>2</v>
      </c>
      <c r="D1" s="1" t="s">
        <v>3</v>
      </c>
      <c r="E1" s="1" t="s">
        <v>4</v>
      </c>
      <c r="F1" s="1" t="s">
        <v>5</v>
      </c>
      <c r="G1" s="1" t="s">
        <v>6</v>
      </c>
      <c r="H1" s="2" t="s">
        <v>7</v>
      </c>
      <c r="I1" s="1" t="s">
        <v>8</v>
      </c>
      <c r="J1" s="1" t="s">
        <v>9</v>
      </c>
      <c r="K1" s="1" t="s">
        <v>10</v>
      </c>
      <c r="L1" s="1" t="s">
        <v>11</v>
      </c>
      <c r="M1" s="3" t="s">
        <v>12</v>
      </c>
      <c r="N1" s="4" t="s">
        <v>13</v>
      </c>
      <c r="O1" s="5"/>
      <c r="P1" s="5"/>
      <c r="Q1" s="5"/>
      <c r="R1" s="5"/>
      <c r="S1" s="5"/>
      <c r="T1" s="5"/>
      <c r="U1" s="5"/>
      <c r="V1" s="5"/>
      <c r="W1" s="5"/>
      <c r="X1" s="5"/>
      <c r="Y1" s="5"/>
      <c r="Z1" s="5"/>
    </row>
    <row r="2">
      <c r="A2" s="6" t="str">
        <f>HYPERLINK("https://drive.google.com/file/d/1g6fL1TI2Qpo9csKvKEU4Kz9lWtOsChQO/view?usp=sharing","E-001")</f>
        <v>E-001</v>
      </c>
      <c r="B2" s="7" t="s">
        <v>14</v>
      </c>
      <c r="C2" s="7" t="s">
        <v>15</v>
      </c>
      <c r="D2" s="7" t="s">
        <v>16</v>
      </c>
      <c r="E2" s="8">
        <v>0.0</v>
      </c>
      <c r="F2" s="7" t="s">
        <v>17</v>
      </c>
      <c r="G2" s="5" t="s">
        <v>19</v>
      </c>
      <c r="H2" s="7" t="s">
        <v>16</v>
      </c>
      <c r="I2" s="7" t="s">
        <v>20</v>
      </c>
      <c r="J2" s="7" t="s">
        <v>16</v>
      </c>
      <c r="K2" s="7" t="s">
        <v>16</v>
      </c>
      <c r="L2" s="7" t="s">
        <v>21</v>
      </c>
      <c r="M2" s="10" t="s">
        <v>22</v>
      </c>
      <c r="N2" s="11" t="s">
        <v>23</v>
      </c>
      <c r="O2" s="5"/>
      <c r="P2" s="5"/>
      <c r="Q2" s="5"/>
      <c r="R2" s="5"/>
      <c r="S2" s="5"/>
      <c r="T2" s="5"/>
      <c r="U2" s="5"/>
      <c r="V2" s="5"/>
      <c r="W2" s="5"/>
      <c r="X2" s="5"/>
      <c r="Y2" s="5"/>
      <c r="Z2" s="5"/>
    </row>
    <row r="3">
      <c r="A3" s="6" t="str">
        <f>HYPERLINK("https://drive.google.com/file/d/1SmMFXPmmqqDlIhC2iHI-sKQ1IdFLtKsa/view?usp=sharing", "E-002")</f>
        <v>E-002</v>
      </c>
      <c r="B3" s="7" t="s">
        <v>14</v>
      </c>
      <c r="C3" s="7" t="s">
        <v>25</v>
      </c>
      <c r="D3" s="7" t="s">
        <v>16</v>
      </c>
      <c r="E3" s="8">
        <v>2.0</v>
      </c>
      <c r="F3" s="7" t="s">
        <v>17</v>
      </c>
      <c r="G3" s="5" t="s">
        <v>19</v>
      </c>
      <c r="H3" s="7" t="s">
        <v>16</v>
      </c>
      <c r="I3" s="7" t="s">
        <v>26</v>
      </c>
      <c r="J3" s="7" t="s">
        <v>16</v>
      </c>
      <c r="K3" s="7" t="s">
        <v>16</v>
      </c>
      <c r="L3" s="7" t="s">
        <v>21</v>
      </c>
      <c r="M3" s="10" t="s">
        <v>22</v>
      </c>
      <c r="N3" s="11" t="s">
        <v>27</v>
      </c>
      <c r="O3" s="5"/>
      <c r="P3" s="5"/>
      <c r="Q3" s="5"/>
      <c r="R3" s="5"/>
      <c r="S3" s="5"/>
      <c r="T3" s="5"/>
      <c r="U3" s="5"/>
      <c r="V3" s="5"/>
      <c r="W3" s="5"/>
      <c r="X3" s="5"/>
      <c r="Y3" s="5"/>
      <c r="Z3" s="5"/>
    </row>
    <row r="4">
      <c r="A4" s="6" t="str">
        <f>HYPERLINK("https://drive.google.com/file/d/1FoYa0ybMHZKGRqQur--iCbuc_1B0bpWH/view?usp=sharing", "E-003")</f>
        <v>E-003</v>
      </c>
      <c r="B4" s="5" t="s">
        <v>14</v>
      </c>
      <c r="C4" s="7" t="s">
        <v>30</v>
      </c>
      <c r="D4" s="7" t="s">
        <v>16</v>
      </c>
      <c r="E4" s="8">
        <v>0.0</v>
      </c>
      <c r="F4" s="7" t="s">
        <v>17</v>
      </c>
      <c r="G4" s="5" t="s">
        <v>19</v>
      </c>
      <c r="H4" s="7" t="s">
        <v>16</v>
      </c>
      <c r="I4" s="7" t="s">
        <v>31</v>
      </c>
      <c r="J4" s="7" t="s">
        <v>16</v>
      </c>
      <c r="K4" s="7" t="s">
        <v>16</v>
      </c>
      <c r="L4" s="7" t="s">
        <v>21</v>
      </c>
      <c r="M4" s="10" t="s">
        <v>22</v>
      </c>
      <c r="N4" s="11" t="s">
        <v>33</v>
      </c>
      <c r="O4" s="5"/>
      <c r="P4" s="5"/>
      <c r="Q4" s="5"/>
      <c r="R4" s="5"/>
      <c r="S4" s="5"/>
      <c r="T4" s="5"/>
      <c r="U4" s="5"/>
      <c r="V4" s="5"/>
      <c r="W4" s="5"/>
      <c r="X4" s="5"/>
      <c r="Y4" s="5"/>
      <c r="Z4" s="5"/>
    </row>
    <row r="5">
      <c r="A5" s="17" t="str">
        <f>HYPERLINK("https://drive.google.com/file/d/10aFTiGhvZtVXStOTICYsZckDrtIhasmq/view?usp=sharing", "E-004")</f>
        <v>E-004</v>
      </c>
      <c r="B5" s="5" t="s">
        <v>14</v>
      </c>
      <c r="C5" s="7" t="s">
        <v>34</v>
      </c>
      <c r="D5" s="7" t="s">
        <v>16</v>
      </c>
      <c r="E5" s="8">
        <v>5.0</v>
      </c>
      <c r="F5" s="7" t="s">
        <v>17</v>
      </c>
      <c r="G5" s="5" t="s">
        <v>19</v>
      </c>
      <c r="H5" s="7" t="s">
        <v>16</v>
      </c>
      <c r="I5" s="7" t="s">
        <v>35</v>
      </c>
      <c r="J5" s="7" t="s">
        <v>16</v>
      </c>
      <c r="K5" s="7" t="s">
        <v>16</v>
      </c>
      <c r="L5" s="7" t="s">
        <v>21</v>
      </c>
      <c r="M5" s="10" t="s">
        <v>36</v>
      </c>
      <c r="N5" s="11" t="s">
        <v>37</v>
      </c>
      <c r="O5" s="5"/>
      <c r="P5" s="5"/>
      <c r="Q5" s="5"/>
      <c r="R5" s="5"/>
      <c r="S5" s="5"/>
      <c r="T5" s="5"/>
      <c r="U5" s="5"/>
      <c r="V5" s="5"/>
      <c r="W5" s="5"/>
      <c r="X5" s="5"/>
      <c r="Y5" s="5"/>
      <c r="Z5" s="5"/>
    </row>
    <row r="6">
      <c r="A6" s="17" t="s">
        <v>38</v>
      </c>
      <c r="B6" s="5" t="s">
        <v>14</v>
      </c>
      <c r="C6" s="7" t="s">
        <v>40</v>
      </c>
      <c r="D6" s="7" t="s">
        <v>16</v>
      </c>
      <c r="E6" s="8">
        <v>0.0</v>
      </c>
      <c r="F6" s="7" t="s">
        <v>17</v>
      </c>
      <c r="G6" s="5" t="s">
        <v>19</v>
      </c>
      <c r="H6" s="7" t="s">
        <v>16</v>
      </c>
      <c r="I6" s="7" t="s">
        <v>41</v>
      </c>
      <c r="J6" s="7" t="s">
        <v>16</v>
      </c>
      <c r="K6" s="7" t="s">
        <v>16</v>
      </c>
      <c r="L6" s="7" t="s">
        <v>42</v>
      </c>
      <c r="M6" s="10" t="s">
        <v>22</v>
      </c>
      <c r="N6" s="11" t="s">
        <v>43</v>
      </c>
      <c r="O6" s="5"/>
      <c r="P6" s="5"/>
      <c r="Q6" s="5"/>
      <c r="R6" s="5"/>
      <c r="S6" s="5"/>
      <c r="T6" s="5"/>
      <c r="U6" s="5"/>
      <c r="V6" s="5"/>
      <c r="W6" s="5"/>
      <c r="X6" s="5"/>
      <c r="Y6" s="5"/>
      <c r="Z6" s="5"/>
    </row>
    <row r="7">
      <c r="A7" s="17" t="s">
        <v>44</v>
      </c>
      <c r="B7" s="5" t="s">
        <v>14</v>
      </c>
      <c r="C7" s="7" t="s">
        <v>45</v>
      </c>
      <c r="D7" s="7" t="s">
        <v>16</v>
      </c>
      <c r="E7" s="8">
        <v>0.0</v>
      </c>
      <c r="F7" s="7" t="s">
        <v>17</v>
      </c>
      <c r="G7" s="5" t="s">
        <v>19</v>
      </c>
      <c r="H7" s="7" t="s">
        <v>16</v>
      </c>
      <c r="I7" s="7" t="s">
        <v>46</v>
      </c>
      <c r="J7" s="7" t="s">
        <v>16</v>
      </c>
      <c r="K7" s="7" t="s">
        <v>16</v>
      </c>
      <c r="L7" s="7" t="s">
        <v>21</v>
      </c>
      <c r="M7" s="10" t="s">
        <v>22</v>
      </c>
      <c r="N7" s="11" t="s">
        <v>47</v>
      </c>
      <c r="O7" s="5"/>
      <c r="P7" s="5"/>
      <c r="Q7" s="5"/>
      <c r="R7" s="5"/>
      <c r="S7" s="5"/>
      <c r="T7" s="5"/>
      <c r="U7" s="5"/>
      <c r="V7" s="5"/>
      <c r="W7" s="5"/>
      <c r="X7" s="5"/>
      <c r="Y7" s="5"/>
      <c r="Z7" s="5"/>
    </row>
    <row r="8">
      <c r="A8" s="17" t="s">
        <v>48</v>
      </c>
      <c r="B8" s="5" t="s">
        <v>14</v>
      </c>
      <c r="C8" s="7" t="s">
        <v>49</v>
      </c>
      <c r="D8" s="7" t="s">
        <v>16</v>
      </c>
      <c r="E8" s="8">
        <v>1.0</v>
      </c>
      <c r="F8" s="7" t="s">
        <v>17</v>
      </c>
      <c r="G8" s="5" t="s">
        <v>19</v>
      </c>
      <c r="H8" s="7" t="s">
        <v>16</v>
      </c>
      <c r="I8" s="7" t="s">
        <v>50</v>
      </c>
      <c r="J8" s="7" t="s">
        <v>16</v>
      </c>
      <c r="K8" s="7" t="s">
        <v>16</v>
      </c>
      <c r="L8" s="7" t="s">
        <v>21</v>
      </c>
      <c r="M8" s="10" t="s">
        <v>22</v>
      </c>
      <c r="N8" s="11" t="s">
        <v>51</v>
      </c>
      <c r="O8" s="5"/>
      <c r="P8" s="5"/>
      <c r="Q8" s="5"/>
      <c r="R8" s="5"/>
      <c r="S8" s="5"/>
      <c r="T8" s="5"/>
      <c r="U8" s="5"/>
      <c r="V8" s="5"/>
      <c r="W8" s="5"/>
      <c r="X8" s="5"/>
      <c r="Y8" s="5"/>
      <c r="Z8" s="5"/>
    </row>
    <row r="9">
      <c r="A9" s="17" t="s">
        <v>52</v>
      </c>
      <c r="B9" s="5" t="s">
        <v>14</v>
      </c>
      <c r="C9" s="7" t="s">
        <v>49</v>
      </c>
      <c r="D9" s="7" t="s">
        <v>16</v>
      </c>
      <c r="E9" s="8">
        <v>1.0</v>
      </c>
      <c r="F9" s="7" t="s">
        <v>17</v>
      </c>
      <c r="G9" s="5" t="s">
        <v>19</v>
      </c>
      <c r="H9" s="7" t="s">
        <v>16</v>
      </c>
      <c r="I9" s="7" t="s">
        <v>53</v>
      </c>
      <c r="J9" s="7" t="s">
        <v>16</v>
      </c>
      <c r="K9" s="7" t="s">
        <v>16</v>
      </c>
      <c r="L9" s="7" t="s">
        <v>21</v>
      </c>
      <c r="M9" s="10" t="s">
        <v>22</v>
      </c>
      <c r="N9" s="11" t="s">
        <v>51</v>
      </c>
      <c r="O9" s="5"/>
      <c r="P9" s="5"/>
      <c r="Q9" s="5"/>
      <c r="R9" s="5"/>
      <c r="S9" s="5"/>
      <c r="T9" s="5"/>
      <c r="U9" s="5"/>
      <c r="V9" s="5"/>
      <c r="W9" s="5"/>
      <c r="X9" s="5"/>
      <c r="Y9" s="5"/>
      <c r="Z9" s="5"/>
    </row>
    <row r="10">
      <c r="A10" s="17" t="s">
        <v>54</v>
      </c>
      <c r="B10" s="5" t="s">
        <v>14</v>
      </c>
      <c r="C10" s="7" t="s">
        <v>55</v>
      </c>
      <c r="D10" s="7" t="s">
        <v>16</v>
      </c>
      <c r="E10" s="8">
        <v>0.0</v>
      </c>
      <c r="F10" s="7" t="s">
        <v>17</v>
      </c>
      <c r="G10" s="5" t="s">
        <v>19</v>
      </c>
      <c r="H10" s="7" t="s">
        <v>16</v>
      </c>
      <c r="I10" s="7" t="s">
        <v>56</v>
      </c>
      <c r="J10" s="7" t="s">
        <v>16</v>
      </c>
      <c r="K10" s="7" t="s">
        <v>16</v>
      </c>
      <c r="L10" s="7" t="s">
        <v>21</v>
      </c>
      <c r="M10" s="10" t="s">
        <v>36</v>
      </c>
      <c r="N10" s="11" t="s">
        <v>57</v>
      </c>
      <c r="O10" s="5"/>
      <c r="P10" s="5"/>
      <c r="Q10" s="5"/>
      <c r="R10" s="5"/>
      <c r="S10" s="5"/>
      <c r="T10" s="5"/>
      <c r="U10" s="5"/>
      <c r="V10" s="5"/>
      <c r="W10" s="5"/>
      <c r="X10" s="5"/>
      <c r="Y10" s="5"/>
      <c r="Z10" s="5"/>
    </row>
    <row r="11">
      <c r="A11" s="17" t="s">
        <v>58</v>
      </c>
      <c r="B11" s="7" t="s">
        <v>14</v>
      </c>
      <c r="C11" s="7" t="s">
        <v>59</v>
      </c>
      <c r="D11" s="7" t="s">
        <v>16</v>
      </c>
      <c r="E11" s="8">
        <v>3.0</v>
      </c>
      <c r="F11" s="7" t="s">
        <v>17</v>
      </c>
      <c r="G11" s="5" t="s">
        <v>19</v>
      </c>
      <c r="H11" s="7" t="s">
        <v>16</v>
      </c>
      <c r="I11" s="7" t="s">
        <v>60</v>
      </c>
      <c r="J11" s="7" t="s">
        <v>16</v>
      </c>
      <c r="K11" s="7" t="s">
        <v>16</v>
      </c>
      <c r="L11" s="7" t="s">
        <v>21</v>
      </c>
      <c r="M11" s="10" t="s">
        <v>36</v>
      </c>
      <c r="N11" s="11" t="s">
        <v>61</v>
      </c>
      <c r="O11" s="5"/>
      <c r="P11" s="5"/>
      <c r="Q11" s="5"/>
      <c r="R11" s="5"/>
      <c r="S11" s="5"/>
      <c r="T11" s="5"/>
      <c r="U11" s="5"/>
      <c r="V11" s="5"/>
      <c r="W11" s="5"/>
      <c r="X11" s="5"/>
      <c r="Y11" s="5"/>
      <c r="Z11" s="5"/>
    </row>
    <row r="12">
      <c r="A12" s="17" t="s">
        <v>62</v>
      </c>
      <c r="B12" s="7" t="s">
        <v>14</v>
      </c>
      <c r="C12" s="7" t="s">
        <v>63</v>
      </c>
      <c r="D12" s="7" t="s">
        <v>16</v>
      </c>
      <c r="E12" s="8">
        <v>3.0</v>
      </c>
      <c r="F12" s="7" t="s">
        <v>17</v>
      </c>
      <c r="G12" s="5" t="s">
        <v>19</v>
      </c>
      <c r="H12" s="7" t="s">
        <v>16</v>
      </c>
      <c r="I12" s="7" t="s">
        <v>64</v>
      </c>
      <c r="J12" s="7" t="s">
        <v>16</v>
      </c>
      <c r="K12" s="7" t="s">
        <v>16</v>
      </c>
      <c r="L12" s="7" t="s">
        <v>21</v>
      </c>
      <c r="M12" s="10" t="s">
        <v>36</v>
      </c>
      <c r="N12" s="11" t="s">
        <v>65</v>
      </c>
      <c r="O12" s="5"/>
      <c r="P12" s="5"/>
      <c r="Q12" s="5"/>
      <c r="R12" s="5"/>
      <c r="S12" s="5"/>
      <c r="T12" s="5"/>
      <c r="U12" s="5"/>
      <c r="V12" s="5"/>
      <c r="W12" s="5"/>
      <c r="X12" s="5"/>
      <c r="Y12" s="5"/>
      <c r="Z12" s="5"/>
    </row>
    <row r="13">
      <c r="A13" s="17" t="s">
        <v>66</v>
      </c>
      <c r="B13" s="7" t="s">
        <v>14</v>
      </c>
      <c r="C13" s="7" t="s">
        <v>63</v>
      </c>
      <c r="D13" s="7" t="s">
        <v>16</v>
      </c>
      <c r="E13" s="8">
        <v>3.0</v>
      </c>
      <c r="F13" s="7" t="s">
        <v>17</v>
      </c>
      <c r="G13" s="5" t="s">
        <v>19</v>
      </c>
      <c r="H13" s="7" t="s">
        <v>16</v>
      </c>
      <c r="I13" s="7" t="s">
        <v>67</v>
      </c>
      <c r="J13" s="7" t="s">
        <v>16</v>
      </c>
      <c r="K13" s="7" t="s">
        <v>16</v>
      </c>
      <c r="L13" s="7" t="s">
        <v>21</v>
      </c>
      <c r="M13" s="10" t="s">
        <v>36</v>
      </c>
      <c r="N13" s="11" t="s">
        <v>65</v>
      </c>
      <c r="O13" s="5"/>
      <c r="P13" s="5"/>
      <c r="Q13" s="5"/>
      <c r="R13" s="5"/>
      <c r="S13" s="5"/>
      <c r="T13" s="5"/>
      <c r="U13" s="5"/>
      <c r="V13" s="5"/>
      <c r="W13" s="5"/>
      <c r="X13" s="5"/>
      <c r="Y13" s="5"/>
      <c r="Z13" s="5"/>
    </row>
    <row r="14">
      <c r="A14" s="17" t="s">
        <v>68</v>
      </c>
      <c r="B14" s="7" t="s">
        <v>14</v>
      </c>
      <c r="C14" s="7" t="s">
        <v>69</v>
      </c>
      <c r="D14" s="7" t="s">
        <v>16</v>
      </c>
      <c r="E14" s="8">
        <v>3.0</v>
      </c>
      <c r="F14" s="7" t="s">
        <v>17</v>
      </c>
      <c r="G14" s="5" t="s">
        <v>19</v>
      </c>
      <c r="H14" s="7" t="s">
        <v>16</v>
      </c>
      <c r="I14" s="7" t="s">
        <v>70</v>
      </c>
      <c r="J14" s="7" t="s">
        <v>16</v>
      </c>
      <c r="K14" s="7" t="s">
        <v>16</v>
      </c>
      <c r="L14" s="7" t="s">
        <v>21</v>
      </c>
      <c r="M14" s="10" t="s">
        <v>36</v>
      </c>
      <c r="N14" s="11" t="s">
        <v>71</v>
      </c>
      <c r="O14" s="5"/>
      <c r="P14" s="5"/>
      <c r="Q14" s="5"/>
      <c r="R14" s="5"/>
      <c r="S14" s="5"/>
      <c r="T14" s="5"/>
      <c r="U14" s="5"/>
      <c r="V14" s="5"/>
      <c r="W14" s="5"/>
      <c r="X14" s="5"/>
      <c r="Y14" s="5"/>
      <c r="Z14" s="5"/>
    </row>
    <row r="15">
      <c r="A15" s="17" t="s">
        <v>72</v>
      </c>
      <c r="B15" s="7" t="s">
        <v>14</v>
      </c>
      <c r="C15" s="7" t="s">
        <v>73</v>
      </c>
      <c r="D15" s="7" t="s">
        <v>16</v>
      </c>
      <c r="E15" s="8">
        <v>3.0</v>
      </c>
      <c r="F15" s="7" t="s">
        <v>17</v>
      </c>
      <c r="G15" s="5" t="s">
        <v>19</v>
      </c>
      <c r="H15" s="7" t="s">
        <v>16</v>
      </c>
      <c r="I15" s="7" t="s">
        <v>74</v>
      </c>
      <c r="J15" s="7" t="s">
        <v>16</v>
      </c>
      <c r="K15" s="7" t="s">
        <v>16</v>
      </c>
      <c r="L15" s="7" t="s">
        <v>21</v>
      </c>
      <c r="M15" s="10" t="s">
        <v>75</v>
      </c>
      <c r="N15" s="11" t="s">
        <v>76</v>
      </c>
      <c r="O15" s="5"/>
      <c r="P15" s="5"/>
      <c r="Q15" s="5"/>
      <c r="R15" s="5"/>
      <c r="S15" s="5"/>
      <c r="T15" s="5"/>
      <c r="U15" s="5"/>
      <c r="V15" s="5"/>
      <c r="W15" s="5"/>
      <c r="X15" s="5"/>
      <c r="Y15" s="5"/>
      <c r="Z15" s="5"/>
    </row>
    <row r="16">
      <c r="A16" s="17" t="s">
        <v>77</v>
      </c>
      <c r="B16" s="7" t="s">
        <v>14</v>
      </c>
      <c r="C16" s="7" t="s">
        <v>78</v>
      </c>
      <c r="D16" s="7" t="s">
        <v>16</v>
      </c>
      <c r="E16" s="8">
        <v>0.0</v>
      </c>
      <c r="F16" s="7" t="s">
        <v>17</v>
      </c>
      <c r="G16" s="5" t="s">
        <v>19</v>
      </c>
      <c r="H16" s="7" t="s">
        <v>16</v>
      </c>
      <c r="I16" s="7" t="s">
        <v>79</v>
      </c>
      <c r="J16" s="7" t="s">
        <v>16</v>
      </c>
      <c r="K16" s="7" t="s">
        <v>16</v>
      </c>
      <c r="L16" s="7" t="s">
        <v>80</v>
      </c>
      <c r="M16" s="10" t="s">
        <v>75</v>
      </c>
      <c r="N16" s="11" t="s">
        <v>81</v>
      </c>
      <c r="O16" s="5"/>
      <c r="P16" s="5"/>
      <c r="Q16" s="5"/>
      <c r="R16" s="5"/>
      <c r="S16" s="5"/>
      <c r="T16" s="5"/>
      <c r="U16" s="5"/>
      <c r="V16" s="5"/>
      <c r="W16" s="5"/>
      <c r="X16" s="5"/>
      <c r="Y16" s="5"/>
      <c r="Z16" s="5"/>
    </row>
    <row r="17">
      <c r="A17" s="17" t="s">
        <v>82</v>
      </c>
      <c r="B17" s="7" t="s">
        <v>14</v>
      </c>
      <c r="C17" s="7" t="s">
        <v>78</v>
      </c>
      <c r="D17" s="7" t="s">
        <v>16</v>
      </c>
      <c r="E17" s="8">
        <v>0.0</v>
      </c>
      <c r="F17" s="7" t="s">
        <v>17</v>
      </c>
      <c r="G17" s="5" t="s">
        <v>19</v>
      </c>
      <c r="H17" s="7" t="s">
        <v>16</v>
      </c>
      <c r="I17" s="7" t="s">
        <v>83</v>
      </c>
      <c r="J17" s="7" t="s">
        <v>16</v>
      </c>
      <c r="K17" s="7" t="s">
        <v>16</v>
      </c>
      <c r="L17" s="7" t="s">
        <v>80</v>
      </c>
      <c r="M17" s="5" t="s">
        <v>75</v>
      </c>
      <c r="N17" s="11" t="s">
        <v>81</v>
      </c>
      <c r="O17" s="5"/>
      <c r="P17" s="5"/>
      <c r="Q17" s="5"/>
      <c r="R17" s="5"/>
      <c r="S17" s="5"/>
      <c r="T17" s="5"/>
      <c r="U17" s="5"/>
      <c r="V17" s="5"/>
      <c r="W17" s="5"/>
      <c r="X17" s="5"/>
      <c r="Y17" s="5"/>
      <c r="Z17" s="5"/>
    </row>
    <row r="18">
      <c r="A18" s="17" t="s">
        <v>84</v>
      </c>
      <c r="B18" s="5" t="s">
        <v>14</v>
      </c>
      <c r="C18" s="7" t="s">
        <v>85</v>
      </c>
      <c r="D18" s="7" t="s">
        <v>16</v>
      </c>
      <c r="E18" s="8">
        <v>2.0</v>
      </c>
      <c r="F18" s="7" t="s">
        <v>17</v>
      </c>
      <c r="G18" s="5" t="s">
        <v>19</v>
      </c>
      <c r="H18" s="7" t="s">
        <v>16</v>
      </c>
      <c r="I18" s="7" t="s">
        <v>86</v>
      </c>
      <c r="J18" s="7" t="s">
        <v>16</v>
      </c>
      <c r="K18" s="7" t="s">
        <v>16</v>
      </c>
      <c r="L18" s="7" t="s">
        <v>87</v>
      </c>
      <c r="M18" s="10" t="s">
        <v>88</v>
      </c>
      <c r="N18" s="11" t="s">
        <v>89</v>
      </c>
      <c r="O18" s="5"/>
      <c r="P18" s="5"/>
      <c r="Q18" s="5"/>
      <c r="R18" s="5"/>
      <c r="S18" s="5"/>
      <c r="T18" s="5"/>
      <c r="U18" s="5"/>
      <c r="V18" s="5"/>
      <c r="W18" s="5"/>
      <c r="X18" s="5"/>
      <c r="Y18" s="5"/>
      <c r="Z18" s="5"/>
    </row>
    <row r="19">
      <c r="A19" s="17" t="s">
        <v>90</v>
      </c>
      <c r="B19" s="7" t="s">
        <v>14</v>
      </c>
      <c r="C19" s="7" t="s">
        <v>91</v>
      </c>
      <c r="D19" s="7" t="s">
        <v>16</v>
      </c>
      <c r="E19" s="8">
        <v>0.0</v>
      </c>
      <c r="F19" s="7" t="s">
        <v>17</v>
      </c>
      <c r="G19" s="5" t="s">
        <v>19</v>
      </c>
      <c r="H19" s="7" t="s">
        <v>16</v>
      </c>
      <c r="I19" s="7" t="s">
        <v>92</v>
      </c>
      <c r="J19" s="7" t="s">
        <v>16</v>
      </c>
      <c r="K19" s="7" t="s">
        <v>16</v>
      </c>
      <c r="L19" s="7" t="s">
        <v>21</v>
      </c>
      <c r="M19" s="10" t="s">
        <v>75</v>
      </c>
      <c r="N19" s="11" t="s">
        <v>93</v>
      </c>
      <c r="O19" s="5"/>
      <c r="P19" s="5"/>
      <c r="Q19" s="5"/>
      <c r="R19" s="5"/>
      <c r="S19" s="5"/>
      <c r="T19" s="5"/>
      <c r="U19" s="5"/>
      <c r="V19" s="5"/>
      <c r="W19" s="5"/>
      <c r="X19" s="5"/>
      <c r="Y19" s="5"/>
      <c r="Z19" s="5"/>
    </row>
    <row r="20">
      <c r="A20" s="17" t="s">
        <v>94</v>
      </c>
      <c r="B20" s="7" t="s">
        <v>14</v>
      </c>
      <c r="C20" s="7" t="s">
        <v>95</v>
      </c>
      <c r="D20" s="7" t="s">
        <v>16</v>
      </c>
      <c r="E20" s="8">
        <v>3.0</v>
      </c>
      <c r="F20" s="7" t="s">
        <v>17</v>
      </c>
      <c r="G20" s="5" t="s">
        <v>19</v>
      </c>
      <c r="H20" s="7" t="s">
        <v>16</v>
      </c>
      <c r="I20" s="7" t="s">
        <v>96</v>
      </c>
      <c r="J20" s="7" t="s">
        <v>16</v>
      </c>
      <c r="K20" s="7" t="s">
        <v>16</v>
      </c>
      <c r="L20" s="7" t="s">
        <v>97</v>
      </c>
      <c r="M20" s="10" t="s">
        <v>36</v>
      </c>
      <c r="N20" s="11" t="s">
        <v>98</v>
      </c>
      <c r="O20" s="5"/>
      <c r="P20" s="5"/>
      <c r="Q20" s="5"/>
      <c r="R20" s="5"/>
      <c r="S20" s="5"/>
      <c r="T20" s="5"/>
      <c r="U20" s="5"/>
      <c r="V20" s="5"/>
      <c r="W20" s="5"/>
      <c r="X20" s="5"/>
      <c r="Y20" s="5"/>
      <c r="Z20" s="5"/>
    </row>
    <row r="21">
      <c r="A21" s="17" t="s">
        <v>99</v>
      </c>
      <c r="B21" s="7" t="s">
        <v>14</v>
      </c>
      <c r="C21" s="7" t="s">
        <v>100</v>
      </c>
      <c r="D21" s="7" t="s">
        <v>16</v>
      </c>
      <c r="E21" s="8">
        <v>3.0</v>
      </c>
      <c r="F21" s="7" t="s">
        <v>17</v>
      </c>
      <c r="G21" s="5" t="s">
        <v>19</v>
      </c>
      <c r="H21" s="7" t="s">
        <v>16</v>
      </c>
      <c r="I21" s="7" t="s">
        <v>101</v>
      </c>
      <c r="J21" s="7" t="s">
        <v>16</v>
      </c>
      <c r="K21" s="7" t="s">
        <v>16</v>
      </c>
      <c r="L21" s="7" t="s">
        <v>97</v>
      </c>
      <c r="M21" s="10" t="s">
        <v>22</v>
      </c>
      <c r="N21" s="11" t="s">
        <v>102</v>
      </c>
      <c r="O21" s="5"/>
      <c r="P21" s="5"/>
      <c r="Q21" s="5"/>
      <c r="R21" s="5"/>
      <c r="S21" s="5"/>
      <c r="T21" s="5"/>
      <c r="U21" s="5"/>
      <c r="V21" s="5"/>
      <c r="W21" s="5"/>
      <c r="X21" s="5"/>
      <c r="Y21" s="5"/>
      <c r="Z21" s="5"/>
    </row>
    <row r="22">
      <c r="A22" s="17" t="s">
        <v>103</v>
      </c>
      <c r="B22" s="5" t="s">
        <v>14</v>
      </c>
      <c r="C22" s="7" t="s">
        <v>104</v>
      </c>
      <c r="D22" s="7" t="s">
        <v>16</v>
      </c>
      <c r="E22" s="8">
        <v>2.0</v>
      </c>
      <c r="F22" s="7" t="s">
        <v>105</v>
      </c>
      <c r="G22" s="5" t="s">
        <v>19</v>
      </c>
      <c r="H22" s="7" t="s">
        <v>16</v>
      </c>
      <c r="I22" s="7" t="s">
        <v>106</v>
      </c>
      <c r="J22" s="7" t="s">
        <v>16</v>
      </c>
      <c r="K22" s="7" t="s">
        <v>16</v>
      </c>
      <c r="L22" s="7" t="s">
        <v>107</v>
      </c>
      <c r="M22" s="10" t="s">
        <v>75</v>
      </c>
      <c r="N22" s="11" t="s">
        <v>108</v>
      </c>
      <c r="O22" s="5"/>
      <c r="P22" s="5"/>
      <c r="Q22" s="5"/>
      <c r="R22" s="5"/>
      <c r="S22" s="5"/>
      <c r="T22" s="5"/>
      <c r="U22" s="5"/>
      <c r="V22" s="5"/>
      <c r="W22" s="5"/>
      <c r="X22" s="5"/>
      <c r="Y22" s="5"/>
      <c r="Z22" s="5"/>
    </row>
    <row r="23">
      <c r="A23" s="17" t="s">
        <v>109</v>
      </c>
      <c r="B23" s="5" t="s">
        <v>14</v>
      </c>
      <c r="C23" s="7" t="s">
        <v>104</v>
      </c>
      <c r="D23" s="7" t="s">
        <v>16</v>
      </c>
      <c r="E23" s="8">
        <v>2.0</v>
      </c>
      <c r="F23" s="7" t="s">
        <v>105</v>
      </c>
      <c r="G23" s="5" t="s">
        <v>19</v>
      </c>
      <c r="H23" s="7" t="s">
        <v>16</v>
      </c>
      <c r="I23" s="7" t="s">
        <v>110</v>
      </c>
      <c r="J23" s="7" t="s">
        <v>16</v>
      </c>
      <c r="K23" s="7" t="s">
        <v>16</v>
      </c>
      <c r="L23" s="7" t="s">
        <v>107</v>
      </c>
      <c r="M23" s="10" t="s">
        <v>75</v>
      </c>
      <c r="N23" s="11" t="s">
        <v>108</v>
      </c>
      <c r="O23" s="5"/>
      <c r="P23" s="5"/>
      <c r="Q23" s="5"/>
      <c r="R23" s="5"/>
      <c r="S23" s="5"/>
      <c r="T23" s="5"/>
      <c r="U23" s="5"/>
      <c r="V23" s="5"/>
      <c r="W23" s="5"/>
      <c r="X23" s="5"/>
      <c r="Y23" s="5"/>
      <c r="Z23" s="5"/>
    </row>
    <row r="24">
      <c r="A24" s="17" t="s">
        <v>111</v>
      </c>
      <c r="B24" s="5" t="s">
        <v>14</v>
      </c>
      <c r="C24" s="7" t="s">
        <v>112</v>
      </c>
      <c r="D24" s="7" t="s">
        <v>16</v>
      </c>
      <c r="E24" s="8">
        <v>0.0</v>
      </c>
      <c r="F24" s="7" t="s">
        <v>17</v>
      </c>
      <c r="G24" s="5" t="s">
        <v>19</v>
      </c>
      <c r="H24" s="7" t="s">
        <v>16</v>
      </c>
      <c r="I24" s="7" t="s">
        <v>113</v>
      </c>
      <c r="J24" s="7" t="s">
        <v>16</v>
      </c>
      <c r="K24" s="7" t="s">
        <v>16</v>
      </c>
      <c r="L24" s="7" t="s">
        <v>107</v>
      </c>
      <c r="M24" s="10" t="s">
        <v>36</v>
      </c>
      <c r="N24" s="11" t="s">
        <v>114</v>
      </c>
      <c r="O24" s="5"/>
      <c r="P24" s="5"/>
      <c r="Q24" s="5"/>
      <c r="R24" s="5"/>
      <c r="S24" s="5"/>
      <c r="T24" s="5"/>
      <c r="U24" s="5"/>
      <c r="V24" s="5"/>
      <c r="W24" s="5"/>
      <c r="X24" s="5"/>
      <c r="Y24" s="5"/>
      <c r="Z24" s="5"/>
    </row>
    <row r="25">
      <c r="A25" s="17" t="s">
        <v>115</v>
      </c>
      <c r="B25" s="5" t="s">
        <v>14</v>
      </c>
      <c r="C25" s="7" t="s">
        <v>116</v>
      </c>
      <c r="D25" s="7" t="s">
        <v>16</v>
      </c>
      <c r="E25" s="8">
        <v>0.0</v>
      </c>
      <c r="F25" s="7" t="s">
        <v>17</v>
      </c>
      <c r="G25" s="5" t="s">
        <v>19</v>
      </c>
      <c r="H25" s="7" t="s">
        <v>16</v>
      </c>
      <c r="I25" s="7" t="s">
        <v>117</v>
      </c>
      <c r="J25" s="7" t="s">
        <v>16</v>
      </c>
      <c r="K25" s="7" t="s">
        <v>16</v>
      </c>
      <c r="L25" s="7" t="s">
        <v>118</v>
      </c>
      <c r="M25" s="10" t="s">
        <v>75</v>
      </c>
      <c r="N25" s="11" t="s">
        <v>119</v>
      </c>
      <c r="O25" s="5"/>
      <c r="P25" s="5"/>
      <c r="Q25" s="5"/>
      <c r="R25" s="5"/>
      <c r="S25" s="5"/>
      <c r="T25" s="5"/>
      <c r="U25" s="5"/>
      <c r="V25" s="5"/>
      <c r="W25" s="5"/>
      <c r="X25" s="5"/>
      <c r="Y25" s="5"/>
      <c r="Z25" s="5"/>
    </row>
    <row r="26">
      <c r="A26" s="17" t="s">
        <v>120</v>
      </c>
      <c r="B26" s="5" t="s">
        <v>14</v>
      </c>
      <c r="C26" s="7" t="s">
        <v>121</v>
      </c>
      <c r="D26" s="7" t="s">
        <v>16</v>
      </c>
      <c r="E26" s="8">
        <v>0.0</v>
      </c>
      <c r="F26" s="7" t="s">
        <v>17</v>
      </c>
      <c r="G26" s="5" t="s">
        <v>19</v>
      </c>
      <c r="H26" s="7" t="s">
        <v>16</v>
      </c>
      <c r="I26" s="7" t="s">
        <v>122</v>
      </c>
      <c r="J26" s="7" t="s">
        <v>16</v>
      </c>
      <c r="K26" s="7" t="s">
        <v>16</v>
      </c>
      <c r="L26" s="7" t="s">
        <v>118</v>
      </c>
      <c r="M26" s="10" t="s">
        <v>75</v>
      </c>
      <c r="N26" s="11" t="s">
        <v>123</v>
      </c>
      <c r="O26" s="5"/>
      <c r="P26" s="5"/>
      <c r="Q26" s="5"/>
      <c r="R26" s="5"/>
      <c r="S26" s="5"/>
      <c r="T26" s="5"/>
      <c r="U26" s="5"/>
      <c r="V26" s="5"/>
      <c r="W26" s="5"/>
      <c r="X26" s="5"/>
      <c r="Y26" s="5"/>
      <c r="Z26" s="5"/>
    </row>
    <row r="27">
      <c r="A27" s="17" t="s">
        <v>124</v>
      </c>
      <c r="B27" s="5" t="s">
        <v>14</v>
      </c>
      <c r="C27" s="7" t="s">
        <v>121</v>
      </c>
      <c r="D27" s="7" t="s">
        <v>16</v>
      </c>
      <c r="E27" s="8">
        <v>0.0</v>
      </c>
      <c r="F27" s="7" t="s">
        <v>17</v>
      </c>
      <c r="G27" s="5" t="s">
        <v>19</v>
      </c>
      <c r="H27" s="7" t="s">
        <v>16</v>
      </c>
      <c r="I27" s="7" t="s">
        <v>125</v>
      </c>
      <c r="J27" s="7" t="s">
        <v>16</v>
      </c>
      <c r="K27" s="7" t="s">
        <v>16</v>
      </c>
      <c r="L27" s="7" t="s">
        <v>118</v>
      </c>
      <c r="M27" s="10" t="s">
        <v>75</v>
      </c>
      <c r="N27" s="11" t="s">
        <v>123</v>
      </c>
      <c r="O27" s="5"/>
      <c r="P27" s="5"/>
      <c r="Q27" s="5"/>
      <c r="R27" s="5"/>
      <c r="S27" s="5"/>
      <c r="T27" s="5"/>
      <c r="U27" s="5"/>
      <c r="V27" s="5"/>
      <c r="W27" s="5"/>
      <c r="X27" s="5"/>
      <c r="Y27" s="5"/>
      <c r="Z27" s="5"/>
    </row>
    <row r="28">
      <c r="A28" s="17" t="s">
        <v>126</v>
      </c>
      <c r="B28" s="5" t="s">
        <v>14</v>
      </c>
      <c r="C28" s="7" t="s">
        <v>127</v>
      </c>
      <c r="D28" s="7" t="s">
        <v>16</v>
      </c>
      <c r="E28" s="8">
        <v>0.0</v>
      </c>
      <c r="F28" s="7" t="s">
        <v>17</v>
      </c>
      <c r="G28" s="5" t="s">
        <v>19</v>
      </c>
      <c r="H28" s="7" t="s">
        <v>16</v>
      </c>
      <c r="I28" s="7" t="s">
        <v>128</v>
      </c>
      <c r="J28" s="7" t="s">
        <v>16</v>
      </c>
      <c r="K28" s="7" t="s">
        <v>16</v>
      </c>
      <c r="L28" s="7" t="s">
        <v>97</v>
      </c>
      <c r="M28" s="10" t="s">
        <v>22</v>
      </c>
      <c r="N28" s="11" t="s">
        <v>129</v>
      </c>
      <c r="O28" s="5"/>
      <c r="P28" s="5"/>
      <c r="Q28" s="5"/>
      <c r="R28" s="5"/>
      <c r="S28" s="5"/>
      <c r="T28" s="5"/>
      <c r="U28" s="5"/>
      <c r="V28" s="5"/>
      <c r="W28" s="5"/>
      <c r="X28" s="5"/>
      <c r="Y28" s="5"/>
      <c r="Z28" s="5"/>
    </row>
    <row r="29">
      <c r="A29" s="17" t="s">
        <v>130</v>
      </c>
      <c r="B29" s="5" t="s">
        <v>14</v>
      </c>
      <c r="C29" s="7" t="s">
        <v>127</v>
      </c>
      <c r="D29" s="7" t="s">
        <v>16</v>
      </c>
      <c r="E29" s="8">
        <v>0.0</v>
      </c>
      <c r="F29" s="7" t="s">
        <v>17</v>
      </c>
      <c r="G29" s="5" t="s">
        <v>19</v>
      </c>
      <c r="H29" s="7" t="s">
        <v>16</v>
      </c>
      <c r="I29" s="7" t="s">
        <v>131</v>
      </c>
      <c r="J29" s="7" t="s">
        <v>16</v>
      </c>
      <c r="K29" s="7" t="s">
        <v>16</v>
      </c>
      <c r="L29" s="7" t="s">
        <v>97</v>
      </c>
      <c r="M29" s="10" t="s">
        <v>22</v>
      </c>
      <c r="N29" s="11" t="s">
        <v>129</v>
      </c>
      <c r="O29" s="5"/>
      <c r="P29" s="5"/>
      <c r="Q29" s="5"/>
      <c r="R29" s="5"/>
      <c r="S29" s="5"/>
      <c r="T29" s="5"/>
      <c r="U29" s="5"/>
      <c r="V29" s="5"/>
      <c r="W29" s="5"/>
      <c r="X29" s="5"/>
      <c r="Y29" s="5"/>
      <c r="Z29" s="5"/>
    </row>
    <row r="30">
      <c r="A30" s="17" t="s">
        <v>132</v>
      </c>
      <c r="B30" s="5" t="s">
        <v>14</v>
      </c>
      <c r="C30" s="7" t="s">
        <v>133</v>
      </c>
      <c r="D30" s="7" t="s">
        <v>16</v>
      </c>
      <c r="E30" s="8">
        <v>0.0</v>
      </c>
      <c r="F30" s="7" t="s">
        <v>17</v>
      </c>
      <c r="G30" s="5" t="s">
        <v>19</v>
      </c>
      <c r="H30" s="7" t="s">
        <v>16</v>
      </c>
      <c r="I30" s="7" t="s">
        <v>134</v>
      </c>
      <c r="J30" s="7" t="s">
        <v>16</v>
      </c>
      <c r="K30" s="7" t="s">
        <v>16</v>
      </c>
      <c r="L30" s="7" t="s">
        <v>135</v>
      </c>
      <c r="M30" s="10" t="s">
        <v>22</v>
      </c>
      <c r="N30" s="11" t="s">
        <v>136</v>
      </c>
      <c r="O30" s="5"/>
      <c r="P30" s="5"/>
      <c r="Q30" s="5"/>
      <c r="R30" s="5"/>
      <c r="S30" s="5"/>
      <c r="T30" s="5"/>
      <c r="U30" s="5"/>
      <c r="V30" s="5"/>
      <c r="W30" s="5"/>
      <c r="X30" s="5"/>
      <c r="Y30" s="5"/>
      <c r="Z30" s="5"/>
    </row>
    <row r="31">
      <c r="A31" s="17" t="s">
        <v>137</v>
      </c>
      <c r="B31" s="5" t="s">
        <v>14</v>
      </c>
      <c r="C31" s="7" t="s">
        <v>138</v>
      </c>
      <c r="D31" s="7" t="s">
        <v>16</v>
      </c>
      <c r="E31" s="8">
        <v>0.0</v>
      </c>
      <c r="F31" s="7" t="s">
        <v>105</v>
      </c>
      <c r="G31" s="5" t="s">
        <v>19</v>
      </c>
      <c r="H31" s="7" t="s">
        <v>16</v>
      </c>
      <c r="I31" s="7" t="s">
        <v>139</v>
      </c>
      <c r="J31" s="7" t="s">
        <v>16</v>
      </c>
      <c r="K31" s="7" t="s">
        <v>16</v>
      </c>
      <c r="L31" s="7" t="s">
        <v>140</v>
      </c>
      <c r="M31" s="10" t="s">
        <v>88</v>
      </c>
      <c r="N31" s="30" t="s">
        <v>141</v>
      </c>
      <c r="O31" s="5"/>
      <c r="P31" s="5"/>
      <c r="Q31" s="5"/>
      <c r="R31" s="5"/>
      <c r="S31" s="5"/>
      <c r="T31" s="5"/>
      <c r="U31" s="5"/>
      <c r="V31" s="5"/>
      <c r="W31" s="5"/>
      <c r="X31" s="5"/>
      <c r="Y31" s="5"/>
      <c r="Z31" s="5"/>
    </row>
    <row r="32">
      <c r="A32" s="17" t="s">
        <v>142</v>
      </c>
      <c r="B32" s="5" t="s">
        <v>14</v>
      </c>
      <c r="C32" s="7" t="s">
        <v>143</v>
      </c>
      <c r="D32" s="7" t="s">
        <v>16</v>
      </c>
      <c r="E32" s="8">
        <v>0.0</v>
      </c>
      <c r="F32" s="7" t="s">
        <v>105</v>
      </c>
      <c r="G32" s="5" t="s">
        <v>19</v>
      </c>
      <c r="H32" s="7" t="s">
        <v>16</v>
      </c>
      <c r="I32" s="7" t="s">
        <v>144</v>
      </c>
      <c r="J32" s="7" t="s">
        <v>16</v>
      </c>
      <c r="K32" s="7" t="s">
        <v>16</v>
      </c>
      <c r="L32" s="7" t="s">
        <v>135</v>
      </c>
      <c r="M32" s="10" t="s">
        <v>75</v>
      </c>
      <c r="N32" s="11" t="s">
        <v>145</v>
      </c>
      <c r="O32" s="5"/>
      <c r="P32" s="5"/>
      <c r="Q32" s="5"/>
      <c r="R32" s="5"/>
      <c r="S32" s="5"/>
      <c r="T32" s="5"/>
      <c r="U32" s="5"/>
      <c r="V32" s="5"/>
      <c r="W32" s="5"/>
      <c r="X32" s="5"/>
      <c r="Y32" s="5"/>
      <c r="Z32" s="5"/>
    </row>
    <row r="33">
      <c r="A33" s="17" t="s">
        <v>146</v>
      </c>
      <c r="B33" s="5" t="s">
        <v>14</v>
      </c>
      <c r="C33" s="7" t="s">
        <v>147</v>
      </c>
      <c r="D33" s="7" t="s">
        <v>16</v>
      </c>
      <c r="E33" s="8">
        <v>0.0</v>
      </c>
      <c r="F33" s="7" t="s">
        <v>17</v>
      </c>
      <c r="G33" s="5" t="s">
        <v>19</v>
      </c>
      <c r="H33" s="7" t="s">
        <v>16</v>
      </c>
      <c r="I33" s="7" t="s">
        <v>148</v>
      </c>
      <c r="J33" s="7" t="s">
        <v>16</v>
      </c>
      <c r="K33" s="7" t="s">
        <v>16</v>
      </c>
      <c r="L33" s="7" t="s">
        <v>135</v>
      </c>
      <c r="M33" s="10" t="s">
        <v>22</v>
      </c>
      <c r="N33" s="11" t="s">
        <v>149</v>
      </c>
      <c r="O33" s="5"/>
      <c r="P33" s="5"/>
      <c r="Q33" s="5"/>
      <c r="R33" s="5"/>
      <c r="S33" s="5"/>
      <c r="T33" s="5"/>
      <c r="U33" s="5"/>
      <c r="V33" s="5"/>
      <c r="W33" s="5"/>
      <c r="X33" s="5"/>
      <c r="Y33" s="5"/>
      <c r="Z33" s="5"/>
    </row>
    <row r="34">
      <c r="A34" s="17" t="s">
        <v>150</v>
      </c>
      <c r="B34" s="5" t="s">
        <v>14</v>
      </c>
      <c r="C34" s="7" t="s">
        <v>151</v>
      </c>
      <c r="D34" s="7" t="s">
        <v>16</v>
      </c>
      <c r="E34" s="8">
        <v>0.0</v>
      </c>
      <c r="F34" s="7" t="s">
        <v>17</v>
      </c>
      <c r="G34" s="5" t="s">
        <v>19</v>
      </c>
      <c r="H34" s="7" t="s">
        <v>16</v>
      </c>
      <c r="I34" s="7" t="s">
        <v>152</v>
      </c>
      <c r="J34" s="7" t="s">
        <v>16</v>
      </c>
      <c r="K34" s="7" t="s">
        <v>16</v>
      </c>
      <c r="L34" s="7" t="s">
        <v>135</v>
      </c>
      <c r="M34" s="10" t="s">
        <v>36</v>
      </c>
      <c r="N34" s="11" t="s">
        <v>153</v>
      </c>
      <c r="O34" s="5"/>
      <c r="P34" s="5"/>
      <c r="Q34" s="5"/>
      <c r="R34" s="5"/>
      <c r="S34" s="5"/>
      <c r="T34" s="5"/>
      <c r="U34" s="5"/>
      <c r="V34" s="5"/>
      <c r="W34" s="5"/>
      <c r="X34" s="5"/>
      <c r="Y34" s="5"/>
      <c r="Z34" s="5"/>
    </row>
    <row r="35">
      <c r="A35" s="17" t="s">
        <v>154</v>
      </c>
      <c r="B35" s="5" t="s">
        <v>14</v>
      </c>
      <c r="C35" s="7" t="s">
        <v>155</v>
      </c>
      <c r="D35" s="7" t="s">
        <v>16</v>
      </c>
      <c r="E35" s="8">
        <v>0.0</v>
      </c>
      <c r="F35" s="7" t="s">
        <v>17</v>
      </c>
      <c r="G35" s="5" t="s">
        <v>19</v>
      </c>
      <c r="H35" s="7" t="s">
        <v>16</v>
      </c>
      <c r="I35" s="7" t="s">
        <v>156</v>
      </c>
      <c r="J35" s="7" t="s">
        <v>16</v>
      </c>
      <c r="K35" s="7" t="s">
        <v>16</v>
      </c>
      <c r="L35" s="7" t="s">
        <v>157</v>
      </c>
      <c r="M35" s="10" t="s">
        <v>22</v>
      </c>
      <c r="N35" s="11" t="s">
        <v>158</v>
      </c>
      <c r="O35" s="5"/>
      <c r="P35" s="5"/>
      <c r="Q35" s="5"/>
      <c r="R35" s="5"/>
      <c r="S35" s="5"/>
      <c r="T35" s="5"/>
      <c r="U35" s="5"/>
      <c r="V35" s="5"/>
      <c r="W35" s="5"/>
      <c r="X35" s="5"/>
      <c r="Y35" s="5"/>
      <c r="Z35" s="5"/>
    </row>
    <row r="36">
      <c r="A36" s="17" t="s">
        <v>159</v>
      </c>
      <c r="B36" s="7" t="s">
        <v>14</v>
      </c>
      <c r="C36" s="7" t="s">
        <v>160</v>
      </c>
      <c r="D36" s="7" t="s">
        <v>16</v>
      </c>
      <c r="E36" s="8">
        <v>4.0</v>
      </c>
      <c r="F36" s="7" t="s">
        <v>17</v>
      </c>
      <c r="G36" s="5" t="s">
        <v>19</v>
      </c>
      <c r="H36" s="7" t="s">
        <v>16</v>
      </c>
      <c r="I36" s="7" t="s">
        <v>161</v>
      </c>
      <c r="J36" s="7" t="s">
        <v>16</v>
      </c>
      <c r="K36" s="7" t="s">
        <v>16</v>
      </c>
      <c r="L36" s="7" t="s">
        <v>157</v>
      </c>
      <c r="M36" s="10" t="s">
        <v>22</v>
      </c>
      <c r="N36" s="11" t="s">
        <v>162</v>
      </c>
      <c r="O36" s="5"/>
      <c r="P36" s="5"/>
      <c r="Q36" s="5"/>
      <c r="R36" s="5"/>
      <c r="S36" s="5"/>
      <c r="T36" s="5"/>
      <c r="U36" s="5"/>
      <c r="V36" s="5"/>
      <c r="W36" s="5"/>
      <c r="X36" s="5"/>
      <c r="Y36" s="5"/>
      <c r="Z36" s="5"/>
    </row>
    <row r="37">
      <c r="A37" s="17" t="s">
        <v>163</v>
      </c>
      <c r="B37" s="5" t="s">
        <v>14</v>
      </c>
      <c r="C37" s="7" t="s">
        <v>164</v>
      </c>
      <c r="D37" s="7" t="s">
        <v>16</v>
      </c>
      <c r="E37" s="8">
        <v>0.0</v>
      </c>
      <c r="F37" s="7" t="s">
        <v>17</v>
      </c>
      <c r="G37" s="5" t="s">
        <v>19</v>
      </c>
      <c r="H37" s="7" t="s">
        <v>16</v>
      </c>
      <c r="I37" s="7" t="s">
        <v>165</v>
      </c>
      <c r="J37" s="7" t="s">
        <v>16</v>
      </c>
      <c r="K37" s="7" t="s">
        <v>16</v>
      </c>
      <c r="L37" s="7" t="s">
        <v>166</v>
      </c>
      <c r="M37" s="10" t="s">
        <v>88</v>
      </c>
      <c r="N37" s="30" t="s">
        <v>167</v>
      </c>
      <c r="O37" s="5"/>
      <c r="P37" s="5"/>
      <c r="Q37" s="5"/>
      <c r="R37" s="5"/>
      <c r="S37" s="5"/>
      <c r="T37" s="5"/>
      <c r="U37" s="5"/>
      <c r="V37" s="5"/>
      <c r="W37" s="5"/>
      <c r="X37" s="5"/>
      <c r="Y37" s="5"/>
      <c r="Z37" s="5"/>
    </row>
    <row r="38">
      <c r="A38" s="17" t="s">
        <v>168</v>
      </c>
      <c r="B38" s="5" t="s">
        <v>14</v>
      </c>
      <c r="C38" s="7" t="s">
        <v>164</v>
      </c>
      <c r="D38" s="7" t="s">
        <v>16</v>
      </c>
      <c r="E38" s="8">
        <v>0.0</v>
      </c>
      <c r="F38" s="7" t="s">
        <v>17</v>
      </c>
      <c r="G38" s="5" t="s">
        <v>19</v>
      </c>
      <c r="H38" s="7" t="s">
        <v>16</v>
      </c>
      <c r="I38" s="7" t="s">
        <v>165</v>
      </c>
      <c r="J38" s="7" t="s">
        <v>16</v>
      </c>
      <c r="K38" s="7" t="s">
        <v>16</v>
      </c>
      <c r="L38" s="7" t="s">
        <v>166</v>
      </c>
      <c r="M38" s="10" t="s">
        <v>88</v>
      </c>
      <c r="N38" s="30" t="s">
        <v>169</v>
      </c>
      <c r="O38" s="5"/>
      <c r="P38" s="5"/>
      <c r="Q38" s="5"/>
      <c r="R38" s="5"/>
      <c r="S38" s="5"/>
      <c r="T38" s="5"/>
      <c r="U38" s="5"/>
      <c r="V38" s="5"/>
      <c r="W38" s="5"/>
      <c r="X38" s="5"/>
      <c r="Y38" s="5"/>
      <c r="Z38" s="5"/>
    </row>
    <row r="39">
      <c r="A39" s="17" t="s">
        <v>170</v>
      </c>
      <c r="B39" s="5" t="s">
        <v>14</v>
      </c>
      <c r="C39" s="7" t="s">
        <v>171</v>
      </c>
      <c r="D39" s="7" t="s">
        <v>16</v>
      </c>
      <c r="E39" s="8">
        <v>0.0</v>
      </c>
      <c r="F39" s="7" t="s">
        <v>172</v>
      </c>
      <c r="G39" s="5" t="s">
        <v>19</v>
      </c>
      <c r="H39" s="7" t="s">
        <v>16</v>
      </c>
      <c r="I39" s="7" t="s">
        <v>173</v>
      </c>
      <c r="J39" s="7" t="s">
        <v>16</v>
      </c>
      <c r="K39" s="7" t="s">
        <v>16</v>
      </c>
      <c r="L39" s="7" t="s">
        <v>174</v>
      </c>
      <c r="M39" s="10" t="s">
        <v>75</v>
      </c>
      <c r="N39" s="11" t="s">
        <v>175</v>
      </c>
      <c r="O39" s="5"/>
      <c r="P39" s="5"/>
      <c r="Q39" s="5"/>
      <c r="R39" s="5"/>
      <c r="S39" s="5"/>
      <c r="T39" s="5"/>
      <c r="U39" s="5"/>
      <c r="V39" s="5"/>
      <c r="W39" s="5"/>
      <c r="X39" s="5"/>
      <c r="Y39" s="5"/>
      <c r="Z39" s="5"/>
    </row>
    <row r="40">
      <c r="A40" s="17" t="s">
        <v>176</v>
      </c>
      <c r="B40" s="7" t="s">
        <v>14</v>
      </c>
      <c r="C40" s="7" t="s">
        <v>177</v>
      </c>
      <c r="D40" s="7" t="s">
        <v>16</v>
      </c>
      <c r="E40" s="8">
        <v>2.0</v>
      </c>
      <c r="F40" s="7" t="s">
        <v>17</v>
      </c>
      <c r="G40" s="5" t="s">
        <v>19</v>
      </c>
      <c r="H40" s="7" t="s">
        <v>16</v>
      </c>
      <c r="I40" s="7" t="s">
        <v>178</v>
      </c>
      <c r="J40" s="7" t="s">
        <v>16</v>
      </c>
      <c r="K40" s="7" t="s">
        <v>16</v>
      </c>
      <c r="L40" s="7" t="s">
        <v>157</v>
      </c>
      <c r="M40" s="10" t="s">
        <v>75</v>
      </c>
      <c r="N40" s="11" t="s">
        <v>179</v>
      </c>
      <c r="O40" s="5"/>
      <c r="P40" s="5"/>
      <c r="Q40" s="5"/>
      <c r="R40" s="5"/>
      <c r="S40" s="5"/>
      <c r="T40" s="5"/>
      <c r="U40" s="5"/>
      <c r="V40" s="5"/>
      <c r="W40" s="5"/>
      <c r="X40" s="5"/>
      <c r="Y40" s="5"/>
      <c r="Z40" s="5"/>
    </row>
    <row r="41">
      <c r="A41" s="17" t="s">
        <v>180</v>
      </c>
      <c r="B41" s="7" t="s">
        <v>14</v>
      </c>
      <c r="C41" s="7" t="s">
        <v>181</v>
      </c>
      <c r="D41" s="7" t="s">
        <v>16</v>
      </c>
      <c r="E41" s="8">
        <v>1.0</v>
      </c>
      <c r="F41" s="7" t="s">
        <v>17</v>
      </c>
      <c r="G41" s="5" t="s">
        <v>19</v>
      </c>
      <c r="H41" s="7" t="s">
        <v>16</v>
      </c>
      <c r="I41" s="7" t="s">
        <v>182</v>
      </c>
      <c r="J41" s="7" t="s">
        <v>16</v>
      </c>
      <c r="K41" s="7" t="s">
        <v>16</v>
      </c>
      <c r="L41" s="7" t="s">
        <v>166</v>
      </c>
      <c r="M41" s="10" t="s">
        <v>22</v>
      </c>
      <c r="N41" s="11" t="s">
        <v>183</v>
      </c>
      <c r="O41" s="5"/>
      <c r="P41" s="5"/>
      <c r="Q41" s="5"/>
      <c r="R41" s="5"/>
      <c r="S41" s="5"/>
      <c r="T41" s="5"/>
      <c r="U41" s="5"/>
      <c r="V41" s="5"/>
      <c r="W41" s="5"/>
      <c r="X41" s="5"/>
      <c r="Y41" s="5"/>
      <c r="Z41" s="5"/>
    </row>
    <row r="42">
      <c r="A42" s="17" t="s">
        <v>184</v>
      </c>
      <c r="B42" s="7" t="s">
        <v>14</v>
      </c>
      <c r="C42" s="7" t="s">
        <v>185</v>
      </c>
      <c r="D42" s="7" t="s">
        <v>16</v>
      </c>
      <c r="E42" s="8">
        <v>2.0</v>
      </c>
      <c r="F42" s="7" t="s">
        <v>17</v>
      </c>
      <c r="G42" s="5" t="s">
        <v>19</v>
      </c>
      <c r="H42" s="7" t="s">
        <v>16</v>
      </c>
      <c r="I42" s="7" t="s">
        <v>186</v>
      </c>
      <c r="J42" s="7" t="s">
        <v>16</v>
      </c>
      <c r="K42" s="7" t="s">
        <v>16</v>
      </c>
      <c r="L42" s="7" t="s">
        <v>157</v>
      </c>
      <c r="M42" s="10" t="s">
        <v>36</v>
      </c>
      <c r="N42" s="11" t="s">
        <v>187</v>
      </c>
      <c r="O42" s="5"/>
      <c r="P42" s="5"/>
      <c r="Q42" s="5"/>
      <c r="R42" s="5"/>
      <c r="S42" s="5"/>
      <c r="T42" s="5"/>
      <c r="U42" s="5"/>
      <c r="V42" s="5"/>
      <c r="W42" s="5"/>
      <c r="X42" s="5"/>
      <c r="Y42" s="5"/>
      <c r="Z42" s="5"/>
    </row>
    <row r="43">
      <c r="A43" s="17" t="s">
        <v>188</v>
      </c>
      <c r="B43" s="7" t="s">
        <v>14</v>
      </c>
      <c r="C43" s="7" t="s">
        <v>189</v>
      </c>
      <c r="D43" s="7" t="s">
        <v>16</v>
      </c>
      <c r="E43" s="8">
        <v>0.0</v>
      </c>
      <c r="F43" s="7" t="s">
        <v>105</v>
      </c>
      <c r="G43" s="5" t="s">
        <v>19</v>
      </c>
      <c r="H43" s="7" t="s">
        <v>16</v>
      </c>
      <c r="I43" s="7" t="s">
        <v>190</v>
      </c>
      <c r="J43" s="7" t="s">
        <v>16</v>
      </c>
      <c r="K43" s="7" t="s">
        <v>16</v>
      </c>
      <c r="L43" s="7" t="s">
        <v>191</v>
      </c>
      <c r="M43" s="10" t="s">
        <v>36</v>
      </c>
      <c r="N43" s="11" t="s">
        <v>192</v>
      </c>
      <c r="O43" s="5"/>
      <c r="P43" s="5"/>
      <c r="Q43" s="5"/>
      <c r="R43" s="5"/>
      <c r="S43" s="5"/>
      <c r="T43" s="5"/>
      <c r="U43" s="5"/>
      <c r="V43" s="5"/>
      <c r="W43" s="5"/>
      <c r="X43" s="5"/>
      <c r="Y43" s="5"/>
      <c r="Z43" s="5"/>
    </row>
    <row r="44">
      <c r="A44" s="17" t="s">
        <v>193</v>
      </c>
      <c r="B44" s="7" t="s">
        <v>14</v>
      </c>
      <c r="C44" s="7" t="s">
        <v>194</v>
      </c>
      <c r="D44" s="7" t="s">
        <v>16</v>
      </c>
      <c r="E44" s="8">
        <v>0.0</v>
      </c>
      <c r="F44" s="7" t="s">
        <v>105</v>
      </c>
      <c r="G44" s="7" t="s">
        <v>19</v>
      </c>
      <c r="H44" s="7" t="s">
        <v>16</v>
      </c>
      <c r="I44" s="7" t="s">
        <v>195</v>
      </c>
      <c r="J44" s="7" t="s">
        <v>16</v>
      </c>
      <c r="K44" s="7" t="s">
        <v>16</v>
      </c>
      <c r="L44" s="7" t="s">
        <v>191</v>
      </c>
      <c r="M44" s="31" t="s">
        <v>88</v>
      </c>
      <c r="N44" s="32" t="s">
        <v>196</v>
      </c>
      <c r="O44" s="5"/>
      <c r="P44" s="5"/>
      <c r="Q44" s="5"/>
      <c r="R44" s="5"/>
      <c r="S44" s="5"/>
      <c r="T44" s="5"/>
      <c r="U44" s="5"/>
      <c r="V44" s="5"/>
      <c r="W44" s="5"/>
      <c r="X44" s="5"/>
      <c r="Y44" s="5"/>
      <c r="Z44" s="5"/>
    </row>
    <row r="45">
      <c r="A45" s="17" t="s">
        <v>197</v>
      </c>
      <c r="B45" s="7" t="s">
        <v>14</v>
      </c>
      <c r="C45" s="7" t="s">
        <v>198</v>
      </c>
      <c r="D45" s="7" t="s">
        <v>16</v>
      </c>
      <c r="E45" s="8">
        <v>4.0</v>
      </c>
      <c r="F45" s="7" t="s">
        <v>17</v>
      </c>
      <c r="G45" s="5" t="s">
        <v>19</v>
      </c>
      <c r="H45" s="7" t="s">
        <v>16</v>
      </c>
      <c r="I45" s="7" t="s">
        <v>199</v>
      </c>
      <c r="J45" s="7" t="s">
        <v>16</v>
      </c>
      <c r="K45" s="7" t="s">
        <v>16</v>
      </c>
      <c r="L45" s="7" t="s">
        <v>200</v>
      </c>
      <c r="M45" s="10" t="s">
        <v>75</v>
      </c>
      <c r="N45" s="11" t="s">
        <v>201</v>
      </c>
      <c r="O45" s="5"/>
      <c r="P45" s="5"/>
      <c r="Q45" s="5"/>
      <c r="R45" s="5"/>
      <c r="S45" s="5"/>
      <c r="T45" s="5"/>
      <c r="U45" s="5"/>
      <c r="V45" s="5"/>
      <c r="W45" s="5"/>
      <c r="X45" s="5"/>
      <c r="Y45" s="5"/>
      <c r="Z45" s="5"/>
    </row>
    <row r="46">
      <c r="A46" s="17" t="s">
        <v>202</v>
      </c>
      <c r="B46" s="7" t="s">
        <v>14</v>
      </c>
      <c r="C46" s="7" t="s">
        <v>203</v>
      </c>
      <c r="D46" s="7" t="s">
        <v>16</v>
      </c>
      <c r="E46" s="8">
        <v>0.0</v>
      </c>
      <c r="F46" s="7" t="s">
        <v>17</v>
      </c>
      <c r="G46" s="5" t="s">
        <v>19</v>
      </c>
      <c r="H46" s="7" t="s">
        <v>16</v>
      </c>
      <c r="I46" s="7" t="s">
        <v>204</v>
      </c>
      <c r="J46" s="7" t="s">
        <v>16</v>
      </c>
      <c r="K46" s="7" t="s">
        <v>16</v>
      </c>
      <c r="L46" s="7" t="s">
        <v>205</v>
      </c>
      <c r="M46" s="10" t="s">
        <v>75</v>
      </c>
      <c r="N46" s="11" t="s">
        <v>206</v>
      </c>
      <c r="O46" s="5"/>
      <c r="P46" s="5"/>
      <c r="Q46" s="5"/>
      <c r="R46" s="5"/>
      <c r="S46" s="5"/>
      <c r="T46" s="5"/>
      <c r="U46" s="5"/>
      <c r="V46" s="5"/>
      <c r="W46" s="5"/>
      <c r="X46" s="5"/>
      <c r="Y46" s="5"/>
      <c r="Z46" s="5"/>
    </row>
    <row r="47">
      <c r="A47" s="17" t="s">
        <v>207</v>
      </c>
      <c r="B47" s="7" t="s">
        <v>14</v>
      </c>
      <c r="C47" s="7" t="s">
        <v>208</v>
      </c>
      <c r="D47" s="7" t="s">
        <v>16</v>
      </c>
      <c r="E47" s="8">
        <v>0.0</v>
      </c>
      <c r="F47" s="7" t="s">
        <v>17</v>
      </c>
      <c r="G47" s="5" t="s">
        <v>19</v>
      </c>
      <c r="H47" s="7" t="s">
        <v>16</v>
      </c>
      <c r="I47" s="7" t="s">
        <v>209</v>
      </c>
      <c r="J47" s="7" t="s">
        <v>16</v>
      </c>
      <c r="K47" s="7" t="s">
        <v>16</v>
      </c>
      <c r="L47" s="7" t="s">
        <v>210</v>
      </c>
      <c r="M47" s="10" t="s">
        <v>36</v>
      </c>
      <c r="N47" s="11" t="s">
        <v>211</v>
      </c>
      <c r="O47" s="5"/>
      <c r="P47" s="5"/>
      <c r="Q47" s="5"/>
      <c r="R47" s="5"/>
      <c r="S47" s="5"/>
      <c r="T47" s="5"/>
      <c r="U47" s="5"/>
      <c r="V47" s="5"/>
      <c r="W47" s="5"/>
      <c r="X47" s="5"/>
      <c r="Y47" s="5"/>
      <c r="Z47" s="5"/>
    </row>
    <row r="48">
      <c r="A48" s="17" t="s">
        <v>212</v>
      </c>
      <c r="B48" s="7" t="s">
        <v>14</v>
      </c>
      <c r="C48" s="7" t="s">
        <v>208</v>
      </c>
      <c r="D48" s="7" t="s">
        <v>16</v>
      </c>
      <c r="E48" s="8">
        <v>0.0</v>
      </c>
      <c r="F48" s="7" t="s">
        <v>17</v>
      </c>
      <c r="G48" s="7" t="s">
        <v>19</v>
      </c>
      <c r="H48" s="7" t="s">
        <v>16</v>
      </c>
      <c r="I48" s="7" t="s">
        <v>213</v>
      </c>
      <c r="J48" s="7" t="s">
        <v>16</v>
      </c>
      <c r="K48" s="7" t="s">
        <v>16</v>
      </c>
      <c r="L48" s="7" t="s">
        <v>210</v>
      </c>
      <c r="M48" s="10" t="s">
        <v>36</v>
      </c>
      <c r="N48" s="11" t="s">
        <v>211</v>
      </c>
      <c r="O48" s="5"/>
      <c r="P48" s="5"/>
      <c r="Q48" s="5"/>
      <c r="R48" s="5"/>
      <c r="S48" s="5"/>
      <c r="T48" s="5"/>
      <c r="U48" s="5"/>
      <c r="V48" s="5"/>
      <c r="W48" s="5"/>
      <c r="X48" s="5"/>
      <c r="Y48" s="5"/>
      <c r="Z48" s="5"/>
    </row>
    <row r="49">
      <c r="A49" s="17" t="s">
        <v>214</v>
      </c>
      <c r="B49" s="7" t="s">
        <v>14</v>
      </c>
      <c r="C49" s="7" t="s">
        <v>215</v>
      </c>
      <c r="D49" s="7" t="s">
        <v>16</v>
      </c>
      <c r="E49" s="8">
        <v>0.0</v>
      </c>
      <c r="F49" s="7" t="s">
        <v>17</v>
      </c>
      <c r="G49" s="7" t="s">
        <v>19</v>
      </c>
      <c r="H49" s="7" t="s">
        <v>16</v>
      </c>
      <c r="I49" s="7" t="s">
        <v>216</v>
      </c>
      <c r="J49" s="7" t="s">
        <v>16</v>
      </c>
      <c r="K49" s="7" t="s">
        <v>16</v>
      </c>
      <c r="L49" s="7" t="s">
        <v>205</v>
      </c>
      <c r="M49" s="31" t="s">
        <v>88</v>
      </c>
      <c r="N49" s="32" t="s">
        <v>217</v>
      </c>
      <c r="O49" s="5"/>
      <c r="P49" s="5"/>
      <c r="Q49" s="5"/>
      <c r="R49" s="5"/>
      <c r="S49" s="5"/>
      <c r="T49" s="5"/>
      <c r="U49" s="5"/>
      <c r="V49" s="5"/>
      <c r="W49" s="5"/>
      <c r="X49" s="5"/>
      <c r="Y49" s="5"/>
      <c r="Z49" s="5"/>
    </row>
    <row r="50">
      <c r="A50" s="17" t="s">
        <v>218</v>
      </c>
      <c r="B50" s="7" t="s">
        <v>14</v>
      </c>
      <c r="C50" s="7" t="s">
        <v>219</v>
      </c>
      <c r="D50" s="7" t="s">
        <v>16</v>
      </c>
      <c r="E50" s="8">
        <v>1.0</v>
      </c>
      <c r="F50" s="7" t="s">
        <v>17</v>
      </c>
      <c r="G50" s="5" t="s">
        <v>19</v>
      </c>
      <c r="H50" s="7" t="s">
        <v>16</v>
      </c>
      <c r="I50" s="7" t="s">
        <v>220</v>
      </c>
      <c r="J50" s="7" t="s">
        <v>16</v>
      </c>
      <c r="K50" s="7" t="s">
        <v>16</v>
      </c>
      <c r="L50" s="7" t="s">
        <v>221</v>
      </c>
      <c r="M50" s="10" t="s">
        <v>75</v>
      </c>
      <c r="N50" s="11" t="s">
        <v>222</v>
      </c>
      <c r="O50" s="5"/>
      <c r="P50" s="5"/>
      <c r="Q50" s="5"/>
      <c r="R50" s="5"/>
      <c r="S50" s="5"/>
      <c r="T50" s="5"/>
      <c r="U50" s="5"/>
      <c r="V50" s="5"/>
      <c r="W50" s="5"/>
      <c r="X50" s="5"/>
      <c r="Y50" s="5"/>
      <c r="Z50" s="5"/>
    </row>
    <row r="51">
      <c r="A51" s="17" t="s">
        <v>223</v>
      </c>
      <c r="B51" s="7" t="s">
        <v>14</v>
      </c>
      <c r="C51" s="7" t="s">
        <v>224</v>
      </c>
      <c r="D51" s="7" t="s">
        <v>16</v>
      </c>
      <c r="E51" s="8">
        <v>8.0</v>
      </c>
      <c r="F51" s="7" t="s">
        <v>17</v>
      </c>
      <c r="G51" s="5" t="s">
        <v>19</v>
      </c>
      <c r="H51" s="7" t="s">
        <v>16</v>
      </c>
      <c r="I51" s="7" t="s">
        <v>225</v>
      </c>
      <c r="J51" s="7" t="s">
        <v>16</v>
      </c>
      <c r="K51" s="7" t="s">
        <v>16</v>
      </c>
      <c r="L51" s="7" t="s">
        <v>226</v>
      </c>
      <c r="M51" s="10" t="s">
        <v>75</v>
      </c>
      <c r="N51" s="11" t="s">
        <v>227</v>
      </c>
      <c r="O51" s="5"/>
      <c r="P51" s="5"/>
      <c r="Q51" s="5"/>
      <c r="R51" s="5"/>
      <c r="S51" s="5"/>
      <c r="T51" s="5"/>
      <c r="U51" s="5"/>
      <c r="V51" s="5"/>
      <c r="W51" s="5"/>
      <c r="X51" s="5"/>
      <c r="Y51" s="5"/>
      <c r="Z51" s="5"/>
    </row>
    <row r="52">
      <c r="A52" s="17" t="s">
        <v>228</v>
      </c>
      <c r="B52" s="7" t="s">
        <v>14</v>
      </c>
      <c r="C52" s="7" t="s">
        <v>229</v>
      </c>
      <c r="D52" s="7" t="s">
        <v>16</v>
      </c>
      <c r="E52" s="8">
        <v>0.0</v>
      </c>
      <c r="F52" s="7" t="s">
        <v>17</v>
      </c>
      <c r="G52" s="7" t="s">
        <v>19</v>
      </c>
      <c r="H52" s="7" t="s">
        <v>16</v>
      </c>
      <c r="I52" s="7" t="s">
        <v>230</v>
      </c>
      <c r="J52" s="7" t="s">
        <v>16</v>
      </c>
      <c r="K52" s="7" t="s">
        <v>16</v>
      </c>
      <c r="L52" s="7" t="s">
        <v>226</v>
      </c>
      <c r="M52" s="10" t="s">
        <v>88</v>
      </c>
      <c r="N52" s="11" t="s">
        <v>231</v>
      </c>
      <c r="O52" s="5"/>
      <c r="P52" s="5"/>
      <c r="Q52" s="5"/>
      <c r="R52" s="5"/>
      <c r="S52" s="5"/>
      <c r="T52" s="5"/>
      <c r="U52" s="5"/>
      <c r="V52" s="5"/>
      <c r="W52" s="5"/>
      <c r="X52" s="5"/>
      <c r="Y52" s="5"/>
      <c r="Z52" s="5"/>
    </row>
    <row r="53">
      <c r="A53" s="17" t="s">
        <v>232</v>
      </c>
      <c r="B53" s="7" t="s">
        <v>14</v>
      </c>
      <c r="C53" s="7" t="s">
        <v>233</v>
      </c>
      <c r="D53" s="7" t="s">
        <v>16</v>
      </c>
      <c r="E53" s="8">
        <v>1.0</v>
      </c>
      <c r="F53" s="7" t="s">
        <v>172</v>
      </c>
      <c r="G53" s="7" t="s">
        <v>19</v>
      </c>
      <c r="H53" s="7" t="s">
        <v>16</v>
      </c>
      <c r="I53" s="7" t="s">
        <v>234</v>
      </c>
      <c r="J53" s="7" t="s">
        <v>16</v>
      </c>
      <c r="K53" s="7" t="s">
        <v>16</v>
      </c>
      <c r="L53" s="7" t="s">
        <v>235</v>
      </c>
      <c r="M53" s="10" t="s">
        <v>22</v>
      </c>
      <c r="N53" s="11" t="s">
        <v>236</v>
      </c>
      <c r="O53" s="5"/>
      <c r="P53" s="5"/>
      <c r="Q53" s="5"/>
      <c r="R53" s="5"/>
      <c r="S53" s="5"/>
      <c r="T53" s="5"/>
      <c r="U53" s="5"/>
      <c r="V53" s="5"/>
      <c r="W53" s="5"/>
      <c r="X53" s="5"/>
      <c r="Y53" s="5"/>
      <c r="Z53" s="5"/>
    </row>
    <row r="54">
      <c r="A54" s="17" t="s">
        <v>237</v>
      </c>
      <c r="B54" s="7" t="s">
        <v>14</v>
      </c>
      <c r="C54" s="7" t="s">
        <v>238</v>
      </c>
      <c r="D54" s="7" t="s">
        <v>16</v>
      </c>
      <c r="E54" s="8">
        <v>2.0</v>
      </c>
      <c r="F54" s="7" t="s">
        <v>17</v>
      </c>
      <c r="G54" s="7" t="s">
        <v>19</v>
      </c>
      <c r="H54" s="7" t="s">
        <v>16</v>
      </c>
      <c r="I54" s="7" t="s">
        <v>239</v>
      </c>
      <c r="J54" s="7" t="s">
        <v>16</v>
      </c>
      <c r="K54" s="7" t="s">
        <v>16</v>
      </c>
      <c r="L54" s="7" t="s">
        <v>240</v>
      </c>
      <c r="M54" s="10" t="s">
        <v>22</v>
      </c>
      <c r="N54" s="11" t="s">
        <v>241</v>
      </c>
      <c r="O54" s="5"/>
      <c r="P54" s="5"/>
      <c r="Q54" s="5"/>
      <c r="R54" s="5"/>
      <c r="S54" s="5"/>
      <c r="T54" s="5"/>
      <c r="U54" s="5"/>
      <c r="V54" s="5"/>
      <c r="W54" s="5"/>
      <c r="X54" s="5"/>
      <c r="Y54" s="5"/>
      <c r="Z54" s="5"/>
    </row>
    <row r="55">
      <c r="A55" s="17" t="s">
        <v>242</v>
      </c>
      <c r="B55" s="7" t="s">
        <v>14</v>
      </c>
      <c r="C55" s="7" t="s">
        <v>243</v>
      </c>
      <c r="D55" s="7" t="s">
        <v>16</v>
      </c>
      <c r="E55" s="8">
        <v>0.0</v>
      </c>
      <c r="F55" s="7" t="s">
        <v>17</v>
      </c>
      <c r="G55" s="7" t="s">
        <v>19</v>
      </c>
      <c r="H55" s="7" t="s">
        <v>16</v>
      </c>
      <c r="I55" s="7" t="s">
        <v>244</v>
      </c>
      <c r="J55" s="7" t="s">
        <v>16</v>
      </c>
      <c r="K55" s="7" t="s">
        <v>16</v>
      </c>
      <c r="L55" s="7" t="s">
        <v>240</v>
      </c>
      <c r="M55" s="10" t="s">
        <v>22</v>
      </c>
      <c r="N55" s="11" t="s">
        <v>245</v>
      </c>
      <c r="O55" s="5"/>
      <c r="P55" s="5"/>
      <c r="Q55" s="5"/>
      <c r="R55" s="5"/>
      <c r="S55" s="5"/>
      <c r="T55" s="5"/>
      <c r="U55" s="5"/>
      <c r="V55" s="5"/>
      <c r="W55" s="5"/>
      <c r="X55" s="5"/>
      <c r="Y55" s="5"/>
      <c r="Z55" s="5"/>
    </row>
    <row r="56">
      <c r="A56" s="17" t="s">
        <v>246</v>
      </c>
      <c r="B56" s="5" t="s">
        <v>14</v>
      </c>
      <c r="C56" s="7" t="s">
        <v>247</v>
      </c>
      <c r="D56" s="7" t="s">
        <v>16</v>
      </c>
      <c r="E56" s="8">
        <v>0.0</v>
      </c>
      <c r="F56" s="7" t="s">
        <v>105</v>
      </c>
      <c r="G56" s="5" t="s">
        <v>19</v>
      </c>
      <c r="H56" s="7" t="s">
        <v>16</v>
      </c>
      <c r="I56" s="7" t="s">
        <v>248</v>
      </c>
      <c r="J56" s="7" t="s">
        <v>16</v>
      </c>
      <c r="K56" s="7" t="s">
        <v>16</v>
      </c>
      <c r="L56" s="7" t="s">
        <v>240</v>
      </c>
      <c r="M56" s="10" t="s">
        <v>36</v>
      </c>
      <c r="N56" s="11" t="s">
        <v>249</v>
      </c>
      <c r="O56" s="5"/>
      <c r="P56" s="5"/>
      <c r="Q56" s="5"/>
      <c r="R56" s="5"/>
      <c r="S56" s="5"/>
      <c r="T56" s="5"/>
      <c r="U56" s="5"/>
      <c r="V56" s="5"/>
      <c r="W56" s="5"/>
      <c r="X56" s="5"/>
      <c r="Y56" s="5"/>
      <c r="Z56" s="5"/>
    </row>
    <row r="57">
      <c r="A57" s="17" t="s">
        <v>250</v>
      </c>
      <c r="B57" s="5" t="s">
        <v>14</v>
      </c>
      <c r="C57" s="7" t="s">
        <v>251</v>
      </c>
      <c r="D57" s="7" t="s">
        <v>16</v>
      </c>
      <c r="E57" s="8">
        <v>0.0</v>
      </c>
      <c r="F57" s="7" t="s">
        <v>17</v>
      </c>
      <c r="G57" s="7" t="s">
        <v>19</v>
      </c>
      <c r="H57" s="7" t="s">
        <v>16</v>
      </c>
      <c r="I57" s="7" t="s">
        <v>252</v>
      </c>
      <c r="J57" s="7" t="s">
        <v>16</v>
      </c>
      <c r="K57" s="7" t="s">
        <v>16</v>
      </c>
      <c r="L57" s="7" t="s">
        <v>253</v>
      </c>
      <c r="M57" s="10" t="s">
        <v>22</v>
      </c>
      <c r="N57" s="11" t="s">
        <v>254</v>
      </c>
      <c r="O57" s="5"/>
      <c r="P57" s="5"/>
      <c r="Q57" s="5"/>
      <c r="R57" s="5"/>
      <c r="S57" s="5"/>
      <c r="T57" s="5"/>
      <c r="U57" s="5"/>
      <c r="V57" s="5"/>
      <c r="W57" s="5"/>
      <c r="X57" s="5"/>
      <c r="Y57" s="5"/>
      <c r="Z57" s="5"/>
    </row>
    <row r="58">
      <c r="A58" s="17" t="s">
        <v>255</v>
      </c>
      <c r="B58" s="7" t="s">
        <v>14</v>
      </c>
      <c r="C58" s="7" t="s">
        <v>256</v>
      </c>
      <c r="D58" s="7" t="s">
        <v>16</v>
      </c>
      <c r="E58" s="8">
        <v>0.0</v>
      </c>
      <c r="F58" s="7" t="s">
        <v>105</v>
      </c>
      <c r="G58" s="5" t="s">
        <v>19</v>
      </c>
      <c r="H58" s="7" t="s">
        <v>16</v>
      </c>
      <c r="I58" s="7" t="s">
        <v>257</v>
      </c>
      <c r="J58" s="7" t="s">
        <v>16</v>
      </c>
      <c r="K58" s="7" t="s">
        <v>16</v>
      </c>
      <c r="L58" s="7" t="s">
        <v>258</v>
      </c>
      <c r="M58" s="10" t="s">
        <v>36</v>
      </c>
      <c r="N58" s="30" t="s">
        <v>259</v>
      </c>
      <c r="O58" s="5"/>
      <c r="P58" s="5"/>
      <c r="Q58" s="5"/>
      <c r="R58" s="5"/>
      <c r="S58" s="5"/>
      <c r="T58" s="5"/>
      <c r="U58" s="5"/>
      <c r="V58" s="5"/>
      <c r="W58" s="5"/>
      <c r="X58" s="5"/>
      <c r="Y58" s="5"/>
      <c r="Z58" s="5"/>
    </row>
    <row r="59">
      <c r="A59" s="17" t="s">
        <v>260</v>
      </c>
      <c r="B59" s="7" t="s">
        <v>14</v>
      </c>
      <c r="C59" s="7" t="s">
        <v>261</v>
      </c>
      <c r="D59" s="7" t="s">
        <v>16</v>
      </c>
      <c r="E59" s="8">
        <v>1.0</v>
      </c>
      <c r="F59" s="7" t="s">
        <v>17</v>
      </c>
      <c r="G59" s="5" t="s">
        <v>19</v>
      </c>
      <c r="H59" s="7" t="s">
        <v>16</v>
      </c>
      <c r="I59" s="7" t="s">
        <v>262</v>
      </c>
      <c r="J59" s="7" t="s">
        <v>16</v>
      </c>
      <c r="K59" s="7" t="s">
        <v>16</v>
      </c>
      <c r="L59" s="7" t="s">
        <v>263</v>
      </c>
      <c r="M59" s="10" t="s">
        <v>36</v>
      </c>
      <c r="N59" s="11" t="s">
        <v>264</v>
      </c>
      <c r="O59" s="5"/>
      <c r="P59" s="5"/>
      <c r="Q59" s="5"/>
      <c r="R59" s="5"/>
      <c r="S59" s="5"/>
      <c r="T59" s="5"/>
      <c r="U59" s="5"/>
      <c r="V59" s="5"/>
      <c r="W59" s="5"/>
      <c r="X59" s="5"/>
      <c r="Y59" s="5"/>
      <c r="Z59" s="5"/>
    </row>
    <row r="60">
      <c r="A60" s="17" t="s">
        <v>265</v>
      </c>
      <c r="B60" s="5" t="s">
        <v>14</v>
      </c>
      <c r="C60" s="7" t="s">
        <v>266</v>
      </c>
      <c r="D60" s="7" t="s">
        <v>16</v>
      </c>
      <c r="E60" s="8">
        <v>3.0</v>
      </c>
      <c r="F60" s="7" t="s">
        <v>17</v>
      </c>
      <c r="G60" s="5" t="s">
        <v>19</v>
      </c>
      <c r="H60" s="7" t="s">
        <v>16</v>
      </c>
      <c r="I60" s="7" t="s">
        <v>267</v>
      </c>
      <c r="J60" s="7" t="s">
        <v>16</v>
      </c>
      <c r="K60" s="7" t="s">
        <v>16</v>
      </c>
      <c r="L60" s="7" t="s">
        <v>268</v>
      </c>
      <c r="M60" s="31" t="s">
        <v>36</v>
      </c>
      <c r="N60" s="32" t="s">
        <v>269</v>
      </c>
      <c r="O60" s="5"/>
      <c r="P60" s="5"/>
      <c r="Q60" s="5"/>
      <c r="R60" s="5"/>
      <c r="S60" s="5"/>
      <c r="T60" s="5"/>
      <c r="U60" s="5"/>
      <c r="V60" s="5"/>
      <c r="W60" s="5"/>
      <c r="X60" s="5"/>
      <c r="Y60" s="5"/>
      <c r="Z60" s="5"/>
    </row>
    <row r="61">
      <c r="A61" s="17" t="s">
        <v>270</v>
      </c>
      <c r="B61" s="7" t="s">
        <v>14</v>
      </c>
      <c r="C61" s="7" t="s">
        <v>271</v>
      </c>
      <c r="D61" s="7" t="s">
        <v>16</v>
      </c>
      <c r="E61" s="8">
        <v>0.0</v>
      </c>
      <c r="F61" s="7" t="s">
        <v>105</v>
      </c>
      <c r="G61" s="5" t="s">
        <v>19</v>
      </c>
      <c r="H61" s="7" t="s">
        <v>16</v>
      </c>
      <c r="I61" s="7" t="s">
        <v>272</v>
      </c>
      <c r="J61" s="7" t="s">
        <v>16</v>
      </c>
      <c r="K61" s="7" t="s">
        <v>16</v>
      </c>
      <c r="L61" s="7" t="s">
        <v>273</v>
      </c>
      <c r="M61" s="31" t="s">
        <v>22</v>
      </c>
      <c r="N61" s="32" t="s">
        <v>274</v>
      </c>
      <c r="O61" s="5"/>
      <c r="P61" s="5"/>
      <c r="Q61" s="5"/>
      <c r="R61" s="5"/>
      <c r="S61" s="5"/>
      <c r="T61" s="5"/>
      <c r="U61" s="5"/>
      <c r="V61" s="5"/>
      <c r="W61" s="5"/>
      <c r="X61" s="5"/>
      <c r="Y61" s="5"/>
      <c r="Z61" s="5"/>
    </row>
    <row r="62">
      <c r="A62" s="17" t="s">
        <v>275</v>
      </c>
      <c r="B62" s="7" t="s">
        <v>14</v>
      </c>
      <c r="C62" s="7" t="s">
        <v>276</v>
      </c>
      <c r="D62" s="7" t="s">
        <v>16</v>
      </c>
      <c r="E62" s="8">
        <v>0.0</v>
      </c>
      <c r="F62" s="7" t="s">
        <v>172</v>
      </c>
      <c r="G62" s="5" t="s">
        <v>19</v>
      </c>
      <c r="H62" s="7" t="s">
        <v>16</v>
      </c>
      <c r="I62" s="7" t="s">
        <v>277</v>
      </c>
      <c r="J62" s="7" t="s">
        <v>16</v>
      </c>
      <c r="K62" s="7" t="s">
        <v>16</v>
      </c>
      <c r="L62" s="7" t="s">
        <v>278</v>
      </c>
      <c r="M62" s="31" t="s">
        <v>36</v>
      </c>
      <c r="N62" s="32" t="s">
        <v>279</v>
      </c>
      <c r="O62" s="5"/>
      <c r="P62" s="5"/>
      <c r="Q62" s="5"/>
      <c r="R62" s="5"/>
      <c r="S62" s="5"/>
      <c r="T62" s="5"/>
      <c r="U62" s="5"/>
      <c r="V62" s="5"/>
      <c r="W62" s="5"/>
      <c r="X62" s="5"/>
      <c r="Y62" s="5"/>
      <c r="Z62" s="5"/>
    </row>
    <row r="63">
      <c r="A63" s="17" t="s">
        <v>280</v>
      </c>
      <c r="B63" s="7" t="s">
        <v>14</v>
      </c>
      <c r="C63" s="7" t="s">
        <v>281</v>
      </c>
      <c r="D63" s="7" t="s">
        <v>16</v>
      </c>
      <c r="E63" s="8">
        <v>2.0</v>
      </c>
      <c r="F63" s="7" t="s">
        <v>17</v>
      </c>
      <c r="G63" s="5" t="s">
        <v>19</v>
      </c>
      <c r="H63" s="7" t="s">
        <v>16</v>
      </c>
      <c r="I63" s="7" t="s">
        <v>282</v>
      </c>
      <c r="J63" s="7" t="s">
        <v>16</v>
      </c>
      <c r="K63" s="7" t="s">
        <v>16</v>
      </c>
      <c r="L63" s="7" t="s">
        <v>283</v>
      </c>
      <c r="M63" s="31" t="s">
        <v>75</v>
      </c>
      <c r="N63" s="32" t="s">
        <v>284</v>
      </c>
      <c r="O63" s="5"/>
      <c r="P63" s="5"/>
      <c r="Q63" s="5"/>
      <c r="R63" s="5"/>
      <c r="S63" s="5"/>
      <c r="T63" s="5"/>
      <c r="U63" s="5"/>
      <c r="V63" s="5"/>
      <c r="W63" s="5"/>
      <c r="X63" s="5"/>
      <c r="Y63" s="5"/>
      <c r="Z63" s="5"/>
    </row>
    <row r="64">
      <c r="A64" s="17" t="s">
        <v>285</v>
      </c>
      <c r="B64" s="5" t="s">
        <v>14</v>
      </c>
      <c r="C64" s="7" t="s">
        <v>286</v>
      </c>
      <c r="D64" s="7" t="s">
        <v>16</v>
      </c>
      <c r="E64" s="8">
        <v>4.0</v>
      </c>
      <c r="F64" s="7" t="s">
        <v>17</v>
      </c>
      <c r="G64" s="5" t="s">
        <v>19</v>
      </c>
      <c r="H64" s="7" t="s">
        <v>16</v>
      </c>
      <c r="I64" s="7" t="s">
        <v>287</v>
      </c>
      <c r="J64" s="7" t="s">
        <v>16</v>
      </c>
      <c r="K64" s="7" t="s">
        <v>16</v>
      </c>
      <c r="L64" s="7" t="s">
        <v>288</v>
      </c>
      <c r="M64" s="31" t="s">
        <v>22</v>
      </c>
      <c r="N64" s="32" t="s">
        <v>289</v>
      </c>
      <c r="O64" s="5"/>
      <c r="P64" s="5"/>
      <c r="Q64" s="5"/>
      <c r="R64" s="5"/>
      <c r="S64" s="5"/>
      <c r="T64" s="5"/>
      <c r="U64" s="5"/>
      <c r="V64" s="5"/>
      <c r="W64" s="5"/>
      <c r="X64" s="5"/>
      <c r="Y64" s="5"/>
      <c r="Z64" s="5"/>
    </row>
    <row r="65">
      <c r="A65" s="17" t="s">
        <v>290</v>
      </c>
      <c r="B65" s="5" t="s">
        <v>14</v>
      </c>
      <c r="C65" s="7" t="s">
        <v>291</v>
      </c>
      <c r="D65" s="7" t="s">
        <v>16</v>
      </c>
      <c r="E65" s="8">
        <v>1.0</v>
      </c>
      <c r="F65" s="7" t="s">
        <v>105</v>
      </c>
      <c r="G65" s="5" t="s">
        <v>19</v>
      </c>
      <c r="H65" s="7" t="s">
        <v>16</v>
      </c>
      <c r="I65" s="7" t="s">
        <v>292</v>
      </c>
      <c r="J65" s="7" t="s">
        <v>16</v>
      </c>
      <c r="K65" s="7" t="s">
        <v>16</v>
      </c>
      <c r="L65" s="7" t="s">
        <v>293</v>
      </c>
      <c r="M65" s="31" t="s">
        <v>88</v>
      </c>
      <c r="N65" s="32" t="s">
        <v>294</v>
      </c>
      <c r="O65" s="5"/>
      <c r="P65" s="5"/>
      <c r="Q65" s="5"/>
      <c r="R65" s="5"/>
      <c r="S65" s="5"/>
      <c r="T65" s="5"/>
      <c r="U65" s="5"/>
      <c r="V65" s="5"/>
      <c r="W65" s="5"/>
      <c r="X65" s="5"/>
      <c r="Y65" s="5"/>
      <c r="Z65" s="5"/>
    </row>
    <row r="66">
      <c r="A66" s="17" t="s">
        <v>295</v>
      </c>
      <c r="B66" s="5" t="s">
        <v>14</v>
      </c>
      <c r="C66" s="7" t="s">
        <v>291</v>
      </c>
      <c r="D66" s="7" t="s">
        <v>16</v>
      </c>
      <c r="E66" s="8">
        <v>1.0</v>
      </c>
      <c r="F66" s="7" t="s">
        <v>105</v>
      </c>
      <c r="G66" s="5" t="s">
        <v>19</v>
      </c>
      <c r="H66" s="7" t="s">
        <v>16</v>
      </c>
      <c r="I66" s="7" t="s">
        <v>292</v>
      </c>
      <c r="J66" s="7" t="s">
        <v>16</v>
      </c>
      <c r="K66" s="7" t="s">
        <v>16</v>
      </c>
      <c r="L66" s="7" t="s">
        <v>293</v>
      </c>
      <c r="M66" s="31" t="s">
        <v>88</v>
      </c>
      <c r="N66" s="32" t="s">
        <v>294</v>
      </c>
      <c r="O66" s="5"/>
      <c r="P66" s="5"/>
      <c r="Q66" s="5"/>
      <c r="R66" s="5"/>
      <c r="S66" s="5"/>
      <c r="T66" s="5"/>
      <c r="U66" s="5"/>
      <c r="V66" s="5"/>
      <c r="W66" s="5"/>
      <c r="X66" s="5"/>
      <c r="Y66" s="5"/>
      <c r="Z66" s="5"/>
    </row>
    <row r="67">
      <c r="A67" s="17" t="s">
        <v>296</v>
      </c>
      <c r="B67" s="5" t="s">
        <v>14</v>
      </c>
      <c r="C67" s="7" t="s">
        <v>297</v>
      </c>
      <c r="D67" s="7" t="s">
        <v>16</v>
      </c>
      <c r="E67" s="8">
        <v>0.0</v>
      </c>
      <c r="F67" s="7" t="s">
        <v>17</v>
      </c>
      <c r="G67" s="5" t="s">
        <v>19</v>
      </c>
      <c r="H67" s="7" t="s">
        <v>16</v>
      </c>
      <c r="I67" s="7" t="s">
        <v>298</v>
      </c>
      <c r="J67" s="7" t="s">
        <v>16</v>
      </c>
      <c r="K67" s="7" t="s">
        <v>16</v>
      </c>
      <c r="L67" s="7" t="s">
        <v>299</v>
      </c>
      <c r="M67" s="31" t="s">
        <v>22</v>
      </c>
      <c r="N67" s="32" t="s">
        <v>300</v>
      </c>
      <c r="O67" s="5"/>
      <c r="P67" s="5"/>
      <c r="Q67" s="5"/>
      <c r="R67" s="5"/>
      <c r="S67" s="5"/>
      <c r="T67" s="5"/>
      <c r="U67" s="5"/>
      <c r="V67" s="5"/>
      <c r="W67" s="5"/>
      <c r="X67" s="5"/>
      <c r="Y67" s="5"/>
      <c r="Z67" s="5"/>
    </row>
    <row r="68">
      <c r="A68" s="17" t="s">
        <v>301</v>
      </c>
      <c r="B68" s="5" t="s">
        <v>14</v>
      </c>
      <c r="C68" s="7" t="s">
        <v>302</v>
      </c>
      <c r="D68" s="7" t="s">
        <v>16</v>
      </c>
      <c r="E68" s="8">
        <v>1.0</v>
      </c>
      <c r="F68" s="7" t="s">
        <v>17</v>
      </c>
      <c r="G68" s="5" t="s">
        <v>19</v>
      </c>
      <c r="H68" s="7" t="s">
        <v>16</v>
      </c>
      <c r="I68" s="7" t="s">
        <v>303</v>
      </c>
      <c r="J68" s="7" t="s">
        <v>16</v>
      </c>
      <c r="K68" s="7" t="s">
        <v>16</v>
      </c>
      <c r="L68" s="7" t="s">
        <v>288</v>
      </c>
      <c r="M68" s="31" t="s">
        <v>22</v>
      </c>
      <c r="N68" s="32" t="s">
        <v>304</v>
      </c>
      <c r="O68" s="5"/>
      <c r="P68" s="5"/>
      <c r="Q68" s="5"/>
      <c r="R68" s="5"/>
      <c r="S68" s="5"/>
      <c r="T68" s="5"/>
      <c r="U68" s="5"/>
      <c r="V68" s="5"/>
      <c r="W68" s="5"/>
      <c r="X68" s="5"/>
      <c r="Y68" s="5"/>
      <c r="Z68" s="5"/>
    </row>
    <row r="69">
      <c r="A69" s="17" t="s">
        <v>305</v>
      </c>
      <c r="B69" s="5" t="s">
        <v>14</v>
      </c>
      <c r="C69" s="7" t="s">
        <v>306</v>
      </c>
      <c r="D69" s="7" t="s">
        <v>16</v>
      </c>
      <c r="E69" s="8">
        <v>0.0</v>
      </c>
      <c r="F69" s="7" t="s">
        <v>17</v>
      </c>
      <c r="G69" s="5" t="s">
        <v>19</v>
      </c>
      <c r="H69" s="7" t="s">
        <v>16</v>
      </c>
      <c r="I69" s="7" t="s">
        <v>307</v>
      </c>
      <c r="J69" s="7" t="s">
        <v>16</v>
      </c>
      <c r="K69" s="7" t="s">
        <v>16</v>
      </c>
      <c r="L69" s="7" t="s">
        <v>288</v>
      </c>
      <c r="M69" s="31" t="s">
        <v>36</v>
      </c>
      <c r="N69" s="32" t="s">
        <v>308</v>
      </c>
      <c r="O69" s="5"/>
      <c r="P69" s="5"/>
      <c r="Q69" s="5"/>
      <c r="R69" s="5"/>
      <c r="S69" s="5"/>
      <c r="T69" s="5"/>
      <c r="U69" s="5"/>
      <c r="V69" s="5"/>
      <c r="W69" s="5"/>
      <c r="X69" s="5"/>
      <c r="Y69" s="5"/>
      <c r="Z69" s="5"/>
    </row>
    <row r="70">
      <c r="A70" s="17" t="s">
        <v>309</v>
      </c>
      <c r="B70" s="5" t="s">
        <v>14</v>
      </c>
      <c r="C70" s="7" t="s">
        <v>310</v>
      </c>
      <c r="D70" s="7" t="s">
        <v>16</v>
      </c>
      <c r="E70" s="8">
        <v>1.0</v>
      </c>
      <c r="F70" s="7" t="s">
        <v>17</v>
      </c>
      <c r="G70" s="5" t="s">
        <v>19</v>
      </c>
      <c r="H70" s="7" t="s">
        <v>16</v>
      </c>
      <c r="I70" s="7" t="s">
        <v>311</v>
      </c>
      <c r="J70" s="7" t="s">
        <v>16</v>
      </c>
      <c r="K70" s="7" t="s">
        <v>16</v>
      </c>
      <c r="L70" s="7" t="s">
        <v>312</v>
      </c>
      <c r="M70" s="7" t="s">
        <v>88</v>
      </c>
      <c r="N70" s="7" t="s">
        <v>313</v>
      </c>
      <c r="O70" s="5"/>
      <c r="P70" s="5"/>
      <c r="Q70" s="5"/>
      <c r="R70" s="5"/>
      <c r="S70" s="5"/>
      <c r="T70" s="5"/>
      <c r="U70" s="5"/>
      <c r="V70" s="5"/>
      <c r="W70" s="5"/>
      <c r="X70" s="5"/>
      <c r="Y70" s="5"/>
      <c r="Z70" s="5"/>
    </row>
    <row r="71">
      <c r="A71" s="17" t="s">
        <v>314</v>
      </c>
      <c r="B71" s="5" t="s">
        <v>14</v>
      </c>
      <c r="C71" s="7" t="s">
        <v>310</v>
      </c>
      <c r="D71" s="7" t="s">
        <v>16</v>
      </c>
      <c r="E71" s="8">
        <v>1.0</v>
      </c>
      <c r="F71" s="7" t="s">
        <v>17</v>
      </c>
      <c r="G71" s="5" t="s">
        <v>19</v>
      </c>
      <c r="H71" s="7" t="s">
        <v>16</v>
      </c>
      <c r="I71" s="7" t="s">
        <v>315</v>
      </c>
      <c r="J71" s="7" t="s">
        <v>16</v>
      </c>
      <c r="K71" s="7" t="s">
        <v>16</v>
      </c>
      <c r="L71" s="7" t="s">
        <v>312</v>
      </c>
      <c r="M71" s="7" t="s">
        <v>88</v>
      </c>
      <c r="N71" s="7" t="s">
        <v>313</v>
      </c>
      <c r="O71" s="5"/>
      <c r="P71" s="5"/>
      <c r="Q71" s="5"/>
      <c r="R71" s="5"/>
      <c r="S71" s="5"/>
      <c r="T71" s="5"/>
      <c r="U71" s="5"/>
      <c r="V71" s="5"/>
      <c r="W71" s="5"/>
      <c r="X71" s="5"/>
      <c r="Y71" s="5"/>
      <c r="Z71" s="5"/>
    </row>
    <row r="72">
      <c r="A72" s="17" t="s">
        <v>316</v>
      </c>
      <c r="B72" s="5" t="s">
        <v>14</v>
      </c>
      <c r="C72" s="7" t="s">
        <v>317</v>
      </c>
      <c r="D72" s="7" t="s">
        <v>16</v>
      </c>
      <c r="E72" s="8">
        <v>2.0</v>
      </c>
      <c r="F72" s="7" t="s">
        <v>105</v>
      </c>
      <c r="G72" s="5" t="s">
        <v>19</v>
      </c>
      <c r="H72" s="7" t="s">
        <v>16</v>
      </c>
      <c r="I72" s="7" t="s">
        <v>318</v>
      </c>
      <c r="J72" s="7" t="s">
        <v>16</v>
      </c>
      <c r="K72" s="7" t="s">
        <v>16</v>
      </c>
      <c r="L72" s="7" t="s">
        <v>16</v>
      </c>
      <c r="M72" s="7" t="s">
        <v>88</v>
      </c>
      <c r="N72" s="7" t="s">
        <v>319</v>
      </c>
      <c r="O72" s="5"/>
      <c r="P72" s="5"/>
      <c r="Q72" s="5"/>
      <c r="R72" s="5"/>
      <c r="S72" s="5"/>
      <c r="T72" s="5"/>
      <c r="U72" s="5"/>
      <c r="V72" s="5"/>
      <c r="W72" s="5"/>
      <c r="X72" s="5"/>
      <c r="Y72" s="5"/>
      <c r="Z72" s="5"/>
    </row>
    <row r="73">
      <c r="A73" s="17" t="s">
        <v>320</v>
      </c>
      <c r="B73" s="7" t="s">
        <v>14</v>
      </c>
      <c r="C73" s="7" t="s">
        <v>321</v>
      </c>
      <c r="D73" s="7" t="s">
        <v>16</v>
      </c>
      <c r="E73" s="8">
        <v>0.0</v>
      </c>
      <c r="F73" s="7" t="s">
        <v>105</v>
      </c>
      <c r="G73" s="7" t="s">
        <v>19</v>
      </c>
      <c r="H73" s="7" t="s">
        <v>16</v>
      </c>
      <c r="I73" s="7" t="s">
        <v>322</v>
      </c>
      <c r="J73" s="7" t="s">
        <v>16</v>
      </c>
      <c r="K73" s="7" t="s">
        <v>16</v>
      </c>
      <c r="L73" s="7" t="s">
        <v>16</v>
      </c>
      <c r="M73" s="7" t="s">
        <v>88</v>
      </c>
      <c r="N73" s="5" t="s">
        <v>323</v>
      </c>
      <c r="O73" s="5"/>
      <c r="P73" s="5"/>
      <c r="Q73" s="5"/>
      <c r="R73" s="5"/>
      <c r="S73" s="5"/>
      <c r="T73" s="5"/>
      <c r="U73" s="5"/>
      <c r="V73" s="5"/>
      <c r="W73" s="5"/>
      <c r="X73" s="5"/>
      <c r="Y73" s="5"/>
      <c r="Z73" s="5"/>
    </row>
    <row r="74">
      <c r="A74" s="17" t="s">
        <v>324</v>
      </c>
      <c r="B74" s="7" t="s">
        <v>14</v>
      </c>
      <c r="C74" s="7" t="s">
        <v>325</v>
      </c>
      <c r="D74" s="7" t="s">
        <v>16</v>
      </c>
      <c r="E74" s="8">
        <v>2.0</v>
      </c>
      <c r="F74" s="7" t="s">
        <v>17</v>
      </c>
      <c r="G74" s="7" t="s">
        <v>326</v>
      </c>
      <c r="H74" s="7" t="s">
        <v>16</v>
      </c>
      <c r="I74" s="7" t="s">
        <v>327</v>
      </c>
      <c r="J74" s="7" t="s">
        <v>16</v>
      </c>
      <c r="K74" s="7" t="s">
        <v>16</v>
      </c>
      <c r="L74" s="7" t="s">
        <v>16</v>
      </c>
      <c r="M74" s="7" t="s">
        <v>88</v>
      </c>
      <c r="N74" s="5" t="s">
        <v>328</v>
      </c>
      <c r="O74" s="5"/>
      <c r="P74" s="5"/>
      <c r="Q74" s="5"/>
      <c r="R74" s="5"/>
      <c r="S74" s="5"/>
      <c r="T74" s="5"/>
      <c r="U74" s="5"/>
      <c r="V74" s="5"/>
      <c r="W74" s="5"/>
      <c r="X74" s="5"/>
      <c r="Y74" s="5"/>
      <c r="Z74" s="5"/>
    </row>
    <row r="75">
      <c r="A75" s="17" t="s">
        <v>329</v>
      </c>
      <c r="B75" s="7" t="s">
        <v>14</v>
      </c>
      <c r="C75" s="7" t="s">
        <v>330</v>
      </c>
      <c r="D75" s="7" t="s">
        <v>16</v>
      </c>
      <c r="E75" s="8">
        <v>2.0</v>
      </c>
      <c r="F75" s="7" t="s">
        <v>105</v>
      </c>
      <c r="G75" s="7" t="s">
        <v>19</v>
      </c>
      <c r="H75" s="7" t="s">
        <v>16</v>
      </c>
      <c r="I75" s="7" t="s">
        <v>331</v>
      </c>
      <c r="J75" s="7" t="s">
        <v>16</v>
      </c>
      <c r="K75" s="7" t="s">
        <v>16</v>
      </c>
      <c r="L75" s="7" t="s">
        <v>16</v>
      </c>
      <c r="M75" s="7" t="s">
        <v>22</v>
      </c>
      <c r="N75" s="5" t="s">
        <v>332</v>
      </c>
      <c r="O75" s="5"/>
      <c r="P75" s="5"/>
      <c r="Q75" s="5"/>
      <c r="R75" s="5"/>
      <c r="S75" s="5"/>
      <c r="T75" s="5"/>
      <c r="U75" s="5"/>
      <c r="V75" s="5"/>
      <c r="W75" s="5"/>
      <c r="X75" s="5"/>
      <c r="Y75" s="5"/>
      <c r="Z75" s="5"/>
    </row>
    <row r="76">
      <c r="A76" s="17" t="s">
        <v>333</v>
      </c>
      <c r="B76" s="7" t="s">
        <v>14</v>
      </c>
      <c r="C76" s="7" t="s">
        <v>334</v>
      </c>
      <c r="D76" s="7" t="s">
        <v>16</v>
      </c>
      <c r="E76" s="8">
        <v>3.0</v>
      </c>
      <c r="F76" s="7" t="s">
        <v>17</v>
      </c>
      <c r="G76" s="7" t="s">
        <v>19</v>
      </c>
      <c r="H76" s="7" t="s">
        <v>16</v>
      </c>
      <c r="I76" s="7" t="s">
        <v>335</v>
      </c>
      <c r="J76" s="7" t="s">
        <v>16</v>
      </c>
      <c r="K76" s="7" t="s">
        <v>16</v>
      </c>
      <c r="L76" s="7" t="s">
        <v>16</v>
      </c>
      <c r="M76" s="7" t="s">
        <v>22</v>
      </c>
      <c r="N76" s="5" t="s">
        <v>336</v>
      </c>
      <c r="O76" s="5"/>
      <c r="P76" s="5"/>
      <c r="Q76" s="5"/>
      <c r="R76" s="5"/>
      <c r="S76" s="5"/>
      <c r="T76" s="5"/>
      <c r="U76" s="5"/>
      <c r="V76" s="5"/>
      <c r="W76" s="5"/>
      <c r="X76" s="5"/>
      <c r="Y76" s="5"/>
      <c r="Z76" s="5"/>
    </row>
    <row r="77">
      <c r="A77" s="17" t="s">
        <v>337</v>
      </c>
      <c r="B77" s="7" t="s">
        <v>14</v>
      </c>
      <c r="C77" s="7" t="s">
        <v>338</v>
      </c>
      <c r="D77" s="7" t="s">
        <v>16</v>
      </c>
      <c r="E77" s="8">
        <v>0.0</v>
      </c>
      <c r="F77" s="7" t="s">
        <v>172</v>
      </c>
      <c r="G77" s="7" t="s">
        <v>19</v>
      </c>
      <c r="H77" s="7" t="s">
        <v>16</v>
      </c>
      <c r="I77" s="7" t="s">
        <v>339</v>
      </c>
      <c r="J77" s="7" t="s">
        <v>16</v>
      </c>
      <c r="K77" s="7" t="s">
        <v>16</v>
      </c>
      <c r="L77" s="7" t="s">
        <v>16</v>
      </c>
      <c r="M77" s="7" t="s">
        <v>88</v>
      </c>
      <c r="N77" s="5" t="s">
        <v>340</v>
      </c>
      <c r="O77" s="5"/>
      <c r="P77" s="5"/>
      <c r="Q77" s="5"/>
      <c r="R77" s="5"/>
      <c r="S77" s="5"/>
      <c r="T77" s="5"/>
      <c r="U77" s="5"/>
      <c r="V77" s="5"/>
      <c r="W77" s="5"/>
      <c r="X77" s="5"/>
      <c r="Y77" s="5"/>
      <c r="Z77" s="5"/>
    </row>
    <row r="78">
      <c r="A78" s="17" t="s">
        <v>341</v>
      </c>
      <c r="B78" s="5" t="s">
        <v>14</v>
      </c>
      <c r="C78" s="7" t="s">
        <v>78</v>
      </c>
      <c r="D78" s="7" t="s">
        <v>16</v>
      </c>
      <c r="E78" s="8">
        <v>0.0</v>
      </c>
      <c r="F78" s="7" t="s">
        <v>17</v>
      </c>
      <c r="G78" s="7" t="s">
        <v>19</v>
      </c>
      <c r="H78" s="7" t="s">
        <v>16</v>
      </c>
      <c r="I78" s="7" t="s">
        <v>83</v>
      </c>
      <c r="J78" s="7" t="s">
        <v>16</v>
      </c>
      <c r="K78" s="7" t="s">
        <v>16</v>
      </c>
      <c r="L78" s="7" t="s">
        <v>342</v>
      </c>
      <c r="M78" s="7" t="s">
        <v>36</v>
      </c>
      <c r="N78" s="5" t="s">
        <v>343</v>
      </c>
      <c r="O78" s="5"/>
      <c r="P78" s="5"/>
      <c r="Q78" s="5"/>
      <c r="R78" s="5"/>
      <c r="S78" s="5"/>
      <c r="T78" s="5"/>
      <c r="U78" s="5"/>
      <c r="V78" s="5"/>
      <c r="W78" s="5"/>
      <c r="X78" s="5"/>
      <c r="Y78" s="5"/>
      <c r="Z78" s="5"/>
    </row>
    <row r="79">
      <c r="A79" s="17" t="s">
        <v>344</v>
      </c>
      <c r="B79" s="7" t="s">
        <v>14</v>
      </c>
      <c r="C79" s="7" t="s">
        <v>345</v>
      </c>
      <c r="D79" s="7" t="s">
        <v>16</v>
      </c>
      <c r="E79" s="8">
        <v>3.0</v>
      </c>
      <c r="F79" s="7" t="s">
        <v>17</v>
      </c>
      <c r="G79" s="7" t="s">
        <v>19</v>
      </c>
      <c r="H79" s="7" t="s">
        <v>16</v>
      </c>
      <c r="I79" s="7" t="s">
        <v>346</v>
      </c>
      <c r="J79" s="7" t="s">
        <v>16</v>
      </c>
      <c r="K79" s="7" t="s">
        <v>16</v>
      </c>
      <c r="L79" s="7" t="s">
        <v>342</v>
      </c>
      <c r="M79" s="7" t="s">
        <v>75</v>
      </c>
      <c r="N79" s="5" t="s">
        <v>347</v>
      </c>
      <c r="O79" s="5"/>
      <c r="P79" s="5"/>
      <c r="Q79" s="5"/>
      <c r="R79" s="5"/>
      <c r="S79" s="5"/>
      <c r="T79" s="5"/>
      <c r="U79" s="5"/>
      <c r="V79" s="5"/>
      <c r="W79" s="5"/>
      <c r="X79" s="5"/>
      <c r="Y79" s="5"/>
      <c r="Z79" s="5"/>
    </row>
    <row r="80">
      <c r="A80" s="17" t="s">
        <v>348</v>
      </c>
      <c r="B80" s="5" t="s">
        <v>14</v>
      </c>
      <c r="C80" s="7" t="s">
        <v>349</v>
      </c>
      <c r="D80" s="7" t="s">
        <v>16</v>
      </c>
      <c r="E80" s="8">
        <v>2.0</v>
      </c>
      <c r="F80" s="7" t="s">
        <v>17</v>
      </c>
      <c r="G80" s="5" t="s">
        <v>19</v>
      </c>
      <c r="H80" s="7" t="s">
        <v>16</v>
      </c>
      <c r="I80" s="7" t="s">
        <v>350</v>
      </c>
      <c r="J80" s="7" t="s">
        <v>16</v>
      </c>
      <c r="K80" s="7" t="s">
        <v>16</v>
      </c>
      <c r="L80" s="7" t="s">
        <v>351</v>
      </c>
      <c r="M80" s="7" t="s">
        <v>22</v>
      </c>
      <c r="N80" s="5" t="s">
        <v>352</v>
      </c>
      <c r="O80" s="5"/>
      <c r="P80" s="5"/>
      <c r="Q80" s="5"/>
      <c r="R80" s="5"/>
      <c r="S80" s="5"/>
      <c r="T80" s="5"/>
      <c r="U80" s="5"/>
      <c r="V80" s="5"/>
      <c r="W80" s="5"/>
      <c r="X80" s="5"/>
      <c r="Y80" s="5"/>
      <c r="Z80" s="5"/>
    </row>
    <row r="81">
      <c r="A81" s="17" t="s">
        <v>353</v>
      </c>
      <c r="B81" s="5" t="s">
        <v>14</v>
      </c>
      <c r="C81" s="7" t="s">
        <v>354</v>
      </c>
      <c r="D81" s="7" t="s">
        <v>16</v>
      </c>
      <c r="E81" s="8">
        <v>1.0</v>
      </c>
      <c r="F81" s="7" t="s">
        <v>105</v>
      </c>
      <c r="G81" s="5" t="s">
        <v>19</v>
      </c>
      <c r="H81" s="7" t="s">
        <v>16</v>
      </c>
      <c r="I81" s="7" t="s">
        <v>355</v>
      </c>
      <c r="J81" s="7" t="s">
        <v>16</v>
      </c>
      <c r="K81" s="7" t="s">
        <v>16</v>
      </c>
      <c r="L81" s="7" t="s">
        <v>351</v>
      </c>
      <c r="M81" s="7" t="s">
        <v>88</v>
      </c>
      <c r="N81" s="5" t="s">
        <v>356</v>
      </c>
      <c r="O81" s="5"/>
      <c r="P81" s="5"/>
      <c r="Q81" s="5"/>
      <c r="R81" s="5"/>
      <c r="S81" s="5"/>
      <c r="T81" s="5"/>
      <c r="U81" s="5"/>
      <c r="V81" s="5"/>
      <c r="W81" s="5"/>
      <c r="X81" s="5"/>
      <c r="Y81" s="5"/>
      <c r="Z81" s="5"/>
    </row>
    <row r="82">
      <c r="A82" s="17" t="s">
        <v>357</v>
      </c>
      <c r="B82" s="5" t="s">
        <v>14</v>
      </c>
      <c r="C82" s="7" t="s">
        <v>358</v>
      </c>
      <c r="D82" s="7" t="s">
        <v>16</v>
      </c>
      <c r="E82" s="8">
        <v>1.0</v>
      </c>
      <c r="F82" s="7" t="s">
        <v>172</v>
      </c>
      <c r="G82" s="5" t="s">
        <v>19</v>
      </c>
      <c r="H82" s="7" t="s">
        <v>16</v>
      </c>
      <c r="I82" s="7" t="s">
        <v>359</v>
      </c>
      <c r="J82" s="7" t="s">
        <v>16</v>
      </c>
      <c r="K82" s="7" t="s">
        <v>16</v>
      </c>
      <c r="L82" s="7" t="s">
        <v>16</v>
      </c>
      <c r="M82" s="7" t="s">
        <v>36</v>
      </c>
      <c r="N82" s="5" t="s">
        <v>360</v>
      </c>
      <c r="O82" s="5"/>
      <c r="P82" s="5"/>
      <c r="Q82" s="5"/>
      <c r="R82" s="5"/>
      <c r="S82" s="5"/>
      <c r="T82" s="5"/>
      <c r="U82" s="5"/>
      <c r="V82" s="5"/>
      <c r="W82" s="5"/>
      <c r="X82" s="5"/>
      <c r="Y82" s="5"/>
      <c r="Z82" s="5"/>
    </row>
    <row r="83">
      <c r="A83" s="17" t="s">
        <v>361</v>
      </c>
      <c r="B83" s="5" t="s">
        <v>14</v>
      </c>
      <c r="C83" s="7" t="s">
        <v>362</v>
      </c>
      <c r="D83" s="7" t="s">
        <v>16</v>
      </c>
      <c r="E83" s="8">
        <v>2.0</v>
      </c>
      <c r="F83" s="7" t="s">
        <v>105</v>
      </c>
      <c r="G83" s="5" t="s">
        <v>19</v>
      </c>
      <c r="H83" s="7" t="s">
        <v>16</v>
      </c>
      <c r="I83" s="7" t="s">
        <v>363</v>
      </c>
      <c r="J83" s="7" t="s">
        <v>16</v>
      </c>
      <c r="K83" s="7" t="s">
        <v>16</v>
      </c>
      <c r="L83" s="7" t="s">
        <v>16</v>
      </c>
      <c r="M83" s="7" t="s">
        <v>22</v>
      </c>
      <c r="N83" s="5" t="s">
        <v>364</v>
      </c>
      <c r="O83" s="5"/>
      <c r="P83" s="5"/>
      <c r="Q83" s="5"/>
      <c r="R83" s="5"/>
      <c r="S83" s="5"/>
      <c r="T83" s="5"/>
      <c r="U83" s="5"/>
      <c r="V83" s="5"/>
      <c r="W83" s="5"/>
      <c r="X83" s="5"/>
      <c r="Y83" s="5"/>
      <c r="Z83" s="5"/>
    </row>
    <row r="84">
      <c r="A84" s="17" t="s">
        <v>365</v>
      </c>
      <c r="B84" s="7" t="s">
        <v>14</v>
      </c>
      <c r="C84" s="7" t="s">
        <v>366</v>
      </c>
      <c r="D84" s="7" t="s">
        <v>16</v>
      </c>
      <c r="E84" s="8">
        <v>3.0</v>
      </c>
      <c r="F84" s="7" t="s">
        <v>105</v>
      </c>
      <c r="G84" s="7" t="s">
        <v>19</v>
      </c>
      <c r="H84" s="7" t="s">
        <v>16</v>
      </c>
      <c r="I84" s="7" t="s">
        <v>367</v>
      </c>
      <c r="J84" s="7" t="s">
        <v>16</v>
      </c>
      <c r="K84" s="7" t="s">
        <v>16</v>
      </c>
      <c r="L84" s="7" t="s">
        <v>16</v>
      </c>
      <c r="M84" s="7" t="s">
        <v>36</v>
      </c>
      <c r="N84" s="5" t="s">
        <v>368</v>
      </c>
      <c r="O84" s="5"/>
      <c r="P84" s="5"/>
      <c r="Q84" s="5"/>
      <c r="R84" s="5"/>
      <c r="S84" s="5"/>
      <c r="T84" s="5"/>
      <c r="U84" s="5"/>
      <c r="V84" s="5"/>
      <c r="W84" s="5"/>
      <c r="X84" s="5"/>
      <c r="Y84" s="5"/>
      <c r="Z84" s="5"/>
    </row>
    <row r="85">
      <c r="A85" s="17" t="s">
        <v>369</v>
      </c>
      <c r="B85" s="5" t="s">
        <v>14</v>
      </c>
      <c r="C85" s="7" t="s">
        <v>370</v>
      </c>
      <c r="D85" s="7" t="s">
        <v>16</v>
      </c>
      <c r="E85" s="8">
        <v>1.0</v>
      </c>
      <c r="F85" s="7" t="s">
        <v>17</v>
      </c>
      <c r="G85" s="5" t="s">
        <v>19</v>
      </c>
      <c r="H85" s="7" t="s">
        <v>16</v>
      </c>
      <c r="I85" s="7" t="s">
        <v>371</v>
      </c>
      <c r="J85" s="7" t="s">
        <v>16</v>
      </c>
      <c r="K85" s="7" t="s">
        <v>16</v>
      </c>
      <c r="L85" s="7" t="s">
        <v>16</v>
      </c>
      <c r="M85" s="7" t="s">
        <v>22</v>
      </c>
      <c r="N85" s="5" t="s">
        <v>372</v>
      </c>
      <c r="O85" s="5"/>
      <c r="P85" s="5"/>
      <c r="Q85" s="5"/>
      <c r="R85" s="5"/>
      <c r="S85" s="5"/>
      <c r="T85" s="5"/>
      <c r="U85" s="5"/>
      <c r="V85" s="5"/>
      <c r="W85" s="5"/>
      <c r="X85" s="5"/>
      <c r="Y85" s="5"/>
      <c r="Z85" s="5"/>
    </row>
    <row r="86">
      <c r="A86" s="17" t="s">
        <v>373</v>
      </c>
      <c r="B86" s="7" t="s">
        <v>14</v>
      </c>
      <c r="C86" s="7" t="s">
        <v>374</v>
      </c>
      <c r="D86" s="7" t="s">
        <v>16</v>
      </c>
      <c r="E86" s="7" t="s">
        <v>16</v>
      </c>
      <c r="F86" s="7" t="s">
        <v>16</v>
      </c>
      <c r="G86" s="5" t="s">
        <v>19</v>
      </c>
      <c r="H86" s="7" t="s">
        <v>16</v>
      </c>
      <c r="I86" s="13" t="s">
        <v>375</v>
      </c>
      <c r="J86" s="7" t="s">
        <v>16</v>
      </c>
      <c r="K86" s="7" t="s">
        <v>16</v>
      </c>
      <c r="L86" s="7" t="s">
        <v>16</v>
      </c>
      <c r="M86" s="7" t="s">
        <v>36</v>
      </c>
      <c r="N86" s="5" t="s">
        <v>376</v>
      </c>
      <c r="O86" s="5"/>
      <c r="P86" s="5"/>
      <c r="Q86" s="5"/>
      <c r="R86" s="5"/>
      <c r="S86" s="5"/>
      <c r="T86" s="5"/>
      <c r="U86" s="5"/>
      <c r="V86" s="5"/>
      <c r="W86" s="5"/>
      <c r="X86" s="5"/>
      <c r="Y86" s="5"/>
      <c r="Z86" s="5"/>
    </row>
    <row r="87">
      <c r="A87" s="17" t="s">
        <v>377</v>
      </c>
      <c r="B87" s="7" t="s">
        <v>14</v>
      </c>
      <c r="C87" s="7" t="s">
        <v>378</v>
      </c>
      <c r="D87" s="7" t="s">
        <v>16</v>
      </c>
      <c r="E87" s="8">
        <v>1.0</v>
      </c>
      <c r="F87" s="7" t="s">
        <v>17</v>
      </c>
      <c r="G87" s="5" t="s">
        <v>19</v>
      </c>
      <c r="H87" s="7" t="s">
        <v>16</v>
      </c>
      <c r="I87" s="7" t="s">
        <v>379</v>
      </c>
      <c r="J87" s="7" t="s">
        <v>16</v>
      </c>
      <c r="K87" s="7" t="s">
        <v>16</v>
      </c>
      <c r="L87" s="7" t="s">
        <v>16</v>
      </c>
      <c r="M87" s="7" t="s">
        <v>88</v>
      </c>
      <c r="N87" s="5" t="s">
        <v>380</v>
      </c>
      <c r="O87" s="5"/>
      <c r="P87" s="5"/>
      <c r="Q87" s="5"/>
      <c r="R87" s="5"/>
      <c r="S87" s="5"/>
      <c r="T87" s="5"/>
      <c r="U87" s="5"/>
      <c r="V87" s="5"/>
      <c r="W87" s="5"/>
      <c r="X87" s="5"/>
      <c r="Y87" s="5"/>
      <c r="Z87" s="5"/>
    </row>
    <row r="88">
      <c r="A88" s="17" t="s">
        <v>381</v>
      </c>
      <c r="B88" s="7" t="s">
        <v>14</v>
      </c>
      <c r="C88" s="7" t="s">
        <v>382</v>
      </c>
      <c r="D88" s="7" t="s">
        <v>16</v>
      </c>
      <c r="E88" s="8">
        <v>1.0</v>
      </c>
      <c r="F88" s="7" t="s">
        <v>17</v>
      </c>
      <c r="G88" s="7" t="s">
        <v>326</v>
      </c>
      <c r="H88" s="7" t="s">
        <v>16</v>
      </c>
      <c r="I88" s="7" t="s">
        <v>383</v>
      </c>
      <c r="J88" s="7" t="s">
        <v>16</v>
      </c>
      <c r="K88" s="7" t="s">
        <v>16</v>
      </c>
      <c r="L88" s="7" t="s">
        <v>16</v>
      </c>
      <c r="M88" s="7" t="s">
        <v>88</v>
      </c>
      <c r="N88" s="5" t="s">
        <v>384</v>
      </c>
      <c r="O88" s="5"/>
      <c r="P88" s="5"/>
      <c r="Q88" s="5"/>
      <c r="R88" s="5"/>
      <c r="S88" s="5"/>
      <c r="T88" s="5"/>
      <c r="U88" s="5"/>
      <c r="V88" s="5"/>
      <c r="W88" s="5"/>
      <c r="X88" s="5"/>
      <c r="Y88" s="5"/>
      <c r="Z88" s="5"/>
    </row>
    <row r="89">
      <c r="A89" s="17" t="s">
        <v>385</v>
      </c>
      <c r="B89" s="7" t="s">
        <v>14</v>
      </c>
      <c r="C89" s="7" t="s">
        <v>386</v>
      </c>
      <c r="D89" s="7" t="s">
        <v>16</v>
      </c>
      <c r="E89" s="8">
        <v>2.0</v>
      </c>
      <c r="F89" s="7" t="s">
        <v>17</v>
      </c>
      <c r="G89" s="7" t="s">
        <v>19</v>
      </c>
      <c r="H89" s="7" t="s">
        <v>16</v>
      </c>
      <c r="I89" s="7" t="s">
        <v>387</v>
      </c>
      <c r="J89" s="7" t="s">
        <v>16</v>
      </c>
      <c r="K89" s="7" t="s">
        <v>16</v>
      </c>
      <c r="L89" s="7" t="s">
        <v>16</v>
      </c>
      <c r="M89" s="7" t="s">
        <v>88</v>
      </c>
      <c r="N89" s="5" t="s">
        <v>388</v>
      </c>
      <c r="O89" s="5"/>
      <c r="P89" s="5"/>
      <c r="Q89" s="5"/>
      <c r="R89" s="5"/>
      <c r="S89" s="5"/>
      <c r="T89" s="5"/>
      <c r="U89" s="5"/>
      <c r="V89" s="5"/>
      <c r="W89" s="5"/>
      <c r="X89" s="5"/>
      <c r="Y89" s="5"/>
      <c r="Z89" s="5"/>
    </row>
    <row r="90">
      <c r="A90" s="17" t="s">
        <v>389</v>
      </c>
      <c r="B90" s="7" t="s">
        <v>14</v>
      </c>
      <c r="C90" s="7" t="s">
        <v>390</v>
      </c>
      <c r="D90" s="7" t="s">
        <v>16</v>
      </c>
      <c r="E90" s="8">
        <v>7.0</v>
      </c>
      <c r="F90" s="7" t="s">
        <v>17</v>
      </c>
      <c r="G90" s="7" t="s">
        <v>19</v>
      </c>
      <c r="H90" s="5" t="s">
        <v>16</v>
      </c>
      <c r="I90" s="7" t="s">
        <v>391</v>
      </c>
      <c r="J90" s="7" t="s">
        <v>16</v>
      </c>
      <c r="K90" s="7" t="s">
        <v>16</v>
      </c>
      <c r="L90" s="7" t="s">
        <v>16</v>
      </c>
      <c r="M90" s="7" t="s">
        <v>88</v>
      </c>
      <c r="N90" s="5" t="s">
        <v>392</v>
      </c>
      <c r="O90" s="5"/>
      <c r="P90" s="5"/>
      <c r="Q90" s="5"/>
      <c r="R90" s="5"/>
      <c r="S90" s="5"/>
      <c r="T90" s="5"/>
      <c r="U90" s="5"/>
      <c r="V90" s="5"/>
      <c r="W90" s="5"/>
      <c r="X90" s="5"/>
      <c r="Y90" s="5"/>
      <c r="Z90" s="5"/>
    </row>
    <row r="91">
      <c r="A91" s="17" t="s">
        <v>393</v>
      </c>
      <c r="B91" s="7" t="s">
        <v>14</v>
      </c>
      <c r="C91" s="7" t="s">
        <v>394</v>
      </c>
      <c r="D91" s="7" t="s">
        <v>16</v>
      </c>
      <c r="E91" s="8">
        <v>1.0</v>
      </c>
      <c r="F91" s="7" t="s">
        <v>17</v>
      </c>
      <c r="G91" s="7" t="s">
        <v>19</v>
      </c>
      <c r="H91" s="7" t="s">
        <v>16</v>
      </c>
      <c r="I91" s="7" t="s">
        <v>395</v>
      </c>
      <c r="J91" s="7" t="s">
        <v>16</v>
      </c>
      <c r="K91" s="7" t="s">
        <v>16</v>
      </c>
      <c r="L91" s="7" t="s">
        <v>16</v>
      </c>
      <c r="M91" s="7" t="s">
        <v>36</v>
      </c>
      <c r="N91" s="5" t="s">
        <v>396</v>
      </c>
      <c r="O91" s="5"/>
      <c r="P91" s="5"/>
      <c r="Q91" s="5"/>
      <c r="R91" s="5"/>
      <c r="S91" s="5"/>
      <c r="T91" s="5"/>
      <c r="U91" s="5"/>
      <c r="V91" s="5"/>
      <c r="W91" s="5"/>
      <c r="X91" s="5"/>
      <c r="Y91" s="5"/>
      <c r="Z91" s="5"/>
    </row>
    <row r="92">
      <c r="A92" s="17" t="s">
        <v>397</v>
      </c>
      <c r="B92" s="7" t="s">
        <v>14</v>
      </c>
      <c r="C92" s="7" t="s">
        <v>398</v>
      </c>
      <c r="D92" s="7" t="s">
        <v>16</v>
      </c>
      <c r="E92" s="8">
        <v>1.0</v>
      </c>
      <c r="F92" s="7" t="s">
        <v>17</v>
      </c>
      <c r="G92" s="7" t="s">
        <v>19</v>
      </c>
      <c r="H92" s="7" t="s">
        <v>16</v>
      </c>
      <c r="I92" s="7" t="s">
        <v>399</v>
      </c>
      <c r="J92" s="7" t="s">
        <v>16</v>
      </c>
      <c r="K92" s="7" t="s">
        <v>16</v>
      </c>
      <c r="L92" s="7" t="s">
        <v>16</v>
      </c>
      <c r="M92" s="7" t="s">
        <v>36</v>
      </c>
      <c r="N92" s="5" t="s">
        <v>400</v>
      </c>
      <c r="O92" s="5"/>
      <c r="P92" s="5"/>
      <c r="Q92" s="5"/>
      <c r="R92" s="5"/>
      <c r="S92" s="5"/>
      <c r="T92" s="5"/>
      <c r="U92" s="5"/>
      <c r="V92" s="5"/>
      <c r="W92" s="5"/>
      <c r="X92" s="5"/>
      <c r="Y92" s="5"/>
      <c r="Z92" s="5"/>
    </row>
    <row r="93">
      <c r="A93" s="17" t="s">
        <v>401</v>
      </c>
      <c r="B93" s="7" t="s">
        <v>14</v>
      </c>
      <c r="C93" s="7" t="s">
        <v>402</v>
      </c>
      <c r="D93" s="7" t="s">
        <v>16</v>
      </c>
      <c r="E93" s="8">
        <v>0.0</v>
      </c>
      <c r="F93" s="7" t="s">
        <v>172</v>
      </c>
      <c r="G93" s="7" t="s">
        <v>19</v>
      </c>
      <c r="H93" s="7" t="s">
        <v>16</v>
      </c>
      <c r="I93" s="7" t="s">
        <v>403</v>
      </c>
      <c r="J93" s="7" t="s">
        <v>16</v>
      </c>
      <c r="K93" s="7" t="s">
        <v>16</v>
      </c>
      <c r="L93" s="7" t="s">
        <v>16</v>
      </c>
      <c r="M93" s="7" t="s">
        <v>22</v>
      </c>
      <c r="N93" s="5" t="s">
        <v>404</v>
      </c>
      <c r="O93" s="5"/>
      <c r="P93" s="5"/>
      <c r="Q93" s="5"/>
      <c r="R93" s="5"/>
      <c r="S93" s="5"/>
      <c r="T93" s="5"/>
      <c r="U93" s="5"/>
      <c r="V93" s="5"/>
      <c r="W93" s="5"/>
      <c r="X93" s="5"/>
      <c r="Y93" s="5"/>
      <c r="Z93" s="5"/>
    </row>
    <row r="94">
      <c r="A94" s="17" t="s">
        <v>405</v>
      </c>
      <c r="B94" s="7" t="s">
        <v>14</v>
      </c>
      <c r="C94" s="7" t="s">
        <v>406</v>
      </c>
      <c r="D94" s="7" t="s">
        <v>406</v>
      </c>
      <c r="E94" s="7" t="s">
        <v>16</v>
      </c>
      <c r="F94" s="7" t="s">
        <v>16</v>
      </c>
      <c r="G94" s="7" t="s">
        <v>407</v>
      </c>
      <c r="H94" s="7" t="s">
        <v>402</v>
      </c>
      <c r="I94" s="7" t="s">
        <v>408</v>
      </c>
      <c r="J94" s="8">
        <v>0.0</v>
      </c>
      <c r="K94" s="7" t="s">
        <v>16</v>
      </c>
      <c r="L94" s="7" t="s">
        <v>16</v>
      </c>
      <c r="M94" s="7" t="s">
        <v>16</v>
      </c>
      <c r="N94" s="5" t="s">
        <v>409</v>
      </c>
      <c r="O94" s="5"/>
      <c r="P94" s="5"/>
      <c r="Q94" s="5"/>
      <c r="R94" s="5"/>
      <c r="S94" s="5"/>
      <c r="T94" s="5"/>
      <c r="U94" s="5"/>
      <c r="V94" s="5"/>
      <c r="W94" s="5"/>
      <c r="X94" s="5"/>
      <c r="Y94" s="5"/>
      <c r="Z94" s="5"/>
    </row>
    <row r="95">
      <c r="A95" s="17" t="s">
        <v>410</v>
      </c>
      <c r="B95" s="7" t="s">
        <v>14</v>
      </c>
      <c r="C95" s="7" t="s">
        <v>411</v>
      </c>
      <c r="D95" s="7" t="s">
        <v>411</v>
      </c>
      <c r="E95" s="7" t="s">
        <v>16</v>
      </c>
      <c r="F95" s="7" t="s">
        <v>16</v>
      </c>
      <c r="G95" s="7" t="s">
        <v>407</v>
      </c>
      <c r="H95" s="7" t="s">
        <v>402</v>
      </c>
      <c r="I95" s="7" t="s">
        <v>412</v>
      </c>
      <c r="J95" s="8">
        <v>0.0</v>
      </c>
      <c r="K95" s="7" t="s">
        <v>16</v>
      </c>
      <c r="L95" s="7" t="s">
        <v>16</v>
      </c>
      <c r="M95" s="7" t="s">
        <v>16</v>
      </c>
      <c r="N95" s="5" t="s">
        <v>409</v>
      </c>
      <c r="O95" s="5"/>
      <c r="P95" s="5"/>
      <c r="Q95" s="5"/>
      <c r="R95" s="5"/>
      <c r="S95" s="5"/>
      <c r="T95" s="5"/>
      <c r="U95" s="5"/>
      <c r="V95" s="5"/>
      <c r="W95" s="5"/>
      <c r="X95" s="5"/>
      <c r="Y95" s="5"/>
      <c r="Z95" s="5"/>
    </row>
    <row r="96">
      <c r="A96" s="17" t="s">
        <v>413</v>
      </c>
      <c r="B96" s="7" t="s">
        <v>14</v>
      </c>
      <c r="C96" s="7" t="s">
        <v>85</v>
      </c>
      <c r="D96" s="7" t="s">
        <v>85</v>
      </c>
      <c r="E96" s="7" t="s">
        <v>16</v>
      </c>
      <c r="F96" s="7" t="s">
        <v>16</v>
      </c>
      <c r="G96" s="7" t="s">
        <v>407</v>
      </c>
      <c r="H96" s="7" t="s">
        <v>402</v>
      </c>
      <c r="I96" s="7" t="s">
        <v>414</v>
      </c>
      <c r="J96" s="8">
        <v>0.0</v>
      </c>
      <c r="K96" s="7" t="s">
        <v>16</v>
      </c>
      <c r="L96" s="7" t="s">
        <v>16</v>
      </c>
      <c r="M96" s="7" t="s">
        <v>16</v>
      </c>
      <c r="N96" s="5" t="s">
        <v>409</v>
      </c>
      <c r="O96" s="5"/>
      <c r="P96" s="5"/>
      <c r="Q96" s="5"/>
      <c r="R96" s="5"/>
      <c r="S96" s="5"/>
      <c r="T96" s="5"/>
      <c r="U96" s="5"/>
      <c r="V96" s="5"/>
      <c r="W96" s="5"/>
      <c r="X96" s="5"/>
      <c r="Y96" s="5"/>
      <c r="Z96" s="5"/>
    </row>
    <row r="97">
      <c r="A97" s="17" t="s">
        <v>415</v>
      </c>
      <c r="B97" s="5" t="s">
        <v>14</v>
      </c>
      <c r="C97" s="7" t="s">
        <v>416</v>
      </c>
      <c r="D97" s="7" t="s">
        <v>16</v>
      </c>
      <c r="E97" s="8">
        <v>1.0</v>
      </c>
      <c r="F97" s="7" t="s">
        <v>172</v>
      </c>
      <c r="G97" s="7" t="s">
        <v>19</v>
      </c>
      <c r="H97" s="7" t="s">
        <v>16</v>
      </c>
      <c r="I97" s="7" t="s">
        <v>417</v>
      </c>
      <c r="J97" s="7" t="s">
        <v>16</v>
      </c>
      <c r="K97" s="7" t="s">
        <v>16</v>
      </c>
      <c r="L97" s="7" t="s">
        <v>16</v>
      </c>
      <c r="M97" s="7" t="s">
        <v>22</v>
      </c>
      <c r="N97" s="5" t="s">
        <v>418</v>
      </c>
      <c r="O97" s="5"/>
      <c r="P97" s="5"/>
      <c r="Q97" s="5"/>
      <c r="R97" s="5"/>
      <c r="S97" s="5"/>
      <c r="T97" s="5"/>
      <c r="U97" s="5"/>
      <c r="V97" s="5"/>
      <c r="W97" s="5"/>
      <c r="X97" s="5"/>
      <c r="Y97" s="5"/>
      <c r="Z97" s="5"/>
    </row>
    <row r="98">
      <c r="A98" s="17" t="s">
        <v>419</v>
      </c>
      <c r="B98" s="5" t="s">
        <v>14</v>
      </c>
      <c r="C98" s="7" t="s">
        <v>420</v>
      </c>
      <c r="D98" s="7" t="s">
        <v>16</v>
      </c>
      <c r="E98" s="8">
        <v>2.0</v>
      </c>
      <c r="F98" s="7" t="s">
        <v>105</v>
      </c>
      <c r="G98" s="5" t="s">
        <v>19</v>
      </c>
      <c r="H98" s="7" t="s">
        <v>16</v>
      </c>
      <c r="I98" s="7" t="s">
        <v>421</v>
      </c>
      <c r="J98" s="7" t="s">
        <v>16</v>
      </c>
      <c r="K98" s="7" t="s">
        <v>16</v>
      </c>
      <c r="L98" s="7" t="s">
        <v>16</v>
      </c>
      <c r="M98" s="7" t="s">
        <v>22</v>
      </c>
      <c r="N98" s="5" t="s">
        <v>422</v>
      </c>
      <c r="O98" s="5"/>
      <c r="P98" s="5"/>
      <c r="Q98" s="5"/>
      <c r="R98" s="5"/>
      <c r="S98" s="5"/>
      <c r="T98" s="5"/>
      <c r="U98" s="5"/>
      <c r="V98" s="5"/>
      <c r="W98" s="5"/>
      <c r="X98" s="5"/>
      <c r="Y98" s="5"/>
      <c r="Z98" s="5"/>
    </row>
    <row r="99">
      <c r="A99" s="17" t="s">
        <v>423</v>
      </c>
      <c r="B99" s="5" t="s">
        <v>14</v>
      </c>
      <c r="C99" s="7" t="s">
        <v>424</v>
      </c>
      <c r="D99" s="7" t="s">
        <v>16</v>
      </c>
      <c r="E99" s="8">
        <v>0.0</v>
      </c>
      <c r="F99" s="7" t="s">
        <v>17</v>
      </c>
      <c r="G99" s="7" t="s">
        <v>19</v>
      </c>
      <c r="H99" s="7" t="s">
        <v>16</v>
      </c>
      <c r="I99" s="7" t="s">
        <v>425</v>
      </c>
      <c r="J99" s="7" t="s">
        <v>16</v>
      </c>
      <c r="K99" s="7" t="s">
        <v>16</v>
      </c>
      <c r="L99" s="7" t="s">
        <v>16</v>
      </c>
      <c r="M99" s="7" t="s">
        <v>36</v>
      </c>
      <c r="N99" s="5" t="s">
        <v>426</v>
      </c>
      <c r="O99" s="5"/>
      <c r="P99" s="5"/>
      <c r="Q99" s="5"/>
      <c r="R99" s="5"/>
      <c r="S99" s="5"/>
      <c r="T99" s="5"/>
      <c r="U99" s="5"/>
      <c r="V99" s="5"/>
      <c r="W99" s="5"/>
      <c r="X99" s="5"/>
      <c r="Y99" s="5"/>
      <c r="Z99" s="5"/>
    </row>
    <row r="100">
      <c r="A100" s="17" t="s">
        <v>427</v>
      </c>
      <c r="B100" s="5" t="s">
        <v>14</v>
      </c>
      <c r="C100" s="7" t="s">
        <v>428</v>
      </c>
      <c r="D100" s="7" t="s">
        <v>16</v>
      </c>
      <c r="E100" s="8">
        <v>3.0</v>
      </c>
      <c r="F100" s="7" t="s">
        <v>17</v>
      </c>
      <c r="G100" s="5" t="s">
        <v>19</v>
      </c>
      <c r="H100" s="7" t="s">
        <v>16</v>
      </c>
      <c r="I100" s="7" t="s">
        <v>429</v>
      </c>
      <c r="J100" s="7" t="s">
        <v>16</v>
      </c>
      <c r="K100" s="7" t="s">
        <v>16</v>
      </c>
      <c r="L100" s="7" t="s">
        <v>16</v>
      </c>
      <c r="M100" s="7" t="s">
        <v>75</v>
      </c>
      <c r="N100" s="5" t="s">
        <v>430</v>
      </c>
      <c r="O100" s="5"/>
      <c r="P100" s="5"/>
      <c r="Q100" s="5"/>
      <c r="R100" s="5"/>
      <c r="S100" s="5"/>
      <c r="T100" s="5"/>
      <c r="U100" s="5"/>
      <c r="V100" s="5"/>
      <c r="W100" s="5"/>
      <c r="X100" s="5"/>
      <c r="Y100" s="5"/>
      <c r="Z100" s="5"/>
    </row>
    <row r="101">
      <c r="A101" s="17" t="s">
        <v>431</v>
      </c>
      <c r="B101" s="5" t="s">
        <v>14</v>
      </c>
      <c r="C101" s="7" t="s">
        <v>432</v>
      </c>
      <c r="D101" s="7" t="s">
        <v>16</v>
      </c>
      <c r="E101" s="8">
        <v>1.0</v>
      </c>
      <c r="F101" s="7" t="s">
        <v>105</v>
      </c>
      <c r="G101" s="5" t="s">
        <v>19</v>
      </c>
      <c r="H101" s="7" t="s">
        <v>16</v>
      </c>
      <c r="I101" s="7" t="s">
        <v>433</v>
      </c>
      <c r="J101" s="7" t="s">
        <v>16</v>
      </c>
      <c r="K101" s="7" t="s">
        <v>16</v>
      </c>
      <c r="L101" s="7" t="s">
        <v>16</v>
      </c>
      <c r="M101" s="7" t="s">
        <v>88</v>
      </c>
      <c r="N101" s="5" t="s">
        <v>434</v>
      </c>
      <c r="O101" s="5"/>
      <c r="P101" s="5"/>
      <c r="Q101" s="5"/>
      <c r="R101" s="5"/>
      <c r="S101" s="5"/>
      <c r="T101" s="5"/>
      <c r="U101" s="5"/>
      <c r="V101" s="5"/>
      <c r="W101" s="5"/>
      <c r="X101" s="5"/>
      <c r="Y101" s="5"/>
      <c r="Z101" s="5"/>
    </row>
    <row r="102">
      <c r="A102" s="17" t="s">
        <v>435</v>
      </c>
      <c r="B102" s="5" t="s">
        <v>14</v>
      </c>
      <c r="C102" s="7" t="s">
        <v>436</v>
      </c>
      <c r="D102" s="7" t="s">
        <v>16</v>
      </c>
      <c r="E102" s="8">
        <v>1.0</v>
      </c>
      <c r="F102" s="7" t="s">
        <v>105</v>
      </c>
      <c r="G102" s="5" t="s">
        <v>19</v>
      </c>
      <c r="H102" s="7" t="s">
        <v>16</v>
      </c>
      <c r="I102" s="7" t="s">
        <v>437</v>
      </c>
      <c r="J102" s="7" t="s">
        <v>16</v>
      </c>
      <c r="K102" s="7" t="s">
        <v>16</v>
      </c>
      <c r="L102" s="7" t="s">
        <v>16</v>
      </c>
      <c r="M102" s="7" t="s">
        <v>88</v>
      </c>
      <c r="N102" s="5" t="s">
        <v>438</v>
      </c>
      <c r="O102" s="5"/>
      <c r="P102" s="5"/>
      <c r="Q102" s="5"/>
      <c r="R102" s="5"/>
      <c r="S102" s="5"/>
      <c r="T102" s="5"/>
      <c r="U102" s="5"/>
      <c r="V102" s="5"/>
      <c r="W102" s="5"/>
      <c r="X102" s="5"/>
      <c r="Y102" s="5"/>
      <c r="Z102" s="5"/>
    </row>
    <row r="103">
      <c r="A103" s="17" t="s">
        <v>439</v>
      </c>
      <c r="B103" s="5" t="s">
        <v>14</v>
      </c>
      <c r="C103" s="7" t="s">
        <v>440</v>
      </c>
      <c r="D103" s="7" t="s">
        <v>16</v>
      </c>
      <c r="E103" s="8">
        <v>2.0</v>
      </c>
      <c r="F103" s="7" t="s">
        <v>17</v>
      </c>
      <c r="G103" s="5" t="s">
        <v>19</v>
      </c>
      <c r="H103" s="7" t="s">
        <v>16</v>
      </c>
      <c r="I103" s="7" t="s">
        <v>441</v>
      </c>
      <c r="J103" s="7" t="s">
        <v>16</v>
      </c>
      <c r="K103" s="7" t="s">
        <v>16</v>
      </c>
      <c r="L103" s="7" t="s">
        <v>16</v>
      </c>
      <c r="M103" s="7" t="s">
        <v>88</v>
      </c>
      <c r="N103" s="5" t="s">
        <v>442</v>
      </c>
      <c r="O103" s="5"/>
      <c r="P103" s="5"/>
      <c r="Q103" s="5"/>
      <c r="R103" s="5"/>
      <c r="S103" s="5"/>
      <c r="T103" s="5"/>
      <c r="U103" s="5"/>
      <c r="V103" s="5"/>
      <c r="W103" s="5"/>
      <c r="X103" s="5"/>
      <c r="Y103" s="5"/>
      <c r="Z103" s="5"/>
    </row>
    <row r="104">
      <c r="A104" s="17" t="s">
        <v>443</v>
      </c>
      <c r="B104" s="5" t="s">
        <v>14</v>
      </c>
      <c r="C104" s="7" t="s">
        <v>444</v>
      </c>
      <c r="D104" s="7" t="s">
        <v>16</v>
      </c>
      <c r="E104" s="8">
        <v>6.0</v>
      </c>
      <c r="F104" s="7" t="s">
        <v>17</v>
      </c>
      <c r="G104" s="5" t="s">
        <v>19</v>
      </c>
      <c r="H104" s="7" t="s">
        <v>16</v>
      </c>
      <c r="I104" s="7" t="s">
        <v>445</v>
      </c>
      <c r="J104" s="7" t="s">
        <v>16</v>
      </c>
      <c r="K104" s="7" t="s">
        <v>16</v>
      </c>
      <c r="L104" s="7" t="s">
        <v>16</v>
      </c>
      <c r="M104" s="7" t="s">
        <v>75</v>
      </c>
      <c r="N104" s="5" t="s">
        <v>446</v>
      </c>
      <c r="O104" s="5"/>
      <c r="P104" s="5"/>
      <c r="Q104" s="5"/>
      <c r="R104" s="5"/>
      <c r="S104" s="5"/>
      <c r="T104" s="5"/>
      <c r="U104" s="5"/>
      <c r="V104" s="5"/>
      <c r="W104" s="5"/>
      <c r="X104" s="5"/>
      <c r="Y104" s="5"/>
      <c r="Z104" s="5"/>
    </row>
    <row r="105">
      <c r="A105" s="17" t="s">
        <v>447</v>
      </c>
      <c r="B105" s="7" t="s">
        <v>14</v>
      </c>
      <c r="C105" s="7" t="s">
        <v>448</v>
      </c>
      <c r="D105" s="7" t="s">
        <v>16</v>
      </c>
      <c r="E105" s="8">
        <v>0.0</v>
      </c>
      <c r="F105" s="7" t="s">
        <v>105</v>
      </c>
      <c r="G105" s="5" t="s">
        <v>19</v>
      </c>
      <c r="H105" s="7" t="s">
        <v>16</v>
      </c>
      <c r="I105" s="7" t="s">
        <v>449</v>
      </c>
      <c r="J105" s="7" t="s">
        <v>16</v>
      </c>
      <c r="K105" s="7" t="s">
        <v>16</v>
      </c>
      <c r="L105" s="7" t="s">
        <v>16</v>
      </c>
      <c r="M105" s="7" t="s">
        <v>22</v>
      </c>
      <c r="N105" s="5" t="s">
        <v>450</v>
      </c>
      <c r="O105" s="5"/>
      <c r="P105" s="5"/>
      <c r="Q105" s="5"/>
      <c r="R105" s="5"/>
      <c r="S105" s="5"/>
      <c r="T105" s="5"/>
      <c r="U105" s="5"/>
      <c r="V105" s="5"/>
      <c r="W105" s="5"/>
      <c r="X105" s="5"/>
      <c r="Y105" s="5"/>
      <c r="Z105" s="5"/>
    </row>
    <row r="106">
      <c r="A106" s="17" t="s">
        <v>451</v>
      </c>
      <c r="B106" s="7" t="s">
        <v>14</v>
      </c>
      <c r="C106" s="7" t="s">
        <v>452</v>
      </c>
      <c r="D106" s="7" t="s">
        <v>16</v>
      </c>
      <c r="E106" s="8">
        <v>1.0</v>
      </c>
      <c r="F106" s="7" t="s">
        <v>105</v>
      </c>
      <c r="G106" s="7" t="s">
        <v>19</v>
      </c>
      <c r="H106" s="7" t="s">
        <v>16</v>
      </c>
      <c r="I106" s="7" t="s">
        <v>453</v>
      </c>
      <c r="J106" s="7" t="s">
        <v>16</v>
      </c>
      <c r="K106" s="7" t="s">
        <v>16</v>
      </c>
      <c r="L106" s="7" t="s">
        <v>16</v>
      </c>
      <c r="M106" s="7" t="s">
        <v>75</v>
      </c>
      <c r="N106" s="5" t="s">
        <v>454</v>
      </c>
      <c r="O106" s="5"/>
      <c r="P106" s="5"/>
      <c r="Q106" s="5"/>
      <c r="R106" s="5"/>
      <c r="S106" s="5"/>
      <c r="T106" s="5"/>
      <c r="U106" s="5"/>
      <c r="V106" s="5"/>
      <c r="W106" s="5"/>
      <c r="X106" s="5"/>
      <c r="Y106" s="5"/>
      <c r="Z106" s="5"/>
    </row>
    <row r="107">
      <c r="A107" s="17" t="s">
        <v>455</v>
      </c>
      <c r="B107" s="7" t="s">
        <v>14</v>
      </c>
      <c r="C107" s="7" t="s">
        <v>456</v>
      </c>
      <c r="D107" s="7" t="s">
        <v>16</v>
      </c>
      <c r="E107" s="8">
        <v>2.0</v>
      </c>
      <c r="F107" s="7" t="s">
        <v>17</v>
      </c>
      <c r="G107" s="7" t="s">
        <v>19</v>
      </c>
      <c r="H107" s="7" t="s">
        <v>16</v>
      </c>
      <c r="I107" s="7" t="s">
        <v>457</v>
      </c>
      <c r="J107" s="7" t="s">
        <v>16</v>
      </c>
      <c r="K107" s="7" t="s">
        <v>16</v>
      </c>
      <c r="L107" s="7" t="s">
        <v>16</v>
      </c>
      <c r="M107" s="7" t="s">
        <v>22</v>
      </c>
      <c r="N107" s="5" t="s">
        <v>458</v>
      </c>
      <c r="O107" s="5"/>
      <c r="P107" s="5"/>
      <c r="Q107" s="5"/>
      <c r="R107" s="5"/>
      <c r="S107" s="5"/>
      <c r="T107" s="5"/>
      <c r="U107" s="5"/>
      <c r="V107" s="5"/>
      <c r="W107" s="5"/>
      <c r="X107" s="5"/>
      <c r="Y107" s="5"/>
      <c r="Z107" s="5"/>
    </row>
    <row r="108">
      <c r="A108" s="17" t="s">
        <v>459</v>
      </c>
      <c r="B108" s="7" t="s">
        <v>14</v>
      </c>
      <c r="C108" s="7" t="s">
        <v>460</v>
      </c>
      <c r="D108" s="7" t="s">
        <v>16</v>
      </c>
      <c r="E108" s="8">
        <v>4.0</v>
      </c>
      <c r="F108" s="7" t="s">
        <v>105</v>
      </c>
      <c r="G108" s="7" t="s">
        <v>461</v>
      </c>
      <c r="H108" s="7" t="s">
        <v>16</v>
      </c>
      <c r="I108" s="7" t="s">
        <v>462</v>
      </c>
      <c r="J108" s="7" t="s">
        <v>16</v>
      </c>
      <c r="K108" s="7" t="s">
        <v>16</v>
      </c>
      <c r="L108" s="7" t="s">
        <v>16</v>
      </c>
      <c r="M108" s="7" t="s">
        <v>36</v>
      </c>
      <c r="N108" s="5" t="s">
        <v>463</v>
      </c>
      <c r="O108" s="5"/>
      <c r="P108" s="5"/>
      <c r="Q108" s="5"/>
      <c r="R108" s="5"/>
      <c r="S108" s="5"/>
      <c r="T108" s="5"/>
      <c r="U108" s="5"/>
      <c r="V108" s="5"/>
      <c r="W108" s="5"/>
      <c r="X108" s="5"/>
      <c r="Y108" s="5"/>
      <c r="Z108" s="5"/>
    </row>
    <row r="109">
      <c r="A109" s="17" t="s">
        <v>464</v>
      </c>
      <c r="B109" s="7" t="s">
        <v>14</v>
      </c>
      <c r="C109" s="7" t="s">
        <v>465</v>
      </c>
      <c r="D109" s="7" t="s">
        <v>16</v>
      </c>
      <c r="E109" s="8">
        <v>1.0</v>
      </c>
      <c r="F109" s="7" t="s">
        <v>172</v>
      </c>
      <c r="G109" s="7" t="s">
        <v>19</v>
      </c>
      <c r="H109" s="7" t="s">
        <v>16</v>
      </c>
      <c r="I109" s="7" t="s">
        <v>466</v>
      </c>
      <c r="J109" s="7" t="s">
        <v>16</v>
      </c>
      <c r="K109" s="7" t="s">
        <v>16</v>
      </c>
      <c r="L109" s="7" t="s">
        <v>16</v>
      </c>
      <c r="M109" s="7" t="s">
        <v>22</v>
      </c>
      <c r="N109" s="5" t="s">
        <v>467</v>
      </c>
      <c r="O109" s="5"/>
      <c r="P109" s="5"/>
      <c r="Q109" s="5"/>
      <c r="R109" s="5"/>
      <c r="S109" s="5"/>
      <c r="T109" s="5"/>
      <c r="U109" s="5"/>
      <c r="V109" s="5"/>
      <c r="W109" s="5"/>
      <c r="X109" s="5"/>
      <c r="Y109" s="5"/>
      <c r="Z109" s="5"/>
    </row>
    <row r="110">
      <c r="A110" s="17" t="s">
        <v>468</v>
      </c>
      <c r="B110" s="7" t="s">
        <v>14</v>
      </c>
      <c r="C110" s="7" t="s">
        <v>469</v>
      </c>
      <c r="D110" s="7" t="s">
        <v>16</v>
      </c>
      <c r="E110" s="8">
        <v>2.0</v>
      </c>
      <c r="F110" s="7" t="s">
        <v>105</v>
      </c>
      <c r="G110" s="7" t="s">
        <v>19</v>
      </c>
      <c r="H110" s="7" t="s">
        <v>16</v>
      </c>
      <c r="I110" s="7" t="s">
        <v>470</v>
      </c>
      <c r="J110" s="7" t="s">
        <v>16</v>
      </c>
      <c r="K110" s="7" t="s">
        <v>16</v>
      </c>
      <c r="L110" s="7" t="s">
        <v>16</v>
      </c>
      <c r="M110" s="7" t="s">
        <v>22</v>
      </c>
      <c r="N110" s="5" t="s">
        <v>471</v>
      </c>
      <c r="O110" s="5"/>
      <c r="P110" s="5"/>
      <c r="Q110" s="5"/>
      <c r="R110" s="5"/>
      <c r="S110" s="5"/>
      <c r="T110" s="5"/>
      <c r="U110" s="5"/>
      <c r="V110" s="5"/>
      <c r="W110" s="5"/>
      <c r="X110" s="5"/>
      <c r="Y110" s="5"/>
      <c r="Z110" s="5"/>
    </row>
    <row r="111">
      <c r="A111" s="17" t="s">
        <v>472</v>
      </c>
      <c r="B111" s="7" t="s">
        <v>14</v>
      </c>
      <c r="C111" s="7" t="s">
        <v>473</v>
      </c>
      <c r="D111" s="7" t="s">
        <v>16</v>
      </c>
      <c r="E111" s="8">
        <v>2.0</v>
      </c>
      <c r="F111" s="7" t="s">
        <v>17</v>
      </c>
      <c r="G111" s="7" t="s">
        <v>19</v>
      </c>
      <c r="H111" s="7" t="s">
        <v>16</v>
      </c>
      <c r="I111" s="7" t="s">
        <v>474</v>
      </c>
      <c r="J111" s="7" t="s">
        <v>16</v>
      </c>
      <c r="K111" s="7" t="s">
        <v>16</v>
      </c>
      <c r="L111" s="7" t="s">
        <v>16</v>
      </c>
      <c r="M111" s="7" t="s">
        <v>36</v>
      </c>
      <c r="N111" s="5" t="s">
        <v>475</v>
      </c>
      <c r="O111" s="5"/>
      <c r="P111" s="5"/>
      <c r="Q111" s="5"/>
      <c r="R111" s="5"/>
      <c r="S111" s="5"/>
      <c r="T111" s="5"/>
      <c r="U111" s="5"/>
      <c r="V111" s="5"/>
      <c r="W111" s="5"/>
      <c r="X111" s="5"/>
      <c r="Y111" s="5"/>
      <c r="Z111" s="5"/>
    </row>
    <row r="112">
      <c r="A112" s="17" t="s">
        <v>476</v>
      </c>
      <c r="B112" s="7" t="s">
        <v>14</v>
      </c>
      <c r="C112" s="7" t="s">
        <v>477</v>
      </c>
      <c r="D112" s="7" t="s">
        <v>16</v>
      </c>
      <c r="E112" s="8">
        <v>5.0</v>
      </c>
      <c r="F112" s="7" t="s">
        <v>17</v>
      </c>
      <c r="G112" s="7" t="s">
        <v>461</v>
      </c>
      <c r="H112" s="7" t="s">
        <v>16</v>
      </c>
      <c r="I112" s="7" t="s">
        <v>478</v>
      </c>
      <c r="J112" s="7" t="s">
        <v>16</v>
      </c>
      <c r="K112" s="7" t="s">
        <v>16</v>
      </c>
      <c r="L112" s="7" t="s">
        <v>16</v>
      </c>
      <c r="M112" s="7" t="s">
        <v>22</v>
      </c>
      <c r="N112" s="5" t="s">
        <v>479</v>
      </c>
      <c r="O112" s="5"/>
      <c r="P112" s="5"/>
      <c r="Q112" s="5"/>
      <c r="R112" s="5"/>
      <c r="S112" s="5"/>
      <c r="T112" s="5"/>
      <c r="U112" s="5"/>
      <c r="V112" s="5"/>
      <c r="W112" s="5"/>
      <c r="X112" s="5"/>
      <c r="Y112" s="5"/>
      <c r="Z112" s="5"/>
    </row>
    <row r="113">
      <c r="A113" s="17" t="s">
        <v>480</v>
      </c>
      <c r="B113" s="5" t="s">
        <v>14</v>
      </c>
      <c r="C113" s="7" t="s">
        <v>481</v>
      </c>
      <c r="D113" s="7" t="s">
        <v>16</v>
      </c>
      <c r="E113" s="8">
        <v>2.0</v>
      </c>
      <c r="F113" s="7" t="s">
        <v>17</v>
      </c>
      <c r="G113" s="5" t="s">
        <v>19</v>
      </c>
      <c r="H113" s="7" t="s">
        <v>16</v>
      </c>
      <c r="I113" s="7" t="s">
        <v>482</v>
      </c>
      <c r="J113" s="7" t="s">
        <v>16</v>
      </c>
      <c r="K113" s="7" t="s">
        <v>16</v>
      </c>
      <c r="L113" s="7" t="s">
        <v>16</v>
      </c>
      <c r="M113" s="7" t="s">
        <v>22</v>
      </c>
      <c r="N113" s="5" t="s">
        <v>483</v>
      </c>
      <c r="O113" s="5"/>
      <c r="P113" s="5"/>
      <c r="Q113" s="5"/>
      <c r="R113" s="5"/>
      <c r="S113" s="5"/>
      <c r="T113" s="5"/>
      <c r="U113" s="5"/>
      <c r="V113" s="5"/>
      <c r="W113" s="5"/>
      <c r="X113" s="5"/>
      <c r="Y113" s="5"/>
      <c r="Z113" s="5"/>
    </row>
    <row r="114">
      <c r="A114" s="17" t="s">
        <v>484</v>
      </c>
      <c r="B114" s="5" t="s">
        <v>14</v>
      </c>
      <c r="C114" s="7" t="s">
        <v>485</v>
      </c>
      <c r="D114" s="7" t="s">
        <v>16</v>
      </c>
      <c r="E114" s="8">
        <v>0.0</v>
      </c>
      <c r="F114" s="7" t="s">
        <v>17</v>
      </c>
      <c r="G114" s="5" t="s">
        <v>326</v>
      </c>
      <c r="H114" s="7" t="s">
        <v>16</v>
      </c>
      <c r="I114" s="7" t="s">
        <v>486</v>
      </c>
      <c r="J114" s="7" t="s">
        <v>16</v>
      </c>
      <c r="K114" s="7" t="s">
        <v>16</v>
      </c>
      <c r="L114" s="7" t="s">
        <v>16</v>
      </c>
      <c r="M114" s="7" t="s">
        <v>36</v>
      </c>
      <c r="N114" s="32" t="s">
        <v>487</v>
      </c>
      <c r="O114" s="5"/>
      <c r="P114" s="5"/>
      <c r="Q114" s="5"/>
      <c r="R114" s="5"/>
      <c r="S114" s="5"/>
      <c r="T114" s="5"/>
      <c r="U114" s="5"/>
      <c r="V114" s="5"/>
      <c r="W114" s="5"/>
      <c r="X114" s="5"/>
      <c r="Y114" s="5"/>
      <c r="Z114" s="5"/>
    </row>
    <row r="115">
      <c r="A115" s="17" t="s">
        <v>488</v>
      </c>
      <c r="B115" s="5" t="s">
        <v>14</v>
      </c>
      <c r="C115" s="7" t="s">
        <v>489</v>
      </c>
      <c r="D115" s="7" t="s">
        <v>16</v>
      </c>
      <c r="E115" s="8">
        <v>2.0</v>
      </c>
      <c r="F115" s="7" t="s">
        <v>17</v>
      </c>
      <c r="G115" s="5" t="s">
        <v>19</v>
      </c>
      <c r="H115" s="7" t="s">
        <v>16</v>
      </c>
      <c r="I115" s="7" t="s">
        <v>490</v>
      </c>
      <c r="J115" s="7" t="s">
        <v>16</v>
      </c>
      <c r="K115" s="7" t="s">
        <v>16</v>
      </c>
      <c r="L115" s="7" t="s">
        <v>16</v>
      </c>
      <c r="M115" s="31" t="s">
        <v>22</v>
      </c>
      <c r="N115" s="11" t="s">
        <v>491</v>
      </c>
      <c r="O115" s="5"/>
      <c r="P115" s="5"/>
      <c r="Q115" s="5"/>
      <c r="R115" s="5"/>
      <c r="S115" s="5"/>
      <c r="T115" s="5"/>
      <c r="U115" s="5"/>
      <c r="V115" s="5"/>
      <c r="W115" s="5"/>
      <c r="X115" s="5"/>
      <c r="Y115" s="5"/>
      <c r="Z115" s="5"/>
    </row>
    <row r="116">
      <c r="A116" s="17" t="s">
        <v>492</v>
      </c>
      <c r="B116" s="5" t="s">
        <v>14</v>
      </c>
      <c r="C116" s="7" t="s">
        <v>493</v>
      </c>
      <c r="D116" s="7" t="s">
        <v>16</v>
      </c>
      <c r="E116" s="8">
        <v>0.0</v>
      </c>
      <c r="F116" s="7" t="s">
        <v>17</v>
      </c>
      <c r="G116" s="5" t="s">
        <v>19</v>
      </c>
      <c r="H116" s="7" t="s">
        <v>16</v>
      </c>
      <c r="I116" s="7" t="s">
        <v>494</v>
      </c>
      <c r="J116" s="7" t="s">
        <v>16</v>
      </c>
      <c r="K116" s="7" t="s">
        <v>16</v>
      </c>
      <c r="L116" s="7" t="s">
        <v>16</v>
      </c>
      <c r="M116" s="31" t="s">
        <v>22</v>
      </c>
      <c r="N116" s="11" t="s">
        <v>495</v>
      </c>
      <c r="O116" s="5"/>
      <c r="P116" s="5"/>
      <c r="Q116" s="5"/>
      <c r="R116" s="5"/>
      <c r="S116" s="5"/>
      <c r="T116" s="5"/>
      <c r="U116" s="5"/>
      <c r="V116" s="5"/>
      <c r="W116" s="5"/>
      <c r="X116" s="5"/>
      <c r="Y116" s="5"/>
      <c r="Z116" s="5"/>
    </row>
    <row r="117">
      <c r="A117" s="17" t="s">
        <v>496</v>
      </c>
      <c r="B117" s="5" t="s">
        <v>14</v>
      </c>
      <c r="C117" s="7" t="s">
        <v>497</v>
      </c>
      <c r="D117" s="7" t="s">
        <v>16</v>
      </c>
      <c r="E117" s="8">
        <v>2.0</v>
      </c>
      <c r="F117" s="7" t="s">
        <v>17</v>
      </c>
      <c r="G117" s="5" t="s">
        <v>461</v>
      </c>
      <c r="H117" s="7" t="s">
        <v>16</v>
      </c>
      <c r="I117" s="7" t="s">
        <v>498</v>
      </c>
      <c r="J117" s="7" t="s">
        <v>16</v>
      </c>
      <c r="K117" s="7" t="s">
        <v>16</v>
      </c>
      <c r="L117" s="7" t="s">
        <v>16</v>
      </c>
      <c r="M117" s="31" t="s">
        <v>36</v>
      </c>
      <c r="N117" s="11" t="s">
        <v>499</v>
      </c>
      <c r="O117" s="5"/>
      <c r="P117" s="5"/>
      <c r="Q117" s="5"/>
      <c r="R117" s="5"/>
      <c r="S117" s="5"/>
      <c r="T117" s="5"/>
      <c r="U117" s="5"/>
      <c r="V117" s="5"/>
      <c r="W117" s="5"/>
      <c r="X117" s="5"/>
      <c r="Y117" s="5"/>
      <c r="Z117" s="5"/>
    </row>
    <row r="118">
      <c r="A118" s="17" t="s">
        <v>500</v>
      </c>
      <c r="B118" s="5" t="s">
        <v>14</v>
      </c>
      <c r="C118" s="7" t="s">
        <v>501</v>
      </c>
      <c r="D118" s="7" t="s">
        <v>16</v>
      </c>
      <c r="E118" s="8">
        <v>2.0</v>
      </c>
      <c r="F118" s="7" t="s">
        <v>17</v>
      </c>
      <c r="G118" s="5" t="s">
        <v>19</v>
      </c>
      <c r="H118" s="7" t="s">
        <v>16</v>
      </c>
      <c r="I118" s="7" t="s">
        <v>502</v>
      </c>
      <c r="J118" s="7" t="s">
        <v>16</v>
      </c>
      <c r="K118" s="7" t="s">
        <v>16</v>
      </c>
      <c r="L118" s="7" t="s">
        <v>16</v>
      </c>
      <c r="M118" s="31" t="s">
        <v>36</v>
      </c>
      <c r="N118" s="11" t="s">
        <v>503</v>
      </c>
      <c r="O118" s="5"/>
      <c r="P118" s="5"/>
      <c r="Q118" s="5"/>
      <c r="R118" s="5"/>
      <c r="S118" s="5"/>
      <c r="T118" s="5"/>
      <c r="U118" s="5"/>
      <c r="V118" s="5"/>
      <c r="W118" s="5"/>
      <c r="X118" s="5"/>
      <c r="Y118" s="5"/>
      <c r="Z118" s="5"/>
    </row>
    <row r="119">
      <c r="A119" s="17" t="s">
        <v>504</v>
      </c>
      <c r="B119" s="5" t="s">
        <v>14</v>
      </c>
      <c r="C119" s="7" t="s">
        <v>505</v>
      </c>
      <c r="D119" s="7" t="s">
        <v>16</v>
      </c>
      <c r="E119" s="8">
        <v>0.0</v>
      </c>
      <c r="F119" s="7" t="s">
        <v>17</v>
      </c>
      <c r="G119" s="5" t="s">
        <v>19</v>
      </c>
      <c r="H119" s="7" t="s">
        <v>16</v>
      </c>
      <c r="I119" s="7" t="s">
        <v>506</v>
      </c>
      <c r="J119" s="7" t="s">
        <v>16</v>
      </c>
      <c r="K119" s="7" t="s">
        <v>16</v>
      </c>
      <c r="L119" s="7" t="s">
        <v>16</v>
      </c>
      <c r="M119" s="31" t="s">
        <v>75</v>
      </c>
      <c r="N119" s="11" t="s">
        <v>507</v>
      </c>
      <c r="O119" s="5"/>
      <c r="P119" s="5"/>
      <c r="Q119" s="5"/>
      <c r="R119" s="5"/>
      <c r="S119" s="5"/>
      <c r="T119" s="5"/>
      <c r="U119" s="5"/>
      <c r="V119" s="5"/>
      <c r="W119" s="5"/>
      <c r="X119" s="5"/>
      <c r="Y119" s="5"/>
      <c r="Z119" s="5"/>
    </row>
    <row r="120">
      <c r="A120" s="17" t="s">
        <v>508</v>
      </c>
      <c r="B120" s="5" t="s">
        <v>14</v>
      </c>
      <c r="C120" s="7" t="s">
        <v>509</v>
      </c>
      <c r="D120" s="7" t="s">
        <v>16</v>
      </c>
      <c r="E120" s="8">
        <v>3.0</v>
      </c>
      <c r="F120" s="7" t="s">
        <v>105</v>
      </c>
      <c r="G120" s="5" t="s">
        <v>19</v>
      </c>
      <c r="H120" s="7" t="s">
        <v>16</v>
      </c>
      <c r="I120" s="7" t="s">
        <v>510</v>
      </c>
      <c r="J120" s="7" t="s">
        <v>16</v>
      </c>
      <c r="K120" s="7" t="s">
        <v>16</v>
      </c>
      <c r="L120" s="7" t="s">
        <v>16</v>
      </c>
      <c r="M120" s="31" t="s">
        <v>75</v>
      </c>
      <c r="N120" s="11" t="s">
        <v>511</v>
      </c>
      <c r="O120" s="5"/>
      <c r="P120" s="5"/>
      <c r="Q120" s="5"/>
      <c r="R120" s="5"/>
      <c r="S120" s="5"/>
      <c r="T120" s="5"/>
      <c r="U120" s="5"/>
      <c r="V120" s="5"/>
      <c r="W120" s="5"/>
      <c r="X120" s="5"/>
      <c r="Y120" s="5"/>
      <c r="Z120" s="5"/>
    </row>
    <row r="121">
      <c r="A121" s="17" t="s">
        <v>512</v>
      </c>
      <c r="B121" s="5" t="s">
        <v>14</v>
      </c>
      <c r="C121" s="7" t="s">
        <v>513</v>
      </c>
      <c r="D121" s="7" t="s">
        <v>16</v>
      </c>
      <c r="E121" s="8">
        <v>1.0</v>
      </c>
      <c r="F121" s="7" t="s">
        <v>17</v>
      </c>
      <c r="G121" s="5" t="s">
        <v>326</v>
      </c>
      <c r="H121" s="7" t="s">
        <v>16</v>
      </c>
      <c r="I121" s="7" t="s">
        <v>514</v>
      </c>
      <c r="J121" s="7" t="s">
        <v>16</v>
      </c>
      <c r="K121" s="7" t="s">
        <v>16</v>
      </c>
      <c r="L121" s="7" t="s">
        <v>16</v>
      </c>
      <c r="M121" s="10" t="s">
        <v>88</v>
      </c>
      <c r="N121" s="11" t="s">
        <v>515</v>
      </c>
      <c r="O121" s="5"/>
      <c r="P121" s="5"/>
      <c r="Q121" s="5"/>
      <c r="R121" s="5"/>
      <c r="S121" s="5"/>
      <c r="T121" s="5"/>
      <c r="U121" s="5"/>
      <c r="V121" s="5"/>
      <c r="W121" s="5"/>
      <c r="X121" s="5"/>
      <c r="Y121" s="5"/>
      <c r="Z121" s="5"/>
    </row>
    <row r="122">
      <c r="A122" s="17" t="s">
        <v>516</v>
      </c>
      <c r="B122" s="5" t="s">
        <v>14</v>
      </c>
      <c r="C122" s="5" t="s">
        <v>517</v>
      </c>
      <c r="D122" s="5" t="s">
        <v>16</v>
      </c>
      <c r="E122" s="8">
        <v>1.0</v>
      </c>
      <c r="F122" s="5" t="s">
        <v>17</v>
      </c>
      <c r="G122" s="5" t="s">
        <v>326</v>
      </c>
      <c r="H122" s="5" t="s">
        <v>16</v>
      </c>
      <c r="I122" s="7" t="s">
        <v>518</v>
      </c>
      <c r="J122" s="5" t="s">
        <v>16</v>
      </c>
      <c r="K122" s="5" t="s">
        <v>16</v>
      </c>
      <c r="L122" s="7" t="s">
        <v>16</v>
      </c>
      <c r="M122" s="31" t="s">
        <v>88</v>
      </c>
      <c r="N122" s="11" t="s">
        <v>519</v>
      </c>
      <c r="O122" s="5"/>
      <c r="P122" s="5"/>
      <c r="Q122" s="5"/>
      <c r="R122" s="5"/>
      <c r="S122" s="5"/>
      <c r="T122" s="5"/>
      <c r="U122" s="5"/>
      <c r="V122" s="5"/>
      <c r="W122" s="5"/>
      <c r="X122" s="5"/>
      <c r="Y122" s="5"/>
      <c r="Z122" s="5"/>
    </row>
    <row r="123">
      <c r="A123" s="17" t="s">
        <v>520</v>
      </c>
      <c r="B123" s="7" t="s">
        <v>14</v>
      </c>
      <c r="C123" s="7" t="s">
        <v>521</v>
      </c>
      <c r="D123" s="7" t="s">
        <v>16</v>
      </c>
      <c r="E123" s="8">
        <v>2.0</v>
      </c>
      <c r="F123" s="7" t="s">
        <v>105</v>
      </c>
      <c r="G123" s="7" t="s">
        <v>326</v>
      </c>
      <c r="H123" s="7" t="s">
        <v>16</v>
      </c>
      <c r="I123" s="7" t="s">
        <v>522</v>
      </c>
      <c r="J123" s="7" t="s">
        <v>16</v>
      </c>
      <c r="K123" s="7" t="s">
        <v>16</v>
      </c>
      <c r="L123" s="7" t="s">
        <v>16</v>
      </c>
      <c r="M123" s="7" t="s">
        <v>75</v>
      </c>
      <c r="N123" s="7" t="s">
        <v>523</v>
      </c>
      <c r="O123" s="5"/>
      <c r="P123" s="5"/>
      <c r="Q123" s="5"/>
      <c r="R123" s="5"/>
      <c r="S123" s="5"/>
      <c r="T123" s="5"/>
      <c r="U123" s="5"/>
      <c r="V123" s="5"/>
      <c r="W123" s="5"/>
      <c r="X123" s="5"/>
      <c r="Y123" s="5"/>
      <c r="Z123" s="5"/>
    </row>
    <row r="124">
      <c r="A124" s="6" t="s">
        <v>524</v>
      </c>
      <c r="B124" s="5" t="s">
        <v>14</v>
      </c>
      <c r="C124" s="5" t="s">
        <v>525</v>
      </c>
      <c r="D124" s="5" t="s">
        <v>16</v>
      </c>
      <c r="E124" s="8">
        <v>0.0</v>
      </c>
      <c r="F124" s="5" t="s">
        <v>17</v>
      </c>
      <c r="G124" s="5" t="s">
        <v>19</v>
      </c>
      <c r="H124" s="5" t="s">
        <v>16</v>
      </c>
      <c r="I124" s="7" t="s">
        <v>526</v>
      </c>
      <c r="J124" s="5" t="s">
        <v>16</v>
      </c>
      <c r="K124" s="5" t="s">
        <v>16</v>
      </c>
      <c r="L124" s="7" t="s">
        <v>16</v>
      </c>
      <c r="M124" s="31" t="s">
        <v>22</v>
      </c>
      <c r="N124" s="11" t="s">
        <v>527</v>
      </c>
      <c r="O124" s="5"/>
      <c r="P124" s="5"/>
      <c r="Q124" s="5"/>
      <c r="R124" s="5"/>
      <c r="S124" s="5"/>
      <c r="T124" s="5"/>
      <c r="U124" s="5"/>
      <c r="V124" s="5"/>
      <c r="W124" s="5"/>
      <c r="X124" s="5"/>
      <c r="Y124" s="5"/>
      <c r="Z124" s="5"/>
    </row>
    <row r="125">
      <c r="A125" s="17" t="s">
        <v>528</v>
      </c>
      <c r="B125" s="5" t="s">
        <v>14</v>
      </c>
      <c r="C125" s="5" t="s">
        <v>529</v>
      </c>
      <c r="D125" s="5" t="s">
        <v>16</v>
      </c>
      <c r="E125" s="8">
        <v>1.0</v>
      </c>
      <c r="F125" s="5" t="s">
        <v>105</v>
      </c>
      <c r="G125" s="5" t="s">
        <v>19</v>
      </c>
      <c r="H125" s="5" t="s">
        <v>16</v>
      </c>
      <c r="I125" s="7" t="s">
        <v>530</v>
      </c>
      <c r="J125" s="5" t="s">
        <v>16</v>
      </c>
      <c r="K125" s="5" t="s">
        <v>16</v>
      </c>
      <c r="L125" s="7" t="s">
        <v>16</v>
      </c>
      <c r="M125" s="31" t="s">
        <v>22</v>
      </c>
      <c r="N125" s="11" t="s">
        <v>531</v>
      </c>
      <c r="O125" s="5"/>
      <c r="P125" s="5"/>
      <c r="Q125" s="5"/>
      <c r="R125" s="5"/>
      <c r="S125" s="5"/>
      <c r="T125" s="5"/>
      <c r="U125" s="5"/>
      <c r="V125" s="5"/>
      <c r="W125" s="5"/>
      <c r="X125" s="5"/>
      <c r="Y125" s="5"/>
      <c r="Z125" s="5"/>
    </row>
    <row r="126">
      <c r="A126" s="17" t="s">
        <v>532</v>
      </c>
      <c r="B126" s="5" t="s">
        <v>14</v>
      </c>
      <c r="C126" s="5" t="s">
        <v>533</v>
      </c>
      <c r="D126" s="5" t="s">
        <v>16</v>
      </c>
      <c r="E126" s="8">
        <v>1.0</v>
      </c>
      <c r="F126" s="5" t="s">
        <v>17</v>
      </c>
      <c r="G126" s="5" t="s">
        <v>19</v>
      </c>
      <c r="H126" s="5" t="s">
        <v>16</v>
      </c>
      <c r="I126" s="7" t="s">
        <v>534</v>
      </c>
      <c r="J126" s="5" t="s">
        <v>16</v>
      </c>
      <c r="K126" s="5" t="s">
        <v>16</v>
      </c>
      <c r="L126" s="7" t="s">
        <v>16</v>
      </c>
      <c r="M126" s="31" t="s">
        <v>75</v>
      </c>
      <c r="N126" s="11" t="s">
        <v>535</v>
      </c>
      <c r="O126" s="5"/>
      <c r="P126" s="5"/>
      <c r="Q126" s="5"/>
      <c r="R126" s="5"/>
      <c r="S126" s="5"/>
      <c r="T126" s="5"/>
      <c r="U126" s="5"/>
      <c r="V126" s="5"/>
      <c r="W126" s="5"/>
      <c r="X126" s="5"/>
      <c r="Y126" s="5"/>
      <c r="Z126" s="5"/>
    </row>
    <row r="127">
      <c r="A127" s="17" t="s">
        <v>536</v>
      </c>
      <c r="B127" s="5" t="s">
        <v>14</v>
      </c>
      <c r="C127" s="5" t="s">
        <v>537</v>
      </c>
      <c r="D127" s="5" t="s">
        <v>16</v>
      </c>
      <c r="E127" s="8">
        <v>3.0</v>
      </c>
      <c r="F127" s="5" t="s">
        <v>17</v>
      </c>
      <c r="G127" s="5" t="s">
        <v>19</v>
      </c>
      <c r="H127" s="5" t="s">
        <v>16</v>
      </c>
      <c r="I127" s="7" t="s">
        <v>538</v>
      </c>
      <c r="J127" s="5" t="s">
        <v>16</v>
      </c>
      <c r="K127" s="5" t="s">
        <v>16</v>
      </c>
      <c r="L127" s="7" t="s">
        <v>16</v>
      </c>
      <c r="M127" s="31" t="s">
        <v>36</v>
      </c>
      <c r="N127" s="11" t="s">
        <v>539</v>
      </c>
      <c r="O127" s="5"/>
      <c r="P127" s="5"/>
      <c r="Q127" s="5"/>
      <c r="R127" s="5"/>
      <c r="S127" s="5"/>
      <c r="T127" s="5"/>
      <c r="U127" s="5"/>
      <c r="V127" s="5"/>
      <c r="W127" s="5"/>
      <c r="X127" s="5"/>
      <c r="Y127" s="5"/>
      <c r="Z127" s="5"/>
    </row>
    <row r="128">
      <c r="A128" s="17" t="s">
        <v>540</v>
      </c>
      <c r="B128" s="5" t="s">
        <v>14</v>
      </c>
      <c r="C128" s="7" t="s">
        <v>541</v>
      </c>
      <c r="D128" s="7" t="s">
        <v>16</v>
      </c>
      <c r="E128" s="8">
        <v>1.0</v>
      </c>
      <c r="F128" s="7" t="s">
        <v>17</v>
      </c>
      <c r="G128" s="5" t="s">
        <v>19</v>
      </c>
      <c r="H128" s="7" t="s">
        <v>16</v>
      </c>
      <c r="I128" s="7" t="s">
        <v>542</v>
      </c>
      <c r="J128" s="7" t="s">
        <v>16</v>
      </c>
      <c r="K128" s="7" t="s">
        <v>16</v>
      </c>
      <c r="L128" s="7" t="s">
        <v>16</v>
      </c>
      <c r="M128" s="31" t="s">
        <v>75</v>
      </c>
      <c r="N128" s="11" t="s">
        <v>543</v>
      </c>
      <c r="O128" s="5"/>
      <c r="P128" s="5"/>
      <c r="Q128" s="5"/>
      <c r="R128" s="5"/>
      <c r="S128" s="5"/>
      <c r="T128" s="5"/>
      <c r="U128" s="5"/>
      <c r="V128" s="5"/>
      <c r="W128" s="5"/>
      <c r="X128" s="5"/>
      <c r="Y128" s="5"/>
      <c r="Z128" s="5"/>
    </row>
    <row r="129">
      <c r="A129" s="17" t="s">
        <v>544</v>
      </c>
      <c r="B129" s="5" t="s">
        <v>14</v>
      </c>
      <c r="C129" s="7" t="s">
        <v>545</v>
      </c>
      <c r="D129" s="7" t="s">
        <v>16</v>
      </c>
      <c r="E129" s="8">
        <v>0.0</v>
      </c>
      <c r="F129" s="7" t="s">
        <v>17</v>
      </c>
      <c r="G129" s="5" t="s">
        <v>19</v>
      </c>
      <c r="H129" s="7" t="s">
        <v>16</v>
      </c>
      <c r="I129" s="7" t="s">
        <v>546</v>
      </c>
      <c r="J129" s="7" t="s">
        <v>16</v>
      </c>
      <c r="K129" s="7" t="s">
        <v>16</v>
      </c>
      <c r="L129" s="7" t="s">
        <v>16</v>
      </c>
      <c r="M129" s="31" t="s">
        <v>36</v>
      </c>
      <c r="N129" s="11" t="s">
        <v>547</v>
      </c>
      <c r="O129" s="5"/>
      <c r="P129" s="5"/>
      <c r="Q129" s="5"/>
      <c r="R129" s="5"/>
      <c r="S129" s="5"/>
      <c r="T129" s="5"/>
      <c r="U129" s="5"/>
      <c r="V129" s="5"/>
      <c r="W129" s="5"/>
      <c r="X129" s="5"/>
      <c r="Y129" s="5"/>
      <c r="Z129" s="5"/>
    </row>
    <row r="130">
      <c r="A130" s="17" t="s">
        <v>548</v>
      </c>
      <c r="B130" s="5" t="s">
        <v>14</v>
      </c>
      <c r="C130" s="7" t="s">
        <v>549</v>
      </c>
      <c r="D130" s="7" t="s">
        <v>16</v>
      </c>
      <c r="E130" s="8">
        <v>1.0</v>
      </c>
      <c r="F130" s="7" t="s">
        <v>172</v>
      </c>
      <c r="G130" s="5" t="s">
        <v>19</v>
      </c>
      <c r="H130" s="7" t="s">
        <v>16</v>
      </c>
      <c r="I130" s="7" t="s">
        <v>534</v>
      </c>
      <c r="J130" s="7" t="s">
        <v>16</v>
      </c>
      <c r="K130" s="7" t="s">
        <v>16</v>
      </c>
      <c r="L130" s="7" t="s">
        <v>16</v>
      </c>
      <c r="M130" s="31" t="s">
        <v>22</v>
      </c>
      <c r="N130" s="11" t="s">
        <v>550</v>
      </c>
      <c r="O130" s="5"/>
      <c r="P130" s="5"/>
      <c r="Q130" s="5"/>
      <c r="R130" s="5"/>
      <c r="S130" s="5"/>
      <c r="T130" s="5"/>
      <c r="U130" s="5"/>
      <c r="V130" s="5"/>
      <c r="W130" s="5"/>
      <c r="X130" s="5"/>
      <c r="Y130" s="5"/>
      <c r="Z130" s="5"/>
    </row>
    <row r="131">
      <c r="A131" s="17" t="s">
        <v>551</v>
      </c>
      <c r="B131" s="5" t="s">
        <v>14</v>
      </c>
      <c r="C131" s="7" t="s">
        <v>552</v>
      </c>
      <c r="D131" s="7" t="s">
        <v>16</v>
      </c>
      <c r="E131" s="8">
        <v>2.0</v>
      </c>
      <c r="F131" s="7" t="s">
        <v>17</v>
      </c>
      <c r="G131" s="5" t="s">
        <v>19</v>
      </c>
      <c r="H131" s="7" t="s">
        <v>16</v>
      </c>
      <c r="I131" s="7" t="s">
        <v>553</v>
      </c>
      <c r="J131" s="7" t="s">
        <v>16</v>
      </c>
      <c r="K131" s="7" t="s">
        <v>16</v>
      </c>
      <c r="L131" s="7" t="s">
        <v>16</v>
      </c>
      <c r="M131" s="31" t="s">
        <v>36</v>
      </c>
      <c r="N131" s="11" t="s">
        <v>554</v>
      </c>
      <c r="O131" s="5"/>
      <c r="P131" s="5"/>
      <c r="Q131" s="5"/>
      <c r="R131" s="5"/>
      <c r="S131" s="5"/>
      <c r="T131" s="5"/>
      <c r="U131" s="5"/>
      <c r="V131" s="5"/>
      <c r="W131" s="5"/>
      <c r="X131" s="5"/>
      <c r="Y131" s="5"/>
      <c r="Z131" s="5"/>
    </row>
    <row r="132">
      <c r="A132" s="17" t="s">
        <v>555</v>
      </c>
      <c r="B132" s="5" t="s">
        <v>14</v>
      </c>
      <c r="C132" s="7" t="s">
        <v>556</v>
      </c>
      <c r="D132" s="7" t="s">
        <v>16</v>
      </c>
      <c r="E132" s="8">
        <v>5.0</v>
      </c>
      <c r="F132" s="7" t="s">
        <v>17</v>
      </c>
      <c r="G132" s="5" t="s">
        <v>461</v>
      </c>
      <c r="H132" s="7" t="s">
        <v>16</v>
      </c>
      <c r="I132" s="7" t="s">
        <v>557</v>
      </c>
      <c r="J132" s="7" t="s">
        <v>16</v>
      </c>
      <c r="K132" s="7" t="s">
        <v>16</v>
      </c>
      <c r="L132" s="7" t="s">
        <v>16</v>
      </c>
      <c r="M132" s="31" t="s">
        <v>36</v>
      </c>
      <c r="N132" s="11" t="s">
        <v>558</v>
      </c>
      <c r="O132" s="5"/>
      <c r="P132" s="5"/>
      <c r="Q132" s="5"/>
      <c r="R132" s="5"/>
      <c r="S132" s="5"/>
      <c r="T132" s="5"/>
      <c r="U132" s="5"/>
      <c r="V132" s="5"/>
      <c r="W132" s="5"/>
      <c r="X132" s="5"/>
      <c r="Y132" s="5"/>
      <c r="Z132" s="5"/>
    </row>
    <row r="133">
      <c r="A133" s="17" t="s">
        <v>559</v>
      </c>
      <c r="B133" s="5" t="s">
        <v>14</v>
      </c>
      <c r="C133" s="7" t="s">
        <v>560</v>
      </c>
      <c r="D133" s="7" t="s">
        <v>16</v>
      </c>
      <c r="E133" s="8">
        <v>2.0</v>
      </c>
      <c r="F133" s="7" t="s">
        <v>105</v>
      </c>
      <c r="G133" s="5" t="s">
        <v>461</v>
      </c>
      <c r="H133" s="7" t="s">
        <v>16</v>
      </c>
      <c r="I133" s="7" t="s">
        <v>561</v>
      </c>
      <c r="J133" s="7" t="s">
        <v>16</v>
      </c>
      <c r="K133" s="7" t="s">
        <v>16</v>
      </c>
      <c r="L133" s="7" t="s">
        <v>16</v>
      </c>
      <c r="M133" s="31" t="s">
        <v>88</v>
      </c>
      <c r="N133" s="11" t="s">
        <v>562</v>
      </c>
      <c r="O133" s="5"/>
      <c r="P133" s="5"/>
      <c r="Q133" s="5"/>
      <c r="R133" s="5"/>
      <c r="S133" s="5"/>
      <c r="T133" s="5"/>
      <c r="U133" s="5"/>
      <c r="V133" s="5"/>
      <c r="W133" s="5"/>
      <c r="X133" s="5"/>
      <c r="Y133" s="5"/>
      <c r="Z133" s="5"/>
    </row>
    <row r="134">
      <c r="A134" s="17" t="s">
        <v>563</v>
      </c>
      <c r="B134" s="5" t="s">
        <v>14</v>
      </c>
      <c r="C134" s="7" t="s">
        <v>564</v>
      </c>
      <c r="D134" s="7" t="s">
        <v>16</v>
      </c>
      <c r="E134" s="8">
        <v>2.0</v>
      </c>
      <c r="F134" s="7" t="s">
        <v>105</v>
      </c>
      <c r="G134" s="5" t="s">
        <v>19</v>
      </c>
      <c r="H134" s="7" t="s">
        <v>16</v>
      </c>
      <c r="I134" s="7" t="s">
        <v>565</v>
      </c>
      <c r="J134" s="7" t="s">
        <v>16</v>
      </c>
      <c r="K134" s="7" t="s">
        <v>16</v>
      </c>
      <c r="L134" s="7" t="s">
        <v>16</v>
      </c>
      <c r="M134" s="31" t="s">
        <v>75</v>
      </c>
      <c r="N134" s="11" t="s">
        <v>566</v>
      </c>
      <c r="O134" s="5"/>
      <c r="P134" s="5"/>
      <c r="Q134" s="5"/>
      <c r="R134" s="5"/>
      <c r="S134" s="5"/>
      <c r="T134" s="5"/>
      <c r="U134" s="5"/>
      <c r="V134" s="5"/>
      <c r="W134" s="5"/>
      <c r="X134" s="5"/>
      <c r="Y134" s="5"/>
      <c r="Z134" s="5"/>
    </row>
    <row r="135">
      <c r="A135" s="17" t="s">
        <v>567</v>
      </c>
      <c r="B135" s="5" t="s">
        <v>14</v>
      </c>
      <c r="C135" s="7" t="s">
        <v>568</v>
      </c>
      <c r="D135" s="7" t="s">
        <v>16</v>
      </c>
      <c r="E135" s="8">
        <v>0.0</v>
      </c>
      <c r="F135" s="7" t="s">
        <v>105</v>
      </c>
      <c r="G135" s="5" t="s">
        <v>19</v>
      </c>
      <c r="H135" s="7" t="s">
        <v>16</v>
      </c>
      <c r="I135" s="7" t="s">
        <v>569</v>
      </c>
      <c r="J135" s="7" t="s">
        <v>16</v>
      </c>
      <c r="K135" s="7" t="s">
        <v>16</v>
      </c>
      <c r="L135" s="7" t="s">
        <v>16</v>
      </c>
      <c r="M135" s="31" t="s">
        <v>75</v>
      </c>
      <c r="N135" s="11" t="s">
        <v>570</v>
      </c>
      <c r="O135" s="5"/>
      <c r="P135" s="5"/>
      <c r="Q135" s="5"/>
      <c r="R135" s="5"/>
      <c r="S135" s="5"/>
      <c r="T135" s="5"/>
      <c r="U135" s="5"/>
      <c r="V135" s="5"/>
      <c r="W135" s="5"/>
      <c r="X135" s="5"/>
      <c r="Y135" s="5"/>
      <c r="Z135" s="5"/>
    </row>
    <row r="136">
      <c r="A136" s="17" t="s">
        <v>571</v>
      </c>
      <c r="B136" s="5" t="s">
        <v>14</v>
      </c>
      <c r="C136" s="7" t="s">
        <v>572</v>
      </c>
      <c r="D136" s="7" t="s">
        <v>16</v>
      </c>
      <c r="E136" s="8">
        <v>1.0</v>
      </c>
      <c r="F136" s="7" t="s">
        <v>105</v>
      </c>
      <c r="G136" s="5" t="s">
        <v>19</v>
      </c>
      <c r="H136" s="7" t="s">
        <v>16</v>
      </c>
      <c r="I136" s="7" t="s">
        <v>573</v>
      </c>
      <c r="J136" s="7" t="s">
        <v>16</v>
      </c>
      <c r="K136" s="7" t="s">
        <v>16</v>
      </c>
      <c r="L136" s="7" t="s">
        <v>16</v>
      </c>
      <c r="M136" s="31" t="s">
        <v>88</v>
      </c>
      <c r="N136" s="11" t="s">
        <v>574</v>
      </c>
      <c r="O136" s="5"/>
      <c r="P136" s="5"/>
      <c r="Q136" s="5"/>
      <c r="R136" s="5"/>
      <c r="S136" s="5"/>
      <c r="T136" s="5"/>
      <c r="U136" s="5"/>
      <c r="V136" s="5"/>
      <c r="W136" s="5"/>
      <c r="X136" s="5"/>
      <c r="Y136" s="5"/>
      <c r="Z136" s="5"/>
    </row>
    <row r="137">
      <c r="A137" s="17" t="s">
        <v>575</v>
      </c>
      <c r="B137" s="5" t="s">
        <v>14</v>
      </c>
      <c r="C137" s="7" t="s">
        <v>55</v>
      </c>
      <c r="D137" s="7" t="s">
        <v>16</v>
      </c>
      <c r="E137" s="8">
        <v>1.0</v>
      </c>
      <c r="F137" s="7" t="s">
        <v>105</v>
      </c>
      <c r="G137" s="5" t="s">
        <v>19</v>
      </c>
      <c r="H137" s="7" t="s">
        <v>16</v>
      </c>
      <c r="I137" s="7" t="s">
        <v>576</v>
      </c>
      <c r="J137" s="7" t="s">
        <v>16</v>
      </c>
      <c r="K137" s="7" t="s">
        <v>16</v>
      </c>
      <c r="L137" s="7" t="s">
        <v>16</v>
      </c>
      <c r="M137" s="31" t="s">
        <v>88</v>
      </c>
      <c r="N137" s="11" t="s">
        <v>577</v>
      </c>
      <c r="O137" s="5"/>
      <c r="P137" s="5"/>
      <c r="Q137" s="5"/>
      <c r="R137" s="5"/>
      <c r="S137" s="5"/>
      <c r="T137" s="5"/>
      <c r="U137" s="5"/>
      <c r="V137" s="5"/>
      <c r="W137" s="5"/>
      <c r="X137" s="5"/>
      <c r="Y137" s="5"/>
      <c r="Z137" s="5"/>
    </row>
    <row r="138">
      <c r="A138" s="17" t="s">
        <v>578</v>
      </c>
      <c r="B138" s="5" t="s">
        <v>14</v>
      </c>
      <c r="C138" s="7" t="s">
        <v>579</v>
      </c>
      <c r="D138" s="7" t="s">
        <v>16</v>
      </c>
      <c r="E138" s="8">
        <v>2.0</v>
      </c>
      <c r="F138" s="7" t="s">
        <v>17</v>
      </c>
      <c r="G138" s="5" t="s">
        <v>19</v>
      </c>
      <c r="H138" s="7" t="s">
        <v>16</v>
      </c>
      <c r="I138" s="7" t="s">
        <v>580</v>
      </c>
      <c r="J138" s="7" t="s">
        <v>16</v>
      </c>
      <c r="K138" s="7" t="s">
        <v>16</v>
      </c>
      <c r="L138" s="7" t="s">
        <v>16</v>
      </c>
      <c r="M138" s="31" t="s">
        <v>36</v>
      </c>
      <c r="N138" s="11" t="s">
        <v>581</v>
      </c>
      <c r="O138" s="5"/>
      <c r="P138" s="5"/>
      <c r="Q138" s="5"/>
      <c r="R138" s="5"/>
      <c r="S138" s="5"/>
      <c r="T138" s="5"/>
      <c r="U138" s="5"/>
      <c r="V138" s="5"/>
      <c r="W138" s="5"/>
      <c r="X138" s="5"/>
      <c r="Y138" s="5"/>
      <c r="Z138" s="5"/>
    </row>
    <row r="139">
      <c r="A139" s="17" t="s">
        <v>582</v>
      </c>
      <c r="B139" s="5" t="s">
        <v>14</v>
      </c>
      <c r="C139" s="7" t="s">
        <v>583</v>
      </c>
      <c r="D139" s="7" t="s">
        <v>16</v>
      </c>
      <c r="E139" s="8">
        <v>0.0</v>
      </c>
      <c r="F139" s="7" t="s">
        <v>17</v>
      </c>
      <c r="G139" s="5" t="s">
        <v>19</v>
      </c>
      <c r="H139" s="7" t="s">
        <v>16</v>
      </c>
      <c r="I139" s="7" t="s">
        <v>584</v>
      </c>
      <c r="J139" s="7" t="s">
        <v>16</v>
      </c>
      <c r="K139" s="7" t="s">
        <v>16</v>
      </c>
      <c r="L139" s="7" t="s">
        <v>16</v>
      </c>
      <c r="M139" s="31" t="s">
        <v>22</v>
      </c>
      <c r="N139" s="11" t="s">
        <v>585</v>
      </c>
      <c r="O139" s="5"/>
      <c r="P139" s="5"/>
      <c r="Q139" s="5"/>
      <c r="R139" s="5"/>
      <c r="S139" s="5"/>
      <c r="T139" s="5"/>
      <c r="U139" s="5"/>
      <c r="V139" s="5"/>
      <c r="W139" s="5"/>
      <c r="X139" s="5"/>
      <c r="Y139" s="5"/>
      <c r="Z139" s="5"/>
    </row>
    <row r="140">
      <c r="A140" s="17" t="s">
        <v>586</v>
      </c>
      <c r="B140" s="5" t="s">
        <v>14</v>
      </c>
      <c r="C140" s="7" t="s">
        <v>587</v>
      </c>
      <c r="D140" s="7" t="s">
        <v>16</v>
      </c>
      <c r="E140" s="8">
        <v>3.0</v>
      </c>
      <c r="F140" s="7" t="s">
        <v>105</v>
      </c>
      <c r="G140" s="5" t="s">
        <v>19</v>
      </c>
      <c r="H140" s="7" t="s">
        <v>16</v>
      </c>
      <c r="I140" s="7" t="s">
        <v>588</v>
      </c>
      <c r="J140" s="7" t="s">
        <v>16</v>
      </c>
      <c r="K140" s="7" t="s">
        <v>16</v>
      </c>
      <c r="L140" s="7" t="s">
        <v>16</v>
      </c>
      <c r="M140" s="31" t="s">
        <v>88</v>
      </c>
      <c r="N140" s="11" t="s">
        <v>589</v>
      </c>
      <c r="O140" s="5"/>
      <c r="P140" s="5"/>
      <c r="Q140" s="5"/>
      <c r="R140" s="5"/>
      <c r="S140" s="5"/>
      <c r="T140" s="5"/>
      <c r="U140" s="5"/>
      <c r="V140" s="5"/>
      <c r="W140" s="5"/>
      <c r="X140" s="5"/>
      <c r="Y140" s="5"/>
      <c r="Z140" s="5"/>
    </row>
    <row r="141">
      <c r="A141" s="17" t="s">
        <v>590</v>
      </c>
      <c r="B141" s="5" t="s">
        <v>14</v>
      </c>
      <c r="C141" s="7" t="s">
        <v>591</v>
      </c>
      <c r="D141" s="7" t="s">
        <v>16</v>
      </c>
      <c r="E141" s="8">
        <v>0.0</v>
      </c>
      <c r="F141" s="7" t="s">
        <v>105</v>
      </c>
      <c r="G141" s="5" t="s">
        <v>19</v>
      </c>
      <c r="H141" s="7" t="s">
        <v>16</v>
      </c>
      <c r="I141" s="7" t="s">
        <v>592</v>
      </c>
      <c r="J141" s="7" t="s">
        <v>16</v>
      </c>
      <c r="K141" s="7" t="s">
        <v>16</v>
      </c>
      <c r="L141" s="7" t="s">
        <v>16</v>
      </c>
      <c r="M141" s="31" t="s">
        <v>22</v>
      </c>
      <c r="N141" s="11" t="s">
        <v>593</v>
      </c>
      <c r="O141" s="5"/>
      <c r="P141" s="5"/>
      <c r="Q141" s="5"/>
      <c r="R141" s="5"/>
      <c r="S141" s="5"/>
      <c r="T141" s="5"/>
      <c r="U141" s="5"/>
      <c r="V141" s="5"/>
      <c r="W141" s="5"/>
      <c r="X141" s="5"/>
      <c r="Y141" s="5"/>
      <c r="Z141" s="5"/>
    </row>
    <row r="142">
      <c r="A142" s="17" t="s">
        <v>594</v>
      </c>
      <c r="B142" s="5" t="s">
        <v>14</v>
      </c>
      <c r="C142" s="7" t="s">
        <v>595</v>
      </c>
      <c r="D142" s="7" t="s">
        <v>16</v>
      </c>
      <c r="E142" s="8">
        <v>0.0</v>
      </c>
      <c r="F142" s="7" t="s">
        <v>105</v>
      </c>
      <c r="G142" s="5" t="s">
        <v>19</v>
      </c>
      <c r="H142" s="7" t="s">
        <v>16</v>
      </c>
      <c r="I142" s="7" t="s">
        <v>596</v>
      </c>
      <c r="J142" s="7" t="s">
        <v>16</v>
      </c>
      <c r="K142" s="7" t="s">
        <v>16</v>
      </c>
      <c r="L142" s="7" t="s">
        <v>16</v>
      </c>
      <c r="M142" s="31" t="s">
        <v>22</v>
      </c>
      <c r="N142" s="11" t="s">
        <v>597</v>
      </c>
      <c r="O142" s="5"/>
      <c r="P142" s="5"/>
      <c r="Q142" s="5"/>
      <c r="R142" s="5"/>
      <c r="S142" s="5"/>
      <c r="T142" s="5"/>
      <c r="U142" s="5"/>
      <c r="V142" s="5"/>
      <c r="W142" s="5"/>
      <c r="X142" s="5"/>
      <c r="Y142" s="5"/>
      <c r="Z142" s="5"/>
    </row>
    <row r="143">
      <c r="A143" s="17" t="s">
        <v>598</v>
      </c>
      <c r="B143" s="5" t="s">
        <v>14</v>
      </c>
      <c r="C143" s="7" t="s">
        <v>599</v>
      </c>
      <c r="D143" s="7" t="s">
        <v>16</v>
      </c>
      <c r="E143" s="8">
        <v>0.0</v>
      </c>
      <c r="F143" s="7" t="s">
        <v>17</v>
      </c>
      <c r="G143" s="5" t="s">
        <v>19</v>
      </c>
      <c r="H143" s="7" t="s">
        <v>16</v>
      </c>
      <c r="I143" s="7" t="s">
        <v>600</v>
      </c>
      <c r="J143" s="7" t="s">
        <v>16</v>
      </c>
      <c r="K143" s="7" t="s">
        <v>16</v>
      </c>
      <c r="L143" s="7" t="s">
        <v>16</v>
      </c>
      <c r="M143" s="31" t="s">
        <v>22</v>
      </c>
      <c r="N143" s="11" t="s">
        <v>601</v>
      </c>
      <c r="O143" s="5"/>
      <c r="P143" s="5"/>
      <c r="Q143" s="5"/>
      <c r="R143" s="5"/>
      <c r="S143" s="5"/>
      <c r="T143" s="5"/>
      <c r="U143" s="5"/>
      <c r="V143" s="5"/>
      <c r="W143" s="5"/>
      <c r="X143" s="5"/>
      <c r="Y143" s="5"/>
      <c r="Z143" s="5"/>
    </row>
    <row r="144">
      <c r="A144" s="17" t="s">
        <v>602</v>
      </c>
      <c r="B144" s="5" t="s">
        <v>14</v>
      </c>
      <c r="C144" s="7" t="s">
        <v>603</v>
      </c>
      <c r="D144" s="7" t="s">
        <v>16</v>
      </c>
      <c r="E144" s="8">
        <v>5.0</v>
      </c>
      <c r="F144" s="7" t="s">
        <v>16</v>
      </c>
      <c r="G144" s="5" t="s">
        <v>19</v>
      </c>
      <c r="H144" s="7" t="s">
        <v>16</v>
      </c>
      <c r="I144" s="7" t="s">
        <v>604</v>
      </c>
      <c r="J144" s="7" t="s">
        <v>16</v>
      </c>
      <c r="K144" s="7" t="s">
        <v>16</v>
      </c>
      <c r="L144" s="7" t="s">
        <v>16</v>
      </c>
      <c r="M144" s="31" t="s">
        <v>75</v>
      </c>
      <c r="N144" s="11" t="s">
        <v>605</v>
      </c>
      <c r="O144" s="5"/>
      <c r="P144" s="5"/>
      <c r="Q144" s="5"/>
      <c r="R144" s="5"/>
      <c r="S144" s="5"/>
      <c r="T144" s="5"/>
      <c r="U144" s="5"/>
      <c r="V144" s="5"/>
      <c r="W144" s="5"/>
      <c r="X144" s="5"/>
      <c r="Y144" s="5"/>
      <c r="Z144" s="5"/>
    </row>
    <row r="145">
      <c r="A145" s="17" t="s">
        <v>606</v>
      </c>
      <c r="B145" s="5" t="s">
        <v>14</v>
      </c>
      <c r="C145" s="7" t="s">
        <v>607</v>
      </c>
      <c r="D145" s="7" t="s">
        <v>16</v>
      </c>
      <c r="E145" s="8">
        <v>3.0</v>
      </c>
      <c r="F145" s="7" t="s">
        <v>17</v>
      </c>
      <c r="G145" s="5" t="s">
        <v>19</v>
      </c>
      <c r="H145" s="7" t="s">
        <v>16</v>
      </c>
      <c r="I145" s="7" t="s">
        <v>608</v>
      </c>
      <c r="J145" s="7" t="s">
        <v>16</v>
      </c>
      <c r="K145" s="7" t="s">
        <v>16</v>
      </c>
      <c r="L145" s="7" t="s">
        <v>16</v>
      </c>
      <c r="M145" s="7" t="s">
        <v>75</v>
      </c>
      <c r="N145" s="11" t="s">
        <v>609</v>
      </c>
      <c r="O145" s="5"/>
      <c r="P145" s="5"/>
      <c r="Q145" s="5"/>
      <c r="R145" s="5"/>
      <c r="S145" s="5"/>
      <c r="T145" s="5"/>
      <c r="U145" s="5"/>
      <c r="V145" s="5"/>
      <c r="W145" s="5"/>
      <c r="X145" s="5"/>
      <c r="Y145" s="5"/>
      <c r="Z145" s="5"/>
    </row>
    <row r="146">
      <c r="A146" s="17" t="s">
        <v>610</v>
      </c>
      <c r="B146" s="5" t="s">
        <v>14</v>
      </c>
      <c r="C146" s="7" t="s">
        <v>611</v>
      </c>
      <c r="D146" s="7" t="s">
        <v>16</v>
      </c>
      <c r="E146" s="8">
        <v>3.0</v>
      </c>
      <c r="F146" s="7" t="s">
        <v>17</v>
      </c>
      <c r="G146" s="5" t="s">
        <v>461</v>
      </c>
      <c r="H146" s="7" t="s">
        <v>16</v>
      </c>
      <c r="I146" s="5" t="s">
        <v>612</v>
      </c>
      <c r="J146" s="7" t="s">
        <v>16</v>
      </c>
      <c r="K146" s="7" t="s">
        <v>16</v>
      </c>
      <c r="L146" s="7" t="s">
        <v>16</v>
      </c>
      <c r="M146" s="31" t="s">
        <v>88</v>
      </c>
      <c r="N146" s="11" t="s">
        <v>613</v>
      </c>
      <c r="O146" s="5"/>
      <c r="P146" s="5"/>
      <c r="Q146" s="5"/>
      <c r="R146" s="5"/>
      <c r="S146" s="5"/>
      <c r="T146" s="5"/>
      <c r="U146" s="5"/>
      <c r="V146" s="5"/>
      <c r="W146" s="5"/>
      <c r="X146" s="5"/>
      <c r="Y146" s="5"/>
      <c r="Z146" s="5"/>
    </row>
    <row r="147">
      <c r="A147" s="17" t="s">
        <v>614</v>
      </c>
      <c r="B147" s="5" t="s">
        <v>14</v>
      </c>
      <c r="C147" s="7" t="s">
        <v>615</v>
      </c>
      <c r="D147" s="7" t="s">
        <v>16</v>
      </c>
      <c r="E147" s="8">
        <v>0.0</v>
      </c>
      <c r="F147" s="7" t="s">
        <v>172</v>
      </c>
      <c r="G147" s="5" t="s">
        <v>19</v>
      </c>
      <c r="H147" s="7" t="s">
        <v>16</v>
      </c>
      <c r="I147" s="5" t="s">
        <v>616</v>
      </c>
      <c r="J147" s="7" t="s">
        <v>16</v>
      </c>
      <c r="K147" s="7" t="s">
        <v>16</v>
      </c>
      <c r="L147" s="7" t="s">
        <v>16</v>
      </c>
      <c r="M147" s="31" t="s">
        <v>75</v>
      </c>
      <c r="N147" s="32" t="s">
        <v>617</v>
      </c>
      <c r="O147" s="5"/>
      <c r="P147" s="5"/>
      <c r="Q147" s="5"/>
      <c r="R147" s="5"/>
      <c r="S147" s="5"/>
      <c r="T147" s="5"/>
      <c r="U147" s="5"/>
      <c r="V147" s="5"/>
      <c r="W147" s="5"/>
      <c r="X147" s="5"/>
      <c r="Y147" s="5"/>
      <c r="Z147" s="5"/>
    </row>
    <row r="148">
      <c r="A148" s="17" t="s">
        <v>618</v>
      </c>
      <c r="B148" s="5" t="s">
        <v>14</v>
      </c>
      <c r="C148" s="7" t="s">
        <v>619</v>
      </c>
      <c r="D148" s="7" t="s">
        <v>16</v>
      </c>
      <c r="E148" s="8">
        <v>3.0</v>
      </c>
      <c r="F148" s="7" t="s">
        <v>105</v>
      </c>
      <c r="G148" s="5" t="s">
        <v>461</v>
      </c>
      <c r="H148" s="7" t="s">
        <v>16</v>
      </c>
      <c r="I148" s="5" t="s">
        <v>620</v>
      </c>
      <c r="J148" s="7" t="s">
        <v>16</v>
      </c>
      <c r="K148" s="7" t="s">
        <v>16</v>
      </c>
      <c r="L148" s="7" t="s">
        <v>16</v>
      </c>
      <c r="M148" s="31" t="s">
        <v>88</v>
      </c>
      <c r="N148" s="11" t="s">
        <v>621</v>
      </c>
      <c r="O148" s="5"/>
      <c r="P148" s="5"/>
      <c r="Q148" s="5"/>
      <c r="R148" s="5"/>
      <c r="S148" s="5"/>
      <c r="T148" s="5"/>
      <c r="U148" s="5"/>
      <c r="V148" s="5"/>
      <c r="W148" s="5"/>
      <c r="X148" s="5"/>
      <c r="Y148" s="5"/>
      <c r="Z148" s="5"/>
    </row>
    <row r="149">
      <c r="A149" s="17" t="s">
        <v>622</v>
      </c>
      <c r="B149" s="5" t="s">
        <v>14</v>
      </c>
      <c r="C149" s="7" t="s">
        <v>623</v>
      </c>
      <c r="D149" s="7" t="s">
        <v>16</v>
      </c>
      <c r="E149" s="8">
        <v>0.0</v>
      </c>
      <c r="F149" s="7" t="s">
        <v>105</v>
      </c>
      <c r="G149" s="5" t="s">
        <v>461</v>
      </c>
      <c r="H149" s="7" t="s">
        <v>16</v>
      </c>
      <c r="I149" s="5" t="s">
        <v>624</v>
      </c>
      <c r="J149" s="7" t="s">
        <v>16</v>
      </c>
      <c r="K149" s="7" t="s">
        <v>16</v>
      </c>
      <c r="L149" s="7" t="s">
        <v>16</v>
      </c>
      <c r="M149" s="31" t="s">
        <v>36</v>
      </c>
      <c r="N149" s="11" t="s">
        <v>625</v>
      </c>
      <c r="O149" s="5"/>
      <c r="P149" s="5"/>
      <c r="Q149" s="5"/>
      <c r="R149" s="5"/>
      <c r="S149" s="5"/>
      <c r="T149" s="5"/>
      <c r="U149" s="5"/>
      <c r="V149" s="5"/>
      <c r="W149" s="5"/>
      <c r="X149" s="5"/>
      <c r="Y149" s="5"/>
      <c r="Z149" s="5"/>
    </row>
    <row r="150">
      <c r="A150" s="17" t="s">
        <v>626</v>
      </c>
      <c r="B150" s="5" t="s">
        <v>14</v>
      </c>
      <c r="C150" s="7" t="s">
        <v>627</v>
      </c>
      <c r="D150" s="7" t="s">
        <v>16</v>
      </c>
      <c r="E150" s="8">
        <v>0.0</v>
      </c>
      <c r="F150" s="7" t="s">
        <v>105</v>
      </c>
      <c r="G150" s="5" t="s">
        <v>19</v>
      </c>
      <c r="H150" s="7" t="s">
        <v>16</v>
      </c>
      <c r="I150" s="5" t="s">
        <v>628</v>
      </c>
      <c r="J150" s="7" t="s">
        <v>16</v>
      </c>
      <c r="K150" s="7" t="s">
        <v>16</v>
      </c>
      <c r="L150" s="7" t="s">
        <v>16</v>
      </c>
      <c r="M150" s="31" t="s">
        <v>75</v>
      </c>
      <c r="N150" s="11" t="s">
        <v>629</v>
      </c>
      <c r="O150" s="5"/>
      <c r="P150" s="5"/>
      <c r="Q150" s="5"/>
      <c r="R150" s="5"/>
      <c r="S150" s="5"/>
      <c r="T150" s="5"/>
      <c r="U150" s="5"/>
      <c r="V150" s="5"/>
      <c r="W150" s="5"/>
      <c r="X150" s="5"/>
      <c r="Y150" s="5"/>
      <c r="Z150" s="5"/>
    </row>
    <row r="151">
      <c r="A151" s="17" t="s">
        <v>630</v>
      </c>
      <c r="B151" s="5" t="s">
        <v>14</v>
      </c>
      <c r="C151" s="7" t="s">
        <v>631</v>
      </c>
      <c r="D151" s="7" t="s">
        <v>16</v>
      </c>
      <c r="E151" s="8">
        <v>0.0</v>
      </c>
      <c r="F151" s="7" t="s">
        <v>105</v>
      </c>
      <c r="G151" s="5" t="s">
        <v>19</v>
      </c>
      <c r="H151" s="7" t="s">
        <v>16</v>
      </c>
      <c r="I151" s="5" t="s">
        <v>632</v>
      </c>
      <c r="J151" s="7" t="s">
        <v>16</v>
      </c>
      <c r="K151" s="7" t="s">
        <v>16</v>
      </c>
      <c r="L151" s="7" t="s">
        <v>16</v>
      </c>
      <c r="M151" s="31" t="s">
        <v>22</v>
      </c>
      <c r="N151" s="11" t="s">
        <v>633</v>
      </c>
      <c r="O151" s="5"/>
      <c r="P151" s="5"/>
      <c r="Q151" s="5"/>
      <c r="R151" s="5"/>
      <c r="S151" s="5"/>
      <c r="T151" s="5"/>
      <c r="U151" s="5"/>
      <c r="V151" s="5"/>
      <c r="W151" s="5"/>
      <c r="X151" s="5"/>
      <c r="Y151" s="5"/>
      <c r="Z151" s="5"/>
    </row>
    <row r="152">
      <c r="A152" s="17" t="s">
        <v>634</v>
      </c>
      <c r="B152" s="5" t="s">
        <v>14</v>
      </c>
      <c r="C152" s="7" t="s">
        <v>635</v>
      </c>
      <c r="D152" s="7" t="s">
        <v>16</v>
      </c>
      <c r="E152" s="8">
        <v>0.0</v>
      </c>
      <c r="F152" s="7" t="s">
        <v>17</v>
      </c>
      <c r="G152" s="5" t="s">
        <v>19</v>
      </c>
      <c r="H152" s="7" t="s">
        <v>16</v>
      </c>
      <c r="I152" s="5" t="s">
        <v>636</v>
      </c>
      <c r="J152" s="7" t="s">
        <v>16</v>
      </c>
      <c r="K152" s="7" t="s">
        <v>16</v>
      </c>
      <c r="L152" s="7" t="s">
        <v>16</v>
      </c>
      <c r="M152" s="31" t="s">
        <v>22</v>
      </c>
      <c r="N152" s="11" t="s">
        <v>637</v>
      </c>
      <c r="O152" s="5"/>
      <c r="P152" s="5"/>
      <c r="Q152" s="5"/>
      <c r="R152" s="5"/>
      <c r="S152" s="5"/>
      <c r="T152" s="5"/>
      <c r="U152" s="5"/>
      <c r="V152" s="5"/>
      <c r="W152" s="5"/>
      <c r="X152" s="5"/>
      <c r="Y152" s="5"/>
      <c r="Z152" s="5"/>
    </row>
    <row r="153">
      <c r="A153" s="17" t="s">
        <v>638</v>
      </c>
      <c r="B153" s="7" t="s">
        <v>14</v>
      </c>
      <c r="C153" s="7" t="s">
        <v>639</v>
      </c>
      <c r="D153" s="7" t="s">
        <v>16</v>
      </c>
      <c r="E153" s="8">
        <v>0.0</v>
      </c>
      <c r="F153" s="7" t="s">
        <v>105</v>
      </c>
      <c r="G153" s="5" t="s">
        <v>19</v>
      </c>
      <c r="H153" s="7" t="s">
        <v>16</v>
      </c>
      <c r="I153" s="7" t="s">
        <v>640</v>
      </c>
      <c r="J153" s="7" t="s">
        <v>16</v>
      </c>
      <c r="K153" s="7" t="s">
        <v>16</v>
      </c>
      <c r="L153" s="7" t="s">
        <v>16</v>
      </c>
      <c r="M153" s="10" t="s">
        <v>88</v>
      </c>
      <c r="N153" s="11" t="s">
        <v>641</v>
      </c>
      <c r="O153" s="5"/>
      <c r="P153" s="5"/>
      <c r="Q153" s="5"/>
      <c r="R153" s="5"/>
      <c r="S153" s="5"/>
      <c r="T153" s="5"/>
      <c r="U153" s="5"/>
      <c r="V153" s="5"/>
      <c r="W153" s="5"/>
      <c r="X153" s="5"/>
      <c r="Y153" s="5"/>
      <c r="Z153" s="5"/>
    </row>
    <row r="154">
      <c r="A154" s="17" t="s">
        <v>642</v>
      </c>
      <c r="B154" s="7" t="s">
        <v>14</v>
      </c>
      <c r="C154" s="7" t="s">
        <v>643</v>
      </c>
      <c r="D154" s="7" t="s">
        <v>16</v>
      </c>
      <c r="E154" s="8">
        <v>3.0</v>
      </c>
      <c r="F154" s="7" t="s">
        <v>172</v>
      </c>
      <c r="G154" s="5" t="s">
        <v>19</v>
      </c>
      <c r="H154" s="7" t="s">
        <v>16</v>
      </c>
      <c r="I154" s="7" t="s">
        <v>644</v>
      </c>
      <c r="J154" s="7" t="s">
        <v>16</v>
      </c>
      <c r="K154" s="7" t="s">
        <v>16</v>
      </c>
      <c r="L154" s="7" t="s">
        <v>16</v>
      </c>
      <c r="M154" s="10" t="s">
        <v>75</v>
      </c>
      <c r="N154" s="11" t="s">
        <v>645</v>
      </c>
      <c r="O154" s="5"/>
      <c r="P154" s="5"/>
      <c r="Q154" s="5"/>
      <c r="R154" s="5"/>
      <c r="S154" s="5"/>
      <c r="T154" s="5"/>
      <c r="U154" s="5"/>
      <c r="V154" s="5"/>
      <c r="W154" s="5"/>
      <c r="X154" s="5"/>
      <c r="Y154" s="5"/>
      <c r="Z154" s="5"/>
    </row>
    <row r="155">
      <c r="A155" s="17" t="s">
        <v>646</v>
      </c>
      <c r="B155" s="7" t="s">
        <v>14</v>
      </c>
      <c r="C155" s="7" t="s">
        <v>647</v>
      </c>
      <c r="D155" s="7" t="s">
        <v>16</v>
      </c>
      <c r="E155" s="8">
        <v>0.0</v>
      </c>
      <c r="F155" s="7" t="s">
        <v>17</v>
      </c>
      <c r="G155" s="5" t="s">
        <v>19</v>
      </c>
      <c r="H155" s="7" t="s">
        <v>16</v>
      </c>
      <c r="I155" s="7" t="s">
        <v>648</v>
      </c>
      <c r="J155" s="7" t="s">
        <v>16</v>
      </c>
      <c r="K155" s="7" t="s">
        <v>16</v>
      </c>
      <c r="L155" s="7" t="s">
        <v>16</v>
      </c>
      <c r="M155" s="10" t="s">
        <v>75</v>
      </c>
      <c r="N155" s="11" t="s">
        <v>649</v>
      </c>
      <c r="O155" s="5"/>
      <c r="P155" s="5"/>
      <c r="Q155" s="5"/>
      <c r="R155" s="5"/>
      <c r="S155" s="5"/>
      <c r="T155" s="5"/>
      <c r="U155" s="5"/>
      <c r="V155" s="5"/>
      <c r="W155" s="5"/>
      <c r="X155" s="5"/>
      <c r="Y155" s="5"/>
      <c r="Z155" s="5"/>
    </row>
    <row r="156">
      <c r="A156" s="17" t="s">
        <v>650</v>
      </c>
      <c r="B156" s="7" t="s">
        <v>14</v>
      </c>
      <c r="C156" s="7" t="s">
        <v>651</v>
      </c>
      <c r="D156" s="7" t="s">
        <v>16</v>
      </c>
      <c r="E156" s="8">
        <v>0.0</v>
      </c>
      <c r="F156" s="7" t="s">
        <v>17</v>
      </c>
      <c r="G156" s="5" t="s">
        <v>19</v>
      </c>
      <c r="H156" s="7" t="s">
        <v>16</v>
      </c>
      <c r="I156" s="7" t="s">
        <v>652</v>
      </c>
      <c r="J156" s="7" t="s">
        <v>16</v>
      </c>
      <c r="K156" s="7" t="s">
        <v>16</v>
      </c>
      <c r="L156" s="7" t="s">
        <v>16</v>
      </c>
      <c r="M156" s="10" t="s">
        <v>75</v>
      </c>
      <c r="N156" s="11" t="s">
        <v>653</v>
      </c>
      <c r="O156" s="5"/>
      <c r="P156" s="5"/>
      <c r="Q156" s="5"/>
      <c r="R156" s="5"/>
      <c r="S156" s="5"/>
      <c r="T156" s="5"/>
      <c r="U156" s="5"/>
      <c r="V156" s="5"/>
      <c r="W156" s="5"/>
      <c r="X156" s="5"/>
      <c r="Y156" s="5"/>
      <c r="Z156" s="5"/>
    </row>
    <row r="157">
      <c r="A157" s="17" t="s">
        <v>654</v>
      </c>
      <c r="B157" s="5" t="s">
        <v>14</v>
      </c>
      <c r="C157" s="7" t="s">
        <v>655</v>
      </c>
      <c r="D157" s="7" t="s">
        <v>16</v>
      </c>
      <c r="E157" s="8">
        <v>1.0</v>
      </c>
      <c r="F157" s="7" t="s">
        <v>105</v>
      </c>
      <c r="G157" s="5" t="s">
        <v>461</v>
      </c>
      <c r="H157" s="7" t="s">
        <v>16</v>
      </c>
      <c r="I157" s="7" t="s">
        <v>656</v>
      </c>
      <c r="J157" s="7" t="s">
        <v>16</v>
      </c>
      <c r="K157" s="7" t="s">
        <v>16</v>
      </c>
      <c r="L157" s="7" t="s">
        <v>16</v>
      </c>
      <c r="M157" s="10" t="s">
        <v>36</v>
      </c>
      <c r="N157" s="11" t="s">
        <v>657</v>
      </c>
      <c r="O157" s="5"/>
      <c r="P157" s="5"/>
      <c r="Q157" s="5"/>
      <c r="R157" s="5"/>
      <c r="S157" s="5"/>
      <c r="T157" s="5"/>
      <c r="U157" s="5"/>
      <c r="V157" s="5"/>
      <c r="W157" s="5"/>
      <c r="X157" s="5"/>
      <c r="Y157" s="5"/>
      <c r="Z157" s="5"/>
    </row>
    <row r="158">
      <c r="A158" s="17" t="s">
        <v>658</v>
      </c>
      <c r="B158" s="5" t="s">
        <v>14</v>
      </c>
      <c r="C158" s="7" t="s">
        <v>659</v>
      </c>
      <c r="D158" s="7" t="s">
        <v>16</v>
      </c>
      <c r="E158" s="8">
        <v>4.0</v>
      </c>
      <c r="F158" s="7" t="s">
        <v>17</v>
      </c>
      <c r="G158" s="5" t="s">
        <v>19</v>
      </c>
      <c r="H158" s="7" t="s">
        <v>16</v>
      </c>
      <c r="I158" s="7" t="s">
        <v>660</v>
      </c>
      <c r="J158" s="7" t="s">
        <v>16</v>
      </c>
      <c r="K158" s="7" t="s">
        <v>16</v>
      </c>
      <c r="L158" s="7" t="s">
        <v>16</v>
      </c>
      <c r="M158" s="31" t="s">
        <v>22</v>
      </c>
      <c r="N158" s="32" t="s">
        <v>661</v>
      </c>
      <c r="O158" s="5"/>
      <c r="P158" s="5"/>
      <c r="Q158" s="5"/>
      <c r="R158" s="5"/>
      <c r="S158" s="5"/>
      <c r="T158" s="5"/>
      <c r="U158" s="5"/>
      <c r="V158" s="5"/>
      <c r="W158" s="5"/>
      <c r="X158" s="5"/>
      <c r="Y158" s="5"/>
      <c r="Z158" s="5"/>
    </row>
    <row r="159">
      <c r="A159" s="17" t="s">
        <v>662</v>
      </c>
      <c r="B159" s="5" t="s">
        <v>14</v>
      </c>
      <c r="C159" s="7" t="s">
        <v>663</v>
      </c>
      <c r="D159" s="7" t="s">
        <v>16</v>
      </c>
      <c r="E159" s="8">
        <v>1.0</v>
      </c>
      <c r="F159" s="7" t="s">
        <v>105</v>
      </c>
      <c r="G159" s="5" t="s">
        <v>19</v>
      </c>
      <c r="H159" s="7" t="s">
        <v>16</v>
      </c>
      <c r="I159" s="7" t="s">
        <v>664</v>
      </c>
      <c r="J159" s="7" t="s">
        <v>16</v>
      </c>
      <c r="K159" s="7" t="s">
        <v>16</v>
      </c>
      <c r="L159" s="7" t="s">
        <v>16</v>
      </c>
      <c r="M159" s="10" t="s">
        <v>75</v>
      </c>
      <c r="N159" s="32" t="s">
        <v>665</v>
      </c>
      <c r="O159" s="5"/>
      <c r="P159" s="5"/>
      <c r="Q159" s="5"/>
      <c r="R159" s="5"/>
      <c r="S159" s="5"/>
      <c r="T159" s="5"/>
      <c r="U159" s="5"/>
      <c r="V159" s="5"/>
      <c r="W159" s="5"/>
      <c r="X159" s="5"/>
      <c r="Y159" s="5"/>
      <c r="Z159" s="5"/>
    </row>
    <row r="160">
      <c r="A160" s="17" t="s">
        <v>666</v>
      </c>
      <c r="B160" s="5" t="s">
        <v>14</v>
      </c>
      <c r="C160" s="7" t="s">
        <v>667</v>
      </c>
      <c r="D160" s="7" t="s">
        <v>16</v>
      </c>
      <c r="E160" s="8">
        <v>0.0</v>
      </c>
      <c r="F160" s="7" t="s">
        <v>17</v>
      </c>
      <c r="G160" s="5" t="s">
        <v>461</v>
      </c>
      <c r="H160" s="7" t="s">
        <v>16</v>
      </c>
      <c r="I160" s="7" t="s">
        <v>668</v>
      </c>
      <c r="J160" s="7" t="s">
        <v>16</v>
      </c>
      <c r="K160" s="7" t="s">
        <v>16</v>
      </c>
      <c r="L160" s="7" t="s">
        <v>16</v>
      </c>
      <c r="M160" s="10" t="s">
        <v>88</v>
      </c>
      <c r="N160" s="11" t="s">
        <v>669</v>
      </c>
      <c r="O160" s="5"/>
      <c r="P160" s="5"/>
      <c r="Q160" s="5"/>
      <c r="R160" s="5"/>
      <c r="S160" s="5"/>
      <c r="T160" s="5"/>
      <c r="U160" s="5"/>
      <c r="V160" s="5"/>
      <c r="W160" s="5"/>
      <c r="X160" s="5"/>
      <c r="Y160" s="5"/>
      <c r="Z160" s="5"/>
    </row>
    <row r="161">
      <c r="A161" s="17" t="s">
        <v>670</v>
      </c>
      <c r="B161" s="5" t="s">
        <v>14</v>
      </c>
      <c r="C161" s="7" t="s">
        <v>671</v>
      </c>
      <c r="D161" s="7" t="s">
        <v>16</v>
      </c>
      <c r="E161" s="8">
        <v>1.0</v>
      </c>
      <c r="F161" s="7" t="s">
        <v>17</v>
      </c>
      <c r="G161" s="5" t="s">
        <v>19</v>
      </c>
      <c r="H161" s="7" t="s">
        <v>16</v>
      </c>
      <c r="I161" s="7" t="s">
        <v>672</v>
      </c>
      <c r="J161" s="7" t="s">
        <v>16</v>
      </c>
      <c r="K161" s="7" t="s">
        <v>16</v>
      </c>
      <c r="L161" s="7" t="s">
        <v>16</v>
      </c>
      <c r="M161" s="10" t="s">
        <v>22</v>
      </c>
      <c r="N161" s="11" t="s">
        <v>673</v>
      </c>
      <c r="O161" s="5"/>
      <c r="P161" s="5"/>
      <c r="Q161" s="5"/>
      <c r="R161" s="5"/>
      <c r="S161" s="5"/>
      <c r="T161" s="5"/>
      <c r="U161" s="5"/>
      <c r="V161" s="5"/>
      <c r="W161" s="5"/>
      <c r="X161" s="5"/>
      <c r="Y161" s="5"/>
      <c r="Z161" s="5"/>
    </row>
    <row r="162">
      <c r="A162" s="17" t="s">
        <v>674</v>
      </c>
      <c r="B162" s="5" t="s">
        <v>14</v>
      </c>
      <c r="C162" s="7" t="s">
        <v>675</v>
      </c>
      <c r="D162" s="7" t="s">
        <v>16</v>
      </c>
      <c r="E162" s="8">
        <v>0.0</v>
      </c>
      <c r="F162" s="7" t="s">
        <v>17</v>
      </c>
      <c r="G162" s="5" t="s">
        <v>461</v>
      </c>
      <c r="H162" s="7" t="s">
        <v>16</v>
      </c>
      <c r="I162" s="7" t="s">
        <v>676</v>
      </c>
      <c r="J162" s="7" t="s">
        <v>16</v>
      </c>
      <c r="K162" s="7" t="s">
        <v>16</v>
      </c>
      <c r="L162" s="7" t="s">
        <v>16</v>
      </c>
      <c r="M162" s="10" t="s">
        <v>36</v>
      </c>
      <c r="N162" s="11" t="s">
        <v>677</v>
      </c>
      <c r="O162" s="5"/>
      <c r="P162" s="5"/>
      <c r="Q162" s="5"/>
      <c r="R162" s="5"/>
      <c r="S162" s="5"/>
      <c r="T162" s="5"/>
      <c r="U162" s="5"/>
      <c r="V162" s="5"/>
      <c r="W162" s="5"/>
      <c r="X162" s="5"/>
      <c r="Y162" s="5"/>
      <c r="Z162" s="5"/>
    </row>
    <row r="163">
      <c r="A163" s="17" t="s">
        <v>678</v>
      </c>
      <c r="B163" s="5" t="s">
        <v>14</v>
      </c>
      <c r="C163" s="7" t="s">
        <v>679</v>
      </c>
      <c r="D163" s="7" t="s">
        <v>16</v>
      </c>
      <c r="E163" s="8">
        <v>1.0</v>
      </c>
      <c r="F163" s="7" t="s">
        <v>17</v>
      </c>
      <c r="G163" s="5" t="s">
        <v>19</v>
      </c>
      <c r="H163" s="7" t="s">
        <v>16</v>
      </c>
      <c r="I163" s="7" t="s">
        <v>680</v>
      </c>
      <c r="J163" s="7" t="s">
        <v>16</v>
      </c>
      <c r="K163" s="7" t="s">
        <v>16</v>
      </c>
      <c r="L163" s="7" t="s">
        <v>16</v>
      </c>
      <c r="M163" s="10" t="s">
        <v>88</v>
      </c>
      <c r="N163" s="11" t="s">
        <v>681</v>
      </c>
      <c r="O163" s="5"/>
      <c r="P163" s="5"/>
      <c r="Q163" s="5"/>
      <c r="R163" s="5"/>
      <c r="S163" s="5"/>
      <c r="T163" s="5"/>
      <c r="U163" s="5"/>
      <c r="V163" s="5"/>
      <c r="W163" s="5"/>
      <c r="X163" s="5"/>
      <c r="Y163" s="5"/>
      <c r="Z163" s="5"/>
    </row>
    <row r="164">
      <c r="A164" s="17" t="s">
        <v>682</v>
      </c>
      <c r="B164" s="7" t="s">
        <v>14</v>
      </c>
      <c r="C164" s="7" t="s">
        <v>683</v>
      </c>
      <c r="D164" s="7" t="s">
        <v>16</v>
      </c>
      <c r="E164" s="8">
        <v>2.0</v>
      </c>
      <c r="F164" s="7" t="s">
        <v>17</v>
      </c>
      <c r="G164" s="5" t="s">
        <v>19</v>
      </c>
      <c r="H164" s="7" t="s">
        <v>16</v>
      </c>
      <c r="I164" s="7" t="s">
        <v>684</v>
      </c>
      <c r="J164" s="7" t="s">
        <v>16</v>
      </c>
      <c r="K164" s="7" t="s">
        <v>16</v>
      </c>
      <c r="L164" s="7" t="s">
        <v>16</v>
      </c>
      <c r="M164" s="10" t="s">
        <v>75</v>
      </c>
      <c r="N164" s="30" t="s">
        <v>685</v>
      </c>
      <c r="O164" s="5"/>
      <c r="P164" s="5"/>
      <c r="Q164" s="5"/>
      <c r="R164" s="5"/>
      <c r="S164" s="5"/>
      <c r="T164" s="5"/>
      <c r="U164" s="5"/>
      <c r="V164" s="5"/>
      <c r="W164" s="5"/>
      <c r="X164" s="5"/>
      <c r="Y164" s="5"/>
      <c r="Z164" s="5"/>
    </row>
    <row r="165">
      <c r="A165" s="17" t="s">
        <v>686</v>
      </c>
      <c r="B165" s="7" t="s">
        <v>14</v>
      </c>
      <c r="C165" s="7" t="s">
        <v>687</v>
      </c>
      <c r="D165" s="7" t="s">
        <v>16</v>
      </c>
      <c r="E165" s="8">
        <v>9.0</v>
      </c>
      <c r="F165" s="7" t="s">
        <v>17</v>
      </c>
      <c r="G165" s="5" t="s">
        <v>326</v>
      </c>
      <c r="H165" s="7" t="s">
        <v>16</v>
      </c>
      <c r="I165" s="7" t="s">
        <v>688</v>
      </c>
      <c r="J165" s="7" t="s">
        <v>16</v>
      </c>
      <c r="K165" s="7" t="s">
        <v>16</v>
      </c>
      <c r="L165" s="7" t="s">
        <v>16</v>
      </c>
      <c r="M165" s="10" t="s">
        <v>75</v>
      </c>
      <c r="N165" s="11" t="s">
        <v>689</v>
      </c>
      <c r="O165" s="5"/>
      <c r="P165" s="5"/>
      <c r="Q165" s="5"/>
      <c r="R165" s="5"/>
      <c r="S165" s="5"/>
      <c r="T165" s="5"/>
      <c r="U165" s="5"/>
      <c r="V165" s="5"/>
      <c r="W165" s="5"/>
      <c r="X165" s="5"/>
      <c r="Y165" s="5"/>
      <c r="Z165" s="5"/>
    </row>
    <row r="166">
      <c r="A166" s="17" t="s">
        <v>690</v>
      </c>
      <c r="B166" s="7" t="s">
        <v>14</v>
      </c>
      <c r="C166" s="7" t="s">
        <v>691</v>
      </c>
      <c r="D166" s="7" t="s">
        <v>16</v>
      </c>
      <c r="E166" s="8">
        <v>0.0</v>
      </c>
      <c r="F166" s="7" t="s">
        <v>17</v>
      </c>
      <c r="G166" s="5" t="s">
        <v>19</v>
      </c>
      <c r="H166" s="7" t="s">
        <v>16</v>
      </c>
      <c r="I166" s="7" t="s">
        <v>692</v>
      </c>
      <c r="J166" s="7" t="s">
        <v>16</v>
      </c>
      <c r="K166" s="7" t="s">
        <v>16</v>
      </c>
      <c r="L166" s="7" t="s">
        <v>16</v>
      </c>
      <c r="M166" s="10" t="s">
        <v>75</v>
      </c>
      <c r="N166" s="11" t="s">
        <v>693</v>
      </c>
      <c r="O166" s="5"/>
      <c r="P166" s="5"/>
      <c r="Q166" s="5"/>
      <c r="R166" s="5"/>
      <c r="S166" s="5"/>
      <c r="T166" s="5"/>
      <c r="U166" s="5"/>
      <c r="V166" s="5"/>
      <c r="W166" s="5"/>
      <c r="X166" s="5"/>
      <c r="Y166" s="5"/>
      <c r="Z166" s="5"/>
    </row>
    <row r="167">
      <c r="A167" s="17" t="s">
        <v>694</v>
      </c>
      <c r="B167" s="5" t="s">
        <v>14</v>
      </c>
      <c r="C167" s="7" t="s">
        <v>695</v>
      </c>
      <c r="D167" s="7" t="s">
        <v>16</v>
      </c>
      <c r="E167" s="8">
        <v>0.0</v>
      </c>
      <c r="F167" s="7" t="s">
        <v>17</v>
      </c>
      <c r="G167" s="5" t="s">
        <v>19</v>
      </c>
      <c r="H167" s="7" t="s">
        <v>16</v>
      </c>
      <c r="I167" s="7" t="s">
        <v>696</v>
      </c>
      <c r="J167" s="7" t="s">
        <v>16</v>
      </c>
      <c r="K167" s="7" t="s">
        <v>16</v>
      </c>
      <c r="L167" s="7" t="s">
        <v>16</v>
      </c>
      <c r="M167" s="31" t="s">
        <v>75</v>
      </c>
      <c r="N167" s="33" t="s">
        <v>697</v>
      </c>
      <c r="O167" s="5"/>
      <c r="P167" s="5"/>
      <c r="Q167" s="5"/>
      <c r="R167" s="5"/>
      <c r="S167" s="5"/>
      <c r="T167" s="5"/>
      <c r="U167" s="5"/>
      <c r="V167" s="5"/>
      <c r="W167" s="5"/>
      <c r="X167" s="5"/>
      <c r="Y167" s="5"/>
      <c r="Z167" s="5"/>
    </row>
    <row r="168">
      <c r="A168" s="5" t="s">
        <v>698</v>
      </c>
      <c r="B168" s="5" t="s">
        <v>14</v>
      </c>
      <c r="C168" s="7" t="s">
        <v>699</v>
      </c>
      <c r="D168" s="7" t="s">
        <v>16</v>
      </c>
      <c r="E168" s="8">
        <v>0.0</v>
      </c>
      <c r="F168" s="7" t="s">
        <v>17</v>
      </c>
      <c r="G168" s="5" t="s">
        <v>19</v>
      </c>
      <c r="H168" s="7" t="s">
        <v>16</v>
      </c>
      <c r="I168" s="7" t="s">
        <v>700</v>
      </c>
      <c r="J168" s="7" t="s">
        <v>16</v>
      </c>
      <c r="K168" s="7" t="s">
        <v>16</v>
      </c>
      <c r="L168" s="7" t="s">
        <v>16</v>
      </c>
      <c r="M168" s="10" t="s">
        <v>22</v>
      </c>
      <c r="N168" s="11" t="s">
        <v>701</v>
      </c>
      <c r="O168" s="5"/>
      <c r="P168" s="5"/>
      <c r="Q168" s="5"/>
      <c r="R168" s="5"/>
      <c r="S168" s="5"/>
      <c r="T168" s="5"/>
      <c r="U168" s="5"/>
      <c r="V168" s="5"/>
      <c r="W168" s="5"/>
      <c r="X168" s="5"/>
      <c r="Y168" s="5"/>
      <c r="Z168" s="5"/>
    </row>
    <row r="169">
      <c r="A169" s="34" t="s">
        <v>702</v>
      </c>
      <c r="B169" s="5" t="s">
        <v>14</v>
      </c>
      <c r="C169" s="7" t="s">
        <v>703</v>
      </c>
      <c r="D169" s="7" t="s">
        <v>16</v>
      </c>
      <c r="E169" s="8">
        <v>2.0</v>
      </c>
      <c r="F169" s="7" t="s">
        <v>17</v>
      </c>
      <c r="G169" s="5" t="s">
        <v>326</v>
      </c>
      <c r="H169" s="7" t="s">
        <v>16</v>
      </c>
      <c r="I169" s="7" t="s">
        <v>704</v>
      </c>
      <c r="J169" s="7" t="s">
        <v>16</v>
      </c>
      <c r="K169" s="7" t="s">
        <v>16</v>
      </c>
      <c r="L169" s="7" t="s">
        <v>16</v>
      </c>
      <c r="M169" s="10" t="s">
        <v>36</v>
      </c>
      <c r="N169" s="32" t="s">
        <v>705</v>
      </c>
      <c r="O169" s="5"/>
      <c r="P169" s="5"/>
      <c r="Q169" s="5"/>
      <c r="R169" s="5"/>
      <c r="S169" s="5"/>
      <c r="T169" s="5"/>
      <c r="U169" s="5"/>
      <c r="V169" s="5"/>
      <c r="W169" s="5"/>
      <c r="X169" s="5"/>
      <c r="Y169" s="5"/>
      <c r="Z169" s="5"/>
    </row>
    <row r="170">
      <c r="A170" s="34" t="s">
        <v>706</v>
      </c>
      <c r="B170" s="5" t="s">
        <v>14</v>
      </c>
      <c r="C170" s="7" t="s">
        <v>707</v>
      </c>
      <c r="D170" s="7" t="s">
        <v>16</v>
      </c>
      <c r="E170" s="8">
        <v>1.0</v>
      </c>
      <c r="F170" s="7" t="s">
        <v>105</v>
      </c>
      <c r="G170" s="5" t="s">
        <v>19</v>
      </c>
      <c r="H170" s="7" t="s">
        <v>16</v>
      </c>
      <c r="I170" s="7" t="s">
        <v>708</v>
      </c>
      <c r="J170" s="7" t="s">
        <v>16</v>
      </c>
      <c r="K170" s="7" t="s">
        <v>16</v>
      </c>
      <c r="L170" s="7" t="s">
        <v>16</v>
      </c>
      <c r="M170" s="10" t="s">
        <v>22</v>
      </c>
      <c r="N170" s="11" t="s">
        <v>709</v>
      </c>
      <c r="O170" s="5"/>
      <c r="P170" s="5"/>
      <c r="Q170" s="5"/>
      <c r="R170" s="5"/>
      <c r="S170" s="5"/>
      <c r="T170" s="5"/>
      <c r="U170" s="5"/>
      <c r="V170" s="5"/>
      <c r="W170" s="5"/>
      <c r="X170" s="5"/>
      <c r="Y170" s="5"/>
      <c r="Z170" s="5"/>
    </row>
    <row r="171">
      <c r="A171" s="34" t="s">
        <v>710</v>
      </c>
      <c r="B171" s="5" t="s">
        <v>14</v>
      </c>
      <c r="C171" s="7" t="s">
        <v>711</v>
      </c>
      <c r="D171" s="7" t="s">
        <v>16</v>
      </c>
      <c r="E171" s="8">
        <v>0.0</v>
      </c>
      <c r="F171" s="7" t="s">
        <v>105</v>
      </c>
      <c r="G171" s="5" t="s">
        <v>19</v>
      </c>
      <c r="H171" s="7" t="s">
        <v>16</v>
      </c>
      <c r="I171" s="7" t="s">
        <v>712</v>
      </c>
      <c r="J171" s="7" t="s">
        <v>16</v>
      </c>
      <c r="K171" s="7" t="s">
        <v>16</v>
      </c>
      <c r="L171" s="7" t="s">
        <v>16</v>
      </c>
      <c r="M171" s="10" t="s">
        <v>22</v>
      </c>
      <c r="N171" s="11" t="s">
        <v>713</v>
      </c>
      <c r="O171" s="5"/>
      <c r="P171" s="5"/>
      <c r="Q171" s="5"/>
      <c r="R171" s="5"/>
      <c r="S171" s="5"/>
      <c r="T171" s="5"/>
      <c r="U171" s="5"/>
      <c r="V171" s="5"/>
      <c r="W171" s="5"/>
      <c r="X171" s="5"/>
      <c r="Y171" s="5"/>
      <c r="Z171" s="5"/>
    </row>
    <row r="172">
      <c r="A172" s="34" t="s">
        <v>714</v>
      </c>
      <c r="B172" s="5" t="s">
        <v>14</v>
      </c>
      <c r="C172" s="7" t="s">
        <v>715</v>
      </c>
      <c r="D172" s="7" t="s">
        <v>16</v>
      </c>
      <c r="E172" s="8">
        <v>2.0</v>
      </c>
      <c r="F172" s="7" t="s">
        <v>17</v>
      </c>
      <c r="G172" s="5" t="s">
        <v>461</v>
      </c>
      <c r="H172" s="7" t="s">
        <v>16</v>
      </c>
      <c r="I172" s="7" t="s">
        <v>716</v>
      </c>
      <c r="J172" s="7" t="s">
        <v>16</v>
      </c>
      <c r="K172" s="7" t="s">
        <v>16</v>
      </c>
      <c r="L172" s="7" t="s">
        <v>16</v>
      </c>
      <c r="M172" s="10" t="s">
        <v>36</v>
      </c>
      <c r="N172" s="11" t="s">
        <v>717</v>
      </c>
      <c r="O172" s="5"/>
      <c r="P172" s="5"/>
      <c r="Q172" s="5"/>
      <c r="R172" s="5"/>
      <c r="S172" s="5"/>
      <c r="T172" s="5"/>
      <c r="U172" s="5"/>
      <c r="V172" s="5"/>
      <c r="W172" s="5"/>
      <c r="X172" s="5"/>
      <c r="Y172" s="5"/>
      <c r="Z172" s="5"/>
    </row>
    <row r="173">
      <c r="A173" s="34" t="s">
        <v>718</v>
      </c>
      <c r="B173" s="5" t="s">
        <v>14</v>
      </c>
      <c r="C173" s="7" t="s">
        <v>719</v>
      </c>
      <c r="D173" s="7" t="s">
        <v>16</v>
      </c>
      <c r="E173" s="8">
        <v>4.0</v>
      </c>
      <c r="F173" s="7" t="s">
        <v>17</v>
      </c>
      <c r="G173" s="5" t="s">
        <v>19</v>
      </c>
      <c r="H173" s="7" t="s">
        <v>16</v>
      </c>
      <c r="I173" s="7" t="s">
        <v>720</v>
      </c>
      <c r="J173" s="7" t="s">
        <v>16</v>
      </c>
      <c r="K173" s="7" t="s">
        <v>16</v>
      </c>
      <c r="L173" s="7" t="s">
        <v>16</v>
      </c>
      <c r="M173" s="10" t="s">
        <v>88</v>
      </c>
      <c r="N173" s="11" t="s">
        <v>721</v>
      </c>
      <c r="O173" s="5"/>
      <c r="P173" s="5"/>
      <c r="Q173" s="5"/>
      <c r="R173" s="5"/>
      <c r="S173" s="5"/>
      <c r="T173" s="5"/>
      <c r="U173" s="5"/>
      <c r="V173" s="5"/>
      <c r="W173" s="5"/>
      <c r="X173" s="5"/>
      <c r="Y173" s="5"/>
      <c r="Z173" s="5"/>
    </row>
    <row r="174">
      <c r="A174" s="34" t="s">
        <v>722</v>
      </c>
      <c r="B174" s="5" t="s">
        <v>14</v>
      </c>
      <c r="C174" s="7" t="s">
        <v>723</v>
      </c>
      <c r="D174" s="7" t="s">
        <v>16</v>
      </c>
      <c r="E174" s="8">
        <v>0.0</v>
      </c>
      <c r="F174" s="7" t="s">
        <v>17</v>
      </c>
      <c r="G174" s="5" t="s">
        <v>19</v>
      </c>
      <c r="H174" s="7" t="s">
        <v>16</v>
      </c>
      <c r="I174" s="7" t="s">
        <v>724</v>
      </c>
      <c r="J174" s="7" t="s">
        <v>16</v>
      </c>
      <c r="K174" s="7" t="s">
        <v>16</v>
      </c>
      <c r="L174" s="7" t="s">
        <v>16</v>
      </c>
      <c r="M174" s="10" t="s">
        <v>88</v>
      </c>
      <c r="N174" s="11" t="s">
        <v>725</v>
      </c>
      <c r="O174" s="5"/>
      <c r="P174" s="5"/>
      <c r="Q174" s="5"/>
      <c r="R174" s="5"/>
      <c r="S174" s="5"/>
      <c r="T174" s="5"/>
      <c r="U174" s="5"/>
      <c r="V174" s="5"/>
      <c r="W174" s="5"/>
      <c r="X174" s="5"/>
      <c r="Y174" s="5"/>
      <c r="Z174" s="5"/>
    </row>
    <row r="175">
      <c r="A175" s="34" t="s">
        <v>722</v>
      </c>
      <c r="B175" s="5" t="s">
        <v>14</v>
      </c>
      <c r="C175" s="7" t="s">
        <v>723</v>
      </c>
      <c r="D175" s="7" t="s">
        <v>16</v>
      </c>
      <c r="E175" s="8">
        <v>0.0</v>
      </c>
      <c r="F175" s="7" t="s">
        <v>17</v>
      </c>
      <c r="G175" s="5" t="s">
        <v>726</v>
      </c>
      <c r="H175" s="7" t="s">
        <v>16</v>
      </c>
      <c r="I175" s="7" t="s">
        <v>727</v>
      </c>
      <c r="J175" s="7" t="s">
        <v>16</v>
      </c>
      <c r="K175" s="7" t="s">
        <v>16</v>
      </c>
      <c r="L175" s="7" t="s">
        <v>16</v>
      </c>
      <c r="M175" s="10" t="s">
        <v>88</v>
      </c>
      <c r="N175" s="11" t="s">
        <v>725</v>
      </c>
      <c r="O175" s="5"/>
      <c r="P175" s="5"/>
      <c r="Q175" s="5"/>
      <c r="R175" s="5"/>
      <c r="S175" s="5"/>
      <c r="T175" s="5"/>
      <c r="U175" s="5"/>
      <c r="V175" s="5"/>
      <c r="W175" s="5"/>
      <c r="X175" s="5"/>
      <c r="Y175" s="5"/>
      <c r="Z175" s="5"/>
    </row>
    <row r="176">
      <c r="A176" s="34" t="s">
        <v>728</v>
      </c>
      <c r="B176" s="5" t="s">
        <v>14</v>
      </c>
      <c r="C176" s="7" t="s">
        <v>729</v>
      </c>
      <c r="D176" s="7" t="s">
        <v>16</v>
      </c>
      <c r="E176" s="8">
        <v>1.0</v>
      </c>
      <c r="F176" s="7" t="s">
        <v>17</v>
      </c>
      <c r="G176" s="5" t="s">
        <v>19</v>
      </c>
      <c r="H176" s="7" t="s">
        <v>16</v>
      </c>
      <c r="I176" s="7" t="s">
        <v>730</v>
      </c>
      <c r="J176" s="7" t="s">
        <v>16</v>
      </c>
      <c r="K176" s="7" t="s">
        <v>16</v>
      </c>
      <c r="L176" s="7" t="s">
        <v>16</v>
      </c>
      <c r="M176" s="10" t="s">
        <v>22</v>
      </c>
      <c r="N176" s="11" t="s">
        <v>731</v>
      </c>
      <c r="O176" s="5"/>
      <c r="P176" s="5"/>
      <c r="Q176" s="5"/>
      <c r="R176" s="5"/>
      <c r="S176" s="5"/>
      <c r="T176" s="5"/>
      <c r="U176" s="5"/>
      <c r="V176" s="5"/>
      <c r="W176" s="5"/>
      <c r="X176" s="5"/>
      <c r="Y176" s="5"/>
      <c r="Z176" s="5"/>
    </row>
    <row r="177">
      <c r="A177" s="34" t="s">
        <v>732</v>
      </c>
      <c r="B177" s="5" t="s">
        <v>14</v>
      </c>
      <c r="C177" s="7" t="s">
        <v>733</v>
      </c>
      <c r="D177" s="7" t="s">
        <v>16</v>
      </c>
      <c r="E177" s="8">
        <v>1.0</v>
      </c>
      <c r="F177" s="7" t="s">
        <v>105</v>
      </c>
      <c r="G177" s="5" t="s">
        <v>19</v>
      </c>
      <c r="H177" s="7" t="s">
        <v>16</v>
      </c>
      <c r="I177" s="7" t="s">
        <v>734</v>
      </c>
      <c r="J177" s="7" t="s">
        <v>16</v>
      </c>
      <c r="K177" s="7" t="s">
        <v>16</v>
      </c>
      <c r="L177" s="7" t="s">
        <v>16</v>
      </c>
      <c r="M177" s="10" t="s">
        <v>36</v>
      </c>
      <c r="N177" s="11" t="s">
        <v>735</v>
      </c>
      <c r="O177" s="5"/>
      <c r="P177" s="5"/>
      <c r="Q177" s="5"/>
      <c r="R177" s="5"/>
      <c r="S177" s="5"/>
      <c r="T177" s="5"/>
      <c r="U177" s="5"/>
      <c r="V177" s="5"/>
      <c r="W177" s="5"/>
      <c r="X177" s="5"/>
      <c r="Y177" s="5"/>
      <c r="Z177" s="5"/>
    </row>
    <row r="178">
      <c r="A178" s="34" t="s">
        <v>736</v>
      </c>
      <c r="B178" s="5" t="s">
        <v>14</v>
      </c>
      <c r="C178" s="7" t="s">
        <v>737</v>
      </c>
      <c r="D178" s="7" t="s">
        <v>16</v>
      </c>
      <c r="E178" s="8">
        <v>0.0</v>
      </c>
      <c r="F178" s="7" t="s">
        <v>105</v>
      </c>
      <c r="G178" s="5" t="s">
        <v>19</v>
      </c>
      <c r="H178" s="7" t="s">
        <v>16</v>
      </c>
      <c r="I178" s="7" t="s">
        <v>738</v>
      </c>
      <c r="J178" s="7" t="s">
        <v>16</v>
      </c>
      <c r="K178" s="7" t="s">
        <v>16</v>
      </c>
      <c r="L178" s="7" t="s">
        <v>16</v>
      </c>
      <c r="M178" s="10" t="s">
        <v>88</v>
      </c>
      <c r="N178" s="11" t="s">
        <v>739</v>
      </c>
      <c r="O178" s="5"/>
      <c r="P178" s="5"/>
      <c r="Q178" s="5"/>
      <c r="R178" s="5"/>
      <c r="S178" s="5"/>
      <c r="T178" s="5"/>
      <c r="U178" s="5"/>
      <c r="V178" s="5"/>
      <c r="W178" s="5"/>
      <c r="X178" s="5"/>
      <c r="Y178" s="5"/>
      <c r="Z178" s="5"/>
    </row>
    <row r="179">
      <c r="A179" s="34" t="s">
        <v>740</v>
      </c>
      <c r="B179" s="5" t="s">
        <v>14</v>
      </c>
      <c r="C179" s="7" t="s">
        <v>741</v>
      </c>
      <c r="D179" s="7" t="s">
        <v>16</v>
      </c>
      <c r="E179" s="8">
        <v>2.0</v>
      </c>
      <c r="F179" s="7" t="s">
        <v>105</v>
      </c>
      <c r="G179" s="5" t="s">
        <v>19</v>
      </c>
      <c r="H179" s="7" t="s">
        <v>16</v>
      </c>
      <c r="I179" s="7" t="s">
        <v>742</v>
      </c>
      <c r="J179" s="7" t="s">
        <v>16</v>
      </c>
      <c r="K179" s="7" t="s">
        <v>16</v>
      </c>
      <c r="L179" s="7" t="s">
        <v>16</v>
      </c>
      <c r="M179" s="10" t="s">
        <v>22</v>
      </c>
      <c r="N179" s="11" t="s">
        <v>743</v>
      </c>
      <c r="O179" s="5"/>
      <c r="P179" s="5"/>
      <c r="Q179" s="5"/>
      <c r="R179" s="5"/>
      <c r="S179" s="5"/>
      <c r="T179" s="5"/>
      <c r="U179" s="5"/>
      <c r="V179" s="5"/>
      <c r="W179" s="5"/>
      <c r="X179" s="5"/>
      <c r="Y179" s="5"/>
      <c r="Z179" s="5"/>
    </row>
    <row r="180">
      <c r="A180" s="34" t="s">
        <v>744</v>
      </c>
      <c r="B180" s="5" t="s">
        <v>14</v>
      </c>
      <c r="C180" s="7" t="s">
        <v>745</v>
      </c>
      <c r="D180" s="7" t="s">
        <v>16</v>
      </c>
      <c r="E180" s="8">
        <v>2.0</v>
      </c>
      <c r="F180" s="7" t="s">
        <v>17</v>
      </c>
      <c r="G180" s="5" t="s">
        <v>19</v>
      </c>
      <c r="H180" s="7" t="s">
        <v>16</v>
      </c>
      <c r="I180" s="7" t="s">
        <v>746</v>
      </c>
      <c r="J180" s="7" t="s">
        <v>16</v>
      </c>
      <c r="K180" s="7" t="s">
        <v>16</v>
      </c>
      <c r="L180" s="7" t="s">
        <v>16</v>
      </c>
      <c r="M180" s="10" t="s">
        <v>36</v>
      </c>
      <c r="N180" s="11" t="s">
        <v>747</v>
      </c>
      <c r="O180" s="5"/>
      <c r="P180" s="5"/>
      <c r="Q180" s="5"/>
      <c r="R180" s="5"/>
      <c r="S180" s="5"/>
      <c r="T180" s="5"/>
      <c r="U180" s="5"/>
      <c r="V180" s="5"/>
      <c r="W180" s="5"/>
      <c r="X180" s="5"/>
      <c r="Y180" s="5"/>
      <c r="Z180" s="5"/>
    </row>
    <row r="181">
      <c r="A181" s="35" t="s">
        <v>748</v>
      </c>
      <c r="B181" s="5" t="s">
        <v>14</v>
      </c>
      <c r="C181" s="7" t="s">
        <v>749</v>
      </c>
      <c r="D181" s="7" t="s">
        <v>16</v>
      </c>
      <c r="E181" s="8">
        <v>2.0</v>
      </c>
      <c r="F181" s="7" t="s">
        <v>17</v>
      </c>
      <c r="G181" s="5" t="s">
        <v>19</v>
      </c>
      <c r="H181" s="7" t="s">
        <v>16</v>
      </c>
      <c r="I181" s="7" t="s">
        <v>750</v>
      </c>
      <c r="J181" s="7" t="s">
        <v>16</v>
      </c>
      <c r="K181" s="7" t="s">
        <v>16</v>
      </c>
      <c r="L181" s="7" t="s">
        <v>16</v>
      </c>
      <c r="M181" s="10" t="s">
        <v>22</v>
      </c>
      <c r="N181" s="11" t="s">
        <v>751</v>
      </c>
      <c r="O181" s="5"/>
      <c r="P181" s="5"/>
      <c r="Q181" s="5"/>
      <c r="R181" s="5"/>
      <c r="S181" s="5"/>
      <c r="T181" s="5"/>
      <c r="U181" s="5"/>
      <c r="V181" s="5"/>
      <c r="W181" s="5"/>
      <c r="X181" s="5"/>
      <c r="Y181" s="5"/>
      <c r="Z181" s="5"/>
    </row>
    <row r="182">
      <c r="A182" s="35" t="s">
        <v>752</v>
      </c>
      <c r="B182" s="5" t="s">
        <v>14</v>
      </c>
      <c r="C182" s="7" t="s">
        <v>753</v>
      </c>
      <c r="D182" s="7" t="s">
        <v>16</v>
      </c>
      <c r="E182" s="8">
        <v>7.0</v>
      </c>
      <c r="F182" s="7" t="s">
        <v>17</v>
      </c>
      <c r="G182" s="5" t="s">
        <v>461</v>
      </c>
      <c r="H182" s="7" t="s">
        <v>16</v>
      </c>
      <c r="I182" s="7" t="s">
        <v>754</v>
      </c>
      <c r="J182" s="7" t="s">
        <v>16</v>
      </c>
      <c r="K182" s="7" t="s">
        <v>16</v>
      </c>
      <c r="L182" s="7" t="s">
        <v>16</v>
      </c>
      <c r="M182" s="10" t="s">
        <v>36</v>
      </c>
      <c r="N182" s="11" t="s">
        <v>755</v>
      </c>
      <c r="O182" s="5"/>
      <c r="P182" s="5"/>
      <c r="Q182" s="5"/>
      <c r="R182" s="5"/>
      <c r="S182" s="5"/>
      <c r="T182" s="5"/>
      <c r="U182" s="5"/>
      <c r="V182" s="5"/>
      <c r="W182" s="5"/>
      <c r="X182" s="5"/>
      <c r="Y182" s="5"/>
      <c r="Z182" s="5"/>
    </row>
    <row r="183">
      <c r="A183" s="34" t="s">
        <v>756</v>
      </c>
      <c r="B183" s="5" t="s">
        <v>14</v>
      </c>
      <c r="C183" s="7" t="s">
        <v>757</v>
      </c>
      <c r="D183" s="7" t="s">
        <v>16</v>
      </c>
      <c r="E183" s="8">
        <v>2.0</v>
      </c>
      <c r="F183" s="7" t="s">
        <v>105</v>
      </c>
      <c r="G183" s="5" t="s">
        <v>19</v>
      </c>
      <c r="H183" s="7" t="s">
        <v>16</v>
      </c>
      <c r="I183" s="7" t="s">
        <v>758</v>
      </c>
      <c r="J183" s="7" t="s">
        <v>16</v>
      </c>
      <c r="K183" s="7" t="s">
        <v>16</v>
      </c>
      <c r="L183" s="7" t="s">
        <v>16</v>
      </c>
      <c r="M183" s="10" t="s">
        <v>88</v>
      </c>
      <c r="N183" s="11" t="s">
        <v>759</v>
      </c>
      <c r="O183" s="5"/>
      <c r="P183" s="5"/>
      <c r="Q183" s="5"/>
      <c r="R183" s="5"/>
      <c r="S183" s="5"/>
      <c r="T183" s="5"/>
      <c r="U183" s="5"/>
      <c r="V183" s="5"/>
      <c r="W183" s="5"/>
      <c r="X183" s="5"/>
      <c r="Y183" s="5"/>
      <c r="Z183" s="5"/>
    </row>
    <row r="184">
      <c r="A184" s="34" t="s">
        <v>760</v>
      </c>
      <c r="B184" s="5" t="s">
        <v>14</v>
      </c>
      <c r="C184" s="7" t="s">
        <v>761</v>
      </c>
      <c r="D184" s="7" t="s">
        <v>16</v>
      </c>
      <c r="E184" s="8">
        <v>3.0</v>
      </c>
      <c r="F184" s="7" t="s">
        <v>105</v>
      </c>
      <c r="G184" s="5" t="s">
        <v>461</v>
      </c>
      <c r="H184" s="7" t="s">
        <v>16</v>
      </c>
      <c r="I184" s="7" t="s">
        <v>762</v>
      </c>
      <c r="J184" s="7" t="s">
        <v>16</v>
      </c>
      <c r="K184" s="7" t="s">
        <v>16</v>
      </c>
      <c r="L184" s="7" t="s">
        <v>16</v>
      </c>
      <c r="M184" s="10" t="s">
        <v>22</v>
      </c>
      <c r="N184" s="11" t="s">
        <v>763</v>
      </c>
      <c r="O184" s="5"/>
      <c r="P184" s="5"/>
      <c r="Q184" s="5"/>
      <c r="R184" s="5"/>
      <c r="S184" s="5"/>
      <c r="T184" s="5"/>
      <c r="U184" s="5"/>
      <c r="V184" s="5"/>
      <c r="W184" s="5"/>
      <c r="X184" s="5"/>
      <c r="Y184" s="5"/>
      <c r="Z184" s="5"/>
    </row>
    <row r="185">
      <c r="A185" s="34" t="s">
        <v>764</v>
      </c>
      <c r="B185" s="5" t="s">
        <v>14</v>
      </c>
      <c r="C185" s="7" t="s">
        <v>765</v>
      </c>
      <c r="D185" s="7" t="s">
        <v>16</v>
      </c>
      <c r="E185" s="8">
        <v>1.0</v>
      </c>
      <c r="F185" s="7" t="s">
        <v>105</v>
      </c>
      <c r="G185" s="5" t="s">
        <v>19</v>
      </c>
      <c r="H185" s="7" t="s">
        <v>16</v>
      </c>
      <c r="I185" s="7" t="s">
        <v>766</v>
      </c>
      <c r="J185" s="7" t="s">
        <v>16</v>
      </c>
      <c r="K185" s="7" t="s">
        <v>16</v>
      </c>
      <c r="L185" s="7" t="s">
        <v>16</v>
      </c>
      <c r="M185" s="10" t="s">
        <v>88</v>
      </c>
      <c r="N185" s="11" t="s">
        <v>767</v>
      </c>
      <c r="O185" s="5"/>
      <c r="P185" s="5"/>
      <c r="Q185" s="5"/>
      <c r="R185" s="5"/>
      <c r="S185" s="5"/>
      <c r="T185" s="5"/>
      <c r="U185" s="5"/>
      <c r="V185" s="5"/>
      <c r="W185" s="5"/>
      <c r="X185" s="5"/>
      <c r="Y185" s="5"/>
      <c r="Z185" s="5"/>
    </row>
    <row r="186">
      <c r="A186" s="34" t="s">
        <v>768</v>
      </c>
      <c r="B186" s="5" t="s">
        <v>14</v>
      </c>
      <c r="C186" s="7" t="s">
        <v>769</v>
      </c>
      <c r="D186" s="7" t="s">
        <v>16</v>
      </c>
      <c r="E186" s="8">
        <v>2.0</v>
      </c>
      <c r="F186" s="7" t="s">
        <v>17</v>
      </c>
      <c r="G186" s="5" t="s">
        <v>461</v>
      </c>
      <c r="H186" s="7" t="s">
        <v>16</v>
      </c>
      <c r="I186" s="7" t="s">
        <v>770</v>
      </c>
      <c r="J186" s="7" t="s">
        <v>16</v>
      </c>
      <c r="K186" s="7" t="s">
        <v>16</v>
      </c>
      <c r="L186" s="7" t="s">
        <v>16</v>
      </c>
      <c r="M186" s="10" t="s">
        <v>88</v>
      </c>
      <c r="N186" s="11" t="s">
        <v>771</v>
      </c>
      <c r="O186" s="5"/>
      <c r="P186" s="5"/>
      <c r="Q186" s="5"/>
      <c r="R186" s="5"/>
      <c r="S186" s="5"/>
      <c r="T186" s="5"/>
      <c r="U186" s="5"/>
      <c r="V186" s="5"/>
      <c r="W186" s="5"/>
      <c r="X186" s="5"/>
      <c r="Y186" s="5"/>
      <c r="Z186" s="5"/>
    </row>
    <row r="187">
      <c r="A187" s="34" t="s">
        <v>772</v>
      </c>
      <c r="B187" s="5" t="s">
        <v>14</v>
      </c>
      <c r="C187" s="7" t="s">
        <v>773</v>
      </c>
      <c r="D187" s="7" t="s">
        <v>16</v>
      </c>
      <c r="E187" s="8">
        <v>1.0</v>
      </c>
      <c r="F187" s="7" t="s">
        <v>17</v>
      </c>
      <c r="G187" s="5" t="s">
        <v>19</v>
      </c>
      <c r="H187" s="7" t="s">
        <v>16</v>
      </c>
      <c r="I187" s="7" t="s">
        <v>774</v>
      </c>
      <c r="J187" s="7" t="s">
        <v>16</v>
      </c>
      <c r="K187" s="7" t="s">
        <v>16</v>
      </c>
      <c r="L187" s="7" t="s">
        <v>16</v>
      </c>
      <c r="M187" s="10" t="s">
        <v>22</v>
      </c>
      <c r="N187" s="11" t="s">
        <v>775</v>
      </c>
      <c r="O187" s="5"/>
      <c r="P187" s="5"/>
      <c r="Q187" s="5"/>
      <c r="R187" s="5"/>
      <c r="S187" s="5"/>
      <c r="T187" s="5"/>
      <c r="U187" s="5"/>
      <c r="V187" s="5"/>
      <c r="W187" s="5"/>
      <c r="X187" s="5"/>
      <c r="Y187" s="5"/>
      <c r="Z187" s="5"/>
    </row>
    <row r="188">
      <c r="A188" s="34" t="s">
        <v>776</v>
      </c>
      <c r="B188" s="5" t="s">
        <v>14</v>
      </c>
      <c r="C188" s="7" t="s">
        <v>777</v>
      </c>
      <c r="D188" s="7" t="s">
        <v>16</v>
      </c>
      <c r="E188" s="8">
        <v>2.0</v>
      </c>
      <c r="F188" s="7" t="s">
        <v>17</v>
      </c>
      <c r="G188" s="5" t="s">
        <v>19</v>
      </c>
      <c r="H188" s="7" t="s">
        <v>16</v>
      </c>
      <c r="I188" s="7" t="s">
        <v>778</v>
      </c>
      <c r="J188" s="7" t="s">
        <v>16</v>
      </c>
      <c r="K188" s="7" t="s">
        <v>16</v>
      </c>
      <c r="L188" s="7" t="s">
        <v>16</v>
      </c>
      <c r="M188" s="10" t="s">
        <v>36</v>
      </c>
      <c r="N188" s="11" t="s">
        <v>779</v>
      </c>
      <c r="O188" s="5"/>
      <c r="P188" s="5"/>
      <c r="Q188" s="5"/>
      <c r="R188" s="5"/>
      <c r="S188" s="5"/>
      <c r="T188" s="5"/>
      <c r="U188" s="5"/>
      <c r="V188" s="5"/>
      <c r="W188" s="5"/>
      <c r="X188" s="5"/>
      <c r="Y188" s="5"/>
      <c r="Z188" s="5"/>
    </row>
    <row r="189">
      <c r="A189" s="34" t="s">
        <v>780</v>
      </c>
      <c r="B189" s="5" t="s">
        <v>14</v>
      </c>
      <c r="C189" s="7" t="s">
        <v>781</v>
      </c>
      <c r="D189" s="7" t="s">
        <v>16</v>
      </c>
      <c r="E189" s="8">
        <v>1.0</v>
      </c>
      <c r="F189" s="7" t="s">
        <v>105</v>
      </c>
      <c r="G189" s="5" t="s">
        <v>19</v>
      </c>
      <c r="H189" s="7" t="s">
        <v>16</v>
      </c>
      <c r="I189" s="7" t="s">
        <v>782</v>
      </c>
      <c r="J189" s="7" t="s">
        <v>16</v>
      </c>
      <c r="K189" s="7" t="s">
        <v>16</v>
      </c>
      <c r="L189" s="7" t="s">
        <v>16</v>
      </c>
      <c r="M189" s="10" t="s">
        <v>22</v>
      </c>
      <c r="N189" s="11" t="s">
        <v>783</v>
      </c>
      <c r="O189" s="5"/>
      <c r="P189" s="5"/>
      <c r="Q189" s="5"/>
      <c r="R189" s="5"/>
      <c r="S189" s="5"/>
      <c r="T189" s="5"/>
      <c r="U189" s="5"/>
      <c r="V189" s="5"/>
      <c r="W189" s="5"/>
      <c r="X189" s="5"/>
      <c r="Y189" s="5"/>
      <c r="Z189" s="5"/>
    </row>
    <row r="190">
      <c r="A190" s="34" t="s">
        <v>784</v>
      </c>
      <c r="B190" s="5" t="s">
        <v>14</v>
      </c>
      <c r="C190" s="7" t="s">
        <v>785</v>
      </c>
      <c r="D190" s="7" t="s">
        <v>16</v>
      </c>
      <c r="E190" s="8">
        <v>3.0</v>
      </c>
      <c r="F190" s="7" t="s">
        <v>105</v>
      </c>
      <c r="G190" s="5" t="s">
        <v>19</v>
      </c>
      <c r="H190" s="7" t="s">
        <v>16</v>
      </c>
      <c r="I190" s="7" t="s">
        <v>786</v>
      </c>
      <c r="J190" s="7" t="s">
        <v>16</v>
      </c>
      <c r="K190" s="7" t="s">
        <v>16</v>
      </c>
      <c r="L190" s="7" t="s">
        <v>16</v>
      </c>
      <c r="M190" s="10" t="s">
        <v>75</v>
      </c>
      <c r="N190" s="11" t="s">
        <v>787</v>
      </c>
      <c r="O190" s="5"/>
      <c r="P190" s="5"/>
      <c r="Q190" s="5"/>
      <c r="R190" s="5"/>
      <c r="S190" s="5"/>
      <c r="T190" s="5"/>
      <c r="U190" s="5"/>
      <c r="V190" s="5"/>
      <c r="W190" s="5"/>
      <c r="X190" s="5"/>
      <c r="Y190" s="5"/>
      <c r="Z190" s="5"/>
    </row>
    <row r="191">
      <c r="A191" s="34" t="s">
        <v>788</v>
      </c>
      <c r="B191" s="5" t="s">
        <v>14</v>
      </c>
      <c r="C191" s="7" t="s">
        <v>789</v>
      </c>
      <c r="D191" s="7" t="s">
        <v>16</v>
      </c>
      <c r="E191" s="8">
        <v>2.0</v>
      </c>
      <c r="F191" s="7" t="s">
        <v>17</v>
      </c>
      <c r="G191" s="5" t="s">
        <v>326</v>
      </c>
      <c r="H191" s="7" t="s">
        <v>16</v>
      </c>
      <c r="I191" s="7" t="s">
        <v>790</v>
      </c>
      <c r="J191" s="7" t="s">
        <v>16</v>
      </c>
      <c r="K191" s="7" t="s">
        <v>16</v>
      </c>
      <c r="L191" s="7" t="s">
        <v>16</v>
      </c>
      <c r="M191" s="10" t="s">
        <v>36</v>
      </c>
      <c r="N191" s="11" t="s">
        <v>791</v>
      </c>
      <c r="O191" s="5"/>
      <c r="P191" s="5"/>
      <c r="Q191" s="5"/>
      <c r="R191" s="5"/>
      <c r="S191" s="5"/>
      <c r="T191" s="5"/>
      <c r="U191" s="5"/>
      <c r="V191" s="5"/>
      <c r="W191" s="5"/>
      <c r="X191" s="5"/>
      <c r="Y191" s="5"/>
      <c r="Z191" s="5"/>
    </row>
    <row r="192">
      <c r="A192" s="34" t="s">
        <v>792</v>
      </c>
      <c r="B192" s="5" t="s">
        <v>14</v>
      </c>
      <c r="C192" s="7" t="s">
        <v>793</v>
      </c>
      <c r="D192" s="7" t="s">
        <v>16</v>
      </c>
      <c r="E192" s="8">
        <v>0.0</v>
      </c>
      <c r="F192" s="7" t="s">
        <v>105</v>
      </c>
      <c r="G192" s="5" t="s">
        <v>19</v>
      </c>
      <c r="H192" s="7" t="s">
        <v>16</v>
      </c>
      <c r="I192" s="7" t="s">
        <v>794</v>
      </c>
      <c r="J192" s="7" t="s">
        <v>16</v>
      </c>
      <c r="K192" s="7" t="s">
        <v>16</v>
      </c>
      <c r="L192" s="7" t="s">
        <v>16</v>
      </c>
      <c r="M192" s="10" t="s">
        <v>22</v>
      </c>
      <c r="N192" s="11" t="s">
        <v>795</v>
      </c>
      <c r="O192" s="5"/>
      <c r="P192" s="5"/>
      <c r="Q192" s="5"/>
      <c r="R192" s="5"/>
      <c r="S192" s="5"/>
      <c r="T192" s="5"/>
      <c r="U192" s="5"/>
      <c r="V192" s="5"/>
      <c r="W192" s="5"/>
      <c r="X192" s="5"/>
      <c r="Y192" s="5"/>
      <c r="Z192" s="5"/>
    </row>
    <row r="193">
      <c r="A193" s="34" t="s">
        <v>796</v>
      </c>
      <c r="B193" s="5" t="s">
        <v>14</v>
      </c>
      <c r="C193" s="7" t="s">
        <v>797</v>
      </c>
      <c r="D193" s="7" t="s">
        <v>16</v>
      </c>
      <c r="E193" s="8">
        <v>2.0</v>
      </c>
      <c r="F193" s="7" t="s">
        <v>17</v>
      </c>
      <c r="G193" s="5" t="s">
        <v>19</v>
      </c>
      <c r="H193" s="7" t="s">
        <v>16</v>
      </c>
      <c r="I193" s="7" t="s">
        <v>798</v>
      </c>
      <c r="J193" s="7" t="s">
        <v>16</v>
      </c>
      <c r="K193" s="7" t="s">
        <v>16</v>
      </c>
      <c r="L193" s="7" t="s">
        <v>16</v>
      </c>
      <c r="M193" s="10" t="s">
        <v>36</v>
      </c>
      <c r="N193" s="11" t="s">
        <v>799</v>
      </c>
      <c r="O193" s="5"/>
      <c r="P193" s="5"/>
      <c r="Q193" s="5"/>
      <c r="R193" s="5"/>
      <c r="S193" s="5"/>
      <c r="T193" s="5"/>
      <c r="U193" s="5"/>
      <c r="V193" s="5"/>
      <c r="W193" s="5"/>
      <c r="X193" s="5"/>
      <c r="Y193" s="5"/>
      <c r="Z193" s="5"/>
    </row>
    <row r="194">
      <c r="A194" s="34" t="s">
        <v>800</v>
      </c>
      <c r="B194" s="5" t="s">
        <v>14</v>
      </c>
      <c r="C194" s="7" t="s">
        <v>801</v>
      </c>
      <c r="D194" s="7" t="s">
        <v>16</v>
      </c>
      <c r="E194" s="8">
        <v>1.0</v>
      </c>
      <c r="F194" s="7" t="s">
        <v>105</v>
      </c>
      <c r="G194" s="5" t="s">
        <v>19</v>
      </c>
      <c r="H194" s="7" t="s">
        <v>16</v>
      </c>
      <c r="I194" s="7" t="s">
        <v>802</v>
      </c>
      <c r="J194" s="7" t="s">
        <v>16</v>
      </c>
      <c r="K194" s="7" t="s">
        <v>16</v>
      </c>
      <c r="L194" s="7" t="s">
        <v>16</v>
      </c>
      <c r="M194" s="5" t="s">
        <v>22</v>
      </c>
      <c r="N194" s="11" t="s">
        <v>803</v>
      </c>
      <c r="O194" s="5"/>
      <c r="P194" s="5"/>
      <c r="Q194" s="5"/>
      <c r="R194" s="5"/>
      <c r="S194" s="5"/>
      <c r="T194" s="5"/>
      <c r="U194" s="5"/>
      <c r="V194" s="5"/>
      <c r="W194" s="5"/>
      <c r="X194" s="5"/>
      <c r="Y194" s="5"/>
      <c r="Z194" s="5"/>
    </row>
    <row r="195">
      <c r="A195" s="34" t="s">
        <v>804</v>
      </c>
      <c r="B195" s="5" t="s">
        <v>14</v>
      </c>
      <c r="C195" s="7" t="s">
        <v>805</v>
      </c>
      <c r="D195" s="7" t="s">
        <v>16</v>
      </c>
      <c r="E195" s="8">
        <v>2.0</v>
      </c>
      <c r="F195" s="7" t="s">
        <v>17</v>
      </c>
      <c r="G195" s="5" t="s">
        <v>461</v>
      </c>
      <c r="H195" s="7" t="s">
        <v>16</v>
      </c>
      <c r="I195" s="7" t="s">
        <v>806</v>
      </c>
      <c r="J195" s="7" t="s">
        <v>16</v>
      </c>
      <c r="K195" s="7" t="s">
        <v>16</v>
      </c>
      <c r="L195" s="7" t="s">
        <v>16</v>
      </c>
      <c r="M195" s="10" t="s">
        <v>36</v>
      </c>
      <c r="N195" s="11" t="s">
        <v>807</v>
      </c>
      <c r="O195" s="5"/>
      <c r="P195" s="5"/>
      <c r="Q195" s="5"/>
      <c r="R195" s="5"/>
      <c r="S195" s="5"/>
      <c r="T195" s="5"/>
      <c r="U195" s="5"/>
      <c r="V195" s="5"/>
      <c r="W195" s="5"/>
      <c r="X195" s="5"/>
      <c r="Y195" s="5"/>
      <c r="Z195" s="5"/>
    </row>
    <row r="196">
      <c r="A196" s="34" t="s">
        <v>808</v>
      </c>
      <c r="B196" s="5" t="s">
        <v>14</v>
      </c>
      <c r="C196" s="7" t="s">
        <v>809</v>
      </c>
      <c r="D196" s="7" t="s">
        <v>16</v>
      </c>
      <c r="E196" s="8">
        <v>0.0</v>
      </c>
      <c r="F196" s="7" t="s">
        <v>105</v>
      </c>
      <c r="G196" s="5" t="s">
        <v>19</v>
      </c>
      <c r="H196" s="7" t="s">
        <v>16</v>
      </c>
      <c r="I196" s="7" t="s">
        <v>810</v>
      </c>
      <c r="J196" s="7" t="s">
        <v>16</v>
      </c>
      <c r="K196" s="7" t="s">
        <v>16</v>
      </c>
      <c r="L196" s="7" t="s">
        <v>16</v>
      </c>
      <c r="M196" s="10" t="s">
        <v>22</v>
      </c>
      <c r="N196" s="11" t="s">
        <v>811</v>
      </c>
      <c r="O196" s="5"/>
      <c r="P196" s="5"/>
      <c r="Q196" s="5"/>
      <c r="R196" s="5"/>
      <c r="S196" s="5"/>
      <c r="T196" s="5"/>
      <c r="U196" s="5"/>
      <c r="V196" s="5"/>
      <c r="W196" s="5"/>
      <c r="X196" s="5"/>
      <c r="Y196" s="5"/>
      <c r="Z196" s="5"/>
    </row>
    <row r="197">
      <c r="A197" s="34" t="s">
        <v>812</v>
      </c>
      <c r="B197" s="5" t="s">
        <v>14</v>
      </c>
      <c r="C197" s="7" t="s">
        <v>813</v>
      </c>
      <c r="D197" s="7" t="s">
        <v>16</v>
      </c>
      <c r="E197" s="8">
        <v>1.0</v>
      </c>
      <c r="F197" s="7" t="s">
        <v>105</v>
      </c>
      <c r="G197" s="5" t="s">
        <v>19</v>
      </c>
      <c r="H197" s="7" t="s">
        <v>16</v>
      </c>
      <c r="I197" s="7" t="s">
        <v>814</v>
      </c>
      <c r="J197" s="7" t="s">
        <v>16</v>
      </c>
      <c r="K197" s="7" t="s">
        <v>16</v>
      </c>
      <c r="L197" s="7" t="s">
        <v>16</v>
      </c>
      <c r="M197" s="10" t="s">
        <v>22</v>
      </c>
      <c r="N197" s="11" t="s">
        <v>815</v>
      </c>
      <c r="O197" s="5"/>
      <c r="P197" s="5"/>
      <c r="Q197" s="5"/>
      <c r="R197" s="5"/>
      <c r="S197" s="5"/>
      <c r="T197" s="5"/>
      <c r="U197" s="5"/>
      <c r="V197" s="5"/>
      <c r="W197" s="5"/>
      <c r="X197" s="5"/>
      <c r="Y197" s="5"/>
      <c r="Z197" s="5"/>
    </row>
    <row r="198">
      <c r="A198" s="17" t="s">
        <v>816</v>
      </c>
      <c r="B198" s="5" t="s">
        <v>14</v>
      </c>
      <c r="C198" s="7" t="s">
        <v>817</v>
      </c>
      <c r="D198" s="7" t="s">
        <v>16</v>
      </c>
      <c r="E198" s="8">
        <v>0.0</v>
      </c>
      <c r="F198" s="7" t="s">
        <v>17</v>
      </c>
      <c r="G198" s="5" t="s">
        <v>19</v>
      </c>
      <c r="H198" s="7" t="s">
        <v>16</v>
      </c>
      <c r="I198" s="7" t="s">
        <v>818</v>
      </c>
      <c r="J198" s="7" t="s">
        <v>16</v>
      </c>
      <c r="K198" s="7" t="s">
        <v>16</v>
      </c>
      <c r="L198" s="7" t="s">
        <v>16</v>
      </c>
      <c r="M198" s="31" t="s">
        <v>22</v>
      </c>
      <c r="N198" s="32" t="s">
        <v>819</v>
      </c>
      <c r="O198" s="5"/>
      <c r="P198" s="5"/>
      <c r="Q198" s="5"/>
      <c r="R198" s="5"/>
      <c r="S198" s="5"/>
      <c r="T198" s="5"/>
      <c r="U198" s="5"/>
      <c r="V198" s="5"/>
      <c r="W198" s="5"/>
      <c r="X198" s="5"/>
      <c r="Y198" s="5"/>
      <c r="Z198" s="5"/>
    </row>
    <row r="199">
      <c r="A199" s="17" t="s">
        <v>820</v>
      </c>
      <c r="B199" s="5" t="s">
        <v>14</v>
      </c>
      <c r="C199" s="7" t="s">
        <v>821</v>
      </c>
      <c r="D199" s="7" t="s">
        <v>16</v>
      </c>
      <c r="E199" s="8">
        <v>0.0</v>
      </c>
      <c r="F199" s="7" t="s">
        <v>17</v>
      </c>
      <c r="G199" s="5" t="s">
        <v>19</v>
      </c>
      <c r="H199" s="7" t="s">
        <v>822</v>
      </c>
      <c r="I199" s="7" t="s">
        <v>823</v>
      </c>
      <c r="J199" s="7" t="s">
        <v>16</v>
      </c>
      <c r="K199" s="7" t="s">
        <v>16</v>
      </c>
      <c r="L199" s="7" t="s">
        <v>16</v>
      </c>
      <c r="M199" s="10" t="s">
        <v>75</v>
      </c>
      <c r="N199" s="11" t="s">
        <v>824</v>
      </c>
      <c r="O199" s="5"/>
      <c r="P199" s="5"/>
      <c r="Q199" s="5"/>
      <c r="R199" s="5"/>
      <c r="S199" s="5"/>
      <c r="T199" s="5"/>
      <c r="U199" s="5"/>
      <c r="V199" s="5"/>
      <c r="W199" s="5"/>
      <c r="X199" s="5"/>
      <c r="Y199" s="5"/>
      <c r="Z199" s="5"/>
    </row>
    <row r="200">
      <c r="A200" s="17" t="s">
        <v>820</v>
      </c>
      <c r="B200" s="7" t="s">
        <v>14</v>
      </c>
      <c r="C200" s="7" t="s">
        <v>821</v>
      </c>
      <c r="D200" s="7" t="s">
        <v>16</v>
      </c>
      <c r="E200" s="8">
        <v>0.0</v>
      </c>
      <c r="F200" s="7" t="s">
        <v>17</v>
      </c>
      <c r="G200" s="5" t="s">
        <v>726</v>
      </c>
      <c r="H200" s="7" t="s">
        <v>822</v>
      </c>
      <c r="I200" s="7" t="s">
        <v>825</v>
      </c>
      <c r="J200" s="7" t="s">
        <v>16</v>
      </c>
      <c r="K200" s="7" t="s">
        <v>16</v>
      </c>
      <c r="L200" s="7" t="s">
        <v>16</v>
      </c>
      <c r="M200" s="10" t="s">
        <v>75</v>
      </c>
      <c r="N200" s="11" t="s">
        <v>824</v>
      </c>
      <c r="O200" s="5"/>
      <c r="P200" s="5"/>
      <c r="Q200" s="5"/>
      <c r="R200" s="5"/>
      <c r="S200" s="5"/>
      <c r="T200" s="5"/>
      <c r="U200" s="5"/>
      <c r="V200" s="5"/>
      <c r="W200" s="5"/>
      <c r="X200" s="5"/>
      <c r="Y200" s="5"/>
      <c r="Z200" s="5"/>
    </row>
    <row r="201">
      <c r="A201" s="17" t="s">
        <v>826</v>
      </c>
      <c r="B201" s="7" t="s">
        <v>14</v>
      </c>
      <c r="C201" s="7" t="s">
        <v>827</v>
      </c>
      <c r="D201" s="7" t="s">
        <v>16</v>
      </c>
      <c r="E201" s="8">
        <v>0.0</v>
      </c>
      <c r="F201" s="7" t="s">
        <v>105</v>
      </c>
      <c r="G201" s="5" t="s">
        <v>19</v>
      </c>
      <c r="H201" s="7" t="s">
        <v>16</v>
      </c>
      <c r="I201" s="7" t="s">
        <v>828</v>
      </c>
      <c r="J201" s="7" t="s">
        <v>16</v>
      </c>
      <c r="K201" s="7" t="s">
        <v>16</v>
      </c>
      <c r="L201" s="7" t="s">
        <v>16</v>
      </c>
      <c r="M201" s="10" t="s">
        <v>22</v>
      </c>
      <c r="N201" s="11" t="s">
        <v>829</v>
      </c>
      <c r="O201" s="5"/>
      <c r="P201" s="5"/>
      <c r="Q201" s="5"/>
      <c r="R201" s="5"/>
      <c r="S201" s="5"/>
      <c r="T201" s="5"/>
      <c r="U201" s="5"/>
      <c r="V201" s="5"/>
      <c r="W201" s="5"/>
      <c r="X201" s="5"/>
      <c r="Y201" s="5"/>
      <c r="Z201" s="5"/>
    </row>
    <row r="202">
      <c r="A202" s="17" t="s">
        <v>830</v>
      </c>
      <c r="B202" s="7" t="s">
        <v>14</v>
      </c>
      <c r="C202" s="7" t="s">
        <v>831</v>
      </c>
      <c r="D202" s="7" t="s">
        <v>16</v>
      </c>
      <c r="E202" s="8">
        <v>0.0</v>
      </c>
      <c r="F202" s="7" t="s">
        <v>17</v>
      </c>
      <c r="G202" s="5" t="s">
        <v>19</v>
      </c>
      <c r="H202" s="7" t="s">
        <v>16</v>
      </c>
      <c r="I202" s="7" t="s">
        <v>832</v>
      </c>
      <c r="J202" s="7" t="s">
        <v>16</v>
      </c>
      <c r="K202" s="7" t="s">
        <v>16</v>
      </c>
      <c r="L202" s="7" t="s">
        <v>16</v>
      </c>
      <c r="M202" s="10" t="s">
        <v>22</v>
      </c>
      <c r="N202" s="11" t="s">
        <v>833</v>
      </c>
      <c r="O202" s="5"/>
      <c r="P202" s="5"/>
      <c r="Q202" s="5"/>
      <c r="R202" s="5"/>
      <c r="S202" s="5"/>
      <c r="T202" s="5"/>
      <c r="U202" s="5"/>
      <c r="V202" s="5"/>
      <c r="W202" s="5"/>
      <c r="X202" s="5"/>
      <c r="Y202" s="5"/>
      <c r="Z202" s="5"/>
    </row>
    <row r="203">
      <c r="A203" s="17" t="s">
        <v>834</v>
      </c>
      <c r="B203" s="5" t="s">
        <v>14</v>
      </c>
      <c r="C203" s="7" t="s">
        <v>835</v>
      </c>
      <c r="D203" s="7" t="s">
        <v>16</v>
      </c>
      <c r="E203" s="8">
        <v>3.0</v>
      </c>
      <c r="F203" s="7" t="s">
        <v>17</v>
      </c>
      <c r="G203" s="5" t="s">
        <v>461</v>
      </c>
      <c r="H203" s="7" t="s">
        <v>822</v>
      </c>
      <c r="I203" s="7" t="s">
        <v>836</v>
      </c>
      <c r="J203" s="7" t="s">
        <v>16</v>
      </c>
      <c r="K203" s="7" t="s">
        <v>16</v>
      </c>
      <c r="L203" s="7" t="s">
        <v>16</v>
      </c>
      <c r="M203" s="10" t="s">
        <v>75</v>
      </c>
      <c r="N203" s="11" t="s">
        <v>837</v>
      </c>
      <c r="O203" s="5"/>
      <c r="P203" s="5"/>
      <c r="Q203" s="5"/>
      <c r="R203" s="5"/>
      <c r="S203" s="5"/>
      <c r="T203" s="5"/>
      <c r="U203" s="5"/>
      <c r="V203" s="5"/>
      <c r="W203" s="5"/>
      <c r="X203" s="5"/>
      <c r="Y203" s="5"/>
      <c r="Z203" s="5"/>
    </row>
    <row r="204">
      <c r="A204" s="17" t="s">
        <v>838</v>
      </c>
      <c r="B204" s="5" t="s">
        <v>14</v>
      </c>
      <c r="C204" s="7" t="s">
        <v>839</v>
      </c>
      <c r="D204" s="7" t="s">
        <v>16</v>
      </c>
      <c r="E204" s="8">
        <v>1.0</v>
      </c>
      <c r="F204" s="7" t="s">
        <v>105</v>
      </c>
      <c r="G204" s="5" t="s">
        <v>19</v>
      </c>
      <c r="H204" s="7" t="s">
        <v>16</v>
      </c>
      <c r="I204" s="7" t="s">
        <v>840</v>
      </c>
      <c r="J204" s="7" t="s">
        <v>16</v>
      </c>
      <c r="K204" s="7" t="s">
        <v>16</v>
      </c>
      <c r="L204" s="7" t="s">
        <v>16</v>
      </c>
      <c r="M204" s="10" t="s">
        <v>88</v>
      </c>
      <c r="N204" s="11" t="s">
        <v>841</v>
      </c>
      <c r="O204" s="5"/>
      <c r="P204" s="5"/>
      <c r="Q204" s="5"/>
      <c r="R204" s="5"/>
      <c r="S204" s="5"/>
      <c r="T204" s="5"/>
      <c r="U204" s="5"/>
      <c r="V204" s="5"/>
      <c r="W204" s="5"/>
      <c r="X204" s="5"/>
      <c r="Y204" s="5"/>
      <c r="Z204" s="5"/>
    </row>
    <row r="205">
      <c r="A205" s="17" t="s">
        <v>842</v>
      </c>
      <c r="B205" s="5" t="s">
        <v>14</v>
      </c>
      <c r="C205" s="7" t="s">
        <v>843</v>
      </c>
      <c r="D205" s="7" t="s">
        <v>16</v>
      </c>
      <c r="E205" s="8">
        <v>3.0</v>
      </c>
      <c r="F205" s="7" t="s">
        <v>17</v>
      </c>
      <c r="G205" s="5" t="s">
        <v>461</v>
      </c>
      <c r="H205" s="7" t="s">
        <v>822</v>
      </c>
      <c r="I205" s="7" t="s">
        <v>844</v>
      </c>
      <c r="J205" s="7" t="s">
        <v>16</v>
      </c>
      <c r="K205" s="7" t="s">
        <v>16</v>
      </c>
      <c r="L205" s="7" t="s">
        <v>16</v>
      </c>
      <c r="M205" s="10" t="s">
        <v>75</v>
      </c>
      <c r="N205" s="11" t="s">
        <v>845</v>
      </c>
      <c r="O205" s="5"/>
      <c r="P205" s="5"/>
      <c r="Q205" s="5"/>
      <c r="R205" s="5"/>
      <c r="S205" s="5"/>
      <c r="T205" s="5"/>
      <c r="U205" s="5"/>
      <c r="V205" s="5"/>
      <c r="W205" s="5"/>
      <c r="X205" s="5"/>
      <c r="Y205" s="5"/>
      <c r="Z205" s="5"/>
    </row>
    <row r="206">
      <c r="A206" s="17" t="s">
        <v>846</v>
      </c>
      <c r="B206" s="5" t="s">
        <v>14</v>
      </c>
      <c r="C206" s="7" t="s">
        <v>847</v>
      </c>
      <c r="D206" s="7" t="s">
        <v>16</v>
      </c>
      <c r="E206" s="8">
        <v>3.0</v>
      </c>
      <c r="F206" s="7" t="s">
        <v>172</v>
      </c>
      <c r="G206" s="5" t="s">
        <v>19</v>
      </c>
      <c r="H206" s="7" t="s">
        <v>16</v>
      </c>
      <c r="I206" s="7" t="s">
        <v>848</v>
      </c>
      <c r="J206" s="7" t="s">
        <v>16</v>
      </c>
      <c r="K206" s="7" t="s">
        <v>16</v>
      </c>
      <c r="L206" s="7" t="s">
        <v>16</v>
      </c>
      <c r="M206" s="31" t="s">
        <v>36</v>
      </c>
      <c r="N206" s="32" t="s">
        <v>849</v>
      </c>
      <c r="O206" s="5"/>
      <c r="P206" s="5"/>
      <c r="Q206" s="5"/>
      <c r="R206" s="5"/>
      <c r="S206" s="5"/>
      <c r="T206" s="5"/>
      <c r="U206" s="5"/>
      <c r="V206" s="5"/>
      <c r="W206" s="5"/>
      <c r="X206" s="5"/>
      <c r="Y206" s="5"/>
      <c r="Z206" s="5"/>
    </row>
    <row r="207">
      <c r="A207" s="17" t="s">
        <v>850</v>
      </c>
      <c r="B207" s="5" t="s">
        <v>14</v>
      </c>
      <c r="C207" s="7" t="s">
        <v>851</v>
      </c>
      <c r="D207" s="7" t="s">
        <v>16</v>
      </c>
      <c r="E207" s="8">
        <v>2.0</v>
      </c>
      <c r="F207" s="7" t="s">
        <v>17</v>
      </c>
      <c r="G207" s="5" t="s">
        <v>19</v>
      </c>
      <c r="H207" s="7" t="s">
        <v>16</v>
      </c>
      <c r="I207" s="7" t="s">
        <v>852</v>
      </c>
      <c r="J207" s="7" t="s">
        <v>16</v>
      </c>
      <c r="K207" s="7" t="s">
        <v>16</v>
      </c>
      <c r="L207" s="7" t="s">
        <v>16</v>
      </c>
      <c r="M207" s="10" t="s">
        <v>22</v>
      </c>
      <c r="N207" s="11" t="s">
        <v>853</v>
      </c>
      <c r="O207" s="5"/>
      <c r="P207" s="5"/>
      <c r="Q207" s="5"/>
      <c r="R207" s="5"/>
      <c r="S207" s="5"/>
      <c r="T207" s="5"/>
      <c r="U207" s="5"/>
      <c r="V207" s="5"/>
      <c r="W207" s="5"/>
      <c r="X207" s="5"/>
      <c r="Y207" s="5"/>
      <c r="Z207" s="5"/>
    </row>
    <row r="208">
      <c r="A208" s="17" t="s">
        <v>854</v>
      </c>
      <c r="B208" s="5" t="s">
        <v>14</v>
      </c>
      <c r="C208" s="7" t="s">
        <v>855</v>
      </c>
      <c r="D208" s="7" t="s">
        <v>16</v>
      </c>
      <c r="E208" s="8">
        <v>3.0</v>
      </c>
      <c r="F208" s="7" t="s">
        <v>17</v>
      </c>
      <c r="G208" s="5" t="s">
        <v>461</v>
      </c>
      <c r="H208" s="7" t="s">
        <v>822</v>
      </c>
      <c r="I208" s="7" t="s">
        <v>856</v>
      </c>
      <c r="J208" s="7" t="s">
        <v>16</v>
      </c>
      <c r="K208" s="7" t="s">
        <v>16</v>
      </c>
      <c r="L208" s="7" t="s">
        <v>16</v>
      </c>
      <c r="M208" s="10" t="s">
        <v>75</v>
      </c>
      <c r="N208" s="11" t="s">
        <v>857</v>
      </c>
      <c r="O208" s="5"/>
      <c r="P208" s="5"/>
      <c r="Q208" s="5"/>
      <c r="R208" s="5"/>
      <c r="S208" s="5"/>
      <c r="T208" s="5"/>
      <c r="U208" s="5"/>
      <c r="V208" s="5"/>
      <c r="W208" s="5"/>
      <c r="X208" s="5"/>
      <c r="Y208" s="5"/>
      <c r="Z208" s="5"/>
    </row>
    <row r="209">
      <c r="A209" s="17" t="s">
        <v>858</v>
      </c>
      <c r="B209" s="5" t="s">
        <v>14</v>
      </c>
      <c r="C209" s="7" t="s">
        <v>859</v>
      </c>
      <c r="D209" s="7" t="s">
        <v>16</v>
      </c>
      <c r="E209" s="8">
        <v>3.0</v>
      </c>
      <c r="F209" s="7" t="s">
        <v>17</v>
      </c>
      <c r="G209" s="5" t="s">
        <v>19</v>
      </c>
      <c r="H209" s="7" t="s">
        <v>16</v>
      </c>
      <c r="I209" s="7" t="s">
        <v>860</v>
      </c>
      <c r="J209" s="7" t="s">
        <v>16</v>
      </c>
      <c r="K209" s="7" t="s">
        <v>16</v>
      </c>
      <c r="L209" s="7" t="s">
        <v>16</v>
      </c>
      <c r="M209" s="31" t="s">
        <v>88</v>
      </c>
      <c r="N209" s="32" t="s">
        <v>861</v>
      </c>
      <c r="O209" s="5"/>
      <c r="P209" s="5"/>
      <c r="Q209" s="5"/>
      <c r="R209" s="5"/>
      <c r="S209" s="5"/>
      <c r="T209" s="5"/>
      <c r="U209" s="5"/>
      <c r="V209" s="5"/>
      <c r="W209" s="5"/>
      <c r="X209" s="5"/>
      <c r="Y209" s="5"/>
      <c r="Z209" s="5"/>
    </row>
    <row r="210">
      <c r="A210" s="17" t="s">
        <v>862</v>
      </c>
      <c r="B210" s="5" t="s">
        <v>14</v>
      </c>
      <c r="C210" s="7" t="s">
        <v>863</v>
      </c>
      <c r="D210" s="7" t="s">
        <v>16</v>
      </c>
      <c r="E210" s="8">
        <v>3.0</v>
      </c>
      <c r="F210" s="7" t="s">
        <v>17</v>
      </c>
      <c r="G210" s="5" t="s">
        <v>461</v>
      </c>
      <c r="H210" s="7" t="s">
        <v>822</v>
      </c>
      <c r="I210" s="7" t="s">
        <v>864</v>
      </c>
      <c r="J210" s="7" t="s">
        <v>16</v>
      </c>
      <c r="K210" s="7" t="s">
        <v>16</v>
      </c>
      <c r="L210" s="7" t="s">
        <v>16</v>
      </c>
      <c r="M210" s="31" t="s">
        <v>75</v>
      </c>
      <c r="N210" s="32" t="s">
        <v>865</v>
      </c>
      <c r="O210" s="5"/>
      <c r="P210" s="5"/>
      <c r="Q210" s="5"/>
      <c r="R210" s="5"/>
      <c r="S210" s="5"/>
      <c r="T210" s="5"/>
      <c r="U210" s="5"/>
      <c r="V210" s="5"/>
      <c r="W210" s="5"/>
      <c r="X210" s="5"/>
      <c r="Y210" s="5"/>
      <c r="Z210" s="5"/>
    </row>
    <row r="211">
      <c r="A211" s="17" t="s">
        <v>866</v>
      </c>
      <c r="B211" s="5" t="s">
        <v>14</v>
      </c>
      <c r="C211" s="7" t="s">
        <v>867</v>
      </c>
      <c r="D211" s="7" t="s">
        <v>16</v>
      </c>
      <c r="E211" s="8">
        <v>1.0</v>
      </c>
      <c r="F211" s="7" t="s">
        <v>17</v>
      </c>
      <c r="G211" s="5" t="s">
        <v>19</v>
      </c>
      <c r="H211" s="7" t="s">
        <v>16</v>
      </c>
      <c r="I211" s="7" t="s">
        <v>868</v>
      </c>
      <c r="J211" s="7" t="s">
        <v>16</v>
      </c>
      <c r="K211" s="7" t="s">
        <v>16</v>
      </c>
      <c r="L211" s="7" t="s">
        <v>16</v>
      </c>
      <c r="M211" s="31" t="s">
        <v>22</v>
      </c>
      <c r="N211" s="32" t="s">
        <v>869</v>
      </c>
      <c r="O211" s="5"/>
      <c r="P211" s="5"/>
      <c r="Q211" s="5"/>
      <c r="R211" s="5"/>
      <c r="S211" s="5"/>
      <c r="T211" s="5"/>
      <c r="U211" s="5"/>
      <c r="V211" s="5"/>
      <c r="W211" s="5"/>
      <c r="X211" s="5"/>
      <c r="Y211" s="5"/>
      <c r="Z211" s="5"/>
    </row>
    <row r="212">
      <c r="A212" s="17" t="s">
        <v>870</v>
      </c>
      <c r="B212" s="5" t="s">
        <v>14</v>
      </c>
      <c r="C212" s="7" t="s">
        <v>871</v>
      </c>
      <c r="D212" s="7" t="s">
        <v>16</v>
      </c>
      <c r="E212" s="8">
        <v>1.0</v>
      </c>
      <c r="F212" s="7" t="s">
        <v>105</v>
      </c>
      <c r="G212" s="5" t="s">
        <v>19</v>
      </c>
      <c r="H212" s="7" t="s">
        <v>16</v>
      </c>
      <c r="I212" s="7" t="s">
        <v>872</v>
      </c>
      <c r="J212" s="7" t="s">
        <v>16</v>
      </c>
      <c r="K212" s="7" t="s">
        <v>16</v>
      </c>
      <c r="L212" s="7" t="s">
        <v>16</v>
      </c>
      <c r="M212" s="31" t="s">
        <v>88</v>
      </c>
      <c r="N212" s="32" t="s">
        <v>873</v>
      </c>
      <c r="O212" s="5"/>
      <c r="P212" s="5"/>
      <c r="Q212" s="5"/>
      <c r="R212" s="5"/>
      <c r="S212" s="5"/>
      <c r="T212" s="5"/>
      <c r="U212" s="5"/>
      <c r="V212" s="5"/>
      <c r="W212" s="5"/>
      <c r="X212" s="5"/>
      <c r="Y212" s="5"/>
      <c r="Z212" s="5"/>
    </row>
    <row r="213">
      <c r="A213" s="17" t="s">
        <v>874</v>
      </c>
      <c r="B213" s="5" t="s">
        <v>14</v>
      </c>
      <c r="C213" s="7" t="s">
        <v>875</v>
      </c>
      <c r="D213" s="7" t="s">
        <v>16</v>
      </c>
      <c r="E213" s="8">
        <v>2.0</v>
      </c>
      <c r="F213" s="7" t="s">
        <v>105</v>
      </c>
      <c r="G213" s="5" t="s">
        <v>461</v>
      </c>
      <c r="H213" s="7" t="s">
        <v>16</v>
      </c>
      <c r="I213" s="7" t="s">
        <v>876</v>
      </c>
      <c r="J213" s="7" t="s">
        <v>16</v>
      </c>
      <c r="K213" s="7" t="s">
        <v>16</v>
      </c>
      <c r="L213" s="7" t="s">
        <v>16</v>
      </c>
      <c r="M213" s="31" t="s">
        <v>88</v>
      </c>
      <c r="N213" s="32" t="s">
        <v>877</v>
      </c>
      <c r="O213" s="5"/>
      <c r="P213" s="5"/>
      <c r="Q213" s="5"/>
      <c r="R213" s="5"/>
      <c r="S213" s="5"/>
      <c r="T213" s="5"/>
      <c r="U213" s="5"/>
      <c r="V213" s="5"/>
      <c r="W213" s="5"/>
      <c r="X213" s="5"/>
      <c r="Y213" s="5"/>
      <c r="Z213" s="5"/>
    </row>
    <row r="214">
      <c r="A214" s="17" t="s">
        <v>878</v>
      </c>
      <c r="B214" s="7" t="s">
        <v>14</v>
      </c>
      <c r="C214" s="7" t="s">
        <v>879</v>
      </c>
      <c r="D214" s="7" t="s">
        <v>16</v>
      </c>
      <c r="E214" s="8">
        <v>0.0</v>
      </c>
      <c r="F214" s="7" t="s">
        <v>17</v>
      </c>
      <c r="G214" s="5" t="s">
        <v>326</v>
      </c>
      <c r="H214" s="7" t="s">
        <v>16</v>
      </c>
      <c r="I214" s="7" t="s">
        <v>880</v>
      </c>
      <c r="J214" s="7" t="s">
        <v>16</v>
      </c>
      <c r="K214" s="7" t="s">
        <v>16</v>
      </c>
      <c r="L214" s="7" t="s">
        <v>16</v>
      </c>
      <c r="M214" s="10" t="s">
        <v>75</v>
      </c>
      <c r="N214" s="11" t="s">
        <v>881</v>
      </c>
      <c r="O214" s="5"/>
      <c r="P214" s="5"/>
      <c r="Q214" s="5"/>
      <c r="R214" s="5"/>
      <c r="S214" s="5"/>
      <c r="T214" s="5"/>
      <c r="U214" s="5"/>
      <c r="V214" s="5"/>
      <c r="W214" s="5"/>
      <c r="X214" s="5"/>
      <c r="Y214" s="5"/>
      <c r="Z214" s="5"/>
    </row>
    <row r="215">
      <c r="A215" s="17" t="s">
        <v>882</v>
      </c>
      <c r="B215" s="7" t="s">
        <v>14</v>
      </c>
      <c r="C215" s="7" t="s">
        <v>883</v>
      </c>
      <c r="D215" s="7" t="s">
        <v>16</v>
      </c>
      <c r="E215" s="8">
        <v>1.0</v>
      </c>
      <c r="F215" s="7" t="s">
        <v>105</v>
      </c>
      <c r="G215" s="5" t="s">
        <v>461</v>
      </c>
      <c r="H215" s="7" t="s">
        <v>16</v>
      </c>
      <c r="I215" s="7" t="s">
        <v>884</v>
      </c>
      <c r="J215" s="7" t="s">
        <v>16</v>
      </c>
      <c r="K215" s="7" t="s">
        <v>16</v>
      </c>
      <c r="L215" s="7" t="s">
        <v>16</v>
      </c>
      <c r="M215" s="10" t="s">
        <v>88</v>
      </c>
      <c r="N215" s="11" t="s">
        <v>885</v>
      </c>
      <c r="O215" s="5"/>
      <c r="P215" s="5"/>
      <c r="Q215" s="5"/>
      <c r="R215" s="5"/>
      <c r="S215" s="5"/>
      <c r="T215" s="5"/>
      <c r="U215" s="5"/>
      <c r="V215" s="5"/>
      <c r="W215" s="5"/>
      <c r="X215" s="5"/>
      <c r="Y215" s="5"/>
      <c r="Z215" s="5"/>
    </row>
    <row r="216">
      <c r="A216" s="17" t="s">
        <v>886</v>
      </c>
      <c r="B216" s="7" t="s">
        <v>14</v>
      </c>
      <c r="C216" s="7" t="s">
        <v>887</v>
      </c>
      <c r="D216" s="7" t="s">
        <v>16</v>
      </c>
      <c r="E216" s="8">
        <v>5.0</v>
      </c>
      <c r="F216" s="7" t="s">
        <v>17</v>
      </c>
      <c r="G216" s="5" t="s">
        <v>326</v>
      </c>
      <c r="H216" s="7" t="s">
        <v>16</v>
      </c>
      <c r="I216" s="7" t="s">
        <v>888</v>
      </c>
      <c r="J216" s="7" t="s">
        <v>16</v>
      </c>
      <c r="K216" s="7" t="s">
        <v>16</v>
      </c>
      <c r="L216" s="7" t="s">
        <v>16</v>
      </c>
      <c r="M216" s="10" t="s">
        <v>88</v>
      </c>
      <c r="N216" s="11" t="s">
        <v>889</v>
      </c>
      <c r="O216" s="5"/>
      <c r="P216" s="5"/>
      <c r="Q216" s="5"/>
      <c r="R216" s="5"/>
      <c r="S216" s="5"/>
      <c r="T216" s="5"/>
      <c r="U216" s="5"/>
      <c r="V216" s="5"/>
      <c r="W216" s="5"/>
      <c r="X216" s="5"/>
      <c r="Y216" s="5"/>
      <c r="Z216" s="5"/>
    </row>
    <row r="217">
      <c r="A217" s="17" t="s">
        <v>890</v>
      </c>
      <c r="B217" s="7" t="s">
        <v>14</v>
      </c>
      <c r="C217" s="7" t="s">
        <v>891</v>
      </c>
      <c r="D217" s="7" t="s">
        <v>16</v>
      </c>
      <c r="E217" s="8">
        <v>2.0</v>
      </c>
      <c r="F217" s="7" t="s">
        <v>17</v>
      </c>
      <c r="G217" s="7" t="s">
        <v>461</v>
      </c>
      <c r="H217" s="7" t="s">
        <v>16</v>
      </c>
      <c r="I217" s="7" t="s">
        <v>892</v>
      </c>
      <c r="J217" s="7" t="s">
        <v>16</v>
      </c>
      <c r="K217" s="7" t="s">
        <v>16</v>
      </c>
      <c r="L217" s="7" t="s">
        <v>16</v>
      </c>
      <c r="M217" s="10" t="s">
        <v>88</v>
      </c>
      <c r="N217" s="11" t="s">
        <v>893</v>
      </c>
      <c r="O217" s="5"/>
      <c r="P217" s="5"/>
      <c r="Q217" s="5"/>
      <c r="R217" s="5"/>
      <c r="S217" s="5"/>
      <c r="T217" s="5"/>
      <c r="U217" s="5"/>
      <c r="V217" s="5"/>
      <c r="W217" s="5"/>
      <c r="X217" s="5"/>
      <c r="Y217" s="5"/>
      <c r="Z217" s="5"/>
    </row>
    <row r="218">
      <c r="A218" s="17" t="s">
        <v>894</v>
      </c>
      <c r="B218" s="5" t="s">
        <v>14</v>
      </c>
      <c r="C218" s="7" t="s">
        <v>895</v>
      </c>
      <c r="D218" s="7" t="s">
        <v>16</v>
      </c>
      <c r="E218" s="8">
        <v>1.0</v>
      </c>
      <c r="F218" s="7" t="s">
        <v>105</v>
      </c>
      <c r="G218" s="5" t="s">
        <v>19</v>
      </c>
      <c r="H218" s="7" t="s">
        <v>16</v>
      </c>
      <c r="I218" s="7" t="s">
        <v>896</v>
      </c>
      <c r="J218" s="7" t="s">
        <v>16</v>
      </c>
      <c r="K218" s="7" t="s">
        <v>16</v>
      </c>
      <c r="L218" s="7" t="s">
        <v>16</v>
      </c>
      <c r="M218" s="10" t="s">
        <v>75</v>
      </c>
      <c r="N218" s="11" t="s">
        <v>897</v>
      </c>
      <c r="O218" s="5"/>
      <c r="P218" s="5"/>
      <c r="Q218" s="5"/>
      <c r="R218" s="5"/>
      <c r="S218" s="5"/>
      <c r="T218" s="5"/>
      <c r="U218" s="5"/>
      <c r="V218" s="5"/>
      <c r="W218" s="5"/>
      <c r="X218" s="5"/>
      <c r="Y218" s="5"/>
      <c r="Z218" s="5"/>
    </row>
    <row r="219">
      <c r="A219" s="17" t="s">
        <v>898</v>
      </c>
      <c r="B219" s="5" t="s">
        <v>14</v>
      </c>
      <c r="C219" s="7" t="s">
        <v>899</v>
      </c>
      <c r="D219" s="7" t="s">
        <v>16</v>
      </c>
      <c r="E219" s="8">
        <v>3.0</v>
      </c>
      <c r="F219" s="7" t="s">
        <v>105</v>
      </c>
      <c r="G219" s="5" t="s">
        <v>19</v>
      </c>
      <c r="H219" s="7" t="s">
        <v>16</v>
      </c>
      <c r="I219" s="7" t="s">
        <v>900</v>
      </c>
      <c r="J219" s="7" t="s">
        <v>16</v>
      </c>
      <c r="K219" s="7" t="s">
        <v>16</v>
      </c>
      <c r="L219" s="7" t="s">
        <v>16</v>
      </c>
      <c r="M219" s="10" t="s">
        <v>36</v>
      </c>
      <c r="N219" s="11" t="s">
        <v>901</v>
      </c>
      <c r="O219" s="5"/>
      <c r="P219" s="5"/>
      <c r="Q219" s="5"/>
      <c r="R219" s="5"/>
      <c r="S219" s="5"/>
      <c r="T219" s="5"/>
      <c r="U219" s="5"/>
      <c r="V219" s="5"/>
      <c r="W219" s="5"/>
      <c r="X219" s="5"/>
      <c r="Y219" s="5"/>
      <c r="Z219" s="5"/>
    </row>
    <row r="220">
      <c r="A220" s="17" t="s">
        <v>902</v>
      </c>
      <c r="B220" s="7" t="s">
        <v>14</v>
      </c>
      <c r="C220" s="7" t="s">
        <v>903</v>
      </c>
      <c r="D220" s="7" t="s">
        <v>16</v>
      </c>
      <c r="E220" s="8">
        <v>0.0</v>
      </c>
      <c r="F220" s="7" t="s">
        <v>17</v>
      </c>
      <c r="G220" s="5" t="s">
        <v>461</v>
      </c>
      <c r="H220" s="7" t="s">
        <v>16</v>
      </c>
      <c r="I220" s="7" t="s">
        <v>904</v>
      </c>
      <c r="J220" s="7" t="s">
        <v>16</v>
      </c>
      <c r="K220" s="7" t="s">
        <v>16</v>
      </c>
      <c r="L220" s="7" t="s">
        <v>16</v>
      </c>
      <c r="M220" s="31" t="s">
        <v>75</v>
      </c>
      <c r="N220" s="32" t="s">
        <v>905</v>
      </c>
      <c r="O220" s="5"/>
      <c r="P220" s="5"/>
      <c r="Q220" s="5"/>
      <c r="R220" s="5"/>
      <c r="S220" s="5"/>
      <c r="T220" s="5"/>
      <c r="U220" s="5"/>
      <c r="V220" s="5"/>
      <c r="W220" s="5"/>
      <c r="X220" s="5"/>
      <c r="Y220" s="5"/>
      <c r="Z220" s="5"/>
    </row>
    <row r="221">
      <c r="A221" s="17" t="s">
        <v>906</v>
      </c>
      <c r="B221" s="7" t="s">
        <v>14</v>
      </c>
      <c r="C221" s="7" t="s">
        <v>907</v>
      </c>
      <c r="D221" s="7" t="s">
        <v>16</v>
      </c>
      <c r="E221" s="8">
        <v>1.0</v>
      </c>
      <c r="F221" s="7" t="s">
        <v>105</v>
      </c>
      <c r="G221" s="5" t="s">
        <v>461</v>
      </c>
      <c r="H221" s="7" t="s">
        <v>16</v>
      </c>
      <c r="I221" s="7" t="s">
        <v>908</v>
      </c>
      <c r="J221" s="7" t="s">
        <v>16</v>
      </c>
      <c r="K221" s="7" t="s">
        <v>16</v>
      </c>
      <c r="L221" s="7" t="s">
        <v>16</v>
      </c>
      <c r="M221" s="10" t="s">
        <v>36</v>
      </c>
      <c r="N221" s="11" t="s">
        <v>909</v>
      </c>
      <c r="O221" s="5"/>
      <c r="P221" s="5"/>
      <c r="Q221" s="5"/>
      <c r="R221" s="5"/>
      <c r="S221" s="5"/>
      <c r="T221" s="5"/>
      <c r="U221" s="5"/>
      <c r="V221" s="5"/>
      <c r="W221" s="5"/>
      <c r="X221" s="5"/>
      <c r="Y221" s="5"/>
      <c r="Z221" s="5"/>
    </row>
    <row r="222">
      <c r="A222" s="17" t="s">
        <v>910</v>
      </c>
      <c r="B222" s="7" t="s">
        <v>14</v>
      </c>
      <c r="C222" s="7" t="s">
        <v>911</v>
      </c>
      <c r="D222" s="7" t="s">
        <v>16</v>
      </c>
      <c r="E222" s="8">
        <v>1.0</v>
      </c>
      <c r="F222" s="7" t="s">
        <v>105</v>
      </c>
      <c r="G222" s="5" t="s">
        <v>461</v>
      </c>
      <c r="H222" s="7" t="s">
        <v>16</v>
      </c>
      <c r="I222" s="7" t="s">
        <v>912</v>
      </c>
      <c r="J222" s="7" t="s">
        <v>16</v>
      </c>
      <c r="K222" s="7" t="s">
        <v>16</v>
      </c>
      <c r="L222" s="7" t="s">
        <v>16</v>
      </c>
      <c r="M222" s="10" t="s">
        <v>36</v>
      </c>
      <c r="N222" s="11" t="s">
        <v>913</v>
      </c>
      <c r="O222" s="5"/>
      <c r="P222" s="5"/>
      <c r="Q222" s="5"/>
      <c r="R222" s="5"/>
      <c r="S222" s="5"/>
      <c r="T222" s="5"/>
      <c r="U222" s="5"/>
      <c r="V222" s="5"/>
      <c r="W222" s="5"/>
      <c r="X222" s="5"/>
      <c r="Y222" s="5"/>
      <c r="Z222" s="5"/>
    </row>
    <row r="223">
      <c r="A223" s="35" t="s">
        <v>914</v>
      </c>
      <c r="B223" s="7" t="s">
        <v>14</v>
      </c>
      <c r="C223" s="7" t="s">
        <v>915</v>
      </c>
      <c r="D223" s="7" t="s">
        <v>16</v>
      </c>
      <c r="E223" s="8">
        <v>3.0</v>
      </c>
      <c r="F223" s="7" t="s">
        <v>17</v>
      </c>
      <c r="G223" s="7" t="s">
        <v>461</v>
      </c>
      <c r="H223" s="7" t="s">
        <v>822</v>
      </c>
      <c r="I223" s="7" t="s">
        <v>916</v>
      </c>
      <c r="J223" s="7" t="s">
        <v>16</v>
      </c>
      <c r="K223" s="7" t="s">
        <v>16</v>
      </c>
      <c r="L223" s="7" t="s">
        <v>16</v>
      </c>
      <c r="M223" s="10" t="s">
        <v>22</v>
      </c>
      <c r="N223" s="11" t="s">
        <v>917</v>
      </c>
      <c r="O223" s="5"/>
      <c r="P223" s="5"/>
      <c r="Q223" s="5"/>
      <c r="R223" s="5"/>
      <c r="S223" s="5"/>
      <c r="T223" s="5"/>
      <c r="U223" s="5"/>
      <c r="V223" s="5"/>
      <c r="W223" s="5"/>
      <c r="X223" s="5"/>
      <c r="Y223" s="5"/>
      <c r="Z223" s="5"/>
    </row>
    <row r="224">
      <c r="A224" s="35" t="s">
        <v>918</v>
      </c>
      <c r="B224" s="7" t="s">
        <v>14</v>
      </c>
      <c r="C224" s="7" t="s">
        <v>919</v>
      </c>
      <c r="D224" s="7" t="s">
        <v>16</v>
      </c>
      <c r="E224" s="8">
        <v>3.0</v>
      </c>
      <c r="F224" s="7" t="s">
        <v>17</v>
      </c>
      <c r="G224" s="7" t="s">
        <v>461</v>
      </c>
      <c r="H224" s="7" t="s">
        <v>822</v>
      </c>
      <c r="I224" s="7" t="s">
        <v>920</v>
      </c>
      <c r="J224" s="7" t="s">
        <v>16</v>
      </c>
      <c r="K224" s="7" t="s">
        <v>16</v>
      </c>
      <c r="L224" s="7" t="s">
        <v>16</v>
      </c>
      <c r="M224" s="10" t="s">
        <v>22</v>
      </c>
      <c r="N224" s="11" t="s">
        <v>921</v>
      </c>
      <c r="O224" s="5"/>
      <c r="P224" s="5"/>
      <c r="Q224" s="5"/>
      <c r="R224" s="5"/>
      <c r="S224" s="5"/>
      <c r="T224" s="5"/>
      <c r="U224" s="5"/>
      <c r="V224" s="5"/>
      <c r="W224" s="5"/>
      <c r="X224" s="5"/>
      <c r="Y224" s="5"/>
      <c r="Z224" s="5"/>
    </row>
    <row r="225">
      <c r="A225" s="35" t="s">
        <v>922</v>
      </c>
      <c r="B225" s="5" t="s">
        <v>14</v>
      </c>
      <c r="C225" s="7" t="s">
        <v>923</v>
      </c>
      <c r="D225" s="7" t="s">
        <v>16</v>
      </c>
      <c r="E225" s="8">
        <v>3.0</v>
      </c>
      <c r="F225" s="7" t="s">
        <v>17</v>
      </c>
      <c r="G225" s="5" t="s">
        <v>461</v>
      </c>
      <c r="H225" s="7" t="s">
        <v>822</v>
      </c>
      <c r="I225" s="7" t="s">
        <v>924</v>
      </c>
      <c r="J225" s="7" t="s">
        <v>16</v>
      </c>
      <c r="K225" s="7" t="s">
        <v>16</v>
      </c>
      <c r="L225" s="7" t="s">
        <v>16</v>
      </c>
      <c r="M225" s="10" t="s">
        <v>22</v>
      </c>
      <c r="N225" s="11" t="s">
        <v>925</v>
      </c>
      <c r="O225" s="5"/>
      <c r="P225" s="5"/>
      <c r="Q225" s="5"/>
      <c r="R225" s="5"/>
      <c r="S225" s="5"/>
      <c r="T225" s="5"/>
      <c r="U225" s="5"/>
      <c r="V225" s="5"/>
      <c r="W225" s="5"/>
      <c r="X225" s="5"/>
      <c r="Y225" s="5"/>
      <c r="Z225" s="5"/>
    </row>
    <row r="226">
      <c r="A226" s="35" t="s">
        <v>926</v>
      </c>
      <c r="B226" s="5" t="s">
        <v>14</v>
      </c>
      <c r="C226" s="7" t="s">
        <v>927</v>
      </c>
      <c r="D226" s="7" t="s">
        <v>16</v>
      </c>
      <c r="E226" s="8">
        <v>2.0</v>
      </c>
      <c r="F226" s="7" t="s">
        <v>17</v>
      </c>
      <c r="G226" s="5" t="s">
        <v>461</v>
      </c>
      <c r="H226" s="7" t="s">
        <v>16</v>
      </c>
      <c r="I226" s="5" t="s">
        <v>928</v>
      </c>
      <c r="J226" s="7" t="s">
        <v>16</v>
      </c>
      <c r="K226" s="7" t="s">
        <v>16</v>
      </c>
      <c r="L226" s="7" t="s">
        <v>16</v>
      </c>
      <c r="M226" s="10" t="s">
        <v>36</v>
      </c>
      <c r="N226" s="11" t="s">
        <v>929</v>
      </c>
      <c r="O226" s="5"/>
      <c r="P226" s="5"/>
      <c r="Q226" s="5"/>
      <c r="R226" s="5"/>
      <c r="S226" s="5"/>
      <c r="T226" s="5"/>
      <c r="U226" s="5"/>
      <c r="V226" s="5"/>
      <c r="W226" s="5"/>
      <c r="X226" s="5"/>
      <c r="Y226" s="5"/>
      <c r="Z226" s="5"/>
    </row>
    <row r="227">
      <c r="A227" s="35" t="s">
        <v>930</v>
      </c>
      <c r="B227" s="5" t="s">
        <v>14</v>
      </c>
      <c r="C227" s="7" t="s">
        <v>931</v>
      </c>
      <c r="D227" s="7" t="s">
        <v>16</v>
      </c>
      <c r="E227" s="8">
        <v>4.0</v>
      </c>
      <c r="F227" s="7" t="s">
        <v>105</v>
      </c>
      <c r="G227" s="5" t="s">
        <v>326</v>
      </c>
      <c r="H227" s="7" t="s">
        <v>16</v>
      </c>
      <c r="I227" s="7" t="s">
        <v>932</v>
      </c>
      <c r="J227" s="7" t="s">
        <v>16</v>
      </c>
      <c r="K227" s="7" t="s">
        <v>16</v>
      </c>
      <c r="L227" s="7" t="s">
        <v>16</v>
      </c>
      <c r="M227" s="10" t="s">
        <v>88</v>
      </c>
      <c r="N227" s="11" t="s">
        <v>933</v>
      </c>
      <c r="O227" s="5"/>
      <c r="P227" s="5"/>
      <c r="Q227" s="5"/>
      <c r="R227" s="5"/>
      <c r="S227" s="5"/>
      <c r="T227" s="5"/>
      <c r="U227" s="5"/>
      <c r="V227" s="5"/>
      <c r="W227" s="5"/>
      <c r="X227" s="5"/>
      <c r="Y227" s="5"/>
      <c r="Z227" s="5"/>
    </row>
    <row r="228">
      <c r="A228" s="35" t="s">
        <v>934</v>
      </c>
      <c r="B228" s="5" t="s">
        <v>14</v>
      </c>
      <c r="C228" s="7" t="s">
        <v>935</v>
      </c>
      <c r="D228" s="7" t="s">
        <v>16</v>
      </c>
      <c r="E228" s="8">
        <v>2.0</v>
      </c>
      <c r="F228" s="7" t="s">
        <v>172</v>
      </c>
      <c r="G228" s="5" t="s">
        <v>19</v>
      </c>
      <c r="H228" s="7" t="s">
        <v>16</v>
      </c>
      <c r="I228" s="7" t="s">
        <v>936</v>
      </c>
      <c r="J228" s="7" t="s">
        <v>16</v>
      </c>
      <c r="K228" s="7" t="s">
        <v>16</v>
      </c>
      <c r="L228" s="7" t="s">
        <v>16</v>
      </c>
      <c r="M228" s="10" t="s">
        <v>75</v>
      </c>
      <c r="N228" s="11" t="s">
        <v>937</v>
      </c>
      <c r="O228" s="5"/>
      <c r="P228" s="5"/>
      <c r="Q228" s="5"/>
      <c r="R228" s="5"/>
      <c r="S228" s="5"/>
      <c r="T228" s="5"/>
      <c r="U228" s="5"/>
      <c r="V228" s="5"/>
      <c r="W228" s="5"/>
      <c r="X228" s="5"/>
      <c r="Y228" s="5"/>
      <c r="Z228" s="5"/>
    </row>
    <row r="229">
      <c r="A229" s="35" t="s">
        <v>938</v>
      </c>
      <c r="B229" s="5" t="s">
        <v>14</v>
      </c>
      <c r="C229" s="7" t="s">
        <v>939</v>
      </c>
      <c r="D229" s="7" t="s">
        <v>16</v>
      </c>
      <c r="E229" s="8">
        <v>2.0</v>
      </c>
      <c r="F229" s="7" t="s">
        <v>105</v>
      </c>
      <c r="G229" s="5" t="s">
        <v>19</v>
      </c>
      <c r="H229" s="7" t="s">
        <v>16</v>
      </c>
      <c r="I229" s="7" t="s">
        <v>940</v>
      </c>
      <c r="J229" s="7" t="s">
        <v>16</v>
      </c>
      <c r="K229" s="7" t="s">
        <v>16</v>
      </c>
      <c r="L229" s="7" t="s">
        <v>16</v>
      </c>
      <c r="M229" s="31" t="s">
        <v>75</v>
      </c>
      <c r="N229" s="32" t="s">
        <v>941</v>
      </c>
      <c r="O229" s="5"/>
      <c r="P229" s="5"/>
      <c r="Q229" s="5"/>
      <c r="R229" s="5"/>
      <c r="S229" s="5"/>
      <c r="T229" s="5"/>
      <c r="U229" s="5"/>
      <c r="V229" s="5"/>
      <c r="W229" s="5"/>
      <c r="X229" s="5"/>
      <c r="Y229" s="5"/>
      <c r="Z229" s="5"/>
    </row>
    <row r="230">
      <c r="A230" s="35" t="s">
        <v>942</v>
      </c>
      <c r="B230" s="5" t="s">
        <v>14</v>
      </c>
      <c r="C230" s="7" t="s">
        <v>943</v>
      </c>
      <c r="D230" s="7" t="s">
        <v>16</v>
      </c>
      <c r="E230" s="8">
        <v>3.0</v>
      </c>
      <c r="F230" s="7" t="s">
        <v>17</v>
      </c>
      <c r="G230" s="5" t="s">
        <v>19</v>
      </c>
      <c r="H230" s="7" t="s">
        <v>16</v>
      </c>
      <c r="I230" s="7" t="s">
        <v>944</v>
      </c>
      <c r="J230" s="7" t="s">
        <v>16</v>
      </c>
      <c r="K230" s="7" t="s">
        <v>16</v>
      </c>
      <c r="L230" s="7" t="s">
        <v>16</v>
      </c>
      <c r="M230" s="10" t="s">
        <v>36</v>
      </c>
      <c r="N230" s="11" t="s">
        <v>945</v>
      </c>
      <c r="O230" s="5"/>
      <c r="P230" s="5"/>
      <c r="Q230" s="5"/>
      <c r="R230" s="5"/>
      <c r="S230" s="5"/>
      <c r="T230" s="5"/>
      <c r="U230" s="5"/>
      <c r="V230" s="5"/>
      <c r="W230" s="5"/>
      <c r="X230" s="5"/>
      <c r="Y230" s="5"/>
      <c r="Z230" s="5"/>
    </row>
    <row r="231">
      <c r="A231" s="35" t="s">
        <v>946</v>
      </c>
      <c r="B231" s="5" t="s">
        <v>14</v>
      </c>
      <c r="C231" s="7" t="s">
        <v>947</v>
      </c>
      <c r="D231" s="7" t="s">
        <v>16</v>
      </c>
      <c r="E231" s="8">
        <v>1.0</v>
      </c>
      <c r="F231" s="7" t="s">
        <v>105</v>
      </c>
      <c r="G231" s="5" t="s">
        <v>19</v>
      </c>
      <c r="H231" s="7" t="s">
        <v>16</v>
      </c>
      <c r="I231" s="7" t="s">
        <v>948</v>
      </c>
      <c r="J231" s="7" t="s">
        <v>16</v>
      </c>
      <c r="K231" s="7" t="s">
        <v>16</v>
      </c>
      <c r="L231" s="7" t="s">
        <v>16</v>
      </c>
      <c r="M231" s="10" t="s">
        <v>22</v>
      </c>
      <c r="N231" s="11" t="s">
        <v>949</v>
      </c>
      <c r="O231" s="5"/>
      <c r="P231" s="5"/>
      <c r="Q231" s="5"/>
      <c r="R231" s="5"/>
      <c r="S231" s="5"/>
      <c r="T231" s="5"/>
      <c r="U231" s="5"/>
      <c r="V231" s="5"/>
      <c r="W231" s="5"/>
      <c r="X231" s="5"/>
      <c r="Y231" s="5"/>
      <c r="Z231" s="5"/>
    </row>
    <row r="232">
      <c r="A232" s="35" t="s">
        <v>950</v>
      </c>
      <c r="B232" s="7" t="s">
        <v>14</v>
      </c>
      <c r="C232" s="7" t="s">
        <v>951</v>
      </c>
      <c r="D232" s="7" t="s">
        <v>16</v>
      </c>
      <c r="E232" s="8">
        <v>1.0</v>
      </c>
      <c r="F232" s="7" t="s">
        <v>105</v>
      </c>
      <c r="G232" s="7" t="s">
        <v>19</v>
      </c>
      <c r="H232" s="7" t="s">
        <v>16</v>
      </c>
      <c r="I232" s="7" t="s">
        <v>952</v>
      </c>
      <c r="J232" s="7" t="s">
        <v>16</v>
      </c>
      <c r="K232" s="7" t="s">
        <v>16</v>
      </c>
      <c r="L232" s="7" t="s">
        <v>16</v>
      </c>
      <c r="M232" s="31" t="s">
        <v>22</v>
      </c>
      <c r="N232" s="32" t="s">
        <v>953</v>
      </c>
      <c r="O232" s="5"/>
      <c r="P232" s="5"/>
      <c r="Q232" s="5"/>
      <c r="R232" s="5"/>
      <c r="S232" s="5"/>
      <c r="T232" s="5"/>
      <c r="U232" s="5"/>
      <c r="V232" s="5"/>
      <c r="W232" s="5"/>
      <c r="X232" s="5"/>
      <c r="Y232" s="5"/>
      <c r="Z232" s="5"/>
    </row>
    <row r="233">
      <c r="A233" s="35" t="s">
        <v>954</v>
      </c>
      <c r="B233" s="7" t="s">
        <v>14</v>
      </c>
      <c r="C233" s="7" t="s">
        <v>955</v>
      </c>
      <c r="D233" s="7" t="s">
        <v>16</v>
      </c>
      <c r="E233" s="8">
        <v>0.0</v>
      </c>
      <c r="F233" s="7" t="s">
        <v>17</v>
      </c>
      <c r="G233" s="7" t="s">
        <v>19</v>
      </c>
      <c r="H233" s="7" t="s">
        <v>16</v>
      </c>
      <c r="I233" s="7" t="s">
        <v>956</v>
      </c>
      <c r="J233" s="7" t="s">
        <v>16</v>
      </c>
      <c r="K233" s="7" t="s">
        <v>16</v>
      </c>
      <c r="L233" s="7" t="s">
        <v>16</v>
      </c>
      <c r="M233" s="31" t="s">
        <v>22</v>
      </c>
      <c r="N233" s="32" t="s">
        <v>957</v>
      </c>
      <c r="O233" s="5"/>
      <c r="P233" s="5"/>
      <c r="Q233" s="5"/>
      <c r="R233" s="5"/>
      <c r="S233" s="5"/>
      <c r="T233" s="5"/>
      <c r="U233" s="5"/>
      <c r="V233" s="5"/>
      <c r="W233" s="5"/>
      <c r="X233" s="5"/>
      <c r="Y233" s="5"/>
      <c r="Z233" s="5"/>
    </row>
    <row r="234">
      <c r="A234" s="35" t="s">
        <v>958</v>
      </c>
      <c r="B234" s="7" t="s">
        <v>14</v>
      </c>
      <c r="C234" s="7" t="s">
        <v>959</v>
      </c>
      <c r="D234" s="7" t="s">
        <v>16</v>
      </c>
      <c r="E234" s="8">
        <v>3.0</v>
      </c>
      <c r="F234" s="7" t="s">
        <v>17</v>
      </c>
      <c r="G234" s="7" t="s">
        <v>461</v>
      </c>
      <c r="H234" s="7" t="s">
        <v>16</v>
      </c>
      <c r="I234" s="7" t="s">
        <v>960</v>
      </c>
      <c r="J234" s="7" t="s">
        <v>16</v>
      </c>
      <c r="K234" s="7" t="s">
        <v>16</v>
      </c>
      <c r="L234" s="7" t="s">
        <v>16</v>
      </c>
      <c r="M234" s="31" t="s">
        <v>75</v>
      </c>
      <c r="N234" s="32" t="s">
        <v>961</v>
      </c>
      <c r="O234" s="5"/>
      <c r="P234" s="5"/>
      <c r="Q234" s="5"/>
      <c r="R234" s="5"/>
      <c r="S234" s="5"/>
      <c r="T234" s="5"/>
      <c r="U234" s="5"/>
      <c r="V234" s="5"/>
      <c r="W234" s="5"/>
      <c r="X234" s="5"/>
      <c r="Y234" s="5"/>
      <c r="Z234" s="5"/>
    </row>
    <row r="235">
      <c r="A235" s="35" t="s">
        <v>962</v>
      </c>
      <c r="B235" s="7" t="s">
        <v>14</v>
      </c>
      <c r="C235" s="7" t="s">
        <v>963</v>
      </c>
      <c r="D235" s="7" t="s">
        <v>16</v>
      </c>
      <c r="E235" s="8">
        <v>0.0</v>
      </c>
      <c r="F235" s="7" t="s">
        <v>105</v>
      </c>
      <c r="G235" s="7" t="s">
        <v>19</v>
      </c>
      <c r="H235" s="5" t="s">
        <v>16</v>
      </c>
      <c r="I235" s="7" t="s">
        <v>964</v>
      </c>
      <c r="J235" s="7" t="s">
        <v>16</v>
      </c>
      <c r="K235" s="7" t="s">
        <v>16</v>
      </c>
      <c r="L235" s="7" t="s">
        <v>16</v>
      </c>
      <c r="M235" s="31" t="s">
        <v>75</v>
      </c>
      <c r="N235" s="32" t="s">
        <v>965</v>
      </c>
      <c r="O235" s="5"/>
      <c r="P235" s="5"/>
      <c r="Q235" s="5"/>
      <c r="R235" s="5"/>
      <c r="S235" s="5"/>
      <c r="T235" s="5"/>
      <c r="U235" s="5"/>
      <c r="V235" s="5"/>
      <c r="W235" s="5"/>
      <c r="X235" s="5"/>
      <c r="Y235" s="5"/>
      <c r="Z235" s="5"/>
    </row>
    <row r="236">
      <c r="A236" s="35" t="s">
        <v>966</v>
      </c>
      <c r="B236" s="7" t="s">
        <v>14</v>
      </c>
      <c r="C236" s="7" t="s">
        <v>967</v>
      </c>
      <c r="D236" s="7" t="s">
        <v>16</v>
      </c>
      <c r="E236" s="8">
        <v>1.0</v>
      </c>
      <c r="F236" s="7" t="s">
        <v>105</v>
      </c>
      <c r="G236" s="7" t="s">
        <v>19</v>
      </c>
      <c r="H236" s="7" t="s">
        <v>16</v>
      </c>
      <c r="I236" s="7" t="s">
        <v>968</v>
      </c>
      <c r="J236" s="7" t="s">
        <v>16</v>
      </c>
      <c r="K236" s="7" t="s">
        <v>16</v>
      </c>
      <c r="L236" s="7" t="s">
        <v>16</v>
      </c>
      <c r="M236" s="31" t="s">
        <v>36</v>
      </c>
      <c r="N236" s="32" t="s">
        <v>969</v>
      </c>
      <c r="O236" s="5"/>
      <c r="P236" s="5"/>
      <c r="Q236" s="5"/>
      <c r="R236" s="5"/>
      <c r="S236" s="5"/>
      <c r="T236" s="5"/>
      <c r="U236" s="5"/>
      <c r="V236" s="5"/>
      <c r="W236" s="5"/>
      <c r="X236" s="5"/>
      <c r="Y236" s="5"/>
      <c r="Z236" s="5"/>
    </row>
    <row r="237">
      <c r="A237" s="35" t="s">
        <v>970</v>
      </c>
      <c r="B237" s="5" t="s">
        <v>14</v>
      </c>
      <c r="C237" s="7" t="s">
        <v>971</v>
      </c>
      <c r="D237" s="7" t="s">
        <v>16</v>
      </c>
      <c r="E237" s="8">
        <v>1.0</v>
      </c>
      <c r="F237" s="7" t="s">
        <v>17</v>
      </c>
      <c r="G237" s="5" t="s">
        <v>19</v>
      </c>
      <c r="H237" s="7" t="s">
        <v>16</v>
      </c>
      <c r="I237" s="7" t="s">
        <v>972</v>
      </c>
      <c r="J237" s="7" t="s">
        <v>16</v>
      </c>
      <c r="K237" s="7" t="s">
        <v>16</v>
      </c>
      <c r="L237" s="7" t="s">
        <v>16</v>
      </c>
      <c r="M237" s="10" t="s">
        <v>36</v>
      </c>
      <c r="N237" s="11" t="s">
        <v>973</v>
      </c>
      <c r="O237" s="5"/>
      <c r="P237" s="5"/>
      <c r="Q237" s="5"/>
      <c r="R237" s="5"/>
      <c r="S237" s="5"/>
      <c r="T237" s="5"/>
      <c r="U237" s="5"/>
      <c r="V237" s="5"/>
      <c r="W237" s="5"/>
      <c r="X237" s="5"/>
      <c r="Y237" s="5"/>
      <c r="Z237" s="5"/>
    </row>
    <row r="238">
      <c r="A238" s="35" t="s">
        <v>974</v>
      </c>
      <c r="B238" s="5" t="s">
        <v>14</v>
      </c>
      <c r="C238" s="7" t="s">
        <v>975</v>
      </c>
      <c r="D238" s="7" t="s">
        <v>16</v>
      </c>
      <c r="E238" s="8">
        <v>0.0</v>
      </c>
      <c r="F238" s="7" t="s">
        <v>17</v>
      </c>
      <c r="G238" s="5" t="s">
        <v>19</v>
      </c>
      <c r="H238" s="7" t="s">
        <v>16</v>
      </c>
      <c r="I238" s="7" t="s">
        <v>976</v>
      </c>
      <c r="J238" s="7" t="s">
        <v>16</v>
      </c>
      <c r="K238" s="7" t="s">
        <v>16</v>
      </c>
      <c r="L238" s="7" t="s">
        <v>16</v>
      </c>
      <c r="M238" s="10" t="s">
        <v>22</v>
      </c>
      <c r="N238" s="11" t="s">
        <v>977</v>
      </c>
      <c r="O238" s="5"/>
      <c r="P238" s="5"/>
      <c r="Q238" s="5"/>
      <c r="R238" s="5"/>
      <c r="S238" s="5"/>
      <c r="T238" s="5"/>
      <c r="U238" s="5"/>
      <c r="V238" s="5"/>
      <c r="W238" s="5"/>
      <c r="X238" s="5"/>
      <c r="Y238" s="5"/>
      <c r="Z238" s="5"/>
    </row>
    <row r="239">
      <c r="A239" s="35" t="s">
        <v>978</v>
      </c>
      <c r="B239" s="7" t="s">
        <v>14</v>
      </c>
      <c r="C239" s="7" t="s">
        <v>979</v>
      </c>
      <c r="D239" s="7" t="s">
        <v>16</v>
      </c>
      <c r="E239" s="8">
        <v>2.0</v>
      </c>
      <c r="F239" s="7" t="s">
        <v>172</v>
      </c>
      <c r="G239" s="7" t="s">
        <v>19</v>
      </c>
      <c r="H239" s="7" t="s">
        <v>16</v>
      </c>
      <c r="I239" s="7" t="s">
        <v>980</v>
      </c>
      <c r="J239" s="7" t="s">
        <v>16</v>
      </c>
      <c r="K239" s="7" t="s">
        <v>16</v>
      </c>
      <c r="L239" s="7" t="s">
        <v>16</v>
      </c>
      <c r="M239" s="31" t="s">
        <v>22</v>
      </c>
      <c r="N239" s="32" t="s">
        <v>981</v>
      </c>
      <c r="O239" s="5"/>
      <c r="P239" s="5"/>
      <c r="Q239" s="5"/>
      <c r="R239" s="5"/>
      <c r="S239" s="5"/>
      <c r="T239" s="5"/>
      <c r="U239" s="5"/>
      <c r="V239" s="5"/>
      <c r="W239" s="5"/>
      <c r="X239" s="5"/>
      <c r="Y239" s="5"/>
      <c r="Z239" s="5"/>
    </row>
    <row r="240">
      <c r="A240" s="35" t="s">
        <v>982</v>
      </c>
      <c r="B240" s="5" t="s">
        <v>14</v>
      </c>
      <c r="C240" s="7" t="s">
        <v>983</v>
      </c>
      <c r="D240" s="7" t="s">
        <v>16</v>
      </c>
      <c r="E240" s="8">
        <v>2.0</v>
      </c>
      <c r="F240" s="7" t="s">
        <v>105</v>
      </c>
      <c r="G240" s="5" t="s">
        <v>19</v>
      </c>
      <c r="H240" s="7" t="s">
        <v>16</v>
      </c>
      <c r="I240" s="7" t="s">
        <v>984</v>
      </c>
      <c r="J240" s="7" t="s">
        <v>16</v>
      </c>
      <c r="K240" s="7" t="s">
        <v>16</v>
      </c>
      <c r="L240" s="7" t="s">
        <v>16</v>
      </c>
      <c r="M240" s="31" t="s">
        <v>36</v>
      </c>
      <c r="N240" s="32" t="s">
        <v>985</v>
      </c>
      <c r="O240" s="5"/>
      <c r="P240" s="5"/>
      <c r="Q240" s="5"/>
      <c r="R240" s="5"/>
      <c r="S240" s="5"/>
      <c r="T240" s="5"/>
      <c r="U240" s="5"/>
      <c r="V240" s="5"/>
      <c r="W240" s="5"/>
      <c r="X240" s="5"/>
      <c r="Y240" s="5"/>
      <c r="Z240" s="5"/>
    </row>
    <row r="241">
      <c r="A241" s="35" t="s">
        <v>986</v>
      </c>
      <c r="B241" s="5" t="s">
        <v>14</v>
      </c>
      <c r="C241" s="7" t="s">
        <v>987</v>
      </c>
      <c r="D241" s="7" t="s">
        <v>16</v>
      </c>
      <c r="E241" s="8">
        <v>3.0</v>
      </c>
      <c r="F241" s="7" t="s">
        <v>17</v>
      </c>
      <c r="G241" s="5" t="s">
        <v>461</v>
      </c>
      <c r="H241" s="7" t="s">
        <v>16</v>
      </c>
      <c r="I241" s="7" t="s">
        <v>988</v>
      </c>
      <c r="J241" s="7" t="s">
        <v>16</v>
      </c>
      <c r="K241" s="7" t="s">
        <v>16</v>
      </c>
      <c r="L241" s="7" t="s">
        <v>16</v>
      </c>
      <c r="M241" s="31" t="s">
        <v>22</v>
      </c>
      <c r="N241" s="32" t="s">
        <v>989</v>
      </c>
      <c r="O241" s="5"/>
      <c r="P241" s="5"/>
      <c r="Q241" s="5"/>
      <c r="R241" s="5"/>
      <c r="S241" s="5"/>
      <c r="T241" s="5"/>
      <c r="U241" s="5"/>
      <c r="V241" s="5"/>
      <c r="W241" s="5"/>
      <c r="X241" s="5"/>
      <c r="Y241" s="5"/>
      <c r="Z241" s="5"/>
    </row>
    <row r="242">
      <c r="A242" s="35" t="s">
        <v>990</v>
      </c>
      <c r="B242" s="5" t="s">
        <v>14</v>
      </c>
      <c r="C242" s="7" t="s">
        <v>991</v>
      </c>
      <c r="D242" s="7" t="s">
        <v>16</v>
      </c>
      <c r="E242" s="8">
        <v>3.0</v>
      </c>
      <c r="F242" s="7" t="s">
        <v>105</v>
      </c>
      <c r="G242" s="5" t="s">
        <v>19</v>
      </c>
      <c r="H242" s="7" t="s">
        <v>16</v>
      </c>
      <c r="I242" s="7" t="s">
        <v>992</v>
      </c>
      <c r="J242" s="7" t="s">
        <v>16</v>
      </c>
      <c r="K242" s="7" t="s">
        <v>16</v>
      </c>
      <c r="L242" s="7" t="s">
        <v>16</v>
      </c>
      <c r="M242" s="31" t="s">
        <v>22</v>
      </c>
      <c r="N242" s="32" t="s">
        <v>993</v>
      </c>
      <c r="O242" s="5"/>
      <c r="P242" s="5"/>
      <c r="Q242" s="5"/>
      <c r="R242" s="5"/>
      <c r="S242" s="5"/>
      <c r="T242" s="5"/>
      <c r="U242" s="5"/>
      <c r="V242" s="5"/>
      <c r="W242" s="5"/>
      <c r="X242" s="5"/>
      <c r="Y242" s="5"/>
      <c r="Z242" s="5"/>
    </row>
    <row r="243">
      <c r="A243" s="35" t="s">
        <v>994</v>
      </c>
      <c r="B243" s="5" t="s">
        <v>14</v>
      </c>
      <c r="C243" s="7" t="s">
        <v>995</v>
      </c>
      <c r="D243" s="7" t="s">
        <v>16</v>
      </c>
      <c r="E243" s="8">
        <v>0.0</v>
      </c>
      <c r="F243" s="7" t="s">
        <v>17</v>
      </c>
      <c r="G243" s="5" t="s">
        <v>326</v>
      </c>
      <c r="H243" s="7" t="s">
        <v>16</v>
      </c>
      <c r="I243" s="7" t="s">
        <v>996</v>
      </c>
      <c r="J243" s="7" t="s">
        <v>16</v>
      </c>
      <c r="K243" s="7" t="s">
        <v>16</v>
      </c>
      <c r="L243" s="7" t="s">
        <v>16</v>
      </c>
      <c r="M243" s="31" t="s">
        <v>22</v>
      </c>
      <c r="N243" s="32" t="s">
        <v>997</v>
      </c>
      <c r="O243" s="5"/>
      <c r="P243" s="5"/>
      <c r="Q243" s="5"/>
      <c r="R243" s="5"/>
      <c r="S243" s="5"/>
      <c r="T243" s="5"/>
      <c r="U243" s="5"/>
      <c r="V243" s="5"/>
      <c r="W243" s="5"/>
      <c r="X243" s="5"/>
      <c r="Y243" s="5"/>
      <c r="Z243" s="5"/>
    </row>
    <row r="244">
      <c r="A244" s="35" t="s">
        <v>998</v>
      </c>
      <c r="B244" s="5" t="s">
        <v>14</v>
      </c>
      <c r="C244" s="7" t="s">
        <v>999</v>
      </c>
      <c r="D244" s="7" t="s">
        <v>16</v>
      </c>
      <c r="E244" s="8">
        <v>8.0</v>
      </c>
      <c r="F244" s="7" t="s">
        <v>17</v>
      </c>
      <c r="G244" s="5" t="s">
        <v>461</v>
      </c>
      <c r="H244" s="7" t="s">
        <v>16</v>
      </c>
      <c r="I244" s="7" t="s">
        <v>1000</v>
      </c>
      <c r="J244" s="7" t="s">
        <v>16</v>
      </c>
      <c r="K244" s="7" t="s">
        <v>16</v>
      </c>
      <c r="L244" s="7" t="s">
        <v>16</v>
      </c>
      <c r="M244" s="31" t="s">
        <v>36</v>
      </c>
      <c r="N244" s="32" t="s">
        <v>1001</v>
      </c>
      <c r="O244" s="5"/>
      <c r="P244" s="5"/>
      <c r="Q244" s="5"/>
      <c r="R244" s="5"/>
      <c r="S244" s="5"/>
      <c r="T244" s="5"/>
      <c r="U244" s="5"/>
      <c r="V244" s="5"/>
      <c r="W244" s="5"/>
      <c r="X244" s="5"/>
      <c r="Y244" s="5"/>
      <c r="Z244" s="5"/>
    </row>
    <row r="245">
      <c r="A245" s="35" t="s">
        <v>1002</v>
      </c>
      <c r="B245" s="5" t="s">
        <v>14</v>
      </c>
      <c r="C245" s="7" t="s">
        <v>1003</v>
      </c>
      <c r="D245" s="7" t="s">
        <v>16</v>
      </c>
      <c r="E245" s="8">
        <v>5.0</v>
      </c>
      <c r="F245" s="7" t="s">
        <v>105</v>
      </c>
      <c r="G245" s="5" t="s">
        <v>461</v>
      </c>
      <c r="H245" s="7" t="s">
        <v>16</v>
      </c>
      <c r="I245" s="7" t="s">
        <v>1004</v>
      </c>
      <c r="J245" s="7" t="s">
        <v>16</v>
      </c>
      <c r="K245" s="7" t="s">
        <v>16</v>
      </c>
      <c r="L245" s="7" t="s">
        <v>16</v>
      </c>
      <c r="M245" s="31" t="s">
        <v>88</v>
      </c>
      <c r="N245" s="32" t="s">
        <v>1005</v>
      </c>
      <c r="O245" s="5"/>
      <c r="P245" s="5"/>
      <c r="Q245" s="5"/>
      <c r="R245" s="5"/>
      <c r="S245" s="5"/>
      <c r="T245" s="5"/>
      <c r="U245" s="5"/>
      <c r="V245" s="5"/>
      <c r="W245" s="5"/>
      <c r="X245" s="5"/>
      <c r="Y245" s="5"/>
      <c r="Z245" s="5"/>
    </row>
    <row r="246">
      <c r="A246" s="35" t="s">
        <v>1006</v>
      </c>
      <c r="B246" s="5" t="s">
        <v>14</v>
      </c>
      <c r="C246" s="7" t="s">
        <v>1007</v>
      </c>
      <c r="D246" s="7" t="s">
        <v>16</v>
      </c>
      <c r="E246" s="8">
        <v>1.0</v>
      </c>
      <c r="F246" s="7" t="s">
        <v>17</v>
      </c>
      <c r="G246" s="5" t="s">
        <v>19</v>
      </c>
      <c r="H246" s="7" t="s">
        <v>16</v>
      </c>
      <c r="I246" s="7" t="s">
        <v>1008</v>
      </c>
      <c r="J246" s="7" t="s">
        <v>16</v>
      </c>
      <c r="K246" s="7" t="s">
        <v>16</v>
      </c>
      <c r="L246" s="7" t="s">
        <v>16</v>
      </c>
      <c r="M246" s="31" t="s">
        <v>22</v>
      </c>
      <c r="N246" s="32" t="s">
        <v>1009</v>
      </c>
      <c r="O246" s="5"/>
      <c r="P246" s="5"/>
      <c r="Q246" s="5"/>
      <c r="R246" s="5"/>
      <c r="S246" s="5"/>
      <c r="T246" s="5"/>
      <c r="U246" s="5"/>
      <c r="V246" s="5"/>
      <c r="W246" s="5"/>
      <c r="X246" s="5"/>
      <c r="Y246" s="5"/>
      <c r="Z246" s="5"/>
    </row>
    <row r="247">
      <c r="A247" s="35" t="s">
        <v>1010</v>
      </c>
      <c r="B247" s="5" t="s">
        <v>14</v>
      </c>
      <c r="C247" s="7" t="s">
        <v>1011</v>
      </c>
      <c r="D247" s="7" t="s">
        <v>16</v>
      </c>
      <c r="E247" s="8">
        <v>0.0</v>
      </c>
      <c r="F247" s="7" t="s">
        <v>105</v>
      </c>
      <c r="G247" s="5" t="s">
        <v>19</v>
      </c>
      <c r="H247" s="7" t="s">
        <v>16</v>
      </c>
      <c r="I247" s="7" t="s">
        <v>1012</v>
      </c>
      <c r="J247" s="7" t="s">
        <v>16</v>
      </c>
      <c r="K247" s="7" t="s">
        <v>16</v>
      </c>
      <c r="L247" s="7" t="s">
        <v>16</v>
      </c>
      <c r="M247" s="31" t="s">
        <v>22</v>
      </c>
      <c r="N247" s="32" t="s">
        <v>1013</v>
      </c>
      <c r="O247" s="5"/>
      <c r="P247" s="5"/>
      <c r="Q247" s="5"/>
      <c r="R247" s="5"/>
      <c r="S247" s="5"/>
      <c r="T247" s="5"/>
      <c r="U247" s="5"/>
      <c r="V247" s="5"/>
      <c r="W247" s="5"/>
      <c r="X247" s="5"/>
      <c r="Y247" s="5"/>
      <c r="Z247" s="5"/>
    </row>
    <row r="248">
      <c r="A248" s="35" t="s">
        <v>1014</v>
      </c>
      <c r="B248" s="5" t="s">
        <v>14</v>
      </c>
      <c r="C248" s="7" t="s">
        <v>1015</v>
      </c>
      <c r="D248" s="7" t="s">
        <v>16</v>
      </c>
      <c r="E248" s="8">
        <v>3.0</v>
      </c>
      <c r="F248" s="7" t="s">
        <v>17</v>
      </c>
      <c r="G248" s="5" t="s">
        <v>461</v>
      </c>
      <c r="H248" s="7" t="s">
        <v>822</v>
      </c>
      <c r="I248" s="7" t="s">
        <v>1016</v>
      </c>
      <c r="J248" s="7" t="s">
        <v>16</v>
      </c>
      <c r="K248" s="7" t="s">
        <v>16</v>
      </c>
      <c r="L248" s="7" t="s">
        <v>16</v>
      </c>
      <c r="M248" s="31" t="s">
        <v>22</v>
      </c>
      <c r="N248" s="32" t="s">
        <v>1017</v>
      </c>
      <c r="O248" s="5"/>
      <c r="P248" s="5"/>
      <c r="Q248" s="5"/>
      <c r="R248" s="5"/>
      <c r="S248" s="5"/>
      <c r="T248" s="5"/>
      <c r="U248" s="5"/>
      <c r="V248" s="5"/>
      <c r="W248" s="5"/>
      <c r="X248" s="5"/>
      <c r="Y248" s="5"/>
      <c r="Z248" s="5"/>
    </row>
    <row r="249">
      <c r="A249" s="35" t="s">
        <v>1018</v>
      </c>
      <c r="B249" s="5" t="s">
        <v>14</v>
      </c>
      <c r="C249" s="7" t="s">
        <v>1019</v>
      </c>
      <c r="D249" s="7" t="s">
        <v>16</v>
      </c>
      <c r="E249" s="8">
        <v>6.0</v>
      </c>
      <c r="F249" s="7" t="s">
        <v>105</v>
      </c>
      <c r="G249" s="5" t="s">
        <v>461</v>
      </c>
      <c r="H249" s="7" t="s">
        <v>16</v>
      </c>
      <c r="I249" s="7" t="s">
        <v>1020</v>
      </c>
      <c r="J249" s="7" t="s">
        <v>16</v>
      </c>
      <c r="K249" s="7" t="s">
        <v>16</v>
      </c>
      <c r="L249" s="7" t="s">
        <v>16</v>
      </c>
      <c r="M249" s="31" t="s">
        <v>75</v>
      </c>
      <c r="N249" s="32" t="s">
        <v>1021</v>
      </c>
      <c r="O249" s="5"/>
      <c r="P249" s="5"/>
      <c r="Q249" s="5"/>
      <c r="R249" s="5"/>
      <c r="S249" s="5"/>
      <c r="T249" s="5"/>
      <c r="U249" s="5"/>
      <c r="V249" s="5"/>
      <c r="W249" s="5"/>
      <c r="X249" s="5"/>
      <c r="Y249" s="5"/>
      <c r="Z249" s="5"/>
    </row>
    <row r="250">
      <c r="A250" s="35" t="s">
        <v>1022</v>
      </c>
      <c r="B250" s="5" t="s">
        <v>14</v>
      </c>
      <c r="C250" s="7" t="s">
        <v>1023</v>
      </c>
      <c r="D250" s="7" t="s">
        <v>16</v>
      </c>
      <c r="E250" s="8">
        <v>2.0</v>
      </c>
      <c r="F250" s="7" t="s">
        <v>105</v>
      </c>
      <c r="G250" s="5" t="s">
        <v>19</v>
      </c>
      <c r="H250" s="7" t="s">
        <v>16</v>
      </c>
      <c r="I250" s="7" t="s">
        <v>1024</v>
      </c>
      <c r="J250" s="7" t="s">
        <v>16</v>
      </c>
      <c r="K250" s="7" t="s">
        <v>16</v>
      </c>
      <c r="L250" s="7" t="s">
        <v>16</v>
      </c>
      <c r="M250" s="31" t="s">
        <v>36</v>
      </c>
      <c r="N250" s="32" t="s">
        <v>1025</v>
      </c>
      <c r="O250" s="5"/>
      <c r="P250" s="5"/>
      <c r="Q250" s="5"/>
      <c r="R250" s="5"/>
      <c r="S250" s="5"/>
      <c r="T250" s="5"/>
      <c r="U250" s="5"/>
      <c r="V250" s="5"/>
      <c r="W250" s="5"/>
      <c r="X250" s="5"/>
      <c r="Y250" s="5"/>
      <c r="Z250" s="5"/>
    </row>
    <row r="251">
      <c r="A251" s="35" t="s">
        <v>1026</v>
      </c>
      <c r="B251" s="5" t="s">
        <v>14</v>
      </c>
      <c r="C251" s="7" t="s">
        <v>1027</v>
      </c>
      <c r="D251" s="7" t="s">
        <v>16</v>
      </c>
      <c r="E251" s="8">
        <v>2.0</v>
      </c>
      <c r="F251" s="7" t="s">
        <v>105</v>
      </c>
      <c r="G251" s="7" t="s">
        <v>19</v>
      </c>
      <c r="H251" s="7" t="s">
        <v>16</v>
      </c>
      <c r="I251" s="7" t="s">
        <v>1028</v>
      </c>
      <c r="J251" s="7" t="s">
        <v>16</v>
      </c>
      <c r="K251" s="7" t="s">
        <v>16</v>
      </c>
      <c r="L251" s="7" t="s">
        <v>16</v>
      </c>
      <c r="M251" s="31" t="s">
        <v>22</v>
      </c>
      <c r="N251" s="32" t="s">
        <v>1029</v>
      </c>
      <c r="O251" s="5"/>
      <c r="P251" s="5"/>
      <c r="Q251" s="5"/>
      <c r="R251" s="5"/>
      <c r="S251" s="5"/>
      <c r="T251" s="5"/>
      <c r="U251" s="5"/>
      <c r="V251" s="5"/>
      <c r="W251" s="5"/>
      <c r="X251" s="5"/>
      <c r="Y251" s="5"/>
      <c r="Z251" s="5"/>
    </row>
    <row r="252">
      <c r="A252" s="35" t="s">
        <v>1030</v>
      </c>
      <c r="B252" s="5" t="s">
        <v>14</v>
      </c>
      <c r="C252" s="7" t="s">
        <v>1031</v>
      </c>
      <c r="D252" s="7" t="s">
        <v>16</v>
      </c>
      <c r="E252" s="8">
        <v>3.0</v>
      </c>
      <c r="F252" s="7" t="s">
        <v>17</v>
      </c>
      <c r="G252" s="5" t="s">
        <v>19</v>
      </c>
      <c r="H252" s="7" t="s">
        <v>16</v>
      </c>
      <c r="I252" s="7" t="s">
        <v>1032</v>
      </c>
      <c r="J252" s="7" t="s">
        <v>16</v>
      </c>
      <c r="K252" s="7" t="s">
        <v>16</v>
      </c>
      <c r="L252" s="7" t="s">
        <v>16</v>
      </c>
      <c r="M252" s="31" t="s">
        <v>22</v>
      </c>
      <c r="N252" s="32" t="s">
        <v>1033</v>
      </c>
      <c r="O252" s="5"/>
      <c r="P252" s="5"/>
      <c r="Q252" s="5"/>
      <c r="R252" s="5"/>
      <c r="S252" s="5"/>
      <c r="T252" s="5"/>
      <c r="U252" s="5"/>
      <c r="V252" s="5"/>
      <c r="W252" s="5"/>
      <c r="X252" s="5"/>
      <c r="Y252" s="5"/>
      <c r="Z252" s="5"/>
    </row>
    <row r="253">
      <c r="A253" s="35" t="s">
        <v>1034</v>
      </c>
      <c r="B253" s="5" t="s">
        <v>14</v>
      </c>
      <c r="C253" s="7" t="s">
        <v>1035</v>
      </c>
      <c r="D253" s="7" t="s">
        <v>16</v>
      </c>
      <c r="E253" s="8">
        <v>1.0</v>
      </c>
      <c r="F253" s="7" t="s">
        <v>105</v>
      </c>
      <c r="G253" s="5" t="s">
        <v>461</v>
      </c>
      <c r="H253" s="7" t="s">
        <v>16</v>
      </c>
      <c r="I253" s="7" t="s">
        <v>1036</v>
      </c>
      <c r="J253" s="7" t="s">
        <v>16</v>
      </c>
      <c r="K253" s="7" t="s">
        <v>16</v>
      </c>
      <c r="L253" s="7" t="s">
        <v>16</v>
      </c>
      <c r="M253" s="31" t="s">
        <v>22</v>
      </c>
      <c r="N253" s="32" t="s">
        <v>1037</v>
      </c>
      <c r="O253" s="5"/>
      <c r="P253" s="5"/>
      <c r="Q253" s="5"/>
      <c r="R253" s="5"/>
      <c r="S253" s="5"/>
      <c r="T253" s="5"/>
      <c r="U253" s="5"/>
      <c r="V253" s="5"/>
      <c r="W253" s="5"/>
      <c r="X253" s="5"/>
      <c r="Y253" s="5"/>
      <c r="Z253" s="5"/>
    </row>
    <row r="254">
      <c r="A254" s="35" t="s">
        <v>1038</v>
      </c>
      <c r="B254" s="5" t="s">
        <v>14</v>
      </c>
      <c r="C254" s="7" t="s">
        <v>1039</v>
      </c>
      <c r="D254" s="7" t="s">
        <v>16</v>
      </c>
      <c r="E254" s="8">
        <v>0.0</v>
      </c>
      <c r="F254" s="7" t="s">
        <v>105</v>
      </c>
      <c r="G254" s="5" t="s">
        <v>19</v>
      </c>
      <c r="H254" s="7" t="s">
        <v>16</v>
      </c>
      <c r="I254" s="7" t="s">
        <v>1040</v>
      </c>
      <c r="J254" s="7" t="s">
        <v>16</v>
      </c>
      <c r="K254" s="7" t="s">
        <v>16</v>
      </c>
      <c r="L254" s="7" t="s">
        <v>16</v>
      </c>
      <c r="M254" s="31" t="s">
        <v>22</v>
      </c>
      <c r="N254" s="32" t="s">
        <v>1041</v>
      </c>
      <c r="O254" s="5"/>
      <c r="P254" s="5"/>
      <c r="Q254" s="5"/>
      <c r="R254" s="5"/>
      <c r="S254" s="5"/>
      <c r="T254" s="5"/>
      <c r="U254" s="5"/>
      <c r="V254" s="5"/>
      <c r="W254" s="5"/>
      <c r="X254" s="5"/>
      <c r="Y254" s="5"/>
      <c r="Z254" s="5"/>
    </row>
    <row r="255">
      <c r="A255" s="35" t="s">
        <v>1042</v>
      </c>
      <c r="B255" s="5" t="s">
        <v>14</v>
      </c>
      <c r="C255" s="7" t="s">
        <v>1043</v>
      </c>
      <c r="D255" s="7" t="s">
        <v>16</v>
      </c>
      <c r="E255" s="8">
        <v>3.0</v>
      </c>
      <c r="F255" s="7" t="s">
        <v>17</v>
      </c>
      <c r="G255" s="5" t="s">
        <v>461</v>
      </c>
      <c r="H255" s="7" t="s">
        <v>822</v>
      </c>
      <c r="I255" s="7" t="s">
        <v>1044</v>
      </c>
      <c r="J255" s="7" t="s">
        <v>16</v>
      </c>
      <c r="K255" s="7" t="s">
        <v>16</v>
      </c>
      <c r="L255" s="7" t="s">
        <v>16</v>
      </c>
      <c r="M255" s="31" t="s">
        <v>36</v>
      </c>
      <c r="N255" s="32" t="s">
        <v>1045</v>
      </c>
      <c r="O255" s="5"/>
      <c r="P255" s="5"/>
      <c r="Q255" s="5"/>
      <c r="R255" s="5"/>
      <c r="S255" s="5"/>
      <c r="T255" s="5"/>
      <c r="U255" s="5"/>
      <c r="V255" s="5"/>
      <c r="W255" s="5"/>
      <c r="X255" s="5"/>
      <c r="Y255" s="5"/>
      <c r="Z255" s="5"/>
    </row>
    <row r="256">
      <c r="A256" s="35" t="s">
        <v>1046</v>
      </c>
      <c r="B256" s="5" t="s">
        <v>14</v>
      </c>
      <c r="C256" s="7" t="s">
        <v>1047</v>
      </c>
      <c r="D256" s="7" t="s">
        <v>16</v>
      </c>
      <c r="E256" s="8">
        <v>4.0</v>
      </c>
      <c r="F256" s="7" t="s">
        <v>105</v>
      </c>
      <c r="G256" s="5" t="s">
        <v>461</v>
      </c>
      <c r="H256" s="7" t="s">
        <v>16</v>
      </c>
      <c r="I256" s="7" t="s">
        <v>1048</v>
      </c>
      <c r="J256" s="7" t="s">
        <v>16</v>
      </c>
      <c r="K256" s="7" t="s">
        <v>16</v>
      </c>
      <c r="L256" s="7" t="s">
        <v>16</v>
      </c>
      <c r="M256" s="31" t="s">
        <v>22</v>
      </c>
      <c r="N256" s="32" t="s">
        <v>1049</v>
      </c>
      <c r="O256" s="5"/>
      <c r="P256" s="5"/>
      <c r="Q256" s="5"/>
      <c r="R256" s="5"/>
      <c r="S256" s="5"/>
      <c r="T256" s="5"/>
      <c r="U256" s="5"/>
      <c r="V256" s="5"/>
      <c r="W256" s="5"/>
      <c r="X256" s="5"/>
      <c r="Y256" s="5"/>
      <c r="Z256" s="5"/>
    </row>
    <row r="257">
      <c r="A257" s="35" t="s">
        <v>1050</v>
      </c>
      <c r="B257" s="5" t="s">
        <v>14</v>
      </c>
      <c r="C257" s="7" t="s">
        <v>1051</v>
      </c>
      <c r="D257" s="7" t="s">
        <v>16</v>
      </c>
      <c r="E257" s="8">
        <v>2.0</v>
      </c>
      <c r="F257" s="7" t="s">
        <v>105</v>
      </c>
      <c r="G257" s="5" t="s">
        <v>19</v>
      </c>
      <c r="H257" s="7" t="s">
        <v>16</v>
      </c>
      <c r="I257" s="7" t="s">
        <v>1052</v>
      </c>
      <c r="J257" s="7" t="s">
        <v>16</v>
      </c>
      <c r="K257" s="7" t="s">
        <v>16</v>
      </c>
      <c r="L257" s="7" t="s">
        <v>16</v>
      </c>
      <c r="M257" s="31" t="s">
        <v>36</v>
      </c>
      <c r="N257" s="32" t="s">
        <v>1053</v>
      </c>
      <c r="O257" s="5"/>
      <c r="P257" s="5"/>
      <c r="Q257" s="5"/>
      <c r="R257" s="5"/>
      <c r="S257" s="5"/>
      <c r="T257" s="5"/>
      <c r="U257" s="5"/>
      <c r="V257" s="5"/>
      <c r="W257" s="5"/>
      <c r="X257" s="5"/>
      <c r="Y257" s="5"/>
      <c r="Z257" s="5"/>
    </row>
    <row r="258">
      <c r="A258" s="35" t="s">
        <v>1054</v>
      </c>
      <c r="B258" s="5" t="s">
        <v>14</v>
      </c>
      <c r="C258" s="7" t="s">
        <v>1055</v>
      </c>
      <c r="D258" s="7" t="s">
        <v>16</v>
      </c>
      <c r="E258" s="8">
        <v>3.0</v>
      </c>
      <c r="F258" s="7" t="s">
        <v>105</v>
      </c>
      <c r="G258" s="5" t="s">
        <v>461</v>
      </c>
      <c r="H258" s="7" t="s">
        <v>16</v>
      </c>
      <c r="I258" s="7" t="s">
        <v>1056</v>
      </c>
      <c r="J258" s="7" t="s">
        <v>16</v>
      </c>
      <c r="K258" s="7" t="s">
        <v>16</v>
      </c>
      <c r="L258" s="7" t="s">
        <v>16</v>
      </c>
      <c r="M258" s="31" t="s">
        <v>36</v>
      </c>
      <c r="N258" s="32" t="s">
        <v>1057</v>
      </c>
      <c r="O258" s="5"/>
      <c r="P258" s="5"/>
      <c r="Q258" s="5"/>
      <c r="R258" s="5"/>
      <c r="S258" s="5"/>
      <c r="T258" s="5"/>
      <c r="U258" s="5"/>
      <c r="V258" s="5"/>
      <c r="W258" s="5"/>
      <c r="X258" s="5"/>
      <c r="Y258" s="5"/>
      <c r="Z258" s="5"/>
    </row>
    <row r="259">
      <c r="A259" s="35" t="s">
        <v>1058</v>
      </c>
      <c r="B259" s="5" t="s">
        <v>14</v>
      </c>
      <c r="C259" s="7" t="s">
        <v>1059</v>
      </c>
      <c r="D259" s="7" t="s">
        <v>16</v>
      </c>
      <c r="E259" s="8">
        <v>0.0</v>
      </c>
      <c r="F259" s="7" t="s">
        <v>17</v>
      </c>
      <c r="G259" s="5" t="s">
        <v>326</v>
      </c>
      <c r="H259" s="7" t="s">
        <v>16</v>
      </c>
      <c r="I259" s="7" t="s">
        <v>1060</v>
      </c>
      <c r="J259" s="7" t="s">
        <v>16</v>
      </c>
      <c r="K259" s="7" t="s">
        <v>16</v>
      </c>
      <c r="L259" s="7" t="s">
        <v>16</v>
      </c>
      <c r="M259" s="31" t="s">
        <v>22</v>
      </c>
      <c r="N259" s="32" t="s">
        <v>1061</v>
      </c>
      <c r="O259" s="5"/>
      <c r="P259" s="5"/>
      <c r="Q259" s="5"/>
      <c r="R259" s="5"/>
      <c r="S259" s="5"/>
      <c r="T259" s="5"/>
      <c r="U259" s="5"/>
      <c r="V259" s="5"/>
      <c r="W259" s="5"/>
      <c r="X259" s="5"/>
      <c r="Y259" s="5"/>
      <c r="Z259" s="5"/>
    </row>
    <row r="260">
      <c r="A260" s="17" t="s">
        <v>1062</v>
      </c>
      <c r="B260" s="5" t="s">
        <v>14</v>
      </c>
      <c r="C260" s="7" t="s">
        <v>1063</v>
      </c>
      <c r="D260" s="7" t="s">
        <v>16</v>
      </c>
      <c r="E260" s="8">
        <v>2.0</v>
      </c>
      <c r="F260" s="7" t="s">
        <v>17</v>
      </c>
      <c r="G260" s="5" t="s">
        <v>19</v>
      </c>
      <c r="H260" s="7" t="s">
        <v>16</v>
      </c>
      <c r="I260" s="7" t="s">
        <v>1064</v>
      </c>
      <c r="J260" s="7" t="s">
        <v>16</v>
      </c>
      <c r="K260" s="7" t="s">
        <v>16</v>
      </c>
      <c r="L260" s="7" t="s">
        <v>16</v>
      </c>
      <c r="M260" s="31" t="s">
        <v>75</v>
      </c>
      <c r="N260" s="32" t="s">
        <v>1065</v>
      </c>
      <c r="O260" s="5"/>
      <c r="P260" s="5"/>
      <c r="Q260" s="5"/>
      <c r="R260" s="5"/>
      <c r="S260" s="5"/>
      <c r="T260" s="5"/>
      <c r="U260" s="5"/>
      <c r="V260" s="5"/>
      <c r="W260" s="5"/>
      <c r="X260" s="5"/>
      <c r="Y260" s="5"/>
      <c r="Z260" s="5"/>
    </row>
    <row r="261">
      <c r="A261" s="17" t="s">
        <v>1066</v>
      </c>
      <c r="B261" s="7" t="s">
        <v>1067</v>
      </c>
      <c r="C261" s="7" t="s">
        <v>1068</v>
      </c>
      <c r="D261" s="7" t="s">
        <v>1068</v>
      </c>
      <c r="E261" s="7" t="s">
        <v>16</v>
      </c>
      <c r="F261" s="7" t="s">
        <v>16</v>
      </c>
      <c r="G261" s="5" t="s">
        <v>19</v>
      </c>
      <c r="H261" s="7" t="s">
        <v>1069</v>
      </c>
      <c r="I261" s="7" t="s">
        <v>16</v>
      </c>
      <c r="J261" s="8">
        <v>4500.0</v>
      </c>
      <c r="K261" s="7" t="s">
        <v>16</v>
      </c>
      <c r="L261" s="7" t="s">
        <v>1070</v>
      </c>
      <c r="M261" s="31" t="s">
        <v>22</v>
      </c>
      <c r="N261" s="32" t="s">
        <v>1071</v>
      </c>
      <c r="O261" s="5"/>
      <c r="P261" s="5"/>
      <c r="Q261" s="5"/>
      <c r="R261" s="5"/>
      <c r="S261" s="5"/>
      <c r="T261" s="5"/>
      <c r="U261" s="5"/>
      <c r="V261" s="5"/>
      <c r="W261" s="5"/>
      <c r="X261" s="5"/>
      <c r="Y261" s="5"/>
      <c r="Z261" s="5"/>
    </row>
    <row r="262">
      <c r="A262" s="17" t="s">
        <v>1072</v>
      </c>
      <c r="B262" s="7" t="s">
        <v>1067</v>
      </c>
      <c r="C262" s="7" t="s">
        <v>1073</v>
      </c>
      <c r="D262" s="7" t="s">
        <v>1073</v>
      </c>
      <c r="E262" s="7" t="s">
        <v>16</v>
      </c>
      <c r="F262" s="7" t="s">
        <v>16</v>
      </c>
      <c r="G262" s="5" t="s">
        <v>19</v>
      </c>
      <c r="H262" s="7" t="s">
        <v>1074</v>
      </c>
      <c r="I262" s="7" t="s">
        <v>1075</v>
      </c>
      <c r="J262" s="8">
        <v>2000.0</v>
      </c>
      <c r="K262" s="7" t="s">
        <v>16</v>
      </c>
      <c r="L262" s="7" t="s">
        <v>1076</v>
      </c>
      <c r="M262" s="7" t="s">
        <v>22</v>
      </c>
      <c r="N262" s="7" t="s">
        <v>1077</v>
      </c>
      <c r="O262" s="5"/>
      <c r="P262" s="5"/>
      <c r="Q262" s="5"/>
      <c r="R262" s="5"/>
      <c r="S262" s="5"/>
      <c r="T262" s="5"/>
      <c r="U262" s="5"/>
      <c r="V262" s="5"/>
      <c r="W262" s="5"/>
      <c r="X262" s="5"/>
      <c r="Y262" s="5"/>
      <c r="Z262" s="5"/>
    </row>
    <row r="263">
      <c r="A263" s="17" t="s">
        <v>1078</v>
      </c>
      <c r="B263" s="5" t="s">
        <v>1067</v>
      </c>
      <c r="C263" s="7" t="s">
        <v>1079</v>
      </c>
      <c r="D263" s="7" t="s">
        <v>1079</v>
      </c>
      <c r="E263" s="7" t="s">
        <v>16</v>
      </c>
      <c r="F263" s="7" t="s">
        <v>16</v>
      </c>
      <c r="G263" s="5" t="s">
        <v>19</v>
      </c>
      <c r="H263" s="7" t="s">
        <v>1080</v>
      </c>
      <c r="I263" s="7" t="s">
        <v>1081</v>
      </c>
      <c r="J263" s="8">
        <v>1500.0</v>
      </c>
      <c r="K263" s="7" t="s">
        <v>16</v>
      </c>
      <c r="L263" s="7" t="s">
        <v>1082</v>
      </c>
      <c r="M263" s="5" t="s">
        <v>36</v>
      </c>
      <c r="N263" s="32" t="s">
        <v>1083</v>
      </c>
      <c r="O263" s="5"/>
      <c r="P263" s="5"/>
      <c r="Q263" s="5"/>
      <c r="R263" s="5"/>
      <c r="S263" s="5"/>
      <c r="T263" s="5"/>
      <c r="U263" s="5"/>
      <c r="V263" s="5"/>
      <c r="W263" s="5"/>
      <c r="X263" s="5"/>
      <c r="Y263" s="5"/>
      <c r="Z263" s="5"/>
    </row>
    <row r="264">
      <c r="A264" s="17" t="s">
        <v>1084</v>
      </c>
      <c r="B264" s="5" t="s">
        <v>1067</v>
      </c>
      <c r="C264" s="7" t="s">
        <v>1085</v>
      </c>
      <c r="D264" s="7" t="s">
        <v>1085</v>
      </c>
      <c r="E264" s="7" t="s">
        <v>16</v>
      </c>
      <c r="F264" s="7" t="s">
        <v>16</v>
      </c>
      <c r="G264" s="5" t="s">
        <v>19</v>
      </c>
      <c r="H264" s="7" t="s">
        <v>1086</v>
      </c>
      <c r="I264" s="7" t="s">
        <v>16</v>
      </c>
      <c r="J264" s="8">
        <v>4000.0</v>
      </c>
      <c r="K264" s="7" t="s">
        <v>16</v>
      </c>
      <c r="L264" s="7" t="s">
        <v>1070</v>
      </c>
      <c r="M264" s="10" t="s">
        <v>22</v>
      </c>
      <c r="N264" s="32" t="s">
        <v>1087</v>
      </c>
      <c r="O264" s="5"/>
      <c r="P264" s="5"/>
      <c r="Q264" s="5"/>
      <c r="R264" s="5"/>
      <c r="S264" s="5"/>
      <c r="T264" s="5"/>
      <c r="U264" s="5"/>
      <c r="V264" s="5"/>
      <c r="W264" s="5"/>
      <c r="X264" s="5"/>
      <c r="Y264" s="5"/>
      <c r="Z264" s="5"/>
    </row>
    <row r="265">
      <c r="A265" s="17" t="s">
        <v>1088</v>
      </c>
      <c r="B265" s="5" t="s">
        <v>1067</v>
      </c>
      <c r="C265" s="7" t="s">
        <v>411</v>
      </c>
      <c r="D265" s="7" t="s">
        <v>411</v>
      </c>
      <c r="E265" s="7" t="s">
        <v>16</v>
      </c>
      <c r="F265" s="7" t="s">
        <v>16</v>
      </c>
      <c r="G265" s="5" t="s">
        <v>19</v>
      </c>
      <c r="H265" s="7" t="s">
        <v>1089</v>
      </c>
      <c r="I265" s="7" t="s">
        <v>16</v>
      </c>
      <c r="J265" s="8">
        <v>4000.0</v>
      </c>
      <c r="K265" s="7" t="s">
        <v>16</v>
      </c>
      <c r="L265" s="7" t="s">
        <v>1070</v>
      </c>
      <c r="M265" s="10" t="s">
        <v>22</v>
      </c>
      <c r="N265" s="32" t="s">
        <v>1090</v>
      </c>
      <c r="O265" s="5"/>
      <c r="P265" s="5"/>
      <c r="Q265" s="5"/>
      <c r="R265" s="5"/>
      <c r="S265" s="5"/>
      <c r="T265" s="5"/>
      <c r="U265" s="5"/>
      <c r="V265" s="5"/>
      <c r="W265" s="5"/>
      <c r="X265" s="5"/>
      <c r="Y265" s="5"/>
      <c r="Z265" s="5"/>
    </row>
    <row r="266">
      <c r="A266" s="17" t="s">
        <v>1091</v>
      </c>
      <c r="B266" s="7" t="s">
        <v>1067</v>
      </c>
      <c r="C266" s="7" t="s">
        <v>1092</v>
      </c>
      <c r="D266" s="7" t="s">
        <v>1092</v>
      </c>
      <c r="E266" s="7" t="s">
        <v>16</v>
      </c>
      <c r="F266" s="7" t="s">
        <v>16</v>
      </c>
      <c r="G266" s="5" t="s">
        <v>19</v>
      </c>
      <c r="H266" s="7" t="s">
        <v>1093</v>
      </c>
      <c r="I266" s="7" t="s">
        <v>16</v>
      </c>
      <c r="J266" s="8">
        <v>4000.0</v>
      </c>
      <c r="K266" s="7" t="s">
        <v>16</v>
      </c>
      <c r="L266" s="7" t="s">
        <v>1070</v>
      </c>
      <c r="M266" s="10" t="s">
        <v>22</v>
      </c>
      <c r="N266" s="32" t="s">
        <v>1094</v>
      </c>
      <c r="O266" s="5"/>
      <c r="P266" s="5"/>
      <c r="Q266" s="5"/>
      <c r="R266" s="5"/>
      <c r="S266" s="5"/>
      <c r="T266" s="5"/>
      <c r="U266" s="5"/>
      <c r="V266" s="5"/>
      <c r="W266" s="5"/>
      <c r="X266" s="5"/>
      <c r="Y266" s="5"/>
      <c r="Z266" s="5"/>
    </row>
    <row r="267">
      <c r="A267" s="17" t="s">
        <v>1095</v>
      </c>
      <c r="B267" s="7" t="s">
        <v>1096</v>
      </c>
      <c r="C267" s="7" t="s">
        <v>1097</v>
      </c>
      <c r="D267" s="7" t="s">
        <v>1068</v>
      </c>
      <c r="E267" s="7" t="s">
        <v>16</v>
      </c>
      <c r="F267" s="7" t="s">
        <v>16</v>
      </c>
      <c r="G267" s="5" t="s">
        <v>19</v>
      </c>
      <c r="H267" s="7" t="s">
        <v>1098</v>
      </c>
      <c r="I267" s="7" t="s">
        <v>1099</v>
      </c>
      <c r="J267" s="7" t="s">
        <v>16</v>
      </c>
      <c r="K267" s="7" t="s">
        <v>16</v>
      </c>
      <c r="L267" s="7" t="s">
        <v>1100</v>
      </c>
      <c r="M267" s="10" t="s">
        <v>36</v>
      </c>
      <c r="N267" s="32" t="s">
        <v>1101</v>
      </c>
      <c r="O267" s="5"/>
      <c r="P267" s="5"/>
      <c r="Q267" s="5"/>
      <c r="R267" s="5"/>
      <c r="S267" s="5"/>
      <c r="T267" s="5"/>
      <c r="U267" s="5"/>
      <c r="V267" s="5"/>
      <c r="W267" s="5"/>
      <c r="X267" s="5"/>
      <c r="Y267" s="5"/>
      <c r="Z267" s="5"/>
    </row>
    <row r="268">
      <c r="A268" s="17" t="s">
        <v>1102</v>
      </c>
      <c r="B268" s="5" t="s">
        <v>1096</v>
      </c>
      <c r="C268" s="7" t="s">
        <v>1103</v>
      </c>
      <c r="D268" s="7" t="s">
        <v>1073</v>
      </c>
      <c r="E268" s="7" t="s">
        <v>16</v>
      </c>
      <c r="F268" s="7" t="s">
        <v>16</v>
      </c>
      <c r="G268" s="5" t="s">
        <v>19</v>
      </c>
      <c r="H268" s="7" t="s">
        <v>1104</v>
      </c>
      <c r="I268" s="7" t="s">
        <v>1105</v>
      </c>
      <c r="J268" s="7" t="s">
        <v>16</v>
      </c>
      <c r="K268" s="7" t="s">
        <v>16</v>
      </c>
      <c r="L268" s="7" t="s">
        <v>1082</v>
      </c>
      <c r="M268" s="10" t="s">
        <v>22</v>
      </c>
      <c r="N268" s="11" t="s">
        <v>1106</v>
      </c>
      <c r="O268" s="5"/>
      <c r="P268" s="5"/>
      <c r="Q268" s="5"/>
      <c r="R268" s="5"/>
      <c r="S268" s="5"/>
      <c r="T268" s="5"/>
      <c r="U268" s="5"/>
      <c r="V268" s="5"/>
      <c r="W268" s="5"/>
      <c r="X268" s="5"/>
      <c r="Y268" s="5"/>
      <c r="Z268" s="5"/>
    </row>
    <row r="269">
      <c r="A269" s="17" t="s">
        <v>1107</v>
      </c>
      <c r="B269" s="5" t="s">
        <v>1096</v>
      </c>
      <c r="C269" s="7" t="s">
        <v>1108</v>
      </c>
      <c r="D269" s="7" t="s">
        <v>1079</v>
      </c>
      <c r="E269" s="7" t="s">
        <v>16</v>
      </c>
      <c r="F269" s="7" t="s">
        <v>16</v>
      </c>
      <c r="G269" s="5" t="s">
        <v>19</v>
      </c>
      <c r="H269" s="7" t="s">
        <v>1109</v>
      </c>
      <c r="I269" s="7" t="s">
        <v>1110</v>
      </c>
      <c r="J269" s="7" t="s">
        <v>16</v>
      </c>
      <c r="K269" s="7" t="s">
        <v>16</v>
      </c>
      <c r="L269" s="7" t="s">
        <v>1082</v>
      </c>
      <c r="M269" s="10" t="s">
        <v>36</v>
      </c>
      <c r="N269" s="11" t="s">
        <v>1111</v>
      </c>
      <c r="O269" s="5"/>
      <c r="P269" s="5"/>
      <c r="Q269" s="5"/>
      <c r="R269" s="5"/>
      <c r="S269" s="5"/>
      <c r="T269" s="5"/>
      <c r="U269" s="5"/>
      <c r="V269" s="5"/>
      <c r="W269" s="5"/>
      <c r="X269" s="5"/>
      <c r="Y269" s="5"/>
      <c r="Z269" s="5"/>
    </row>
    <row r="270">
      <c r="A270" s="17" t="s">
        <v>1112</v>
      </c>
      <c r="B270" s="5" t="s">
        <v>1096</v>
      </c>
      <c r="C270" s="7" t="s">
        <v>1113</v>
      </c>
      <c r="D270" s="7" t="s">
        <v>1085</v>
      </c>
      <c r="E270" s="7" t="s">
        <v>16</v>
      </c>
      <c r="F270" s="7" t="s">
        <v>16</v>
      </c>
      <c r="G270" s="5" t="s">
        <v>19</v>
      </c>
      <c r="H270" s="7" t="s">
        <v>1114</v>
      </c>
      <c r="I270" s="7" t="s">
        <v>1115</v>
      </c>
      <c r="J270" s="7" t="s">
        <v>16</v>
      </c>
      <c r="K270" s="7" t="s">
        <v>16</v>
      </c>
      <c r="L270" s="7" t="s">
        <v>1070</v>
      </c>
      <c r="M270" s="31" t="s">
        <v>22</v>
      </c>
      <c r="N270" s="32" t="s">
        <v>1116</v>
      </c>
      <c r="O270" s="5"/>
      <c r="P270" s="5"/>
      <c r="Q270" s="5"/>
      <c r="R270" s="5"/>
      <c r="S270" s="5"/>
      <c r="T270" s="5"/>
      <c r="U270" s="5"/>
      <c r="V270" s="5"/>
      <c r="W270" s="5"/>
      <c r="X270" s="5"/>
      <c r="Y270" s="5"/>
      <c r="Z270" s="5"/>
    </row>
    <row r="271">
      <c r="A271" s="17" t="s">
        <v>1117</v>
      </c>
      <c r="B271" s="5" t="s">
        <v>1096</v>
      </c>
      <c r="C271" s="7" t="s">
        <v>1118</v>
      </c>
      <c r="D271" s="7" t="s">
        <v>411</v>
      </c>
      <c r="E271" s="7" t="s">
        <v>16</v>
      </c>
      <c r="F271" s="7" t="s">
        <v>16</v>
      </c>
      <c r="G271" s="5" t="s">
        <v>19</v>
      </c>
      <c r="H271" s="7" t="s">
        <v>1119</v>
      </c>
      <c r="I271" s="7" t="s">
        <v>1120</v>
      </c>
      <c r="J271" s="7" t="s">
        <v>16</v>
      </c>
      <c r="K271" s="7" t="s">
        <v>16</v>
      </c>
      <c r="L271" s="7" t="s">
        <v>1070</v>
      </c>
      <c r="M271" s="31" t="s">
        <v>22</v>
      </c>
      <c r="N271" s="32" t="s">
        <v>1121</v>
      </c>
      <c r="O271" s="5"/>
      <c r="P271" s="5"/>
      <c r="Q271" s="5"/>
      <c r="R271" s="5"/>
      <c r="S271" s="5"/>
      <c r="T271" s="5"/>
      <c r="U271" s="5"/>
      <c r="V271" s="5"/>
      <c r="W271" s="5"/>
      <c r="X271" s="5"/>
      <c r="Y271" s="5"/>
      <c r="Z271" s="5"/>
    </row>
    <row r="272">
      <c r="A272" s="17" t="s">
        <v>1122</v>
      </c>
      <c r="B272" s="5" t="s">
        <v>1096</v>
      </c>
      <c r="C272" s="7" t="s">
        <v>1123</v>
      </c>
      <c r="D272" s="7" t="s">
        <v>1092</v>
      </c>
      <c r="E272" s="7" t="s">
        <v>16</v>
      </c>
      <c r="F272" s="7" t="s">
        <v>16</v>
      </c>
      <c r="G272" s="5" t="s">
        <v>19</v>
      </c>
      <c r="H272" s="7" t="s">
        <v>1124</v>
      </c>
      <c r="I272" s="7" t="s">
        <v>1125</v>
      </c>
      <c r="J272" s="7" t="s">
        <v>16</v>
      </c>
      <c r="K272" s="7" t="s">
        <v>16</v>
      </c>
      <c r="L272" s="7" t="s">
        <v>1070</v>
      </c>
      <c r="M272" s="31" t="s">
        <v>22</v>
      </c>
      <c r="N272" s="32" t="s">
        <v>1126</v>
      </c>
      <c r="O272" s="5"/>
      <c r="P272" s="5"/>
      <c r="Q272" s="5"/>
      <c r="R272" s="5"/>
      <c r="S272" s="5"/>
      <c r="T272" s="5"/>
      <c r="U272" s="5"/>
      <c r="V272" s="5"/>
      <c r="W272" s="5"/>
      <c r="X272" s="5"/>
      <c r="Y272" s="5"/>
      <c r="Z272" s="5"/>
    </row>
    <row r="273">
      <c r="A273" s="17" t="s">
        <v>1127</v>
      </c>
      <c r="B273" s="5" t="s">
        <v>1128</v>
      </c>
      <c r="C273" s="7" t="s">
        <v>1129</v>
      </c>
      <c r="D273" s="7" t="s">
        <v>1068</v>
      </c>
      <c r="E273" s="8">
        <v>3.0</v>
      </c>
      <c r="F273" s="7" t="s">
        <v>105</v>
      </c>
      <c r="G273" s="5" t="s">
        <v>19</v>
      </c>
      <c r="H273" s="7" t="s">
        <v>1130</v>
      </c>
      <c r="I273" s="7" t="s">
        <v>1131</v>
      </c>
      <c r="J273" s="36" t="s">
        <v>1132</v>
      </c>
      <c r="K273" s="8">
        <v>2.0</v>
      </c>
      <c r="L273" s="7" t="s">
        <v>1070</v>
      </c>
      <c r="M273" s="31" t="s">
        <v>22</v>
      </c>
      <c r="N273" s="32" t="s">
        <v>1133</v>
      </c>
      <c r="O273" s="5"/>
      <c r="P273" s="5"/>
      <c r="Q273" s="5"/>
      <c r="R273" s="5"/>
      <c r="S273" s="5"/>
      <c r="T273" s="5"/>
      <c r="U273" s="5"/>
      <c r="V273" s="5"/>
      <c r="W273" s="5"/>
      <c r="X273" s="5"/>
      <c r="Y273" s="5"/>
      <c r="Z273" s="5"/>
    </row>
    <row r="274">
      <c r="A274" s="17" t="s">
        <v>1134</v>
      </c>
      <c r="B274" s="7" t="s">
        <v>1128</v>
      </c>
      <c r="C274" s="7" t="s">
        <v>1135</v>
      </c>
      <c r="D274" s="7" t="s">
        <v>1068</v>
      </c>
      <c r="E274" s="8">
        <v>1.0</v>
      </c>
      <c r="F274" s="7" t="s">
        <v>172</v>
      </c>
      <c r="G274" s="5" t="s">
        <v>19</v>
      </c>
      <c r="H274" s="7" t="s">
        <v>1130</v>
      </c>
      <c r="I274" s="7" t="s">
        <v>1136</v>
      </c>
      <c r="J274" s="36" t="s">
        <v>1137</v>
      </c>
      <c r="K274" s="8">
        <v>1.0</v>
      </c>
      <c r="L274" s="7" t="s">
        <v>1070</v>
      </c>
      <c r="M274" s="31" t="s">
        <v>36</v>
      </c>
      <c r="N274" s="32" t="s">
        <v>1138</v>
      </c>
      <c r="O274" s="5"/>
      <c r="P274" s="5"/>
      <c r="Q274" s="5"/>
      <c r="R274" s="5"/>
      <c r="S274" s="5"/>
      <c r="T274" s="5"/>
      <c r="U274" s="5"/>
      <c r="V274" s="5"/>
      <c r="W274" s="5"/>
      <c r="X274" s="5"/>
      <c r="Y274" s="5"/>
      <c r="Z274" s="5"/>
    </row>
    <row r="275">
      <c r="A275" s="17" t="s">
        <v>1139</v>
      </c>
      <c r="B275" s="7" t="s">
        <v>1128</v>
      </c>
      <c r="C275" s="7" t="s">
        <v>1140</v>
      </c>
      <c r="D275" s="7" t="s">
        <v>1079</v>
      </c>
      <c r="E275" s="8">
        <v>1.0</v>
      </c>
      <c r="F275" s="7" t="s">
        <v>17</v>
      </c>
      <c r="G275" s="5" t="s">
        <v>19</v>
      </c>
      <c r="H275" s="7" t="s">
        <v>16</v>
      </c>
      <c r="I275" s="7" t="s">
        <v>1141</v>
      </c>
      <c r="J275" s="36" t="s">
        <v>1132</v>
      </c>
      <c r="K275" s="7" t="s">
        <v>16</v>
      </c>
      <c r="L275" s="7" t="s">
        <v>1070</v>
      </c>
      <c r="M275" s="31" t="s">
        <v>22</v>
      </c>
      <c r="N275" s="32" t="s">
        <v>1142</v>
      </c>
      <c r="O275" s="5"/>
      <c r="P275" s="5"/>
      <c r="Q275" s="5"/>
      <c r="R275" s="5"/>
      <c r="S275" s="5"/>
      <c r="T275" s="5"/>
      <c r="U275" s="5"/>
      <c r="V275" s="5"/>
      <c r="W275" s="5"/>
      <c r="X275" s="5"/>
      <c r="Y275" s="5"/>
      <c r="Z275" s="5"/>
    </row>
    <row r="276">
      <c r="A276" s="17" t="s">
        <v>1143</v>
      </c>
      <c r="B276" s="7" t="s">
        <v>1128</v>
      </c>
      <c r="C276" s="7" t="s">
        <v>1144</v>
      </c>
      <c r="D276" s="7" t="s">
        <v>1085</v>
      </c>
      <c r="E276" s="8">
        <v>2.0</v>
      </c>
      <c r="F276" s="7" t="s">
        <v>172</v>
      </c>
      <c r="G276" s="7" t="s">
        <v>19</v>
      </c>
      <c r="H276" s="7" t="s">
        <v>1145</v>
      </c>
      <c r="I276" s="7" t="s">
        <v>1136</v>
      </c>
      <c r="J276" s="36" t="s">
        <v>1146</v>
      </c>
      <c r="K276" s="8">
        <v>1.0</v>
      </c>
      <c r="L276" s="7" t="s">
        <v>1070</v>
      </c>
      <c r="M276" s="31" t="s">
        <v>22</v>
      </c>
      <c r="N276" s="32" t="s">
        <v>1147</v>
      </c>
      <c r="O276" s="5"/>
      <c r="P276" s="5"/>
      <c r="Q276" s="5"/>
      <c r="R276" s="5"/>
      <c r="S276" s="5"/>
      <c r="T276" s="5"/>
      <c r="U276" s="5"/>
      <c r="V276" s="5"/>
      <c r="W276" s="5"/>
      <c r="X276" s="5"/>
      <c r="Y276" s="5"/>
      <c r="Z276" s="5"/>
    </row>
    <row r="277">
      <c r="A277" s="17" t="s">
        <v>1148</v>
      </c>
      <c r="B277" s="5" t="s">
        <v>1128</v>
      </c>
      <c r="C277" s="7" t="s">
        <v>1149</v>
      </c>
      <c r="D277" s="7" t="s">
        <v>411</v>
      </c>
      <c r="E277" s="8">
        <v>2.0</v>
      </c>
      <c r="F277" s="7" t="s">
        <v>17</v>
      </c>
      <c r="G277" s="5" t="s">
        <v>19</v>
      </c>
      <c r="H277" s="7" t="s">
        <v>16</v>
      </c>
      <c r="I277" s="7" t="s">
        <v>1131</v>
      </c>
      <c r="J277" s="36" t="s">
        <v>1132</v>
      </c>
      <c r="K277" s="8">
        <v>1.0</v>
      </c>
      <c r="L277" s="7" t="s">
        <v>1070</v>
      </c>
      <c r="M277" s="31" t="s">
        <v>22</v>
      </c>
      <c r="N277" s="32" t="s">
        <v>1150</v>
      </c>
      <c r="O277" s="5"/>
      <c r="P277" s="5"/>
      <c r="Q277" s="5"/>
      <c r="R277" s="5"/>
      <c r="S277" s="5"/>
      <c r="T277" s="5"/>
      <c r="U277" s="5"/>
      <c r="V277" s="5"/>
      <c r="W277" s="5"/>
      <c r="X277" s="5"/>
      <c r="Y277" s="5"/>
      <c r="Z277" s="5"/>
    </row>
    <row r="278">
      <c r="A278" s="17" t="s">
        <v>1151</v>
      </c>
      <c r="B278" s="5" t="s">
        <v>1128</v>
      </c>
      <c r="C278" s="7" t="s">
        <v>1152</v>
      </c>
      <c r="D278" s="7" t="s">
        <v>411</v>
      </c>
      <c r="E278" s="8">
        <v>2.0</v>
      </c>
      <c r="F278" s="7" t="s">
        <v>172</v>
      </c>
      <c r="G278" s="5" t="s">
        <v>19</v>
      </c>
      <c r="H278" s="7" t="s">
        <v>16</v>
      </c>
      <c r="I278" s="7" t="s">
        <v>1153</v>
      </c>
      <c r="J278" s="36" t="s">
        <v>1154</v>
      </c>
      <c r="K278" s="7" t="s">
        <v>16</v>
      </c>
      <c r="L278" s="7" t="s">
        <v>1070</v>
      </c>
      <c r="M278" s="7" t="s">
        <v>36</v>
      </c>
      <c r="N278" s="7" t="s">
        <v>1155</v>
      </c>
      <c r="O278" s="5"/>
      <c r="P278" s="5"/>
      <c r="Q278" s="5"/>
      <c r="R278" s="5"/>
      <c r="S278" s="5"/>
      <c r="T278" s="5"/>
      <c r="U278" s="5"/>
      <c r="V278" s="5"/>
      <c r="W278" s="5"/>
      <c r="X278" s="5"/>
      <c r="Y278" s="5"/>
      <c r="Z278" s="5"/>
    </row>
    <row r="279">
      <c r="A279" s="17" t="s">
        <v>1156</v>
      </c>
      <c r="B279" s="5" t="s">
        <v>1128</v>
      </c>
      <c r="C279" s="7" t="s">
        <v>1157</v>
      </c>
      <c r="D279" s="7" t="s">
        <v>1092</v>
      </c>
      <c r="E279" s="8">
        <v>1.0</v>
      </c>
      <c r="F279" s="7" t="s">
        <v>172</v>
      </c>
      <c r="G279" s="5" t="s">
        <v>19</v>
      </c>
      <c r="H279" s="7" t="s">
        <v>16</v>
      </c>
      <c r="I279" s="7" t="s">
        <v>1153</v>
      </c>
      <c r="J279" s="36" t="s">
        <v>1132</v>
      </c>
      <c r="K279" s="7" t="s">
        <v>16</v>
      </c>
      <c r="L279" s="7" t="s">
        <v>1070</v>
      </c>
      <c r="M279" s="7" t="s">
        <v>22</v>
      </c>
      <c r="N279" s="7" t="s">
        <v>1158</v>
      </c>
      <c r="O279" s="5"/>
      <c r="P279" s="5"/>
      <c r="Q279" s="5"/>
      <c r="R279" s="5"/>
      <c r="S279" s="5"/>
      <c r="T279" s="5"/>
      <c r="U279" s="5"/>
      <c r="V279" s="5"/>
      <c r="W279" s="5"/>
      <c r="X279" s="5"/>
      <c r="Y279" s="5"/>
      <c r="Z279" s="5"/>
    </row>
    <row r="280">
      <c r="A280" s="17" t="s">
        <v>1159</v>
      </c>
      <c r="B280" s="7" t="s">
        <v>1128</v>
      </c>
      <c r="C280" s="7" t="s">
        <v>1160</v>
      </c>
      <c r="D280" s="7" t="s">
        <v>1068</v>
      </c>
      <c r="E280" s="8">
        <v>7.0</v>
      </c>
      <c r="F280" s="7" t="s">
        <v>105</v>
      </c>
      <c r="G280" s="5" t="s">
        <v>326</v>
      </c>
      <c r="H280" s="7" t="s">
        <v>1130</v>
      </c>
      <c r="I280" s="7" t="s">
        <v>1131</v>
      </c>
      <c r="J280" s="36" t="s">
        <v>1161</v>
      </c>
      <c r="K280" s="8">
        <v>3.0</v>
      </c>
      <c r="L280" s="7" t="s">
        <v>1070</v>
      </c>
      <c r="M280" s="7" t="s">
        <v>36</v>
      </c>
      <c r="N280" s="7" t="s">
        <v>1162</v>
      </c>
      <c r="O280" s="5"/>
      <c r="P280" s="5"/>
      <c r="Q280" s="5"/>
      <c r="R280" s="5"/>
      <c r="S280" s="5"/>
      <c r="T280" s="5"/>
      <c r="U280" s="5"/>
      <c r="V280" s="5"/>
      <c r="W280" s="5"/>
      <c r="X280" s="5"/>
      <c r="Y280" s="5"/>
      <c r="Z280" s="5"/>
    </row>
    <row r="281">
      <c r="A281" s="17" t="s">
        <v>1163</v>
      </c>
      <c r="B281" s="7" t="s">
        <v>14</v>
      </c>
      <c r="C281" s="7" t="s">
        <v>1164</v>
      </c>
      <c r="D281" s="7" t="s">
        <v>16</v>
      </c>
      <c r="E281" s="8">
        <v>0.0</v>
      </c>
      <c r="F281" s="7" t="s">
        <v>17</v>
      </c>
      <c r="G281" s="5" t="s">
        <v>19</v>
      </c>
      <c r="H281" s="7" t="s">
        <v>16</v>
      </c>
      <c r="I281" s="7" t="s">
        <v>1165</v>
      </c>
      <c r="J281" s="7" t="s">
        <v>16</v>
      </c>
      <c r="K281" s="7" t="s">
        <v>16</v>
      </c>
      <c r="L281" s="7" t="s">
        <v>1166</v>
      </c>
      <c r="M281" s="7" t="s">
        <v>22</v>
      </c>
      <c r="N281" s="7" t="s">
        <v>1167</v>
      </c>
      <c r="O281" s="5"/>
      <c r="P281" s="5"/>
      <c r="Q281" s="5"/>
      <c r="R281" s="5"/>
      <c r="S281" s="5"/>
      <c r="T281" s="5"/>
      <c r="U281" s="5"/>
      <c r="V281" s="5"/>
      <c r="W281" s="5"/>
      <c r="X281" s="5"/>
      <c r="Y281" s="5"/>
      <c r="Z281" s="5"/>
    </row>
    <row r="282">
      <c r="A282" s="17" t="s">
        <v>1168</v>
      </c>
      <c r="B282" s="5" t="s">
        <v>14</v>
      </c>
      <c r="C282" s="7" t="s">
        <v>143</v>
      </c>
      <c r="D282" s="7" t="s">
        <v>16</v>
      </c>
      <c r="E282" s="8">
        <v>3.0</v>
      </c>
      <c r="F282" s="7" t="s">
        <v>17</v>
      </c>
      <c r="G282" s="5" t="s">
        <v>19</v>
      </c>
      <c r="H282" s="7" t="s">
        <v>16</v>
      </c>
      <c r="I282" s="7" t="s">
        <v>848</v>
      </c>
      <c r="J282" s="7" t="s">
        <v>16</v>
      </c>
      <c r="K282" s="7" t="s">
        <v>16</v>
      </c>
      <c r="L282" s="7" t="s">
        <v>1169</v>
      </c>
      <c r="M282" s="7" t="s">
        <v>36</v>
      </c>
      <c r="N282" s="7" t="s">
        <v>1170</v>
      </c>
      <c r="O282" s="5"/>
      <c r="P282" s="5"/>
      <c r="Q282" s="5"/>
      <c r="R282" s="5"/>
      <c r="S282" s="5"/>
      <c r="T282" s="5"/>
      <c r="U282" s="5"/>
      <c r="V282" s="5"/>
      <c r="W282" s="5"/>
      <c r="X282" s="5"/>
      <c r="Y282" s="5"/>
      <c r="Z282" s="5"/>
    </row>
    <row r="283">
      <c r="A283" s="17" t="s">
        <v>1171</v>
      </c>
      <c r="B283" s="5" t="s">
        <v>14</v>
      </c>
      <c r="C283" s="7" t="s">
        <v>91</v>
      </c>
      <c r="D283" s="7" t="s">
        <v>16</v>
      </c>
      <c r="E283" s="8">
        <v>3.0</v>
      </c>
      <c r="F283" s="7" t="s">
        <v>105</v>
      </c>
      <c r="G283" s="5" t="s">
        <v>19</v>
      </c>
      <c r="H283" s="7" t="s">
        <v>16</v>
      </c>
      <c r="I283" s="7" t="s">
        <v>60</v>
      </c>
      <c r="J283" s="7" t="s">
        <v>16</v>
      </c>
      <c r="K283" s="7" t="s">
        <v>16</v>
      </c>
      <c r="L283" s="7" t="s">
        <v>1070</v>
      </c>
      <c r="M283" s="7" t="s">
        <v>22</v>
      </c>
      <c r="N283" s="7" t="s">
        <v>1172</v>
      </c>
      <c r="O283" s="5"/>
      <c r="P283" s="5"/>
      <c r="Q283" s="5"/>
      <c r="R283" s="5"/>
      <c r="S283" s="5"/>
      <c r="T283" s="5"/>
      <c r="U283" s="5"/>
      <c r="V283" s="5"/>
      <c r="W283" s="5"/>
      <c r="X283" s="5"/>
      <c r="Y283" s="5"/>
      <c r="Z283" s="5"/>
    </row>
    <row r="284">
      <c r="A284" s="17" t="s">
        <v>1173</v>
      </c>
      <c r="B284" s="5" t="s">
        <v>14</v>
      </c>
      <c r="C284" s="7" t="s">
        <v>1174</v>
      </c>
      <c r="D284" s="7" t="s">
        <v>16</v>
      </c>
      <c r="E284" s="8">
        <v>8.0</v>
      </c>
      <c r="F284" s="7" t="s">
        <v>17</v>
      </c>
      <c r="G284" s="5" t="s">
        <v>19</v>
      </c>
      <c r="H284" s="7" t="s">
        <v>16</v>
      </c>
      <c r="I284" s="7" t="s">
        <v>1175</v>
      </c>
      <c r="J284" s="7" t="s">
        <v>16</v>
      </c>
      <c r="K284" s="7" t="s">
        <v>16</v>
      </c>
      <c r="L284" s="7" t="s">
        <v>1070</v>
      </c>
      <c r="M284" s="7" t="s">
        <v>75</v>
      </c>
      <c r="N284" s="7" t="s">
        <v>1176</v>
      </c>
      <c r="O284" s="5"/>
      <c r="P284" s="5"/>
      <c r="Q284" s="5"/>
      <c r="R284" s="5"/>
      <c r="S284" s="5"/>
      <c r="T284" s="5"/>
      <c r="U284" s="5"/>
      <c r="V284" s="5"/>
      <c r="W284" s="5"/>
      <c r="X284" s="5"/>
      <c r="Y284" s="5"/>
      <c r="Z284" s="5"/>
    </row>
    <row r="285">
      <c r="A285" s="17" t="s">
        <v>1177</v>
      </c>
      <c r="B285" s="5" t="s">
        <v>1067</v>
      </c>
      <c r="C285" s="7" t="s">
        <v>1068</v>
      </c>
      <c r="D285" s="7" t="s">
        <v>1068</v>
      </c>
      <c r="E285" s="7" t="s">
        <v>16</v>
      </c>
      <c r="F285" s="7" t="s">
        <v>16</v>
      </c>
      <c r="G285" s="5" t="s">
        <v>19</v>
      </c>
      <c r="H285" s="7" t="s">
        <v>1178</v>
      </c>
      <c r="I285" s="7" t="s">
        <v>1179</v>
      </c>
      <c r="J285" s="8">
        <v>4000.0</v>
      </c>
      <c r="K285" s="7" t="s">
        <v>16</v>
      </c>
      <c r="L285" s="7" t="s">
        <v>1180</v>
      </c>
      <c r="M285" s="7" t="s">
        <v>22</v>
      </c>
      <c r="N285" s="5" t="s">
        <v>1181</v>
      </c>
      <c r="O285" s="5"/>
      <c r="P285" s="5"/>
      <c r="Q285" s="5"/>
      <c r="R285" s="5"/>
      <c r="S285" s="5"/>
      <c r="T285" s="5"/>
      <c r="U285" s="5"/>
      <c r="V285" s="5"/>
      <c r="W285" s="5"/>
      <c r="X285" s="5"/>
      <c r="Y285" s="5"/>
      <c r="Z285" s="5"/>
    </row>
    <row r="286">
      <c r="A286" s="17" t="s">
        <v>1182</v>
      </c>
      <c r="B286" s="5" t="s">
        <v>1067</v>
      </c>
      <c r="C286" s="7" t="s">
        <v>1183</v>
      </c>
      <c r="D286" s="7" t="s">
        <v>1183</v>
      </c>
      <c r="E286" s="7" t="s">
        <v>16</v>
      </c>
      <c r="F286" s="7" t="s">
        <v>16</v>
      </c>
      <c r="G286" s="5" t="s">
        <v>19</v>
      </c>
      <c r="H286" s="7" t="s">
        <v>1184</v>
      </c>
      <c r="I286" s="7" t="s">
        <v>1185</v>
      </c>
      <c r="J286" s="8">
        <v>1000.0</v>
      </c>
      <c r="K286" s="7" t="s">
        <v>16</v>
      </c>
      <c r="L286" s="7" t="s">
        <v>1186</v>
      </c>
      <c r="M286" s="7" t="s">
        <v>22</v>
      </c>
      <c r="N286" s="5" t="s">
        <v>1187</v>
      </c>
      <c r="O286" s="5"/>
      <c r="P286" s="5"/>
      <c r="Q286" s="5"/>
      <c r="R286" s="5"/>
      <c r="S286" s="5"/>
      <c r="T286" s="5"/>
      <c r="U286" s="5"/>
      <c r="V286" s="5"/>
      <c r="W286" s="5"/>
      <c r="X286" s="5"/>
      <c r="Y286" s="5"/>
      <c r="Z286" s="5"/>
    </row>
    <row r="287">
      <c r="A287" s="17" t="s">
        <v>1188</v>
      </c>
      <c r="B287" s="5" t="s">
        <v>1067</v>
      </c>
      <c r="C287" s="7" t="s">
        <v>1189</v>
      </c>
      <c r="D287" s="7" t="s">
        <v>1189</v>
      </c>
      <c r="E287" s="7" t="s">
        <v>16</v>
      </c>
      <c r="F287" s="7" t="s">
        <v>16</v>
      </c>
      <c r="G287" s="5" t="s">
        <v>19</v>
      </c>
      <c r="H287" s="7" t="s">
        <v>1190</v>
      </c>
      <c r="I287" s="7" t="s">
        <v>1191</v>
      </c>
      <c r="J287" s="8">
        <v>1000.0</v>
      </c>
      <c r="K287" s="7" t="s">
        <v>16</v>
      </c>
      <c r="L287" s="7" t="s">
        <v>1186</v>
      </c>
      <c r="M287" s="7" t="s">
        <v>22</v>
      </c>
      <c r="N287" s="5" t="s">
        <v>1192</v>
      </c>
      <c r="O287" s="5"/>
      <c r="P287" s="5"/>
      <c r="Q287" s="5"/>
      <c r="R287" s="5"/>
      <c r="S287" s="5"/>
      <c r="T287" s="5"/>
      <c r="U287" s="5"/>
      <c r="V287" s="5"/>
      <c r="W287" s="5"/>
      <c r="X287" s="5"/>
      <c r="Y287" s="5"/>
      <c r="Z287" s="5"/>
    </row>
    <row r="288">
      <c r="A288" s="17" t="s">
        <v>1193</v>
      </c>
      <c r="B288" s="5" t="s">
        <v>1067</v>
      </c>
      <c r="C288" s="7" t="s">
        <v>1194</v>
      </c>
      <c r="D288" s="7" t="s">
        <v>1194</v>
      </c>
      <c r="E288" s="7" t="s">
        <v>16</v>
      </c>
      <c r="F288" s="7" t="s">
        <v>16</v>
      </c>
      <c r="G288" s="5" t="s">
        <v>19</v>
      </c>
      <c r="H288" s="7" t="s">
        <v>1195</v>
      </c>
      <c r="I288" s="7" t="s">
        <v>16</v>
      </c>
      <c r="J288" s="8">
        <v>6000.0</v>
      </c>
      <c r="K288" s="7" t="s">
        <v>16</v>
      </c>
      <c r="L288" s="7" t="s">
        <v>1196</v>
      </c>
      <c r="M288" s="7" t="s">
        <v>22</v>
      </c>
      <c r="N288" s="5" t="s">
        <v>1197</v>
      </c>
      <c r="O288" s="5"/>
      <c r="P288" s="5"/>
      <c r="Q288" s="5"/>
      <c r="R288" s="5"/>
      <c r="S288" s="5"/>
      <c r="T288" s="5"/>
      <c r="U288" s="5"/>
      <c r="V288" s="5"/>
      <c r="W288" s="5"/>
      <c r="X288" s="5"/>
      <c r="Y288" s="5"/>
      <c r="Z288" s="5"/>
    </row>
    <row r="289">
      <c r="A289" s="17" t="s">
        <v>1198</v>
      </c>
      <c r="B289" s="5" t="s">
        <v>1067</v>
      </c>
      <c r="C289" s="7" t="s">
        <v>1199</v>
      </c>
      <c r="D289" s="7" t="s">
        <v>1199</v>
      </c>
      <c r="E289" s="7" t="s">
        <v>16</v>
      </c>
      <c r="F289" s="7" t="s">
        <v>16</v>
      </c>
      <c r="G289" s="5" t="s">
        <v>19</v>
      </c>
      <c r="H289" s="7" t="s">
        <v>1200</v>
      </c>
      <c r="I289" s="7" t="s">
        <v>16</v>
      </c>
      <c r="J289" s="8">
        <v>7000.0</v>
      </c>
      <c r="K289" s="7" t="s">
        <v>16</v>
      </c>
      <c r="L289" s="7" t="s">
        <v>1196</v>
      </c>
      <c r="M289" s="7" t="s">
        <v>22</v>
      </c>
      <c r="N289" s="5" t="s">
        <v>1201</v>
      </c>
      <c r="O289" s="5"/>
      <c r="P289" s="5"/>
      <c r="Q289" s="5"/>
      <c r="R289" s="5"/>
      <c r="S289" s="5"/>
      <c r="T289" s="5"/>
      <c r="U289" s="5"/>
      <c r="V289" s="5"/>
      <c r="W289" s="5"/>
      <c r="X289" s="5"/>
      <c r="Y289" s="5"/>
      <c r="Z289" s="5"/>
    </row>
    <row r="290">
      <c r="A290" s="17" t="s">
        <v>1202</v>
      </c>
      <c r="B290" s="5" t="s">
        <v>1067</v>
      </c>
      <c r="C290" s="7" t="s">
        <v>1203</v>
      </c>
      <c r="D290" s="7" t="s">
        <v>1203</v>
      </c>
      <c r="E290" s="7" t="s">
        <v>16</v>
      </c>
      <c r="F290" s="7" t="s">
        <v>16</v>
      </c>
      <c r="G290" s="5" t="s">
        <v>19</v>
      </c>
      <c r="H290" s="7" t="s">
        <v>1204</v>
      </c>
      <c r="I290" s="7" t="s">
        <v>16</v>
      </c>
      <c r="J290" s="8">
        <v>5000.0</v>
      </c>
      <c r="K290" s="7" t="s">
        <v>16</v>
      </c>
      <c r="L290" s="7" t="s">
        <v>1196</v>
      </c>
      <c r="M290" s="7" t="s">
        <v>22</v>
      </c>
      <c r="N290" s="5" t="s">
        <v>1205</v>
      </c>
      <c r="O290" s="5"/>
      <c r="P290" s="5"/>
      <c r="Q290" s="5"/>
      <c r="R290" s="5"/>
      <c r="S290" s="5"/>
      <c r="T290" s="5"/>
      <c r="U290" s="5"/>
      <c r="V290" s="5"/>
      <c r="W290" s="5"/>
      <c r="X290" s="5"/>
      <c r="Y290" s="5"/>
      <c r="Z290" s="5"/>
    </row>
    <row r="291">
      <c r="A291" s="17" t="s">
        <v>1206</v>
      </c>
      <c r="B291" s="5" t="s">
        <v>1067</v>
      </c>
      <c r="C291" s="7" t="s">
        <v>1207</v>
      </c>
      <c r="D291" s="7" t="s">
        <v>1207</v>
      </c>
      <c r="E291" s="7" t="s">
        <v>16</v>
      </c>
      <c r="F291" s="7" t="s">
        <v>16</v>
      </c>
      <c r="G291" s="5" t="s">
        <v>19</v>
      </c>
      <c r="H291" s="7" t="s">
        <v>1208</v>
      </c>
      <c r="I291" s="7" t="s">
        <v>1209</v>
      </c>
      <c r="J291" s="8">
        <v>3500.0</v>
      </c>
      <c r="K291" s="7" t="s">
        <v>16</v>
      </c>
      <c r="L291" s="7" t="s">
        <v>1210</v>
      </c>
      <c r="M291" s="7" t="s">
        <v>22</v>
      </c>
      <c r="N291" s="5" t="s">
        <v>1211</v>
      </c>
      <c r="O291" s="5"/>
      <c r="P291" s="5"/>
      <c r="Q291" s="5"/>
      <c r="R291" s="5"/>
      <c r="S291" s="5"/>
      <c r="T291" s="5"/>
      <c r="U291" s="5"/>
      <c r="V291" s="5"/>
      <c r="W291" s="5"/>
      <c r="X291" s="5"/>
      <c r="Y291" s="5"/>
      <c r="Z291" s="5"/>
    </row>
    <row r="292">
      <c r="A292" s="17" t="s">
        <v>1212</v>
      </c>
      <c r="B292" s="5" t="s">
        <v>1067</v>
      </c>
      <c r="C292" s="7" t="s">
        <v>1213</v>
      </c>
      <c r="D292" s="7" t="s">
        <v>1213</v>
      </c>
      <c r="E292" s="7" t="s">
        <v>16</v>
      </c>
      <c r="F292" s="7" t="s">
        <v>16</v>
      </c>
      <c r="G292" s="5" t="s">
        <v>19</v>
      </c>
      <c r="H292" s="7" t="s">
        <v>1214</v>
      </c>
      <c r="I292" s="7" t="s">
        <v>1215</v>
      </c>
      <c r="J292" s="8">
        <v>3000.0</v>
      </c>
      <c r="K292" s="7" t="s">
        <v>16</v>
      </c>
      <c r="L292" s="7" t="s">
        <v>1186</v>
      </c>
      <c r="M292" s="7" t="s">
        <v>22</v>
      </c>
      <c r="N292" s="5" t="s">
        <v>1216</v>
      </c>
      <c r="O292" s="5"/>
      <c r="P292" s="5"/>
      <c r="Q292" s="5"/>
      <c r="R292" s="5"/>
      <c r="S292" s="5"/>
      <c r="T292" s="5"/>
      <c r="U292" s="5"/>
      <c r="V292" s="5"/>
      <c r="W292" s="5"/>
      <c r="X292" s="5"/>
      <c r="Y292" s="5"/>
      <c r="Z292" s="5"/>
    </row>
    <row r="293">
      <c r="A293" s="17" t="s">
        <v>1217</v>
      </c>
      <c r="B293" s="5" t="s">
        <v>1096</v>
      </c>
      <c r="C293" s="7" t="s">
        <v>1218</v>
      </c>
      <c r="D293" s="7" t="s">
        <v>1183</v>
      </c>
      <c r="E293" s="7" t="s">
        <v>16</v>
      </c>
      <c r="F293" s="7" t="s">
        <v>16</v>
      </c>
      <c r="G293" s="5" t="s">
        <v>19</v>
      </c>
      <c r="H293" s="7" t="s">
        <v>1219</v>
      </c>
      <c r="I293" s="7" t="s">
        <v>1220</v>
      </c>
      <c r="J293" s="7" t="s">
        <v>16</v>
      </c>
      <c r="K293" s="7" t="s">
        <v>16</v>
      </c>
      <c r="L293" s="7" t="s">
        <v>1210</v>
      </c>
      <c r="M293" s="7" t="s">
        <v>36</v>
      </c>
      <c r="N293" s="5" t="s">
        <v>1221</v>
      </c>
      <c r="O293" s="5"/>
      <c r="P293" s="5"/>
      <c r="Q293" s="5"/>
      <c r="R293" s="5"/>
      <c r="S293" s="5"/>
      <c r="T293" s="5"/>
      <c r="U293" s="5"/>
      <c r="V293" s="5"/>
      <c r="W293" s="5"/>
      <c r="X293" s="5"/>
      <c r="Y293" s="5"/>
      <c r="Z293" s="5"/>
    </row>
    <row r="294">
      <c r="A294" s="17" t="s">
        <v>1222</v>
      </c>
      <c r="B294" s="5" t="s">
        <v>1096</v>
      </c>
      <c r="C294" s="7" t="s">
        <v>1223</v>
      </c>
      <c r="D294" s="7" t="s">
        <v>1189</v>
      </c>
      <c r="E294" s="7" t="s">
        <v>16</v>
      </c>
      <c r="F294" s="7" t="s">
        <v>16</v>
      </c>
      <c r="G294" s="5" t="s">
        <v>19</v>
      </c>
      <c r="H294" s="7" t="s">
        <v>1224</v>
      </c>
      <c r="I294" s="7" t="s">
        <v>1225</v>
      </c>
      <c r="J294" s="7" t="s">
        <v>16</v>
      </c>
      <c r="K294" s="7" t="s">
        <v>16</v>
      </c>
      <c r="L294" s="7" t="s">
        <v>1186</v>
      </c>
      <c r="M294" s="7" t="s">
        <v>22</v>
      </c>
      <c r="N294" s="5" t="s">
        <v>1226</v>
      </c>
      <c r="O294" s="5"/>
      <c r="P294" s="5"/>
      <c r="Q294" s="5"/>
      <c r="R294" s="5"/>
      <c r="S294" s="5"/>
      <c r="T294" s="5"/>
      <c r="U294" s="5"/>
      <c r="V294" s="5"/>
      <c r="W294" s="5"/>
      <c r="X294" s="5"/>
      <c r="Y294" s="5"/>
      <c r="Z294" s="5"/>
    </row>
    <row r="295">
      <c r="A295" s="17" t="s">
        <v>1227</v>
      </c>
      <c r="B295" s="5" t="s">
        <v>1096</v>
      </c>
      <c r="C295" s="7" t="s">
        <v>1228</v>
      </c>
      <c r="D295" s="7" t="s">
        <v>1194</v>
      </c>
      <c r="E295" s="7" t="s">
        <v>16</v>
      </c>
      <c r="F295" s="7" t="s">
        <v>16</v>
      </c>
      <c r="G295" s="5" t="s">
        <v>19</v>
      </c>
      <c r="H295" s="7" t="s">
        <v>1229</v>
      </c>
      <c r="I295" s="7" t="s">
        <v>1230</v>
      </c>
      <c r="J295" s="7" t="s">
        <v>16</v>
      </c>
      <c r="K295" s="7" t="s">
        <v>16</v>
      </c>
      <c r="L295" s="7" t="s">
        <v>1231</v>
      </c>
      <c r="M295" s="7" t="s">
        <v>36</v>
      </c>
      <c r="N295" s="5" t="s">
        <v>1232</v>
      </c>
      <c r="O295" s="5"/>
      <c r="P295" s="5"/>
      <c r="Q295" s="5"/>
      <c r="R295" s="5"/>
      <c r="S295" s="5"/>
      <c r="T295" s="5"/>
      <c r="U295" s="5"/>
      <c r="V295" s="5"/>
      <c r="W295" s="5"/>
      <c r="X295" s="5"/>
      <c r="Y295" s="5"/>
      <c r="Z295" s="5"/>
    </row>
    <row r="296">
      <c r="A296" s="17" t="s">
        <v>1233</v>
      </c>
      <c r="B296" s="5" t="s">
        <v>1096</v>
      </c>
      <c r="C296" s="7" t="s">
        <v>1234</v>
      </c>
      <c r="D296" s="7" t="s">
        <v>1203</v>
      </c>
      <c r="E296" s="7" t="s">
        <v>16</v>
      </c>
      <c r="F296" s="7" t="s">
        <v>16</v>
      </c>
      <c r="G296" s="5" t="s">
        <v>19</v>
      </c>
      <c r="H296" s="7" t="s">
        <v>1235</v>
      </c>
      <c r="I296" s="7" t="s">
        <v>1236</v>
      </c>
      <c r="J296" s="7" t="s">
        <v>16</v>
      </c>
      <c r="K296" s="7" t="s">
        <v>16</v>
      </c>
      <c r="L296" s="7" t="s">
        <v>1186</v>
      </c>
      <c r="M296" s="7" t="s">
        <v>36</v>
      </c>
      <c r="N296" s="11" t="s">
        <v>1237</v>
      </c>
      <c r="O296" s="11"/>
      <c r="P296" s="11"/>
      <c r="Q296" s="5"/>
      <c r="R296" s="5"/>
      <c r="S296" s="5"/>
      <c r="T296" s="5"/>
      <c r="U296" s="5"/>
      <c r="V296" s="5"/>
      <c r="W296" s="5"/>
      <c r="X296" s="5"/>
      <c r="Y296" s="5"/>
      <c r="Z296" s="5"/>
    </row>
    <row r="297">
      <c r="A297" s="17" t="s">
        <v>1238</v>
      </c>
      <c r="B297" s="5" t="s">
        <v>1096</v>
      </c>
      <c r="C297" s="7" t="s">
        <v>1239</v>
      </c>
      <c r="D297" s="7" t="s">
        <v>1213</v>
      </c>
      <c r="E297" s="7" t="s">
        <v>16</v>
      </c>
      <c r="F297" s="7" t="s">
        <v>16</v>
      </c>
      <c r="G297" s="5" t="s">
        <v>19</v>
      </c>
      <c r="H297" s="7" t="s">
        <v>1240</v>
      </c>
      <c r="I297" s="7" t="s">
        <v>1241</v>
      </c>
      <c r="J297" s="7" t="s">
        <v>16</v>
      </c>
      <c r="K297" s="7" t="s">
        <v>16</v>
      </c>
      <c r="L297" s="7" t="s">
        <v>1231</v>
      </c>
      <c r="M297" s="31" t="s">
        <v>36</v>
      </c>
      <c r="N297" s="11" t="s">
        <v>1242</v>
      </c>
      <c r="O297" s="11"/>
      <c r="P297" s="30"/>
      <c r="Q297" s="5"/>
      <c r="R297" s="5"/>
      <c r="S297" s="5"/>
      <c r="T297" s="5"/>
      <c r="U297" s="5"/>
      <c r="V297" s="5"/>
      <c r="W297" s="5"/>
      <c r="X297" s="5"/>
      <c r="Y297" s="5"/>
      <c r="Z297" s="5"/>
    </row>
    <row r="298">
      <c r="A298" s="17" t="s">
        <v>1243</v>
      </c>
      <c r="B298" s="5" t="s">
        <v>1128</v>
      </c>
      <c r="C298" s="7" t="s">
        <v>1244</v>
      </c>
      <c r="D298" s="7" t="s">
        <v>1183</v>
      </c>
      <c r="E298" s="8">
        <v>1.0</v>
      </c>
      <c r="F298" s="7" t="s">
        <v>105</v>
      </c>
      <c r="G298" s="5" t="s">
        <v>19</v>
      </c>
      <c r="H298" s="7" t="s">
        <v>16</v>
      </c>
      <c r="I298" s="7" t="s">
        <v>1131</v>
      </c>
      <c r="J298" s="36" t="s">
        <v>1132</v>
      </c>
      <c r="K298" s="8">
        <v>1.0</v>
      </c>
      <c r="L298" s="7" t="s">
        <v>1196</v>
      </c>
      <c r="M298" s="31" t="s">
        <v>22</v>
      </c>
      <c r="N298" s="11" t="s">
        <v>1245</v>
      </c>
      <c r="O298" s="11"/>
      <c r="P298" s="11"/>
      <c r="Q298" s="5"/>
      <c r="R298" s="5"/>
      <c r="S298" s="5"/>
      <c r="T298" s="5"/>
      <c r="U298" s="5"/>
      <c r="V298" s="5"/>
      <c r="W298" s="5"/>
      <c r="X298" s="5"/>
      <c r="Y298" s="5"/>
      <c r="Z298" s="5"/>
    </row>
    <row r="299">
      <c r="A299" s="17" t="s">
        <v>1246</v>
      </c>
      <c r="B299" s="5" t="s">
        <v>1128</v>
      </c>
      <c r="C299" s="7" t="s">
        <v>1247</v>
      </c>
      <c r="D299" s="7" t="s">
        <v>1183</v>
      </c>
      <c r="E299" s="8">
        <v>2.0</v>
      </c>
      <c r="F299" s="7" t="s">
        <v>105</v>
      </c>
      <c r="G299" s="5" t="s">
        <v>461</v>
      </c>
      <c r="H299" s="7" t="s">
        <v>16</v>
      </c>
      <c r="I299" s="7" t="s">
        <v>1131</v>
      </c>
      <c r="J299" s="36" t="s">
        <v>1146</v>
      </c>
      <c r="K299" s="8">
        <v>2.0</v>
      </c>
      <c r="L299" s="7" t="s">
        <v>1196</v>
      </c>
      <c r="M299" s="31" t="s">
        <v>22</v>
      </c>
      <c r="N299" s="11" t="s">
        <v>1248</v>
      </c>
      <c r="O299" s="5"/>
      <c r="P299" s="5"/>
      <c r="Q299" s="5"/>
      <c r="R299" s="5"/>
      <c r="S299" s="5"/>
      <c r="T299" s="5"/>
      <c r="U299" s="5"/>
      <c r="V299" s="5"/>
      <c r="W299" s="5"/>
      <c r="X299" s="5"/>
      <c r="Y299" s="5"/>
      <c r="Z299" s="5"/>
    </row>
    <row r="300">
      <c r="A300" s="17" t="s">
        <v>1249</v>
      </c>
      <c r="B300" s="5" t="s">
        <v>1128</v>
      </c>
      <c r="C300" s="7" t="s">
        <v>1250</v>
      </c>
      <c r="D300" s="7" t="s">
        <v>1194</v>
      </c>
      <c r="E300" s="8">
        <v>4.0</v>
      </c>
      <c r="F300" s="7" t="s">
        <v>105</v>
      </c>
      <c r="G300" s="5" t="s">
        <v>461</v>
      </c>
      <c r="H300" s="7" t="s">
        <v>16</v>
      </c>
      <c r="I300" s="7" t="s">
        <v>1131</v>
      </c>
      <c r="J300" s="36" t="s">
        <v>1137</v>
      </c>
      <c r="K300" s="8">
        <v>2.0</v>
      </c>
      <c r="L300" s="7" t="s">
        <v>1196</v>
      </c>
      <c r="M300" s="31" t="s">
        <v>36</v>
      </c>
      <c r="N300" s="11" t="s">
        <v>1251</v>
      </c>
      <c r="O300" s="5"/>
      <c r="P300" s="5"/>
      <c r="Q300" s="5"/>
      <c r="R300" s="5"/>
      <c r="S300" s="5"/>
      <c r="T300" s="5"/>
      <c r="U300" s="5"/>
      <c r="V300" s="5"/>
      <c r="W300" s="5"/>
      <c r="X300" s="5"/>
      <c r="Y300" s="5"/>
      <c r="Z300" s="5"/>
    </row>
    <row r="301">
      <c r="A301" s="17" t="s">
        <v>1252</v>
      </c>
      <c r="B301" s="5" t="s">
        <v>1128</v>
      </c>
      <c r="C301" s="7" t="s">
        <v>1253</v>
      </c>
      <c r="D301" s="7" t="s">
        <v>1068</v>
      </c>
      <c r="E301" s="8">
        <v>3.0</v>
      </c>
      <c r="F301" s="7" t="s">
        <v>105</v>
      </c>
      <c r="G301" s="7" t="s">
        <v>461</v>
      </c>
      <c r="H301" s="7" t="s">
        <v>1130</v>
      </c>
      <c r="I301" s="7" t="s">
        <v>1131</v>
      </c>
      <c r="J301" s="36" t="s">
        <v>1137</v>
      </c>
      <c r="K301" s="8">
        <v>2.0</v>
      </c>
      <c r="L301" s="7" t="s">
        <v>1196</v>
      </c>
      <c r="M301" s="7" t="s">
        <v>36</v>
      </c>
      <c r="N301" s="5" t="s">
        <v>1254</v>
      </c>
      <c r="O301" s="5"/>
      <c r="P301" s="5"/>
      <c r="Q301" s="5"/>
      <c r="R301" s="5"/>
      <c r="S301" s="5"/>
      <c r="T301" s="5"/>
      <c r="U301" s="5"/>
      <c r="V301" s="5"/>
      <c r="W301" s="5"/>
      <c r="X301" s="5"/>
      <c r="Y301" s="5"/>
      <c r="Z301" s="5"/>
    </row>
    <row r="302">
      <c r="A302" s="17" t="s">
        <v>1255</v>
      </c>
      <c r="B302" s="5" t="s">
        <v>1128</v>
      </c>
      <c r="C302" s="7" t="s">
        <v>1256</v>
      </c>
      <c r="D302" s="7" t="s">
        <v>1203</v>
      </c>
      <c r="E302" s="8">
        <v>4.0</v>
      </c>
      <c r="F302" s="7" t="s">
        <v>105</v>
      </c>
      <c r="G302" s="7" t="s">
        <v>461</v>
      </c>
      <c r="H302" s="7" t="s">
        <v>16</v>
      </c>
      <c r="I302" s="7" t="s">
        <v>1131</v>
      </c>
      <c r="J302" s="36" t="s">
        <v>1154</v>
      </c>
      <c r="K302" s="8">
        <v>2.0</v>
      </c>
      <c r="L302" s="7" t="s">
        <v>1196</v>
      </c>
      <c r="M302" s="7" t="s">
        <v>36</v>
      </c>
      <c r="N302" s="5" t="s">
        <v>1257</v>
      </c>
      <c r="O302" s="5"/>
      <c r="P302" s="5"/>
      <c r="Q302" s="5"/>
      <c r="R302" s="5"/>
      <c r="S302" s="5"/>
      <c r="T302" s="5"/>
      <c r="U302" s="5"/>
      <c r="V302" s="5"/>
      <c r="W302" s="5"/>
      <c r="X302" s="5"/>
      <c r="Y302" s="5"/>
      <c r="Z302" s="5"/>
    </row>
    <row r="303">
      <c r="A303" s="17" t="s">
        <v>1258</v>
      </c>
      <c r="B303" s="5" t="s">
        <v>1128</v>
      </c>
      <c r="C303" s="7" t="s">
        <v>1259</v>
      </c>
      <c r="D303" s="7" t="s">
        <v>1207</v>
      </c>
      <c r="E303" s="8">
        <v>2.0</v>
      </c>
      <c r="F303" s="7" t="s">
        <v>17</v>
      </c>
      <c r="G303" s="5" t="s">
        <v>19</v>
      </c>
      <c r="H303" s="7" t="s">
        <v>16</v>
      </c>
      <c r="I303" s="7" t="s">
        <v>1260</v>
      </c>
      <c r="J303" s="36" t="s">
        <v>1261</v>
      </c>
      <c r="K303" s="8">
        <v>1.0</v>
      </c>
      <c r="L303" s="7" t="s">
        <v>1196</v>
      </c>
      <c r="M303" s="7" t="s">
        <v>22</v>
      </c>
      <c r="N303" s="5" t="s">
        <v>1262</v>
      </c>
      <c r="O303" s="5"/>
      <c r="P303" s="5"/>
      <c r="Q303" s="5"/>
      <c r="R303" s="5"/>
      <c r="S303" s="5"/>
      <c r="T303" s="5"/>
      <c r="U303" s="5"/>
      <c r="V303" s="5"/>
      <c r="W303" s="5"/>
      <c r="X303" s="5"/>
      <c r="Y303" s="5"/>
      <c r="Z303" s="5"/>
    </row>
    <row r="304">
      <c r="A304" s="17" t="s">
        <v>1263</v>
      </c>
      <c r="B304" s="5" t="s">
        <v>1128</v>
      </c>
      <c r="C304" s="7" t="s">
        <v>1264</v>
      </c>
      <c r="D304" s="7" t="s">
        <v>1213</v>
      </c>
      <c r="E304" s="8">
        <v>2.0</v>
      </c>
      <c r="F304" s="7" t="s">
        <v>17</v>
      </c>
      <c r="G304" s="5" t="s">
        <v>19</v>
      </c>
      <c r="H304" s="7" t="s">
        <v>16</v>
      </c>
      <c r="I304" s="7" t="s">
        <v>1265</v>
      </c>
      <c r="J304" s="7" t="s">
        <v>1266</v>
      </c>
      <c r="K304" s="7" t="s">
        <v>16</v>
      </c>
      <c r="L304" s="7" t="s">
        <v>1196</v>
      </c>
      <c r="M304" s="7" t="s">
        <v>22</v>
      </c>
      <c r="N304" s="5" t="s">
        <v>1267</v>
      </c>
      <c r="O304" s="5"/>
      <c r="P304" s="5"/>
      <c r="Q304" s="5"/>
      <c r="R304" s="5"/>
      <c r="S304" s="5"/>
      <c r="T304" s="5"/>
      <c r="U304" s="5"/>
      <c r="V304" s="5"/>
      <c r="W304" s="5"/>
      <c r="X304" s="5"/>
      <c r="Y304" s="5"/>
      <c r="Z304" s="5"/>
    </row>
    <row r="305">
      <c r="A305" s="17" t="s">
        <v>1268</v>
      </c>
      <c r="B305" s="5" t="s">
        <v>14</v>
      </c>
      <c r="C305" s="7" t="s">
        <v>85</v>
      </c>
      <c r="D305" s="7" t="s">
        <v>16</v>
      </c>
      <c r="E305" s="8">
        <v>2.0</v>
      </c>
      <c r="F305" s="7" t="s">
        <v>17</v>
      </c>
      <c r="G305" s="5" t="s">
        <v>19</v>
      </c>
      <c r="H305" s="7" t="s">
        <v>16</v>
      </c>
      <c r="I305" s="7" t="s">
        <v>1269</v>
      </c>
      <c r="J305" s="7" t="s">
        <v>16</v>
      </c>
      <c r="K305" s="7" t="s">
        <v>16</v>
      </c>
      <c r="L305" s="7" t="s">
        <v>1186</v>
      </c>
      <c r="M305" s="7" t="s">
        <v>36</v>
      </c>
      <c r="N305" s="5" t="s">
        <v>1270</v>
      </c>
      <c r="O305" s="5"/>
      <c r="P305" s="5"/>
      <c r="Q305" s="5"/>
      <c r="R305" s="5"/>
      <c r="S305" s="5"/>
      <c r="T305" s="5"/>
      <c r="U305" s="5"/>
      <c r="V305" s="5"/>
      <c r="W305" s="5"/>
      <c r="X305" s="5"/>
      <c r="Y305" s="5"/>
      <c r="Z305" s="5"/>
    </row>
    <row r="306">
      <c r="A306" s="17" t="s">
        <v>1271</v>
      </c>
      <c r="B306" s="5" t="s">
        <v>14</v>
      </c>
      <c r="C306" s="7" t="s">
        <v>1272</v>
      </c>
      <c r="D306" s="7" t="s">
        <v>16</v>
      </c>
      <c r="E306" s="8">
        <v>4.0</v>
      </c>
      <c r="F306" s="7" t="s">
        <v>17</v>
      </c>
      <c r="G306" s="5" t="s">
        <v>19</v>
      </c>
      <c r="H306" s="7" t="s">
        <v>16</v>
      </c>
      <c r="I306" s="7" t="s">
        <v>1273</v>
      </c>
      <c r="J306" s="7" t="s">
        <v>16</v>
      </c>
      <c r="K306" s="7" t="s">
        <v>16</v>
      </c>
      <c r="L306" s="7" t="s">
        <v>1196</v>
      </c>
      <c r="M306" s="7" t="s">
        <v>22</v>
      </c>
      <c r="N306" s="5" t="s">
        <v>1274</v>
      </c>
      <c r="O306" s="5"/>
      <c r="P306" s="5"/>
      <c r="Q306" s="5"/>
      <c r="R306" s="5"/>
      <c r="S306" s="5"/>
      <c r="T306" s="5"/>
      <c r="U306" s="5"/>
      <c r="V306" s="5"/>
      <c r="W306" s="5"/>
      <c r="X306" s="5"/>
      <c r="Y306" s="5"/>
      <c r="Z306" s="5"/>
    </row>
    <row r="307">
      <c r="A307" s="17" t="s">
        <v>1275</v>
      </c>
      <c r="B307" s="5" t="s">
        <v>14</v>
      </c>
      <c r="C307" s="7" t="s">
        <v>78</v>
      </c>
      <c r="D307" s="7" t="s">
        <v>16</v>
      </c>
      <c r="E307" s="8">
        <v>2.0</v>
      </c>
      <c r="F307" s="7" t="s">
        <v>17</v>
      </c>
      <c r="G307" s="5" t="s">
        <v>461</v>
      </c>
      <c r="H307" s="7" t="s">
        <v>16</v>
      </c>
      <c r="I307" s="7" t="s">
        <v>1276</v>
      </c>
      <c r="J307" s="7" t="s">
        <v>16</v>
      </c>
      <c r="K307" s="7" t="s">
        <v>16</v>
      </c>
      <c r="L307" s="7" t="s">
        <v>1186</v>
      </c>
      <c r="M307" s="7" t="s">
        <v>36</v>
      </c>
      <c r="N307" s="5" t="s">
        <v>1277</v>
      </c>
      <c r="O307" s="5"/>
      <c r="P307" s="5"/>
      <c r="Q307" s="5"/>
      <c r="R307" s="5"/>
      <c r="S307" s="5"/>
      <c r="T307" s="5"/>
      <c r="U307" s="5"/>
      <c r="V307" s="5"/>
      <c r="W307" s="5"/>
      <c r="X307" s="5"/>
      <c r="Y307" s="5"/>
      <c r="Z307" s="5"/>
    </row>
    <row r="308">
      <c r="A308" s="17" t="s">
        <v>1278</v>
      </c>
      <c r="B308" s="5" t="s">
        <v>14</v>
      </c>
      <c r="C308" s="7" t="s">
        <v>1279</v>
      </c>
      <c r="D308" s="7" t="s">
        <v>16</v>
      </c>
      <c r="E308" s="8">
        <v>1.0</v>
      </c>
      <c r="F308" s="7" t="s">
        <v>17</v>
      </c>
      <c r="G308" s="5" t="s">
        <v>19</v>
      </c>
      <c r="H308" s="7" t="s">
        <v>16</v>
      </c>
      <c r="I308" s="7" t="s">
        <v>1280</v>
      </c>
      <c r="J308" s="7" t="s">
        <v>16</v>
      </c>
      <c r="K308" s="7" t="s">
        <v>16</v>
      </c>
      <c r="L308" s="7" t="s">
        <v>1196</v>
      </c>
      <c r="M308" s="5" t="s">
        <v>22</v>
      </c>
      <c r="N308" s="5" t="s">
        <v>1281</v>
      </c>
      <c r="O308" s="5"/>
      <c r="P308" s="5"/>
      <c r="Q308" s="5"/>
      <c r="R308" s="5"/>
      <c r="S308" s="5"/>
      <c r="T308" s="5"/>
      <c r="U308" s="5"/>
      <c r="V308" s="5"/>
      <c r="W308" s="5"/>
      <c r="X308" s="5"/>
      <c r="Y308" s="5"/>
      <c r="Z308" s="5"/>
    </row>
    <row r="309">
      <c r="A309" s="17" t="s">
        <v>1282</v>
      </c>
      <c r="B309" s="5" t="s">
        <v>1067</v>
      </c>
      <c r="C309" s="7" t="s">
        <v>1283</v>
      </c>
      <c r="D309" s="7" t="s">
        <v>1283</v>
      </c>
      <c r="E309" s="7" t="s">
        <v>16</v>
      </c>
      <c r="F309" s="7" t="s">
        <v>16</v>
      </c>
      <c r="G309" s="5" t="s">
        <v>19</v>
      </c>
      <c r="H309" s="7" t="s">
        <v>1284</v>
      </c>
      <c r="I309" s="7" t="s">
        <v>1285</v>
      </c>
      <c r="J309" s="8">
        <v>6000.0</v>
      </c>
      <c r="K309" s="7" t="s">
        <v>16</v>
      </c>
      <c r="L309" s="7" t="s">
        <v>16</v>
      </c>
      <c r="M309" s="5" t="s">
        <v>75</v>
      </c>
      <c r="N309" s="5" t="s">
        <v>1286</v>
      </c>
      <c r="O309" s="5"/>
      <c r="P309" s="5"/>
      <c r="Q309" s="5"/>
      <c r="R309" s="5"/>
      <c r="S309" s="5"/>
      <c r="T309" s="5"/>
      <c r="U309" s="5"/>
      <c r="V309" s="5"/>
      <c r="W309" s="5"/>
      <c r="X309" s="5"/>
      <c r="Y309" s="5"/>
      <c r="Z309" s="5"/>
    </row>
    <row r="310">
      <c r="A310" s="17" t="s">
        <v>1287</v>
      </c>
      <c r="B310" s="5" t="s">
        <v>1128</v>
      </c>
      <c r="C310" s="7" t="s">
        <v>1288</v>
      </c>
      <c r="D310" s="7" t="s">
        <v>1289</v>
      </c>
      <c r="E310" s="8">
        <v>5.0</v>
      </c>
      <c r="F310" s="7" t="s">
        <v>17</v>
      </c>
      <c r="G310" s="5" t="s">
        <v>326</v>
      </c>
      <c r="H310" s="7" t="s">
        <v>16</v>
      </c>
      <c r="I310" s="7" t="s">
        <v>1290</v>
      </c>
      <c r="J310" s="7" t="s">
        <v>1291</v>
      </c>
      <c r="K310" s="7" t="s">
        <v>16</v>
      </c>
      <c r="L310" s="7" t="s">
        <v>16</v>
      </c>
      <c r="M310" s="7" t="s">
        <v>75</v>
      </c>
      <c r="N310" s="7" t="s">
        <v>1292</v>
      </c>
      <c r="O310" s="5"/>
      <c r="P310" s="5"/>
      <c r="Q310" s="5"/>
      <c r="R310" s="5"/>
      <c r="S310" s="5"/>
      <c r="T310" s="5"/>
      <c r="U310" s="5"/>
      <c r="V310" s="5"/>
      <c r="W310" s="5"/>
      <c r="X310" s="5"/>
      <c r="Y310" s="5"/>
      <c r="Z310" s="5"/>
    </row>
    <row r="311">
      <c r="A311" s="17" t="s">
        <v>1293</v>
      </c>
      <c r="B311" s="5" t="s">
        <v>1067</v>
      </c>
      <c r="C311" s="7" t="s">
        <v>1068</v>
      </c>
      <c r="D311" s="7" t="s">
        <v>1068</v>
      </c>
      <c r="E311" s="7" t="s">
        <v>16</v>
      </c>
      <c r="F311" s="7" t="s">
        <v>16</v>
      </c>
      <c r="G311" s="5" t="s">
        <v>19</v>
      </c>
      <c r="H311" s="7" t="s">
        <v>1294</v>
      </c>
      <c r="I311" s="7" t="s">
        <v>1295</v>
      </c>
      <c r="J311" s="8">
        <v>4000.0</v>
      </c>
      <c r="K311" s="7" t="s">
        <v>16</v>
      </c>
      <c r="L311" s="7" t="s">
        <v>16</v>
      </c>
      <c r="M311" s="5" t="s">
        <v>75</v>
      </c>
      <c r="N311" s="5" t="s">
        <v>1296</v>
      </c>
      <c r="O311" s="5"/>
      <c r="P311" s="5"/>
      <c r="Q311" s="5"/>
      <c r="R311" s="5"/>
      <c r="S311" s="5"/>
      <c r="T311" s="5"/>
      <c r="U311" s="5"/>
      <c r="V311" s="5"/>
      <c r="W311" s="5"/>
      <c r="X311" s="5"/>
      <c r="Y311" s="5"/>
      <c r="Z311" s="5"/>
    </row>
    <row r="312">
      <c r="A312" s="17" t="s">
        <v>1297</v>
      </c>
      <c r="B312" s="5" t="s">
        <v>1067</v>
      </c>
      <c r="C312" s="7" t="s">
        <v>1203</v>
      </c>
      <c r="D312" s="7" t="s">
        <v>1203</v>
      </c>
      <c r="E312" s="7" t="s">
        <v>16</v>
      </c>
      <c r="F312" s="7" t="s">
        <v>16</v>
      </c>
      <c r="G312" s="5" t="s">
        <v>19</v>
      </c>
      <c r="H312" s="7" t="s">
        <v>1298</v>
      </c>
      <c r="I312" s="7" t="s">
        <v>1299</v>
      </c>
      <c r="J312" s="8">
        <v>4000.0</v>
      </c>
      <c r="K312" s="7" t="s">
        <v>16</v>
      </c>
      <c r="L312" s="7" t="s">
        <v>1300</v>
      </c>
      <c r="M312" s="5" t="s">
        <v>22</v>
      </c>
      <c r="N312" s="5" t="s">
        <v>1301</v>
      </c>
      <c r="O312" s="5"/>
      <c r="P312" s="5"/>
      <c r="Q312" s="5"/>
      <c r="R312" s="5"/>
      <c r="S312" s="5"/>
      <c r="T312" s="5"/>
      <c r="U312" s="5"/>
      <c r="V312" s="5"/>
      <c r="W312" s="5"/>
      <c r="X312" s="5"/>
      <c r="Y312" s="5"/>
      <c r="Z312" s="5"/>
    </row>
    <row r="313">
      <c r="A313" s="17" t="s">
        <v>1302</v>
      </c>
      <c r="B313" s="5" t="s">
        <v>1067</v>
      </c>
      <c r="C313" s="7" t="s">
        <v>1207</v>
      </c>
      <c r="D313" s="7" t="s">
        <v>1207</v>
      </c>
      <c r="E313" s="7" t="s">
        <v>16</v>
      </c>
      <c r="F313" s="7" t="s">
        <v>16</v>
      </c>
      <c r="G313" s="5" t="s">
        <v>19</v>
      </c>
      <c r="H313" s="7" t="s">
        <v>1303</v>
      </c>
      <c r="I313" s="7" t="s">
        <v>1304</v>
      </c>
      <c r="J313" s="8">
        <v>3500.0</v>
      </c>
      <c r="K313" s="7" t="s">
        <v>16</v>
      </c>
      <c r="L313" s="7" t="s">
        <v>16</v>
      </c>
      <c r="M313" s="5" t="s">
        <v>75</v>
      </c>
      <c r="N313" s="5" t="s">
        <v>1305</v>
      </c>
      <c r="O313" s="5"/>
      <c r="P313" s="5"/>
      <c r="Q313" s="5"/>
      <c r="R313" s="5"/>
      <c r="S313" s="5"/>
      <c r="T313" s="5"/>
      <c r="U313" s="5"/>
      <c r="V313" s="5"/>
      <c r="W313" s="5"/>
      <c r="X313" s="5"/>
      <c r="Y313" s="5"/>
      <c r="Z313" s="5"/>
    </row>
    <row r="314">
      <c r="A314" s="17" t="s">
        <v>1306</v>
      </c>
      <c r="B314" s="7" t="s">
        <v>1067</v>
      </c>
      <c r="C314" s="7" t="s">
        <v>1213</v>
      </c>
      <c r="D314" s="7" t="s">
        <v>1213</v>
      </c>
      <c r="E314" s="7" t="s">
        <v>16</v>
      </c>
      <c r="F314" s="7" t="s">
        <v>16</v>
      </c>
      <c r="G314" s="5" t="s">
        <v>19</v>
      </c>
      <c r="H314" s="7" t="s">
        <v>1307</v>
      </c>
      <c r="I314" s="7" t="s">
        <v>1308</v>
      </c>
      <c r="J314" s="8">
        <v>3500.0</v>
      </c>
      <c r="K314" s="7" t="s">
        <v>16</v>
      </c>
      <c r="L314" s="7" t="s">
        <v>16</v>
      </c>
      <c r="M314" s="5" t="s">
        <v>75</v>
      </c>
      <c r="N314" s="5" t="s">
        <v>1309</v>
      </c>
      <c r="O314" s="5"/>
      <c r="P314" s="5"/>
      <c r="Q314" s="5"/>
      <c r="R314" s="5"/>
      <c r="S314" s="5"/>
      <c r="T314" s="5"/>
      <c r="U314" s="5"/>
      <c r="V314" s="5"/>
      <c r="W314" s="5"/>
      <c r="X314" s="5"/>
      <c r="Y314" s="5"/>
      <c r="Z314" s="5"/>
    </row>
    <row r="315">
      <c r="A315" s="17" t="s">
        <v>1310</v>
      </c>
      <c r="B315" s="7" t="s">
        <v>1067</v>
      </c>
      <c r="C315" s="7" t="s">
        <v>1311</v>
      </c>
      <c r="D315" s="7" t="s">
        <v>1311</v>
      </c>
      <c r="E315" s="7" t="s">
        <v>16</v>
      </c>
      <c r="F315" s="7" t="s">
        <v>16</v>
      </c>
      <c r="G315" s="5" t="s">
        <v>19</v>
      </c>
      <c r="H315" s="7" t="s">
        <v>1312</v>
      </c>
      <c r="I315" s="7" t="s">
        <v>1313</v>
      </c>
      <c r="J315" s="8">
        <v>4500.0</v>
      </c>
      <c r="K315" s="7" t="s">
        <v>16</v>
      </c>
      <c r="L315" s="7" t="s">
        <v>16</v>
      </c>
      <c r="M315" s="5" t="s">
        <v>36</v>
      </c>
      <c r="N315" s="5" t="s">
        <v>1314</v>
      </c>
      <c r="O315" s="5"/>
      <c r="P315" s="5"/>
      <c r="Q315" s="5"/>
      <c r="R315" s="5"/>
      <c r="S315" s="5"/>
      <c r="T315" s="5"/>
      <c r="U315" s="5"/>
      <c r="V315" s="5"/>
      <c r="W315" s="5"/>
      <c r="X315" s="5"/>
      <c r="Y315" s="5"/>
      <c r="Z315" s="5"/>
    </row>
    <row r="316">
      <c r="A316" s="17" t="s">
        <v>1315</v>
      </c>
      <c r="B316" s="5" t="s">
        <v>1316</v>
      </c>
      <c r="C316" s="7" t="s">
        <v>1317</v>
      </c>
      <c r="D316" s="7" t="s">
        <v>1317</v>
      </c>
      <c r="E316" s="7" t="s">
        <v>16</v>
      </c>
      <c r="F316" s="7" t="s">
        <v>16</v>
      </c>
      <c r="G316" s="5" t="s">
        <v>19</v>
      </c>
      <c r="H316" s="7" t="s">
        <v>1318</v>
      </c>
      <c r="I316" s="7" t="s">
        <v>1319</v>
      </c>
      <c r="J316" s="8">
        <v>4500.0</v>
      </c>
      <c r="K316" s="7" t="s">
        <v>16</v>
      </c>
      <c r="L316" s="7" t="s">
        <v>16</v>
      </c>
      <c r="M316" s="5" t="s">
        <v>36</v>
      </c>
      <c r="N316" s="5" t="s">
        <v>1320</v>
      </c>
      <c r="O316" s="5"/>
      <c r="P316" s="5"/>
      <c r="Q316" s="5"/>
      <c r="R316" s="5"/>
      <c r="S316" s="5"/>
      <c r="T316" s="5"/>
      <c r="U316" s="5"/>
      <c r="V316" s="5"/>
      <c r="W316" s="5"/>
      <c r="X316" s="5"/>
      <c r="Y316" s="5"/>
      <c r="Z316" s="5"/>
    </row>
    <row r="317">
      <c r="A317" s="17" t="s">
        <v>1321</v>
      </c>
      <c r="B317" s="5" t="s">
        <v>1316</v>
      </c>
      <c r="C317" s="7" t="s">
        <v>1322</v>
      </c>
      <c r="D317" s="7" t="s">
        <v>1322</v>
      </c>
      <c r="E317" s="7" t="s">
        <v>16</v>
      </c>
      <c r="F317" s="7" t="s">
        <v>16</v>
      </c>
      <c r="G317" s="5" t="s">
        <v>19</v>
      </c>
      <c r="H317" s="7" t="s">
        <v>1323</v>
      </c>
      <c r="I317" s="7" t="s">
        <v>1324</v>
      </c>
      <c r="J317" s="8">
        <v>4500.0</v>
      </c>
      <c r="K317" s="7" t="s">
        <v>16</v>
      </c>
      <c r="L317" s="7" t="s">
        <v>16</v>
      </c>
      <c r="M317" s="5" t="s">
        <v>36</v>
      </c>
      <c r="N317" s="5" t="s">
        <v>1325</v>
      </c>
      <c r="O317" s="5"/>
      <c r="P317" s="5"/>
      <c r="Q317" s="5"/>
      <c r="R317" s="5"/>
      <c r="S317" s="5"/>
      <c r="T317" s="5"/>
      <c r="U317" s="5"/>
      <c r="V317" s="5"/>
      <c r="W317" s="5"/>
      <c r="X317" s="5"/>
      <c r="Y317" s="5"/>
      <c r="Z317" s="5"/>
    </row>
    <row r="318">
      <c r="A318" s="17" t="s">
        <v>1326</v>
      </c>
      <c r="B318" s="5" t="s">
        <v>1316</v>
      </c>
      <c r="C318" s="7" t="s">
        <v>1327</v>
      </c>
      <c r="D318" s="7" t="s">
        <v>1327</v>
      </c>
      <c r="E318" s="7" t="s">
        <v>16</v>
      </c>
      <c r="F318" s="7" t="s">
        <v>16</v>
      </c>
      <c r="G318" s="5" t="s">
        <v>19</v>
      </c>
      <c r="H318" s="7" t="s">
        <v>1328</v>
      </c>
      <c r="I318" s="7" t="s">
        <v>1329</v>
      </c>
      <c r="J318" s="8">
        <v>4500.0</v>
      </c>
      <c r="K318" s="7" t="s">
        <v>16</v>
      </c>
      <c r="L318" s="7" t="s">
        <v>16</v>
      </c>
      <c r="M318" s="5" t="s">
        <v>36</v>
      </c>
      <c r="N318" s="5" t="s">
        <v>1330</v>
      </c>
      <c r="O318" s="5"/>
      <c r="P318" s="5"/>
      <c r="Q318" s="5"/>
      <c r="R318" s="5"/>
      <c r="S318" s="5"/>
      <c r="T318" s="5"/>
      <c r="U318" s="5"/>
      <c r="V318" s="5"/>
      <c r="W318" s="5"/>
      <c r="X318" s="5"/>
      <c r="Y318" s="5"/>
      <c r="Z318" s="5"/>
    </row>
    <row r="319">
      <c r="A319" s="17" t="s">
        <v>1331</v>
      </c>
      <c r="B319" s="5" t="s">
        <v>1096</v>
      </c>
      <c r="C319" s="7" t="s">
        <v>1097</v>
      </c>
      <c r="D319" s="7" t="s">
        <v>1068</v>
      </c>
      <c r="E319" s="7" t="s">
        <v>16</v>
      </c>
      <c r="F319" s="7" t="s">
        <v>16</v>
      </c>
      <c r="G319" s="5" t="s">
        <v>19</v>
      </c>
      <c r="H319" s="7" t="s">
        <v>1332</v>
      </c>
      <c r="I319" s="7" t="s">
        <v>1333</v>
      </c>
      <c r="J319" s="7" t="s">
        <v>16</v>
      </c>
      <c r="K319" s="7" t="s">
        <v>16</v>
      </c>
      <c r="L319" s="7" t="s">
        <v>16</v>
      </c>
      <c r="M319" s="5" t="s">
        <v>36</v>
      </c>
      <c r="N319" s="5" t="s">
        <v>1334</v>
      </c>
      <c r="O319" s="5"/>
      <c r="P319" s="5"/>
      <c r="Q319" s="5"/>
      <c r="R319" s="5"/>
      <c r="S319" s="5"/>
      <c r="T319" s="5"/>
      <c r="U319" s="5"/>
      <c r="V319" s="5"/>
      <c r="W319" s="5"/>
      <c r="X319" s="5"/>
      <c r="Y319" s="5"/>
      <c r="Z319" s="5"/>
    </row>
    <row r="320">
      <c r="A320" s="17" t="s">
        <v>1335</v>
      </c>
      <c r="B320" s="5" t="s">
        <v>1096</v>
      </c>
      <c r="C320" s="7" t="s">
        <v>1336</v>
      </c>
      <c r="D320" s="7" t="s">
        <v>1337</v>
      </c>
      <c r="E320" s="7" t="s">
        <v>16</v>
      </c>
      <c r="F320" s="7" t="s">
        <v>16</v>
      </c>
      <c r="G320" s="5" t="s">
        <v>19</v>
      </c>
      <c r="H320" s="7" t="s">
        <v>1338</v>
      </c>
      <c r="I320" s="7" t="s">
        <v>1339</v>
      </c>
      <c r="J320" s="7" t="s">
        <v>16</v>
      </c>
      <c r="K320" s="7" t="s">
        <v>16</v>
      </c>
      <c r="L320" s="7" t="s">
        <v>16</v>
      </c>
      <c r="M320" s="7" t="s">
        <v>22</v>
      </c>
      <c r="N320" s="7" t="s">
        <v>1340</v>
      </c>
      <c r="O320" s="5"/>
      <c r="P320" s="5"/>
      <c r="Q320" s="5"/>
      <c r="R320" s="5"/>
      <c r="S320" s="5"/>
      <c r="T320" s="5"/>
      <c r="U320" s="5"/>
      <c r="V320" s="5"/>
      <c r="W320" s="5"/>
      <c r="X320" s="5"/>
      <c r="Y320" s="5"/>
      <c r="Z320" s="5"/>
    </row>
    <row r="321">
      <c r="A321" s="17" t="s">
        <v>1341</v>
      </c>
      <c r="B321" s="5" t="s">
        <v>1096</v>
      </c>
      <c r="C321" s="7" t="s">
        <v>1342</v>
      </c>
      <c r="D321" s="7" t="s">
        <v>1311</v>
      </c>
      <c r="E321" s="7" t="s">
        <v>16</v>
      </c>
      <c r="F321" s="7" t="s">
        <v>16</v>
      </c>
      <c r="G321" s="5" t="s">
        <v>19</v>
      </c>
      <c r="H321" s="7" t="s">
        <v>1343</v>
      </c>
      <c r="I321" s="7" t="s">
        <v>1344</v>
      </c>
      <c r="J321" s="7" t="s">
        <v>16</v>
      </c>
      <c r="K321" s="7" t="s">
        <v>16</v>
      </c>
      <c r="L321" s="7" t="s">
        <v>16</v>
      </c>
      <c r="M321" s="5" t="s">
        <v>22</v>
      </c>
      <c r="N321" s="5" t="s">
        <v>1345</v>
      </c>
      <c r="O321" s="5"/>
      <c r="P321" s="5"/>
      <c r="Q321" s="5"/>
      <c r="R321" s="5"/>
      <c r="S321" s="5"/>
      <c r="T321" s="5"/>
      <c r="U321" s="5"/>
      <c r="V321" s="5"/>
      <c r="W321" s="5"/>
      <c r="X321" s="5"/>
      <c r="Y321" s="5"/>
      <c r="Z321" s="5"/>
    </row>
    <row r="322">
      <c r="A322" s="17" t="s">
        <v>1346</v>
      </c>
      <c r="B322" s="5" t="s">
        <v>1128</v>
      </c>
      <c r="C322" s="7" t="s">
        <v>1253</v>
      </c>
      <c r="D322" s="7" t="s">
        <v>1068</v>
      </c>
      <c r="E322" s="8">
        <v>3.0</v>
      </c>
      <c r="F322" s="7" t="s">
        <v>17</v>
      </c>
      <c r="G322" s="5" t="s">
        <v>461</v>
      </c>
      <c r="H322" s="7" t="s">
        <v>1130</v>
      </c>
      <c r="I322" s="7" t="s">
        <v>1131</v>
      </c>
      <c r="J322" s="36" t="s">
        <v>1146</v>
      </c>
      <c r="K322" s="8">
        <v>2.0</v>
      </c>
      <c r="L322" s="7" t="s">
        <v>16</v>
      </c>
      <c r="M322" s="5" t="s">
        <v>75</v>
      </c>
      <c r="N322" s="5" t="s">
        <v>1347</v>
      </c>
      <c r="O322" s="5"/>
      <c r="P322" s="5"/>
      <c r="Q322" s="5"/>
      <c r="R322" s="5"/>
      <c r="S322" s="5"/>
      <c r="T322" s="5"/>
      <c r="U322" s="5"/>
      <c r="V322" s="5"/>
      <c r="W322" s="5"/>
      <c r="X322" s="5"/>
      <c r="Y322" s="5"/>
      <c r="Z322" s="5"/>
    </row>
    <row r="323">
      <c r="A323" s="17" t="s">
        <v>1348</v>
      </c>
      <c r="B323" s="5" t="s">
        <v>1128</v>
      </c>
      <c r="C323" s="7" t="s">
        <v>1349</v>
      </c>
      <c r="D323" s="7" t="s">
        <v>1203</v>
      </c>
      <c r="E323" s="8">
        <v>1.0</v>
      </c>
      <c r="F323" s="7" t="s">
        <v>172</v>
      </c>
      <c r="G323" s="5" t="s">
        <v>19</v>
      </c>
      <c r="H323" s="7" t="s">
        <v>16</v>
      </c>
      <c r="I323" s="7" t="s">
        <v>1350</v>
      </c>
      <c r="J323" s="7" t="s">
        <v>1266</v>
      </c>
      <c r="K323" s="7" t="s">
        <v>16</v>
      </c>
      <c r="L323" s="7" t="s">
        <v>16</v>
      </c>
      <c r="M323" s="5" t="s">
        <v>22</v>
      </c>
      <c r="N323" s="5" t="s">
        <v>1351</v>
      </c>
      <c r="O323" s="5"/>
      <c r="P323" s="5"/>
      <c r="Q323" s="5"/>
      <c r="R323" s="5"/>
      <c r="S323" s="5"/>
      <c r="T323" s="5"/>
      <c r="U323" s="5"/>
      <c r="V323" s="5"/>
      <c r="W323" s="5"/>
      <c r="X323" s="5"/>
      <c r="Y323" s="5"/>
      <c r="Z323" s="5"/>
    </row>
    <row r="324">
      <c r="A324" s="17" t="s">
        <v>1352</v>
      </c>
      <c r="B324" s="5" t="s">
        <v>1128</v>
      </c>
      <c r="C324" s="7" t="s">
        <v>1259</v>
      </c>
      <c r="D324" s="7" t="s">
        <v>1207</v>
      </c>
      <c r="E324" s="8">
        <v>1.0</v>
      </c>
      <c r="F324" s="7" t="s">
        <v>172</v>
      </c>
      <c r="G324" s="5" t="s">
        <v>19</v>
      </c>
      <c r="H324" s="7" t="s">
        <v>1353</v>
      </c>
      <c r="I324" s="7" t="s">
        <v>1354</v>
      </c>
      <c r="J324" s="7" t="s">
        <v>1266</v>
      </c>
      <c r="K324" s="7" t="s">
        <v>16</v>
      </c>
      <c r="L324" s="7" t="s">
        <v>16</v>
      </c>
      <c r="M324" s="7" t="s">
        <v>36</v>
      </c>
      <c r="N324" s="7" t="s">
        <v>1355</v>
      </c>
      <c r="O324" s="5"/>
      <c r="P324" s="5"/>
      <c r="Q324" s="5"/>
      <c r="R324" s="5"/>
      <c r="S324" s="5"/>
      <c r="T324" s="5"/>
      <c r="U324" s="5"/>
      <c r="V324" s="5"/>
      <c r="W324" s="5"/>
      <c r="X324" s="5"/>
      <c r="Y324" s="5"/>
      <c r="Z324" s="5"/>
    </row>
    <row r="325">
      <c r="A325" s="17" t="s">
        <v>1356</v>
      </c>
      <c r="B325" s="5" t="s">
        <v>1128</v>
      </c>
      <c r="C325" s="7" t="s">
        <v>1357</v>
      </c>
      <c r="D325" s="7" t="s">
        <v>1213</v>
      </c>
      <c r="E325" s="8">
        <v>1.0</v>
      </c>
      <c r="F325" s="7" t="s">
        <v>172</v>
      </c>
      <c r="G325" s="5" t="s">
        <v>19</v>
      </c>
      <c r="H325" s="7" t="s">
        <v>16</v>
      </c>
      <c r="I325" s="7" t="s">
        <v>1358</v>
      </c>
      <c r="J325" s="7" t="s">
        <v>1266</v>
      </c>
      <c r="K325" s="7" t="s">
        <v>16</v>
      </c>
      <c r="L325" s="7" t="s">
        <v>16</v>
      </c>
      <c r="M325" s="5" t="s">
        <v>22</v>
      </c>
      <c r="N325" s="5" t="s">
        <v>1359</v>
      </c>
      <c r="O325" s="5"/>
      <c r="P325" s="5"/>
      <c r="Q325" s="5"/>
      <c r="R325" s="5"/>
      <c r="S325" s="5"/>
      <c r="T325" s="5"/>
      <c r="U325" s="5"/>
      <c r="V325" s="5"/>
      <c r="W325" s="5"/>
      <c r="X325" s="5"/>
      <c r="Y325" s="5"/>
      <c r="Z325" s="5"/>
    </row>
    <row r="326">
      <c r="A326" s="17" t="s">
        <v>1360</v>
      </c>
      <c r="B326" s="5" t="s">
        <v>1128</v>
      </c>
      <c r="C326" s="7" t="s">
        <v>1318</v>
      </c>
      <c r="D326" s="7" t="s">
        <v>1317</v>
      </c>
      <c r="E326" s="8">
        <v>2.0</v>
      </c>
      <c r="F326" s="7" t="s">
        <v>105</v>
      </c>
      <c r="G326" s="5" t="s">
        <v>19</v>
      </c>
      <c r="H326" s="7" t="s">
        <v>16</v>
      </c>
      <c r="I326" s="7" t="s">
        <v>1131</v>
      </c>
      <c r="J326" s="36" t="s">
        <v>1261</v>
      </c>
      <c r="K326" s="8">
        <v>2.0</v>
      </c>
      <c r="L326" s="7" t="s">
        <v>16</v>
      </c>
      <c r="M326" s="7" t="s">
        <v>22</v>
      </c>
      <c r="N326" s="7" t="s">
        <v>1361</v>
      </c>
      <c r="O326" s="5"/>
      <c r="P326" s="5"/>
      <c r="Q326" s="5"/>
      <c r="R326" s="5"/>
      <c r="S326" s="5"/>
      <c r="T326" s="5"/>
      <c r="U326" s="5"/>
      <c r="V326" s="5"/>
      <c r="W326" s="5"/>
      <c r="X326" s="5"/>
      <c r="Y326" s="5"/>
      <c r="Z326" s="5"/>
    </row>
    <row r="327">
      <c r="A327" s="17" t="s">
        <v>1362</v>
      </c>
      <c r="B327" s="5" t="s">
        <v>1128</v>
      </c>
      <c r="C327" s="7" t="s">
        <v>1323</v>
      </c>
      <c r="D327" s="7" t="s">
        <v>1322</v>
      </c>
      <c r="E327" s="8">
        <v>3.0</v>
      </c>
      <c r="F327" s="7" t="s">
        <v>105</v>
      </c>
      <c r="G327" s="5" t="s">
        <v>19</v>
      </c>
      <c r="H327" s="7" t="s">
        <v>1363</v>
      </c>
      <c r="I327" s="7" t="s">
        <v>1131</v>
      </c>
      <c r="J327" s="36" t="s">
        <v>1137</v>
      </c>
      <c r="K327" s="8">
        <v>2.0</v>
      </c>
      <c r="L327" s="7" t="s">
        <v>16</v>
      </c>
      <c r="M327" s="7" t="s">
        <v>22</v>
      </c>
      <c r="N327" s="7" t="s">
        <v>1364</v>
      </c>
      <c r="O327" s="5"/>
      <c r="P327" s="5"/>
      <c r="Q327" s="5"/>
      <c r="R327" s="5"/>
      <c r="S327" s="5"/>
      <c r="T327" s="5"/>
      <c r="U327" s="5"/>
      <c r="V327" s="5"/>
      <c r="W327" s="5"/>
      <c r="X327" s="5"/>
      <c r="Y327" s="5"/>
      <c r="Z327" s="5"/>
    </row>
    <row r="328">
      <c r="A328" s="17" t="s">
        <v>1365</v>
      </c>
      <c r="B328" s="5" t="s">
        <v>1128</v>
      </c>
      <c r="C328" s="7" t="s">
        <v>1366</v>
      </c>
      <c r="D328" s="7" t="s">
        <v>1327</v>
      </c>
      <c r="E328" s="8">
        <v>1.0</v>
      </c>
      <c r="F328" s="7" t="s">
        <v>105</v>
      </c>
      <c r="G328" s="5" t="s">
        <v>19</v>
      </c>
      <c r="H328" s="7" t="s">
        <v>16</v>
      </c>
      <c r="I328" s="7" t="s">
        <v>1367</v>
      </c>
      <c r="J328" s="36" t="s">
        <v>1261</v>
      </c>
      <c r="K328" s="8">
        <v>1.0</v>
      </c>
      <c r="L328" s="7" t="s">
        <v>16</v>
      </c>
      <c r="M328" s="7" t="s">
        <v>22</v>
      </c>
      <c r="N328" s="7" t="s">
        <v>1368</v>
      </c>
      <c r="O328" s="5"/>
      <c r="P328" s="5"/>
      <c r="Q328" s="5"/>
      <c r="R328" s="5"/>
      <c r="S328" s="5"/>
      <c r="T328" s="5"/>
      <c r="U328" s="5"/>
      <c r="V328" s="5"/>
      <c r="W328" s="5"/>
      <c r="X328" s="5"/>
      <c r="Y328" s="5"/>
      <c r="Z328" s="5"/>
    </row>
    <row r="329">
      <c r="A329" s="17" t="s">
        <v>1369</v>
      </c>
      <c r="B329" s="5" t="s">
        <v>14</v>
      </c>
      <c r="C329" s="7" t="s">
        <v>1370</v>
      </c>
      <c r="D329" s="7" t="s">
        <v>16</v>
      </c>
      <c r="E329" s="8">
        <v>2.0</v>
      </c>
      <c r="F329" s="7" t="s">
        <v>17</v>
      </c>
      <c r="G329" s="5" t="s">
        <v>19</v>
      </c>
      <c r="H329" s="7" t="s">
        <v>16</v>
      </c>
      <c r="I329" s="7" t="s">
        <v>1371</v>
      </c>
      <c r="J329" s="7" t="s">
        <v>16</v>
      </c>
      <c r="K329" s="7" t="s">
        <v>16</v>
      </c>
      <c r="L329" s="7" t="s">
        <v>16</v>
      </c>
      <c r="M329" s="7" t="s">
        <v>1372</v>
      </c>
      <c r="N329" s="7" t="s">
        <v>1373</v>
      </c>
      <c r="O329" s="5"/>
      <c r="P329" s="5"/>
      <c r="Q329" s="5"/>
      <c r="R329" s="5"/>
      <c r="S329" s="5"/>
      <c r="T329" s="5"/>
      <c r="U329" s="5"/>
      <c r="V329" s="5"/>
      <c r="W329" s="5"/>
      <c r="X329" s="5"/>
      <c r="Y329" s="5"/>
      <c r="Z329" s="5"/>
    </row>
    <row r="330">
      <c r="A330" s="17" t="s">
        <v>1374</v>
      </c>
      <c r="B330" s="5" t="s">
        <v>14</v>
      </c>
      <c r="C330" s="7" t="s">
        <v>1375</v>
      </c>
      <c r="D330" s="7" t="s">
        <v>16</v>
      </c>
      <c r="E330" s="8">
        <v>0.0</v>
      </c>
      <c r="F330" s="7" t="s">
        <v>105</v>
      </c>
      <c r="G330" s="5" t="s">
        <v>19</v>
      </c>
      <c r="H330" s="7" t="s">
        <v>16</v>
      </c>
      <c r="I330" s="7" t="s">
        <v>1376</v>
      </c>
      <c r="J330" s="7" t="s">
        <v>16</v>
      </c>
      <c r="K330" s="7" t="s">
        <v>16</v>
      </c>
      <c r="L330" s="7" t="s">
        <v>16</v>
      </c>
      <c r="M330" s="7" t="s">
        <v>36</v>
      </c>
      <c r="N330" s="7" t="s">
        <v>1377</v>
      </c>
      <c r="O330" s="5"/>
      <c r="P330" s="5"/>
      <c r="Q330" s="5"/>
      <c r="R330" s="5"/>
      <c r="S330" s="5"/>
      <c r="T330" s="5"/>
      <c r="U330" s="5"/>
      <c r="V330" s="5"/>
      <c r="W330" s="5"/>
      <c r="X330" s="5"/>
      <c r="Y330" s="5"/>
      <c r="Z330" s="5"/>
    </row>
    <row r="331">
      <c r="A331" s="17" t="s">
        <v>1378</v>
      </c>
      <c r="B331" s="5" t="s">
        <v>14</v>
      </c>
      <c r="C331" s="7" t="s">
        <v>55</v>
      </c>
      <c r="D331" s="7" t="s">
        <v>16</v>
      </c>
      <c r="E331" s="8">
        <v>0.0</v>
      </c>
      <c r="F331" s="7" t="s">
        <v>105</v>
      </c>
      <c r="G331" s="5" t="s">
        <v>19</v>
      </c>
      <c r="H331" s="7" t="s">
        <v>16</v>
      </c>
      <c r="I331" s="7" t="s">
        <v>1379</v>
      </c>
      <c r="J331" s="7" t="s">
        <v>16</v>
      </c>
      <c r="K331" s="7" t="s">
        <v>16</v>
      </c>
      <c r="L331" s="7" t="s">
        <v>16</v>
      </c>
      <c r="M331" s="7" t="s">
        <v>75</v>
      </c>
      <c r="N331" s="7" t="s">
        <v>1380</v>
      </c>
      <c r="O331" s="5"/>
      <c r="P331" s="5"/>
      <c r="Q331" s="5"/>
      <c r="R331" s="5"/>
      <c r="S331" s="5"/>
      <c r="T331" s="5"/>
      <c r="U331" s="5"/>
      <c r="V331" s="5"/>
      <c r="W331" s="5"/>
      <c r="X331" s="5"/>
      <c r="Y331" s="5"/>
      <c r="Z331" s="5"/>
    </row>
    <row r="332">
      <c r="A332" s="17" t="s">
        <v>1381</v>
      </c>
      <c r="B332" s="5" t="s">
        <v>14</v>
      </c>
      <c r="C332" s="7" t="s">
        <v>55</v>
      </c>
      <c r="D332" s="7" t="s">
        <v>16</v>
      </c>
      <c r="E332" s="8">
        <v>0.0</v>
      </c>
      <c r="F332" s="7" t="s">
        <v>105</v>
      </c>
      <c r="G332" s="5" t="s">
        <v>19</v>
      </c>
      <c r="H332" s="7" t="s">
        <v>16</v>
      </c>
      <c r="I332" s="7" t="s">
        <v>1379</v>
      </c>
      <c r="J332" s="7" t="s">
        <v>16</v>
      </c>
      <c r="K332" s="7" t="s">
        <v>16</v>
      </c>
      <c r="L332" s="7" t="s">
        <v>16</v>
      </c>
      <c r="M332" s="7" t="s">
        <v>75</v>
      </c>
      <c r="N332" s="7" t="s">
        <v>1382</v>
      </c>
      <c r="O332" s="5"/>
      <c r="P332" s="5"/>
      <c r="Q332" s="5"/>
      <c r="R332" s="5"/>
      <c r="S332" s="5"/>
      <c r="T332" s="5"/>
      <c r="U332" s="5"/>
      <c r="V332" s="5"/>
      <c r="W332" s="5"/>
      <c r="X332" s="5"/>
      <c r="Y332" s="5"/>
      <c r="Z332" s="5"/>
    </row>
    <row r="333">
      <c r="A333" s="17" t="s">
        <v>1383</v>
      </c>
      <c r="B333" s="5" t="s">
        <v>14</v>
      </c>
      <c r="C333" s="7" t="s">
        <v>1384</v>
      </c>
      <c r="D333" s="7" t="s">
        <v>16</v>
      </c>
      <c r="E333" s="8">
        <v>1.0</v>
      </c>
      <c r="F333" s="7" t="s">
        <v>17</v>
      </c>
      <c r="G333" s="5" t="s">
        <v>19</v>
      </c>
      <c r="H333" s="7" t="s">
        <v>16</v>
      </c>
      <c r="I333" s="7" t="s">
        <v>1385</v>
      </c>
      <c r="J333" s="7" t="s">
        <v>16</v>
      </c>
      <c r="K333" s="7" t="s">
        <v>16</v>
      </c>
      <c r="L333" s="7" t="s">
        <v>16</v>
      </c>
      <c r="M333" s="7" t="s">
        <v>22</v>
      </c>
      <c r="N333" s="7" t="s">
        <v>1386</v>
      </c>
      <c r="O333" s="5"/>
      <c r="P333" s="5"/>
      <c r="Q333" s="5"/>
      <c r="R333" s="5"/>
      <c r="S333" s="5"/>
      <c r="T333" s="5"/>
      <c r="U333" s="5"/>
      <c r="V333" s="5"/>
      <c r="W333" s="5"/>
      <c r="X333" s="5"/>
      <c r="Y333" s="5"/>
      <c r="Z333" s="5"/>
    </row>
    <row r="334">
      <c r="A334" s="17" t="s">
        <v>1387</v>
      </c>
      <c r="B334" s="7" t="s">
        <v>14</v>
      </c>
      <c r="C334" s="7" t="s">
        <v>1388</v>
      </c>
      <c r="D334" s="7" t="s">
        <v>16</v>
      </c>
      <c r="E334" s="8">
        <v>0.0</v>
      </c>
      <c r="F334" s="7" t="s">
        <v>17</v>
      </c>
      <c r="G334" s="5" t="s">
        <v>19</v>
      </c>
      <c r="H334" s="5" t="s">
        <v>16</v>
      </c>
      <c r="I334" s="7" t="s">
        <v>1389</v>
      </c>
      <c r="J334" s="7" t="s">
        <v>16</v>
      </c>
      <c r="K334" s="7" t="s">
        <v>16</v>
      </c>
      <c r="L334" s="7" t="s">
        <v>16</v>
      </c>
      <c r="M334" s="5" t="s">
        <v>22</v>
      </c>
      <c r="N334" s="5" t="s">
        <v>1390</v>
      </c>
      <c r="O334" s="5"/>
      <c r="P334" s="5"/>
      <c r="Q334" s="5"/>
      <c r="R334" s="5"/>
      <c r="S334" s="5"/>
      <c r="T334" s="5"/>
      <c r="U334" s="5"/>
      <c r="V334" s="5"/>
      <c r="W334" s="5"/>
      <c r="X334" s="5"/>
      <c r="Y334" s="5"/>
      <c r="Z334" s="5"/>
    </row>
    <row r="335">
      <c r="A335" s="17" t="s">
        <v>1391</v>
      </c>
      <c r="B335" s="7" t="s">
        <v>14</v>
      </c>
      <c r="C335" s="7" t="s">
        <v>1392</v>
      </c>
      <c r="D335" s="7" t="s">
        <v>16</v>
      </c>
      <c r="E335" s="8">
        <v>0.0</v>
      </c>
      <c r="F335" s="7" t="s">
        <v>17</v>
      </c>
      <c r="G335" s="5" t="s">
        <v>19</v>
      </c>
      <c r="H335" s="7" t="s">
        <v>16</v>
      </c>
      <c r="I335" s="7" t="s">
        <v>1393</v>
      </c>
      <c r="J335" s="7" t="s">
        <v>16</v>
      </c>
      <c r="K335" s="7" t="s">
        <v>16</v>
      </c>
      <c r="L335" s="7" t="s">
        <v>16</v>
      </c>
      <c r="M335" s="7" t="s">
        <v>75</v>
      </c>
      <c r="N335" s="7" t="s">
        <v>1394</v>
      </c>
      <c r="O335" s="5"/>
      <c r="P335" s="5"/>
      <c r="Q335" s="5"/>
      <c r="R335" s="5"/>
      <c r="S335" s="5"/>
      <c r="T335" s="5"/>
      <c r="U335" s="5"/>
      <c r="V335" s="5"/>
      <c r="W335" s="5"/>
      <c r="X335" s="5"/>
      <c r="Y335" s="5"/>
      <c r="Z335" s="5"/>
    </row>
    <row r="336">
      <c r="A336" s="17" t="s">
        <v>1395</v>
      </c>
      <c r="B336" s="7" t="s">
        <v>1067</v>
      </c>
      <c r="C336" s="7" t="s">
        <v>1068</v>
      </c>
      <c r="D336" s="7" t="s">
        <v>1068</v>
      </c>
      <c r="E336" s="7" t="s">
        <v>16</v>
      </c>
      <c r="F336" s="7" t="s">
        <v>16</v>
      </c>
      <c r="G336" s="5" t="s">
        <v>19</v>
      </c>
      <c r="H336" s="7" t="s">
        <v>276</v>
      </c>
      <c r="I336" s="7" t="s">
        <v>1396</v>
      </c>
      <c r="J336" s="8">
        <v>4000.0</v>
      </c>
      <c r="K336" s="7" t="s">
        <v>16</v>
      </c>
      <c r="L336" s="7" t="s">
        <v>16</v>
      </c>
      <c r="M336" s="7" t="s">
        <v>75</v>
      </c>
      <c r="N336" s="7" t="s">
        <v>1397</v>
      </c>
      <c r="O336" s="5"/>
      <c r="P336" s="5"/>
      <c r="Q336" s="5"/>
      <c r="R336" s="5"/>
      <c r="S336" s="5"/>
      <c r="T336" s="5"/>
      <c r="U336" s="5"/>
      <c r="V336" s="5"/>
      <c r="W336" s="5"/>
      <c r="X336" s="5"/>
      <c r="Y336" s="5"/>
      <c r="Z336" s="5"/>
    </row>
    <row r="337">
      <c r="A337" s="17" t="s">
        <v>1398</v>
      </c>
      <c r="B337" s="7" t="s">
        <v>1067</v>
      </c>
      <c r="C337" s="7" t="s">
        <v>1399</v>
      </c>
      <c r="D337" s="7" t="s">
        <v>1400</v>
      </c>
      <c r="E337" s="7" t="s">
        <v>16</v>
      </c>
      <c r="F337" s="7" t="s">
        <v>16</v>
      </c>
      <c r="G337" s="5" t="s">
        <v>19</v>
      </c>
      <c r="H337" s="7" t="s">
        <v>1401</v>
      </c>
      <c r="I337" s="7" t="s">
        <v>1402</v>
      </c>
      <c r="J337" s="8">
        <v>5500.0</v>
      </c>
      <c r="K337" s="7" t="s">
        <v>16</v>
      </c>
      <c r="L337" s="7" t="s">
        <v>16</v>
      </c>
      <c r="M337" s="7" t="s">
        <v>75</v>
      </c>
      <c r="N337" s="7" t="s">
        <v>1403</v>
      </c>
      <c r="O337" s="5"/>
      <c r="P337" s="5"/>
      <c r="Q337" s="5"/>
      <c r="R337" s="5"/>
      <c r="S337" s="5"/>
      <c r="T337" s="5"/>
      <c r="U337" s="5"/>
      <c r="V337" s="5"/>
      <c r="W337" s="5"/>
      <c r="X337" s="5"/>
      <c r="Y337" s="5"/>
      <c r="Z337" s="5"/>
    </row>
    <row r="338">
      <c r="A338" s="17" t="s">
        <v>1404</v>
      </c>
      <c r="B338" s="7" t="s">
        <v>1067</v>
      </c>
      <c r="C338" s="7" t="s">
        <v>1405</v>
      </c>
      <c r="D338" s="7" t="s">
        <v>85</v>
      </c>
      <c r="E338" s="7" t="s">
        <v>16</v>
      </c>
      <c r="F338" s="7" t="s">
        <v>16</v>
      </c>
      <c r="G338" s="7" t="s">
        <v>19</v>
      </c>
      <c r="H338" s="7" t="s">
        <v>1406</v>
      </c>
      <c r="I338" s="7" t="s">
        <v>1407</v>
      </c>
      <c r="J338" s="8">
        <v>5000.0</v>
      </c>
      <c r="K338" s="7" t="s">
        <v>16</v>
      </c>
      <c r="L338" s="7" t="s">
        <v>16</v>
      </c>
      <c r="M338" s="7" t="s">
        <v>36</v>
      </c>
      <c r="N338" s="7" t="s">
        <v>1408</v>
      </c>
      <c r="O338" s="5"/>
      <c r="P338" s="5"/>
      <c r="Q338" s="5"/>
      <c r="R338" s="5"/>
      <c r="S338" s="5"/>
      <c r="T338" s="5"/>
      <c r="U338" s="5"/>
      <c r="V338" s="5"/>
      <c r="W338" s="5"/>
      <c r="X338" s="5"/>
      <c r="Y338" s="5"/>
      <c r="Z338" s="5"/>
    </row>
    <row r="339">
      <c r="A339" s="17" t="s">
        <v>1409</v>
      </c>
      <c r="B339" s="7" t="s">
        <v>1316</v>
      </c>
      <c r="C339" s="7" t="s">
        <v>1410</v>
      </c>
      <c r="D339" s="7" t="s">
        <v>1410</v>
      </c>
      <c r="E339" s="7" t="s">
        <v>16</v>
      </c>
      <c r="F339" s="7" t="s">
        <v>16</v>
      </c>
      <c r="G339" s="5" t="s">
        <v>19</v>
      </c>
      <c r="H339" s="7" t="s">
        <v>1411</v>
      </c>
      <c r="I339" s="7" t="s">
        <v>1412</v>
      </c>
      <c r="J339" s="8">
        <v>5000.0</v>
      </c>
      <c r="K339" s="7" t="s">
        <v>16</v>
      </c>
      <c r="L339" s="7" t="s">
        <v>16</v>
      </c>
      <c r="M339" s="5" t="s">
        <v>22</v>
      </c>
      <c r="N339" s="5" t="s">
        <v>1413</v>
      </c>
      <c r="O339" s="5"/>
      <c r="P339" s="5"/>
      <c r="Q339" s="5"/>
      <c r="R339" s="5"/>
      <c r="S339" s="5"/>
      <c r="T339" s="5"/>
      <c r="U339" s="5"/>
      <c r="V339" s="5"/>
      <c r="W339" s="5"/>
      <c r="X339" s="5"/>
      <c r="Y339" s="5"/>
      <c r="Z339" s="5"/>
    </row>
    <row r="340">
      <c r="A340" s="17" t="s">
        <v>1414</v>
      </c>
      <c r="B340" s="7" t="s">
        <v>1316</v>
      </c>
      <c r="C340" s="7" t="s">
        <v>1415</v>
      </c>
      <c r="D340" s="7" t="s">
        <v>1415</v>
      </c>
      <c r="E340" s="7" t="s">
        <v>16</v>
      </c>
      <c r="F340" s="7" t="s">
        <v>16</v>
      </c>
      <c r="G340" s="5" t="s">
        <v>19</v>
      </c>
      <c r="H340" s="7" t="s">
        <v>1411</v>
      </c>
      <c r="I340" s="7" t="s">
        <v>1412</v>
      </c>
      <c r="J340" s="8">
        <v>5000.0</v>
      </c>
      <c r="K340" s="7" t="s">
        <v>16</v>
      </c>
      <c r="L340" s="7" t="s">
        <v>16</v>
      </c>
      <c r="M340" s="5" t="s">
        <v>22</v>
      </c>
      <c r="N340" s="5" t="s">
        <v>1416</v>
      </c>
      <c r="O340" s="5"/>
      <c r="P340" s="5"/>
      <c r="Q340" s="5"/>
      <c r="R340" s="5"/>
      <c r="S340" s="5"/>
      <c r="T340" s="5"/>
      <c r="U340" s="5"/>
      <c r="V340" s="5"/>
      <c r="W340" s="5"/>
      <c r="X340" s="5"/>
      <c r="Y340" s="5"/>
      <c r="Z340" s="5"/>
    </row>
    <row r="341">
      <c r="A341" s="17" t="s">
        <v>1417</v>
      </c>
      <c r="B341" s="5" t="s">
        <v>1316</v>
      </c>
      <c r="C341" s="7" t="s">
        <v>1418</v>
      </c>
      <c r="D341" s="7" t="s">
        <v>1418</v>
      </c>
      <c r="E341" s="7" t="s">
        <v>16</v>
      </c>
      <c r="F341" s="7" t="s">
        <v>16</v>
      </c>
      <c r="G341" s="5" t="s">
        <v>19</v>
      </c>
      <c r="H341" s="7" t="s">
        <v>1411</v>
      </c>
      <c r="I341" s="7" t="s">
        <v>1412</v>
      </c>
      <c r="J341" s="8">
        <v>5000.0</v>
      </c>
      <c r="K341" s="7" t="s">
        <v>16</v>
      </c>
      <c r="L341" s="7" t="s">
        <v>16</v>
      </c>
      <c r="M341" s="7" t="s">
        <v>22</v>
      </c>
      <c r="N341" s="7" t="s">
        <v>1419</v>
      </c>
      <c r="O341" s="5"/>
      <c r="P341" s="5"/>
      <c r="Q341" s="5"/>
      <c r="R341" s="5"/>
      <c r="S341" s="5"/>
      <c r="T341" s="5"/>
      <c r="U341" s="5"/>
      <c r="V341" s="5"/>
      <c r="W341" s="5"/>
      <c r="X341" s="5"/>
      <c r="Y341" s="5"/>
      <c r="Z341" s="5"/>
    </row>
    <row r="342">
      <c r="A342" s="17" t="s">
        <v>1420</v>
      </c>
      <c r="B342" s="5" t="s">
        <v>1316</v>
      </c>
      <c r="C342" s="7" t="s">
        <v>1421</v>
      </c>
      <c r="D342" s="7" t="s">
        <v>1421</v>
      </c>
      <c r="E342" s="7" t="s">
        <v>16</v>
      </c>
      <c r="F342" s="7" t="s">
        <v>16</v>
      </c>
      <c r="G342" s="5" t="s">
        <v>19</v>
      </c>
      <c r="H342" s="7" t="s">
        <v>1422</v>
      </c>
      <c r="I342" s="7" t="s">
        <v>1423</v>
      </c>
      <c r="J342" s="8">
        <v>5000.0</v>
      </c>
      <c r="K342" s="7" t="s">
        <v>16</v>
      </c>
      <c r="L342" s="7" t="s">
        <v>16</v>
      </c>
      <c r="M342" s="7" t="s">
        <v>75</v>
      </c>
      <c r="N342" s="7" t="s">
        <v>1424</v>
      </c>
      <c r="O342" s="5"/>
      <c r="P342" s="5"/>
      <c r="Q342" s="5"/>
      <c r="R342" s="5"/>
      <c r="S342" s="5"/>
      <c r="T342" s="5"/>
      <c r="U342" s="5"/>
      <c r="V342" s="5"/>
      <c r="W342" s="5"/>
      <c r="X342" s="5"/>
      <c r="Y342" s="5"/>
      <c r="Z342" s="5"/>
    </row>
    <row r="343">
      <c r="A343" s="17" t="s">
        <v>1425</v>
      </c>
      <c r="B343" s="5" t="s">
        <v>1316</v>
      </c>
      <c r="C343" s="7" t="s">
        <v>1426</v>
      </c>
      <c r="D343" s="7" t="s">
        <v>1426</v>
      </c>
      <c r="E343" s="7" t="s">
        <v>16</v>
      </c>
      <c r="F343" s="7" t="s">
        <v>16</v>
      </c>
      <c r="G343" s="5" t="s">
        <v>19</v>
      </c>
      <c r="H343" s="7" t="s">
        <v>1427</v>
      </c>
      <c r="I343" s="7" t="s">
        <v>1428</v>
      </c>
      <c r="J343" s="8">
        <v>4000.0</v>
      </c>
      <c r="K343" s="7" t="s">
        <v>16</v>
      </c>
      <c r="L343" s="7" t="s">
        <v>16</v>
      </c>
      <c r="M343" s="7" t="s">
        <v>22</v>
      </c>
      <c r="N343" s="7" t="s">
        <v>1429</v>
      </c>
      <c r="O343" s="5"/>
      <c r="P343" s="5"/>
      <c r="Q343" s="5"/>
      <c r="R343" s="5"/>
      <c r="S343" s="5"/>
      <c r="T343" s="5"/>
      <c r="U343" s="5"/>
      <c r="V343" s="5"/>
      <c r="W343" s="5"/>
      <c r="X343" s="5"/>
      <c r="Y343" s="5"/>
      <c r="Z343" s="5"/>
    </row>
    <row r="344">
      <c r="A344" s="17" t="s">
        <v>1430</v>
      </c>
      <c r="B344" s="5" t="s">
        <v>1096</v>
      </c>
      <c r="C344" s="7" t="s">
        <v>1431</v>
      </c>
      <c r="D344" s="7" t="s">
        <v>85</v>
      </c>
      <c r="E344" s="7" t="s">
        <v>16</v>
      </c>
      <c r="F344" s="7" t="s">
        <v>16</v>
      </c>
      <c r="G344" s="5" t="s">
        <v>19</v>
      </c>
      <c r="H344" s="7" t="s">
        <v>1432</v>
      </c>
      <c r="I344" s="7" t="s">
        <v>1433</v>
      </c>
      <c r="J344" s="7" t="s">
        <v>16</v>
      </c>
      <c r="K344" s="7" t="s">
        <v>16</v>
      </c>
      <c r="L344" s="7" t="s">
        <v>16</v>
      </c>
      <c r="M344" s="7" t="s">
        <v>22</v>
      </c>
      <c r="N344" s="7" t="s">
        <v>1434</v>
      </c>
      <c r="O344" s="5"/>
      <c r="P344" s="5"/>
      <c r="Q344" s="5"/>
      <c r="R344" s="5"/>
      <c r="S344" s="5"/>
      <c r="T344" s="5"/>
      <c r="U344" s="5"/>
      <c r="V344" s="5"/>
      <c r="W344" s="5"/>
      <c r="X344" s="5"/>
      <c r="Y344" s="5"/>
      <c r="Z344" s="5"/>
    </row>
    <row r="345">
      <c r="A345" s="17" t="s">
        <v>1435</v>
      </c>
      <c r="B345" s="5" t="s">
        <v>1096</v>
      </c>
      <c r="C345" s="7" t="s">
        <v>1436</v>
      </c>
      <c r="D345" s="7" t="s">
        <v>1400</v>
      </c>
      <c r="E345" s="7" t="s">
        <v>16</v>
      </c>
      <c r="F345" s="7" t="s">
        <v>16</v>
      </c>
      <c r="G345" s="5" t="s">
        <v>19</v>
      </c>
      <c r="H345" s="7" t="s">
        <v>1437</v>
      </c>
      <c r="I345" s="7" t="s">
        <v>1438</v>
      </c>
      <c r="J345" s="7" t="s">
        <v>16</v>
      </c>
      <c r="K345" s="7" t="s">
        <v>16</v>
      </c>
      <c r="L345" s="7" t="s">
        <v>16</v>
      </c>
      <c r="M345" s="7" t="s">
        <v>75</v>
      </c>
      <c r="N345" s="7" t="s">
        <v>1439</v>
      </c>
      <c r="O345" s="5"/>
      <c r="P345" s="5"/>
      <c r="Q345" s="5"/>
      <c r="R345" s="5"/>
      <c r="S345" s="5"/>
      <c r="T345" s="5"/>
      <c r="U345" s="5"/>
      <c r="V345" s="5"/>
      <c r="W345" s="5"/>
      <c r="X345" s="5"/>
      <c r="Y345" s="5"/>
      <c r="Z345" s="5"/>
    </row>
    <row r="346">
      <c r="A346" s="17" t="s">
        <v>1440</v>
      </c>
      <c r="B346" s="5" t="s">
        <v>1096</v>
      </c>
      <c r="C346" s="7" t="s">
        <v>1441</v>
      </c>
      <c r="D346" s="7" t="s">
        <v>1421</v>
      </c>
      <c r="E346" s="7" t="s">
        <v>16</v>
      </c>
      <c r="F346" s="7" t="s">
        <v>16</v>
      </c>
      <c r="G346" s="5" t="s">
        <v>19</v>
      </c>
      <c r="H346" s="7" t="s">
        <v>1442</v>
      </c>
      <c r="I346" s="7" t="s">
        <v>1443</v>
      </c>
      <c r="J346" s="7" t="s">
        <v>16</v>
      </c>
      <c r="K346" s="7" t="s">
        <v>16</v>
      </c>
      <c r="L346" s="7" t="s">
        <v>16</v>
      </c>
      <c r="M346" s="7" t="s">
        <v>22</v>
      </c>
      <c r="N346" s="7" t="s">
        <v>1444</v>
      </c>
      <c r="O346" s="5"/>
      <c r="P346" s="5"/>
      <c r="Q346" s="5"/>
      <c r="R346" s="5"/>
      <c r="S346" s="5"/>
      <c r="T346" s="5"/>
      <c r="U346" s="5"/>
      <c r="V346" s="5"/>
      <c r="W346" s="5"/>
      <c r="X346" s="5"/>
      <c r="Y346" s="5"/>
      <c r="Z346" s="5"/>
    </row>
    <row r="347">
      <c r="A347" s="17" t="s">
        <v>1445</v>
      </c>
      <c r="B347" s="5" t="s">
        <v>1128</v>
      </c>
      <c r="C347" s="7" t="s">
        <v>1446</v>
      </c>
      <c r="D347" s="7" t="s">
        <v>1068</v>
      </c>
      <c r="E347" s="8">
        <v>1.0</v>
      </c>
      <c r="F347" s="7" t="s">
        <v>172</v>
      </c>
      <c r="G347" s="5" t="s">
        <v>461</v>
      </c>
      <c r="H347" s="7" t="s">
        <v>16</v>
      </c>
      <c r="I347" s="7" t="s">
        <v>1447</v>
      </c>
      <c r="J347" s="7" t="s">
        <v>1266</v>
      </c>
      <c r="K347" s="7" t="s">
        <v>16</v>
      </c>
      <c r="L347" s="7" t="s">
        <v>16</v>
      </c>
      <c r="M347" s="7" t="s">
        <v>36</v>
      </c>
      <c r="N347" s="7" t="s">
        <v>1448</v>
      </c>
      <c r="O347" s="5"/>
      <c r="P347" s="5"/>
      <c r="Q347" s="5"/>
      <c r="R347" s="5"/>
      <c r="S347" s="5"/>
      <c r="T347" s="5"/>
      <c r="U347" s="5"/>
      <c r="V347" s="5"/>
      <c r="W347" s="5"/>
      <c r="X347" s="5"/>
      <c r="Y347" s="5"/>
      <c r="Z347" s="5"/>
    </row>
    <row r="348">
      <c r="A348" s="17" t="s">
        <v>1449</v>
      </c>
      <c r="B348" s="7" t="s">
        <v>1128</v>
      </c>
      <c r="C348" s="7" t="s">
        <v>1450</v>
      </c>
      <c r="D348" s="7" t="s">
        <v>85</v>
      </c>
      <c r="E348" s="8">
        <v>2.0</v>
      </c>
      <c r="F348" s="7" t="s">
        <v>105</v>
      </c>
      <c r="G348" s="5" t="s">
        <v>19</v>
      </c>
      <c r="H348" s="7" t="s">
        <v>16</v>
      </c>
      <c r="I348" s="7" t="s">
        <v>1131</v>
      </c>
      <c r="J348" s="36" t="s">
        <v>1261</v>
      </c>
      <c r="K348" s="8">
        <v>2.0</v>
      </c>
      <c r="L348" s="7" t="s">
        <v>16</v>
      </c>
      <c r="M348" s="7" t="s">
        <v>22</v>
      </c>
      <c r="N348" s="7" t="s">
        <v>1451</v>
      </c>
      <c r="O348" s="5"/>
      <c r="P348" s="5"/>
      <c r="Q348" s="5"/>
      <c r="R348" s="5"/>
      <c r="S348" s="5"/>
      <c r="T348" s="5"/>
      <c r="U348" s="5"/>
      <c r="V348" s="5"/>
      <c r="W348" s="5"/>
      <c r="X348" s="5"/>
      <c r="Y348" s="5"/>
      <c r="Z348" s="5"/>
    </row>
    <row r="349">
      <c r="A349" s="17" t="s">
        <v>1452</v>
      </c>
      <c r="B349" s="7" t="s">
        <v>1128</v>
      </c>
      <c r="C349" s="7" t="s">
        <v>1453</v>
      </c>
      <c r="D349" s="7" t="s">
        <v>1400</v>
      </c>
      <c r="E349" s="8">
        <v>2.0</v>
      </c>
      <c r="F349" s="7" t="s">
        <v>105</v>
      </c>
      <c r="G349" s="5" t="s">
        <v>19</v>
      </c>
      <c r="H349" s="7" t="s">
        <v>16</v>
      </c>
      <c r="I349" s="7" t="s">
        <v>1131</v>
      </c>
      <c r="J349" s="36" t="s">
        <v>1137</v>
      </c>
      <c r="K349" s="8">
        <v>2.0</v>
      </c>
      <c r="L349" s="7" t="s">
        <v>16</v>
      </c>
      <c r="M349" s="7" t="s">
        <v>36</v>
      </c>
      <c r="N349" s="7" t="s">
        <v>1454</v>
      </c>
      <c r="O349" s="5"/>
      <c r="P349" s="5"/>
      <c r="Q349" s="5"/>
      <c r="R349" s="5"/>
      <c r="S349" s="5"/>
      <c r="T349" s="5"/>
      <c r="U349" s="5"/>
      <c r="V349" s="5"/>
      <c r="W349" s="5"/>
      <c r="X349" s="5"/>
      <c r="Y349" s="5"/>
      <c r="Z349" s="5"/>
    </row>
    <row r="350">
      <c r="A350" s="17" t="s">
        <v>1455</v>
      </c>
      <c r="B350" s="7" t="s">
        <v>1128</v>
      </c>
      <c r="C350" s="7" t="s">
        <v>1456</v>
      </c>
      <c r="D350" s="7" t="s">
        <v>1410</v>
      </c>
      <c r="E350" s="8">
        <v>2.0</v>
      </c>
      <c r="F350" s="7" t="s">
        <v>105</v>
      </c>
      <c r="G350" s="5" t="s">
        <v>19</v>
      </c>
      <c r="H350" s="7" t="s">
        <v>16</v>
      </c>
      <c r="I350" s="7" t="s">
        <v>1131</v>
      </c>
      <c r="J350" s="36" t="s">
        <v>1261</v>
      </c>
      <c r="K350" s="8">
        <v>2.0</v>
      </c>
      <c r="L350" s="7" t="s">
        <v>16</v>
      </c>
      <c r="M350" s="7" t="s">
        <v>22</v>
      </c>
      <c r="N350" s="7" t="s">
        <v>1457</v>
      </c>
      <c r="O350" s="5"/>
      <c r="P350" s="5"/>
      <c r="Q350" s="5"/>
      <c r="R350" s="5"/>
      <c r="S350" s="5"/>
      <c r="T350" s="5"/>
      <c r="U350" s="5"/>
      <c r="V350" s="5"/>
      <c r="W350" s="5"/>
      <c r="X350" s="5"/>
      <c r="Y350" s="5"/>
      <c r="Z350" s="5"/>
    </row>
    <row r="351">
      <c r="A351" s="17" t="s">
        <v>1458</v>
      </c>
      <c r="B351" s="7" t="s">
        <v>1128</v>
      </c>
      <c r="C351" s="7" t="s">
        <v>1459</v>
      </c>
      <c r="D351" s="7" t="s">
        <v>1415</v>
      </c>
      <c r="E351" s="8">
        <v>2.0</v>
      </c>
      <c r="F351" s="7" t="s">
        <v>105</v>
      </c>
      <c r="G351" s="5" t="s">
        <v>19</v>
      </c>
      <c r="H351" s="7" t="s">
        <v>16</v>
      </c>
      <c r="I351" s="7" t="s">
        <v>1131</v>
      </c>
      <c r="J351" s="36" t="s">
        <v>1261</v>
      </c>
      <c r="K351" s="8">
        <v>2.0</v>
      </c>
      <c r="L351" s="7" t="s">
        <v>16</v>
      </c>
      <c r="M351" s="7" t="s">
        <v>22</v>
      </c>
      <c r="N351" s="7" t="s">
        <v>1460</v>
      </c>
      <c r="O351" s="5"/>
      <c r="P351" s="5"/>
      <c r="Q351" s="5"/>
      <c r="R351" s="5"/>
      <c r="S351" s="5"/>
      <c r="T351" s="5"/>
      <c r="U351" s="5"/>
      <c r="V351" s="5"/>
      <c r="W351" s="5"/>
      <c r="X351" s="5"/>
      <c r="Y351" s="5"/>
      <c r="Z351" s="5"/>
    </row>
    <row r="352">
      <c r="A352" s="17" t="s">
        <v>1461</v>
      </c>
      <c r="B352" s="7" t="s">
        <v>1128</v>
      </c>
      <c r="C352" s="7" t="s">
        <v>1462</v>
      </c>
      <c r="D352" s="7" t="s">
        <v>1418</v>
      </c>
      <c r="E352" s="8">
        <v>2.0</v>
      </c>
      <c r="F352" s="7" t="s">
        <v>105</v>
      </c>
      <c r="G352" s="5" t="s">
        <v>19</v>
      </c>
      <c r="H352" s="7" t="s">
        <v>16</v>
      </c>
      <c r="I352" s="7" t="s">
        <v>1131</v>
      </c>
      <c r="J352" s="36" t="s">
        <v>1261</v>
      </c>
      <c r="K352" s="8">
        <v>2.0</v>
      </c>
      <c r="L352" s="7" t="s">
        <v>16</v>
      </c>
      <c r="M352" s="7" t="s">
        <v>22</v>
      </c>
      <c r="N352" s="7" t="s">
        <v>1463</v>
      </c>
      <c r="O352" s="5"/>
      <c r="P352" s="5"/>
      <c r="Q352" s="5"/>
      <c r="R352" s="5"/>
      <c r="S352" s="5"/>
      <c r="T352" s="5"/>
      <c r="U352" s="5"/>
      <c r="V352" s="5"/>
      <c r="W352" s="5"/>
      <c r="X352" s="5"/>
      <c r="Y352" s="5"/>
      <c r="Z352" s="5"/>
    </row>
    <row r="353">
      <c r="A353" s="17" t="s">
        <v>1464</v>
      </c>
      <c r="B353" s="7" t="s">
        <v>1128</v>
      </c>
      <c r="C353" s="7" t="s">
        <v>1465</v>
      </c>
      <c r="D353" s="7" t="s">
        <v>1421</v>
      </c>
      <c r="E353" s="8">
        <v>2.0</v>
      </c>
      <c r="F353" s="7" t="s">
        <v>105</v>
      </c>
      <c r="G353" s="7" t="s">
        <v>19</v>
      </c>
      <c r="H353" s="7" t="s">
        <v>16</v>
      </c>
      <c r="I353" s="7" t="s">
        <v>1466</v>
      </c>
      <c r="J353" s="36" t="s">
        <v>1137</v>
      </c>
      <c r="K353" s="8">
        <v>3.0</v>
      </c>
      <c r="L353" s="7" t="s">
        <v>16</v>
      </c>
      <c r="M353" s="7" t="s">
        <v>75</v>
      </c>
      <c r="N353" s="7" t="s">
        <v>1467</v>
      </c>
      <c r="O353" s="5"/>
      <c r="P353" s="5"/>
      <c r="Q353" s="5"/>
      <c r="R353" s="5"/>
      <c r="S353" s="5"/>
      <c r="T353" s="5"/>
      <c r="U353" s="5"/>
      <c r="V353" s="5"/>
      <c r="W353" s="5"/>
      <c r="X353" s="5"/>
      <c r="Y353" s="5"/>
      <c r="Z353" s="5"/>
    </row>
    <row r="354">
      <c r="A354" s="17" t="s">
        <v>1468</v>
      </c>
      <c r="B354" s="7" t="s">
        <v>14</v>
      </c>
      <c r="C354" s="7" t="s">
        <v>1469</v>
      </c>
      <c r="D354" s="7" t="s">
        <v>16</v>
      </c>
      <c r="E354" s="8">
        <v>0.0</v>
      </c>
      <c r="F354" s="7" t="s">
        <v>17</v>
      </c>
      <c r="G354" s="5" t="s">
        <v>19</v>
      </c>
      <c r="H354" s="7" t="s">
        <v>16</v>
      </c>
      <c r="I354" s="7" t="s">
        <v>1470</v>
      </c>
      <c r="J354" s="7" t="s">
        <v>16</v>
      </c>
      <c r="K354" s="7" t="s">
        <v>16</v>
      </c>
      <c r="L354" s="7" t="s">
        <v>16</v>
      </c>
      <c r="M354" s="7" t="s">
        <v>22</v>
      </c>
      <c r="N354" s="7" t="s">
        <v>1471</v>
      </c>
      <c r="O354" s="5"/>
      <c r="P354" s="5"/>
      <c r="Q354" s="5"/>
      <c r="R354" s="5"/>
      <c r="S354" s="5"/>
      <c r="T354" s="5"/>
      <c r="U354" s="5"/>
      <c r="V354" s="5"/>
      <c r="W354" s="5"/>
      <c r="X354" s="5"/>
      <c r="Y354" s="5"/>
      <c r="Z354" s="5"/>
    </row>
    <row r="355">
      <c r="A355" s="17" t="s">
        <v>1472</v>
      </c>
      <c r="B355" s="7" t="s">
        <v>14</v>
      </c>
      <c r="C355" s="7" t="s">
        <v>1473</v>
      </c>
      <c r="D355" s="7" t="s">
        <v>16</v>
      </c>
      <c r="E355" s="8">
        <v>4.0</v>
      </c>
      <c r="F355" s="7" t="s">
        <v>105</v>
      </c>
      <c r="G355" s="5" t="s">
        <v>19</v>
      </c>
      <c r="H355" s="7" t="s">
        <v>16</v>
      </c>
      <c r="I355" s="7" t="s">
        <v>318</v>
      </c>
      <c r="J355" s="7" t="s">
        <v>16</v>
      </c>
      <c r="K355" s="7" t="s">
        <v>16</v>
      </c>
      <c r="L355" s="7" t="s">
        <v>16</v>
      </c>
      <c r="M355" s="7" t="s">
        <v>36</v>
      </c>
      <c r="N355" s="7" t="s">
        <v>1474</v>
      </c>
      <c r="O355" s="5"/>
      <c r="P355" s="5"/>
      <c r="Q355" s="5"/>
      <c r="R355" s="5"/>
      <c r="S355" s="5"/>
      <c r="T355" s="5"/>
      <c r="U355" s="5"/>
      <c r="V355" s="5"/>
      <c r="W355" s="5"/>
      <c r="X355" s="5"/>
      <c r="Y355" s="5"/>
      <c r="Z355" s="5"/>
    </row>
    <row r="356">
      <c r="A356" s="17" t="s">
        <v>1475</v>
      </c>
      <c r="B356" s="7" t="s">
        <v>14</v>
      </c>
      <c r="C356" s="7" t="s">
        <v>1476</v>
      </c>
      <c r="D356" s="7" t="s">
        <v>16</v>
      </c>
      <c r="E356" s="8">
        <v>1.0</v>
      </c>
      <c r="F356" s="7" t="s">
        <v>17</v>
      </c>
      <c r="G356" s="7" t="s">
        <v>19</v>
      </c>
      <c r="H356" s="7" t="s">
        <v>16</v>
      </c>
      <c r="I356" s="7" t="s">
        <v>1477</v>
      </c>
      <c r="J356" s="7" t="s">
        <v>16</v>
      </c>
      <c r="K356" s="7" t="s">
        <v>16</v>
      </c>
      <c r="L356" s="7" t="s">
        <v>16</v>
      </c>
      <c r="M356" s="7" t="s">
        <v>22</v>
      </c>
      <c r="N356" s="7" t="s">
        <v>1478</v>
      </c>
      <c r="O356" s="5"/>
      <c r="P356" s="5"/>
      <c r="Q356" s="5"/>
      <c r="R356" s="5"/>
      <c r="S356" s="5"/>
      <c r="T356" s="5"/>
      <c r="U356" s="5"/>
      <c r="V356" s="5"/>
      <c r="W356" s="5"/>
      <c r="X356" s="5"/>
      <c r="Y356" s="5"/>
      <c r="Z356" s="5"/>
    </row>
    <row r="357">
      <c r="A357" s="17" t="s">
        <v>1479</v>
      </c>
      <c r="B357" s="7" t="s">
        <v>14</v>
      </c>
      <c r="C357" s="7" t="s">
        <v>1480</v>
      </c>
      <c r="D357" s="7" t="s">
        <v>16</v>
      </c>
      <c r="E357" s="8">
        <v>0.0</v>
      </c>
      <c r="F357" s="7" t="s">
        <v>105</v>
      </c>
      <c r="G357" s="7" t="s">
        <v>19</v>
      </c>
      <c r="H357" s="7" t="s">
        <v>16</v>
      </c>
      <c r="I357" s="7" t="s">
        <v>1481</v>
      </c>
      <c r="J357" s="7" t="s">
        <v>16</v>
      </c>
      <c r="K357" s="7" t="s">
        <v>16</v>
      </c>
      <c r="L357" s="7" t="s">
        <v>16</v>
      </c>
      <c r="M357" s="7" t="s">
        <v>36</v>
      </c>
      <c r="N357" s="7" t="s">
        <v>1482</v>
      </c>
      <c r="O357" s="5"/>
      <c r="P357" s="5"/>
      <c r="Q357" s="5"/>
      <c r="R357" s="5"/>
      <c r="S357" s="5"/>
      <c r="T357" s="5"/>
      <c r="U357" s="5"/>
      <c r="V357" s="5"/>
      <c r="W357" s="5"/>
      <c r="X357" s="5"/>
      <c r="Y357" s="5"/>
      <c r="Z357" s="5"/>
    </row>
    <row r="358">
      <c r="A358" s="17" t="s">
        <v>1483</v>
      </c>
      <c r="B358" s="7" t="s">
        <v>14</v>
      </c>
      <c r="C358" s="7" t="s">
        <v>281</v>
      </c>
      <c r="D358" s="7" t="s">
        <v>16</v>
      </c>
      <c r="E358" s="8">
        <v>2.0</v>
      </c>
      <c r="F358" s="7" t="s">
        <v>17</v>
      </c>
      <c r="G358" s="5" t="s">
        <v>19</v>
      </c>
      <c r="H358" s="7" t="s">
        <v>16</v>
      </c>
      <c r="I358" s="7" t="s">
        <v>1484</v>
      </c>
      <c r="J358" s="7" t="s">
        <v>16</v>
      </c>
      <c r="K358" s="7" t="s">
        <v>16</v>
      </c>
      <c r="L358" s="7" t="s">
        <v>16</v>
      </c>
      <c r="M358" s="7" t="s">
        <v>22</v>
      </c>
      <c r="N358" s="5" t="s">
        <v>1485</v>
      </c>
      <c r="O358" s="5"/>
      <c r="P358" s="5"/>
      <c r="Q358" s="5"/>
      <c r="R358" s="5"/>
      <c r="S358" s="5"/>
      <c r="T358" s="5"/>
      <c r="U358" s="5"/>
      <c r="V358" s="5"/>
      <c r="W358" s="5"/>
      <c r="X358" s="5"/>
      <c r="Y358" s="5"/>
      <c r="Z358" s="5"/>
    </row>
    <row r="359">
      <c r="A359" s="17" t="s">
        <v>1486</v>
      </c>
      <c r="B359" s="7" t="s">
        <v>14</v>
      </c>
      <c r="C359" s="7" t="s">
        <v>1487</v>
      </c>
      <c r="D359" s="7" t="s">
        <v>16</v>
      </c>
      <c r="E359" s="8">
        <v>0.0</v>
      </c>
      <c r="F359" s="7" t="s">
        <v>17</v>
      </c>
      <c r="G359" s="5" t="s">
        <v>19</v>
      </c>
      <c r="H359" s="7" t="s">
        <v>16</v>
      </c>
      <c r="I359" s="7" t="s">
        <v>1488</v>
      </c>
      <c r="J359" s="7" t="s">
        <v>16</v>
      </c>
      <c r="K359" s="7" t="s">
        <v>16</v>
      </c>
      <c r="L359" s="7" t="s">
        <v>16</v>
      </c>
      <c r="M359" s="7" t="s">
        <v>75</v>
      </c>
      <c r="N359" s="11" t="s">
        <v>1489</v>
      </c>
      <c r="O359" s="5"/>
      <c r="P359" s="5"/>
      <c r="Q359" s="5"/>
      <c r="R359" s="5"/>
      <c r="S359" s="5"/>
      <c r="T359" s="5"/>
      <c r="U359" s="5"/>
      <c r="V359" s="5"/>
      <c r="W359" s="5"/>
      <c r="X359" s="5"/>
      <c r="Y359" s="5"/>
      <c r="Z359" s="5"/>
    </row>
    <row r="360">
      <c r="A360" s="17" t="s">
        <v>1490</v>
      </c>
      <c r="B360" s="7" t="s">
        <v>1067</v>
      </c>
      <c r="C360" s="7" t="s">
        <v>1068</v>
      </c>
      <c r="D360" s="7" t="s">
        <v>1068</v>
      </c>
      <c r="E360" s="7" t="s">
        <v>16</v>
      </c>
      <c r="F360" s="7" t="s">
        <v>16</v>
      </c>
      <c r="G360" s="5" t="s">
        <v>19</v>
      </c>
      <c r="H360" s="7" t="s">
        <v>1491</v>
      </c>
      <c r="I360" s="7" t="s">
        <v>1492</v>
      </c>
      <c r="J360" s="8">
        <v>4000.0</v>
      </c>
      <c r="K360" s="7" t="s">
        <v>16</v>
      </c>
      <c r="L360" s="7" t="s">
        <v>16</v>
      </c>
      <c r="M360" s="31" t="s">
        <v>75</v>
      </c>
      <c r="N360" s="32" t="s">
        <v>1493</v>
      </c>
      <c r="O360" s="5"/>
      <c r="P360" s="5"/>
      <c r="Q360" s="5"/>
      <c r="R360" s="5"/>
      <c r="S360" s="5"/>
      <c r="T360" s="5"/>
      <c r="U360" s="5"/>
      <c r="V360" s="5"/>
      <c r="W360" s="5"/>
      <c r="X360" s="5"/>
      <c r="Y360" s="5"/>
      <c r="Z360" s="5"/>
    </row>
    <row r="361">
      <c r="A361" s="17" t="s">
        <v>1494</v>
      </c>
      <c r="B361" s="7" t="s">
        <v>14</v>
      </c>
      <c r="C361" s="7" t="s">
        <v>1495</v>
      </c>
      <c r="D361" s="7" t="s">
        <v>16</v>
      </c>
      <c r="E361" s="8">
        <v>0.0</v>
      </c>
      <c r="F361" s="7" t="s">
        <v>17</v>
      </c>
      <c r="G361" s="5" t="s">
        <v>19</v>
      </c>
      <c r="H361" s="7" t="s">
        <v>16</v>
      </c>
      <c r="I361" s="7" t="s">
        <v>1496</v>
      </c>
      <c r="J361" s="7" t="s">
        <v>16</v>
      </c>
      <c r="K361" s="7" t="s">
        <v>16</v>
      </c>
      <c r="L361" s="7" t="s">
        <v>16</v>
      </c>
      <c r="M361" s="31" t="s">
        <v>75</v>
      </c>
      <c r="N361" s="32" t="s">
        <v>1497</v>
      </c>
      <c r="O361" s="5"/>
      <c r="P361" s="5"/>
      <c r="Q361" s="5"/>
      <c r="R361" s="5"/>
      <c r="S361" s="5"/>
      <c r="T361" s="5"/>
      <c r="U361" s="5"/>
      <c r="V361" s="5"/>
      <c r="W361" s="5"/>
      <c r="X361" s="5"/>
      <c r="Y361" s="5"/>
      <c r="Z361" s="5"/>
    </row>
    <row r="362">
      <c r="A362" s="17" t="s">
        <v>1498</v>
      </c>
      <c r="B362" s="5" t="s">
        <v>14</v>
      </c>
      <c r="C362" s="7" t="s">
        <v>1499</v>
      </c>
      <c r="D362" s="7" t="s">
        <v>16</v>
      </c>
      <c r="E362" s="8">
        <v>2.0</v>
      </c>
      <c r="F362" s="7" t="s">
        <v>17</v>
      </c>
      <c r="G362" s="5" t="s">
        <v>19</v>
      </c>
      <c r="H362" s="7" t="s">
        <v>16</v>
      </c>
      <c r="I362" s="7" t="s">
        <v>1500</v>
      </c>
      <c r="J362" s="7" t="s">
        <v>16</v>
      </c>
      <c r="K362" s="7" t="s">
        <v>16</v>
      </c>
      <c r="L362" s="7" t="s">
        <v>16</v>
      </c>
      <c r="M362" s="7" t="s">
        <v>75</v>
      </c>
      <c r="N362" s="11" t="s">
        <v>1501</v>
      </c>
      <c r="O362" s="5"/>
      <c r="P362" s="5"/>
      <c r="Q362" s="5"/>
      <c r="R362" s="5"/>
      <c r="S362" s="5"/>
      <c r="T362" s="5"/>
      <c r="U362" s="5"/>
      <c r="V362" s="5"/>
      <c r="W362" s="5"/>
      <c r="X362" s="5"/>
      <c r="Y362" s="5"/>
      <c r="Z362" s="5"/>
    </row>
    <row r="363">
      <c r="A363" s="17" t="s">
        <v>1502</v>
      </c>
      <c r="B363" s="5" t="s">
        <v>1503</v>
      </c>
      <c r="C363" s="7" t="s">
        <v>1503</v>
      </c>
      <c r="D363" s="7" t="s">
        <v>16</v>
      </c>
      <c r="E363" s="7" t="s">
        <v>16</v>
      </c>
      <c r="F363" s="7" t="s">
        <v>16</v>
      </c>
      <c r="G363" s="5" t="s">
        <v>19</v>
      </c>
      <c r="H363" s="7" t="s">
        <v>16</v>
      </c>
      <c r="I363" s="7" t="s">
        <v>1504</v>
      </c>
      <c r="J363" s="7" t="s">
        <v>16</v>
      </c>
      <c r="K363" s="7" t="s">
        <v>16</v>
      </c>
      <c r="L363" s="7" t="s">
        <v>16</v>
      </c>
      <c r="M363" s="31" t="s">
        <v>75</v>
      </c>
      <c r="N363" s="11" t="s">
        <v>1505</v>
      </c>
      <c r="O363" s="5"/>
      <c r="P363" s="5"/>
      <c r="Q363" s="5"/>
      <c r="R363" s="5"/>
      <c r="S363" s="5"/>
      <c r="T363" s="5"/>
      <c r="U363" s="5"/>
      <c r="V363" s="5"/>
      <c r="W363" s="5"/>
      <c r="X363" s="5"/>
      <c r="Y363" s="5"/>
      <c r="Z363" s="5"/>
    </row>
    <row r="364">
      <c r="A364" s="17" t="s">
        <v>1506</v>
      </c>
      <c r="B364" s="5" t="s">
        <v>1507</v>
      </c>
      <c r="C364" s="7" t="s">
        <v>1503</v>
      </c>
      <c r="D364" s="7" t="s">
        <v>16</v>
      </c>
      <c r="E364" s="7" t="s">
        <v>16</v>
      </c>
      <c r="F364" s="7" t="s">
        <v>16</v>
      </c>
      <c r="G364" s="5" t="s">
        <v>461</v>
      </c>
      <c r="H364" s="7" t="s">
        <v>16</v>
      </c>
      <c r="I364" s="7" t="s">
        <v>1508</v>
      </c>
      <c r="J364" s="7" t="s">
        <v>16</v>
      </c>
      <c r="K364" s="7" t="s">
        <v>16</v>
      </c>
      <c r="L364" s="7" t="s">
        <v>16</v>
      </c>
      <c r="M364" s="31" t="s">
        <v>75</v>
      </c>
      <c r="N364" s="11" t="s">
        <v>1509</v>
      </c>
      <c r="O364" s="5"/>
      <c r="P364" s="5"/>
      <c r="Q364" s="5"/>
      <c r="R364" s="5"/>
      <c r="S364" s="5"/>
      <c r="T364" s="5"/>
      <c r="U364" s="5"/>
      <c r="V364" s="5"/>
      <c r="W364" s="5"/>
      <c r="X364" s="5"/>
      <c r="Y364" s="5"/>
      <c r="Z364" s="5"/>
    </row>
    <row r="365">
      <c r="A365" s="17" t="s">
        <v>1510</v>
      </c>
      <c r="B365" s="5" t="s">
        <v>1067</v>
      </c>
      <c r="C365" s="7" t="s">
        <v>1068</v>
      </c>
      <c r="D365" s="7" t="s">
        <v>1068</v>
      </c>
      <c r="E365" s="7" t="s">
        <v>16</v>
      </c>
      <c r="F365" s="7" t="s">
        <v>16</v>
      </c>
      <c r="G365" s="5" t="s">
        <v>19</v>
      </c>
      <c r="H365" s="7" t="s">
        <v>59</v>
      </c>
      <c r="I365" s="7" t="s">
        <v>1511</v>
      </c>
      <c r="J365" s="8">
        <v>4000.0</v>
      </c>
      <c r="K365" s="7" t="s">
        <v>16</v>
      </c>
      <c r="L365" s="7" t="s">
        <v>21</v>
      </c>
      <c r="M365" s="31" t="s">
        <v>22</v>
      </c>
      <c r="N365" s="11" t="s">
        <v>1512</v>
      </c>
      <c r="O365" s="5"/>
      <c r="P365" s="5"/>
      <c r="Q365" s="5"/>
      <c r="R365" s="5"/>
      <c r="S365" s="5"/>
      <c r="T365" s="5"/>
      <c r="U365" s="5"/>
      <c r="V365" s="5"/>
      <c r="W365" s="5"/>
      <c r="X365" s="5"/>
      <c r="Y365" s="5"/>
      <c r="Z365" s="5"/>
    </row>
    <row r="366">
      <c r="A366" s="17" t="s">
        <v>1513</v>
      </c>
      <c r="B366" s="5" t="s">
        <v>1067</v>
      </c>
      <c r="C366" s="7" t="s">
        <v>1068</v>
      </c>
      <c r="D366" s="7" t="s">
        <v>1068</v>
      </c>
      <c r="E366" s="7" t="s">
        <v>16</v>
      </c>
      <c r="F366" s="7" t="s">
        <v>16</v>
      </c>
      <c r="G366" s="5" t="s">
        <v>19</v>
      </c>
      <c r="H366" s="7" t="s">
        <v>1514</v>
      </c>
      <c r="I366" s="7" t="s">
        <v>1515</v>
      </c>
      <c r="J366" s="8">
        <v>3000.0</v>
      </c>
      <c r="K366" s="7" t="s">
        <v>16</v>
      </c>
      <c r="L366" s="7" t="s">
        <v>21</v>
      </c>
      <c r="M366" s="31" t="s">
        <v>75</v>
      </c>
      <c r="N366" s="11" t="s">
        <v>1516</v>
      </c>
      <c r="O366" s="5"/>
      <c r="P366" s="5"/>
      <c r="Q366" s="5"/>
      <c r="R366" s="5"/>
      <c r="S366" s="5"/>
      <c r="T366" s="5"/>
      <c r="U366" s="5"/>
      <c r="V366" s="5"/>
      <c r="W366" s="5"/>
      <c r="X366" s="5"/>
      <c r="Y366" s="5"/>
      <c r="Z366" s="5"/>
    </row>
    <row r="367">
      <c r="A367" s="17" t="s">
        <v>1517</v>
      </c>
      <c r="B367" s="5" t="s">
        <v>1067</v>
      </c>
      <c r="C367" s="7" t="s">
        <v>1068</v>
      </c>
      <c r="D367" s="7" t="s">
        <v>1068</v>
      </c>
      <c r="E367" s="7" t="s">
        <v>16</v>
      </c>
      <c r="F367" s="7" t="s">
        <v>16</v>
      </c>
      <c r="G367" s="5" t="s">
        <v>19</v>
      </c>
      <c r="H367" s="7" t="s">
        <v>1518</v>
      </c>
      <c r="I367" s="7" t="s">
        <v>1519</v>
      </c>
      <c r="J367" s="8">
        <v>4000.0</v>
      </c>
      <c r="K367" s="7" t="s">
        <v>16</v>
      </c>
      <c r="L367" s="7" t="s">
        <v>42</v>
      </c>
      <c r="M367" s="7" t="s">
        <v>88</v>
      </c>
      <c r="N367" s="5" t="s">
        <v>1520</v>
      </c>
      <c r="O367" s="5"/>
      <c r="P367" s="5"/>
      <c r="Q367" s="5"/>
      <c r="R367" s="5"/>
      <c r="S367" s="5"/>
      <c r="T367" s="5"/>
      <c r="U367" s="5"/>
      <c r="V367" s="5"/>
      <c r="W367" s="5"/>
      <c r="X367" s="5"/>
      <c r="Y367" s="5"/>
      <c r="Z367" s="5"/>
    </row>
    <row r="368">
      <c r="A368" s="17" t="s">
        <v>1521</v>
      </c>
      <c r="B368" s="5" t="s">
        <v>1067</v>
      </c>
      <c r="C368" s="7" t="s">
        <v>1522</v>
      </c>
      <c r="D368" s="7" t="s">
        <v>1522</v>
      </c>
      <c r="E368" s="7" t="s">
        <v>16</v>
      </c>
      <c r="F368" s="7" t="s">
        <v>16</v>
      </c>
      <c r="G368" s="5" t="s">
        <v>19</v>
      </c>
      <c r="H368" s="7" t="s">
        <v>1523</v>
      </c>
      <c r="I368" s="7" t="s">
        <v>1524</v>
      </c>
      <c r="J368" s="8">
        <v>3000.0</v>
      </c>
      <c r="K368" s="7" t="s">
        <v>16</v>
      </c>
      <c r="L368" s="7" t="s">
        <v>21</v>
      </c>
      <c r="M368" s="7" t="s">
        <v>22</v>
      </c>
      <c r="N368" s="5" t="s">
        <v>1525</v>
      </c>
      <c r="O368" s="5"/>
      <c r="P368" s="5"/>
      <c r="Q368" s="5"/>
      <c r="R368" s="5"/>
      <c r="S368" s="5"/>
      <c r="T368" s="5"/>
      <c r="U368" s="5"/>
      <c r="V368" s="5"/>
      <c r="W368" s="5"/>
      <c r="X368" s="5"/>
      <c r="Y368" s="5"/>
      <c r="Z368" s="5"/>
    </row>
    <row r="369">
      <c r="A369" s="17" t="s">
        <v>1526</v>
      </c>
      <c r="B369" s="5" t="s">
        <v>1067</v>
      </c>
      <c r="C369" s="7" t="s">
        <v>1194</v>
      </c>
      <c r="D369" s="7" t="s">
        <v>1194</v>
      </c>
      <c r="E369" s="7" t="s">
        <v>16</v>
      </c>
      <c r="F369" s="7" t="s">
        <v>16</v>
      </c>
      <c r="G369" s="5" t="s">
        <v>19</v>
      </c>
      <c r="H369" s="7" t="s">
        <v>1527</v>
      </c>
      <c r="I369" s="7" t="s">
        <v>1528</v>
      </c>
      <c r="J369" s="8">
        <v>5000.0</v>
      </c>
      <c r="K369" s="7" t="s">
        <v>16</v>
      </c>
      <c r="L369" s="7" t="s">
        <v>21</v>
      </c>
      <c r="M369" s="7" t="s">
        <v>36</v>
      </c>
      <c r="N369" s="5" t="s">
        <v>1529</v>
      </c>
      <c r="O369" s="5"/>
      <c r="P369" s="5"/>
      <c r="Q369" s="5"/>
      <c r="R369" s="5"/>
      <c r="S369" s="5"/>
      <c r="T369" s="5"/>
      <c r="U369" s="5"/>
      <c r="V369" s="5"/>
      <c r="W369" s="5"/>
      <c r="X369" s="5"/>
      <c r="Y369" s="5"/>
      <c r="Z369" s="5"/>
    </row>
    <row r="370">
      <c r="A370" s="17" t="s">
        <v>1530</v>
      </c>
      <c r="B370" s="5" t="s">
        <v>1067</v>
      </c>
      <c r="C370" s="7" t="s">
        <v>1531</v>
      </c>
      <c r="D370" s="7" t="s">
        <v>1531</v>
      </c>
      <c r="E370" s="7" t="s">
        <v>16</v>
      </c>
      <c r="F370" s="7" t="s">
        <v>16</v>
      </c>
      <c r="G370" s="5" t="s">
        <v>19</v>
      </c>
      <c r="H370" s="7" t="s">
        <v>1532</v>
      </c>
      <c r="I370" s="7" t="s">
        <v>1533</v>
      </c>
      <c r="J370" s="8">
        <v>2000.0</v>
      </c>
      <c r="K370" s="7" t="s">
        <v>16</v>
      </c>
      <c r="L370" s="7" t="s">
        <v>21</v>
      </c>
      <c r="M370" s="7" t="s">
        <v>22</v>
      </c>
      <c r="N370" s="5" t="s">
        <v>1534</v>
      </c>
      <c r="O370" s="5"/>
      <c r="P370" s="5"/>
      <c r="Q370" s="5"/>
      <c r="R370" s="5"/>
      <c r="S370" s="5"/>
      <c r="T370" s="5"/>
      <c r="U370" s="5"/>
      <c r="V370" s="5"/>
      <c r="W370" s="5"/>
      <c r="X370" s="5"/>
      <c r="Y370" s="5"/>
      <c r="Z370" s="5"/>
    </row>
    <row r="371">
      <c r="A371" s="17" t="s">
        <v>1535</v>
      </c>
      <c r="B371" s="5" t="s">
        <v>1067</v>
      </c>
      <c r="C371" s="7" t="s">
        <v>1536</v>
      </c>
      <c r="D371" s="7" t="s">
        <v>1531</v>
      </c>
      <c r="E371" s="7" t="s">
        <v>16</v>
      </c>
      <c r="F371" s="7" t="s">
        <v>16</v>
      </c>
      <c r="G371" s="5" t="s">
        <v>19</v>
      </c>
      <c r="H371" s="7" t="s">
        <v>1537</v>
      </c>
      <c r="I371" s="7" t="s">
        <v>1538</v>
      </c>
      <c r="J371" s="8">
        <v>3000.0</v>
      </c>
      <c r="K371" s="7" t="s">
        <v>16</v>
      </c>
      <c r="L371" s="7" t="s">
        <v>21</v>
      </c>
      <c r="M371" s="5" t="s">
        <v>36</v>
      </c>
      <c r="N371" s="5" t="s">
        <v>1539</v>
      </c>
      <c r="O371" s="5"/>
      <c r="P371" s="5"/>
      <c r="Q371" s="5"/>
      <c r="R371" s="5"/>
      <c r="S371" s="5"/>
      <c r="T371" s="5"/>
      <c r="U371" s="5"/>
      <c r="V371" s="5"/>
      <c r="W371" s="5"/>
      <c r="X371" s="5"/>
      <c r="Y371" s="5"/>
      <c r="Z371" s="5"/>
    </row>
    <row r="372">
      <c r="A372" s="17" t="s">
        <v>1540</v>
      </c>
      <c r="B372" s="5" t="s">
        <v>1067</v>
      </c>
      <c r="C372" s="7" t="s">
        <v>1541</v>
      </c>
      <c r="D372" s="7" t="s">
        <v>1541</v>
      </c>
      <c r="E372" s="7" t="s">
        <v>16</v>
      </c>
      <c r="F372" s="7" t="s">
        <v>16</v>
      </c>
      <c r="G372" s="5" t="s">
        <v>19</v>
      </c>
      <c r="H372" s="7" t="s">
        <v>1542</v>
      </c>
      <c r="I372" s="7" t="s">
        <v>1543</v>
      </c>
      <c r="J372" s="8">
        <v>3500.0</v>
      </c>
      <c r="K372" s="7" t="s">
        <v>16</v>
      </c>
      <c r="L372" s="7" t="s">
        <v>21</v>
      </c>
      <c r="M372" s="5" t="s">
        <v>22</v>
      </c>
      <c r="N372" s="5" t="s">
        <v>1544</v>
      </c>
      <c r="O372" s="5"/>
      <c r="P372" s="5"/>
      <c r="Q372" s="5"/>
      <c r="R372" s="5"/>
      <c r="S372" s="5"/>
      <c r="T372" s="5"/>
      <c r="U372" s="5"/>
      <c r="V372" s="5"/>
      <c r="W372" s="5"/>
      <c r="X372" s="5"/>
      <c r="Y372" s="5"/>
      <c r="Z372" s="5"/>
    </row>
    <row r="373">
      <c r="A373" s="17" t="s">
        <v>1545</v>
      </c>
      <c r="B373" s="5" t="s">
        <v>1067</v>
      </c>
      <c r="C373" s="7" t="s">
        <v>1546</v>
      </c>
      <c r="D373" s="7" t="s">
        <v>1546</v>
      </c>
      <c r="E373" s="7" t="s">
        <v>16</v>
      </c>
      <c r="F373" s="7" t="s">
        <v>16</v>
      </c>
      <c r="G373" s="5" t="s">
        <v>19</v>
      </c>
      <c r="H373" s="7" t="s">
        <v>1547</v>
      </c>
      <c r="I373" s="7" t="s">
        <v>1548</v>
      </c>
      <c r="J373" s="8">
        <v>1000.0</v>
      </c>
      <c r="K373" s="7" t="s">
        <v>16</v>
      </c>
      <c r="L373" s="7" t="s">
        <v>21</v>
      </c>
      <c r="M373" s="7" t="s">
        <v>22</v>
      </c>
      <c r="N373" s="5" t="s">
        <v>1549</v>
      </c>
      <c r="O373" s="5"/>
      <c r="P373" s="5"/>
      <c r="Q373" s="5"/>
      <c r="R373" s="5"/>
      <c r="S373" s="5"/>
      <c r="T373" s="5"/>
      <c r="U373" s="5"/>
      <c r="V373" s="5"/>
      <c r="W373" s="5"/>
      <c r="X373" s="5"/>
      <c r="Y373" s="5"/>
      <c r="Z373" s="5"/>
    </row>
    <row r="374">
      <c r="A374" s="17" t="s">
        <v>1550</v>
      </c>
      <c r="B374" s="5" t="s">
        <v>1067</v>
      </c>
      <c r="C374" s="7" t="s">
        <v>1551</v>
      </c>
      <c r="D374" s="7" t="s">
        <v>1546</v>
      </c>
      <c r="E374" s="7" t="s">
        <v>16</v>
      </c>
      <c r="F374" s="7" t="s">
        <v>16</v>
      </c>
      <c r="G374" s="5" t="s">
        <v>19</v>
      </c>
      <c r="H374" s="7" t="s">
        <v>1552</v>
      </c>
      <c r="I374" s="7" t="s">
        <v>1553</v>
      </c>
      <c r="J374" s="8">
        <v>4000.0</v>
      </c>
      <c r="K374" s="7" t="s">
        <v>16</v>
      </c>
      <c r="L374" s="7" t="s">
        <v>21</v>
      </c>
      <c r="M374" s="7" t="s">
        <v>22</v>
      </c>
      <c r="N374" s="5" t="s">
        <v>1554</v>
      </c>
      <c r="O374" s="5"/>
      <c r="P374" s="5"/>
      <c r="Q374" s="5"/>
      <c r="R374" s="5"/>
      <c r="S374" s="5"/>
      <c r="T374" s="5"/>
      <c r="U374" s="5"/>
      <c r="V374" s="5"/>
      <c r="W374" s="5"/>
      <c r="X374" s="5"/>
      <c r="Y374" s="5"/>
      <c r="Z374" s="5"/>
    </row>
    <row r="375">
      <c r="A375" s="17" t="s">
        <v>1555</v>
      </c>
      <c r="B375" s="5" t="s">
        <v>1067</v>
      </c>
      <c r="C375" s="7" t="s">
        <v>1092</v>
      </c>
      <c r="D375" s="7" t="s">
        <v>1092</v>
      </c>
      <c r="E375" s="7" t="s">
        <v>16</v>
      </c>
      <c r="F375" s="7" t="s">
        <v>16</v>
      </c>
      <c r="G375" s="5" t="s">
        <v>19</v>
      </c>
      <c r="H375" s="7" t="s">
        <v>1556</v>
      </c>
      <c r="I375" s="7" t="s">
        <v>1557</v>
      </c>
      <c r="J375" s="8">
        <v>3000.0</v>
      </c>
      <c r="K375" s="7" t="s">
        <v>16</v>
      </c>
      <c r="L375" s="7" t="s">
        <v>21</v>
      </c>
      <c r="M375" s="7" t="s">
        <v>36</v>
      </c>
      <c r="N375" s="5" t="s">
        <v>1558</v>
      </c>
      <c r="O375" s="5"/>
      <c r="P375" s="5"/>
      <c r="Q375" s="5"/>
      <c r="R375" s="5"/>
      <c r="S375" s="5"/>
      <c r="T375" s="5"/>
      <c r="U375" s="5"/>
      <c r="V375" s="5"/>
      <c r="W375" s="5"/>
      <c r="X375" s="5"/>
      <c r="Y375" s="5"/>
      <c r="Z375" s="5"/>
    </row>
    <row r="376">
      <c r="A376" s="17" t="s">
        <v>1559</v>
      </c>
      <c r="B376" s="5" t="s">
        <v>1067</v>
      </c>
      <c r="C376" s="7" t="s">
        <v>1183</v>
      </c>
      <c r="D376" s="7" t="s">
        <v>1183</v>
      </c>
      <c r="E376" s="7" t="s">
        <v>16</v>
      </c>
      <c r="F376" s="7" t="s">
        <v>16</v>
      </c>
      <c r="G376" s="5" t="s">
        <v>19</v>
      </c>
      <c r="H376" s="7" t="s">
        <v>1560</v>
      </c>
      <c r="I376" s="7" t="s">
        <v>1561</v>
      </c>
      <c r="J376" s="8">
        <v>1000.0</v>
      </c>
      <c r="K376" s="7" t="s">
        <v>16</v>
      </c>
      <c r="L376" s="7" t="s">
        <v>21</v>
      </c>
      <c r="M376" s="7" t="s">
        <v>36</v>
      </c>
      <c r="N376" s="7" t="s">
        <v>1562</v>
      </c>
      <c r="O376" s="5"/>
      <c r="P376" s="5"/>
      <c r="Q376" s="5"/>
      <c r="R376" s="5"/>
      <c r="S376" s="5"/>
      <c r="T376" s="5"/>
      <c r="U376" s="5"/>
      <c r="V376" s="5"/>
      <c r="W376" s="5"/>
      <c r="X376" s="5"/>
      <c r="Y376" s="5"/>
      <c r="Z376" s="5"/>
    </row>
    <row r="377">
      <c r="A377" s="17" t="s">
        <v>1563</v>
      </c>
      <c r="B377" s="5" t="s">
        <v>1067</v>
      </c>
      <c r="C377" s="7" t="s">
        <v>1183</v>
      </c>
      <c r="D377" s="7" t="s">
        <v>1183</v>
      </c>
      <c r="E377" s="7" t="s">
        <v>16</v>
      </c>
      <c r="F377" s="7" t="s">
        <v>16</v>
      </c>
      <c r="G377" s="5" t="s">
        <v>19</v>
      </c>
      <c r="H377" s="7" t="s">
        <v>1564</v>
      </c>
      <c r="I377" s="7" t="s">
        <v>1565</v>
      </c>
      <c r="J377" s="8">
        <v>1000.0</v>
      </c>
      <c r="K377" s="7" t="s">
        <v>16</v>
      </c>
      <c r="L377" s="7" t="s">
        <v>42</v>
      </c>
      <c r="M377" s="7" t="s">
        <v>75</v>
      </c>
      <c r="N377" s="7" t="s">
        <v>1566</v>
      </c>
      <c r="O377" s="5"/>
      <c r="P377" s="5"/>
      <c r="Q377" s="5"/>
      <c r="R377" s="5"/>
      <c r="S377" s="5"/>
      <c r="T377" s="5"/>
      <c r="U377" s="5"/>
      <c r="V377" s="5"/>
      <c r="W377" s="5"/>
      <c r="X377" s="5"/>
      <c r="Y377" s="5"/>
      <c r="Z377" s="5"/>
    </row>
    <row r="378">
      <c r="A378" s="17" t="s">
        <v>1567</v>
      </c>
      <c r="B378" s="5" t="s">
        <v>1067</v>
      </c>
      <c r="C378" s="7" t="s">
        <v>411</v>
      </c>
      <c r="D378" s="7" t="s">
        <v>411</v>
      </c>
      <c r="E378" s="7" t="s">
        <v>16</v>
      </c>
      <c r="F378" s="7" t="s">
        <v>16</v>
      </c>
      <c r="G378" s="5" t="s">
        <v>19</v>
      </c>
      <c r="H378" s="7" t="s">
        <v>1568</v>
      </c>
      <c r="I378" s="7" t="s">
        <v>1569</v>
      </c>
      <c r="J378" s="8">
        <v>2000.0</v>
      </c>
      <c r="K378" s="7" t="s">
        <v>16</v>
      </c>
      <c r="L378" s="7" t="s">
        <v>21</v>
      </c>
      <c r="M378" s="7" t="s">
        <v>36</v>
      </c>
      <c r="N378" s="7" t="s">
        <v>1570</v>
      </c>
      <c r="O378" s="5"/>
      <c r="P378" s="5"/>
      <c r="Q378" s="5"/>
      <c r="R378" s="5"/>
      <c r="S378" s="5"/>
      <c r="T378" s="5"/>
      <c r="U378" s="5"/>
      <c r="V378" s="5"/>
      <c r="W378" s="5"/>
      <c r="X378" s="5"/>
      <c r="Y378" s="5"/>
      <c r="Z378" s="5"/>
    </row>
    <row r="379">
      <c r="A379" s="17" t="s">
        <v>1571</v>
      </c>
      <c r="B379" s="5" t="s">
        <v>1067</v>
      </c>
      <c r="C379" s="7" t="s">
        <v>411</v>
      </c>
      <c r="D379" s="7" t="s">
        <v>411</v>
      </c>
      <c r="E379" s="7" t="s">
        <v>16</v>
      </c>
      <c r="F379" s="7" t="s">
        <v>16</v>
      </c>
      <c r="G379" s="5" t="s">
        <v>19</v>
      </c>
      <c r="H379" s="7" t="s">
        <v>1568</v>
      </c>
      <c r="I379" s="7" t="s">
        <v>1572</v>
      </c>
      <c r="J379" s="8">
        <v>2000.0</v>
      </c>
      <c r="K379" s="7" t="s">
        <v>16</v>
      </c>
      <c r="L379" s="7" t="s">
        <v>21</v>
      </c>
      <c r="M379" s="7" t="s">
        <v>36</v>
      </c>
      <c r="N379" s="7" t="s">
        <v>1570</v>
      </c>
      <c r="O379" s="5"/>
      <c r="P379" s="5"/>
      <c r="Q379" s="5"/>
      <c r="R379" s="5"/>
      <c r="S379" s="5"/>
      <c r="T379" s="5"/>
      <c r="U379" s="5"/>
      <c r="V379" s="5"/>
      <c r="W379" s="5"/>
      <c r="X379" s="5"/>
      <c r="Y379" s="5"/>
      <c r="Z379" s="5"/>
    </row>
    <row r="380">
      <c r="A380" s="17" t="s">
        <v>1573</v>
      </c>
      <c r="B380" s="5" t="s">
        <v>1067</v>
      </c>
      <c r="C380" s="7" t="s">
        <v>411</v>
      </c>
      <c r="D380" s="7" t="s">
        <v>411</v>
      </c>
      <c r="E380" s="7" t="s">
        <v>16</v>
      </c>
      <c r="F380" s="7" t="s">
        <v>16</v>
      </c>
      <c r="G380" s="5" t="s">
        <v>19</v>
      </c>
      <c r="H380" s="7" t="s">
        <v>1574</v>
      </c>
      <c r="I380" s="7" t="s">
        <v>1575</v>
      </c>
      <c r="J380" s="8">
        <v>3000.0</v>
      </c>
      <c r="K380" s="7" t="s">
        <v>16</v>
      </c>
      <c r="L380" s="7" t="s">
        <v>21</v>
      </c>
      <c r="M380" s="7" t="s">
        <v>75</v>
      </c>
      <c r="N380" s="7" t="s">
        <v>1576</v>
      </c>
      <c r="O380" s="5"/>
      <c r="P380" s="5"/>
      <c r="Q380" s="5"/>
      <c r="R380" s="5"/>
      <c r="S380" s="5"/>
      <c r="T380" s="5"/>
      <c r="U380" s="5"/>
      <c r="V380" s="5"/>
      <c r="W380" s="5"/>
      <c r="X380" s="5"/>
      <c r="Y380" s="5"/>
      <c r="Z380" s="5"/>
    </row>
    <row r="381">
      <c r="A381" s="17" t="s">
        <v>1577</v>
      </c>
      <c r="B381" s="5" t="s">
        <v>1067</v>
      </c>
      <c r="C381" s="7" t="s">
        <v>1068</v>
      </c>
      <c r="D381" s="7" t="s">
        <v>1068</v>
      </c>
      <c r="E381" s="7" t="s">
        <v>16</v>
      </c>
      <c r="F381" s="7" t="s">
        <v>16</v>
      </c>
      <c r="G381" s="5" t="s">
        <v>19</v>
      </c>
      <c r="H381" s="7" t="s">
        <v>1578</v>
      </c>
      <c r="I381" s="7" t="s">
        <v>1579</v>
      </c>
      <c r="J381" s="8">
        <v>4000.0</v>
      </c>
      <c r="K381" s="7" t="s">
        <v>16</v>
      </c>
      <c r="L381" s="7" t="s">
        <v>1580</v>
      </c>
      <c r="M381" s="7" t="s">
        <v>36</v>
      </c>
      <c r="N381" s="7" t="s">
        <v>1581</v>
      </c>
      <c r="O381" s="5"/>
      <c r="P381" s="5"/>
      <c r="Q381" s="5"/>
      <c r="R381" s="5"/>
      <c r="S381" s="5"/>
      <c r="T381" s="5"/>
      <c r="U381" s="5"/>
      <c r="V381" s="5"/>
      <c r="W381" s="5"/>
      <c r="X381" s="5"/>
      <c r="Y381" s="5"/>
      <c r="Z381" s="5"/>
    </row>
    <row r="382">
      <c r="A382" s="17" t="s">
        <v>1582</v>
      </c>
      <c r="B382" s="5" t="s">
        <v>1067</v>
      </c>
      <c r="C382" s="7" t="s">
        <v>1194</v>
      </c>
      <c r="D382" s="7" t="s">
        <v>1194</v>
      </c>
      <c r="E382" s="7" t="s">
        <v>16</v>
      </c>
      <c r="F382" s="7" t="s">
        <v>16</v>
      </c>
      <c r="G382" s="5" t="s">
        <v>19</v>
      </c>
      <c r="H382" s="7" t="s">
        <v>1583</v>
      </c>
      <c r="I382" s="7" t="s">
        <v>1584</v>
      </c>
      <c r="J382" s="8">
        <v>5000.0</v>
      </c>
      <c r="K382" s="7" t="s">
        <v>16</v>
      </c>
      <c r="L382" s="7" t="s">
        <v>135</v>
      </c>
      <c r="M382" s="7" t="s">
        <v>75</v>
      </c>
      <c r="N382" s="7" t="s">
        <v>1585</v>
      </c>
      <c r="O382" s="5"/>
      <c r="P382" s="5"/>
      <c r="Q382" s="5"/>
      <c r="R382" s="5"/>
      <c r="S382" s="5"/>
      <c r="T382" s="5"/>
      <c r="U382" s="5"/>
      <c r="V382" s="5"/>
      <c r="W382" s="5"/>
      <c r="X382" s="5"/>
      <c r="Y382" s="5"/>
      <c r="Z382" s="5"/>
    </row>
    <row r="383">
      <c r="A383" s="17" t="s">
        <v>1586</v>
      </c>
      <c r="B383" s="5" t="s">
        <v>1067</v>
      </c>
      <c r="C383" s="7" t="s">
        <v>1194</v>
      </c>
      <c r="D383" s="7" t="s">
        <v>1194</v>
      </c>
      <c r="E383" s="7" t="s">
        <v>16</v>
      </c>
      <c r="F383" s="7" t="s">
        <v>16</v>
      </c>
      <c r="G383" s="5" t="s">
        <v>19</v>
      </c>
      <c r="H383" s="7" t="s">
        <v>1587</v>
      </c>
      <c r="I383" s="7" t="s">
        <v>1588</v>
      </c>
      <c r="J383" s="8">
        <v>5000.0</v>
      </c>
      <c r="K383" s="7" t="s">
        <v>16</v>
      </c>
      <c r="L383" s="7" t="s">
        <v>1589</v>
      </c>
      <c r="M383" s="7" t="s">
        <v>75</v>
      </c>
      <c r="N383" s="7" t="s">
        <v>1590</v>
      </c>
      <c r="O383" s="5"/>
      <c r="P383" s="5"/>
      <c r="Q383" s="5"/>
      <c r="R383" s="5"/>
      <c r="S383" s="5"/>
      <c r="T383" s="5"/>
      <c r="U383" s="5"/>
      <c r="V383" s="5"/>
      <c r="W383" s="5"/>
      <c r="X383" s="5"/>
      <c r="Y383" s="5"/>
      <c r="Z383" s="5"/>
    </row>
    <row r="384">
      <c r="A384" s="17" t="s">
        <v>1591</v>
      </c>
      <c r="B384" s="5" t="s">
        <v>1067</v>
      </c>
      <c r="C384" s="7" t="s">
        <v>1183</v>
      </c>
      <c r="D384" s="7" t="s">
        <v>1183</v>
      </c>
      <c r="E384" s="7" t="s">
        <v>16</v>
      </c>
      <c r="F384" s="7" t="s">
        <v>16</v>
      </c>
      <c r="G384" s="5" t="s">
        <v>19</v>
      </c>
      <c r="H384" s="7" t="s">
        <v>1592</v>
      </c>
      <c r="I384" s="7" t="s">
        <v>1593</v>
      </c>
      <c r="J384" s="8">
        <v>1000.0</v>
      </c>
      <c r="K384" s="7" t="s">
        <v>16</v>
      </c>
      <c r="L384" s="7" t="s">
        <v>135</v>
      </c>
      <c r="M384" s="7" t="s">
        <v>75</v>
      </c>
      <c r="N384" s="7" t="s">
        <v>1594</v>
      </c>
      <c r="O384" s="5"/>
      <c r="P384" s="5"/>
      <c r="Q384" s="5"/>
      <c r="R384" s="5"/>
      <c r="S384" s="5"/>
      <c r="T384" s="5"/>
      <c r="U384" s="5"/>
      <c r="V384" s="5"/>
      <c r="W384" s="5"/>
      <c r="X384" s="5"/>
      <c r="Y384" s="5"/>
      <c r="Z384" s="5"/>
    </row>
    <row r="385">
      <c r="A385" s="17" t="s">
        <v>1595</v>
      </c>
      <c r="B385" s="5" t="s">
        <v>1067</v>
      </c>
      <c r="C385" s="7" t="s">
        <v>411</v>
      </c>
      <c r="D385" s="7" t="s">
        <v>411</v>
      </c>
      <c r="E385" s="7" t="s">
        <v>16</v>
      </c>
      <c r="F385" s="7" t="s">
        <v>16</v>
      </c>
      <c r="G385" s="5" t="s">
        <v>19</v>
      </c>
      <c r="H385" s="7" t="s">
        <v>1596</v>
      </c>
      <c r="I385" s="7" t="s">
        <v>1597</v>
      </c>
      <c r="J385" s="8">
        <v>3500.0</v>
      </c>
      <c r="K385" s="7" t="s">
        <v>16</v>
      </c>
      <c r="L385" s="7" t="s">
        <v>135</v>
      </c>
      <c r="M385" s="7" t="s">
        <v>75</v>
      </c>
      <c r="N385" s="7" t="s">
        <v>1598</v>
      </c>
      <c r="O385" s="5"/>
      <c r="P385" s="5"/>
      <c r="Q385" s="5"/>
      <c r="R385" s="5"/>
      <c r="S385" s="5"/>
      <c r="T385" s="5"/>
      <c r="U385" s="5"/>
      <c r="V385" s="5"/>
      <c r="W385" s="5"/>
      <c r="X385" s="5"/>
      <c r="Y385" s="5"/>
      <c r="Z385" s="5"/>
    </row>
    <row r="386">
      <c r="A386" s="17" t="s">
        <v>1599</v>
      </c>
      <c r="B386" s="5" t="s">
        <v>1067</v>
      </c>
      <c r="C386" s="7" t="s">
        <v>1085</v>
      </c>
      <c r="D386" s="7" t="s">
        <v>1085</v>
      </c>
      <c r="E386" s="7" t="s">
        <v>16</v>
      </c>
      <c r="F386" s="7" t="s">
        <v>16</v>
      </c>
      <c r="G386" s="5" t="s">
        <v>19</v>
      </c>
      <c r="H386" s="7" t="s">
        <v>1600</v>
      </c>
      <c r="I386" s="7" t="s">
        <v>1601</v>
      </c>
      <c r="J386" s="8">
        <v>3000.0</v>
      </c>
      <c r="K386" s="7" t="s">
        <v>16</v>
      </c>
      <c r="L386" s="7" t="s">
        <v>135</v>
      </c>
      <c r="M386" s="7" t="s">
        <v>36</v>
      </c>
      <c r="N386" s="7" t="s">
        <v>1602</v>
      </c>
      <c r="O386" s="5"/>
      <c r="P386" s="5"/>
      <c r="Q386" s="5"/>
      <c r="R386" s="5"/>
      <c r="S386" s="5"/>
      <c r="T386" s="5"/>
      <c r="U386" s="5"/>
      <c r="V386" s="5"/>
      <c r="W386" s="5"/>
      <c r="X386" s="5"/>
      <c r="Y386" s="5"/>
      <c r="Z386" s="5"/>
    </row>
    <row r="387">
      <c r="A387" s="17" t="s">
        <v>1603</v>
      </c>
      <c r="B387" s="5" t="s">
        <v>1067</v>
      </c>
      <c r="C387" s="7" t="s">
        <v>1400</v>
      </c>
      <c r="D387" s="7" t="s">
        <v>1400</v>
      </c>
      <c r="E387" s="7" t="s">
        <v>16</v>
      </c>
      <c r="F387" s="7" t="s">
        <v>16</v>
      </c>
      <c r="G387" s="5" t="s">
        <v>19</v>
      </c>
      <c r="H387" s="7" t="s">
        <v>1604</v>
      </c>
      <c r="I387" s="7" t="s">
        <v>1605</v>
      </c>
      <c r="J387" s="8">
        <v>5500.0</v>
      </c>
      <c r="K387" s="7" t="s">
        <v>16</v>
      </c>
      <c r="L387" s="7" t="s">
        <v>135</v>
      </c>
      <c r="M387" s="7" t="s">
        <v>88</v>
      </c>
      <c r="N387" s="7" t="s">
        <v>1606</v>
      </c>
      <c r="O387" s="5"/>
      <c r="P387" s="5"/>
      <c r="Q387" s="5"/>
      <c r="R387" s="5"/>
      <c r="S387" s="5"/>
      <c r="T387" s="5"/>
      <c r="U387" s="5"/>
      <c r="V387" s="5"/>
      <c r="W387" s="5"/>
      <c r="X387" s="5"/>
      <c r="Y387" s="5"/>
      <c r="Z387" s="5"/>
    </row>
    <row r="388">
      <c r="A388" s="17" t="s">
        <v>1607</v>
      </c>
      <c r="B388" s="5" t="s">
        <v>1067</v>
      </c>
      <c r="C388" s="7" t="s">
        <v>1608</v>
      </c>
      <c r="D388" s="7" t="s">
        <v>1608</v>
      </c>
      <c r="E388" s="7" t="s">
        <v>16</v>
      </c>
      <c r="F388" s="7" t="s">
        <v>16</v>
      </c>
      <c r="G388" s="5" t="s">
        <v>19</v>
      </c>
      <c r="H388" s="7" t="s">
        <v>1609</v>
      </c>
      <c r="I388" s="7" t="s">
        <v>1610</v>
      </c>
      <c r="J388" s="8">
        <v>3000.0</v>
      </c>
      <c r="K388" s="7" t="s">
        <v>16</v>
      </c>
      <c r="L388" s="7" t="s">
        <v>135</v>
      </c>
      <c r="M388" s="7" t="s">
        <v>22</v>
      </c>
      <c r="N388" s="7" t="s">
        <v>1611</v>
      </c>
      <c r="O388" s="5"/>
      <c r="P388" s="5"/>
      <c r="Q388" s="5"/>
      <c r="R388" s="5"/>
      <c r="S388" s="5"/>
      <c r="T388" s="5"/>
      <c r="U388" s="5"/>
      <c r="V388" s="5"/>
      <c r="W388" s="5"/>
      <c r="X388" s="5"/>
      <c r="Y388" s="5"/>
      <c r="Z388" s="5"/>
    </row>
    <row r="389">
      <c r="A389" s="17" t="s">
        <v>1612</v>
      </c>
      <c r="B389" s="5" t="s">
        <v>1067</v>
      </c>
      <c r="C389" s="7" t="s">
        <v>1613</v>
      </c>
      <c r="D389" s="7" t="s">
        <v>1614</v>
      </c>
      <c r="E389" s="7" t="s">
        <v>16</v>
      </c>
      <c r="F389" s="7" t="s">
        <v>16</v>
      </c>
      <c r="G389" s="5" t="s">
        <v>19</v>
      </c>
      <c r="H389" s="7" t="s">
        <v>1615</v>
      </c>
      <c r="I389" s="7" t="s">
        <v>1616</v>
      </c>
      <c r="J389" s="8">
        <v>3000.0</v>
      </c>
      <c r="K389" s="7" t="s">
        <v>16</v>
      </c>
      <c r="L389" s="7" t="s">
        <v>118</v>
      </c>
      <c r="M389" s="7" t="s">
        <v>36</v>
      </c>
      <c r="N389" s="7" t="s">
        <v>1617</v>
      </c>
      <c r="O389" s="5"/>
      <c r="P389" s="5"/>
      <c r="Q389" s="5"/>
      <c r="R389" s="5"/>
      <c r="S389" s="5"/>
      <c r="T389" s="5"/>
      <c r="U389" s="5"/>
      <c r="V389" s="5"/>
      <c r="W389" s="5"/>
      <c r="X389" s="5"/>
      <c r="Y389" s="5"/>
      <c r="Z389" s="5"/>
    </row>
    <row r="390">
      <c r="A390" s="17" t="s">
        <v>1618</v>
      </c>
      <c r="B390" s="5" t="s">
        <v>1067</v>
      </c>
      <c r="C390" s="7" t="s">
        <v>1619</v>
      </c>
      <c r="D390" s="7" t="s">
        <v>1614</v>
      </c>
      <c r="E390" s="7" t="s">
        <v>16</v>
      </c>
      <c r="F390" s="7" t="s">
        <v>16</v>
      </c>
      <c r="G390" s="5" t="s">
        <v>19</v>
      </c>
      <c r="H390" s="7" t="s">
        <v>1620</v>
      </c>
      <c r="I390" s="7" t="s">
        <v>1621</v>
      </c>
      <c r="J390" s="8">
        <v>5000.0</v>
      </c>
      <c r="K390" s="7" t="s">
        <v>16</v>
      </c>
      <c r="L390" s="7" t="s">
        <v>118</v>
      </c>
      <c r="M390" s="7" t="s">
        <v>88</v>
      </c>
      <c r="N390" s="7" t="s">
        <v>1622</v>
      </c>
      <c r="O390" s="5"/>
      <c r="P390" s="5"/>
      <c r="Q390" s="5"/>
      <c r="R390" s="5"/>
      <c r="S390" s="5"/>
      <c r="T390" s="5"/>
      <c r="U390" s="5"/>
      <c r="V390" s="5"/>
      <c r="W390" s="5"/>
      <c r="X390" s="5"/>
      <c r="Y390" s="5"/>
      <c r="Z390" s="5"/>
    </row>
    <row r="391">
      <c r="A391" s="17" t="s">
        <v>1623</v>
      </c>
      <c r="B391" s="5" t="s">
        <v>1067</v>
      </c>
      <c r="C391" s="7" t="s">
        <v>1624</v>
      </c>
      <c r="D391" s="7" t="s">
        <v>1624</v>
      </c>
      <c r="E391" s="7" t="s">
        <v>16</v>
      </c>
      <c r="F391" s="7" t="s">
        <v>16</v>
      </c>
      <c r="G391" s="5" t="s">
        <v>19</v>
      </c>
      <c r="H391" s="7" t="s">
        <v>1625</v>
      </c>
      <c r="I391" s="7" t="s">
        <v>1626</v>
      </c>
      <c r="J391" s="8">
        <v>3500.0</v>
      </c>
      <c r="K391" s="7" t="s">
        <v>16</v>
      </c>
      <c r="L391" s="7" t="s">
        <v>107</v>
      </c>
      <c r="M391" s="7" t="s">
        <v>36</v>
      </c>
      <c r="N391" s="7" t="s">
        <v>1627</v>
      </c>
      <c r="O391" s="5"/>
      <c r="P391" s="5"/>
      <c r="Q391" s="5"/>
      <c r="R391" s="5"/>
      <c r="S391" s="5"/>
      <c r="T391" s="5"/>
      <c r="U391" s="5"/>
      <c r="V391" s="5"/>
      <c r="W391" s="5"/>
      <c r="X391" s="5"/>
      <c r="Y391" s="5"/>
      <c r="Z391" s="5"/>
    </row>
    <row r="392">
      <c r="A392" s="17" t="s">
        <v>1628</v>
      </c>
      <c r="B392" s="5" t="s">
        <v>1067</v>
      </c>
      <c r="C392" s="7" t="s">
        <v>1629</v>
      </c>
      <c r="D392" s="7" t="s">
        <v>1630</v>
      </c>
      <c r="E392" s="7" t="s">
        <v>16</v>
      </c>
      <c r="F392" s="7" t="s">
        <v>16</v>
      </c>
      <c r="G392" s="5" t="s">
        <v>19</v>
      </c>
      <c r="H392" s="7" t="s">
        <v>1631</v>
      </c>
      <c r="I392" s="7" t="s">
        <v>1632</v>
      </c>
      <c r="J392" s="8">
        <v>5000.0</v>
      </c>
      <c r="K392" s="7" t="s">
        <v>16</v>
      </c>
      <c r="L392" s="7" t="s">
        <v>135</v>
      </c>
      <c r="M392" s="7" t="s">
        <v>88</v>
      </c>
      <c r="N392" s="7" t="s">
        <v>1633</v>
      </c>
      <c r="O392" s="5"/>
      <c r="P392" s="5"/>
      <c r="Q392" s="5"/>
      <c r="R392" s="5"/>
      <c r="S392" s="5"/>
      <c r="T392" s="5"/>
      <c r="U392" s="5"/>
      <c r="V392" s="5"/>
      <c r="W392" s="5"/>
      <c r="X392" s="5"/>
      <c r="Y392" s="5"/>
      <c r="Z392" s="5"/>
    </row>
    <row r="393">
      <c r="A393" s="17" t="s">
        <v>1634</v>
      </c>
      <c r="B393" s="5" t="s">
        <v>1067</v>
      </c>
      <c r="C393" s="7" t="s">
        <v>1630</v>
      </c>
      <c r="D393" s="7" t="s">
        <v>1630</v>
      </c>
      <c r="E393" s="7" t="s">
        <v>16</v>
      </c>
      <c r="F393" s="7" t="s">
        <v>16</v>
      </c>
      <c r="G393" s="5" t="s">
        <v>19</v>
      </c>
      <c r="H393" s="7" t="s">
        <v>1635</v>
      </c>
      <c r="I393" s="7" t="s">
        <v>1636</v>
      </c>
      <c r="J393" s="8">
        <v>3000.0</v>
      </c>
      <c r="K393" s="7" t="s">
        <v>16</v>
      </c>
      <c r="L393" s="7" t="s">
        <v>135</v>
      </c>
      <c r="M393" s="7" t="s">
        <v>36</v>
      </c>
      <c r="N393" s="7" t="s">
        <v>1637</v>
      </c>
      <c r="O393" s="5"/>
      <c r="P393" s="5"/>
      <c r="Q393" s="5"/>
      <c r="R393" s="5"/>
      <c r="S393" s="5"/>
      <c r="T393" s="5"/>
      <c r="U393" s="5"/>
      <c r="V393" s="5"/>
      <c r="W393" s="5"/>
      <c r="X393" s="5"/>
      <c r="Y393" s="5"/>
      <c r="Z393" s="5"/>
    </row>
    <row r="394">
      <c r="A394" s="17" t="s">
        <v>1638</v>
      </c>
      <c r="B394" s="5" t="s">
        <v>1067</v>
      </c>
      <c r="C394" s="7" t="s">
        <v>1199</v>
      </c>
      <c r="D394" s="7" t="s">
        <v>1199</v>
      </c>
      <c r="E394" s="7" t="s">
        <v>16</v>
      </c>
      <c r="F394" s="7" t="s">
        <v>16</v>
      </c>
      <c r="G394" s="5" t="s">
        <v>19</v>
      </c>
      <c r="H394" s="7" t="s">
        <v>1639</v>
      </c>
      <c r="I394" s="7" t="s">
        <v>1640</v>
      </c>
      <c r="J394" s="8">
        <v>6000.0</v>
      </c>
      <c r="K394" s="7" t="s">
        <v>16</v>
      </c>
      <c r="L394" s="7" t="s">
        <v>118</v>
      </c>
      <c r="M394" s="7" t="s">
        <v>88</v>
      </c>
      <c r="N394" s="7" t="s">
        <v>1641</v>
      </c>
      <c r="O394" s="5"/>
      <c r="P394" s="5"/>
      <c r="Q394" s="5"/>
      <c r="R394" s="5"/>
      <c r="S394" s="5"/>
      <c r="T394" s="5"/>
      <c r="U394" s="5"/>
      <c r="V394" s="5"/>
      <c r="W394" s="5"/>
      <c r="X394" s="5"/>
      <c r="Y394" s="5"/>
      <c r="Z394" s="5"/>
    </row>
    <row r="395">
      <c r="A395" s="17" t="s">
        <v>1642</v>
      </c>
      <c r="B395" s="5" t="s">
        <v>1067</v>
      </c>
      <c r="C395" s="7" t="s">
        <v>1643</v>
      </c>
      <c r="D395" s="7" t="s">
        <v>1643</v>
      </c>
      <c r="E395" s="7" t="s">
        <v>16</v>
      </c>
      <c r="F395" s="7" t="s">
        <v>16</v>
      </c>
      <c r="G395" s="5" t="s">
        <v>19</v>
      </c>
      <c r="H395" s="7" t="s">
        <v>1644</v>
      </c>
      <c r="I395" s="7" t="s">
        <v>1645</v>
      </c>
      <c r="J395" s="8">
        <v>2000.0</v>
      </c>
      <c r="K395" s="7" t="s">
        <v>16</v>
      </c>
      <c r="L395" s="7" t="s">
        <v>97</v>
      </c>
      <c r="M395" s="7" t="s">
        <v>75</v>
      </c>
      <c r="N395" s="32" t="s">
        <v>1646</v>
      </c>
      <c r="O395" s="5"/>
      <c r="P395" s="5"/>
      <c r="Q395" s="5"/>
      <c r="R395" s="5"/>
      <c r="S395" s="5"/>
      <c r="T395" s="5"/>
      <c r="U395" s="5"/>
      <c r="V395" s="5"/>
      <c r="W395" s="5"/>
      <c r="X395" s="5"/>
      <c r="Y395" s="5"/>
      <c r="Z395" s="5"/>
    </row>
    <row r="396">
      <c r="A396" s="17" t="s">
        <v>1647</v>
      </c>
      <c r="B396" s="5" t="s">
        <v>1067</v>
      </c>
      <c r="C396" s="7" t="s">
        <v>1648</v>
      </c>
      <c r="D396" s="7" t="s">
        <v>1648</v>
      </c>
      <c r="E396" s="7" t="s">
        <v>16</v>
      </c>
      <c r="F396" s="7" t="s">
        <v>16</v>
      </c>
      <c r="G396" s="5" t="s">
        <v>19</v>
      </c>
      <c r="H396" s="7" t="s">
        <v>1649</v>
      </c>
      <c r="I396" s="7" t="s">
        <v>1650</v>
      </c>
      <c r="J396" s="8">
        <v>4000.0</v>
      </c>
      <c r="K396" s="7" t="s">
        <v>16</v>
      </c>
      <c r="L396" s="7" t="s">
        <v>135</v>
      </c>
      <c r="M396" s="31" t="s">
        <v>36</v>
      </c>
      <c r="N396" s="32" t="s">
        <v>1651</v>
      </c>
      <c r="O396" s="5"/>
      <c r="P396" s="5"/>
      <c r="Q396" s="5"/>
      <c r="R396" s="5"/>
      <c r="S396" s="5"/>
      <c r="T396" s="5"/>
      <c r="U396" s="5"/>
      <c r="V396" s="5"/>
      <c r="W396" s="5"/>
      <c r="X396" s="5"/>
      <c r="Y396" s="5"/>
      <c r="Z396" s="5"/>
    </row>
    <row r="397">
      <c r="A397" s="17" t="s">
        <v>1652</v>
      </c>
      <c r="B397" s="5" t="s">
        <v>1067</v>
      </c>
      <c r="C397" s="7" t="s">
        <v>1068</v>
      </c>
      <c r="D397" s="7" t="s">
        <v>1068</v>
      </c>
      <c r="E397" s="7" t="s">
        <v>16</v>
      </c>
      <c r="F397" s="7" t="s">
        <v>16</v>
      </c>
      <c r="G397" s="5" t="s">
        <v>19</v>
      </c>
      <c r="H397" s="7" t="s">
        <v>1653</v>
      </c>
      <c r="I397" s="7" t="s">
        <v>1654</v>
      </c>
      <c r="J397" s="8">
        <v>3000.0</v>
      </c>
      <c r="K397" s="7" t="s">
        <v>16</v>
      </c>
      <c r="L397" s="7" t="s">
        <v>1655</v>
      </c>
      <c r="M397" s="7" t="s">
        <v>75</v>
      </c>
      <c r="N397" s="7" t="s">
        <v>1656</v>
      </c>
      <c r="O397" s="5"/>
      <c r="P397" s="5"/>
      <c r="Q397" s="5"/>
      <c r="R397" s="5"/>
      <c r="S397" s="5"/>
      <c r="T397" s="5"/>
      <c r="U397" s="5"/>
      <c r="V397" s="5"/>
      <c r="W397" s="5"/>
      <c r="X397" s="5"/>
      <c r="Y397" s="5"/>
      <c r="Z397" s="5"/>
    </row>
    <row r="398">
      <c r="A398" s="17" t="s">
        <v>1657</v>
      </c>
      <c r="B398" s="5" t="s">
        <v>1067</v>
      </c>
      <c r="C398" s="7" t="s">
        <v>1194</v>
      </c>
      <c r="D398" s="7" t="s">
        <v>1194</v>
      </c>
      <c r="E398" s="7" t="s">
        <v>16</v>
      </c>
      <c r="F398" s="7" t="s">
        <v>16</v>
      </c>
      <c r="G398" s="5" t="s">
        <v>19</v>
      </c>
      <c r="H398" s="7" t="s">
        <v>1658</v>
      </c>
      <c r="I398" s="7" t="s">
        <v>1659</v>
      </c>
      <c r="J398" s="8">
        <v>5000.0</v>
      </c>
      <c r="K398" s="7" t="s">
        <v>16</v>
      </c>
      <c r="L398" s="7" t="s">
        <v>1655</v>
      </c>
      <c r="M398" s="7" t="s">
        <v>75</v>
      </c>
      <c r="N398" s="7" t="s">
        <v>1660</v>
      </c>
      <c r="O398" s="5"/>
      <c r="P398" s="5"/>
      <c r="Q398" s="5"/>
      <c r="R398" s="5"/>
      <c r="S398" s="5"/>
      <c r="T398" s="5"/>
      <c r="U398" s="5"/>
      <c r="V398" s="5"/>
      <c r="W398" s="5"/>
      <c r="X398" s="5"/>
      <c r="Y398" s="5"/>
      <c r="Z398" s="5"/>
    </row>
    <row r="399">
      <c r="A399" s="17" t="s">
        <v>1661</v>
      </c>
      <c r="B399" s="5" t="s">
        <v>1067</v>
      </c>
      <c r="C399" s="7" t="s">
        <v>1194</v>
      </c>
      <c r="D399" s="7" t="s">
        <v>1194</v>
      </c>
      <c r="E399" s="7" t="s">
        <v>16</v>
      </c>
      <c r="F399" s="7" t="s">
        <v>16</v>
      </c>
      <c r="G399" s="5" t="s">
        <v>19</v>
      </c>
      <c r="H399" s="7" t="s">
        <v>1658</v>
      </c>
      <c r="I399" s="7" t="s">
        <v>1662</v>
      </c>
      <c r="J399" s="8">
        <v>5000.0</v>
      </c>
      <c r="K399" s="7" t="s">
        <v>16</v>
      </c>
      <c r="L399" s="7" t="s">
        <v>1655</v>
      </c>
      <c r="M399" s="7" t="s">
        <v>75</v>
      </c>
      <c r="N399" s="7" t="s">
        <v>1660</v>
      </c>
      <c r="O399" s="5"/>
      <c r="P399" s="5"/>
      <c r="Q399" s="5"/>
      <c r="R399" s="5"/>
      <c r="S399" s="5"/>
      <c r="T399" s="5"/>
      <c r="U399" s="5"/>
      <c r="V399" s="5"/>
      <c r="W399" s="5"/>
      <c r="X399" s="5"/>
      <c r="Y399" s="5"/>
      <c r="Z399" s="5"/>
    </row>
    <row r="400">
      <c r="A400" s="17" t="s">
        <v>1663</v>
      </c>
      <c r="B400" s="7" t="s">
        <v>1067</v>
      </c>
      <c r="C400" s="7" t="s">
        <v>1183</v>
      </c>
      <c r="D400" s="7" t="s">
        <v>1183</v>
      </c>
      <c r="E400" s="7" t="s">
        <v>16</v>
      </c>
      <c r="F400" s="7" t="s">
        <v>16</v>
      </c>
      <c r="G400" s="5" t="s">
        <v>19</v>
      </c>
      <c r="H400" s="7" t="s">
        <v>1664</v>
      </c>
      <c r="I400" s="7" t="s">
        <v>1665</v>
      </c>
      <c r="J400" s="8">
        <v>2000.0</v>
      </c>
      <c r="K400" s="7" t="s">
        <v>16</v>
      </c>
      <c r="L400" s="7" t="s">
        <v>1655</v>
      </c>
      <c r="M400" s="5" t="s">
        <v>75</v>
      </c>
      <c r="N400" s="5" t="s">
        <v>1666</v>
      </c>
      <c r="O400" s="5"/>
      <c r="P400" s="5"/>
      <c r="Q400" s="5"/>
      <c r="R400" s="5"/>
      <c r="S400" s="5"/>
      <c r="T400" s="5"/>
      <c r="U400" s="5"/>
      <c r="V400" s="5"/>
      <c r="W400" s="5"/>
      <c r="X400" s="5"/>
      <c r="Y400" s="5"/>
      <c r="Z400" s="5"/>
    </row>
    <row r="401">
      <c r="A401" s="17" t="s">
        <v>1667</v>
      </c>
      <c r="B401" s="5" t="s">
        <v>1067</v>
      </c>
      <c r="C401" s="7" t="s">
        <v>1068</v>
      </c>
      <c r="D401" s="7" t="s">
        <v>1068</v>
      </c>
      <c r="E401" s="7" t="s">
        <v>16</v>
      </c>
      <c r="F401" s="7" t="s">
        <v>16</v>
      </c>
      <c r="G401" s="5" t="s">
        <v>19</v>
      </c>
      <c r="H401" s="7" t="s">
        <v>1668</v>
      </c>
      <c r="I401" s="7" t="s">
        <v>1669</v>
      </c>
      <c r="J401" s="8">
        <v>3000.0</v>
      </c>
      <c r="K401" s="7" t="s">
        <v>16</v>
      </c>
      <c r="L401" s="7" t="s">
        <v>157</v>
      </c>
      <c r="M401" s="7" t="s">
        <v>36</v>
      </c>
      <c r="N401" s="7" t="s">
        <v>1670</v>
      </c>
      <c r="O401" s="5"/>
      <c r="P401" s="5"/>
      <c r="Q401" s="5"/>
      <c r="R401" s="5"/>
      <c r="S401" s="5"/>
      <c r="T401" s="5"/>
      <c r="U401" s="5"/>
      <c r="V401" s="5"/>
      <c r="W401" s="5"/>
      <c r="X401" s="5"/>
      <c r="Y401" s="5"/>
      <c r="Z401" s="5"/>
    </row>
    <row r="402">
      <c r="A402" s="17" t="s">
        <v>1671</v>
      </c>
      <c r="B402" s="5" t="s">
        <v>1067</v>
      </c>
      <c r="C402" s="7" t="s">
        <v>1672</v>
      </c>
      <c r="D402" s="7" t="s">
        <v>1672</v>
      </c>
      <c r="E402" s="7" t="s">
        <v>16</v>
      </c>
      <c r="F402" s="7" t="s">
        <v>16</v>
      </c>
      <c r="G402" s="5" t="s">
        <v>19</v>
      </c>
      <c r="H402" s="7" t="s">
        <v>1673</v>
      </c>
      <c r="I402" s="7" t="s">
        <v>1674</v>
      </c>
      <c r="J402" s="8">
        <v>4000.0</v>
      </c>
      <c r="K402" s="7" t="s">
        <v>16</v>
      </c>
      <c r="L402" s="7" t="s">
        <v>1675</v>
      </c>
      <c r="M402" s="7" t="s">
        <v>22</v>
      </c>
      <c r="N402" s="7" t="s">
        <v>1676</v>
      </c>
      <c r="O402" s="5"/>
      <c r="P402" s="5"/>
      <c r="Q402" s="5"/>
      <c r="R402" s="5"/>
      <c r="S402" s="5"/>
      <c r="T402" s="5"/>
      <c r="U402" s="5"/>
      <c r="V402" s="5"/>
      <c r="W402" s="5"/>
      <c r="X402" s="5"/>
      <c r="Y402" s="5"/>
      <c r="Z402" s="5"/>
    </row>
    <row r="403">
      <c r="A403" s="17" t="s">
        <v>1677</v>
      </c>
      <c r="B403" s="5" t="s">
        <v>1067</v>
      </c>
      <c r="C403" s="7" t="s">
        <v>1678</v>
      </c>
      <c r="D403" s="7" t="s">
        <v>1678</v>
      </c>
      <c r="E403" s="7" t="s">
        <v>16</v>
      </c>
      <c r="F403" s="7" t="s">
        <v>16</v>
      </c>
      <c r="G403" s="5" t="s">
        <v>19</v>
      </c>
      <c r="H403" s="7" t="s">
        <v>1679</v>
      </c>
      <c r="I403" s="7" t="s">
        <v>1680</v>
      </c>
      <c r="J403" s="8">
        <v>3500.0</v>
      </c>
      <c r="K403" s="7" t="s">
        <v>16</v>
      </c>
      <c r="L403" s="7" t="s">
        <v>157</v>
      </c>
      <c r="M403" s="7" t="s">
        <v>75</v>
      </c>
      <c r="N403" s="7" t="s">
        <v>1681</v>
      </c>
      <c r="O403" s="5"/>
      <c r="P403" s="5"/>
      <c r="Q403" s="5"/>
      <c r="R403" s="5"/>
      <c r="S403" s="5"/>
      <c r="T403" s="5"/>
      <c r="U403" s="5"/>
      <c r="V403" s="5"/>
      <c r="W403" s="5"/>
      <c r="X403" s="5"/>
      <c r="Y403" s="5"/>
      <c r="Z403" s="5"/>
    </row>
    <row r="404">
      <c r="A404" s="17" t="s">
        <v>1682</v>
      </c>
      <c r="B404" s="5" t="s">
        <v>1067</v>
      </c>
      <c r="C404" s="7" t="s">
        <v>1337</v>
      </c>
      <c r="D404" s="7" t="s">
        <v>1337</v>
      </c>
      <c r="E404" s="7" t="s">
        <v>16</v>
      </c>
      <c r="F404" s="7" t="s">
        <v>16</v>
      </c>
      <c r="G404" s="5" t="s">
        <v>19</v>
      </c>
      <c r="H404" s="7" t="s">
        <v>1683</v>
      </c>
      <c r="I404" s="7" t="s">
        <v>1684</v>
      </c>
      <c r="J404" s="8">
        <v>3000.0</v>
      </c>
      <c r="K404" s="7" t="s">
        <v>16</v>
      </c>
      <c r="L404" s="7" t="s">
        <v>166</v>
      </c>
      <c r="M404" s="7" t="s">
        <v>88</v>
      </c>
      <c r="N404" s="7" t="s">
        <v>1685</v>
      </c>
      <c r="O404" s="5"/>
      <c r="P404" s="5"/>
      <c r="Q404" s="5"/>
      <c r="R404" s="5"/>
      <c r="S404" s="5"/>
      <c r="T404" s="5"/>
      <c r="U404" s="5"/>
      <c r="V404" s="5"/>
      <c r="W404" s="5"/>
      <c r="X404" s="5"/>
      <c r="Y404" s="5"/>
      <c r="Z404" s="5"/>
    </row>
    <row r="405">
      <c r="A405" s="17" t="s">
        <v>1686</v>
      </c>
      <c r="B405" s="5" t="s">
        <v>1067</v>
      </c>
      <c r="C405" s="7" t="s">
        <v>1311</v>
      </c>
      <c r="D405" s="7" t="s">
        <v>1311</v>
      </c>
      <c r="E405" s="7" t="s">
        <v>16</v>
      </c>
      <c r="F405" s="7" t="s">
        <v>16</v>
      </c>
      <c r="G405" s="5" t="s">
        <v>19</v>
      </c>
      <c r="H405" s="7" t="s">
        <v>1687</v>
      </c>
      <c r="I405" s="7" t="s">
        <v>1688</v>
      </c>
      <c r="J405" s="8">
        <v>4500.0</v>
      </c>
      <c r="K405" s="7" t="s">
        <v>16</v>
      </c>
      <c r="L405" s="7" t="s">
        <v>157</v>
      </c>
      <c r="M405" s="7" t="s">
        <v>88</v>
      </c>
      <c r="N405" s="7" t="s">
        <v>1689</v>
      </c>
      <c r="O405" s="5"/>
      <c r="P405" s="5"/>
      <c r="Q405" s="5"/>
      <c r="R405" s="5"/>
      <c r="S405" s="5"/>
      <c r="T405" s="5"/>
      <c r="U405" s="5"/>
      <c r="V405" s="5"/>
      <c r="W405" s="5"/>
      <c r="X405" s="5"/>
      <c r="Y405" s="5"/>
      <c r="Z405" s="5"/>
    </row>
    <row r="406">
      <c r="A406" s="17" t="s">
        <v>1690</v>
      </c>
      <c r="B406" s="5" t="s">
        <v>1067</v>
      </c>
      <c r="C406" s="7" t="s">
        <v>1691</v>
      </c>
      <c r="D406" s="7" t="s">
        <v>1691</v>
      </c>
      <c r="E406" s="7" t="s">
        <v>16</v>
      </c>
      <c r="F406" s="7" t="s">
        <v>16</v>
      </c>
      <c r="G406" s="5" t="s">
        <v>19</v>
      </c>
      <c r="H406" s="7" t="s">
        <v>1692</v>
      </c>
      <c r="I406" s="7" t="s">
        <v>1693</v>
      </c>
      <c r="J406" s="8">
        <v>1000.0</v>
      </c>
      <c r="K406" s="7" t="s">
        <v>16</v>
      </c>
      <c r="L406" s="7" t="s">
        <v>166</v>
      </c>
      <c r="M406" s="7" t="s">
        <v>22</v>
      </c>
      <c r="N406" s="7" t="s">
        <v>1694</v>
      </c>
      <c r="O406" s="5"/>
      <c r="P406" s="5"/>
      <c r="Q406" s="5"/>
      <c r="R406" s="5"/>
      <c r="S406" s="5"/>
      <c r="T406" s="5"/>
      <c r="U406" s="5"/>
      <c r="V406" s="5"/>
      <c r="W406" s="5"/>
      <c r="X406" s="5"/>
      <c r="Y406" s="5"/>
      <c r="Z406" s="5"/>
    </row>
    <row r="407">
      <c r="A407" s="17" t="s">
        <v>1695</v>
      </c>
      <c r="B407" s="5" t="s">
        <v>1067</v>
      </c>
      <c r="C407" s="7" t="s">
        <v>1696</v>
      </c>
      <c r="D407" s="7" t="s">
        <v>1696</v>
      </c>
      <c r="E407" s="7" t="s">
        <v>16</v>
      </c>
      <c r="F407" s="7" t="s">
        <v>16</v>
      </c>
      <c r="G407" s="5" t="s">
        <v>19</v>
      </c>
      <c r="H407" s="7" t="s">
        <v>1697</v>
      </c>
      <c r="I407" s="7" t="s">
        <v>1698</v>
      </c>
      <c r="J407" s="8">
        <v>1000.0</v>
      </c>
      <c r="K407" s="7" t="s">
        <v>16</v>
      </c>
      <c r="L407" s="7" t="s">
        <v>166</v>
      </c>
      <c r="M407" s="7" t="s">
        <v>22</v>
      </c>
      <c r="N407" s="7" t="s">
        <v>1699</v>
      </c>
      <c r="O407" s="5"/>
      <c r="P407" s="5"/>
      <c r="Q407" s="5"/>
      <c r="R407" s="5"/>
      <c r="S407" s="5"/>
      <c r="T407" s="5"/>
      <c r="U407" s="5"/>
      <c r="V407" s="5"/>
      <c r="W407" s="5"/>
      <c r="X407" s="5"/>
      <c r="Y407" s="5"/>
      <c r="Z407" s="5"/>
    </row>
    <row r="408">
      <c r="A408" s="17" t="s">
        <v>1700</v>
      </c>
      <c r="B408" s="5" t="s">
        <v>1067</v>
      </c>
      <c r="C408" s="7" t="s">
        <v>1203</v>
      </c>
      <c r="D408" s="7" t="s">
        <v>1203</v>
      </c>
      <c r="E408" s="7" t="s">
        <v>16</v>
      </c>
      <c r="F408" s="7" t="s">
        <v>16</v>
      </c>
      <c r="G408" s="5" t="s">
        <v>19</v>
      </c>
      <c r="H408" s="7" t="s">
        <v>1701</v>
      </c>
      <c r="I408" s="7" t="s">
        <v>1702</v>
      </c>
      <c r="J408" s="8">
        <v>4000.0</v>
      </c>
      <c r="K408" s="7" t="s">
        <v>16</v>
      </c>
      <c r="L408" s="7" t="s">
        <v>1703</v>
      </c>
      <c r="M408" s="7" t="s">
        <v>88</v>
      </c>
      <c r="N408" s="7" t="s">
        <v>1704</v>
      </c>
      <c r="O408" s="5"/>
      <c r="P408" s="5"/>
      <c r="Q408" s="5"/>
      <c r="R408" s="5"/>
      <c r="S408" s="5"/>
      <c r="T408" s="5"/>
      <c r="U408" s="5"/>
      <c r="V408" s="5"/>
      <c r="W408" s="5"/>
      <c r="X408" s="5"/>
      <c r="Y408" s="5"/>
      <c r="Z408" s="5"/>
    </row>
    <row r="409">
      <c r="A409" s="17" t="s">
        <v>1705</v>
      </c>
      <c r="B409" s="5" t="s">
        <v>1067</v>
      </c>
      <c r="C409" s="7" t="s">
        <v>1706</v>
      </c>
      <c r="D409" s="7" t="s">
        <v>1706</v>
      </c>
      <c r="E409" s="7" t="s">
        <v>16</v>
      </c>
      <c r="F409" s="7" t="s">
        <v>16</v>
      </c>
      <c r="G409" s="5" t="s">
        <v>19</v>
      </c>
      <c r="H409" s="7" t="s">
        <v>1707</v>
      </c>
      <c r="I409" s="7" t="s">
        <v>1708</v>
      </c>
      <c r="J409" s="8">
        <v>4500.0</v>
      </c>
      <c r="K409" s="7" t="s">
        <v>16</v>
      </c>
      <c r="L409" s="7" t="s">
        <v>1703</v>
      </c>
      <c r="M409" s="7" t="s">
        <v>36</v>
      </c>
      <c r="N409" s="7" t="s">
        <v>1709</v>
      </c>
      <c r="O409" s="5"/>
      <c r="P409" s="5"/>
      <c r="Q409" s="5"/>
      <c r="R409" s="5"/>
      <c r="S409" s="5"/>
      <c r="T409" s="5"/>
      <c r="U409" s="5"/>
      <c r="V409" s="5"/>
      <c r="W409" s="5"/>
      <c r="X409" s="5"/>
      <c r="Y409" s="5"/>
      <c r="Z409" s="5"/>
    </row>
    <row r="410">
      <c r="A410" s="17" t="s">
        <v>1710</v>
      </c>
      <c r="B410" s="5" t="s">
        <v>1067</v>
      </c>
      <c r="C410" s="7" t="s">
        <v>1711</v>
      </c>
      <c r="D410" s="7" t="s">
        <v>1711</v>
      </c>
      <c r="E410" s="7" t="s">
        <v>16</v>
      </c>
      <c r="F410" s="7" t="s">
        <v>16</v>
      </c>
      <c r="G410" s="5" t="s">
        <v>19</v>
      </c>
      <c r="H410" s="7" t="s">
        <v>1712</v>
      </c>
      <c r="I410" s="7" t="s">
        <v>1713</v>
      </c>
      <c r="J410" s="8">
        <v>3500.0</v>
      </c>
      <c r="K410" s="7" t="s">
        <v>16</v>
      </c>
      <c r="L410" s="7" t="s">
        <v>157</v>
      </c>
      <c r="M410" s="7" t="s">
        <v>36</v>
      </c>
      <c r="N410" s="7" t="s">
        <v>1714</v>
      </c>
      <c r="O410" s="5"/>
      <c r="P410" s="5"/>
      <c r="Q410" s="5"/>
      <c r="R410" s="5"/>
      <c r="S410" s="5"/>
      <c r="T410" s="5"/>
      <c r="U410" s="5"/>
      <c r="V410" s="5"/>
      <c r="W410" s="5"/>
      <c r="X410" s="5"/>
      <c r="Y410" s="5"/>
      <c r="Z410" s="5"/>
    </row>
    <row r="411">
      <c r="A411" s="17" t="s">
        <v>1715</v>
      </c>
      <c r="B411" s="5" t="s">
        <v>1067</v>
      </c>
      <c r="C411" s="7" t="s">
        <v>85</v>
      </c>
      <c r="D411" s="7" t="s">
        <v>85</v>
      </c>
      <c r="E411" s="7" t="s">
        <v>16</v>
      </c>
      <c r="F411" s="7" t="s">
        <v>16</v>
      </c>
      <c r="G411" s="5" t="s">
        <v>19</v>
      </c>
      <c r="H411" s="7" t="s">
        <v>1716</v>
      </c>
      <c r="I411" s="7" t="s">
        <v>1717</v>
      </c>
      <c r="J411" s="8">
        <v>1000.0</v>
      </c>
      <c r="K411" s="7" t="s">
        <v>16</v>
      </c>
      <c r="L411" s="7" t="s">
        <v>1675</v>
      </c>
      <c r="M411" s="7" t="s">
        <v>75</v>
      </c>
      <c r="N411" s="7" t="s">
        <v>1718</v>
      </c>
      <c r="O411" s="5"/>
      <c r="P411" s="5"/>
      <c r="Q411" s="5"/>
      <c r="R411" s="5"/>
      <c r="S411" s="5"/>
      <c r="T411" s="5"/>
      <c r="U411" s="5"/>
      <c r="V411" s="5"/>
      <c r="W411" s="5"/>
      <c r="X411" s="5"/>
      <c r="Y411" s="5"/>
      <c r="Z411" s="5"/>
    </row>
    <row r="412">
      <c r="A412" s="17" t="s">
        <v>1719</v>
      </c>
      <c r="B412" s="5" t="s">
        <v>1067</v>
      </c>
      <c r="C412" s="7" t="s">
        <v>1405</v>
      </c>
      <c r="D412" s="7" t="s">
        <v>85</v>
      </c>
      <c r="E412" s="7" t="s">
        <v>16</v>
      </c>
      <c r="F412" s="7" t="s">
        <v>16</v>
      </c>
      <c r="G412" s="5" t="s">
        <v>19</v>
      </c>
      <c r="H412" s="7" t="s">
        <v>1720</v>
      </c>
      <c r="I412" s="7" t="s">
        <v>1721</v>
      </c>
      <c r="J412" s="8">
        <v>5000.0</v>
      </c>
      <c r="K412" s="7" t="s">
        <v>16</v>
      </c>
      <c r="L412" s="7" t="s">
        <v>1722</v>
      </c>
      <c r="M412" s="7" t="s">
        <v>88</v>
      </c>
      <c r="N412" s="7" t="s">
        <v>1723</v>
      </c>
      <c r="O412" s="5"/>
      <c r="P412" s="5"/>
      <c r="Q412" s="5"/>
      <c r="R412" s="5"/>
      <c r="S412" s="5"/>
      <c r="T412" s="5"/>
      <c r="U412" s="5"/>
      <c r="V412" s="5"/>
      <c r="W412" s="5"/>
      <c r="X412" s="5"/>
      <c r="Y412" s="5"/>
      <c r="Z412" s="5"/>
    </row>
    <row r="413">
      <c r="A413" s="17" t="s">
        <v>1724</v>
      </c>
      <c r="B413" s="5" t="s">
        <v>1067</v>
      </c>
      <c r="C413" s="7" t="s">
        <v>1068</v>
      </c>
      <c r="D413" s="7" t="s">
        <v>1068</v>
      </c>
      <c r="E413" s="7" t="s">
        <v>16</v>
      </c>
      <c r="F413" s="7" t="s">
        <v>16</v>
      </c>
      <c r="G413" s="5" t="s">
        <v>19</v>
      </c>
      <c r="H413" s="7" t="s">
        <v>1725</v>
      </c>
      <c r="I413" s="7" t="s">
        <v>1726</v>
      </c>
      <c r="J413" s="8">
        <v>8000.0</v>
      </c>
      <c r="K413" s="7" t="s">
        <v>16</v>
      </c>
      <c r="L413" s="7" t="s">
        <v>157</v>
      </c>
      <c r="M413" s="7" t="s">
        <v>88</v>
      </c>
      <c r="N413" s="7" t="s">
        <v>1727</v>
      </c>
      <c r="O413" s="5"/>
      <c r="P413" s="5"/>
      <c r="Q413" s="5"/>
      <c r="R413" s="5"/>
      <c r="S413" s="5"/>
      <c r="T413" s="5"/>
      <c r="U413" s="5"/>
      <c r="V413" s="5"/>
      <c r="W413" s="5"/>
      <c r="X413" s="5"/>
      <c r="Y413" s="5"/>
      <c r="Z413" s="5"/>
    </row>
    <row r="414">
      <c r="A414" s="17" t="s">
        <v>1728</v>
      </c>
      <c r="B414" s="5" t="s">
        <v>1067</v>
      </c>
      <c r="C414" s="7" t="s">
        <v>1068</v>
      </c>
      <c r="D414" s="7" t="s">
        <v>1068</v>
      </c>
      <c r="E414" s="7" t="s">
        <v>16</v>
      </c>
      <c r="F414" s="7" t="s">
        <v>16</v>
      </c>
      <c r="G414" s="5" t="s">
        <v>461</v>
      </c>
      <c r="H414" s="7" t="s">
        <v>1725</v>
      </c>
      <c r="I414" s="7" t="s">
        <v>1726</v>
      </c>
      <c r="J414" s="8">
        <v>9000.0</v>
      </c>
      <c r="K414" s="7" t="s">
        <v>16</v>
      </c>
      <c r="L414" s="7" t="s">
        <v>157</v>
      </c>
      <c r="M414" s="7" t="s">
        <v>88</v>
      </c>
      <c r="N414" s="7" t="s">
        <v>1727</v>
      </c>
      <c r="O414" s="5"/>
      <c r="P414" s="5"/>
      <c r="Q414" s="5"/>
      <c r="R414" s="5"/>
      <c r="S414" s="5"/>
      <c r="T414" s="5"/>
      <c r="U414" s="5"/>
      <c r="V414" s="5"/>
      <c r="W414" s="5"/>
      <c r="X414" s="5"/>
      <c r="Y414" s="5"/>
      <c r="Z414" s="5"/>
    </row>
    <row r="415">
      <c r="A415" s="17" t="s">
        <v>1729</v>
      </c>
      <c r="B415" s="5" t="s">
        <v>1067</v>
      </c>
      <c r="C415" s="7" t="s">
        <v>1068</v>
      </c>
      <c r="D415" s="7" t="s">
        <v>1068</v>
      </c>
      <c r="E415" s="7" t="s">
        <v>16</v>
      </c>
      <c r="F415" s="7" t="s">
        <v>16</v>
      </c>
      <c r="G415" s="5" t="s">
        <v>19</v>
      </c>
      <c r="H415" s="7" t="s">
        <v>1730</v>
      </c>
      <c r="I415" s="7" t="s">
        <v>1731</v>
      </c>
      <c r="J415" s="8">
        <v>4000.0</v>
      </c>
      <c r="K415" s="7" t="s">
        <v>16</v>
      </c>
      <c r="L415" s="7" t="s">
        <v>1732</v>
      </c>
      <c r="M415" s="7" t="s">
        <v>75</v>
      </c>
      <c r="N415" s="7" t="s">
        <v>1733</v>
      </c>
      <c r="O415" s="5"/>
      <c r="P415" s="5"/>
      <c r="Q415" s="5"/>
      <c r="R415" s="5"/>
      <c r="S415" s="5"/>
      <c r="T415" s="5"/>
      <c r="U415" s="5"/>
      <c r="V415" s="5"/>
      <c r="W415" s="5"/>
      <c r="X415" s="5"/>
      <c r="Y415" s="5"/>
      <c r="Z415" s="5"/>
    </row>
    <row r="416">
      <c r="A416" s="17" t="s">
        <v>1734</v>
      </c>
      <c r="B416" s="5" t="s">
        <v>1067</v>
      </c>
      <c r="C416" s="7" t="s">
        <v>1183</v>
      </c>
      <c r="D416" s="7" t="s">
        <v>1183</v>
      </c>
      <c r="E416" s="7" t="s">
        <v>16</v>
      </c>
      <c r="F416" s="7" t="s">
        <v>16</v>
      </c>
      <c r="G416" s="5" t="s">
        <v>19</v>
      </c>
      <c r="H416" s="7" t="s">
        <v>1735</v>
      </c>
      <c r="I416" s="7" t="s">
        <v>1736</v>
      </c>
      <c r="J416" s="8">
        <v>3000.0</v>
      </c>
      <c r="K416" s="7" t="s">
        <v>16</v>
      </c>
      <c r="L416" s="7" t="s">
        <v>1737</v>
      </c>
      <c r="M416" s="7" t="s">
        <v>22</v>
      </c>
      <c r="N416" s="7" t="s">
        <v>1738</v>
      </c>
      <c r="O416" s="5"/>
      <c r="P416" s="5"/>
      <c r="Q416" s="5"/>
      <c r="R416" s="5"/>
      <c r="S416" s="5"/>
      <c r="T416" s="5"/>
      <c r="U416" s="5"/>
      <c r="V416" s="5"/>
      <c r="W416" s="5"/>
      <c r="X416" s="5"/>
      <c r="Y416" s="5"/>
      <c r="Z416" s="5"/>
    </row>
    <row r="417">
      <c r="A417" s="17" t="s">
        <v>1739</v>
      </c>
      <c r="B417" s="5" t="s">
        <v>1067</v>
      </c>
      <c r="C417" s="7" t="s">
        <v>411</v>
      </c>
      <c r="D417" s="7" t="s">
        <v>411</v>
      </c>
      <c r="E417" s="7" t="s">
        <v>16</v>
      </c>
      <c r="F417" s="7" t="s">
        <v>16</v>
      </c>
      <c r="G417" s="5" t="s">
        <v>19</v>
      </c>
      <c r="H417" s="7" t="s">
        <v>1740</v>
      </c>
      <c r="I417" s="7" t="s">
        <v>1741</v>
      </c>
      <c r="J417" s="8">
        <v>3000.0</v>
      </c>
      <c r="K417" s="7" t="s">
        <v>16</v>
      </c>
      <c r="L417" s="7" t="s">
        <v>1737</v>
      </c>
      <c r="M417" s="7" t="s">
        <v>75</v>
      </c>
      <c r="N417" s="7" t="s">
        <v>1742</v>
      </c>
      <c r="O417" s="5"/>
      <c r="P417" s="5"/>
      <c r="Q417" s="5"/>
      <c r="R417" s="5"/>
      <c r="S417" s="5"/>
      <c r="T417" s="5"/>
      <c r="U417" s="5"/>
      <c r="V417" s="5"/>
      <c r="W417" s="5"/>
      <c r="X417" s="5"/>
      <c r="Y417" s="5"/>
      <c r="Z417" s="5"/>
    </row>
    <row r="418">
      <c r="A418" s="17" t="s">
        <v>1743</v>
      </c>
      <c r="B418" s="5" t="s">
        <v>1067</v>
      </c>
      <c r="C418" s="7" t="s">
        <v>1199</v>
      </c>
      <c r="D418" s="7" t="s">
        <v>1199</v>
      </c>
      <c r="E418" s="7" t="s">
        <v>16</v>
      </c>
      <c r="F418" s="7" t="s">
        <v>16</v>
      </c>
      <c r="G418" s="5" t="s">
        <v>19</v>
      </c>
      <c r="H418" s="7" t="s">
        <v>1744</v>
      </c>
      <c r="I418" s="7" t="s">
        <v>1745</v>
      </c>
      <c r="J418" s="8">
        <v>6000.0</v>
      </c>
      <c r="K418" s="7" t="s">
        <v>16</v>
      </c>
      <c r="L418" s="7" t="s">
        <v>226</v>
      </c>
      <c r="M418" s="7" t="s">
        <v>75</v>
      </c>
      <c r="N418" s="7" t="s">
        <v>1746</v>
      </c>
      <c r="O418" s="5"/>
      <c r="P418" s="5"/>
      <c r="Q418" s="5"/>
      <c r="R418" s="5"/>
      <c r="S418" s="5"/>
      <c r="T418" s="5"/>
      <c r="U418" s="5"/>
      <c r="V418" s="5"/>
      <c r="W418" s="5"/>
      <c r="X418" s="5"/>
      <c r="Y418" s="5"/>
      <c r="Z418" s="5"/>
    </row>
    <row r="419">
      <c r="A419" s="17" t="s">
        <v>1747</v>
      </c>
      <c r="B419" s="5" t="s">
        <v>1067</v>
      </c>
      <c r="C419" s="7" t="s">
        <v>1748</v>
      </c>
      <c r="D419" s="7" t="s">
        <v>1748</v>
      </c>
      <c r="E419" s="7" t="s">
        <v>16</v>
      </c>
      <c r="F419" s="7" t="s">
        <v>16</v>
      </c>
      <c r="G419" s="5" t="s">
        <v>19</v>
      </c>
      <c r="H419" s="7" t="s">
        <v>1749</v>
      </c>
      <c r="I419" s="7" t="s">
        <v>1750</v>
      </c>
      <c r="J419" s="8">
        <v>6000.0</v>
      </c>
      <c r="K419" s="7" t="s">
        <v>16</v>
      </c>
      <c r="L419" s="7" t="s">
        <v>221</v>
      </c>
      <c r="M419" s="7" t="s">
        <v>88</v>
      </c>
      <c r="N419" s="7" t="s">
        <v>1751</v>
      </c>
      <c r="O419" s="5"/>
      <c r="P419" s="5"/>
      <c r="Q419" s="5"/>
      <c r="R419" s="5"/>
      <c r="S419" s="5"/>
      <c r="T419" s="5"/>
      <c r="U419" s="5"/>
      <c r="V419" s="5"/>
      <c r="W419" s="5"/>
      <c r="X419" s="5"/>
      <c r="Y419" s="5"/>
      <c r="Z419" s="5"/>
    </row>
    <row r="420">
      <c r="A420" s="17" t="s">
        <v>1752</v>
      </c>
      <c r="B420" s="5" t="s">
        <v>1067</v>
      </c>
      <c r="C420" s="7" t="s">
        <v>1194</v>
      </c>
      <c r="D420" s="7" t="s">
        <v>1194</v>
      </c>
      <c r="E420" s="7" t="s">
        <v>16</v>
      </c>
      <c r="F420" s="7" t="s">
        <v>16</v>
      </c>
      <c r="G420" s="5" t="s">
        <v>19</v>
      </c>
      <c r="H420" s="7" t="s">
        <v>1753</v>
      </c>
      <c r="I420" s="7" t="s">
        <v>1754</v>
      </c>
      <c r="J420" s="8">
        <v>5000.0</v>
      </c>
      <c r="K420" s="7" t="s">
        <v>16</v>
      </c>
      <c r="L420" s="7" t="s">
        <v>226</v>
      </c>
      <c r="M420" s="7" t="s">
        <v>75</v>
      </c>
      <c r="N420" s="7" t="s">
        <v>1755</v>
      </c>
      <c r="O420" s="5"/>
      <c r="P420" s="5"/>
      <c r="Q420" s="5"/>
      <c r="R420" s="5"/>
      <c r="S420" s="5"/>
      <c r="T420" s="5"/>
      <c r="U420" s="5"/>
      <c r="V420" s="5"/>
      <c r="W420" s="5"/>
      <c r="X420" s="5"/>
      <c r="Y420" s="5"/>
      <c r="Z420" s="5"/>
    </row>
    <row r="421">
      <c r="A421" s="17" t="s">
        <v>1756</v>
      </c>
      <c r="B421" s="7" t="s">
        <v>1067</v>
      </c>
      <c r="C421" s="7" t="s">
        <v>1194</v>
      </c>
      <c r="D421" s="7" t="s">
        <v>1194</v>
      </c>
      <c r="E421" s="7" t="s">
        <v>16</v>
      </c>
      <c r="F421" s="7" t="s">
        <v>16</v>
      </c>
      <c r="G421" s="5" t="s">
        <v>19</v>
      </c>
      <c r="H421" s="7" t="s">
        <v>1753</v>
      </c>
      <c r="I421" s="7" t="s">
        <v>1757</v>
      </c>
      <c r="J421" s="8">
        <v>5000.0</v>
      </c>
      <c r="K421" s="7" t="s">
        <v>16</v>
      </c>
      <c r="L421" s="7" t="s">
        <v>226</v>
      </c>
      <c r="M421" s="7" t="s">
        <v>75</v>
      </c>
      <c r="N421" s="7" t="s">
        <v>1755</v>
      </c>
      <c r="O421" s="5"/>
      <c r="P421" s="5"/>
      <c r="Q421" s="5"/>
      <c r="R421" s="5"/>
      <c r="S421" s="5"/>
      <c r="T421" s="5"/>
      <c r="U421" s="5"/>
      <c r="V421" s="5"/>
      <c r="W421" s="5"/>
      <c r="X421" s="5"/>
      <c r="Y421" s="5"/>
      <c r="Z421" s="5"/>
    </row>
    <row r="422">
      <c r="A422" s="17" t="s">
        <v>1758</v>
      </c>
      <c r="B422" s="7" t="s">
        <v>1067</v>
      </c>
      <c r="C422" s="7" t="s">
        <v>1068</v>
      </c>
      <c r="D422" s="7" t="s">
        <v>1068</v>
      </c>
      <c r="E422" s="7" t="s">
        <v>16</v>
      </c>
      <c r="F422" s="7" t="s">
        <v>16</v>
      </c>
      <c r="G422" s="5" t="s">
        <v>19</v>
      </c>
      <c r="H422" s="7" t="s">
        <v>1759</v>
      </c>
      <c r="I422" s="7" t="s">
        <v>1760</v>
      </c>
      <c r="J422" s="8">
        <v>4000.0</v>
      </c>
      <c r="K422" s="7" t="s">
        <v>16</v>
      </c>
      <c r="L422" s="7" t="s">
        <v>1761</v>
      </c>
      <c r="M422" s="7" t="s">
        <v>36</v>
      </c>
      <c r="N422" s="7" t="s">
        <v>1762</v>
      </c>
      <c r="O422" s="5"/>
      <c r="P422" s="5"/>
      <c r="Q422" s="5"/>
      <c r="R422" s="5"/>
      <c r="S422" s="5"/>
      <c r="T422" s="5"/>
      <c r="U422" s="5"/>
      <c r="V422" s="5"/>
      <c r="W422" s="5"/>
      <c r="X422" s="5"/>
      <c r="Y422" s="5"/>
      <c r="Z422" s="5"/>
    </row>
    <row r="423">
      <c r="A423" s="17" t="s">
        <v>1763</v>
      </c>
      <c r="B423" s="7" t="s">
        <v>1067</v>
      </c>
      <c r="C423" s="7" t="s">
        <v>1194</v>
      </c>
      <c r="D423" s="7" t="s">
        <v>1194</v>
      </c>
      <c r="E423" s="7" t="s">
        <v>16</v>
      </c>
      <c r="F423" s="7" t="s">
        <v>16</v>
      </c>
      <c r="G423" s="5" t="s">
        <v>19</v>
      </c>
      <c r="H423" s="7" t="s">
        <v>1764</v>
      </c>
      <c r="I423" s="7" t="s">
        <v>1765</v>
      </c>
      <c r="J423" s="8">
        <v>5000.0</v>
      </c>
      <c r="K423" s="7" t="s">
        <v>16</v>
      </c>
      <c r="L423" s="7" t="s">
        <v>1761</v>
      </c>
      <c r="M423" s="5" t="s">
        <v>36</v>
      </c>
      <c r="N423" s="5" t="s">
        <v>1766</v>
      </c>
      <c r="O423" s="5"/>
      <c r="P423" s="5"/>
      <c r="Q423" s="5"/>
      <c r="R423" s="5"/>
      <c r="S423" s="5"/>
      <c r="T423" s="5"/>
      <c r="U423" s="5"/>
      <c r="V423" s="5"/>
      <c r="W423" s="5"/>
      <c r="X423" s="5"/>
      <c r="Y423" s="5"/>
      <c r="Z423" s="5"/>
    </row>
    <row r="424">
      <c r="A424" s="17" t="s">
        <v>1767</v>
      </c>
      <c r="B424" s="7" t="s">
        <v>1067</v>
      </c>
      <c r="C424" s="7" t="s">
        <v>1183</v>
      </c>
      <c r="D424" s="7" t="s">
        <v>1183</v>
      </c>
      <c r="E424" s="7" t="s">
        <v>16</v>
      </c>
      <c r="F424" s="7" t="s">
        <v>16</v>
      </c>
      <c r="G424" s="5" t="s">
        <v>19</v>
      </c>
      <c r="H424" s="7" t="s">
        <v>1768</v>
      </c>
      <c r="I424" s="7" t="s">
        <v>1769</v>
      </c>
      <c r="J424" s="8">
        <v>2000.0</v>
      </c>
      <c r="K424" s="7" t="s">
        <v>16</v>
      </c>
      <c r="L424" s="7" t="s">
        <v>1761</v>
      </c>
      <c r="M424" s="5" t="s">
        <v>36</v>
      </c>
      <c r="N424" s="5" t="s">
        <v>1770</v>
      </c>
      <c r="O424" s="5"/>
      <c r="P424" s="5"/>
      <c r="Q424" s="5"/>
      <c r="R424" s="5"/>
      <c r="S424" s="5"/>
      <c r="T424" s="5"/>
      <c r="U424" s="5"/>
      <c r="V424" s="5"/>
      <c r="W424" s="5"/>
      <c r="X424" s="5"/>
      <c r="Y424" s="5"/>
      <c r="Z424" s="5"/>
    </row>
    <row r="425">
      <c r="A425" s="17" t="s">
        <v>1771</v>
      </c>
      <c r="B425" s="7" t="s">
        <v>1067</v>
      </c>
      <c r="C425" s="7" t="s">
        <v>411</v>
      </c>
      <c r="D425" s="7" t="s">
        <v>411</v>
      </c>
      <c r="E425" s="7" t="s">
        <v>16</v>
      </c>
      <c r="F425" s="7" t="s">
        <v>16</v>
      </c>
      <c r="G425" s="7" t="s">
        <v>19</v>
      </c>
      <c r="H425" s="7" t="s">
        <v>1772</v>
      </c>
      <c r="I425" s="7" t="s">
        <v>1773</v>
      </c>
      <c r="J425" s="8">
        <v>3000.0</v>
      </c>
      <c r="K425" s="7" t="s">
        <v>16</v>
      </c>
      <c r="L425" s="7" t="s">
        <v>1774</v>
      </c>
      <c r="M425" s="7" t="s">
        <v>22</v>
      </c>
      <c r="N425" s="7" t="s">
        <v>1775</v>
      </c>
      <c r="O425" s="5"/>
      <c r="P425" s="5"/>
      <c r="Q425" s="5"/>
      <c r="R425" s="5"/>
      <c r="S425" s="5"/>
      <c r="T425" s="5"/>
      <c r="U425" s="5"/>
      <c r="V425" s="5"/>
      <c r="W425" s="5"/>
      <c r="X425" s="5"/>
      <c r="Y425" s="5"/>
      <c r="Z425" s="5"/>
    </row>
    <row r="426">
      <c r="A426" s="17" t="s">
        <v>1776</v>
      </c>
      <c r="B426" s="7" t="s">
        <v>1067</v>
      </c>
      <c r="C426" s="7" t="s">
        <v>85</v>
      </c>
      <c r="D426" s="7" t="s">
        <v>85</v>
      </c>
      <c r="E426" s="7" t="s">
        <v>16</v>
      </c>
      <c r="F426" s="7" t="s">
        <v>16</v>
      </c>
      <c r="G426" s="7" t="s">
        <v>19</v>
      </c>
      <c r="H426" s="7" t="s">
        <v>1777</v>
      </c>
      <c r="I426" s="7" t="s">
        <v>1778</v>
      </c>
      <c r="J426" s="8">
        <v>1000.0</v>
      </c>
      <c r="K426" s="7" t="s">
        <v>16</v>
      </c>
      <c r="L426" s="7" t="s">
        <v>1761</v>
      </c>
      <c r="M426" s="7" t="s">
        <v>36</v>
      </c>
      <c r="N426" s="7" t="s">
        <v>1779</v>
      </c>
      <c r="O426" s="5"/>
      <c r="P426" s="5"/>
      <c r="Q426" s="5"/>
      <c r="R426" s="5"/>
      <c r="S426" s="5"/>
      <c r="T426" s="5"/>
      <c r="U426" s="5"/>
      <c r="V426" s="5"/>
      <c r="W426" s="5"/>
      <c r="X426" s="5"/>
      <c r="Y426" s="5"/>
      <c r="Z426" s="5"/>
    </row>
    <row r="427">
      <c r="A427" s="17" t="s">
        <v>1780</v>
      </c>
      <c r="B427" s="5" t="s">
        <v>1067</v>
      </c>
      <c r="C427" s="7" t="s">
        <v>1199</v>
      </c>
      <c r="D427" s="7" t="s">
        <v>1199</v>
      </c>
      <c r="E427" s="7" t="s">
        <v>16</v>
      </c>
      <c r="F427" s="7" t="s">
        <v>16</v>
      </c>
      <c r="G427" s="5" t="s">
        <v>19</v>
      </c>
      <c r="H427" s="7" t="s">
        <v>1781</v>
      </c>
      <c r="I427" s="7" t="s">
        <v>1782</v>
      </c>
      <c r="J427" s="8">
        <v>6000.0</v>
      </c>
      <c r="K427" s="7" t="s">
        <v>16</v>
      </c>
      <c r="L427" s="7" t="s">
        <v>1655</v>
      </c>
      <c r="M427" s="7" t="s">
        <v>75</v>
      </c>
      <c r="N427" s="7" t="s">
        <v>1783</v>
      </c>
      <c r="O427" s="5"/>
      <c r="P427" s="5"/>
      <c r="Q427" s="5"/>
      <c r="R427" s="5"/>
      <c r="S427" s="5"/>
      <c r="T427" s="5"/>
      <c r="U427" s="5"/>
      <c r="V427" s="5"/>
      <c r="W427" s="5"/>
      <c r="X427" s="5"/>
      <c r="Y427" s="5"/>
      <c r="Z427" s="5"/>
    </row>
    <row r="428">
      <c r="A428" s="17" t="s">
        <v>1784</v>
      </c>
      <c r="B428" s="7" t="s">
        <v>1067</v>
      </c>
      <c r="C428" s="7" t="s">
        <v>1199</v>
      </c>
      <c r="D428" s="7" t="s">
        <v>1199</v>
      </c>
      <c r="E428" s="7" t="s">
        <v>16</v>
      </c>
      <c r="F428" s="7" t="s">
        <v>16</v>
      </c>
      <c r="G428" s="7" t="s">
        <v>19</v>
      </c>
      <c r="H428" s="7" t="s">
        <v>1781</v>
      </c>
      <c r="I428" s="7" t="s">
        <v>1785</v>
      </c>
      <c r="J428" s="8">
        <v>6000.0</v>
      </c>
      <c r="K428" s="7" t="s">
        <v>16</v>
      </c>
      <c r="L428" s="7" t="s">
        <v>1655</v>
      </c>
      <c r="M428" s="7" t="s">
        <v>75</v>
      </c>
      <c r="N428" s="7" t="s">
        <v>1783</v>
      </c>
      <c r="O428" s="5"/>
      <c r="P428" s="5"/>
      <c r="Q428" s="5"/>
      <c r="R428" s="5"/>
      <c r="S428" s="5"/>
      <c r="T428" s="5"/>
      <c r="U428" s="5"/>
      <c r="V428" s="5"/>
      <c r="W428" s="5"/>
      <c r="X428" s="5"/>
      <c r="Y428" s="5"/>
      <c r="Z428" s="5"/>
    </row>
    <row r="429">
      <c r="A429" s="17" t="s">
        <v>1786</v>
      </c>
      <c r="B429" s="7" t="s">
        <v>1067</v>
      </c>
      <c r="C429" s="7" t="s">
        <v>85</v>
      </c>
      <c r="D429" s="7" t="s">
        <v>85</v>
      </c>
      <c r="E429" s="7" t="s">
        <v>16</v>
      </c>
      <c r="F429" s="7" t="s">
        <v>16</v>
      </c>
      <c r="G429" s="5" t="s">
        <v>19</v>
      </c>
      <c r="H429" s="7" t="s">
        <v>1787</v>
      </c>
      <c r="I429" s="7" t="s">
        <v>1788</v>
      </c>
      <c r="J429" s="8">
        <v>1000.0</v>
      </c>
      <c r="K429" s="7" t="s">
        <v>16</v>
      </c>
      <c r="L429" s="7" t="s">
        <v>1655</v>
      </c>
      <c r="M429" s="5" t="s">
        <v>75</v>
      </c>
      <c r="N429" s="5" t="s">
        <v>1789</v>
      </c>
      <c r="O429" s="5"/>
      <c r="P429" s="5"/>
      <c r="Q429" s="5"/>
      <c r="R429" s="5"/>
      <c r="S429" s="5"/>
      <c r="T429" s="5"/>
      <c r="U429" s="5"/>
      <c r="V429" s="5"/>
      <c r="W429" s="5"/>
      <c r="X429" s="5"/>
      <c r="Y429" s="5"/>
      <c r="Z429" s="5"/>
    </row>
    <row r="430">
      <c r="A430" s="17" t="s">
        <v>1790</v>
      </c>
      <c r="B430" s="7" t="s">
        <v>1067</v>
      </c>
      <c r="C430" s="7" t="s">
        <v>1400</v>
      </c>
      <c r="D430" s="7" t="s">
        <v>1400</v>
      </c>
      <c r="E430" s="7" t="s">
        <v>16</v>
      </c>
      <c r="F430" s="7" t="s">
        <v>16</v>
      </c>
      <c r="G430" s="5" t="s">
        <v>19</v>
      </c>
      <c r="H430" s="7" t="s">
        <v>1791</v>
      </c>
      <c r="I430" s="7" t="s">
        <v>1792</v>
      </c>
      <c r="J430" s="8">
        <v>5500.0</v>
      </c>
      <c r="K430" s="7" t="s">
        <v>16</v>
      </c>
      <c r="L430" s="7" t="s">
        <v>1655</v>
      </c>
      <c r="M430" s="5" t="s">
        <v>75</v>
      </c>
      <c r="N430" s="5" t="s">
        <v>1793</v>
      </c>
      <c r="O430" s="5"/>
      <c r="P430" s="5"/>
      <c r="Q430" s="5"/>
      <c r="R430" s="5"/>
      <c r="S430" s="5"/>
      <c r="T430" s="5"/>
      <c r="U430" s="5"/>
      <c r="V430" s="5"/>
      <c r="W430" s="5"/>
      <c r="X430" s="5"/>
      <c r="Y430" s="5"/>
      <c r="Z430" s="5"/>
    </row>
    <row r="431">
      <c r="A431" s="17" t="s">
        <v>1794</v>
      </c>
      <c r="B431" s="7" t="s">
        <v>1067</v>
      </c>
      <c r="C431" s="7" t="s">
        <v>1068</v>
      </c>
      <c r="D431" s="7" t="s">
        <v>1068</v>
      </c>
      <c r="E431" s="7" t="s">
        <v>16</v>
      </c>
      <c r="F431" s="7" t="s">
        <v>16</v>
      </c>
      <c r="G431" s="5" t="s">
        <v>19</v>
      </c>
      <c r="H431" s="7" t="s">
        <v>1795</v>
      </c>
      <c r="I431" s="7" t="s">
        <v>1796</v>
      </c>
      <c r="J431" s="8">
        <v>4000.0</v>
      </c>
      <c r="K431" s="7" t="s">
        <v>16</v>
      </c>
      <c r="L431" s="7" t="s">
        <v>1797</v>
      </c>
      <c r="M431" s="5" t="s">
        <v>22</v>
      </c>
      <c r="N431" s="5" t="s">
        <v>1798</v>
      </c>
      <c r="O431" s="5"/>
      <c r="P431" s="5"/>
      <c r="Q431" s="5"/>
      <c r="R431" s="5"/>
      <c r="S431" s="5"/>
      <c r="T431" s="5"/>
      <c r="U431" s="5"/>
      <c r="V431" s="5"/>
      <c r="W431" s="5"/>
      <c r="X431" s="5"/>
      <c r="Y431" s="5"/>
      <c r="Z431" s="5"/>
    </row>
    <row r="432">
      <c r="A432" s="17" t="s">
        <v>1799</v>
      </c>
      <c r="B432" s="7" t="s">
        <v>1067</v>
      </c>
      <c r="C432" s="7" t="s">
        <v>1194</v>
      </c>
      <c r="D432" s="7" t="s">
        <v>1194</v>
      </c>
      <c r="E432" s="7" t="s">
        <v>16</v>
      </c>
      <c r="F432" s="7" t="s">
        <v>16</v>
      </c>
      <c r="G432" s="7" t="s">
        <v>19</v>
      </c>
      <c r="H432" s="7" t="s">
        <v>1800</v>
      </c>
      <c r="I432" s="7" t="s">
        <v>1801</v>
      </c>
      <c r="J432" s="8">
        <v>5000.0</v>
      </c>
      <c r="K432" s="7" t="s">
        <v>16</v>
      </c>
      <c r="L432" s="7" t="s">
        <v>1802</v>
      </c>
      <c r="M432" s="5" t="s">
        <v>36</v>
      </c>
      <c r="N432" s="5" t="s">
        <v>1803</v>
      </c>
      <c r="O432" s="5"/>
      <c r="P432" s="5"/>
      <c r="Q432" s="5"/>
      <c r="R432" s="5"/>
      <c r="S432" s="5"/>
      <c r="T432" s="5"/>
      <c r="U432" s="5"/>
      <c r="V432" s="5"/>
      <c r="W432" s="5"/>
      <c r="X432" s="5"/>
      <c r="Y432" s="5"/>
      <c r="Z432" s="5"/>
    </row>
    <row r="433">
      <c r="A433" s="17" t="s">
        <v>1804</v>
      </c>
      <c r="B433" s="7" t="s">
        <v>1067</v>
      </c>
      <c r="C433" s="7" t="s">
        <v>1546</v>
      </c>
      <c r="D433" s="7" t="s">
        <v>1546</v>
      </c>
      <c r="E433" s="7" t="s">
        <v>16</v>
      </c>
      <c r="F433" s="7" t="s">
        <v>16</v>
      </c>
      <c r="G433" s="7" t="s">
        <v>19</v>
      </c>
      <c r="H433" s="7" t="s">
        <v>1805</v>
      </c>
      <c r="I433" s="7" t="s">
        <v>1806</v>
      </c>
      <c r="J433" s="8">
        <v>1000.0</v>
      </c>
      <c r="K433" s="7" t="s">
        <v>16</v>
      </c>
      <c r="L433" s="7" t="s">
        <v>1802</v>
      </c>
      <c r="M433" s="5" t="s">
        <v>36</v>
      </c>
      <c r="N433" s="5" t="s">
        <v>1807</v>
      </c>
      <c r="O433" s="5"/>
      <c r="P433" s="5"/>
      <c r="Q433" s="5"/>
      <c r="R433" s="5"/>
      <c r="S433" s="5"/>
      <c r="T433" s="5"/>
      <c r="U433" s="5"/>
      <c r="V433" s="5"/>
      <c r="W433" s="5"/>
      <c r="X433" s="5"/>
      <c r="Y433" s="5"/>
      <c r="Z433" s="5"/>
    </row>
    <row r="434">
      <c r="A434" s="17" t="s">
        <v>1808</v>
      </c>
      <c r="B434" s="7" t="s">
        <v>1067</v>
      </c>
      <c r="C434" s="7" t="s">
        <v>1183</v>
      </c>
      <c r="D434" s="7" t="s">
        <v>1183</v>
      </c>
      <c r="E434" s="7" t="s">
        <v>16</v>
      </c>
      <c r="F434" s="7" t="s">
        <v>16</v>
      </c>
      <c r="G434" s="5" t="s">
        <v>19</v>
      </c>
      <c r="H434" s="7" t="s">
        <v>1809</v>
      </c>
      <c r="I434" s="7" t="s">
        <v>1810</v>
      </c>
      <c r="J434" s="8">
        <v>1000.0</v>
      </c>
      <c r="K434" s="7" t="s">
        <v>16</v>
      </c>
      <c r="L434" s="7" t="s">
        <v>1811</v>
      </c>
      <c r="M434" s="5" t="s">
        <v>22</v>
      </c>
      <c r="N434" s="5" t="s">
        <v>1812</v>
      </c>
      <c r="O434" s="5"/>
      <c r="P434" s="5"/>
      <c r="Q434" s="5"/>
      <c r="R434" s="5"/>
      <c r="S434" s="5"/>
      <c r="T434" s="5"/>
      <c r="U434" s="5"/>
      <c r="V434" s="5"/>
      <c r="W434" s="5"/>
      <c r="X434" s="5"/>
      <c r="Y434" s="5"/>
      <c r="Z434" s="5"/>
    </row>
    <row r="435">
      <c r="A435" s="17" t="s">
        <v>1813</v>
      </c>
      <c r="B435" s="7" t="s">
        <v>1067</v>
      </c>
      <c r="C435" s="7" t="s">
        <v>411</v>
      </c>
      <c r="D435" s="7" t="s">
        <v>411</v>
      </c>
      <c r="E435" s="7" t="s">
        <v>16</v>
      </c>
      <c r="F435" s="7" t="s">
        <v>16</v>
      </c>
      <c r="G435" s="5" t="s">
        <v>19</v>
      </c>
      <c r="H435" s="7" t="s">
        <v>1814</v>
      </c>
      <c r="I435" s="7" t="s">
        <v>1736</v>
      </c>
      <c r="J435" s="8">
        <v>3000.0</v>
      </c>
      <c r="K435" s="7" t="s">
        <v>16</v>
      </c>
      <c r="L435" s="7" t="s">
        <v>1811</v>
      </c>
      <c r="M435" s="5" t="s">
        <v>36</v>
      </c>
      <c r="N435" s="5" t="s">
        <v>1815</v>
      </c>
      <c r="O435" s="5"/>
      <c r="P435" s="5"/>
      <c r="Q435" s="5"/>
      <c r="R435" s="5"/>
      <c r="S435" s="5"/>
      <c r="T435" s="5"/>
      <c r="U435" s="5"/>
      <c r="V435" s="5"/>
      <c r="W435" s="5"/>
      <c r="X435" s="5"/>
      <c r="Y435" s="5"/>
      <c r="Z435" s="5"/>
    </row>
    <row r="436">
      <c r="A436" s="17" t="s">
        <v>1816</v>
      </c>
      <c r="B436" s="7" t="s">
        <v>1067</v>
      </c>
      <c r="C436" s="7" t="s">
        <v>85</v>
      </c>
      <c r="D436" s="7" t="s">
        <v>85</v>
      </c>
      <c r="E436" s="7" t="s">
        <v>16</v>
      </c>
      <c r="F436" s="7" t="s">
        <v>16</v>
      </c>
      <c r="G436" s="5" t="s">
        <v>19</v>
      </c>
      <c r="H436" s="7" t="s">
        <v>1817</v>
      </c>
      <c r="I436" s="7" t="s">
        <v>1818</v>
      </c>
      <c r="J436" s="8">
        <v>1000.0</v>
      </c>
      <c r="K436" s="7" t="s">
        <v>16</v>
      </c>
      <c r="L436" s="7" t="s">
        <v>1819</v>
      </c>
      <c r="M436" s="5" t="s">
        <v>36</v>
      </c>
      <c r="N436" s="5" t="s">
        <v>1820</v>
      </c>
      <c r="O436" s="5"/>
      <c r="P436" s="5"/>
      <c r="Q436" s="5"/>
      <c r="R436" s="5"/>
      <c r="S436" s="5"/>
      <c r="T436" s="5"/>
      <c r="U436" s="5"/>
      <c r="V436" s="5"/>
      <c r="W436" s="5"/>
      <c r="X436" s="5"/>
      <c r="Y436" s="5"/>
      <c r="Z436" s="5"/>
    </row>
    <row r="437">
      <c r="A437" s="17" t="s">
        <v>1821</v>
      </c>
      <c r="B437" s="5" t="s">
        <v>1067</v>
      </c>
      <c r="C437" s="7" t="s">
        <v>1311</v>
      </c>
      <c r="D437" s="7" t="s">
        <v>1311</v>
      </c>
      <c r="E437" s="7" t="s">
        <v>16</v>
      </c>
      <c r="F437" s="7" t="s">
        <v>16</v>
      </c>
      <c r="G437" s="5" t="s">
        <v>19</v>
      </c>
      <c r="H437" s="7" t="s">
        <v>1822</v>
      </c>
      <c r="I437" s="7" t="s">
        <v>1823</v>
      </c>
      <c r="J437" s="8">
        <v>4000.0</v>
      </c>
      <c r="K437" s="7" t="s">
        <v>16</v>
      </c>
      <c r="L437" s="7" t="s">
        <v>1811</v>
      </c>
      <c r="M437" s="5" t="s">
        <v>75</v>
      </c>
      <c r="N437" s="5" t="s">
        <v>1824</v>
      </c>
      <c r="O437" s="5"/>
      <c r="P437" s="5"/>
      <c r="Q437" s="5"/>
      <c r="R437" s="5"/>
      <c r="S437" s="5"/>
      <c r="T437" s="5"/>
      <c r="U437" s="5"/>
      <c r="V437" s="5"/>
      <c r="W437" s="5"/>
      <c r="X437" s="5"/>
      <c r="Y437" s="5"/>
      <c r="Z437" s="5"/>
    </row>
    <row r="438">
      <c r="A438" s="17" t="s">
        <v>1825</v>
      </c>
      <c r="B438" s="5" t="s">
        <v>1067</v>
      </c>
      <c r="C438" s="7" t="s">
        <v>1203</v>
      </c>
      <c r="D438" s="7" t="s">
        <v>1203</v>
      </c>
      <c r="E438" s="7" t="s">
        <v>16</v>
      </c>
      <c r="F438" s="7" t="s">
        <v>16</v>
      </c>
      <c r="G438" s="5" t="s">
        <v>19</v>
      </c>
      <c r="H438" s="7" t="s">
        <v>1826</v>
      </c>
      <c r="I438" s="7" t="s">
        <v>1827</v>
      </c>
      <c r="J438" s="8">
        <v>4000.0</v>
      </c>
      <c r="K438" s="7" t="s">
        <v>16</v>
      </c>
      <c r="L438" s="7" t="s">
        <v>1802</v>
      </c>
      <c r="M438" s="5" t="s">
        <v>36</v>
      </c>
      <c r="N438" s="5" t="s">
        <v>1828</v>
      </c>
      <c r="O438" s="5"/>
      <c r="P438" s="5"/>
      <c r="Q438" s="5"/>
      <c r="R438" s="5"/>
      <c r="S438" s="5"/>
      <c r="T438" s="5"/>
      <c r="U438" s="5"/>
      <c r="V438" s="5"/>
      <c r="W438" s="5"/>
      <c r="X438" s="5"/>
      <c r="Y438" s="5"/>
      <c r="Z438" s="5"/>
    </row>
    <row r="439">
      <c r="A439" s="17" t="s">
        <v>1829</v>
      </c>
      <c r="B439" s="5" t="s">
        <v>1067</v>
      </c>
      <c r="C439" s="7" t="s">
        <v>1203</v>
      </c>
      <c r="D439" s="7" t="s">
        <v>1203</v>
      </c>
      <c r="E439" s="7" t="s">
        <v>16</v>
      </c>
      <c r="F439" s="7" t="s">
        <v>16</v>
      </c>
      <c r="G439" s="5" t="s">
        <v>19</v>
      </c>
      <c r="H439" s="7" t="s">
        <v>1826</v>
      </c>
      <c r="I439" s="7" t="s">
        <v>1830</v>
      </c>
      <c r="J439" s="8">
        <v>4000.0</v>
      </c>
      <c r="K439" s="7" t="s">
        <v>16</v>
      </c>
      <c r="L439" s="7" t="s">
        <v>1802</v>
      </c>
      <c r="M439" s="5" t="s">
        <v>36</v>
      </c>
      <c r="N439" s="5" t="s">
        <v>1828</v>
      </c>
      <c r="O439" s="5"/>
      <c r="P439" s="5"/>
      <c r="Q439" s="5"/>
      <c r="R439" s="5"/>
      <c r="S439" s="5"/>
      <c r="T439" s="5"/>
      <c r="U439" s="5"/>
      <c r="V439" s="5"/>
      <c r="W439" s="5"/>
      <c r="X439" s="5"/>
      <c r="Y439" s="5"/>
      <c r="Z439" s="5"/>
    </row>
    <row r="440">
      <c r="A440" s="17" t="s">
        <v>1831</v>
      </c>
      <c r="B440" s="5" t="s">
        <v>1067</v>
      </c>
      <c r="C440" s="7" t="s">
        <v>1068</v>
      </c>
      <c r="D440" s="7" t="s">
        <v>1068</v>
      </c>
      <c r="E440" s="7" t="s">
        <v>16</v>
      </c>
      <c r="F440" s="7" t="s">
        <v>16</v>
      </c>
      <c r="G440" s="5" t="s">
        <v>19</v>
      </c>
      <c r="H440" s="7" t="s">
        <v>1832</v>
      </c>
      <c r="I440" s="7" t="s">
        <v>1833</v>
      </c>
      <c r="J440" s="8">
        <v>4000.0</v>
      </c>
      <c r="K440" s="7" t="s">
        <v>16</v>
      </c>
      <c r="L440" s="7" t="s">
        <v>1834</v>
      </c>
      <c r="M440" s="5" t="s">
        <v>36</v>
      </c>
      <c r="N440" s="11" t="s">
        <v>1835</v>
      </c>
      <c r="O440" s="5"/>
      <c r="P440" s="5"/>
      <c r="Q440" s="5"/>
      <c r="R440" s="5"/>
      <c r="S440" s="5"/>
      <c r="T440" s="5"/>
      <c r="U440" s="5"/>
      <c r="V440" s="5"/>
      <c r="W440" s="5"/>
      <c r="X440" s="5"/>
      <c r="Y440" s="5"/>
      <c r="Z440" s="5"/>
    </row>
    <row r="441">
      <c r="A441" s="17" t="s">
        <v>1836</v>
      </c>
      <c r="B441" s="5" t="s">
        <v>1067</v>
      </c>
      <c r="C441" s="7" t="s">
        <v>1194</v>
      </c>
      <c r="D441" s="7" t="s">
        <v>1194</v>
      </c>
      <c r="E441" s="7" t="s">
        <v>16</v>
      </c>
      <c r="F441" s="7" t="s">
        <v>16</v>
      </c>
      <c r="G441" s="5" t="s">
        <v>19</v>
      </c>
      <c r="H441" s="7" t="s">
        <v>1837</v>
      </c>
      <c r="I441" s="7" t="s">
        <v>1838</v>
      </c>
      <c r="J441" s="8">
        <v>5000.0</v>
      </c>
      <c r="K441" s="7" t="s">
        <v>16</v>
      </c>
      <c r="L441" s="7" t="s">
        <v>1839</v>
      </c>
      <c r="M441" s="10" t="s">
        <v>36</v>
      </c>
      <c r="N441" s="11" t="s">
        <v>1840</v>
      </c>
      <c r="O441" s="5"/>
      <c r="P441" s="5"/>
      <c r="Q441" s="5"/>
      <c r="R441" s="5"/>
      <c r="S441" s="5"/>
      <c r="T441" s="5"/>
      <c r="U441" s="5"/>
      <c r="V441" s="5"/>
      <c r="W441" s="5"/>
      <c r="X441" s="5"/>
      <c r="Y441" s="5"/>
      <c r="Z441" s="5"/>
    </row>
    <row r="442">
      <c r="A442" s="17" t="s">
        <v>1841</v>
      </c>
      <c r="B442" s="5" t="s">
        <v>1067</v>
      </c>
      <c r="C442" s="7" t="s">
        <v>1183</v>
      </c>
      <c r="D442" s="7" t="s">
        <v>1183</v>
      </c>
      <c r="E442" s="7" t="s">
        <v>16</v>
      </c>
      <c r="F442" s="7" t="s">
        <v>16</v>
      </c>
      <c r="G442" s="5" t="s">
        <v>19</v>
      </c>
      <c r="H442" s="7" t="s">
        <v>1842</v>
      </c>
      <c r="I442" s="7" t="s">
        <v>1843</v>
      </c>
      <c r="J442" s="8">
        <v>2000.0</v>
      </c>
      <c r="K442" s="7" t="s">
        <v>16</v>
      </c>
      <c r="L442" s="7" t="s">
        <v>1839</v>
      </c>
      <c r="M442" s="10" t="s">
        <v>22</v>
      </c>
      <c r="N442" s="11" t="s">
        <v>1844</v>
      </c>
      <c r="O442" s="5"/>
      <c r="P442" s="5"/>
      <c r="Q442" s="5"/>
      <c r="R442" s="5"/>
      <c r="S442" s="5"/>
      <c r="T442" s="5"/>
      <c r="U442" s="5"/>
      <c r="V442" s="5"/>
      <c r="W442" s="5"/>
      <c r="X442" s="5"/>
      <c r="Y442" s="5"/>
      <c r="Z442" s="5"/>
    </row>
    <row r="443">
      <c r="A443" s="17" t="s">
        <v>1845</v>
      </c>
      <c r="B443" s="5" t="s">
        <v>1067</v>
      </c>
      <c r="C443" s="7" t="s">
        <v>411</v>
      </c>
      <c r="D443" s="7" t="s">
        <v>411</v>
      </c>
      <c r="E443" s="7" t="s">
        <v>16</v>
      </c>
      <c r="F443" s="7" t="s">
        <v>16</v>
      </c>
      <c r="G443" s="5" t="s">
        <v>19</v>
      </c>
      <c r="H443" s="7" t="s">
        <v>1846</v>
      </c>
      <c r="I443" s="7" t="s">
        <v>1847</v>
      </c>
      <c r="J443" s="8">
        <v>3000.0</v>
      </c>
      <c r="K443" s="7" t="s">
        <v>16</v>
      </c>
      <c r="L443" s="7" t="s">
        <v>1839</v>
      </c>
      <c r="M443" s="10" t="s">
        <v>22</v>
      </c>
      <c r="N443" s="11" t="s">
        <v>1848</v>
      </c>
      <c r="O443" s="5"/>
      <c r="P443" s="5"/>
      <c r="Q443" s="5"/>
      <c r="R443" s="5"/>
      <c r="S443" s="5"/>
      <c r="T443" s="5"/>
      <c r="U443" s="5"/>
      <c r="V443" s="5"/>
      <c r="W443" s="5"/>
      <c r="X443" s="5"/>
      <c r="Y443" s="5"/>
      <c r="Z443" s="5"/>
    </row>
    <row r="444">
      <c r="A444" s="17" t="s">
        <v>1849</v>
      </c>
      <c r="B444" s="5" t="s">
        <v>1067</v>
      </c>
      <c r="C444" s="7" t="s">
        <v>1850</v>
      </c>
      <c r="D444" s="7" t="s">
        <v>85</v>
      </c>
      <c r="E444" s="7" t="s">
        <v>16</v>
      </c>
      <c r="F444" s="7" t="s">
        <v>16</v>
      </c>
      <c r="G444" s="5" t="s">
        <v>19</v>
      </c>
      <c r="H444" s="7" t="s">
        <v>1851</v>
      </c>
      <c r="I444" s="7" t="s">
        <v>1852</v>
      </c>
      <c r="J444" s="8">
        <v>5500.0</v>
      </c>
      <c r="K444" s="7" t="s">
        <v>16</v>
      </c>
      <c r="L444" s="7" t="s">
        <v>1853</v>
      </c>
      <c r="M444" s="10" t="s">
        <v>88</v>
      </c>
      <c r="N444" s="11" t="s">
        <v>1854</v>
      </c>
      <c r="O444" s="5"/>
      <c r="P444" s="5"/>
      <c r="Q444" s="5"/>
      <c r="R444" s="5"/>
      <c r="S444" s="5"/>
      <c r="T444" s="5"/>
      <c r="U444" s="5"/>
      <c r="V444" s="5"/>
      <c r="W444" s="5"/>
      <c r="X444" s="5"/>
      <c r="Y444" s="5"/>
      <c r="Z444" s="5"/>
    </row>
    <row r="445">
      <c r="A445" s="17" t="s">
        <v>1855</v>
      </c>
      <c r="B445" s="5" t="s">
        <v>1067</v>
      </c>
      <c r="C445" s="7" t="s">
        <v>1678</v>
      </c>
      <c r="D445" s="7" t="s">
        <v>1678</v>
      </c>
      <c r="E445" s="7" t="s">
        <v>16</v>
      </c>
      <c r="F445" s="7" t="s">
        <v>16</v>
      </c>
      <c r="G445" s="5" t="s">
        <v>19</v>
      </c>
      <c r="H445" s="7" t="s">
        <v>1856</v>
      </c>
      <c r="I445" s="7" t="s">
        <v>1857</v>
      </c>
      <c r="J445" s="8">
        <v>3000.0</v>
      </c>
      <c r="K445" s="7" t="s">
        <v>16</v>
      </c>
      <c r="L445" s="7" t="s">
        <v>263</v>
      </c>
      <c r="M445" s="10" t="s">
        <v>22</v>
      </c>
      <c r="N445" s="11" t="s">
        <v>1858</v>
      </c>
      <c r="O445" s="5"/>
      <c r="P445" s="5"/>
      <c r="Q445" s="5"/>
      <c r="R445" s="5"/>
      <c r="S445" s="5"/>
      <c r="T445" s="5"/>
      <c r="U445" s="5"/>
      <c r="V445" s="5"/>
      <c r="W445" s="5"/>
      <c r="X445" s="5"/>
      <c r="Y445" s="5"/>
      <c r="Z445" s="5"/>
    </row>
    <row r="446">
      <c r="A446" s="17" t="s">
        <v>1859</v>
      </c>
      <c r="B446" s="5" t="s">
        <v>1067</v>
      </c>
      <c r="C446" s="7" t="s">
        <v>1860</v>
      </c>
      <c r="D446" s="7" t="s">
        <v>1860</v>
      </c>
      <c r="E446" s="7" t="s">
        <v>16</v>
      </c>
      <c r="F446" s="7" t="s">
        <v>16</v>
      </c>
      <c r="G446" s="5" t="s">
        <v>19</v>
      </c>
      <c r="H446" s="7" t="s">
        <v>1861</v>
      </c>
      <c r="I446" s="7" t="s">
        <v>1862</v>
      </c>
      <c r="J446" s="8">
        <v>3500.0</v>
      </c>
      <c r="K446" s="7" t="s">
        <v>16</v>
      </c>
      <c r="L446" s="7" t="s">
        <v>263</v>
      </c>
      <c r="M446" s="5" t="s">
        <v>22</v>
      </c>
      <c r="N446" s="5" t="s">
        <v>1863</v>
      </c>
      <c r="O446" s="5"/>
      <c r="P446" s="5"/>
      <c r="Q446" s="5"/>
      <c r="R446" s="5"/>
      <c r="S446" s="5"/>
      <c r="T446" s="5"/>
      <c r="U446" s="5"/>
      <c r="V446" s="5"/>
      <c r="W446" s="5"/>
      <c r="X446" s="5"/>
      <c r="Y446" s="5"/>
      <c r="Z446" s="5"/>
    </row>
    <row r="447">
      <c r="A447" s="17" t="s">
        <v>1864</v>
      </c>
      <c r="B447" s="5" t="s">
        <v>1067</v>
      </c>
      <c r="C447" s="7" t="s">
        <v>1865</v>
      </c>
      <c r="D447" s="7" t="s">
        <v>1865</v>
      </c>
      <c r="E447" s="7" t="s">
        <v>16</v>
      </c>
      <c r="F447" s="7" t="s">
        <v>16</v>
      </c>
      <c r="G447" s="5" t="s">
        <v>19</v>
      </c>
      <c r="H447" s="7" t="s">
        <v>1866</v>
      </c>
      <c r="I447" s="7" t="s">
        <v>1867</v>
      </c>
      <c r="J447" s="8">
        <v>1000.0</v>
      </c>
      <c r="K447" s="7" t="s">
        <v>16</v>
      </c>
      <c r="L447" s="7" t="s">
        <v>1868</v>
      </c>
      <c r="M447" s="5" t="s">
        <v>75</v>
      </c>
      <c r="N447" s="5" t="s">
        <v>1869</v>
      </c>
      <c r="O447" s="5"/>
      <c r="P447" s="5"/>
      <c r="Q447" s="5"/>
      <c r="R447" s="5"/>
      <c r="S447" s="5"/>
      <c r="T447" s="5"/>
      <c r="U447" s="5"/>
      <c r="V447" s="5"/>
      <c r="W447" s="5"/>
      <c r="X447" s="5"/>
      <c r="Y447" s="5"/>
      <c r="Z447" s="5"/>
    </row>
    <row r="448">
      <c r="A448" s="17" t="s">
        <v>1870</v>
      </c>
      <c r="B448" s="7" t="s">
        <v>1067</v>
      </c>
      <c r="C448" s="7" t="s">
        <v>1213</v>
      </c>
      <c r="D448" s="7" t="s">
        <v>1213</v>
      </c>
      <c r="E448" s="7" t="s">
        <v>16</v>
      </c>
      <c r="F448" s="7" t="s">
        <v>16</v>
      </c>
      <c r="G448" s="5" t="s">
        <v>19</v>
      </c>
      <c r="H448" s="7" t="s">
        <v>1871</v>
      </c>
      <c r="I448" s="7" t="s">
        <v>1736</v>
      </c>
      <c r="J448" s="8">
        <v>4000.0</v>
      </c>
      <c r="K448" s="7" t="s">
        <v>16</v>
      </c>
      <c r="L448" s="7" t="s">
        <v>273</v>
      </c>
      <c r="M448" s="5" t="s">
        <v>88</v>
      </c>
      <c r="N448" s="5" t="s">
        <v>1872</v>
      </c>
      <c r="O448" s="5"/>
      <c r="P448" s="5"/>
      <c r="Q448" s="5"/>
      <c r="R448" s="5"/>
      <c r="S448" s="5"/>
      <c r="T448" s="5"/>
      <c r="U448" s="5"/>
      <c r="V448" s="5"/>
      <c r="W448" s="5"/>
      <c r="X448" s="5"/>
      <c r="Y448" s="5"/>
      <c r="Z448" s="5"/>
    </row>
    <row r="449">
      <c r="A449" s="17" t="s">
        <v>1873</v>
      </c>
      <c r="B449" s="7" t="s">
        <v>1067</v>
      </c>
      <c r="C449" s="7" t="s">
        <v>1207</v>
      </c>
      <c r="D449" s="7" t="s">
        <v>1207</v>
      </c>
      <c r="E449" s="7" t="s">
        <v>16</v>
      </c>
      <c r="F449" s="7" t="s">
        <v>16</v>
      </c>
      <c r="G449" s="5" t="s">
        <v>19</v>
      </c>
      <c r="H449" s="7" t="s">
        <v>1874</v>
      </c>
      <c r="I449" s="7" t="s">
        <v>1875</v>
      </c>
      <c r="J449" s="8">
        <v>4000.0</v>
      </c>
      <c r="K449" s="7" t="s">
        <v>16</v>
      </c>
      <c r="L449" s="7" t="s">
        <v>283</v>
      </c>
      <c r="M449" s="5" t="s">
        <v>22</v>
      </c>
      <c r="N449" s="5" t="s">
        <v>1876</v>
      </c>
      <c r="O449" s="5"/>
      <c r="P449" s="5"/>
      <c r="Q449" s="5"/>
      <c r="R449" s="5"/>
      <c r="S449" s="5"/>
      <c r="T449" s="5"/>
      <c r="U449" s="5"/>
      <c r="V449" s="5"/>
      <c r="W449" s="5"/>
      <c r="X449" s="5"/>
      <c r="Y449" s="5"/>
      <c r="Z449" s="5"/>
    </row>
    <row r="450">
      <c r="A450" s="17" t="s">
        <v>1877</v>
      </c>
      <c r="B450" s="7" t="s">
        <v>1067</v>
      </c>
      <c r="C450" s="7" t="s">
        <v>1878</v>
      </c>
      <c r="D450" s="7" t="s">
        <v>1878</v>
      </c>
      <c r="E450" s="7" t="s">
        <v>16</v>
      </c>
      <c r="F450" s="7" t="s">
        <v>16</v>
      </c>
      <c r="G450" s="5" t="s">
        <v>19</v>
      </c>
      <c r="H450" s="7" t="s">
        <v>1879</v>
      </c>
      <c r="I450" s="7" t="s">
        <v>1880</v>
      </c>
      <c r="J450" s="8">
        <v>3000.0</v>
      </c>
      <c r="K450" s="7" t="s">
        <v>16</v>
      </c>
      <c r="L450" s="7" t="s">
        <v>1881</v>
      </c>
      <c r="M450" s="7" t="s">
        <v>22</v>
      </c>
      <c r="N450" s="32" t="s">
        <v>1882</v>
      </c>
      <c r="O450" s="5"/>
      <c r="P450" s="5"/>
      <c r="Q450" s="5"/>
      <c r="R450" s="5"/>
      <c r="S450" s="5"/>
      <c r="T450" s="5"/>
      <c r="U450" s="5"/>
      <c r="V450" s="5"/>
      <c r="W450" s="5"/>
      <c r="X450" s="5"/>
      <c r="Y450" s="5"/>
      <c r="Z450" s="5"/>
    </row>
    <row r="451">
      <c r="A451" s="17" t="s">
        <v>1883</v>
      </c>
      <c r="B451" s="5" t="s">
        <v>1067</v>
      </c>
      <c r="C451" s="7" t="s">
        <v>1884</v>
      </c>
      <c r="D451" s="7" t="s">
        <v>1400</v>
      </c>
      <c r="E451" s="7" t="s">
        <v>16</v>
      </c>
      <c r="F451" s="7" t="s">
        <v>16</v>
      </c>
      <c r="G451" s="5" t="s">
        <v>19</v>
      </c>
      <c r="H451" s="7" t="s">
        <v>1885</v>
      </c>
      <c r="I451" s="7" t="s">
        <v>1886</v>
      </c>
      <c r="J451" s="8">
        <v>5500.0</v>
      </c>
      <c r="K451" s="7" t="s">
        <v>16</v>
      </c>
      <c r="L451" s="7" t="s">
        <v>1881</v>
      </c>
      <c r="M451" s="31" t="s">
        <v>88</v>
      </c>
      <c r="N451" s="32" t="s">
        <v>1887</v>
      </c>
      <c r="O451" s="5"/>
      <c r="P451" s="5"/>
      <c r="Q451" s="5"/>
      <c r="R451" s="5"/>
      <c r="S451" s="5"/>
      <c r="T451" s="5"/>
      <c r="U451" s="5"/>
      <c r="V451" s="5"/>
      <c r="W451" s="5"/>
      <c r="X451" s="5"/>
      <c r="Y451" s="5"/>
      <c r="Z451" s="5"/>
    </row>
    <row r="452">
      <c r="A452" s="17" t="s">
        <v>1888</v>
      </c>
      <c r="B452" s="5" t="s">
        <v>1067</v>
      </c>
      <c r="C452" s="7" t="s">
        <v>1079</v>
      </c>
      <c r="D452" s="7" t="s">
        <v>1079</v>
      </c>
      <c r="E452" s="7" t="s">
        <v>16</v>
      </c>
      <c r="F452" s="7" t="s">
        <v>16</v>
      </c>
      <c r="G452" s="5" t="s">
        <v>19</v>
      </c>
      <c r="H452" s="7" t="s">
        <v>1889</v>
      </c>
      <c r="I452" s="7" t="s">
        <v>1890</v>
      </c>
      <c r="J452" s="8">
        <v>4000.0</v>
      </c>
      <c r="K452" s="7" t="s">
        <v>16</v>
      </c>
      <c r="L452" s="7" t="s">
        <v>1839</v>
      </c>
      <c r="M452" s="7" t="s">
        <v>75</v>
      </c>
      <c r="N452" s="32" t="s">
        <v>1891</v>
      </c>
      <c r="O452" s="5"/>
      <c r="P452" s="5"/>
      <c r="Q452" s="5"/>
      <c r="R452" s="5"/>
      <c r="S452" s="5"/>
      <c r="T452" s="5"/>
      <c r="U452" s="5"/>
      <c r="V452" s="5"/>
      <c r="W452" s="5"/>
      <c r="X452" s="5"/>
      <c r="Y452" s="5"/>
      <c r="Z452" s="5"/>
    </row>
    <row r="453">
      <c r="A453" s="17" t="s">
        <v>1892</v>
      </c>
      <c r="B453" s="7" t="s">
        <v>1067</v>
      </c>
      <c r="C453" s="7" t="s">
        <v>1893</v>
      </c>
      <c r="D453" s="7" t="s">
        <v>1073</v>
      </c>
      <c r="E453" s="7" t="s">
        <v>16</v>
      </c>
      <c r="F453" s="7" t="s">
        <v>16</v>
      </c>
      <c r="G453" s="5" t="s">
        <v>19</v>
      </c>
      <c r="H453" s="7" t="s">
        <v>1894</v>
      </c>
      <c r="I453" s="7" t="s">
        <v>1895</v>
      </c>
      <c r="J453" s="8">
        <v>3000.0</v>
      </c>
      <c r="K453" s="7" t="s">
        <v>16</v>
      </c>
      <c r="L453" s="7" t="s">
        <v>1839</v>
      </c>
      <c r="M453" s="10" t="s">
        <v>36</v>
      </c>
      <c r="N453" s="11" t="s">
        <v>1896</v>
      </c>
      <c r="O453" s="5"/>
      <c r="P453" s="5"/>
      <c r="Q453" s="5"/>
      <c r="R453" s="5"/>
      <c r="S453" s="5"/>
      <c r="T453" s="5"/>
      <c r="U453" s="5"/>
      <c r="V453" s="5"/>
      <c r="W453" s="5"/>
      <c r="X453" s="5"/>
      <c r="Y453" s="5"/>
      <c r="Z453" s="5"/>
    </row>
    <row r="454">
      <c r="A454" s="17" t="s">
        <v>1897</v>
      </c>
      <c r="B454" s="7" t="s">
        <v>1067</v>
      </c>
      <c r="C454" s="7" t="s">
        <v>1207</v>
      </c>
      <c r="D454" s="7" t="s">
        <v>1207</v>
      </c>
      <c r="E454" s="7" t="s">
        <v>16</v>
      </c>
      <c r="F454" s="7" t="s">
        <v>16</v>
      </c>
      <c r="G454" s="5" t="s">
        <v>19</v>
      </c>
      <c r="H454" s="7" t="s">
        <v>1898</v>
      </c>
      <c r="I454" s="7" t="s">
        <v>1899</v>
      </c>
      <c r="J454" s="8">
        <v>4500.0</v>
      </c>
      <c r="K454" s="7" t="s">
        <v>16</v>
      </c>
      <c r="L454" s="7" t="s">
        <v>283</v>
      </c>
      <c r="M454" s="10" t="s">
        <v>88</v>
      </c>
      <c r="N454" s="11" t="s">
        <v>1900</v>
      </c>
      <c r="O454" s="5"/>
      <c r="P454" s="5"/>
      <c r="Q454" s="5"/>
      <c r="R454" s="5"/>
      <c r="S454" s="5"/>
      <c r="T454" s="5"/>
      <c r="U454" s="5"/>
      <c r="V454" s="5"/>
      <c r="W454" s="5"/>
      <c r="X454" s="5"/>
      <c r="Y454" s="5"/>
      <c r="Z454" s="5"/>
    </row>
    <row r="455">
      <c r="A455" s="17" t="s">
        <v>1901</v>
      </c>
      <c r="B455" s="7" t="s">
        <v>1067</v>
      </c>
      <c r="C455" s="7" t="s">
        <v>1207</v>
      </c>
      <c r="D455" s="7" t="s">
        <v>1207</v>
      </c>
      <c r="E455" s="7" t="s">
        <v>16</v>
      </c>
      <c r="F455" s="7" t="s">
        <v>16</v>
      </c>
      <c r="G455" s="5" t="s">
        <v>19</v>
      </c>
      <c r="H455" s="7" t="s">
        <v>1898</v>
      </c>
      <c r="I455" s="7" t="s">
        <v>1902</v>
      </c>
      <c r="J455" s="8">
        <v>4500.0</v>
      </c>
      <c r="K455" s="7" t="s">
        <v>16</v>
      </c>
      <c r="L455" s="7" t="s">
        <v>283</v>
      </c>
      <c r="M455" s="10" t="s">
        <v>88</v>
      </c>
      <c r="N455" s="11" t="s">
        <v>1900</v>
      </c>
      <c r="O455" s="5"/>
      <c r="P455" s="5"/>
      <c r="Q455" s="5"/>
      <c r="R455" s="5"/>
      <c r="S455" s="5"/>
      <c r="T455" s="5"/>
      <c r="U455" s="5"/>
      <c r="V455" s="5"/>
      <c r="W455" s="5"/>
      <c r="X455" s="5"/>
      <c r="Y455" s="5"/>
      <c r="Z455" s="5"/>
    </row>
    <row r="456">
      <c r="A456" s="17" t="s">
        <v>1903</v>
      </c>
      <c r="B456" s="7" t="s">
        <v>1067</v>
      </c>
      <c r="C456" s="7" t="s">
        <v>1904</v>
      </c>
      <c r="D456" s="7" t="s">
        <v>1905</v>
      </c>
      <c r="E456" s="7" t="s">
        <v>16</v>
      </c>
      <c r="F456" s="7" t="s">
        <v>16</v>
      </c>
      <c r="G456" s="7" t="s">
        <v>19</v>
      </c>
      <c r="H456" s="7" t="s">
        <v>1906</v>
      </c>
      <c r="I456" s="7" t="s">
        <v>1907</v>
      </c>
      <c r="J456" s="8">
        <v>7000.0</v>
      </c>
      <c r="K456" s="7" t="s">
        <v>16</v>
      </c>
      <c r="L456" s="7" t="s">
        <v>1908</v>
      </c>
      <c r="M456" s="10" t="s">
        <v>88</v>
      </c>
      <c r="N456" s="11" t="s">
        <v>1909</v>
      </c>
      <c r="O456" s="5"/>
      <c r="P456" s="5"/>
      <c r="Q456" s="5"/>
      <c r="R456" s="5"/>
      <c r="S456" s="5"/>
      <c r="T456" s="5"/>
      <c r="U456" s="5"/>
      <c r="V456" s="5"/>
      <c r="W456" s="5"/>
      <c r="X456" s="5"/>
      <c r="Y456" s="5"/>
      <c r="Z456" s="5"/>
    </row>
    <row r="457">
      <c r="A457" s="17" t="s">
        <v>1910</v>
      </c>
      <c r="B457" s="7" t="s">
        <v>1067</v>
      </c>
      <c r="C457" s="7" t="s">
        <v>1068</v>
      </c>
      <c r="D457" s="7" t="s">
        <v>1068</v>
      </c>
      <c r="E457" s="7" t="s">
        <v>16</v>
      </c>
      <c r="F457" s="7" t="s">
        <v>16</v>
      </c>
      <c r="G457" s="7" t="s">
        <v>19</v>
      </c>
      <c r="H457" s="7" t="s">
        <v>1911</v>
      </c>
      <c r="I457" s="7" t="s">
        <v>1912</v>
      </c>
      <c r="J457" s="8">
        <v>4000.0</v>
      </c>
      <c r="K457" s="7" t="s">
        <v>16</v>
      </c>
      <c r="L457" s="7" t="s">
        <v>1913</v>
      </c>
      <c r="M457" s="10" t="s">
        <v>22</v>
      </c>
      <c r="N457" s="11" t="s">
        <v>1914</v>
      </c>
      <c r="O457" s="5"/>
      <c r="P457" s="5"/>
      <c r="Q457" s="5"/>
      <c r="R457" s="5"/>
      <c r="S457" s="5"/>
      <c r="T457" s="5"/>
      <c r="U457" s="5"/>
      <c r="V457" s="5"/>
      <c r="W457" s="5"/>
      <c r="X457" s="5"/>
      <c r="Y457" s="5"/>
      <c r="Z457" s="5"/>
    </row>
    <row r="458">
      <c r="A458" s="17" t="s">
        <v>1915</v>
      </c>
      <c r="B458" s="5" t="s">
        <v>1067</v>
      </c>
      <c r="C458" s="7" t="s">
        <v>1199</v>
      </c>
      <c r="D458" s="7" t="s">
        <v>1199</v>
      </c>
      <c r="E458" s="7" t="s">
        <v>16</v>
      </c>
      <c r="F458" s="7" t="s">
        <v>16</v>
      </c>
      <c r="G458" s="5" t="s">
        <v>19</v>
      </c>
      <c r="H458" s="7" t="s">
        <v>1916</v>
      </c>
      <c r="I458" s="7" t="s">
        <v>1917</v>
      </c>
      <c r="J458" s="8">
        <v>6000.0</v>
      </c>
      <c r="K458" s="7" t="s">
        <v>16</v>
      </c>
      <c r="L458" s="7" t="s">
        <v>1913</v>
      </c>
      <c r="M458" s="10" t="s">
        <v>36</v>
      </c>
      <c r="N458" s="11" t="s">
        <v>1918</v>
      </c>
      <c r="O458" s="5"/>
      <c r="P458" s="5"/>
      <c r="Q458" s="5"/>
      <c r="R458" s="5"/>
      <c r="S458" s="5"/>
      <c r="T458" s="5"/>
      <c r="U458" s="5"/>
      <c r="V458" s="5"/>
      <c r="W458" s="5"/>
      <c r="X458" s="5"/>
      <c r="Y458" s="5"/>
      <c r="Z458" s="5"/>
    </row>
    <row r="459">
      <c r="A459" s="17" t="s">
        <v>1919</v>
      </c>
      <c r="B459" s="5" t="s">
        <v>1067</v>
      </c>
      <c r="C459" s="7" t="s">
        <v>1203</v>
      </c>
      <c r="D459" s="7" t="s">
        <v>1203</v>
      </c>
      <c r="E459" s="7" t="s">
        <v>16</v>
      </c>
      <c r="F459" s="7" t="s">
        <v>16</v>
      </c>
      <c r="G459" s="5" t="s">
        <v>19</v>
      </c>
      <c r="H459" s="7" t="s">
        <v>1920</v>
      </c>
      <c r="I459" s="7" t="s">
        <v>1921</v>
      </c>
      <c r="J459" s="8">
        <v>4000.0</v>
      </c>
      <c r="K459" s="7" t="s">
        <v>16</v>
      </c>
      <c r="L459" s="7" t="s">
        <v>1913</v>
      </c>
      <c r="M459" s="10" t="s">
        <v>36</v>
      </c>
      <c r="N459" s="11" t="s">
        <v>1922</v>
      </c>
      <c r="O459" s="5"/>
      <c r="P459" s="5"/>
      <c r="Q459" s="5"/>
      <c r="R459" s="5"/>
      <c r="S459" s="5"/>
      <c r="T459" s="5"/>
      <c r="U459" s="5"/>
      <c r="V459" s="5"/>
      <c r="W459" s="5"/>
      <c r="X459" s="5"/>
      <c r="Y459" s="5"/>
      <c r="Z459" s="5"/>
    </row>
    <row r="460">
      <c r="A460" s="17" t="s">
        <v>1923</v>
      </c>
      <c r="B460" s="5" t="s">
        <v>1067</v>
      </c>
      <c r="C460" s="7" t="s">
        <v>1207</v>
      </c>
      <c r="D460" s="7" t="s">
        <v>1207</v>
      </c>
      <c r="E460" s="7" t="s">
        <v>16</v>
      </c>
      <c r="F460" s="7" t="s">
        <v>16</v>
      </c>
      <c r="G460" s="5" t="s">
        <v>19</v>
      </c>
      <c r="H460" s="7" t="s">
        <v>1924</v>
      </c>
      <c r="I460" s="7" t="s">
        <v>1925</v>
      </c>
      <c r="J460" s="8">
        <v>4000.0</v>
      </c>
      <c r="K460" s="7" t="s">
        <v>16</v>
      </c>
      <c r="L460" s="7" t="s">
        <v>1913</v>
      </c>
      <c r="M460" s="31" t="s">
        <v>22</v>
      </c>
      <c r="N460" s="32" t="s">
        <v>1926</v>
      </c>
      <c r="O460" s="5"/>
      <c r="P460" s="5"/>
      <c r="Q460" s="5"/>
      <c r="R460" s="5"/>
      <c r="S460" s="5"/>
      <c r="T460" s="5"/>
      <c r="U460" s="5"/>
      <c r="V460" s="5"/>
      <c r="W460" s="5"/>
      <c r="X460" s="5"/>
      <c r="Y460" s="5"/>
      <c r="Z460" s="5"/>
    </row>
    <row r="461">
      <c r="A461" s="17" t="s">
        <v>1927</v>
      </c>
      <c r="B461" s="5" t="s">
        <v>1067</v>
      </c>
      <c r="C461" s="7" t="s">
        <v>1884</v>
      </c>
      <c r="D461" s="7" t="s">
        <v>1400</v>
      </c>
      <c r="E461" s="7" t="s">
        <v>16</v>
      </c>
      <c r="F461" s="7" t="s">
        <v>16</v>
      </c>
      <c r="G461" s="5" t="s">
        <v>19</v>
      </c>
      <c r="H461" s="7" t="s">
        <v>1928</v>
      </c>
      <c r="I461" s="7" t="s">
        <v>1929</v>
      </c>
      <c r="J461" s="8">
        <v>5500.0</v>
      </c>
      <c r="K461" s="7" t="s">
        <v>16</v>
      </c>
      <c r="L461" s="7" t="s">
        <v>1930</v>
      </c>
      <c r="M461" s="10" t="s">
        <v>36</v>
      </c>
      <c r="N461" s="11" t="s">
        <v>1931</v>
      </c>
      <c r="O461" s="5"/>
      <c r="P461" s="5"/>
      <c r="Q461" s="5"/>
      <c r="R461" s="5"/>
      <c r="S461" s="5"/>
      <c r="T461" s="5"/>
      <c r="U461" s="5"/>
      <c r="V461" s="5"/>
      <c r="W461" s="5"/>
      <c r="X461" s="5"/>
      <c r="Y461" s="5"/>
      <c r="Z461" s="5"/>
    </row>
    <row r="462">
      <c r="A462" s="17" t="s">
        <v>1932</v>
      </c>
      <c r="B462" s="5" t="s">
        <v>1067</v>
      </c>
      <c r="C462" s="7" t="s">
        <v>1068</v>
      </c>
      <c r="D462" s="7" t="s">
        <v>1068</v>
      </c>
      <c r="E462" s="7" t="s">
        <v>16</v>
      </c>
      <c r="F462" s="7" t="s">
        <v>16</v>
      </c>
      <c r="G462" s="5" t="s">
        <v>19</v>
      </c>
      <c r="H462" s="7" t="s">
        <v>1933</v>
      </c>
      <c r="I462" s="7" t="s">
        <v>1934</v>
      </c>
      <c r="J462" s="8">
        <v>4000.0</v>
      </c>
      <c r="K462" s="7" t="s">
        <v>16</v>
      </c>
      <c r="L462" s="7" t="s">
        <v>1935</v>
      </c>
      <c r="M462" s="10" t="s">
        <v>36</v>
      </c>
      <c r="N462" s="11" t="s">
        <v>1936</v>
      </c>
      <c r="O462" s="5"/>
      <c r="P462" s="5"/>
      <c r="Q462" s="5"/>
      <c r="R462" s="5"/>
      <c r="S462" s="5"/>
      <c r="T462" s="5"/>
      <c r="U462" s="5"/>
      <c r="V462" s="5"/>
      <c r="W462" s="5"/>
      <c r="X462" s="5"/>
      <c r="Y462" s="5"/>
      <c r="Z462" s="5"/>
    </row>
    <row r="463">
      <c r="A463" s="17" t="s">
        <v>1937</v>
      </c>
      <c r="B463" s="5" t="s">
        <v>1067</v>
      </c>
      <c r="C463" s="7" t="s">
        <v>1183</v>
      </c>
      <c r="D463" s="7" t="s">
        <v>1183</v>
      </c>
      <c r="E463" s="7" t="s">
        <v>16</v>
      </c>
      <c r="F463" s="7" t="s">
        <v>16</v>
      </c>
      <c r="G463" s="5" t="s">
        <v>19</v>
      </c>
      <c r="H463" s="7" t="s">
        <v>1938</v>
      </c>
      <c r="I463" s="7" t="s">
        <v>1939</v>
      </c>
      <c r="J463" s="8">
        <v>2500.0</v>
      </c>
      <c r="K463" s="7" t="s">
        <v>16</v>
      </c>
      <c r="L463" s="7" t="s">
        <v>1935</v>
      </c>
      <c r="M463" s="31" t="s">
        <v>22</v>
      </c>
      <c r="N463" s="32" t="s">
        <v>1940</v>
      </c>
      <c r="O463" s="5"/>
      <c r="P463" s="5"/>
      <c r="Q463" s="5"/>
      <c r="R463" s="5"/>
      <c r="S463" s="5"/>
      <c r="T463" s="5"/>
      <c r="U463" s="5"/>
      <c r="V463" s="5"/>
      <c r="W463" s="5"/>
      <c r="X463" s="5"/>
      <c r="Y463" s="5"/>
      <c r="Z463" s="5"/>
    </row>
    <row r="464">
      <c r="A464" s="17" t="s">
        <v>1941</v>
      </c>
      <c r="B464" s="5" t="s">
        <v>1067</v>
      </c>
      <c r="C464" s="7" t="s">
        <v>411</v>
      </c>
      <c r="D464" s="7" t="s">
        <v>411</v>
      </c>
      <c r="E464" s="7" t="s">
        <v>16</v>
      </c>
      <c r="F464" s="7" t="s">
        <v>16</v>
      </c>
      <c r="G464" s="5" t="s">
        <v>19</v>
      </c>
      <c r="H464" s="7" t="s">
        <v>1942</v>
      </c>
      <c r="I464" s="7" t="s">
        <v>1943</v>
      </c>
      <c r="J464" s="8">
        <v>2500.0</v>
      </c>
      <c r="K464" s="7" t="s">
        <v>16</v>
      </c>
      <c r="L464" s="7" t="s">
        <v>1935</v>
      </c>
      <c r="M464" s="10" t="s">
        <v>22</v>
      </c>
      <c r="N464" s="11" t="s">
        <v>1944</v>
      </c>
      <c r="O464" s="5"/>
      <c r="P464" s="5"/>
      <c r="Q464" s="5"/>
      <c r="R464" s="5"/>
      <c r="S464" s="5"/>
      <c r="T464" s="5"/>
      <c r="U464" s="5"/>
      <c r="V464" s="5"/>
      <c r="W464" s="5"/>
      <c r="X464" s="5"/>
      <c r="Y464" s="5"/>
      <c r="Z464" s="5"/>
    </row>
    <row r="465">
      <c r="A465" s="17" t="s">
        <v>1945</v>
      </c>
      <c r="B465" s="5" t="s">
        <v>1067</v>
      </c>
      <c r="C465" s="7" t="s">
        <v>1522</v>
      </c>
      <c r="D465" s="7" t="s">
        <v>1522</v>
      </c>
      <c r="E465" s="7" t="s">
        <v>16</v>
      </c>
      <c r="F465" s="7" t="s">
        <v>16</v>
      </c>
      <c r="G465" s="5" t="s">
        <v>19</v>
      </c>
      <c r="H465" s="7" t="s">
        <v>1946</v>
      </c>
      <c r="I465" s="7" t="s">
        <v>1947</v>
      </c>
      <c r="J465" s="8">
        <v>3000.0</v>
      </c>
      <c r="K465" s="7" t="s">
        <v>16</v>
      </c>
      <c r="L465" s="7" t="s">
        <v>1948</v>
      </c>
      <c r="M465" s="10" t="s">
        <v>36</v>
      </c>
      <c r="N465" s="11" t="s">
        <v>1949</v>
      </c>
      <c r="O465" s="5"/>
      <c r="P465" s="5"/>
      <c r="Q465" s="5"/>
      <c r="R465" s="5"/>
      <c r="S465" s="5"/>
      <c r="T465" s="5"/>
      <c r="U465" s="5"/>
      <c r="V465" s="5"/>
      <c r="W465" s="5"/>
      <c r="X465" s="5"/>
      <c r="Y465" s="5"/>
      <c r="Z465" s="5"/>
    </row>
    <row r="466">
      <c r="A466" s="17" t="s">
        <v>1950</v>
      </c>
      <c r="B466" s="5" t="s">
        <v>1067</v>
      </c>
      <c r="C466" s="7" t="s">
        <v>1541</v>
      </c>
      <c r="D466" s="7" t="s">
        <v>1541</v>
      </c>
      <c r="E466" s="7" t="s">
        <v>16</v>
      </c>
      <c r="F466" s="7" t="s">
        <v>16</v>
      </c>
      <c r="G466" s="5" t="s">
        <v>19</v>
      </c>
      <c r="H466" s="7" t="s">
        <v>1951</v>
      </c>
      <c r="I466" s="7" t="s">
        <v>1952</v>
      </c>
      <c r="J466" s="8">
        <v>3500.0</v>
      </c>
      <c r="K466" s="7" t="s">
        <v>16</v>
      </c>
      <c r="L466" s="7" t="s">
        <v>288</v>
      </c>
      <c r="M466" s="7" t="s">
        <v>36</v>
      </c>
      <c r="N466" s="32" t="s">
        <v>1953</v>
      </c>
      <c r="O466" s="5"/>
      <c r="P466" s="5"/>
      <c r="Q466" s="5"/>
      <c r="R466" s="5"/>
      <c r="S466" s="5"/>
      <c r="T466" s="5"/>
      <c r="U466" s="5"/>
      <c r="V466" s="5"/>
      <c r="W466" s="5"/>
      <c r="X466" s="5"/>
      <c r="Y466" s="5"/>
      <c r="Z466" s="5"/>
    </row>
    <row r="467">
      <c r="A467" s="17" t="s">
        <v>1954</v>
      </c>
      <c r="B467" s="5" t="s">
        <v>1067</v>
      </c>
      <c r="C467" s="7" t="s">
        <v>1546</v>
      </c>
      <c r="D467" s="7" t="s">
        <v>1546</v>
      </c>
      <c r="E467" s="7" t="s">
        <v>16</v>
      </c>
      <c r="F467" s="7" t="s">
        <v>16</v>
      </c>
      <c r="G467" s="5" t="s">
        <v>19</v>
      </c>
      <c r="H467" s="7" t="s">
        <v>1955</v>
      </c>
      <c r="I467" s="7" t="s">
        <v>1956</v>
      </c>
      <c r="J467" s="8">
        <v>1000.0</v>
      </c>
      <c r="K467" s="7" t="s">
        <v>16</v>
      </c>
      <c r="L467" s="7" t="s">
        <v>1935</v>
      </c>
      <c r="M467" s="31" t="s">
        <v>75</v>
      </c>
      <c r="N467" s="32" t="s">
        <v>1957</v>
      </c>
      <c r="O467" s="5"/>
      <c r="P467" s="5"/>
      <c r="Q467" s="5"/>
      <c r="R467" s="5"/>
      <c r="S467" s="5"/>
      <c r="T467" s="5"/>
      <c r="U467" s="5"/>
      <c r="V467" s="5"/>
      <c r="W467" s="5"/>
      <c r="X467" s="5"/>
      <c r="Y467" s="5"/>
      <c r="Z467" s="5"/>
    </row>
    <row r="468">
      <c r="A468" s="17" t="s">
        <v>1958</v>
      </c>
      <c r="B468" s="5" t="s">
        <v>1067</v>
      </c>
      <c r="C468" s="7" t="s">
        <v>1551</v>
      </c>
      <c r="D468" s="7" t="s">
        <v>1546</v>
      </c>
      <c r="E468" s="7" t="s">
        <v>16</v>
      </c>
      <c r="F468" s="7" t="s">
        <v>16</v>
      </c>
      <c r="G468" s="5" t="s">
        <v>19</v>
      </c>
      <c r="H468" s="7" t="s">
        <v>1959</v>
      </c>
      <c r="I468" s="7" t="s">
        <v>1960</v>
      </c>
      <c r="J468" s="8">
        <v>4500.0</v>
      </c>
      <c r="K468" s="7" t="s">
        <v>16</v>
      </c>
      <c r="L468" s="7" t="s">
        <v>1935</v>
      </c>
      <c r="M468" s="31" t="s">
        <v>36</v>
      </c>
      <c r="N468" s="32" t="s">
        <v>1961</v>
      </c>
      <c r="O468" s="5"/>
      <c r="P468" s="5"/>
      <c r="Q468" s="5"/>
      <c r="R468" s="5"/>
      <c r="S468" s="5"/>
      <c r="T468" s="5"/>
      <c r="U468" s="5"/>
      <c r="V468" s="5"/>
      <c r="W468" s="5"/>
      <c r="X468" s="5"/>
      <c r="Y468" s="5"/>
      <c r="Z468" s="5"/>
    </row>
    <row r="469">
      <c r="A469" s="17" t="s">
        <v>1962</v>
      </c>
      <c r="B469" s="5" t="s">
        <v>1067</v>
      </c>
      <c r="C469" s="7" t="s">
        <v>1213</v>
      </c>
      <c r="D469" s="7" t="s">
        <v>1213</v>
      </c>
      <c r="E469" s="7" t="s">
        <v>16</v>
      </c>
      <c r="F469" s="7" t="s">
        <v>16</v>
      </c>
      <c r="G469" s="5" t="s">
        <v>19</v>
      </c>
      <c r="H469" s="7" t="s">
        <v>1963</v>
      </c>
      <c r="I469" s="7" t="s">
        <v>1964</v>
      </c>
      <c r="J469" s="8">
        <v>4000.0</v>
      </c>
      <c r="K469" s="7" t="s">
        <v>16</v>
      </c>
      <c r="L469" s="7" t="s">
        <v>1965</v>
      </c>
      <c r="M469" s="31" t="s">
        <v>75</v>
      </c>
      <c r="N469" s="32" t="s">
        <v>1966</v>
      </c>
      <c r="O469" s="5"/>
      <c r="P469" s="5"/>
      <c r="Q469" s="5"/>
      <c r="R469" s="5"/>
      <c r="S469" s="5"/>
      <c r="T469" s="5"/>
      <c r="U469" s="5"/>
      <c r="V469" s="5"/>
      <c r="W469" s="5"/>
      <c r="X469" s="5"/>
      <c r="Y469" s="5"/>
      <c r="Z469" s="5"/>
    </row>
    <row r="470">
      <c r="A470" s="17" t="s">
        <v>1967</v>
      </c>
      <c r="B470" s="5" t="s">
        <v>1067</v>
      </c>
      <c r="C470" s="7" t="s">
        <v>1207</v>
      </c>
      <c r="D470" s="7" t="s">
        <v>1207</v>
      </c>
      <c r="E470" s="7" t="s">
        <v>16</v>
      </c>
      <c r="F470" s="7" t="s">
        <v>16</v>
      </c>
      <c r="G470" s="7" t="s">
        <v>19</v>
      </c>
      <c r="H470" s="7" t="s">
        <v>1968</v>
      </c>
      <c r="I470" s="7" t="s">
        <v>1969</v>
      </c>
      <c r="J470" s="8">
        <v>4000.0</v>
      </c>
      <c r="K470" s="7" t="s">
        <v>16</v>
      </c>
      <c r="L470" s="7" t="s">
        <v>288</v>
      </c>
      <c r="M470" s="31" t="s">
        <v>75</v>
      </c>
      <c r="N470" s="32" t="s">
        <v>1970</v>
      </c>
      <c r="O470" s="5"/>
      <c r="P470" s="5"/>
      <c r="Q470" s="5"/>
      <c r="R470" s="5"/>
      <c r="S470" s="5"/>
      <c r="T470" s="5"/>
      <c r="U470" s="5"/>
      <c r="V470" s="5"/>
      <c r="W470" s="5"/>
      <c r="X470" s="5"/>
      <c r="Y470" s="5"/>
      <c r="Z470" s="5"/>
    </row>
    <row r="471">
      <c r="A471" s="17" t="s">
        <v>1971</v>
      </c>
      <c r="B471" s="5" t="s">
        <v>1067</v>
      </c>
      <c r="C471" s="7" t="s">
        <v>1400</v>
      </c>
      <c r="D471" s="7" t="s">
        <v>1400</v>
      </c>
      <c r="E471" s="7" t="s">
        <v>16</v>
      </c>
      <c r="F471" s="7" t="s">
        <v>16</v>
      </c>
      <c r="G471" s="5" t="s">
        <v>19</v>
      </c>
      <c r="H471" s="7" t="s">
        <v>1972</v>
      </c>
      <c r="I471" s="7" t="s">
        <v>1973</v>
      </c>
      <c r="J471" s="8">
        <v>5500.0</v>
      </c>
      <c r="K471" s="7" t="s">
        <v>16</v>
      </c>
      <c r="L471" s="7" t="s">
        <v>288</v>
      </c>
      <c r="M471" s="31" t="s">
        <v>75</v>
      </c>
      <c r="N471" s="32" t="s">
        <v>1974</v>
      </c>
      <c r="O471" s="5"/>
      <c r="P471" s="5"/>
      <c r="Q471" s="5"/>
      <c r="R471" s="5"/>
      <c r="S471" s="5"/>
      <c r="T471" s="5"/>
      <c r="U471" s="5"/>
      <c r="V471" s="5"/>
      <c r="W471" s="5"/>
      <c r="X471" s="5"/>
      <c r="Y471" s="5"/>
      <c r="Z471" s="5"/>
    </row>
    <row r="472">
      <c r="A472" s="17" t="s">
        <v>1975</v>
      </c>
      <c r="B472" s="5" t="s">
        <v>1067</v>
      </c>
      <c r="C472" s="7" t="s">
        <v>1189</v>
      </c>
      <c r="D472" s="7" t="s">
        <v>1189</v>
      </c>
      <c r="E472" s="7" t="s">
        <v>16</v>
      </c>
      <c r="F472" s="7" t="s">
        <v>16</v>
      </c>
      <c r="G472" s="5" t="s">
        <v>19</v>
      </c>
      <c r="H472" s="7" t="s">
        <v>1976</v>
      </c>
      <c r="I472" s="7" t="s">
        <v>1977</v>
      </c>
      <c r="J472" s="8">
        <v>1000.0</v>
      </c>
      <c r="K472" s="7" t="s">
        <v>16</v>
      </c>
      <c r="L472" s="7" t="s">
        <v>1935</v>
      </c>
      <c r="M472" s="31" t="s">
        <v>22</v>
      </c>
      <c r="N472" s="32" t="s">
        <v>1978</v>
      </c>
      <c r="O472" s="5"/>
      <c r="P472" s="5"/>
      <c r="Q472" s="5"/>
      <c r="R472" s="5"/>
      <c r="S472" s="5"/>
      <c r="T472" s="5"/>
      <c r="U472" s="5"/>
      <c r="V472" s="5"/>
      <c r="W472" s="5"/>
      <c r="X472" s="5"/>
      <c r="Y472" s="5"/>
      <c r="Z472" s="5"/>
    </row>
    <row r="473">
      <c r="A473" s="17" t="s">
        <v>1979</v>
      </c>
      <c r="B473" s="5" t="s">
        <v>1067</v>
      </c>
      <c r="C473" s="7" t="s">
        <v>1980</v>
      </c>
      <c r="D473" s="7" t="s">
        <v>1189</v>
      </c>
      <c r="E473" s="7" t="s">
        <v>16</v>
      </c>
      <c r="F473" s="7" t="s">
        <v>16</v>
      </c>
      <c r="G473" s="5" t="s">
        <v>19</v>
      </c>
      <c r="H473" s="7" t="s">
        <v>1981</v>
      </c>
      <c r="I473" s="7" t="s">
        <v>1982</v>
      </c>
      <c r="J473" s="8">
        <v>5000.0</v>
      </c>
      <c r="K473" s="7" t="s">
        <v>16</v>
      </c>
      <c r="L473" s="7" t="s">
        <v>1935</v>
      </c>
      <c r="M473" s="31" t="s">
        <v>36</v>
      </c>
      <c r="N473" s="32" t="s">
        <v>1983</v>
      </c>
      <c r="O473" s="5"/>
      <c r="P473" s="5"/>
      <c r="Q473" s="5"/>
      <c r="R473" s="5"/>
      <c r="S473" s="5"/>
      <c r="T473" s="5"/>
      <c r="U473" s="5"/>
      <c r="V473" s="5"/>
      <c r="W473" s="5"/>
      <c r="X473" s="5"/>
      <c r="Y473" s="5"/>
      <c r="Z473" s="5"/>
    </row>
    <row r="474">
      <c r="A474" s="17" t="s">
        <v>1984</v>
      </c>
      <c r="B474" s="5" t="s">
        <v>1985</v>
      </c>
      <c r="C474" s="7" t="s">
        <v>1986</v>
      </c>
      <c r="D474" s="7" t="s">
        <v>1987</v>
      </c>
      <c r="E474" s="7" t="s">
        <v>16</v>
      </c>
      <c r="F474" s="7" t="s">
        <v>16</v>
      </c>
      <c r="G474" s="5" t="s">
        <v>19</v>
      </c>
      <c r="H474" s="7" t="s">
        <v>1988</v>
      </c>
      <c r="I474" s="7" t="s">
        <v>1989</v>
      </c>
      <c r="J474" s="8">
        <v>4000.0</v>
      </c>
      <c r="K474" s="7" t="s">
        <v>16</v>
      </c>
      <c r="L474" s="7" t="s">
        <v>1965</v>
      </c>
      <c r="M474" s="31" t="s">
        <v>88</v>
      </c>
      <c r="N474" s="32" t="s">
        <v>1990</v>
      </c>
      <c r="O474" s="5"/>
      <c r="P474" s="5"/>
      <c r="Q474" s="5"/>
      <c r="R474" s="5"/>
      <c r="S474" s="5"/>
      <c r="T474" s="5"/>
      <c r="U474" s="5"/>
      <c r="V474" s="5"/>
      <c r="W474" s="5"/>
      <c r="X474" s="5"/>
      <c r="Y474" s="5"/>
      <c r="Z474" s="5"/>
    </row>
    <row r="475">
      <c r="A475" s="17" t="s">
        <v>1991</v>
      </c>
      <c r="B475" s="7" t="s">
        <v>1985</v>
      </c>
      <c r="C475" s="7" t="s">
        <v>1992</v>
      </c>
      <c r="D475" s="7" t="s">
        <v>1993</v>
      </c>
      <c r="E475" s="7" t="s">
        <v>16</v>
      </c>
      <c r="F475" s="7" t="s">
        <v>16</v>
      </c>
      <c r="G475" s="7" t="s">
        <v>19</v>
      </c>
      <c r="H475" s="7" t="s">
        <v>1994</v>
      </c>
      <c r="I475" s="7" t="s">
        <v>1995</v>
      </c>
      <c r="J475" s="8">
        <v>4000.0</v>
      </c>
      <c r="K475" s="7" t="s">
        <v>16</v>
      </c>
      <c r="L475" s="7" t="s">
        <v>1965</v>
      </c>
      <c r="M475" s="31" t="s">
        <v>75</v>
      </c>
      <c r="N475" s="32" t="s">
        <v>1996</v>
      </c>
      <c r="O475" s="5"/>
      <c r="P475" s="5"/>
      <c r="Q475" s="5"/>
      <c r="R475" s="5"/>
      <c r="S475" s="5"/>
      <c r="T475" s="5"/>
      <c r="U475" s="5"/>
      <c r="V475" s="5"/>
      <c r="W475" s="5"/>
      <c r="X475" s="5"/>
      <c r="Y475" s="5"/>
      <c r="Z475" s="5"/>
    </row>
    <row r="476">
      <c r="A476" s="17" t="s">
        <v>1997</v>
      </c>
      <c r="B476" s="5" t="s">
        <v>1985</v>
      </c>
      <c r="C476" s="7" t="s">
        <v>1998</v>
      </c>
      <c r="D476" s="7" t="s">
        <v>1999</v>
      </c>
      <c r="E476" s="7" t="s">
        <v>16</v>
      </c>
      <c r="F476" s="7" t="s">
        <v>16</v>
      </c>
      <c r="G476" s="7" t="s">
        <v>19</v>
      </c>
      <c r="H476" s="7" t="s">
        <v>2000</v>
      </c>
      <c r="I476" s="7" t="s">
        <v>2001</v>
      </c>
      <c r="J476" s="8">
        <v>5000.0</v>
      </c>
      <c r="K476" s="7" t="s">
        <v>16</v>
      </c>
      <c r="L476" s="7" t="s">
        <v>1935</v>
      </c>
      <c r="M476" s="7" t="s">
        <v>88</v>
      </c>
      <c r="N476" s="37" t="s">
        <v>2002</v>
      </c>
      <c r="O476" s="5"/>
      <c r="P476" s="5"/>
      <c r="Q476" s="5"/>
      <c r="R476" s="5"/>
      <c r="S476" s="5"/>
      <c r="T476" s="5"/>
      <c r="U476" s="5"/>
      <c r="V476" s="5"/>
      <c r="W476" s="5"/>
      <c r="X476" s="5"/>
      <c r="Y476" s="5"/>
      <c r="Z476" s="5"/>
    </row>
    <row r="477">
      <c r="A477" s="17" t="s">
        <v>2003</v>
      </c>
      <c r="B477" s="7" t="s">
        <v>1067</v>
      </c>
      <c r="C477" s="7" t="s">
        <v>1421</v>
      </c>
      <c r="D477" s="7" t="s">
        <v>1421</v>
      </c>
      <c r="E477" s="7" t="s">
        <v>16</v>
      </c>
      <c r="F477" s="7" t="s">
        <v>16</v>
      </c>
      <c r="G477" s="7" t="s">
        <v>19</v>
      </c>
      <c r="H477" s="7" t="s">
        <v>2004</v>
      </c>
      <c r="I477" s="7" t="s">
        <v>2005</v>
      </c>
      <c r="J477" s="8">
        <v>5000.0</v>
      </c>
      <c r="K477" s="7" t="s">
        <v>16</v>
      </c>
      <c r="L477" s="7" t="s">
        <v>1935</v>
      </c>
      <c r="M477" s="31" t="s">
        <v>88</v>
      </c>
      <c r="N477" s="32" t="s">
        <v>2006</v>
      </c>
      <c r="O477" s="5"/>
      <c r="P477" s="5"/>
      <c r="Q477" s="5"/>
      <c r="R477" s="5"/>
      <c r="S477" s="5"/>
      <c r="T477" s="5"/>
      <c r="U477" s="5"/>
      <c r="V477" s="5"/>
      <c r="W477" s="5"/>
      <c r="X477" s="5"/>
      <c r="Y477" s="5"/>
      <c r="Z477" s="5"/>
    </row>
    <row r="478">
      <c r="A478" s="17" t="s">
        <v>2007</v>
      </c>
      <c r="B478" s="7" t="s">
        <v>1316</v>
      </c>
      <c r="C478" s="7" t="s">
        <v>1426</v>
      </c>
      <c r="D478" s="7" t="s">
        <v>1426</v>
      </c>
      <c r="E478" s="7" t="s">
        <v>16</v>
      </c>
      <c r="F478" s="7" t="s">
        <v>16</v>
      </c>
      <c r="G478" s="7" t="s">
        <v>19</v>
      </c>
      <c r="H478" s="7" t="s">
        <v>2008</v>
      </c>
      <c r="I478" s="7" t="s">
        <v>2009</v>
      </c>
      <c r="J478" s="8">
        <v>3000.0</v>
      </c>
      <c r="K478" s="7" t="s">
        <v>16</v>
      </c>
      <c r="L478" s="7" t="s">
        <v>312</v>
      </c>
      <c r="M478" s="31" t="s">
        <v>88</v>
      </c>
      <c r="N478" s="32" t="s">
        <v>2010</v>
      </c>
      <c r="O478" s="5"/>
      <c r="P478" s="5"/>
      <c r="Q478" s="5"/>
      <c r="R478" s="5"/>
      <c r="S478" s="5"/>
      <c r="T478" s="5"/>
      <c r="U478" s="5"/>
      <c r="V478" s="5"/>
      <c r="W478" s="5"/>
      <c r="X478" s="5"/>
      <c r="Y478" s="5"/>
      <c r="Z478" s="5"/>
    </row>
    <row r="479">
      <c r="A479" s="17" t="s">
        <v>2011</v>
      </c>
      <c r="B479" s="7" t="s">
        <v>1067</v>
      </c>
      <c r="C479" s="7" t="s">
        <v>1068</v>
      </c>
      <c r="D479" s="7" t="s">
        <v>1068</v>
      </c>
      <c r="E479" s="7" t="s">
        <v>16</v>
      </c>
      <c r="F479" s="7" t="s">
        <v>16</v>
      </c>
      <c r="G479" s="7" t="s">
        <v>19</v>
      </c>
      <c r="H479" s="7" t="s">
        <v>2012</v>
      </c>
      <c r="I479" s="7" t="s">
        <v>2013</v>
      </c>
      <c r="J479" s="8">
        <v>3000.0</v>
      </c>
      <c r="K479" s="7" t="s">
        <v>16</v>
      </c>
      <c r="L479" s="7" t="s">
        <v>2014</v>
      </c>
      <c r="M479" s="7" t="s">
        <v>22</v>
      </c>
      <c r="N479" s="32" t="s">
        <v>2015</v>
      </c>
      <c r="O479" s="5"/>
      <c r="P479" s="5"/>
      <c r="Q479" s="5"/>
      <c r="R479" s="5"/>
      <c r="S479" s="5"/>
      <c r="T479" s="5"/>
      <c r="U479" s="5"/>
      <c r="V479" s="5"/>
      <c r="W479" s="5"/>
      <c r="X479" s="5"/>
      <c r="Y479" s="5"/>
      <c r="Z479" s="5"/>
    </row>
    <row r="480">
      <c r="A480" s="17" t="s">
        <v>2016</v>
      </c>
      <c r="B480" s="7" t="s">
        <v>1067</v>
      </c>
      <c r="C480" s="7" t="s">
        <v>1183</v>
      </c>
      <c r="D480" s="7" t="s">
        <v>1183</v>
      </c>
      <c r="E480" s="7" t="s">
        <v>16</v>
      </c>
      <c r="F480" s="7" t="s">
        <v>16</v>
      </c>
      <c r="G480" s="7" t="s">
        <v>19</v>
      </c>
      <c r="H480" s="5" t="s">
        <v>2017</v>
      </c>
      <c r="I480" s="7" t="s">
        <v>2018</v>
      </c>
      <c r="J480" s="8">
        <v>3000.0</v>
      </c>
      <c r="K480" s="7" t="s">
        <v>16</v>
      </c>
      <c r="L480" s="7" t="s">
        <v>16</v>
      </c>
      <c r="M480" s="31" t="s">
        <v>88</v>
      </c>
      <c r="N480" s="32" t="s">
        <v>2019</v>
      </c>
      <c r="O480" s="5"/>
      <c r="P480" s="5"/>
      <c r="Q480" s="5"/>
      <c r="R480" s="5"/>
      <c r="S480" s="5"/>
      <c r="T480" s="5"/>
      <c r="U480" s="5"/>
      <c r="V480" s="5"/>
      <c r="W480" s="5"/>
      <c r="X480" s="5"/>
      <c r="Y480" s="5"/>
      <c r="Z480" s="5"/>
    </row>
    <row r="481">
      <c r="A481" s="17" t="s">
        <v>2020</v>
      </c>
      <c r="B481" s="5" t="s">
        <v>1067</v>
      </c>
      <c r="C481" s="7" t="s">
        <v>411</v>
      </c>
      <c r="D481" s="7" t="s">
        <v>411</v>
      </c>
      <c r="E481" s="7" t="s">
        <v>16</v>
      </c>
      <c r="F481" s="7" t="s">
        <v>16</v>
      </c>
      <c r="G481" s="5" t="s">
        <v>19</v>
      </c>
      <c r="H481" s="7" t="s">
        <v>2021</v>
      </c>
      <c r="I481" s="7" t="s">
        <v>2022</v>
      </c>
      <c r="J481" s="8">
        <v>3000.0</v>
      </c>
      <c r="K481" s="7" t="s">
        <v>16</v>
      </c>
      <c r="L481" s="7" t="s">
        <v>16</v>
      </c>
      <c r="M481" s="10" t="s">
        <v>88</v>
      </c>
      <c r="N481" s="11" t="s">
        <v>2023</v>
      </c>
      <c r="O481" s="5"/>
      <c r="P481" s="5"/>
      <c r="Q481" s="5"/>
      <c r="R481" s="5"/>
      <c r="S481" s="5"/>
      <c r="T481" s="5"/>
      <c r="U481" s="5"/>
      <c r="V481" s="5"/>
      <c r="W481" s="5"/>
      <c r="X481" s="5"/>
      <c r="Y481" s="5"/>
      <c r="Z481" s="5"/>
    </row>
    <row r="482">
      <c r="A482" s="17" t="s">
        <v>2024</v>
      </c>
      <c r="B482" s="7" t="s">
        <v>1067</v>
      </c>
      <c r="C482" s="7" t="s">
        <v>1092</v>
      </c>
      <c r="D482" s="7" t="s">
        <v>1092</v>
      </c>
      <c r="E482" s="7" t="s">
        <v>16</v>
      </c>
      <c r="F482" s="7" t="s">
        <v>16</v>
      </c>
      <c r="G482" s="5" t="s">
        <v>19</v>
      </c>
      <c r="H482" s="7" t="s">
        <v>2025</v>
      </c>
      <c r="I482" s="7" t="s">
        <v>2026</v>
      </c>
      <c r="J482" s="8">
        <v>3000.0</v>
      </c>
      <c r="K482" s="7" t="s">
        <v>16</v>
      </c>
      <c r="L482" s="7" t="s">
        <v>16</v>
      </c>
      <c r="M482" s="10" t="s">
        <v>75</v>
      </c>
      <c r="N482" s="11" t="s">
        <v>2027</v>
      </c>
      <c r="O482" s="5"/>
      <c r="P482" s="5"/>
      <c r="Q482" s="5"/>
      <c r="R482" s="5"/>
      <c r="S482" s="5"/>
      <c r="T482" s="5"/>
      <c r="U482" s="5"/>
      <c r="V482" s="5"/>
      <c r="W482" s="5"/>
      <c r="X482" s="5"/>
      <c r="Y482" s="5"/>
      <c r="Z482" s="5"/>
    </row>
    <row r="483">
      <c r="A483" s="17" t="s">
        <v>2028</v>
      </c>
      <c r="B483" s="7" t="s">
        <v>1067</v>
      </c>
      <c r="C483" s="7" t="s">
        <v>1624</v>
      </c>
      <c r="D483" s="7" t="s">
        <v>1624</v>
      </c>
      <c r="E483" s="7" t="s">
        <v>16</v>
      </c>
      <c r="F483" s="7" t="s">
        <v>16</v>
      </c>
      <c r="G483" s="5" t="s">
        <v>19</v>
      </c>
      <c r="H483" s="7" t="s">
        <v>2029</v>
      </c>
      <c r="I483" s="7" t="s">
        <v>2030</v>
      </c>
      <c r="J483" s="8">
        <v>3500.0</v>
      </c>
      <c r="K483" s="7" t="s">
        <v>16</v>
      </c>
      <c r="L483" s="7" t="s">
        <v>16</v>
      </c>
      <c r="M483" s="10" t="s">
        <v>75</v>
      </c>
      <c r="N483" s="11" t="s">
        <v>2031</v>
      </c>
      <c r="O483" s="5"/>
      <c r="P483" s="5"/>
      <c r="Q483" s="5"/>
      <c r="R483" s="5"/>
      <c r="S483" s="5"/>
      <c r="T483" s="5"/>
      <c r="U483" s="5"/>
      <c r="V483" s="5"/>
      <c r="W483" s="5"/>
      <c r="X483" s="5"/>
      <c r="Y483" s="5"/>
      <c r="Z483" s="5"/>
    </row>
    <row r="484">
      <c r="A484" s="17" t="s">
        <v>2032</v>
      </c>
      <c r="B484" s="7" t="s">
        <v>1067</v>
      </c>
      <c r="C484" s="7" t="s">
        <v>1213</v>
      </c>
      <c r="D484" s="7" t="s">
        <v>1213</v>
      </c>
      <c r="E484" s="7" t="s">
        <v>16</v>
      </c>
      <c r="F484" s="7" t="s">
        <v>16</v>
      </c>
      <c r="G484" s="5" t="s">
        <v>19</v>
      </c>
      <c r="H484" s="7" t="s">
        <v>2033</v>
      </c>
      <c r="I484" s="7" t="s">
        <v>2034</v>
      </c>
      <c r="J484" s="8">
        <v>4000.0</v>
      </c>
      <c r="K484" s="7" t="s">
        <v>16</v>
      </c>
      <c r="L484" s="7" t="s">
        <v>16</v>
      </c>
      <c r="M484" s="10" t="s">
        <v>75</v>
      </c>
      <c r="N484" s="11" t="s">
        <v>2035</v>
      </c>
      <c r="O484" s="5"/>
      <c r="P484" s="5"/>
      <c r="Q484" s="5"/>
      <c r="R484" s="5"/>
      <c r="S484" s="5"/>
      <c r="T484" s="5"/>
      <c r="U484" s="5"/>
      <c r="V484" s="5"/>
      <c r="W484" s="5"/>
      <c r="X484" s="5"/>
      <c r="Y484" s="5"/>
      <c r="Z484" s="5"/>
    </row>
    <row r="485">
      <c r="A485" s="17" t="s">
        <v>2036</v>
      </c>
      <c r="B485" s="7" t="s">
        <v>1067</v>
      </c>
      <c r="C485" s="7" t="s">
        <v>1207</v>
      </c>
      <c r="D485" s="7" t="s">
        <v>1207</v>
      </c>
      <c r="E485" s="7" t="s">
        <v>16</v>
      </c>
      <c r="F485" s="7" t="s">
        <v>16</v>
      </c>
      <c r="G485" s="5" t="s">
        <v>19</v>
      </c>
      <c r="H485" s="7" t="s">
        <v>2037</v>
      </c>
      <c r="I485" s="7" t="s">
        <v>2038</v>
      </c>
      <c r="J485" s="8">
        <v>4500.0</v>
      </c>
      <c r="K485" s="7" t="s">
        <v>16</v>
      </c>
      <c r="L485" s="7" t="s">
        <v>16</v>
      </c>
      <c r="M485" s="10" t="s">
        <v>75</v>
      </c>
      <c r="N485" s="11" t="s">
        <v>2039</v>
      </c>
      <c r="O485" s="5"/>
      <c r="P485" s="5"/>
      <c r="Q485" s="5"/>
      <c r="R485" s="5"/>
      <c r="S485" s="5"/>
      <c r="T485" s="5"/>
      <c r="U485" s="5"/>
      <c r="V485" s="5"/>
      <c r="W485" s="5"/>
      <c r="X485" s="5"/>
      <c r="Y485" s="5"/>
      <c r="Z485" s="5"/>
    </row>
    <row r="486">
      <c r="A486" s="17" t="s">
        <v>2040</v>
      </c>
      <c r="B486" s="7" t="s">
        <v>1316</v>
      </c>
      <c r="C486" s="7" t="s">
        <v>1317</v>
      </c>
      <c r="D486" s="7" t="s">
        <v>1317</v>
      </c>
      <c r="E486" s="7" t="s">
        <v>16</v>
      </c>
      <c r="F486" s="7" t="s">
        <v>16</v>
      </c>
      <c r="G486" s="5" t="s">
        <v>19</v>
      </c>
      <c r="H486" s="7" t="s">
        <v>2041</v>
      </c>
      <c r="I486" s="7" t="s">
        <v>2042</v>
      </c>
      <c r="J486" s="8">
        <v>4500.0</v>
      </c>
      <c r="K486" s="7" t="s">
        <v>16</v>
      </c>
      <c r="L486" s="7" t="s">
        <v>16</v>
      </c>
      <c r="M486" s="10" t="s">
        <v>22</v>
      </c>
      <c r="N486" s="11" t="s">
        <v>2043</v>
      </c>
      <c r="O486" s="5"/>
      <c r="P486" s="5"/>
      <c r="Q486" s="5"/>
      <c r="R486" s="5"/>
      <c r="S486" s="5"/>
      <c r="T486" s="5"/>
      <c r="U486" s="5"/>
      <c r="V486" s="5"/>
      <c r="W486" s="5"/>
      <c r="X486" s="5"/>
      <c r="Y486" s="5"/>
      <c r="Z486" s="5"/>
    </row>
    <row r="487">
      <c r="A487" s="17" t="s">
        <v>2044</v>
      </c>
      <c r="B487" s="5" t="s">
        <v>1316</v>
      </c>
      <c r="C487" s="7" t="s">
        <v>1322</v>
      </c>
      <c r="D487" s="7" t="s">
        <v>1322</v>
      </c>
      <c r="E487" s="7" t="s">
        <v>16</v>
      </c>
      <c r="F487" s="7" t="s">
        <v>16</v>
      </c>
      <c r="G487" s="5" t="s">
        <v>19</v>
      </c>
      <c r="H487" s="7" t="s">
        <v>2045</v>
      </c>
      <c r="I487" s="7" t="s">
        <v>2046</v>
      </c>
      <c r="J487" s="8">
        <v>4500.0</v>
      </c>
      <c r="K487" s="7" t="s">
        <v>16</v>
      </c>
      <c r="L487" s="7" t="s">
        <v>16</v>
      </c>
      <c r="M487" s="31" t="s">
        <v>22</v>
      </c>
      <c r="N487" s="11" t="s">
        <v>2047</v>
      </c>
      <c r="O487" s="5"/>
      <c r="P487" s="5"/>
      <c r="Q487" s="5"/>
      <c r="R487" s="5"/>
      <c r="S487" s="5"/>
      <c r="T487" s="5"/>
      <c r="U487" s="5"/>
      <c r="V487" s="5"/>
      <c r="W487" s="5"/>
      <c r="X487" s="5"/>
      <c r="Y487" s="5"/>
      <c r="Z487" s="5"/>
    </row>
    <row r="488">
      <c r="A488" s="17" t="s">
        <v>2048</v>
      </c>
      <c r="B488" s="5" t="s">
        <v>1316</v>
      </c>
      <c r="C488" s="7" t="s">
        <v>1327</v>
      </c>
      <c r="D488" s="7" t="s">
        <v>1327</v>
      </c>
      <c r="E488" s="7" t="s">
        <v>16</v>
      </c>
      <c r="F488" s="7" t="s">
        <v>16</v>
      </c>
      <c r="G488" s="5" t="s">
        <v>19</v>
      </c>
      <c r="H488" s="7" t="s">
        <v>2049</v>
      </c>
      <c r="I488" s="7" t="s">
        <v>2050</v>
      </c>
      <c r="J488" s="8">
        <v>4500.0</v>
      </c>
      <c r="K488" s="7" t="s">
        <v>16</v>
      </c>
      <c r="L488" s="7" t="s">
        <v>16</v>
      </c>
      <c r="M488" s="10" t="s">
        <v>22</v>
      </c>
      <c r="N488" s="11" t="s">
        <v>2051</v>
      </c>
      <c r="O488" s="5"/>
      <c r="P488" s="5"/>
      <c r="Q488" s="5"/>
      <c r="R488" s="5"/>
      <c r="S488" s="5"/>
      <c r="T488" s="5"/>
      <c r="U488" s="5"/>
      <c r="V488" s="5"/>
      <c r="W488" s="5"/>
      <c r="X488" s="5"/>
      <c r="Y488" s="5"/>
      <c r="Z488" s="5"/>
    </row>
    <row r="489">
      <c r="A489" s="17" t="s">
        <v>2052</v>
      </c>
      <c r="B489" s="5" t="s">
        <v>1316</v>
      </c>
      <c r="C489" s="7" t="s">
        <v>1410</v>
      </c>
      <c r="D489" s="7" t="s">
        <v>1410</v>
      </c>
      <c r="E489" s="7" t="s">
        <v>16</v>
      </c>
      <c r="F489" s="7" t="s">
        <v>16</v>
      </c>
      <c r="G489" s="5" t="s">
        <v>19</v>
      </c>
      <c r="H489" s="7" t="s">
        <v>2053</v>
      </c>
      <c r="I489" s="7" t="s">
        <v>2054</v>
      </c>
      <c r="J489" s="8">
        <v>5000.0</v>
      </c>
      <c r="K489" s="7" t="s">
        <v>16</v>
      </c>
      <c r="L489" s="7" t="s">
        <v>16</v>
      </c>
      <c r="M489" s="10" t="s">
        <v>75</v>
      </c>
      <c r="N489" s="11" t="s">
        <v>2055</v>
      </c>
      <c r="O489" s="5"/>
      <c r="P489" s="5"/>
      <c r="Q489" s="5"/>
      <c r="R489" s="5"/>
      <c r="S489" s="5"/>
      <c r="T489" s="5"/>
      <c r="U489" s="5"/>
      <c r="V489" s="5"/>
      <c r="W489" s="5"/>
      <c r="X489" s="5"/>
      <c r="Y489" s="5"/>
      <c r="Z489" s="5"/>
    </row>
    <row r="490">
      <c r="A490" s="17" t="s">
        <v>2056</v>
      </c>
      <c r="B490" s="7" t="s">
        <v>1316</v>
      </c>
      <c r="C490" s="7" t="s">
        <v>1415</v>
      </c>
      <c r="D490" s="7" t="s">
        <v>1415</v>
      </c>
      <c r="E490" s="7" t="s">
        <v>16</v>
      </c>
      <c r="F490" s="7" t="s">
        <v>16</v>
      </c>
      <c r="G490" s="7" t="s">
        <v>19</v>
      </c>
      <c r="H490" s="7" t="s">
        <v>2057</v>
      </c>
      <c r="I490" s="7" t="s">
        <v>2058</v>
      </c>
      <c r="J490" s="8">
        <v>5000.0</v>
      </c>
      <c r="K490" s="7" t="s">
        <v>16</v>
      </c>
      <c r="L490" s="7" t="s">
        <v>16</v>
      </c>
      <c r="M490" s="31" t="s">
        <v>36</v>
      </c>
      <c r="N490" s="32" t="s">
        <v>2059</v>
      </c>
      <c r="O490" s="5"/>
      <c r="P490" s="5"/>
      <c r="Q490" s="5"/>
      <c r="R490" s="5"/>
      <c r="S490" s="5"/>
      <c r="T490" s="5"/>
      <c r="U490" s="5"/>
      <c r="V490" s="5"/>
      <c r="W490" s="5"/>
      <c r="X490" s="5"/>
      <c r="Y490" s="5"/>
      <c r="Z490" s="5"/>
    </row>
    <row r="491">
      <c r="A491" s="17" t="s">
        <v>2060</v>
      </c>
      <c r="B491" s="7" t="s">
        <v>1316</v>
      </c>
      <c r="C491" s="7" t="s">
        <v>1418</v>
      </c>
      <c r="D491" s="7" t="s">
        <v>1418</v>
      </c>
      <c r="E491" s="7" t="s">
        <v>16</v>
      </c>
      <c r="F491" s="7" t="s">
        <v>16</v>
      </c>
      <c r="G491" s="7" t="s">
        <v>19</v>
      </c>
      <c r="H491" s="7" t="s">
        <v>2061</v>
      </c>
      <c r="I491" s="7" t="s">
        <v>2062</v>
      </c>
      <c r="J491" s="8">
        <v>5000.0</v>
      </c>
      <c r="K491" s="7" t="s">
        <v>16</v>
      </c>
      <c r="L491" s="7" t="s">
        <v>16</v>
      </c>
      <c r="M491" s="31" t="s">
        <v>36</v>
      </c>
      <c r="N491" s="32" t="s">
        <v>2063</v>
      </c>
      <c r="O491" s="5"/>
      <c r="P491" s="5"/>
      <c r="Q491" s="5"/>
      <c r="R491" s="5"/>
      <c r="S491" s="5"/>
      <c r="T491" s="5"/>
      <c r="U491" s="5"/>
      <c r="V491" s="5"/>
      <c r="W491" s="5"/>
      <c r="X491" s="5"/>
      <c r="Y491" s="5"/>
      <c r="Z491" s="5"/>
    </row>
    <row r="492">
      <c r="A492" s="17" t="s">
        <v>2064</v>
      </c>
      <c r="B492" s="7" t="s">
        <v>1316</v>
      </c>
      <c r="C492" s="7" t="s">
        <v>1421</v>
      </c>
      <c r="D492" s="7" t="s">
        <v>1421</v>
      </c>
      <c r="E492" s="7" t="s">
        <v>16</v>
      </c>
      <c r="F492" s="7" t="s">
        <v>16</v>
      </c>
      <c r="G492" s="5" t="s">
        <v>19</v>
      </c>
      <c r="H492" s="7" t="s">
        <v>2065</v>
      </c>
      <c r="I492" s="7" t="s">
        <v>2066</v>
      </c>
      <c r="J492" s="8">
        <v>5500.0</v>
      </c>
      <c r="K492" s="7" t="s">
        <v>16</v>
      </c>
      <c r="L492" s="7" t="s">
        <v>16</v>
      </c>
      <c r="M492" s="31" t="s">
        <v>88</v>
      </c>
      <c r="N492" s="32" t="s">
        <v>2067</v>
      </c>
      <c r="O492" s="5"/>
      <c r="P492" s="5"/>
      <c r="Q492" s="5"/>
      <c r="R492" s="5"/>
      <c r="S492" s="5"/>
      <c r="T492" s="5"/>
      <c r="U492" s="5"/>
      <c r="V492" s="5"/>
      <c r="W492" s="5"/>
      <c r="X492" s="5"/>
      <c r="Y492" s="5"/>
      <c r="Z492" s="5"/>
    </row>
    <row r="493">
      <c r="A493" s="17" t="s">
        <v>2068</v>
      </c>
      <c r="B493" s="7" t="s">
        <v>1067</v>
      </c>
      <c r="C493" s="7" t="s">
        <v>1905</v>
      </c>
      <c r="D493" s="7" t="s">
        <v>1905</v>
      </c>
      <c r="E493" s="7" t="s">
        <v>16</v>
      </c>
      <c r="F493" s="7" t="s">
        <v>16</v>
      </c>
      <c r="G493" s="7" t="s">
        <v>19</v>
      </c>
      <c r="H493" s="7" t="s">
        <v>2069</v>
      </c>
      <c r="I493" s="7" t="s">
        <v>2070</v>
      </c>
      <c r="J493" s="8">
        <v>6000.0</v>
      </c>
      <c r="K493" s="7" t="s">
        <v>16</v>
      </c>
      <c r="L493" s="7" t="s">
        <v>16</v>
      </c>
      <c r="M493" s="31" t="s">
        <v>88</v>
      </c>
      <c r="N493" s="32" t="s">
        <v>2071</v>
      </c>
      <c r="O493" s="5"/>
      <c r="P493" s="5"/>
      <c r="Q493" s="5"/>
      <c r="R493" s="5"/>
      <c r="S493" s="5"/>
      <c r="T493" s="5"/>
      <c r="U493" s="5"/>
      <c r="V493" s="5"/>
      <c r="W493" s="5"/>
      <c r="X493" s="5"/>
      <c r="Y493" s="5"/>
      <c r="Z493" s="5"/>
    </row>
    <row r="494">
      <c r="A494" s="17" t="s">
        <v>2072</v>
      </c>
      <c r="B494" s="7" t="s">
        <v>1985</v>
      </c>
      <c r="C494" s="7" t="s">
        <v>2073</v>
      </c>
      <c r="D494" s="7" t="s">
        <v>2074</v>
      </c>
      <c r="E494" s="7" t="s">
        <v>16</v>
      </c>
      <c r="F494" s="7" t="s">
        <v>16</v>
      </c>
      <c r="G494" s="7" t="s">
        <v>19</v>
      </c>
      <c r="H494" s="7" t="s">
        <v>2075</v>
      </c>
      <c r="I494" s="7" t="s">
        <v>2076</v>
      </c>
      <c r="J494" s="8">
        <v>4500.0</v>
      </c>
      <c r="K494" s="7" t="s">
        <v>16</v>
      </c>
      <c r="L494" s="7" t="s">
        <v>16</v>
      </c>
      <c r="M494" s="31" t="s">
        <v>88</v>
      </c>
      <c r="N494" s="32" t="s">
        <v>2077</v>
      </c>
      <c r="O494" s="5"/>
      <c r="P494" s="5"/>
      <c r="Q494" s="5"/>
      <c r="R494" s="5"/>
      <c r="S494" s="5"/>
      <c r="T494" s="5"/>
      <c r="U494" s="5"/>
      <c r="V494" s="5"/>
      <c r="W494" s="5"/>
      <c r="X494" s="5"/>
      <c r="Y494" s="5"/>
      <c r="Z494" s="5"/>
    </row>
    <row r="495">
      <c r="A495" s="17" t="s">
        <v>2078</v>
      </c>
      <c r="B495" s="7" t="s">
        <v>1985</v>
      </c>
      <c r="C495" s="7" t="s">
        <v>2079</v>
      </c>
      <c r="D495" s="7" t="s">
        <v>2080</v>
      </c>
      <c r="E495" s="7" t="s">
        <v>16</v>
      </c>
      <c r="F495" s="7" t="s">
        <v>16</v>
      </c>
      <c r="G495" s="5" t="s">
        <v>19</v>
      </c>
      <c r="H495" s="7" t="s">
        <v>2081</v>
      </c>
      <c r="I495" s="7" t="s">
        <v>2082</v>
      </c>
      <c r="J495" s="8">
        <v>4000.0</v>
      </c>
      <c r="K495" s="7" t="s">
        <v>16</v>
      </c>
      <c r="L495" s="7" t="s">
        <v>16</v>
      </c>
      <c r="M495" s="31" t="s">
        <v>88</v>
      </c>
      <c r="N495" s="32" t="s">
        <v>2083</v>
      </c>
      <c r="O495" s="5"/>
      <c r="P495" s="5"/>
      <c r="Q495" s="5"/>
      <c r="R495" s="5"/>
      <c r="S495" s="5"/>
      <c r="T495" s="5"/>
      <c r="U495" s="5"/>
      <c r="V495" s="5"/>
      <c r="W495" s="5"/>
      <c r="X495" s="5"/>
      <c r="Y495" s="5"/>
      <c r="Z495" s="5"/>
    </row>
    <row r="496">
      <c r="A496" s="17" t="s">
        <v>2084</v>
      </c>
      <c r="B496" s="7" t="s">
        <v>1985</v>
      </c>
      <c r="C496" s="7" t="s">
        <v>2085</v>
      </c>
      <c r="D496" s="7" t="s">
        <v>2086</v>
      </c>
      <c r="E496" s="7" t="s">
        <v>16</v>
      </c>
      <c r="F496" s="7" t="s">
        <v>16</v>
      </c>
      <c r="G496" s="5" t="s">
        <v>19</v>
      </c>
      <c r="H496" s="7" t="s">
        <v>2087</v>
      </c>
      <c r="I496" s="7" t="s">
        <v>2088</v>
      </c>
      <c r="J496" s="8">
        <v>6000.0</v>
      </c>
      <c r="K496" s="7" t="s">
        <v>16</v>
      </c>
      <c r="L496" s="7" t="s">
        <v>16</v>
      </c>
      <c r="M496" s="31" t="s">
        <v>88</v>
      </c>
      <c r="N496" s="32" t="s">
        <v>2089</v>
      </c>
      <c r="O496" s="5"/>
      <c r="P496" s="5"/>
      <c r="Q496" s="5"/>
      <c r="R496" s="5"/>
      <c r="S496" s="5"/>
      <c r="T496" s="5"/>
      <c r="U496" s="5"/>
      <c r="V496" s="5"/>
      <c r="W496" s="5"/>
      <c r="X496" s="5"/>
      <c r="Y496" s="5"/>
      <c r="Z496" s="5"/>
    </row>
    <row r="497">
      <c r="A497" s="17" t="s">
        <v>2090</v>
      </c>
      <c r="B497" s="7" t="s">
        <v>1067</v>
      </c>
      <c r="C497" s="7" t="s">
        <v>1068</v>
      </c>
      <c r="D497" s="7" t="s">
        <v>1068</v>
      </c>
      <c r="E497" s="7" t="s">
        <v>16</v>
      </c>
      <c r="F497" s="7" t="s">
        <v>16</v>
      </c>
      <c r="G497" s="7" t="s">
        <v>19</v>
      </c>
      <c r="H497" s="7" t="s">
        <v>2091</v>
      </c>
      <c r="I497" s="7" t="s">
        <v>2092</v>
      </c>
      <c r="J497" s="8">
        <v>4000.0</v>
      </c>
      <c r="K497" s="7" t="s">
        <v>16</v>
      </c>
      <c r="L497" s="7" t="s">
        <v>342</v>
      </c>
      <c r="M497" s="7" t="s">
        <v>75</v>
      </c>
      <c r="N497" s="7" t="s">
        <v>2093</v>
      </c>
      <c r="O497" s="5"/>
      <c r="P497" s="5"/>
      <c r="Q497" s="5"/>
      <c r="R497" s="5"/>
      <c r="S497" s="5"/>
      <c r="T497" s="5"/>
      <c r="U497" s="5"/>
      <c r="V497" s="5"/>
      <c r="W497" s="5"/>
      <c r="X497" s="5"/>
      <c r="Y497" s="5"/>
      <c r="Z497" s="5"/>
    </row>
    <row r="498">
      <c r="A498" s="17" t="s">
        <v>2094</v>
      </c>
      <c r="B498" s="5" t="s">
        <v>1067</v>
      </c>
      <c r="C498" s="7" t="s">
        <v>1068</v>
      </c>
      <c r="D498" s="7" t="s">
        <v>1068</v>
      </c>
      <c r="E498" s="7" t="s">
        <v>16</v>
      </c>
      <c r="F498" s="7" t="s">
        <v>16</v>
      </c>
      <c r="G498" s="5" t="s">
        <v>19</v>
      </c>
      <c r="H498" s="7" t="s">
        <v>2095</v>
      </c>
      <c r="I498" s="7" t="s">
        <v>2096</v>
      </c>
      <c r="J498" s="8">
        <v>3000.0</v>
      </c>
      <c r="K498" s="7" t="s">
        <v>16</v>
      </c>
      <c r="L498" s="7" t="s">
        <v>342</v>
      </c>
      <c r="M498" s="5" t="s">
        <v>22</v>
      </c>
      <c r="N498" s="5" t="s">
        <v>2097</v>
      </c>
      <c r="O498" s="5"/>
      <c r="P498" s="5"/>
      <c r="Q498" s="5"/>
      <c r="R498" s="5"/>
      <c r="S498" s="5"/>
      <c r="T498" s="5"/>
      <c r="U498" s="5"/>
      <c r="V498" s="5"/>
      <c r="W498" s="5"/>
      <c r="X498" s="5"/>
      <c r="Y498" s="5"/>
      <c r="Z498" s="5"/>
    </row>
    <row r="499">
      <c r="A499" s="17" t="s">
        <v>2098</v>
      </c>
      <c r="B499" s="5" t="s">
        <v>1067</v>
      </c>
      <c r="C499" s="7" t="s">
        <v>1183</v>
      </c>
      <c r="D499" s="7" t="s">
        <v>1183</v>
      </c>
      <c r="E499" s="7" t="s">
        <v>16</v>
      </c>
      <c r="F499" s="7" t="s">
        <v>16</v>
      </c>
      <c r="G499" s="5" t="s">
        <v>19</v>
      </c>
      <c r="H499" s="7" t="s">
        <v>2099</v>
      </c>
      <c r="I499" s="7" t="s">
        <v>2100</v>
      </c>
      <c r="J499" s="8">
        <v>3000.0</v>
      </c>
      <c r="K499" s="7" t="s">
        <v>16</v>
      </c>
      <c r="L499" s="7" t="s">
        <v>342</v>
      </c>
      <c r="M499" s="5" t="s">
        <v>36</v>
      </c>
      <c r="N499" s="5" t="s">
        <v>2101</v>
      </c>
      <c r="O499" s="5"/>
      <c r="P499" s="5"/>
      <c r="Q499" s="5"/>
      <c r="R499" s="5"/>
      <c r="S499" s="5"/>
      <c r="T499" s="5"/>
      <c r="U499" s="5"/>
      <c r="V499" s="5"/>
      <c r="W499" s="5"/>
      <c r="X499" s="5"/>
      <c r="Y499" s="5"/>
      <c r="Z499" s="5"/>
    </row>
    <row r="500">
      <c r="A500" s="17" t="s">
        <v>2102</v>
      </c>
      <c r="B500" s="7" t="s">
        <v>1067</v>
      </c>
      <c r="C500" s="7" t="s">
        <v>1183</v>
      </c>
      <c r="D500" s="7" t="s">
        <v>1183</v>
      </c>
      <c r="E500" s="7" t="s">
        <v>16</v>
      </c>
      <c r="F500" s="7" t="s">
        <v>16</v>
      </c>
      <c r="G500" s="7" t="s">
        <v>19</v>
      </c>
      <c r="H500" s="7" t="s">
        <v>2099</v>
      </c>
      <c r="I500" s="7" t="s">
        <v>2103</v>
      </c>
      <c r="J500" s="8">
        <v>3000.0</v>
      </c>
      <c r="K500" s="7" t="s">
        <v>16</v>
      </c>
      <c r="L500" s="7" t="s">
        <v>342</v>
      </c>
      <c r="M500" s="7" t="s">
        <v>36</v>
      </c>
      <c r="N500" s="7" t="s">
        <v>2101</v>
      </c>
      <c r="O500" s="5"/>
      <c r="P500" s="5"/>
      <c r="Q500" s="5"/>
      <c r="R500" s="5"/>
      <c r="S500" s="5"/>
      <c r="T500" s="5"/>
      <c r="U500" s="5"/>
      <c r="V500" s="5"/>
      <c r="W500" s="5"/>
      <c r="X500" s="5"/>
      <c r="Y500" s="5"/>
      <c r="Z500" s="5"/>
    </row>
    <row r="501">
      <c r="A501" s="17" t="s">
        <v>2104</v>
      </c>
      <c r="B501" s="5" t="s">
        <v>1067</v>
      </c>
      <c r="C501" s="7" t="s">
        <v>411</v>
      </c>
      <c r="D501" s="7" t="s">
        <v>411</v>
      </c>
      <c r="E501" s="7" t="s">
        <v>16</v>
      </c>
      <c r="F501" s="7" t="s">
        <v>16</v>
      </c>
      <c r="G501" s="5" t="s">
        <v>19</v>
      </c>
      <c r="H501" s="7" t="s">
        <v>2105</v>
      </c>
      <c r="I501" s="7" t="s">
        <v>2106</v>
      </c>
      <c r="J501" s="8">
        <v>3000.0</v>
      </c>
      <c r="K501" s="7" t="s">
        <v>16</v>
      </c>
      <c r="L501" s="7" t="s">
        <v>2107</v>
      </c>
      <c r="M501" s="7" t="s">
        <v>36</v>
      </c>
      <c r="N501" s="7" t="s">
        <v>2108</v>
      </c>
      <c r="O501" s="5"/>
      <c r="P501" s="5"/>
      <c r="Q501" s="5"/>
      <c r="R501" s="5"/>
      <c r="S501" s="5"/>
      <c r="T501" s="5"/>
      <c r="U501" s="5"/>
      <c r="V501" s="5"/>
      <c r="W501" s="5"/>
      <c r="X501" s="5"/>
      <c r="Y501" s="5"/>
      <c r="Z501" s="5"/>
    </row>
    <row r="502">
      <c r="A502" s="17" t="s">
        <v>2109</v>
      </c>
      <c r="B502" s="5" t="s">
        <v>1067</v>
      </c>
      <c r="C502" s="7" t="s">
        <v>85</v>
      </c>
      <c r="D502" s="7" t="s">
        <v>85</v>
      </c>
      <c r="E502" s="7" t="s">
        <v>16</v>
      </c>
      <c r="F502" s="7" t="s">
        <v>16</v>
      </c>
      <c r="G502" s="5" t="s">
        <v>19</v>
      </c>
      <c r="H502" s="7" t="s">
        <v>2110</v>
      </c>
      <c r="I502" s="7" t="s">
        <v>2111</v>
      </c>
      <c r="J502" s="8">
        <v>1000.0</v>
      </c>
      <c r="K502" s="7" t="s">
        <v>16</v>
      </c>
      <c r="L502" s="7" t="s">
        <v>342</v>
      </c>
      <c r="M502" s="7" t="s">
        <v>22</v>
      </c>
      <c r="N502" s="7" t="s">
        <v>1718</v>
      </c>
      <c r="O502" s="5"/>
      <c r="P502" s="5"/>
      <c r="Q502" s="5"/>
      <c r="R502" s="5"/>
      <c r="S502" s="5"/>
      <c r="T502" s="5"/>
      <c r="U502" s="5"/>
      <c r="V502" s="5"/>
      <c r="W502" s="5"/>
      <c r="X502" s="5"/>
      <c r="Y502" s="5"/>
      <c r="Z502" s="5"/>
    </row>
    <row r="503">
      <c r="A503" s="17" t="s">
        <v>2112</v>
      </c>
      <c r="B503" s="5" t="s">
        <v>1985</v>
      </c>
      <c r="C503" s="7" t="s">
        <v>2079</v>
      </c>
      <c r="D503" s="7" t="s">
        <v>2080</v>
      </c>
      <c r="E503" s="7" t="s">
        <v>16</v>
      </c>
      <c r="F503" s="7" t="s">
        <v>16</v>
      </c>
      <c r="G503" s="5" t="s">
        <v>19</v>
      </c>
      <c r="H503" s="7" t="s">
        <v>2113</v>
      </c>
      <c r="I503" s="7" t="s">
        <v>2114</v>
      </c>
      <c r="J503" s="8">
        <v>4000.0</v>
      </c>
      <c r="K503" s="7" t="s">
        <v>16</v>
      </c>
      <c r="L503" s="7" t="s">
        <v>342</v>
      </c>
      <c r="M503" s="5" t="s">
        <v>36</v>
      </c>
      <c r="N503" s="5" t="s">
        <v>2115</v>
      </c>
      <c r="O503" s="5"/>
      <c r="P503" s="5"/>
      <c r="Q503" s="5"/>
      <c r="R503" s="5"/>
      <c r="S503" s="5"/>
      <c r="T503" s="5"/>
      <c r="U503" s="5"/>
      <c r="V503" s="5"/>
      <c r="W503" s="5"/>
      <c r="X503" s="5"/>
      <c r="Y503" s="5"/>
      <c r="Z503" s="5"/>
    </row>
    <row r="504">
      <c r="A504" s="17" t="s">
        <v>2116</v>
      </c>
      <c r="B504" s="7" t="s">
        <v>1985</v>
      </c>
      <c r="C504" s="7" t="s">
        <v>2079</v>
      </c>
      <c r="D504" s="7" t="s">
        <v>2080</v>
      </c>
      <c r="E504" s="7" t="s">
        <v>16</v>
      </c>
      <c r="F504" s="7" t="s">
        <v>16</v>
      </c>
      <c r="G504" s="5" t="s">
        <v>19</v>
      </c>
      <c r="H504" s="7" t="s">
        <v>2113</v>
      </c>
      <c r="I504" s="7" t="s">
        <v>2117</v>
      </c>
      <c r="J504" s="8">
        <v>4000.0</v>
      </c>
      <c r="K504" s="7" t="s">
        <v>16</v>
      </c>
      <c r="L504" s="7" t="s">
        <v>342</v>
      </c>
      <c r="M504" s="5" t="s">
        <v>36</v>
      </c>
      <c r="N504" s="5" t="s">
        <v>2115</v>
      </c>
      <c r="O504" s="5"/>
      <c r="P504" s="5"/>
      <c r="Q504" s="5"/>
      <c r="R504" s="5"/>
      <c r="S504" s="5"/>
      <c r="T504" s="5"/>
      <c r="U504" s="5"/>
      <c r="V504" s="5"/>
      <c r="W504" s="5"/>
      <c r="X504" s="5"/>
      <c r="Y504" s="5"/>
      <c r="Z504" s="5"/>
    </row>
    <row r="505">
      <c r="A505" s="17" t="s">
        <v>2118</v>
      </c>
      <c r="B505" s="7" t="s">
        <v>1067</v>
      </c>
      <c r="C505" s="7" t="s">
        <v>1068</v>
      </c>
      <c r="D505" s="7" t="s">
        <v>1068</v>
      </c>
      <c r="E505" s="7" t="s">
        <v>16</v>
      </c>
      <c r="F505" s="7" t="s">
        <v>16</v>
      </c>
      <c r="G505" s="5" t="s">
        <v>19</v>
      </c>
      <c r="H505" s="7" t="s">
        <v>2119</v>
      </c>
      <c r="I505" s="7" t="s">
        <v>2120</v>
      </c>
      <c r="J505" s="8">
        <v>4000.0</v>
      </c>
      <c r="K505" s="7" t="s">
        <v>16</v>
      </c>
      <c r="L505" s="7" t="s">
        <v>16</v>
      </c>
      <c r="M505" s="5" t="s">
        <v>75</v>
      </c>
      <c r="N505" s="5" t="s">
        <v>2121</v>
      </c>
      <c r="O505" s="5"/>
      <c r="P505" s="5"/>
      <c r="Q505" s="5"/>
      <c r="R505" s="5"/>
      <c r="S505" s="5"/>
      <c r="T505" s="5"/>
      <c r="U505" s="5"/>
      <c r="V505" s="5"/>
      <c r="W505" s="5"/>
      <c r="X505" s="5"/>
      <c r="Y505" s="5"/>
      <c r="Z505" s="5"/>
    </row>
    <row r="506">
      <c r="A506" s="17" t="s">
        <v>2122</v>
      </c>
      <c r="B506" s="7" t="s">
        <v>1067</v>
      </c>
      <c r="C506" s="7" t="s">
        <v>85</v>
      </c>
      <c r="D506" s="7" t="s">
        <v>85</v>
      </c>
      <c r="E506" s="7" t="s">
        <v>16</v>
      </c>
      <c r="F506" s="7" t="s">
        <v>16</v>
      </c>
      <c r="G506" s="5" t="s">
        <v>19</v>
      </c>
      <c r="H506" s="7" t="s">
        <v>2123</v>
      </c>
      <c r="I506" s="7" t="s">
        <v>2124</v>
      </c>
      <c r="J506" s="8">
        <v>2000.0</v>
      </c>
      <c r="K506" s="7" t="s">
        <v>16</v>
      </c>
      <c r="L506" s="7" t="s">
        <v>16</v>
      </c>
      <c r="M506" s="5" t="s">
        <v>75</v>
      </c>
      <c r="N506" s="5" t="s">
        <v>2125</v>
      </c>
      <c r="O506" s="5"/>
      <c r="P506" s="5"/>
      <c r="Q506" s="5"/>
      <c r="R506" s="5"/>
      <c r="S506" s="5"/>
      <c r="T506" s="5"/>
      <c r="U506" s="5"/>
      <c r="V506" s="5"/>
      <c r="W506" s="5"/>
      <c r="X506" s="5"/>
      <c r="Y506" s="5"/>
      <c r="Z506" s="5"/>
    </row>
    <row r="507">
      <c r="A507" s="17" t="s">
        <v>2126</v>
      </c>
      <c r="B507" s="7" t="s">
        <v>1067</v>
      </c>
      <c r="C507" s="7" t="s">
        <v>1405</v>
      </c>
      <c r="D507" s="7" t="s">
        <v>85</v>
      </c>
      <c r="E507" s="7" t="s">
        <v>16</v>
      </c>
      <c r="F507" s="7" t="s">
        <v>16</v>
      </c>
      <c r="G507" s="5" t="s">
        <v>19</v>
      </c>
      <c r="H507" s="7" t="s">
        <v>2127</v>
      </c>
      <c r="I507" s="7" t="s">
        <v>2128</v>
      </c>
      <c r="J507" s="8">
        <v>4000.0</v>
      </c>
      <c r="K507" s="7" t="s">
        <v>16</v>
      </c>
      <c r="L507" s="7" t="s">
        <v>16</v>
      </c>
      <c r="M507" s="5" t="s">
        <v>75</v>
      </c>
      <c r="N507" s="5" t="s">
        <v>2129</v>
      </c>
      <c r="O507" s="5"/>
      <c r="P507" s="5"/>
      <c r="Q507" s="5"/>
      <c r="R507" s="5"/>
      <c r="S507" s="5"/>
      <c r="T507" s="5"/>
      <c r="U507" s="5"/>
      <c r="V507" s="5"/>
      <c r="W507" s="5"/>
      <c r="X507" s="5"/>
      <c r="Y507" s="5"/>
      <c r="Z507" s="5"/>
    </row>
    <row r="508">
      <c r="A508" s="17" t="s">
        <v>2130</v>
      </c>
      <c r="B508" s="7" t="s">
        <v>1067</v>
      </c>
      <c r="C508" s="7" t="s">
        <v>1850</v>
      </c>
      <c r="D508" s="7" t="s">
        <v>85</v>
      </c>
      <c r="E508" s="7" t="s">
        <v>16</v>
      </c>
      <c r="F508" s="7" t="s">
        <v>16</v>
      </c>
      <c r="G508" s="5" t="s">
        <v>19</v>
      </c>
      <c r="H508" s="7" t="s">
        <v>2131</v>
      </c>
      <c r="I508" s="7" t="s">
        <v>2132</v>
      </c>
      <c r="J508" s="8">
        <v>4000.0</v>
      </c>
      <c r="K508" s="7" t="s">
        <v>16</v>
      </c>
      <c r="L508" s="7" t="s">
        <v>16</v>
      </c>
      <c r="M508" s="5" t="s">
        <v>75</v>
      </c>
      <c r="N508" s="5" t="s">
        <v>2133</v>
      </c>
      <c r="O508" s="5"/>
      <c r="P508" s="5"/>
      <c r="Q508" s="5"/>
      <c r="R508" s="5"/>
      <c r="S508" s="5"/>
      <c r="T508" s="5"/>
      <c r="U508" s="5"/>
      <c r="V508" s="5"/>
      <c r="W508" s="5"/>
      <c r="X508" s="5"/>
      <c r="Y508" s="5"/>
      <c r="Z508" s="5"/>
    </row>
    <row r="509">
      <c r="A509" s="17" t="s">
        <v>2134</v>
      </c>
      <c r="B509" s="5" t="s">
        <v>1067</v>
      </c>
      <c r="C509" s="7" t="s">
        <v>1203</v>
      </c>
      <c r="D509" s="7" t="s">
        <v>1203</v>
      </c>
      <c r="E509" s="7" t="s">
        <v>16</v>
      </c>
      <c r="F509" s="7" t="s">
        <v>16</v>
      </c>
      <c r="G509" s="5" t="s">
        <v>19</v>
      </c>
      <c r="H509" s="7" t="s">
        <v>2135</v>
      </c>
      <c r="I509" s="7" t="s">
        <v>2136</v>
      </c>
      <c r="J509" s="8">
        <v>4000.0</v>
      </c>
      <c r="K509" s="7" t="s">
        <v>16</v>
      </c>
      <c r="L509" s="7" t="s">
        <v>16</v>
      </c>
      <c r="M509" s="5" t="s">
        <v>75</v>
      </c>
      <c r="N509" s="5" t="s">
        <v>2137</v>
      </c>
      <c r="O509" s="5"/>
      <c r="P509" s="5"/>
      <c r="Q509" s="5"/>
      <c r="R509" s="5"/>
      <c r="S509" s="5"/>
      <c r="T509" s="5"/>
      <c r="U509" s="5"/>
      <c r="V509" s="5"/>
      <c r="W509" s="5"/>
      <c r="X509" s="5"/>
      <c r="Y509" s="5"/>
      <c r="Z509" s="5"/>
    </row>
    <row r="510">
      <c r="A510" s="17" t="s">
        <v>2138</v>
      </c>
      <c r="B510" s="5" t="s">
        <v>1067</v>
      </c>
      <c r="C510" s="7" t="s">
        <v>1213</v>
      </c>
      <c r="D510" s="7" t="s">
        <v>1213</v>
      </c>
      <c r="E510" s="7" t="s">
        <v>16</v>
      </c>
      <c r="F510" s="7" t="s">
        <v>16</v>
      </c>
      <c r="G510" s="5" t="s">
        <v>19</v>
      </c>
      <c r="H510" s="7" t="s">
        <v>2139</v>
      </c>
      <c r="I510" s="7" t="s">
        <v>1654</v>
      </c>
      <c r="J510" s="8">
        <v>3500.0</v>
      </c>
      <c r="K510" s="7" t="s">
        <v>16</v>
      </c>
      <c r="L510" s="7" t="s">
        <v>16</v>
      </c>
      <c r="M510" s="5" t="s">
        <v>75</v>
      </c>
      <c r="N510" s="5" t="s">
        <v>2140</v>
      </c>
      <c r="O510" s="5"/>
      <c r="P510" s="5"/>
      <c r="Q510" s="5"/>
      <c r="R510" s="5"/>
      <c r="S510" s="5"/>
      <c r="T510" s="5"/>
      <c r="U510" s="5"/>
      <c r="V510" s="5"/>
      <c r="W510" s="5"/>
      <c r="X510" s="5"/>
      <c r="Y510" s="5"/>
      <c r="Z510" s="5"/>
    </row>
    <row r="511">
      <c r="A511" s="17" t="s">
        <v>2141</v>
      </c>
      <c r="B511" s="5" t="s">
        <v>1316</v>
      </c>
      <c r="C511" s="7" t="s">
        <v>2142</v>
      </c>
      <c r="D511" s="7" t="s">
        <v>2142</v>
      </c>
      <c r="E511" s="7" t="s">
        <v>16</v>
      </c>
      <c r="F511" s="7" t="s">
        <v>16</v>
      </c>
      <c r="G511" s="5" t="s">
        <v>19</v>
      </c>
      <c r="H511" s="7" t="s">
        <v>2143</v>
      </c>
      <c r="I511" s="7" t="s">
        <v>2144</v>
      </c>
      <c r="J511" s="8">
        <v>4500.0</v>
      </c>
      <c r="K511" s="7" t="s">
        <v>16</v>
      </c>
      <c r="L511" s="7" t="s">
        <v>16</v>
      </c>
      <c r="M511" s="5" t="s">
        <v>36</v>
      </c>
      <c r="N511" s="5" t="s">
        <v>2145</v>
      </c>
      <c r="O511" s="5"/>
      <c r="P511" s="5"/>
      <c r="Q511" s="5"/>
      <c r="R511" s="5"/>
      <c r="S511" s="5"/>
      <c r="T511" s="5"/>
      <c r="U511" s="5"/>
      <c r="V511" s="5"/>
      <c r="W511" s="5"/>
      <c r="X511" s="5"/>
      <c r="Y511" s="5"/>
      <c r="Z511" s="5"/>
    </row>
    <row r="512">
      <c r="A512" s="17" t="s">
        <v>2146</v>
      </c>
      <c r="B512" s="5" t="s">
        <v>1316</v>
      </c>
      <c r="C512" s="7" t="s">
        <v>2147</v>
      </c>
      <c r="D512" s="7" t="s">
        <v>2147</v>
      </c>
      <c r="E512" s="7" t="s">
        <v>16</v>
      </c>
      <c r="F512" s="7" t="s">
        <v>16</v>
      </c>
      <c r="G512" s="5" t="s">
        <v>19</v>
      </c>
      <c r="H512" s="7" t="s">
        <v>2148</v>
      </c>
      <c r="I512" s="7" t="s">
        <v>2149</v>
      </c>
      <c r="J512" s="8">
        <v>5000.0</v>
      </c>
      <c r="K512" s="7" t="s">
        <v>16</v>
      </c>
      <c r="L512" s="7" t="s">
        <v>16</v>
      </c>
      <c r="M512" s="5" t="s">
        <v>36</v>
      </c>
      <c r="N512" s="5" t="s">
        <v>2150</v>
      </c>
      <c r="O512" s="5"/>
      <c r="P512" s="5"/>
      <c r="Q512" s="5"/>
      <c r="R512" s="5"/>
      <c r="S512" s="5"/>
      <c r="T512" s="5"/>
      <c r="U512" s="5"/>
      <c r="V512" s="5"/>
      <c r="W512" s="5"/>
      <c r="X512" s="5"/>
      <c r="Y512" s="5"/>
      <c r="Z512" s="5"/>
    </row>
    <row r="513">
      <c r="A513" s="17" t="s">
        <v>2151</v>
      </c>
      <c r="B513" s="7" t="s">
        <v>1316</v>
      </c>
      <c r="C513" s="7" t="s">
        <v>2152</v>
      </c>
      <c r="D513" s="7" t="s">
        <v>2152</v>
      </c>
      <c r="E513" s="7" t="s">
        <v>16</v>
      </c>
      <c r="F513" s="7" t="s">
        <v>16</v>
      </c>
      <c r="G513" s="7" t="s">
        <v>19</v>
      </c>
      <c r="H513" s="7" t="s">
        <v>2153</v>
      </c>
      <c r="I513" s="7" t="s">
        <v>2154</v>
      </c>
      <c r="J513" s="8">
        <v>5000.0</v>
      </c>
      <c r="K513" s="7" t="s">
        <v>16</v>
      </c>
      <c r="L513" s="7" t="s">
        <v>16</v>
      </c>
      <c r="M513" s="7" t="s">
        <v>22</v>
      </c>
      <c r="N513" s="7" t="s">
        <v>2155</v>
      </c>
      <c r="O513" s="5"/>
      <c r="P513" s="5"/>
      <c r="Q513" s="5"/>
      <c r="R513" s="5"/>
      <c r="S513" s="5"/>
      <c r="T513" s="5"/>
      <c r="U513" s="5"/>
      <c r="V513" s="5"/>
      <c r="W513" s="5"/>
      <c r="X513" s="5"/>
      <c r="Y513" s="5"/>
      <c r="Z513" s="5"/>
    </row>
    <row r="514">
      <c r="A514" s="17" t="s">
        <v>2156</v>
      </c>
      <c r="B514" s="5" t="s">
        <v>1316</v>
      </c>
      <c r="C514" s="7" t="s">
        <v>2157</v>
      </c>
      <c r="D514" s="7" t="s">
        <v>2157</v>
      </c>
      <c r="E514" s="7" t="s">
        <v>16</v>
      </c>
      <c r="F514" s="7" t="s">
        <v>16</v>
      </c>
      <c r="G514" s="5" t="s">
        <v>19</v>
      </c>
      <c r="H514" s="7" t="s">
        <v>2158</v>
      </c>
      <c r="I514" s="7" t="s">
        <v>2159</v>
      </c>
      <c r="J514" s="8">
        <v>4000.0</v>
      </c>
      <c r="K514" s="7" t="s">
        <v>16</v>
      </c>
      <c r="L514" s="7" t="s">
        <v>16</v>
      </c>
      <c r="M514" s="7" t="s">
        <v>22</v>
      </c>
      <c r="N514" s="7" t="s">
        <v>2160</v>
      </c>
      <c r="O514" s="5"/>
      <c r="P514" s="5"/>
      <c r="Q514" s="5"/>
      <c r="R514" s="5"/>
      <c r="S514" s="5"/>
      <c r="T514" s="5"/>
      <c r="U514" s="5"/>
      <c r="V514" s="5"/>
      <c r="W514" s="5"/>
      <c r="X514" s="5"/>
      <c r="Y514" s="5"/>
      <c r="Z514" s="5"/>
    </row>
    <row r="515">
      <c r="A515" s="17" t="s">
        <v>2161</v>
      </c>
      <c r="B515" s="5" t="s">
        <v>1316</v>
      </c>
      <c r="C515" s="7" t="s">
        <v>2162</v>
      </c>
      <c r="D515" s="7" t="s">
        <v>2162</v>
      </c>
      <c r="E515" s="7" t="s">
        <v>16</v>
      </c>
      <c r="F515" s="7" t="s">
        <v>16</v>
      </c>
      <c r="G515" s="5" t="s">
        <v>19</v>
      </c>
      <c r="H515" s="7" t="s">
        <v>2163</v>
      </c>
      <c r="I515" s="7" t="s">
        <v>2164</v>
      </c>
      <c r="J515" s="8">
        <v>5000.0</v>
      </c>
      <c r="K515" s="7" t="s">
        <v>16</v>
      </c>
      <c r="L515" s="7" t="s">
        <v>16</v>
      </c>
      <c r="M515" s="7" t="s">
        <v>88</v>
      </c>
      <c r="N515" s="7" t="s">
        <v>2165</v>
      </c>
      <c r="O515" s="5"/>
      <c r="P515" s="5"/>
      <c r="Q515" s="5"/>
      <c r="R515" s="5"/>
      <c r="S515" s="5"/>
      <c r="T515" s="5"/>
      <c r="U515" s="5"/>
      <c r="V515" s="5"/>
      <c r="W515" s="5"/>
      <c r="X515" s="5"/>
      <c r="Y515" s="5"/>
      <c r="Z515" s="5"/>
    </row>
    <row r="516">
      <c r="A516" s="17" t="s">
        <v>2166</v>
      </c>
      <c r="B516" s="5" t="s">
        <v>1316</v>
      </c>
      <c r="C516" s="7" t="s">
        <v>2167</v>
      </c>
      <c r="D516" s="7" t="s">
        <v>2167</v>
      </c>
      <c r="E516" s="7" t="s">
        <v>16</v>
      </c>
      <c r="F516" s="7" t="s">
        <v>16</v>
      </c>
      <c r="G516" s="5" t="s">
        <v>19</v>
      </c>
      <c r="H516" s="7" t="s">
        <v>2168</v>
      </c>
      <c r="I516" s="7" t="s">
        <v>2169</v>
      </c>
      <c r="J516" s="8">
        <v>6000.0</v>
      </c>
      <c r="K516" s="7" t="s">
        <v>16</v>
      </c>
      <c r="L516" s="7" t="s">
        <v>16</v>
      </c>
      <c r="M516" s="7" t="s">
        <v>88</v>
      </c>
      <c r="N516" s="7" t="s">
        <v>2170</v>
      </c>
      <c r="O516" s="5"/>
      <c r="P516" s="5"/>
      <c r="Q516" s="5"/>
      <c r="R516" s="5"/>
      <c r="S516" s="5"/>
      <c r="T516" s="5"/>
      <c r="U516" s="5"/>
      <c r="V516" s="5"/>
      <c r="W516" s="5"/>
      <c r="X516" s="5"/>
      <c r="Y516" s="5"/>
      <c r="Z516" s="5"/>
    </row>
    <row r="517">
      <c r="A517" s="17" t="s">
        <v>2171</v>
      </c>
      <c r="B517" s="5" t="s">
        <v>1316</v>
      </c>
      <c r="C517" s="7" t="s">
        <v>2172</v>
      </c>
      <c r="D517" s="7" t="s">
        <v>2172</v>
      </c>
      <c r="E517" s="7" t="s">
        <v>16</v>
      </c>
      <c r="F517" s="7" t="s">
        <v>16</v>
      </c>
      <c r="G517" s="5" t="s">
        <v>19</v>
      </c>
      <c r="H517" s="7" t="s">
        <v>2173</v>
      </c>
      <c r="I517" s="7" t="s">
        <v>2174</v>
      </c>
      <c r="J517" s="8">
        <v>6000.0</v>
      </c>
      <c r="K517" s="7" t="s">
        <v>16</v>
      </c>
      <c r="L517" s="7" t="s">
        <v>16</v>
      </c>
      <c r="M517" s="7" t="s">
        <v>88</v>
      </c>
      <c r="N517" s="7" t="s">
        <v>2175</v>
      </c>
      <c r="O517" s="5"/>
      <c r="P517" s="5"/>
      <c r="Q517" s="5"/>
      <c r="R517" s="5"/>
      <c r="S517" s="5"/>
      <c r="T517" s="5"/>
      <c r="U517" s="5"/>
      <c r="V517" s="5"/>
      <c r="W517" s="5"/>
      <c r="X517" s="5"/>
      <c r="Y517" s="5"/>
      <c r="Z517" s="5"/>
    </row>
    <row r="518">
      <c r="A518" s="17" t="s">
        <v>2176</v>
      </c>
      <c r="B518" s="5" t="s">
        <v>1316</v>
      </c>
      <c r="C518" s="7" t="s">
        <v>2177</v>
      </c>
      <c r="D518" s="7" t="s">
        <v>2177</v>
      </c>
      <c r="E518" s="7" t="s">
        <v>16</v>
      </c>
      <c r="F518" s="7" t="s">
        <v>16</v>
      </c>
      <c r="G518" s="5" t="s">
        <v>461</v>
      </c>
      <c r="H518" s="7" t="s">
        <v>2178</v>
      </c>
      <c r="I518" s="7" t="s">
        <v>2179</v>
      </c>
      <c r="J518" s="8">
        <v>8000.0</v>
      </c>
      <c r="K518" s="7" t="s">
        <v>16</v>
      </c>
      <c r="L518" s="7" t="s">
        <v>16</v>
      </c>
      <c r="M518" s="7" t="s">
        <v>88</v>
      </c>
      <c r="N518" s="7" t="s">
        <v>2180</v>
      </c>
      <c r="O518" s="5"/>
      <c r="P518" s="5"/>
      <c r="Q518" s="5"/>
      <c r="R518" s="5"/>
      <c r="S518" s="5"/>
      <c r="T518" s="5"/>
      <c r="U518" s="5"/>
      <c r="V518" s="5"/>
      <c r="W518" s="5"/>
      <c r="X518" s="5"/>
      <c r="Y518" s="5"/>
      <c r="Z518" s="5"/>
    </row>
    <row r="519">
      <c r="A519" s="17" t="s">
        <v>2181</v>
      </c>
      <c r="B519" s="5" t="s">
        <v>1067</v>
      </c>
      <c r="C519" s="7" t="s">
        <v>2182</v>
      </c>
      <c r="D519" s="7" t="s">
        <v>2182</v>
      </c>
      <c r="E519" s="7" t="s">
        <v>16</v>
      </c>
      <c r="F519" s="7" t="s">
        <v>16</v>
      </c>
      <c r="G519" s="5" t="s">
        <v>19</v>
      </c>
      <c r="H519" s="7" t="s">
        <v>2183</v>
      </c>
      <c r="I519" s="7" t="s">
        <v>2184</v>
      </c>
      <c r="J519" s="8">
        <v>2000.0</v>
      </c>
      <c r="K519" s="7" t="s">
        <v>16</v>
      </c>
      <c r="L519" s="7" t="s">
        <v>16</v>
      </c>
      <c r="M519" s="7" t="s">
        <v>36</v>
      </c>
      <c r="N519" s="7" t="s">
        <v>2185</v>
      </c>
      <c r="O519" s="5"/>
      <c r="P519" s="5"/>
      <c r="Q519" s="5"/>
      <c r="R519" s="5"/>
      <c r="S519" s="5"/>
      <c r="T519" s="5"/>
      <c r="U519" s="5"/>
      <c r="V519" s="5"/>
      <c r="W519" s="5"/>
      <c r="X519" s="5"/>
      <c r="Y519" s="5"/>
      <c r="Z519" s="5"/>
    </row>
    <row r="520">
      <c r="A520" s="17" t="s">
        <v>2186</v>
      </c>
      <c r="B520" s="5" t="s">
        <v>1067</v>
      </c>
      <c r="C520" s="7" t="s">
        <v>2187</v>
      </c>
      <c r="D520" s="7" t="s">
        <v>2187</v>
      </c>
      <c r="E520" s="7" t="s">
        <v>16</v>
      </c>
      <c r="F520" s="7" t="s">
        <v>16</v>
      </c>
      <c r="G520" s="5" t="s">
        <v>19</v>
      </c>
      <c r="H520" s="7" t="s">
        <v>2188</v>
      </c>
      <c r="I520" s="7" t="s">
        <v>2189</v>
      </c>
      <c r="J520" s="8">
        <v>4000.0</v>
      </c>
      <c r="K520" s="7" t="s">
        <v>16</v>
      </c>
      <c r="L520" s="7" t="s">
        <v>16</v>
      </c>
      <c r="M520" s="7" t="s">
        <v>36</v>
      </c>
      <c r="N520" s="7" t="s">
        <v>2190</v>
      </c>
      <c r="O520" s="5"/>
      <c r="P520" s="5"/>
      <c r="Q520" s="5"/>
      <c r="R520" s="5"/>
      <c r="S520" s="5"/>
      <c r="T520" s="5"/>
      <c r="U520" s="5"/>
      <c r="V520" s="5"/>
      <c r="W520" s="5"/>
      <c r="X520" s="5"/>
      <c r="Y520" s="5"/>
      <c r="Z520" s="5"/>
    </row>
    <row r="521">
      <c r="A521" s="17" t="s">
        <v>2191</v>
      </c>
      <c r="B521" s="5" t="s">
        <v>1067</v>
      </c>
      <c r="C521" s="7" t="s">
        <v>2192</v>
      </c>
      <c r="D521" s="7" t="s">
        <v>2193</v>
      </c>
      <c r="E521" s="7" t="s">
        <v>16</v>
      </c>
      <c r="F521" s="7" t="s">
        <v>16</v>
      </c>
      <c r="G521" s="5" t="s">
        <v>19</v>
      </c>
      <c r="H521" s="7" t="s">
        <v>2194</v>
      </c>
      <c r="I521" s="7" t="s">
        <v>2195</v>
      </c>
      <c r="J521" s="8">
        <v>4000.0</v>
      </c>
      <c r="K521" s="7" t="s">
        <v>16</v>
      </c>
      <c r="L521" s="7" t="s">
        <v>16</v>
      </c>
      <c r="M521" s="7" t="s">
        <v>88</v>
      </c>
      <c r="N521" s="7" t="s">
        <v>2196</v>
      </c>
      <c r="O521" s="5"/>
      <c r="P521" s="5"/>
      <c r="Q521" s="5"/>
      <c r="R521" s="5"/>
      <c r="S521" s="5"/>
      <c r="T521" s="5"/>
      <c r="U521" s="5"/>
      <c r="V521" s="5"/>
      <c r="W521" s="5"/>
      <c r="X521" s="5"/>
      <c r="Y521" s="5"/>
      <c r="Z521" s="5"/>
    </row>
    <row r="522">
      <c r="A522" s="17" t="s">
        <v>2197</v>
      </c>
      <c r="B522" s="5" t="s">
        <v>1067</v>
      </c>
      <c r="C522" s="7" t="s">
        <v>2198</v>
      </c>
      <c r="D522" s="7" t="s">
        <v>2199</v>
      </c>
      <c r="E522" s="7" t="s">
        <v>16</v>
      </c>
      <c r="F522" s="7" t="s">
        <v>16</v>
      </c>
      <c r="G522" s="5" t="s">
        <v>19</v>
      </c>
      <c r="H522" s="7" t="s">
        <v>2200</v>
      </c>
      <c r="I522" s="7" t="s">
        <v>2201</v>
      </c>
      <c r="J522" s="8">
        <v>3000.0</v>
      </c>
      <c r="K522" s="7" t="s">
        <v>16</v>
      </c>
      <c r="L522" s="7" t="s">
        <v>16</v>
      </c>
      <c r="M522" s="7" t="s">
        <v>88</v>
      </c>
      <c r="N522" s="7" t="s">
        <v>2202</v>
      </c>
      <c r="O522" s="5"/>
      <c r="P522" s="5"/>
      <c r="Q522" s="5"/>
      <c r="R522" s="5"/>
      <c r="S522" s="5"/>
      <c r="T522" s="5"/>
      <c r="U522" s="5"/>
      <c r="V522" s="5"/>
      <c r="W522" s="5"/>
      <c r="X522" s="5"/>
      <c r="Y522" s="5"/>
      <c r="Z522" s="5"/>
    </row>
    <row r="523">
      <c r="A523" s="17" t="s">
        <v>2203</v>
      </c>
      <c r="B523" s="5" t="s">
        <v>1067</v>
      </c>
      <c r="C523" s="7" t="s">
        <v>1068</v>
      </c>
      <c r="D523" s="7" t="s">
        <v>1068</v>
      </c>
      <c r="E523" s="7" t="s">
        <v>16</v>
      </c>
      <c r="F523" s="7" t="s">
        <v>16</v>
      </c>
      <c r="G523" s="5" t="s">
        <v>19</v>
      </c>
      <c r="H523" s="7" t="s">
        <v>2204</v>
      </c>
      <c r="I523" s="7" t="s">
        <v>2205</v>
      </c>
      <c r="J523" s="8">
        <v>4000.0</v>
      </c>
      <c r="K523" s="7" t="s">
        <v>16</v>
      </c>
      <c r="L523" s="7" t="s">
        <v>16</v>
      </c>
      <c r="M523" s="7" t="s">
        <v>22</v>
      </c>
      <c r="N523" s="7" t="s">
        <v>1581</v>
      </c>
      <c r="O523" s="5"/>
      <c r="P523" s="5"/>
      <c r="Q523" s="5"/>
      <c r="R523" s="5"/>
      <c r="S523" s="5"/>
      <c r="T523" s="5"/>
      <c r="U523" s="5"/>
      <c r="V523" s="5"/>
      <c r="W523" s="5"/>
      <c r="X523" s="5"/>
      <c r="Y523" s="5"/>
      <c r="Z523" s="5"/>
    </row>
    <row r="524">
      <c r="A524" s="17" t="s">
        <v>2206</v>
      </c>
      <c r="B524" s="5" t="s">
        <v>1067</v>
      </c>
      <c r="C524" s="7" t="s">
        <v>2207</v>
      </c>
      <c r="D524" s="7" t="s">
        <v>2207</v>
      </c>
      <c r="E524" s="7" t="s">
        <v>16</v>
      </c>
      <c r="F524" s="7" t="s">
        <v>16</v>
      </c>
      <c r="G524" s="5" t="s">
        <v>19</v>
      </c>
      <c r="H524" s="7" t="s">
        <v>2208</v>
      </c>
      <c r="I524" s="7" t="s">
        <v>2209</v>
      </c>
      <c r="J524" s="8">
        <v>4000.0</v>
      </c>
      <c r="K524" s="7" t="s">
        <v>16</v>
      </c>
      <c r="L524" s="7" t="s">
        <v>16</v>
      </c>
      <c r="M524" s="7" t="s">
        <v>36</v>
      </c>
      <c r="N524" s="7" t="s">
        <v>2210</v>
      </c>
      <c r="O524" s="5"/>
      <c r="P524" s="5"/>
      <c r="Q524" s="5"/>
      <c r="R524" s="5"/>
      <c r="S524" s="5"/>
      <c r="T524" s="5"/>
      <c r="U524" s="5"/>
      <c r="V524" s="5"/>
      <c r="W524" s="5"/>
      <c r="X524" s="5"/>
      <c r="Y524" s="5"/>
      <c r="Z524" s="5"/>
    </row>
    <row r="525">
      <c r="A525" s="17" t="s">
        <v>2211</v>
      </c>
      <c r="B525" s="5" t="s">
        <v>1067</v>
      </c>
      <c r="C525" s="7" t="s">
        <v>2212</v>
      </c>
      <c r="D525" s="7" t="s">
        <v>16</v>
      </c>
      <c r="E525" s="7" t="s">
        <v>16</v>
      </c>
      <c r="F525" s="7" t="s">
        <v>16</v>
      </c>
      <c r="G525" s="5" t="s">
        <v>19</v>
      </c>
      <c r="H525" s="7" t="s">
        <v>2213</v>
      </c>
      <c r="I525" s="7" t="s">
        <v>2214</v>
      </c>
      <c r="J525" s="8">
        <v>5500.0</v>
      </c>
      <c r="K525" s="7" t="s">
        <v>16</v>
      </c>
      <c r="L525" s="7" t="s">
        <v>16</v>
      </c>
      <c r="M525" s="7" t="s">
        <v>75</v>
      </c>
      <c r="N525" s="7" t="s">
        <v>2215</v>
      </c>
      <c r="O525" s="5"/>
      <c r="P525" s="5"/>
      <c r="Q525" s="5"/>
      <c r="R525" s="5"/>
      <c r="S525" s="5"/>
      <c r="T525" s="5"/>
      <c r="U525" s="5"/>
      <c r="V525" s="5"/>
      <c r="W525" s="5"/>
      <c r="X525" s="5"/>
      <c r="Y525" s="5"/>
      <c r="Z525" s="5"/>
    </row>
    <row r="526">
      <c r="A526" s="17" t="s">
        <v>2216</v>
      </c>
      <c r="B526" s="7" t="s">
        <v>1067</v>
      </c>
      <c r="C526" s="7" t="s">
        <v>2217</v>
      </c>
      <c r="D526" s="7" t="s">
        <v>16</v>
      </c>
      <c r="E526" s="7" t="s">
        <v>16</v>
      </c>
      <c r="F526" s="7" t="s">
        <v>16</v>
      </c>
      <c r="G526" s="5" t="s">
        <v>19</v>
      </c>
      <c r="H526" s="7" t="s">
        <v>2218</v>
      </c>
      <c r="I526" s="7" t="s">
        <v>2219</v>
      </c>
      <c r="J526" s="8">
        <v>7000.0</v>
      </c>
      <c r="K526" s="7" t="s">
        <v>16</v>
      </c>
      <c r="L526" s="7" t="s">
        <v>16</v>
      </c>
      <c r="M526" s="7" t="s">
        <v>75</v>
      </c>
      <c r="N526" s="7" t="s">
        <v>2220</v>
      </c>
      <c r="O526" s="5"/>
      <c r="P526" s="5"/>
      <c r="Q526" s="5"/>
      <c r="R526" s="5"/>
      <c r="S526" s="5"/>
      <c r="T526" s="5"/>
      <c r="U526" s="5"/>
      <c r="V526" s="5"/>
      <c r="W526" s="5"/>
      <c r="X526" s="5"/>
      <c r="Y526" s="5"/>
      <c r="Z526" s="5"/>
    </row>
    <row r="527">
      <c r="A527" s="17" t="s">
        <v>2221</v>
      </c>
      <c r="B527" s="7" t="s">
        <v>1067</v>
      </c>
      <c r="C527" s="7" t="s">
        <v>2222</v>
      </c>
      <c r="D527" s="7" t="s">
        <v>16</v>
      </c>
      <c r="E527" s="7" t="s">
        <v>16</v>
      </c>
      <c r="F527" s="7" t="s">
        <v>16</v>
      </c>
      <c r="G527" s="5" t="s">
        <v>19</v>
      </c>
      <c r="H527" s="7" t="s">
        <v>2223</v>
      </c>
      <c r="I527" s="7" t="s">
        <v>2224</v>
      </c>
      <c r="J527" s="8">
        <v>7000.0</v>
      </c>
      <c r="K527" s="7" t="s">
        <v>16</v>
      </c>
      <c r="L527" s="7" t="s">
        <v>16</v>
      </c>
      <c r="M527" s="7" t="s">
        <v>75</v>
      </c>
      <c r="N527" s="7" t="s">
        <v>2225</v>
      </c>
      <c r="O527" s="5"/>
      <c r="P527" s="5"/>
      <c r="Q527" s="5"/>
      <c r="R527" s="5"/>
      <c r="S527" s="5"/>
      <c r="T527" s="5"/>
      <c r="U527" s="5"/>
      <c r="V527" s="5"/>
      <c r="W527" s="5"/>
      <c r="X527" s="5"/>
      <c r="Y527" s="5"/>
      <c r="Z527" s="5"/>
    </row>
    <row r="528">
      <c r="A528" s="17" t="s">
        <v>2226</v>
      </c>
      <c r="B528" s="7" t="s">
        <v>1316</v>
      </c>
      <c r="C528" s="7" t="s">
        <v>1421</v>
      </c>
      <c r="D528" s="7" t="s">
        <v>1421</v>
      </c>
      <c r="E528" s="7" t="s">
        <v>16</v>
      </c>
      <c r="F528" s="7" t="s">
        <v>16</v>
      </c>
      <c r="G528" s="5" t="s">
        <v>19</v>
      </c>
      <c r="H528" s="7" t="s">
        <v>2227</v>
      </c>
      <c r="I528" s="7" t="s">
        <v>2228</v>
      </c>
      <c r="J528" s="8">
        <v>5000.0</v>
      </c>
      <c r="K528" s="7" t="s">
        <v>16</v>
      </c>
      <c r="L528" s="7" t="s">
        <v>16</v>
      </c>
      <c r="M528" s="7" t="s">
        <v>88</v>
      </c>
      <c r="N528" s="7" t="s">
        <v>2229</v>
      </c>
      <c r="O528" s="5"/>
      <c r="P528" s="5"/>
      <c r="Q528" s="5"/>
      <c r="R528" s="5"/>
      <c r="S528" s="5"/>
      <c r="T528" s="5"/>
      <c r="U528" s="5"/>
      <c r="V528" s="5"/>
      <c r="W528" s="5"/>
      <c r="X528" s="5"/>
      <c r="Y528" s="5"/>
      <c r="Z528" s="5"/>
    </row>
    <row r="529">
      <c r="A529" s="17" t="s">
        <v>2230</v>
      </c>
      <c r="B529" s="7" t="s">
        <v>1316</v>
      </c>
      <c r="C529" s="7" t="s">
        <v>1426</v>
      </c>
      <c r="D529" s="7" t="s">
        <v>16</v>
      </c>
      <c r="E529" s="7" t="s">
        <v>16</v>
      </c>
      <c r="F529" s="7" t="s">
        <v>16</v>
      </c>
      <c r="G529" s="5" t="s">
        <v>19</v>
      </c>
      <c r="H529" s="7" t="s">
        <v>2231</v>
      </c>
      <c r="I529" s="7" t="s">
        <v>2232</v>
      </c>
      <c r="J529" s="8">
        <v>4000.0</v>
      </c>
      <c r="K529" s="7" t="s">
        <v>16</v>
      </c>
      <c r="L529" s="7" t="s">
        <v>16</v>
      </c>
      <c r="M529" s="7" t="s">
        <v>22</v>
      </c>
      <c r="N529" s="7" t="s">
        <v>2233</v>
      </c>
      <c r="O529" s="5"/>
      <c r="P529" s="5"/>
      <c r="Q529" s="5"/>
      <c r="R529" s="5"/>
      <c r="S529" s="5"/>
      <c r="T529" s="5"/>
      <c r="U529" s="5"/>
      <c r="V529" s="5"/>
      <c r="W529" s="5"/>
      <c r="X529" s="5"/>
      <c r="Y529" s="5"/>
      <c r="Z529" s="5"/>
    </row>
    <row r="530">
      <c r="A530" s="17" t="s">
        <v>2234</v>
      </c>
      <c r="B530" s="7" t="s">
        <v>1316</v>
      </c>
      <c r="C530" s="7" t="s">
        <v>2235</v>
      </c>
      <c r="D530" s="7" t="s">
        <v>2235</v>
      </c>
      <c r="E530" s="7" t="s">
        <v>16</v>
      </c>
      <c r="F530" s="7" t="s">
        <v>16</v>
      </c>
      <c r="G530" s="5" t="s">
        <v>19</v>
      </c>
      <c r="H530" s="7" t="s">
        <v>1411</v>
      </c>
      <c r="I530" s="7" t="s">
        <v>2236</v>
      </c>
      <c r="J530" s="8">
        <v>4000.0</v>
      </c>
      <c r="K530" s="7" t="s">
        <v>16</v>
      </c>
      <c r="L530" s="7" t="s">
        <v>16</v>
      </c>
      <c r="M530" s="7" t="s">
        <v>22</v>
      </c>
      <c r="N530" s="7" t="s">
        <v>2237</v>
      </c>
      <c r="O530" s="5"/>
      <c r="P530" s="5"/>
      <c r="Q530" s="5"/>
      <c r="R530" s="5"/>
      <c r="S530" s="5"/>
      <c r="T530" s="5"/>
      <c r="U530" s="5"/>
      <c r="V530" s="5"/>
      <c r="W530" s="5"/>
      <c r="X530" s="5"/>
      <c r="Y530" s="5"/>
      <c r="Z530" s="5"/>
    </row>
    <row r="531">
      <c r="A531" s="17" t="s">
        <v>2238</v>
      </c>
      <c r="B531" s="7" t="s">
        <v>1316</v>
      </c>
      <c r="C531" s="7" t="s">
        <v>2239</v>
      </c>
      <c r="D531" s="7" t="s">
        <v>2235</v>
      </c>
      <c r="E531" s="7" t="s">
        <v>16</v>
      </c>
      <c r="F531" s="7" t="s">
        <v>16</v>
      </c>
      <c r="G531" s="5" t="s">
        <v>19</v>
      </c>
      <c r="H531" s="7" t="s">
        <v>2240</v>
      </c>
      <c r="I531" s="7" t="s">
        <v>2241</v>
      </c>
      <c r="J531" s="8">
        <v>5000.0</v>
      </c>
      <c r="K531" s="7" t="s">
        <v>16</v>
      </c>
      <c r="L531" s="7" t="s">
        <v>16</v>
      </c>
      <c r="M531" s="7" t="s">
        <v>75</v>
      </c>
      <c r="N531" s="7" t="s">
        <v>2242</v>
      </c>
      <c r="O531" s="5"/>
      <c r="P531" s="5"/>
      <c r="Q531" s="5"/>
      <c r="R531" s="5"/>
      <c r="S531" s="5"/>
      <c r="T531" s="5"/>
      <c r="U531" s="5"/>
      <c r="V531" s="5"/>
      <c r="W531" s="5"/>
      <c r="X531" s="5"/>
      <c r="Y531" s="5"/>
      <c r="Z531" s="5"/>
    </row>
    <row r="532">
      <c r="A532" s="17" t="s">
        <v>2243</v>
      </c>
      <c r="B532" s="7" t="s">
        <v>1067</v>
      </c>
      <c r="C532" s="7" t="s">
        <v>1068</v>
      </c>
      <c r="D532" s="7" t="s">
        <v>1068</v>
      </c>
      <c r="E532" s="7" t="s">
        <v>16</v>
      </c>
      <c r="F532" s="7" t="s">
        <v>16</v>
      </c>
      <c r="G532" s="7" t="s">
        <v>19</v>
      </c>
      <c r="H532" s="7" t="s">
        <v>2244</v>
      </c>
      <c r="I532" s="7" t="s">
        <v>2245</v>
      </c>
      <c r="J532" s="8">
        <v>4000.0</v>
      </c>
      <c r="K532" s="7" t="s">
        <v>16</v>
      </c>
      <c r="L532" s="7" t="s">
        <v>2246</v>
      </c>
      <c r="M532" s="7" t="s">
        <v>22</v>
      </c>
      <c r="N532" s="7" t="s">
        <v>2247</v>
      </c>
      <c r="O532" s="5"/>
      <c r="P532" s="5"/>
      <c r="Q532" s="5"/>
      <c r="R532" s="5"/>
      <c r="S532" s="5"/>
      <c r="T532" s="5"/>
      <c r="U532" s="5"/>
      <c r="V532" s="5"/>
      <c r="W532" s="5"/>
      <c r="X532" s="5"/>
      <c r="Y532" s="5"/>
      <c r="Z532" s="5"/>
    </row>
    <row r="533">
      <c r="A533" s="17" t="s">
        <v>2248</v>
      </c>
      <c r="B533" s="7" t="s">
        <v>1067</v>
      </c>
      <c r="C533" s="7" t="s">
        <v>1068</v>
      </c>
      <c r="D533" s="7" t="s">
        <v>1068</v>
      </c>
      <c r="E533" s="7" t="s">
        <v>16</v>
      </c>
      <c r="F533" s="7" t="s">
        <v>16</v>
      </c>
      <c r="G533" s="7" t="s">
        <v>19</v>
      </c>
      <c r="H533" s="7" t="s">
        <v>2244</v>
      </c>
      <c r="I533" s="7" t="s">
        <v>2249</v>
      </c>
      <c r="J533" s="8">
        <v>4000.0</v>
      </c>
      <c r="K533" s="7" t="s">
        <v>16</v>
      </c>
      <c r="L533" s="7" t="s">
        <v>2246</v>
      </c>
      <c r="M533" s="7" t="s">
        <v>22</v>
      </c>
      <c r="N533" s="7" t="s">
        <v>2247</v>
      </c>
      <c r="O533" s="5"/>
      <c r="P533" s="5"/>
      <c r="Q533" s="5"/>
      <c r="R533" s="5"/>
      <c r="S533" s="5"/>
      <c r="T533" s="5"/>
      <c r="U533" s="5"/>
      <c r="V533" s="5"/>
      <c r="W533" s="5"/>
      <c r="X533" s="5"/>
      <c r="Y533" s="5"/>
      <c r="Z533" s="5"/>
    </row>
    <row r="534">
      <c r="A534" s="17" t="s">
        <v>2250</v>
      </c>
      <c r="B534" s="5" t="s">
        <v>1316</v>
      </c>
      <c r="C534" s="7" t="s">
        <v>1426</v>
      </c>
      <c r="D534" s="7" t="s">
        <v>1426</v>
      </c>
      <c r="E534" s="7" t="s">
        <v>16</v>
      </c>
      <c r="F534" s="7" t="s">
        <v>16</v>
      </c>
      <c r="G534" s="5" t="s">
        <v>19</v>
      </c>
      <c r="H534" s="7" t="s">
        <v>2251</v>
      </c>
      <c r="I534" s="7" t="s">
        <v>2252</v>
      </c>
      <c r="J534" s="8">
        <v>5000.0</v>
      </c>
      <c r="K534" s="7" t="s">
        <v>16</v>
      </c>
      <c r="L534" s="7" t="s">
        <v>2246</v>
      </c>
      <c r="M534" s="7" t="s">
        <v>75</v>
      </c>
      <c r="N534" s="7" t="s">
        <v>2253</v>
      </c>
      <c r="O534" s="5"/>
      <c r="P534" s="5"/>
      <c r="Q534" s="5"/>
      <c r="R534" s="5"/>
      <c r="S534" s="5"/>
      <c r="T534" s="5"/>
      <c r="U534" s="5"/>
      <c r="V534" s="5"/>
      <c r="W534" s="5"/>
      <c r="X534" s="5"/>
      <c r="Y534" s="5"/>
      <c r="Z534" s="5"/>
    </row>
    <row r="535">
      <c r="A535" s="17" t="s">
        <v>2254</v>
      </c>
      <c r="B535" s="5" t="s">
        <v>1067</v>
      </c>
      <c r="C535" s="7" t="s">
        <v>1421</v>
      </c>
      <c r="D535" s="7" t="s">
        <v>1421</v>
      </c>
      <c r="E535" s="7" t="s">
        <v>16</v>
      </c>
      <c r="F535" s="7" t="s">
        <v>16</v>
      </c>
      <c r="G535" s="5" t="s">
        <v>19</v>
      </c>
      <c r="H535" s="7" t="s">
        <v>2255</v>
      </c>
      <c r="I535" s="7" t="s">
        <v>2256</v>
      </c>
      <c r="J535" s="8">
        <v>5000.0</v>
      </c>
      <c r="K535" s="7" t="s">
        <v>16</v>
      </c>
      <c r="L535" s="7" t="s">
        <v>16</v>
      </c>
      <c r="M535" s="7" t="s">
        <v>75</v>
      </c>
      <c r="N535" s="7" t="s">
        <v>2257</v>
      </c>
      <c r="O535" s="5"/>
      <c r="P535" s="5"/>
      <c r="Q535" s="5"/>
      <c r="R535" s="5"/>
      <c r="S535" s="5"/>
      <c r="T535" s="5"/>
      <c r="U535" s="5"/>
      <c r="V535" s="5"/>
      <c r="W535" s="5"/>
      <c r="X535" s="5"/>
      <c r="Y535" s="5"/>
      <c r="Z535" s="5"/>
    </row>
    <row r="536">
      <c r="A536" s="17" t="s">
        <v>2258</v>
      </c>
      <c r="B536" s="7" t="s">
        <v>1067</v>
      </c>
      <c r="C536" s="7" t="s">
        <v>1194</v>
      </c>
      <c r="D536" s="7" t="s">
        <v>1194</v>
      </c>
      <c r="E536" s="7" t="s">
        <v>16</v>
      </c>
      <c r="F536" s="7" t="s">
        <v>16</v>
      </c>
      <c r="G536" s="7" t="s">
        <v>19</v>
      </c>
      <c r="H536" s="7" t="s">
        <v>2259</v>
      </c>
      <c r="I536" s="7" t="s">
        <v>2260</v>
      </c>
      <c r="J536" s="8">
        <v>5000.0</v>
      </c>
      <c r="K536" s="7" t="s">
        <v>16</v>
      </c>
      <c r="L536" s="7" t="s">
        <v>2246</v>
      </c>
      <c r="M536" s="7" t="s">
        <v>22</v>
      </c>
      <c r="N536" s="7" t="s">
        <v>2261</v>
      </c>
      <c r="O536" s="5"/>
      <c r="P536" s="5"/>
      <c r="Q536" s="5"/>
      <c r="R536" s="5"/>
      <c r="S536" s="5"/>
      <c r="T536" s="5"/>
      <c r="U536" s="5"/>
      <c r="V536" s="5"/>
      <c r="W536" s="5"/>
      <c r="X536" s="5"/>
      <c r="Y536" s="5"/>
      <c r="Z536" s="5"/>
    </row>
    <row r="537">
      <c r="A537" s="17" t="s">
        <v>2262</v>
      </c>
      <c r="B537" s="5" t="s">
        <v>1067</v>
      </c>
      <c r="C537" s="7" t="s">
        <v>1400</v>
      </c>
      <c r="D537" s="7" t="s">
        <v>1400</v>
      </c>
      <c r="E537" s="7" t="s">
        <v>16</v>
      </c>
      <c r="F537" s="7" t="s">
        <v>16</v>
      </c>
      <c r="G537" s="5" t="s">
        <v>19</v>
      </c>
      <c r="H537" s="7" t="s">
        <v>2263</v>
      </c>
      <c r="I537" s="7" t="s">
        <v>2264</v>
      </c>
      <c r="J537" s="8">
        <v>5000.0</v>
      </c>
      <c r="K537" s="7" t="s">
        <v>16</v>
      </c>
      <c r="L537" s="7" t="s">
        <v>2246</v>
      </c>
      <c r="M537" s="7" t="s">
        <v>22</v>
      </c>
      <c r="N537" s="7" t="s">
        <v>2265</v>
      </c>
      <c r="O537" s="5"/>
      <c r="P537" s="5"/>
      <c r="Q537" s="5"/>
      <c r="R537" s="5"/>
      <c r="S537" s="5"/>
      <c r="T537" s="5"/>
      <c r="U537" s="5"/>
      <c r="V537" s="5"/>
      <c r="W537" s="5"/>
      <c r="X537" s="5"/>
      <c r="Y537" s="5"/>
      <c r="Z537" s="5"/>
    </row>
    <row r="538">
      <c r="A538" s="17" t="s">
        <v>2266</v>
      </c>
      <c r="B538" s="5" t="s">
        <v>1067</v>
      </c>
      <c r="C538" s="7" t="s">
        <v>1068</v>
      </c>
      <c r="D538" s="7" t="s">
        <v>1068</v>
      </c>
      <c r="E538" s="7" t="s">
        <v>16</v>
      </c>
      <c r="F538" s="7" t="s">
        <v>16</v>
      </c>
      <c r="G538" s="5" t="s">
        <v>19</v>
      </c>
      <c r="H538" s="7" t="s">
        <v>2267</v>
      </c>
      <c r="I538" s="7" t="s">
        <v>2268</v>
      </c>
      <c r="J538" s="8">
        <v>5000.0</v>
      </c>
      <c r="K538" s="7" t="s">
        <v>16</v>
      </c>
      <c r="L538" s="7" t="s">
        <v>16</v>
      </c>
      <c r="M538" s="7" t="s">
        <v>88</v>
      </c>
      <c r="N538" s="7" t="s">
        <v>2269</v>
      </c>
      <c r="O538" s="5"/>
      <c r="P538" s="5"/>
      <c r="Q538" s="5"/>
      <c r="R538" s="5"/>
      <c r="S538" s="5"/>
      <c r="T538" s="5"/>
      <c r="U538" s="5"/>
      <c r="V538" s="5"/>
      <c r="W538" s="5"/>
      <c r="X538" s="5"/>
      <c r="Y538" s="5"/>
      <c r="Z538" s="5"/>
    </row>
    <row r="539">
      <c r="A539" s="17" t="s">
        <v>2270</v>
      </c>
      <c r="B539" s="5" t="s">
        <v>1067</v>
      </c>
      <c r="C539" s="7" t="s">
        <v>1194</v>
      </c>
      <c r="D539" s="7" t="s">
        <v>1194</v>
      </c>
      <c r="E539" s="7" t="s">
        <v>16</v>
      </c>
      <c r="F539" s="7" t="s">
        <v>16</v>
      </c>
      <c r="G539" s="5" t="s">
        <v>19</v>
      </c>
      <c r="H539" s="7" t="s">
        <v>2271</v>
      </c>
      <c r="I539" s="7" t="s">
        <v>2272</v>
      </c>
      <c r="J539" s="8">
        <v>5000.0</v>
      </c>
      <c r="K539" s="7" t="s">
        <v>16</v>
      </c>
      <c r="L539" s="7" t="s">
        <v>16</v>
      </c>
      <c r="M539" s="7" t="s">
        <v>75</v>
      </c>
      <c r="N539" s="7" t="s">
        <v>2273</v>
      </c>
      <c r="O539" s="5"/>
      <c r="P539" s="5"/>
      <c r="Q539" s="5"/>
      <c r="R539" s="5"/>
      <c r="S539" s="5"/>
      <c r="T539" s="5"/>
      <c r="U539" s="5"/>
      <c r="V539" s="5"/>
      <c r="W539" s="5"/>
      <c r="X539" s="5"/>
      <c r="Y539" s="5"/>
      <c r="Z539" s="5"/>
    </row>
    <row r="540">
      <c r="A540" s="17" t="s">
        <v>2274</v>
      </c>
      <c r="B540" s="5" t="s">
        <v>1067</v>
      </c>
      <c r="C540" s="7" t="s">
        <v>1546</v>
      </c>
      <c r="D540" s="7" t="s">
        <v>1546</v>
      </c>
      <c r="E540" s="7" t="s">
        <v>16</v>
      </c>
      <c r="F540" s="7" t="s">
        <v>16</v>
      </c>
      <c r="G540" s="5" t="s">
        <v>19</v>
      </c>
      <c r="H540" s="7" t="s">
        <v>2275</v>
      </c>
      <c r="I540" s="7" t="s">
        <v>2276</v>
      </c>
      <c r="J540" s="8">
        <v>1000.0</v>
      </c>
      <c r="K540" s="7" t="s">
        <v>16</v>
      </c>
      <c r="L540" s="7" t="s">
        <v>2277</v>
      </c>
      <c r="M540" s="7" t="s">
        <v>75</v>
      </c>
      <c r="N540" s="7" t="s">
        <v>2278</v>
      </c>
      <c r="O540" s="5"/>
      <c r="P540" s="5"/>
      <c r="Q540" s="5"/>
      <c r="R540" s="5"/>
      <c r="S540" s="5"/>
      <c r="T540" s="5"/>
      <c r="U540" s="5"/>
      <c r="V540" s="5"/>
      <c r="W540" s="5"/>
      <c r="X540" s="5"/>
      <c r="Y540" s="5"/>
      <c r="Z540" s="5"/>
    </row>
    <row r="541">
      <c r="A541" s="17" t="s">
        <v>2279</v>
      </c>
      <c r="B541" s="5" t="s">
        <v>1067</v>
      </c>
      <c r="C541" s="7" t="s">
        <v>406</v>
      </c>
      <c r="D541" s="7" t="s">
        <v>406</v>
      </c>
      <c r="E541" s="7" t="s">
        <v>16</v>
      </c>
      <c r="F541" s="7" t="s">
        <v>16</v>
      </c>
      <c r="G541" s="5" t="s">
        <v>19</v>
      </c>
      <c r="H541" s="7" t="s">
        <v>2280</v>
      </c>
      <c r="I541" s="7" t="s">
        <v>2281</v>
      </c>
      <c r="J541" s="8">
        <v>2000.0</v>
      </c>
      <c r="K541" s="7" t="s">
        <v>16</v>
      </c>
      <c r="L541" s="7" t="s">
        <v>16</v>
      </c>
      <c r="M541" s="7" t="s">
        <v>75</v>
      </c>
      <c r="N541" s="7" t="s">
        <v>2282</v>
      </c>
      <c r="O541" s="5"/>
      <c r="P541" s="5"/>
      <c r="Q541" s="5"/>
      <c r="R541" s="5"/>
      <c r="S541" s="5"/>
      <c r="T541" s="5"/>
      <c r="U541" s="5"/>
      <c r="V541" s="5"/>
      <c r="W541" s="5"/>
      <c r="X541" s="5"/>
      <c r="Y541" s="5"/>
      <c r="Z541" s="5"/>
    </row>
    <row r="542">
      <c r="A542" s="6" t="s">
        <v>2283</v>
      </c>
      <c r="B542" s="5" t="s">
        <v>1067</v>
      </c>
      <c r="C542" s="7" t="s">
        <v>411</v>
      </c>
      <c r="D542" s="7" t="s">
        <v>411</v>
      </c>
      <c r="E542" s="7" t="s">
        <v>16</v>
      </c>
      <c r="F542" s="7" t="s">
        <v>16</v>
      </c>
      <c r="G542" s="5" t="s">
        <v>19</v>
      </c>
      <c r="H542" s="7" t="s">
        <v>2284</v>
      </c>
      <c r="I542" s="7" t="s">
        <v>2285</v>
      </c>
      <c r="J542" s="8">
        <v>4000.0</v>
      </c>
      <c r="K542" s="7" t="s">
        <v>16</v>
      </c>
      <c r="L542" s="7" t="s">
        <v>2286</v>
      </c>
      <c r="M542" s="5" t="s">
        <v>75</v>
      </c>
      <c r="N542" s="5" t="s">
        <v>2287</v>
      </c>
      <c r="O542" s="5"/>
      <c r="P542" s="5"/>
      <c r="Q542" s="5"/>
      <c r="R542" s="5"/>
      <c r="S542" s="5"/>
      <c r="T542" s="5"/>
      <c r="U542" s="5"/>
      <c r="V542" s="5"/>
      <c r="W542" s="5"/>
      <c r="X542" s="5"/>
      <c r="Y542" s="5"/>
      <c r="Z542" s="5"/>
    </row>
    <row r="543">
      <c r="A543" s="6" t="s">
        <v>2288</v>
      </c>
      <c r="B543" s="5" t="s">
        <v>1067</v>
      </c>
      <c r="C543" s="7" t="s">
        <v>1199</v>
      </c>
      <c r="D543" s="7" t="s">
        <v>1199</v>
      </c>
      <c r="E543" s="7" t="s">
        <v>16</v>
      </c>
      <c r="F543" s="7" t="s">
        <v>16</v>
      </c>
      <c r="G543" s="5" t="s">
        <v>19</v>
      </c>
      <c r="H543" s="7" t="s">
        <v>2289</v>
      </c>
      <c r="I543" s="7" t="s">
        <v>2290</v>
      </c>
      <c r="J543" s="8">
        <v>6000.0</v>
      </c>
      <c r="K543" s="7" t="s">
        <v>16</v>
      </c>
      <c r="L543" s="7" t="s">
        <v>16</v>
      </c>
      <c r="M543" s="5" t="s">
        <v>75</v>
      </c>
      <c r="N543" s="5" t="s">
        <v>2291</v>
      </c>
      <c r="O543" s="5"/>
      <c r="P543" s="5"/>
      <c r="Q543" s="5"/>
      <c r="R543" s="5"/>
      <c r="S543" s="5"/>
      <c r="T543" s="5"/>
      <c r="U543" s="5"/>
      <c r="V543" s="5"/>
      <c r="W543" s="5"/>
      <c r="X543" s="5"/>
      <c r="Y543" s="5"/>
      <c r="Z543" s="5"/>
    </row>
    <row r="544">
      <c r="A544" s="6" t="s">
        <v>2292</v>
      </c>
      <c r="B544" s="5" t="s">
        <v>1067</v>
      </c>
      <c r="C544" s="7" t="s">
        <v>1643</v>
      </c>
      <c r="D544" s="7" t="s">
        <v>1643</v>
      </c>
      <c r="E544" s="7" t="s">
        <v>16</v>
      </c>
      <c r="F544" s="7" t="s">
        <v>16</v>
      </c>
      <c r="G544" s="5" t="s">
        <v>19</v>
      </c>
      <c r="H544" s="7" t="s">
        <v>2293</v>
      </c>
      <c r="I544" s="7" t="s">
        <v>2294</v>
      </c>
      <c r="J544" s="8">
        <v>3000.0</v>
      </c>
      <c r="K544" s="7" t="s">
        <v>16</v>
      </c>
      <c r="L544" s="7" t="s">
        <v>16</v>
      </c>
      <c r="M544" s="5" t="s">
        <v>22</v>
      </c>
      <c r="N544" s="5" t="s">
        <v>2295</v>
      </c>
      <c r="O544" s="5"/>
      <c r="P544" s="5"/>
      <c r="Q544" s="5"/>
      <c r="R544" s="5"/>
      <c r="S544" s="5"/>
      <c r="T544" s="5"/>
      <c r="U544" s="5"/>
      <c r="V544" s="5"/>
      <c r="W544" s="5"/>
      <c r="X544" s="5"/>
      <c r="Y544" s="5"/>
      <c r="Z544" s="5"/>
    </row>
    <row r="545">
      <c r="A545" s="6" t="s">
        <v>2296</v>
      </c>
      <c r="B545" s="5" t="s">
        <v>1067</v>
      </c>
      <c r="C545" s="7" t="s">
        <v>2297</v>
      </c>
      <c r="D545" s="7" t="s">
        <v>85</v>
      </c>
      <c r="E545" s="7" t="s">
        <v>16</v>
      </c>
      <c r="F545" s="7" t="s">
        <v>16</v>
      </c>
      <c r="G545" s="5" t="s">
        <v>19</v>
      </c>
      <c r="H545" s="7" t="s">
        <v>2298</v>
      </c>
      <c r="I545" s="7" t="s">
        <v>2299</v>
      </c>
      <c r="J545" s="8">
        <v>2000.0</v>
      </c>
      <c r="K545" s="7" t="s">
        <v>16</v>
      </c>
      <c r="L545" s="7" t="s">
        <v>16</v>
      </c>
      <c r="M545" s="5" t="s">
        <v>75</v>
      </c>
      <c r="N545" s="5" t="s">
        <v>2300</v>
      </c>
      <c r="O545" s="5"/>
      <c r="P545" s="5"/>
      <c r="Q545" s="5"/>
      <c r="R545" s="5"/>
      <c r="S545" s="5"/>
      <c r="T545" s="5"/>
      <c r="U545" s="5"/>
      <c r="V545" s="5"/>
      <c r="W545" s="5"/>
      <c r="X545" s="5"/>
      <c r="Y545" s="5"/>
      <c r="Z545" s="5"/>
    </row>
    <row r="546">
      <c r="A546" s="17" t="s">
        <v>2301</v>
      </c>
      <c r="B546" s="5" t="s">
        <v>1067</v>
      </c>
      <c r="C546" s="7" t="s">
        <v>1400</v>
      </c>
      <c r="D546" s="7" t="s">
        <v>1400</v>
      </c>
      <c r="E546" s="7" t="s">
        <v>16</v>
      </c>
      <c r="F546" s="7" t="s">
        <v>16</v>
      </c>
      <c r="G546" s="5" t="s">
        <v>19</v>
      </c>
      <c r="H546" s="7" t="s">
        <v>2302</v>
      </c>
      <c r="I546" s="7" t="s">
        <v>2303</v>
      </c>
      <c r="J546" s="8">
        <v>5000.0</v>
      </c>
      <c r="K546" s="7" t="s">
        <v>16</v>
      </c>
      <c r="L546" s="7" t="s">
        <v>16</v>
      </c>
      <c r="M546" s="5" t="s">
        <v>75</v>
      </c>
      <c r="N546" s="5" t="s">
        <v>2304</v>
      </c>
      <c r="O546" s="5"/>
      <c r="P546" s="5"/>
      <c r="Q546" s="5"/>
      <c r="R546" s="5"/>
      <c r="S546" s="5"/>
      <c r="T546" s="5"/>
      <c r="U546" s="5"/>
      <c r="V546" s="5"/>
      <c r="W546" s="5"/>
      <c r="X546" s="5"/>
      <c r="Y546" s="5"/>
      <c r="Z546" s="5"/>
    </row>
    <row r="547">
      <c r="A547" s="17" t="s">
        <v>2305</v>
      </c>
      <c r="B547" s="5" t="s">
        <v>1067</v>
      </c>
      <c r="C547" s="7" t="s">
        <v>1337</v>
      </c>
      <c r="D547" s="7" t="s">
        <v>1337</v>
      </c>
      <c r="E547" s="7" t="s">
        <v>16</v>
      </c>
      <c r="F547" s="7" t="s">
        <v>16</v>
      </c>
      <c r="G547" s="5" t="s">
        <v>19</v>
      </c>
      <c r="H547" s="7" t="s">
        <v>2306</v>
      </c>
      <c r="I547" s="7" t="s">
        <v>2307</v>
      </c>
      <c r="J547" s="8">
        <v>3000.0</v>
      </c>
      <c r="K547" s="7" t="s">
        <v>16</v>
      </c>
      <c r="L547" s="7" t="s">
        <v>16</v>
      </c>
      <c r="M547" s="5" t="s">
        <v>75</v>
      </c>
      <c r="N547" s="5" t="s">
        <v>2308</v>
      </c>
      <c r="O547" s="5"/>
      <c r="P547" s="5"/>
      <c r="Q547" s="5"/>
      <c r="R547" s="5"/>
      <c r="S547" s="5"/>
      <c r="T547" s="5"/>
      <c r="U547" s="5"/>
      <c r="V547" s="5"/>
      <c r="W547" s="5"/>
      <c r="X547" s="5"/>
      <c r="Y547" s="5"/>
      <c r="Z547" s="5"/>
    </row>
    <row r="548">
      <c r="A548" s="6" t="s">
        <v>2309</v>
      </c>
      <c r="B548" s="5" t="s">
        <v>1067</v>
      </c>
      <c r="C548" s="7" t="s">
        <v>1311</v>
      </c>
      <c r="D548" s="7" t="s">
        <v>1311</v>
      </c>
      <c r="E548" s="7" t="s">
        <v>16</v>
      </c>
      <c r="F548" s="7" t="s">
        <v>16</v>
      </c>
      <c r="G548" s="5" t="s">
        <v>19</v>
      </c>
      <c r="H548" s="7" t="s">
        <v>2310</v>
      </c>
      <c r="I548" s="7" t="s">
        <v>2311</v>
      </c>
      <c r="J548" s="8">
        <v>4000.0</v>
      </c>
      <c r="K548" s="7" t="s">
        <v>16</v>
      </c>
      <c r="L548" s="7" t="s">
        <v>16</v>
      </c>
      <c r="M548" s="5" t="s">
        <v>75</v>
      </c>
      <c r="N548" s="5" t="s">
        <v>2312</v>
      </c>
      <c r="O548" s="5"/>
      <c r="P548" s="5"/>
      <c r="Q548" s="5"/>
      <c r="R548" s="5"/>
      <c r="S548" s="5"/>
      <c r="T548" s="5"/>
      <c r="U548" s="5"/>
      <c r="V548" s="5"/>
      <c r="W548" s="5"/>
      <c r="X548" s="5"/>
      <c r="Y548" s="5"/>
      <c r="Z548" s="5"/>
    </row>
    <row r="549">
      <c r="A549" s="6" t="s">
        <v>2313</v>
      </c>
      <c r="B549" s="5" t="s">
        <v>1067</v>
      </c>
      <c r="C549" s="7" t="s">
        <v>1203</v>
      </c>
      <c r="D549" s="7" t="s">
        <v>1203</v>
      </c>
      <c r="E549" s="7" t="s">
        <v>16</v>
      </c>
      <c r="F549" s="7" t="s">
        <v>16</v>
      </c>
      <c r="G549" s="5" t="s">
        <v>19</v>
      </c>
      <c r="H549" s="7" t="s">
        <v>2314</v>
      </c>
      <c r="I549" s="7" t="s">
        <v>2315</v>
      </c>
      <c r="J549" s="8">
        <v>4000.0</v>
      </c>
      <c r="K549" s="7" t="s">
        <v>16</v>
      </c>
      <c r="L549" s="7" t="s">
        <v>16</v>
      </c>
      <c r="M549" s="5" t="s">
        <v>75</v>
      </c>
      <c r="N549" s="5" t="s">
        <v>2316</v>
      </c>
      <c r="O549" s="5"/>
      <c r="P549" s="5"/>
      <c r="Q549" s="5"/>
      <c r="R549" s="5"/>
      <c r="S549" s="5"/>
      <c r="T549" s="5"/>
      <c r="U549" s="5"/>
      <c r="V549" s="5"/>
      <c r="W549" s="5"/>
      <c r="X549" s="5"/>
      <c r="Y549" s="5"/>
      <c r="Z549" s="5"/>
    </row>
    <row r="550">
      <c r="A550" s="17" t="s">
        <v>2317</v>
      </c>
      <c r="B550" s="5" t="s">
        <v>1067</v>
      </c>
      <c r="C550" s="7" t="s">
        <v>1748</v>
      </c>
      <c r="D550" s="7" t="s">
        <v>1748</v>
      </c>
      <c r="E550" s="7" t="s">
        <v>16</v>
      </c>
      <c r="F550" s="7" t="s">
        <v>16</v>
      </c>
      <c r="G550" s="5" t="s">
        <v>19</v>
      </c>
      <c r="H550" s="7" t="s">
        <v>2318</v>
      </c>
      <c r="I550" s="7" t="s">
        <v>2319</v>
      </c>
      <c r="J550" s="8">
        <v>5000.0</v>
      </c>
      <c r="K550" s="7" t="s">
        <v>16</v>
      </c>
      <c r="L550" s="7" t="s">
        <v>2286</v>
      </c>
      <c r="M550" s="5" t="s">
        <v>88</v>
      </c>
      <c r="N550" s="5" t="s">
        <v>2320</v>
      </c>
      <c r="O550" s="5"/>
      <c r="P550" s="5"/>
      <c r="Q550" s="5"/>
      <c r="R550" s="5"/>
      <c r="S550" s="5"/>
      <c r="T550" s="5"/>
      <c r="U550" s="5"/>
      <c r="V550" s="5"/>
      <c r="W550" s="5"/>
      <c r="X550" s="5"/>
      <c r="Y550" s="5"/>
      <c r="Z550" s="5"/>
    </row>
    <row r="551">
      <c r="A551" s="17" t="s">
        <v>2321</v>
      </c>
      <c r="B551" s="5" t="s">
        <v>1067</v>
      </c>
      <c r="C551" s="7" t="s">
        <v>1213</v>
      </c>
      <c r="D551" s="7" t="s">
        <v>1213</v>
      </c>
      <c r="E551" s="7" t="s">
        <v>16</v>
      </c>
      <c r="F551" s="7" t="s">
        <v>16</v>
      </c>
      <c r="G551" s="5" t="s">
        <v>19</v>
      </c>
      <c r="H551" s="7" t="s">
        <v>2322</v>
      </c>
      <c r="I551" s="7" t="s">
        <v>2323</v>
      </c>
      <c r="J551" s="8">
        <v>4000.0</v>
      </c>
      <c r="K551" s="7" t="s">
        <v>16</v>
      </c>
      <c r="L551" s="7" t="s">
        <v>16</v>
      </c>
      <c r="M551" s="5" t="s">
        <v>36</v>
      </c>
      <c r="N551" s="5" t="s">
        <v>2324</v>
      </c>
      <c r="O551" s="5"/>
      <c r="P551" s="5"/>
      <c r="Q551" s="5"/>
      <c r="R551" s="5"/>
      <c r="S551" s="5"/>
      <c r="T551" s="5"/>
      <c r="U551" s="5"/>
      <c r="V551" s="5"/>
      <c r="W551" s="5"/>
      <c r="X551" s="5"/>
      <c r="Y551" s="5"/>
      <c r="Z551" s="5"/>
    </row>
    <row r="552">
      <c r="A552" s="6" t="s">
        <v>2325</v>
      </c>
      <c r="B552" s="5" t="s">
        <v>1067</v>
      </c>
      <c r="C552" s="7" t="s">
        <v>1207</v>
      </c>
      <c r="D552" s="7" t="s">
        <v>1207</v>
      </c>
      <c r="E552" s="7" t="s">
        <v>16</v>
      </c>
      <c r="F552" s="7" t="s">
        <v>16</v>
      </c>
      <c r="G552" s="5" t="s">
        <v>19</v>
      </c>
      <c r="H552" s="7" t="s">
        <v>2326</v>
      </c>
      <c r="I552" s="7" t="s">
        <v>2327</v>
      </c>
      <c r="J552" s="8">
        <v>3500.0</v>
      </c>
      <c r="K552" s="7" t="s">
        <v>16</v>
      </c>
      <c r="L552" s="7" t="s">
        <v>16</v>
      </c>
      <c r="M552" s="5" t="s">
        <v>22</v>
      </c>
      <c r="N552" s="5" t="s">
        <v>2328</v>
      </c>
      <c r="O552" s="5"/>
      <c r="P552" s="5"/>
      <c r="Q552" s="5"/>
      <c r="R552" s="5"/>
      <c r="S552" s="5"/>
      <c r="T552" s="5"/>
      <c r="U552" s="5"/>
      <c r="V552" s="5"/>
      <c r="W552" s="5"/>
      <c r="X552" s="5"/>
      <c r="Y552" s="5"/>
      <c r="Z552" s="5"/>
    </row>
    <row r="553">
      <c r="A553" s="6" t="s">
        <v>2329</v>
      </c>
      <c r="B553" s="5" t="s">
        <v>1316</v>
      </c>
      <c r="C553" s="7" t="s">
        <v>1421</v>
      </c>
      <c r="D553" s="7" t="s">
        <v>1421</v>
      </c>
      <c r="E553" s="7" t="s">
        <v>16</v>
      </c>
      <c r="F553" s="7" t="s">
        <v>16</v>
      </c>
      <c r="G553" s="5" t="s">
        <v>19</v>
      </c>
      <c r="H553" s="7" t="s">
        <v>2330</v>
      </c>
      <c r="I553" s="7" t="s">
        <v>2331</v>
      </c>
      <c r="J553" s="8">
        <v>5000.0</v>
      </c>
      <c r="K553" s="7" t="s">
        <v>16</v>
      </c>
      <c r="L553" s="7" t="s">
        <v>16</v>
      </c>
      <c r="M553" s="5" t="s">
        <v>75</v>
      </c>
      <c r="N553" s="5" t="s">
        <v>2332</v>
      </c>
      <c r="O553" s="5"/>
      <c r="P553" s="5"/>
      <c r="Q553" s="5"/>
      <c r="R553" s="5"/>
      <c r="S553" s="5"/>
      <c r="T553" s="5"/>
      <c r="U553" s="5"/>
      <c r="V553" s="5"/>
      <c r="W553" s="5"/>
      <c r="X553" s="5"/>
      <c r="Y553" s="5"/>
      <c r="Z553" s="5"/>
    </row>
    <row r="554">
      <c r="A554" s="6" t="s">
        <v>2333</v>
      </c>
      <c r="B554" s="5" t="s">
        <v>1316</v>
      </c>
      <c r="C554" s="7" t="s">
        <v>1426</v>
      </c>
      <c r="D554" s="7" t="s">
        <v>1426</v>
      </c>
      <c r="E554" s="7" t="s">
        <v>16</v>
      </c>
      <c r="F554" s="7" t="s">
        <v>16</v>
      </c>
      <c r="G554" s="5" t="s">
        <v>19</v>
      </c>
      <c r="H554" s="7" t="s">
        <v>501</v>
      </c>
      <c r="I554" s="7" t="s">
        <v>2334</v>
      </c>
      <c r="J554" s="8">
        <v>4000.0</v>
      </c>
      <c r="K554" s="7" t="s">
        <v>16</v>
      </c>
      <c r="L554" s="7" t="s">
        <v>16</v>
      </c>
      <c r="M554" s="5" t="s">
        <v>22</v>
      </c>
      <c r="N554" s="5" t="s">
        <v>2335</v>
      </c>
      <c r="O554" s="5"/>
      <c r="P554" s="5"/>
      <c r="Q554" s="5"/>
      <c r="R554" s="5"/>
      <c r="S554" s="5"/>
      <c r="T554" s="5"/>
      <c r="U554" s="5"/>
      <c r="V554" s="5"/>
      <c r="W554" s="5"/>
      <c r="X554" s="5"/>
      <c r="Y554" s="5"/>
      <c r="Z554" s="5"/>
    </row>
    <row r="555">
      <c r="A555" s="6" t="s">
        <v>2336</v>
      </c>
      <c r="B555" s="5" t="s">
        <v>1067</v>
      </c>
      <c r="C555" s="7" t="s">
        <v>1905</v>
      </c>
      <c r="D555" s="7" t="s">
        <v>1905</v>
      </c>
      <c r="E555" s="7" t="s">
        <v>16</v>
      </c>
      <c r="F555" s="7" t="s">
        <v>16</v>
      </c>
      <c r="G555" s="5" t="s">
        <v>19</v>
      </c>
      <c r="H555" s="7" t="s">
        <v>2337</v>
      </c>
      <c r="I555" s="7" t="s">
        <v>2338</v>
      </c>
      <c r="J555" s="8">
        <v>6000.0</v>
      </c>
      <c r="K555" s="7" t="s">
        <v>16</v>
      </c>
      <c r="L555" s="7" t="s">
        <v>16</v>
      </c>
      <c r="M555" s="5" t="s">
        <v>88</v>
      </c>
      <c r="N555" s="5" t="s">
        <v>2339</v>
      </c>
      <c r="O555" s="5"/>
      <c r="P555" s="5"/>
      <c r="Q555" s="5"/>
      <c r="R555" s="5"/>
      <c r="S555" s="5"/>
      <c r="T555" s="5"/>
      <c r="U555" s="5"/>
      <c r="V555" s="5"/>
      <c r="W555" s="5"/>
      <c r="X555" s="5"/>
      <c r="Y555" s="5"/>
      <c r="Z555" s="5"/>
    </row>
    <row r="556">
      <c r="A556" s="6" t="s">
        <v>2340</v>
      </c>
      <c r="B556" s="5" t="s">
        <v>1067</v>
      </c>
      <c r="C556" s="7" t="s">
        <v>1068</v>
      </c>
      <c r="D556" s="7" t="s">
        <v>1068</v>
      </c>
      <c r="E556" s="7" t="s">
        <v>16</v>
      </c>
      <c r="F556" s="7" t="s">
        <v>16</v>
      </c>
      <c r="G556" s="5" t="s">
        <v>19</v>
      </c>
      <c r="H556" s="7" t="s">
        <v>2341</v>
      </c>
      <c r="I556" s="7" t="s">
        <v>2342</v>
      </c>
      <c r="J556" s="8">
        <v>5000.0</v>
      </c>
      <c r="K556" s="7" t="s">
        <v>16</v>
      </c>
      <c r="L556" s="7" t="s">
        <v>16</v>
      </c>
      <c r="M556" s="5" t="s">
        <v>75</v>
      </c>
      <c r="N556" s="5" t="s">
        <v>2343</v>
      </c>
      <c r="O556" s="5"/>
      <c r="P556" s="5"/>
      <c r="Q556" s="5"/>
      <c r="R556" s="5"/>
      <c r="S556" s="5"/>
      <c r="T556" s="5"/>
      <c r="U556" s="5"/>
      <c r="V556" s="5"/>
      <c r="W556" s="5"/>
      <c r="X556" s="5"/>
      <c r="Y556" s="5"/>
      <c r="Z556" s="5"/>
    </row>
    <row r="557">
      <c r="A557" s="6" t="s">
        <v>2344</v>
      </c>
      <c r="B557" s="5" t="s">
        <v>1067</v>
      </c>
      <c r="C557" s="7" t="s">
        <v>1194</v>
      </c>
      <c r="D557" s="7" t="s">
        <v>1194</v>
      </c>
      <c r="E557" s="7" t="s">
        <v>16</v>
      </c>
      <c r="F557" s="7" t="s">
        <v>16</v>
      </c>
      <c r="G557" s="5" t="s">
        <v>19</v>
      </c>
      <c r="H557" s="7" t="s">
        <v>2345</v>
      </c>
      <c r="I557" s="7" t="s">
        <v>2346</v>
      </c>
      <c r="J557" s="8">
        <v>5000.0</v>
      </c>
      <c r="K557" s="7" t="s">
        <v>16</v>
      </c>
      <c r="L557" s="7" t="s">
        <v>16</v>
      </c>
      <c r="M557" s="5" t="s">
        <v>75</v>
      </c>
      <c r="N557" s="5" t="s">
        <v>2347</v>
      </c>
      <c r="O557" s="5"/>
      <c r="P557" s="5"/>
      <c r="Q557" s="5"/>
      <c r="R557" s="5"/>
      <c r="S557" s="5"/>
      <c r="T557" s="5"/>
      <c r="U557" s="5"/>
      <c r="V557" s="5"/>
      <c r="W557" s="5"/>
      <c r="X557" s="5"/>
      <c r="Y557" s="5"/>
      <c r="Z557" s="5"/>
    </row>
    <row r="558">
      <c r="A558" s="6" t="s">
        <v>2348</v>
      </c>
      <c r="B558" s="5" t="s">
        <v>1067</v>
      </c>
      <c r="C558" s="7" t="s">
        <v>1183</v>
      </c>
      <c r="D558" s="7" t="s">
        <v>1183</v>
      </c>
      <c r="E558" s="7" t="s">
        <v>16</v>
      </c>
      <c r="F558" s="7" t="s">
        <v>16</v>
      </c>
      <c r="G558" s="5" t="s">
        <v>19</v>
      </c>
      <c r="H558" s="7" t="s">
        <v>2349</v>
      </c>
      <c r="I558" s="7" t="s">
        <v>2350</v>
      </c>
      <c r="J558" s="8">
        <v>3000.0</v>
      </c>
      <c r="K558" s="7" t="s">
        <v>16</v>
      </c>
      <c r="L558" s="7" t="s">
        <v>16</v>
      </c>
      <c r="M558" s="5" t="s">
        <v>22</v>
      </c>
      <c r="N558" s="5" t="s">
        <v>2351</v>
      </c>
      <c r="O558" s="5"/>
      <c r="P558" s="5"/>
      <c r="Q558" s="5"/>
      <c r="R558" s="5"/>
      <c r="S558" s="5"/>
      <c r="T558" s="5"/>
      <c r="U558" s="5"/>
      <c r="V558" s="5"/>
      <c r="W558" s="5"/>
      <c r="X558" s="5"/>
      <c r="Y558" s="5"/>
      <c r="Z558" s="5"/>
    </row>
    <row r="559">
      <c r="A559" s="6" t="s">
        <v>2352</v>
      </c>
      <c r="B559" s="5" t="s">
        <v>1067</v>
      </c>
      <c r="C559" s="7" t="s">
        <v>1400</v>
      </c>
      <c r="D559" s="7" t="s">
        <v>1400</v>
      </c>
      <c r="E559" s="7" t="s">
        <v>16</v>
      </c>
      <c r="F559" s="7" t="s">
        <v>16</v>
      </c>
      <c r="G559" s="5" t="s">
        <v>19</v>
      </c>
      <c r="H559" s="7" t="s">
        <v>2353</v>
      </c>
      <c r="I559" s="7" t="s">
        <v>2354</v>
      </c>
      <c r="J559" s="8">
        <v>5500.0</v>
      </c>
      <c r="K559" s="7" t="s">
        <v>16</v>
      </c>
      <c r="L559" s="7" t="s">
        <v>16</v>
      </c>
      <c r="M559" s="5" t="s">
        <v>75</v>
      </c>
      <c r="N559" s="5" t="s">
        <v>2355</v>
      </c>
      <c r="O559" s="5"/>
      <c r="P559" s="5"/>
      <c r="Q559" s="5"/>
      <c r="R559" s="5"/>
      <c r="S559" s="5"/>
      <c r="T559" s="5"/>
      <c r="U559" s="5"/>
      <c r="V559" s="5"/>
      <c r="W559" s="5"/>
      <c r="X559" s="5"/>
      <c r="Y559" s="5"/>
      <c r="Z559" s="5"/>
    </row>
    <row r="560">
      <c r="A560" s="6" t="s">
        <v>2356</v>
      </c>
      <c r="B560" s="5" t="s">
        <v>1067</v>
      </c>
      <c r="C560" s="7" t="s">
        <v>1207</v>
      </c>
      <c r="D560" s="7" t="s">
        <v>1207</v>
      </c>
      <c r="E560" s="7" t="s">
        <v>16</v>
      </c>
      <c r="F560" s="7" t="s">
        <v>16</v>
      </c>
      <c r="G560" s="5" t="s">
        <v>19</v>
      </c>
      <c r="H560" s="7" t="s">
        <v>2357</v>
      </c>
      <c r="I560" s="7" t="s">
        <v>2358</v>
      </c>
      <c r="J560" s="8">
        <v>4000.0</v>
      </c>
      <c r="K560" s="7" t="s">
        <v>16</v>
      </c>
      <c r="L560" s="7" t="s">
        <v>16</v>
      </c>
      <c r="M560" s="5" t="s">
        <v>75</v>
      </c>
      <c r="N560" s="5" t="s">
        <v>2359</v>
      </c>
      <c r="O560" s="5"/>
      <c r="P560" s="5"/>
      <c r="Q560" s="5"/>
      <c r="R560" s="5"/>
      <c r="S560" s="5"/>
      <c r="T560" s="5"/>
      <c r="U560" s="5"/>
      <c r="V560" s="5"/>
      <c r="W560" s="5"/>
      <c r="X560" s="5"/>
      <c r="Y560" s="5"/>
      <c r="Z560" s="5"/>
    </row>
    <row r="561">
      <c r="A561" s="6" t="s">
        <v>2360</v>
      </c>
      <c r="B561" s="5" t="s">
        <v>1067</v>
      </c>
      <c r="C561" s="7" t="s">
        <v>1878</v>
      </c>
      <c r="D561" s="7" t="s">
        <v>1878</v>
      </c>
      <c r="E561" s="7" t="s">
        <v>16</v>
      </c>
      <c r="F561" s="7" t="s">
        <v>16</v>
      </c>
      <c r="G561" s="5" t="s">
        <v>19</v>
      </c>
      <c r="H561" s="7" t="s">
        <v>2361</v>
      </c>
      <c r="I561" s="7" t="s">
        <v>2362</v>
      </c>
      <c r="J561" s="8">
        <v>3000.0</v>
      </c>
      <c r="K561" s="7" t="s">
        <v>16</v>
      </c>
      <c r="L561" s="7" t="s">
        <v>16</v>
      </c>
      <c r="M561" s="5" t="s">
        <v>75</v>
      </c>
      <c r="N561" s="5" t="s">
        <v>2363</v>
      </c>
      <c r="O561" s="5"/>
      <c r="P561" s="5"/>
      <c r="Q561" s="5"/>
      <c r="R561" s="5"/>
      <c r="S561" s="5"/>
      <c r="T561" s="5"/>
      <c r="U561" s="5"/>
      <c r="V561" s="5"/>
      <c r="W561" s="5"/>
      <c r="X561" s="5"/>
      <c r="Y561" s="5"/>
      <c r="Z561" s="5"/>
    </row>
    <row r="562">
      <c r="A562" s="6" t="s">
        <v>2364</v>
      </c>
      <c r="B562" s="5" t="s">
        <v>1316</v>
      </c>
      <c r="C562" s="7" t="s">
        <v>2365</v>
      </c>
      <c r="D562" s="7" t="s">
        <v>2365</v>
      </c>
      <c r="E562" s="7" t="s">
        <v>16</v>
      </c>
      <c r="F562" s="7" t="s">
        <v>16</v>
      </c>
      <c r="G562" s="5" t="s">
        <v>19</v>
      </c>
      <c r="H562" s="7" t="s">
        <v>2366</v>
      </c>
      <c r="I562" s="7" t="s">
        <v>2367</v>
      </c>
      <c r="J562" s="8">
        <v>3000.0</v>
      </c>
      <c r="K562" s="7" t="s">
        <v>16</v>
      </c>
      <c r="L562" s="7" t="s">
        <v>16</v>
      </c>
      <c r="M562" s="5" t="s">
        <v>22</v>
      </c>
      <c r="N562" s="5" t="s">
        <v>2368</v>
      </c>
      <c r="O562" s="5"/>
      <c r="P562" s="5"/>
      <c r="Q562" s="5"/>
      <c r="R562" s="5"/>
      <c r="S562" s="5"/>
      <c r="T562" s="5"/>
      <c r="U562" s="5"/>
      <c r="V562" s="5"/>
      <c r="W562" s="5"/>
      <c r="X562" s="5"/>
      <c r="Y562" s="5"/>
      <c r="Z562" s="5"/>
    </row>
    <row r="563">
      <c r="A563" s="6" t="s">
        <v>2369</v>
      </c>
      <c r="B563" s="5" t="s">
        <v>1316</v>
      </c>
      <c r="C563" s="7" t="s">
        <v>2370</v>
      </c>
      <c r="D563" s="7" t="s">
        <v>2370</v>
      </c>
      <c r="E563" s="7" t="s">
        <v>16</v>
      </c>
      <c r="F563" s="7" t="s">
        <v>16</v>
      </c>
      <c r="G563" s="5" t="s">
        <v>19</v>
      </c>
      <c r="H563" s="7" t="s">
        <v>2371</v>
      </c>
      <c r="I563" s="7" t="s">
        <v>2372</v>
      </c>
      <c r="J563" s="8">
        <v>3000.0</v>
      </c>
      <c r="K563" s="7" t="s">
        <v>16</v>
      </c>
      <c r="L563" s="7" t="s">
        <v>16</v>
      </c>
      <c r="M563" s="5" t="s">
        <v>22</v>
      </c>
      <c r="N563" s="5" t="s">
        <v>2373</v>
      </c>
      <c r="O563" s="5"/>
      <c r="P563" s="5"/>
      <c r="Q563" s="5"/>
      <c r="R563" s="5"/>
      <c r="S563" s="5"/>
      <c r="T563" s="5"/>
      <c r="U563" s="5"/>
      <c r="V563" s="5"/>
      <c r="W563" s="5"/>
      <c r="X563" s="5"/>
      <c r="Y563" s="5"/>
      <c r="Z563" s="5"/>
    </row>
    <row r="564">
      <c r="A564" s="6" t="s">
        <v>2374</v>
      </c>
      <c r="B564" s="5" t="s">
        <v>1316</v>
      </c>
      <c r="C564" s="7" t="s">
        <v>2375</v>
      </c>
      <c r="D564" s="7" t="s">
        <v>2375</v>
      </c>
      <c r="E564" s="7" t="s">
        <v>16</v>
      </c>
      <c r="F564" s="7" t="s">
        <v>16</v>
      </c>
      <c r="G564" s="5" t="s">
        <v>19</v>
      </c>
      <c r="H564" s="7" t="s">
        <v>2376</v>
      </c>
      <c r="I564" s="7" t="s">
        <v>2377</v>
      </c>
      <c r="J564" s="8">
        <v>3500.0</v>
      </c>
      <c r="K564" s="7" t="s">
        <v>16</v>
      </c>
      <c r="L564" s="7" t="s">
        <v>16</v>
      </c>
      <c r="M564" s="5" t="s">
        <v>22</v>
      </c>
      <c r="N564" s="5" t="s">
        <v>2378</v>
      </c>
      <c r="O564" s="5"/>
      <c r="P564" s="5"/>
      <c r="Q564" s="5"/>
      <c r="R564" s="5"/>
      <c r="S564" s="5"/>
      <c r="T564" s="5"/>
      <c r="U564" s="5"/>
      <c r="V564" s="5"/>
      <c r="W564" s="5"/>
      <c r="X564" s="5"/>
      <c r="Y564" s="5"/>
      <c r="Z564" s="5"/>
    </row>
    <row r="565">
      <c r="A565" s="6" t="s">
        <v>2379</v>
      </c>
      <c r="B565" s="5" t="s">
        <v>1316</v>
      </c>
      <c r="C565" s="7" t="s">
        <v>2380</v>
      </c>
      <c r="D565" s="7" t="s">
        <v>2380</v>
      </c>
      <c r="E565" s="7" t="s">
        <v>16</v>
      </c>
      <c r="F565" s="7" t="s">
        <v>16</v>
      </c>
      <c r="G565" s="5" t="s">
        <v>19</v>
      </c>
      <c r="H565" s="7" t="s">
        <v>2381</v>
      </c>
      <c r="I565" s="7" t="s">
        <v>2382</v>
      </c>
      <c r="J565" s="8">
        <v>4000.0</v>
      </c>
      <c r="K565" s="7" t="s">
        <v>16</v>
      </c>
      <c r="L565" s="7" t="s">
        <v>16</v>
      </c>
      <c r="M565" s="5" t="s">
        <v>36</v>
      </c>
      <c r="N565" s="5" t="s">
        <v>2383</v>
      </c>
      <c r="O565" s="5"/>
      <c r="P565" s="5"/>
      <c r="Q565" s="5"/>
      <c r="R565" s="5"/>
      <c r="S565" s="5"/>
      <c r="T565" s="5"/>
      <c r="U565" s="5"/>
      <c r="V565" s="5"/>
      <c r="W565" s="5"/>
      <c r="X565" s="5"/>
      <c r="Y565" s="5"/>
      <c r="Z565" s="5"/>
    </row>
    <row r="566">
      <c r="A566" s="6" t="s">
        <v>2384</v>
      </c>
      <c r="B566" s="5" t="s">
        <v>1316</v>
      </c>
      <c r="C566" s="7" t="s">
        <v>2385</v>
      </c>
      <c r="D566" s="7" t="s">
        <v>2385</v>
      </c>
      <c r="E566" s="7" t="s">
        <v>16</v>
      </c>
      <c r="F566" s="7" t="s">
        <v>16</v>
      </c>
      <c r="G566" s="5" t="s">
        <v>19</v>
      </c>
      <c r="H566" s="7" t="s">
        <v>2381</v>
      </c>
      <c r="I566" s="7" t="s">
        <v>2386</v>
      </c>
      <c r="J566" s="8">
        <v>4000.0</v>
      </c>
      <c r="K566" s="7" t="s">
        <v>16</v>
      </c>
      <c r="L566" s="7" t="s">
        <v>16</v>
      </c>
      <c r="M566" s="5" t="s">
        <v>36</v>
      </c>
      <c r="N566" s="5" t="s">
        <v>2387</v>
      </c>
      <c r="O566" s="5"/>
      <c r="P566" s="5"/>
      <c r="Q566" s="5"/>
      <c r="R566" s="5"/>
      <c r="S566" s="5"/>
      <c r="T566" s="5"/>
      <c r="U566" s="5"/>
      <c r="V566" s="5"/>
      <c r="W566" s="5"/>
      <c r="X566" s="5"/>
      <c r="Y566" s="5"/>
      <c r="Z566" s="5"/>
    </row>
    <row r="567">
      <c r="A567" s="6" t="s">
        <v>2388</v>
      </c>
      <c r="B567" s="5" t="s">
        <v>1316</v>
      </c>
      <c r="C567" s="7" t="s">
        <v>2389</v>
      </c>
      <c r="D567" s="7" t="s">
        <v>2389</v>
      </c>
      <c r="E567" s="7" t="s">
        <v>16</v>
      </c>
      <c r="F567" s="7" t="s">
        <v>16</v>
      </c>
      <c r="G567" s="5" t="s">
        <v>19</v>
      </c>
      <c r="H567" s="7" t="s">
        <v>2381</v>
      </c>
      <c r="I567" s="7" t="s">
        <v>2390</v>
      </c>
      <c r="J567" s="8">
        <v>4000.0</v>
      </c>
      <c r="K567" s="7" t="s">
        <v>16</v>
      </c>
      <c r="L567" s="7" t="s">
        <v>16</v>
      </c>
      <c r="M567" s="5" t="s">
        <v>36</v>
      </c>
      <c r="N567" s="5" t="s">
        <v>2391</v>
      </c>
      <c r="O567" s="5"/>
      <c r="P567" s="5"/>
      <c r="Q567" s="5"/>
      <c r="R567" s="5"/>
      <c r="S567" s="5"/>
      <c r="T567" s="5"/>
      <c r="U567" s="5"/>
      <c r="V567" s="5"/>
      <c r="W567" s="5"/>
      <c r="X567" s="5"/>
      <c r="Y567" s="5"/>
      <c r="Z567" s="5"/>
    </row>
    <row r="568">
      <c r="A568" s="6" t="s">
        <v>2392</v>
      </c>
      <c r="B568" s="5" t="s">
        <v>1316</v>
      </c>
      <c r="C568" s="7" t="s">
        <v>1421</v>
      </c>
      <c r="D568" s="7" t="s">
        <v>1421</v>
      </c>
      <c r="E568" s="7" t="s">
        <v>16</v>
      </c>
      <c r="F568" s="7" t="s">
        <v>16</v>
      </c>
      <c r="G568" s="5" t="s">
        <v>19</v>
      </c>
      <c r="H568" s="7" t="s">
        <v>2393</v>
      </c>
      <c r="I568" s="7" t="s">
        <v>2394</v>
      </c>
      <c r="J568" s="8">
        <v>4500.0</v>
      </c>
      <c r="K568" s="7" t="s">
        <v>16</v>
      </c>
      <c r="L568" s="7" t="s">
        <v>16</v>
      </c>
      <c r="M568" s="5" t="s">
        <v>88</v>
      </c>
      <c r="N568" s="5" t="s">
        <v>2395</v>
      </c>
      <c r="O568" s="5"/>
      <c r="P568" s="5"/>
      <c r="Q568" s="5"/>
      <c r="R568" s="5"/>
      <c r="S568" s="5"/>
      <c r="T568" s="5"/>
      <c r="U568" s="5"/>
      <c r="V568" s="5"/>
      <c r="W568" s="5"/>
      <c r="X568" s="5"/>
      <c r="Y568" s="5"/>
      <c r="Z568" s="5"/>
    </row>
    <row r="569">
      <c r="A569" s="6" t="s">
        <v>2396</v>
      </c>
      <c r="B569" s="5" t="s">
        <v>1316</v>
      </c>
      <c r="C569" s="7" t="s">
        <v>1426</v>
      </c>
      <c r="D569" s="7" t="s">
        <v>1426</v>
      </c>
      <c r="E569" s="7" t="s">
        <v>16</v>
      </c>
      <c r="F569" s="7" t="s">
        <v>16</v>
      </c>
      <c r="G569" s="5" t="s">
        <v>19</v>
      </c>
      <c r="H569" s="7" t="s">
        <v>2397</v>
      </c>
      <c r="I569" s="7" t="s">
        <v>2398</v>
      </c>
      <c r="J569" s="8">
        <v>5000.0</v>
      </c>
      <c r="K569" s="7" t="s">
        <v>16</v>
      </c>
      <c r="L569" s="7" t="s">
        <v>16</v>
      </c>
      <c r="M569" s="5" t="s">
        <v>75</v>
      </c>
      <c r="N569" s="5" t="s">
        <v>2399</v>
      </c>
      <c r="O569" s="5"/>
      <c r="P569" s="5"/>
      <c r="Q569" s="5"/>
      <c r="R569" s="5"/>
      <c r="S569" s="5"/>
      <c r="T569" s="5"/>
      <c r="U569" s="5"/>
      <c r="V569" s="5"/>
      <c r="W569" s="5"/>
      <c r="X569" s="5"/>
      <c r="Y569" s="5"/>
      <c r="Z569" s="5"/>
    </row>
    <row r="570">
      <c r="A570" s="6" t="s">
        <v>2400</v>
      </c>
      <c r="B570" s="5" t="s">
        <v>1316</v>
      </c>
      <c r="C570" s="7" t="s">
        <v>2172</v>
      </c>
      <c r="D570" s="7" t="s">
        <v>2172</v>
      </c>
      <c r="E570" s="7" t="s">
        <v>16</v>
      </c>
      <c r="F570" s="7" t="s">
        <v>16</v>
      </c>
      <c r="G570" s="5" t="s">
        <v>19</v>
      </c>
      <c r="H570" s="7" t="s">
        <v>2401</v>
      </c>
      <c r="I570" s="7" t="s">
        <v>2402</v>
      </c>
      <c r="J570" s="8">
        <v>6000.0</v>
      </c>
      <c r="K570" s="7" t="s">
        <v>16</v>
      </c>
      <c r="L570" s="7" t="s">
        <v>16</v>
      </c>
      <c r="M570" s="5" t="s">
        <v>75</v>
      </c>
      <c r="N570" s="5" t="s">
        <v>2403</v>
      </c>
      <c r="O570" s="5"/>
      <c r="P570" s="5"/>
      <c r="Q570" s="5"/>
      <c r="R570" s="5"/>
      <c r="S570" s="5"/>
      <c r="T570" s="5"/>
      <c r="U570" s="5"/>
      <c r="V570" s="5"/>
      <c r="W570" s="5"/>
      <c r="X570" s="5"/>
      <c r="Y570" s="5"/>
      <c r="Z570" s="5"/>
    </row>
    <row r="571">
      <c r="A571" s="17" t="s">
        <v>2404</v>
      </c>
      <c r="B571" s="5" t="s">
        <v>1316</v>
      </c>
      <c r="C571" s="7" t="s">
        <v>2177</v>
      </c>
      <c r="D571" s="7" t="s">
        <v>2177</v>
      </c>
      <c r="E571" s="7" t="s">
        <v>16</v>
      </c>
      <c r="F571" s="7" t="s">
        <v>16</v>
      </c>
      <c r="G571" s="5" t="s">
        <v>461</v>
      </c>
      <c r="H571" s="7" t="s">
        <v>2405</v>
      </c>
      <c r="I571" s="7" t="s">
        <v>2406</v>
      </c>
      <c r="J571" s="8">
        <v>8000.0</v>
      </c>
      <c r="K571" s="7" t="s">
        <v>16</v>
      </c>
      <c r="L571" s="7" t="s">
        <v>16</v>
      </c>
      <c r="M571" s="5" t="s">
        <v>88</v>
      </c>
      <c r="N571" s="5" t="s">
        <v>2407</v>
      </c>
      <c r="O571" s="5"/>
      <c r="P571" s="5"/>
      <c r="Q571" s="5"/>
      <c r="R571" s="5"/>
      <c r="S571" s="5"/>
      <c r="T571" s="5"/>
      <c r="U571" s="5"/>
      <c r="V571" s="5"/>
      <c r="W571" s="5"/>
      <c r="X571" s="5"/>
      <c r="Y571" s="5"/>
      <c r="Z571" s="5"/>
    </row>
    <row r="572">
      <c r="A572" s="6" t="s">
        <v>2408</v>
      </c>
      <c r="B572" s="5" t="s">
        <v>1316</v>
      </c>
      <c r="C572" s="7" t="s">
        <v>2409</v>
      </c>
      <c r="D572" s="7" t="s">
        <v>2177</v>
      </c>
      <c r="E572" s="7" t="s">
        <v>16</v>
      </c>
      <c r="F572" s="7" t="s">
        <v>16</v>
      </c>
      <c r="G572" s="5" t="s">
        <v>326</v>
      </c>
      <c r="H572" s="7" t="s">
        <v>2410</v>
      </c>
      <c r="I572" s="7" t="s">
        <v>2411</v>
      </c>
      <c r="J572" s="8">
        <v>9000.0</v>
      </c>
      <c r="K572" s="7" t="s">
        <v>16</v>
      </c>
      <c r="L572" s="7" t="s">
        <v>16</v>
      </c>
      <c r="M572" s="5" t="s">
        <v>88</v>
      </c>
      <c r="N572" s="5" t="s">
        <v>2412</v>
      </c>
      <c r="O572" s="5"/>
      <c r="P572" s="5"/>
      <c r="Q572" s="5"/>
      <c r="R572" s="5"/>
      <c r="S572" s="5"/>
      <c r="T572" s="5"/>
      <c r="U572" s="5"/>
      <c r="V572" s="5"/>
      <c r="W572" s="5"/>
      <c r="X572" s="5"/>
      <c r="Y572" s="5"/>
      <c r="Z572" s="5"/>
    </row>
    <row r="573">
      <c r="A573" s="6" t="s">
        <v>2413</v>
      </c>
      <c r="B573" s="5" t="s">
        <v>1985</v>
      </c>
      <c r="C573" s="7" t="s">
        <v>2414</v>
      </c>
      <c r="D573" s="7" t="s">
        <v>2415</v>
      </c>
      <c r="E573" s="7" t="s">
        <v>16</v>
      </c>
      <c r="F573" s="7" t="s">
        <v>16</v>
      </c>
      <c r="G573" s="5" t="s">
        <v>19</v>
      </c>
      <c r="H573" s="7" t="s">
        <v>2416</v>
      </c>
      <c r="I573" s="7" t="s">
        <v>2417</v>
      </c>
      <c r="J573" s="8">
        <v>5000.0</v>
      </c>
      <c r="K573" s="7" t="s">
        <v>16</v>
      </c>
      <c r="L573" s="7" t="s">
        <v>16</v>
      </c>
      <c r="M573" s="5" t="s">
        <v>88</v>
      </c>
      <c r="N573" s="5" t="s">
        <v>2418</v>
      </c>
      <c r="O573" s="5"/>
      <c r="P573" s="5"/>
      <c r="Q573" s="5"/>
      <c r="R573" s="5"/>
      <c r="S573" s="5"/>
      <c r="T573" s="5"/>
      <c r="U573" s="5"/>
      <c r="V573" s="5"/>
      <c r="W573" s="5"/>
      <c r="X573" s="5"/>
      <c r="Y573" s="5"/>
      <c r="Z573" s="5"/>
    </row>
    <row r="574">
      <c r="A574" s="6" t="s">
        <v>2419</v>
      </c>
      <c r="B574" s="5" t="s">
        <v>1985</v>
      </c>
      <c r="C574" s="7" t="s">
        <v>2420</v>
      </c>
      <c r="D574" s="7" t="s">
        <v>2421</v>
      </c>
      <c r="E574" s="7" t="s">
        <v>16</v>
      </c>
      <c r="F574" s="7" t="s">
        <v>16</v>
      </c>
      <c r="G574" s="5" t="s">
        <v>19</v>
      </c>
      <c r="H574" s="7" t="s">
        <v>2422</v>
      </c>
      <c r="I574" s="7" t="s">
        <v>2423</v>
      </c>
      <c r="J574" s="8">
        <v>4500.0</v>
      </c>
      <c r="K574" s="7" t="s">
        <v>16</v>
      </c>
      <c r="L574" s="7" t="s">
        <v>16</v>
      </c>
      <c r="M574" s="5" t="s">
        <v>88</v>
      </c>
      <c r="N574" s="5" t="s">
        <v>2424</v>
      </c>
      <c r="O574" s="5"/>
      <c r="P574" s="5"/>
      <c r="Q574" s="5"/>
      <c r="R574" s="5"/>
      <c r="S574" s="5"/>
      <c r="T574" s="5"/>
      <c r="U574" s="5"/>
      <c r="V574" s="5"/>
      <c r="W574" s="5"/>
      <c r="X574" s="5"/>
      <c r="Y574" s="5"/>
      <c r="Z574" s="5"/>
    </row>
    <row r="575">
      <c r="A575" s="6" t="s">
        <v>2425</v>
      </c>
      <c r="B575" s="5" t="s">
        <v>2426</v>
      </c>
      <c r="C575" s="7" t="s">
        <v>2427</v>
      </c>
      <c r="D575" s="7" t="s">
        <v>2428</v>
      </c>
      <c r="E575" s="7" t="s">
        <v>16</v>
      </c>
      <c r="F575" s="7" t="s">
        <v>16</v>
      </c>
      <c r="G575" s="5" t="s">
        <v>19</v>
      </c>
      <c r="H575" s="7" t="s">
        <v>2429</v>
      </c>
      <c r="I575" s="7" t="s">
        <v>2430</v>
      </c>
      <c r="J575" s="8">
        <v>6000.0</v>
      </c>
      <c r="K575" s="7" t="s">
        <v>16</v>
      </c>
      <c r="L575" s="7" t="s">
        <v>16</v>
      </c>
      <c r="M575" s="5" t="s">
        <v>88</v>
      </c>
      <c r="N575" s="5" t="s">
        <v>2431</v>
      </c>
      <c r="O575" s="5"/>
      <c r="P575" s="5"/>
      <c r="Q575" s="5"/>
      <c r="R575" s="5"/>
      <c r="S575" s="5"/>
      <c r="T575" s="5"/>
      <c r="U575" s="5"/>
      <c r="V575" s="5"/>
      <c r="W575" s="5"/>
      <c r="X575" s="5"/>
      <c r="Y575" s="5"/>
      <c r="Z575" s="5"/>
    </row>
    <row r="576">
      <c r="A576" s="6" t="s">
        <v>2432</v>
      </c>
      <c r="B576" s="5" t="s">
        <v>1067</v>
      </c>
      <c r="C576" s="7" t="s">
        <v>1194</v>
      </c>
      <c r="D576" s="7" t="s">
        <v>1194</v>
      </c>
      <c r="E576" s="7" t="s">
        <v>16</v>
      </c>
      <c r="F576" s="7" t="s">
        <v>16</v>
      </c>
      <c r="G576" s="5" t="s">
        <v>19</v>
      </c>
      <c r="H576" s="7" t="s">
        <v>2433</v>
      </c>
      <c r="I576" s="7" t="s">
        <v>2434</v>
      </c>
      <c r="J576" s="8">
        <v>5500.0</v>
      </c>
      <c r="K576" s="7" t="s">
        <v>16</v>
      </c>
      <c r="L576" s="7" t="s">
        <v>16</v>
      </c>
      <c r="M576" s="5" t="s">
        <v>75</v>
      </c>
      <c r="N576" s="5" t="s">
        <v>2435</v>
      </c>
      <c r="O576" s="5"/>
      <c r="P576" s="5"/>
      <c r="Q576" s="5"/>
      <c r="R576" s="5"/>
      <c r="S576" s="5"/>
      <c r="T576" s="5"/>
      <c r="U576" s="5"/>
      <c r="V576" s="5"/>
      <c r="W576" s="5"/>
      <c r="X576" s="5"/>
      <c r="Y576" s="5"/>
      <c r="Z576" s="5"/>
    </row>
    <row r="577">
      <c r="A577" s="6" t="s">
        <v>2436</v>
      </c>
      <c r="B577" s="5" t="s">
        <v>1067</v>
      </c>
      <c r="C577" s="7" t="s">
        <v>1400</v>
      </c>
      <c r="D577" s="7" t="s">
        <v>1400</v>
      </c>
      <c r="E577" s="7" t="s">
        <v>16</v>
      </c>
      <c r="F577" s="7" t="s">
        <v>16</v>
      </c>
      <c r="G577" s="5" t="s">
        <v>19</v>
      </c>
      <c r="H577" s="7" t="s">
        <v>2437</v>
      </c>
      <c r="I577" s="7" t="s">
        <v>2438</v>
      </c>
      <c r="J577" s="8">
        <v>6000.0</v>
      </c>
      <c r="K577" s="7" t="s">
        <v>16</v>
      </c>
      <c r="L577" s="7" t="s">
        <v>16</v>
      </c>
      <c r="M577" s="5" t="s">
        <v>75</v>
      </c>
      <c r="N577" s="5" t="s">
        <v>2439</v>
      </c>
      <c r="O577" s="5"/>
      <c r="P577" s="5"/>
      <c r="Q577" s="5"/>
      <c r="R577" s="5"/>
      <c r="S577" s="5"/>
      <c r="T577" s="5"/>
      <c r="U577" s="5"/>
      <c r="V577" s="5"/>
      <c r="W577" s="5"/>
      <c r="X577" s="5"/>
      <c r="Y577" s="5"/>
      <c r="Z577" s="5"/>
    </row>
    <row r="578">
      <c r="A578" s="6" t="s">
        <v>2440</v>
      </c>
      <c r="B578" s="5" t="s">
        <v>1067</v>
      </c>
      <c r="C578" s="7" t="s">
        <v>1068</v>
      </c>
      <c r="D578" s="7" t="s">
        <v>1068</v>
      </c>
      <c r="E578" s="7" t="s">
        <v>16</v>
      </c>
      <c r="F578" s="7" t="s">
        <v>16</v>
      </c>
      <c r="G578" s="5" t="s">
        <v>19</v>
      </c>
      <c r="H578" s="7" t="s">
        <v>2441</v>
      </c>
      <c r="I578" s="7" t="s">
        <v>2442</v>
      </c>
      <c r="J578" s="7" t="s">
        <v>16</v>
      </c>
      <c r="K578" s="7" t="s">
        <v>16</v>
      </c>
      <c r="L578" s="7" t="s">
        <v>16</v>
      </c>
      <c r="M578" s="5" t="s">
        <v>36</v>
      </c>
      <c r="N578" s="5" t="s">
        <v>2443</v>
      </c>
      <c r="O578" s="5"/>
      <c r="P578" s="5"/>
      <c r="Q578" s="5"/>
      <c r="R578" s="5"/>
      <c r="S578" s="5"/>
      <c r="T578" s="5"/>
      <c r="U578" s="5"/>
      <c r="V578" s="5"/>
      <c r="W578" s="5"/>
      <c r="X578" s="5"/>
      <c r="Y578" s="5"/>
      <c r="Z578" s="5"/>
    </row>
    <row r="579">
      <c r="A579" s="6" t="s">
        <v>2444</v>
      </c>
      <c r="B579" s="5" t="s">
        <v>1067</v>
      </c>
      <c r="C579" s="7" t="s">
        <v>406</v>
      </c>
      <c r="D579" s="7" t="s">
        <v>406</v>
      </c>
      <c r="E579" s="7" t="s">
        <v>16</v>
      </c>
      <c r="F579" s="7" t="s">
        <v>16</v>
      </c>
      <c r="G579" s="5" t="s">
        <v>19</v>
      </c>
      <c r="H579" s="7" t="s">
        <v>2445</v>
      </c>
      <c r="I579" s="7" t="s">
        <v>2446</v>
      </c>
      <c r="J579" s="7" t="s">
        <v>16</v>
      </c>
      <c r="K579" s="7" t="s">
        <v>16</v>
      </c>
      <c r="L579" s="7" t="s">
        <v>16</v>
      </c>
      <c r="M579" s="5" t="s">
        <v>22</v>
      </c>
      <c r="N579" s="5" t="s">
        <v>2447</v>
      </c>
      <c r="O579" s="5"/>
      <c r="P579" s="5"/>
      <c r="Q579" s="5"/>
      <c r="R579" s="5"/>
      <c r="S579" s="5"/>
      <c r="T579" s="5"/>
      <c r="U579" s="5"/>
      <c r="V579" s="5"/>
      <c r="W579" s="5"/>
      <c r="X579" s="5"/>
      <c r="Y579" s="5"/>
      <c r="Z579" s="5"/>
    </row>
    <row r="580">
      <c r="A580" s="6" t="s">
        <v>2448</v>
      </c>
      <c r="B580" s="5" t="s">
        <v>1067</v>
      </c>
      <c r="C580" s="7" t="s">
        <v>411</v>
      </c>
      <c r="D580" s="7" t="s">
        <v>411</v>
      </c>
      <c r="E580" s="7" t="s">
        <v>16</v>
      </c>
      <c r="F580" s="7" t="s">
        <v>16</v>
      </c>
      <c r="G580" s="5" t="s">
        <v>19</v>
      </c>
      <c r="H580" s="7" t="s">
        <v>2449</v>
      </c>
      <c r="I580" s="7" t="s">
        <v>2450</v>
      </c>
      <c r="J580" s="7" t="s">
        <v>16</v>
      </c>
      <c r="K580" s="7" t="s">
        <v>16</v>
      </c>
      <c r="L580" s="7" t="s">
        <v>16</v>
      </c>
      <c r="M580" s="5" t="s">
        <v>22</v>
      </c>
      <c r="N580" s="5" t="s">
        <v>2451</v>
      </c>
      <c r="O580" s="5"/>
      <c r="P580" s="5"/>
      <c r="Q580" s="5"/>
      <c r="R580" s="5"/>
      <c r="S580" s="5"/>
      <c r="T580" s="5"/>
      <c r="U580" s="5"/>
      <c r="V580" s="5"/>
      <c r="W580" s="5"/>
      <c r="X580" s="5"/>
      <c r="Y580" s="5"/>
      <c r="Z580" s="5"/>
    </row>
    <row r="581">
      <c r="A581" s="6" t="s">
        <v>2452</v>
      </c>
      <c r="B581" s="5" t="s">
        <v>1067</v>
      </c>
      <c r="C581" s="7" t="s">
        <v>1850</v>
      </c>
      <c r="D581" s="7" t="s">
        <v>1850</v>
      </c>
      <c r="E581" s="7" t="s">
        <v>16</v>
      </c>
      <c r="F581" s="7" t="s">
        <v>16</v>
      </c>
      <c r="G581" s="5" t="s">
        <v>19</v>
      </c>
      <c r="H581" s="7" t="s">
        <v>2453</v>
      </c>
      <c r="I581" s="7" t="s">
        <v>2454</v>
      </c>
      <c r="J581" s="7" t="s">
        <v>16</v>
      </c>
      <c r="K581" s="7" t="s">
        <v>16</v>
      </c>
      <c r="L581" s="7" t="s">
        <v>16</v>
      </c>
      <c r="M581" s="5" t="s">
        <v>22</v>
      </c>
      <c r="N581" s="5" t="s">
        <v>2455</v>
      </c>
      <c r="O581" s="5"/>
      <c r="P581" s="5"/>
      <c r="Q581" s="5"/>
      <c r="R581" s="5"/>
      <c r="S581" s="5"/>
      <c r="T581" s="5"/>
      <c r="U581" s="5"/>
      <c r="V581" s="5"/>
      <c r="W581" s="5"/>
      <c r="X581" s="5"/>
      <c r="Y581" s="5"/>
      <c r="Z581" s="5"/>
    </row>
    <row r="582">
      <c r="A582" s="6" t="s">
        <v>2456</v>
      </c>
      <c r="B582" s="5" t="s">
        <v>1067</v>
      </c>
      <c r="C582" s="7" t="s">
        <v>1203</v>
      </c>
      <c r="D582" s="7" t="s">
        <v>1203</v>
      </c>
      <c r="E582" s="7" t="s">
        <v>16</v>
      </c>
      <c r="F582" s="7" t="s">
        <v>16</v>
      </c>
      <c r="G582" s="5" t="s">
        <v>19</v>
      </c>
      <c r="H582" s="7" t="s">
        <v>2457</v>
      </c>
      <c r="I582" s="7" t="s">
        <v>2458</v>
      </c>
      <c r="J582" s="8">
        <v>4000.0</v>
      </c>
      <c r="K582" s="7" t="s">
        <v>16</v>
      </c>
      <c r="L582" s="7" t="s">
        <v>16</v>
      </c>
      <c r="M582" s="5" t="s">
        <v>36</v>
      </c>
      <c r="N582" s="5" t="s">
        <v>2459</v>
      </c>
      <c r="O582" s="5"/>
      <c r="P582" s="5"/>
      <c r="Q582" s="5"/>
      <c r="R582" s="5"/>
      <c r="S582" s="5"/>
      <c r="T582" s="5"/>
      <c r="U582" s="5"/>
      <c r="V582" s="5"/>
      <c r="W582" s="5"/>
      <c r="X582" s="5"/>
      <c r="Y582" s="5"/>
      <c r="Z582" s="5"/>
    </row>
    <row r="583">
      <c r="A583" s="6" t="s">
        <v>2460</v>
      </c>
      <c r="B583" s="5" t="s">
        <v>1067</v>
      </c>
      <c r="C583" s="7" t="s">
        <v>1213</v>
      </c>
      <c r="D583" s="7" t="s">
        <v>1213</v>
      </c>
      <c r="E583" s="7" t="s">
        <v>16</v>
      </c>
      <c r="F583" s="7" t="s">
        <v>16</v>
      </c>
      <c r="G583" s="5" t="s">
        <v>19</v>
      </c>
      <c r="H583" s="7" t="s">
        <v>2461</v>
      </c>
      <c r="I583" s="7" t="s">
        <v>2462</v>
      </c>
      <c r="J583" s="8">
        <v>4000.0</v>
      </c>
      <c r="K583" s="7" t="s">
        <v>16</v>
      </c>
      <c r="L583" s="7" t="s">
        <v>16</v>
      </c>
      <c r="M583" s="5" t="s">
        <v>22</v>
      </c>
      <c r="N583" s="5" t="s">
        <v>2463</v>
      </c>
      <c r="O583" s="5"/>
      <c r="P583" s="5"/>
      <c r="Q583" s="5"/>
      <c r="R583" s="5"/>
      <c r="S583" s="5"/>
      <c r="T583" s="5"/>
      <c r="U583" s="5"/>
      <c r="V583" s="5"/>
      <c r="W583" s="5"/>
      <c r="X583" s="5"/>
      <c r="Y583" s="5"/>
      <c r="Z583" s="5"/>
    </row>
    <row r="584">
      <c r="A584" s="6" t="s">
        <v>2464</v>
      </c>
      <c r="B584" s="5" t="s">
        <v>1067</v>
      </c>
      <c r="C584" s="7" t="s">
        <v>1207</v>
      </c>
      <c r="D584" s="7" t="s">
        <v>1207</v>
      </c>
      <c r="E584" s="7" t="s">
        <v>16</v>
      </c>
      <c r="F584" s="7" t="s">
        <v>16</v>
      </c>
      <c r="G584" s="5" t="s">
        <v>19</v>
      </c>
      <c r="H584" s="7" t="s">
        <v>2465</v>
      </c>
      <c r="I584" s="7" t="s">
        <v>2466</v>
      </c>
      <c r="J584" s="8">
        <v>4000.0</v>
      </c>
      <c r="K584" s="7" t="s">
        <v>16</v>
      </c>
      <c r="L584" s="7" t="s">
        <v>16</v>
      </c>
      <c r="M584" s="5" t="s">
        <v>22</v>
      </c>
      <c r="N584" s="5" t="s">
        <v>2467</v>
      </c>
      <c r="O584" s="5"/>
      <c r="P584" s="5"/>
      <c r="Q584" s="5"/>
      <c r="R584" s="5"/>
      <c r="S584" s="5"/>
      <c r="T584" s="5"/>
      <c r="U584" s="5"/>
      <c r="V584" s="5"/>
      <c r="W584" s="5"/>
      <c r="X584" s="5"/>
      <c r="Y584" s="5"/>
      <c r="Z584" s="5"/>
    </row>
    <row r="585">
      <c r="A585" s="6" t="s">
        <v>2468</v>
      </c>
      <c r="B585" s="5" t="s">
        <v>1067</v>
      </c>
      <c r="C585" s="7" t="s">
        <v>1878</v>
      </c>
      <c r="D585" s="7" t="s">
        <v>1878</v>
      </c>
      <c r="E585" s="7" t="s">
        <v>16</v>
      </c>
      <c r="F585" s="7" t="s">
        <v>16</v>
      </c>
      <c r="G585" s="5" t="s">
        <v>19</v>
      </c>
      <c r="H585" s="7" t="s">
        <v>2469</v>
      </c>
      <c r="I585" s="7" t="s">
        <v>2470</v>
      </c>
      <c r="J585" s="8">
        <v>3000.0</v>
      </c>
      <c r="K585" s="7" t="s">
        <v>16</v>
      </c>
      <c r="L585" s="7" t="s">
        <v>16</v>
      </c>
      <c r="M585" s="5" t="s">
        <v>22</v>
      </c>
      <c r="N585" s="5" t="s">
        <v>2471</v>
      </c>
      <c r="O585" s="5"/>
      <c r="P585" s="5"/>
      <c r="Q585" s="5"/>
      <c r="R585" s="5"/>
      <c r="S585" s="5"/>
      <c r="T585" s="5"/>
      <c r="U585" s="5"/>
      <c r="V585" s="5"/>
      <c r="W585" s="5"/>
      <c r="X585" s="5"/>
      <c r="Y585" s="5"/>
      <c r="Z585" s="5"/>
    </row>
    <row r="586">
      <c r="A586" s="6" t="s">
        <v>2472</v>
      </c>
      <c r="B586" s="5" t="s">
        <v>1067</v>
      </c>
      <c r="C586" s="7" t="s">
        <v>1400</v>
      </c>
      <c r="D586" s="7" t="s">
        <v>1400</v>
      </c>
      <c r="E586" s="7" t="s">
        <v>16</v>
      </c>
      <c r="F586" s="7" t="s">
        <v>16</v>
      </c>
      <c r="G586" s="5" t="s">
        <v>19</v>
      </c>
      <c r="H586" s="7" t="s">
        <v>2473</v>
      </c>
      <c r="I586" s="7" t="s">
        <v>2474</v>
      </c>
      <c r="J586" s="8">
        <v>6000.0</v>
      </c>
      <c r="K586" s="7" t="s">
        <v>16</v>
      </c>
      <c r="L586" s="7" t="s">
        <v>16</v>
      </c>
      <c r="M586" s="5" t="s">
        <v>75</v>
      </c>
      <c r="N586" s="5" t="s">
        <v>2475</v>
      </c>
      <c r="O586" s="5"/>
      <c r="P586" s="5"/>
      <c r="Q586" s="5"/>
      <c r="R586" s="5"/>
      <c r="S586" s="5"/>
      <c r="T586" s="5"/>
      <c r="U586" s="5"/>
      <c r="V586" s="5"/>
      <c r="W586" s="5"/>
      <c r="X586" s="5"/>
      <c r="Y586" s="5"/>
      <c r="Z586" s="5"/>
    </row>
    <row r="587">
      <c r="A587" s="6" t="s">
        <v>2476</v>
      </c>
      <c r="B587" s="5" t="s">
        <v>1316</v>
      </c>
      <c r="C587" s="7" t="s">
        <v>1421</v>
      </c>
      <c r="D587" s="7" t="s">
        <v>1421</v>
      </c>
      <c r="E587" s="7" t="s">
        <v>16</v>
      </c>
      <c r="F587" s="7" t="s">
        <v>16</v>
      </c>
      <c r="G587" s="5" t="s">
        <v>19</v>
      </c>
      <c r="H587" s="7" t="s">
        <v>2477</v>
      </c>
      <c r="I587" s="7" t="s">
        <v>2478</v>
      </c>
      <c r="J587" s="8">
        <v>5000.0</v>
      </c>
      <c r="K587" s="7" t="s">
        <v>16</v>
      </c>
      <c r="L587" s="7" t="s">
        <v>16</v>
      </c>
      <c r="M587" s="5" t="s">
        <v>22</v>
      </c>
      <c r="N587" s="5" t="s">
        <v>2479</v>
      </c>
      <c r="O587" s="5"/>
      <c r="P587" s="5"/>
      <c r="Q587" s="5"/>
      <c r="R587" s="5"/>
      <c r="S587" s="5"/>
      <c r="T587" s="5"/>
      <c r="U587" s="5"/>
      <c r="V587" s="5"/>
      <c r="W587" s="5"/>
      <c r="X587" s="5"/>
      <c r="Y587" s="5"/>
      <c r="Z587" s="5"/>
    </row>
    <row r="588">
      <c r="A588" s="6" t="s">
        <v>2480</v>
      </c>
      <c r="B588" s="5" t="s">
        <v>1316</v>
      </c>
      <c r="C588" s="7" t="s">
        <v>1426</v>
      </c>
      <c r="D588" s="7" t="s">
        <v>1426</v>
      </c>
      <c r="E588" s="7" t="s">
        <v>16</v>
      </c>
      <c r="F588" s="7" t="s">
        <v>16</v>
      </c>
      <c r="G588" s="5" t="s">
        <v>19</v>
      </c>
      <c r="H588" s="7" t="s">
        <v>2481</v>
      </c>
      <c r="I588" s="7" t="s">
        <v>2482</v>
      </c>
      <c r="J588" s="8">
        <v>4500.0</v>
      </c>
      <c r="K588" s="7" t="s">
        <v>16</v>
      </c>
      <c r="L588" s="7" t="s">
        <v>16</v>
      </c>
      <c r="M588" s="5" t="s">
        <v>36</v>
      </c>
      <c r="N588" s="5" t="s">
        <v>2483</v>
      </c>
      <c r="O588" s="5"/>
      <c r="P588" s="5"/>
      <c r="Q588" s="5"/>
      <c r="R588" s="5"/>
      <c r="S588" s="5"/>
      <c r="T588" s="5"/>
      <c r="U588" s="5"/>
      <c r="V588" s="5"/>
      <c r="W588" s="5"/>
      <c r="X588" s="5"/>
      <c r="Y588" s="5"/>
      <c r="Z588" s="5"/>
    </row>
    <row r="589">
      <c r="A589" s="6" t="s">
        <v>2484</v>
      </c>
      <c r="B589" s="5" t="s">
        <v>1316</v>
      </c>
      <c r="C589" s="7" t="s">
        <v>2162</v>
      </c>
      <c r="D589" s="7" t="s">
        <v>2162</v>
      </c>
      <c r="E589" s="7" t="s">
        <v>16</v>
      </c>
      <c r="F589" s="7" t="s">
        <v>16</v>
      </c>
      <c r="G589" s="5" t="s">
        <v>19</v>
      </c>
      <c r="H589" s="7" t="s">
        <v>2485</v>
      </c>
      <c r="I589" s="7" t="s">
        <v>2486</v>
      </c>
      <c r="J589" s="8">
        <v>5000.0</v>
      </c>
      <c r="K589" s="7" t="s">
        <v>16</v>
      </c>
      <c r="L589" s="7" t="s">
        <v>16</v>
      </c>
      <c r="M589" s="5" t="s">
        <v>36</v>
      </c>
      <c r="N589" s="5" t="s">
        <v>2487</v>
      </c>
      <c r="O589" s="5"/>
      <c r="P589" s="5"/>
      <c r="Q589" s="5"/>
      <c r="R589" s="5"/>
      <c r="S589" s="5"/>
      <c r="T589" s="5"/>
      <c r="U589" s="5"/>
      <c r="V589" s="5"/>
      <c r="W589" s="5"/>
      <c r="X589" s="5"/>
      <c r="Y589" s="5"/>
      <c r="Z589" s="5"/>
    </row>
    <row r="590">
      <c r="A590" s="6" t="s">
        <v>2488</v>
      </c>
      <c r="B590" s="5" t="s">
        <v>1316</v>
      </c>
      <c r="C590" s="7" t="s">
        <v>2167</v>
      </c>
      <c r="D590" s="7" t="s">
        <v>2167</v>
      </c>
      <c r="E590" s="7" t="s">
        <v>16</v>
      </c>
      <c r="F590" s="7" t="s">
        <v>16</v>
      </c>
      <c r="G590" s="5" t="s">
        <v>19</v>
      </c>
      <c r="H590" s="7" t="s">
        <v>2489</v>
      </c>
      <c r="I590" s="7" t="s">
        <v>2490</v>
      </c>
      <c r="J590" s="8">
        <v>6000.0</v>
      </c>
      <c r="K590" s="7" t="s">
        <v>16</v>
      </c>
      <c r="L590" s="7" t="s">
        <v>16</v>
      </c>
      <c r="M590" s="5" t="s">
        <v>36</v>
      </c>
      <c r="N590" s="5" t="s">
        <v>2491</v>
      </c>
      <c r="O590" s="5"/>
      <c r="P590" s="5"/>
      <c r="Q590" s="5"/>
      <c r="R590" s="5"/>
      <c r="S590" s="5"/>
      <c r="T590" s="5"/>
      <c r="U590" s="5"/>
      <c r="V590" s="5"/>
      <c r="W590" s="5"/>
      <c r="X590" s="5"/>
      <c r="Y590" s="5"/>
      <c r="Z590" s="5"/>
    </row>
    <row r="591">
      <c r="A591" s="6" t="s">
        <v>2492</v>
      </c>
      <c r="B591" s="5" t="s">
        <v>1316</v>
      </c>
      <c r="C591" s="7" t="s">
        <v>2172</v>
      </c>
      <c r="D591" s="7" t="s">
        <v>2172</v>
      </c>
      <c r="E591" s="7" t="s">
        <v>16</v>
      </c>
      <c r="F591" s="7" t="s">
        <v>16</v>
      </c>
      <c r="G591" s="5" t="s">
        <v>19</v>
      </c>
      <c r="H591" s="7" t="s">
        <v>2493</v>
      </c>
      <c r="I591" s="7" t="s">
        <v>2494</v>
      </c>
      <c r="J591" s="8">
        <v>6000.0</v>
      </c>
      <c r="K591" s="7" t="s">
        <v>16</v>
      </c>
      <c r="L591" s="7" t="s">
        <v>16</v>
      </c>
      <c r="M591" s="5" t="s">
        <v>36</v>
      </c>
      <c r="N591" s="5" t="s">
        <v>2495</v>
      </c>
      <c r="O591" s="5"/>
      <c r="P591" s="5"/>
      <c r="Q591" s="5"/>
      <c r="R591" s="5"/>
      <c r="S591" s="5"/>
      <c r="T591" s="5"/>
      <c r="U591" s="5"/>
      <c r="V591" s="5"/>
      <c r="W591" s="5"/>
      <c r="X591" s="5"/>
      <c r="Y591" s="5"/>
      <c r="Z591" s="5"/>
    </row>
    <row r="592">
      <c r="A592" s="6" t="s">
        <v>2496</v>
      </c>
      <c r="B592" s="5" t="s">
        <v>1316</v>
      </c>
      <c r="C592" s="7" t="s">
        <v>2177</v>
      </c>
      <c r="D592" s="7" t="s">
        <v>2177</v>
      </c>
      <c r="E592" s="7" t="s">
        <v>16</v>
      </c>
      <c r="F592" s="7" t="s">
        <v>16</v>
      </c>
      <c r="G592" s="5" t="s">
        <v>461</v>
      </c>
      <c r="H592" s="7" t="s">
        <v>2497</v>
      </c>
      <c r="I592" s="7" t="s">
        <v>2498</v>
      </c>
      <c r="J592" s="8">
        <v>7000.0</v>
      </c>
      <c r="K592" s="7" t="s">
        <v>16</v>
      </c>
      <c r="L592" s="7" t="s">
        <v>16</v>
      </c>
      <c r="M592" s="5" t="s">
        <v>75</v>
      </c>
      <c r="N592" s="5" t="s">
        <v>2499</v>
      </c>
      <c r="O592" s="5"/>
      <c r="P592" s="5"/>
      <c r="Q592" s="5"/>
      <c r="R592" s="5"/>
      <c r="S592" s="5"/>
      <c r="T592" s="5"/>
      <c r="U592" s="5"/>
      <c r="V592" s="5"/>
      <c r="W592" s="5"/>
      <c r="X592" s="5"/>
      <c r="Y592" s="5"/>
      <c r="Z592" s="5"/>
    </row>
    <row r="593">
      <c r="A593" s="6" t="s">
        <v>2500</v>
      </c>
      <c r="B593" s="5" t="s">
        <v>2426</v>
      </c>
      <c r="C593" s="7" t="s">
        <v>2501</v>
      </c>
      <c r="D593" s="7" t="s">
        <v>2502</v>
      </c>
      <c r="E593" s="7" t="s">
        <v>16</v>
      </c>
      <c r="F593" s="7" t="s">
        <v>16</v>
      </c>
      <c r="G593" s="5" t="s">
        <v>461</v>
      </c>
      <c r="H593" s="7" t="s">
        <v>2503</v>
      </c>
      <c r="I593" s="7" t="s">
        <v>2504</v>
      </c>
      <c r="J593" s="8">
        <v>5000.0</v>
      </c>
      <c r="K593" s="7" t="s">
        <v>16</v>
      </c>
      <c r="L593" s="7" t="s">
        <v>16</v>
      </c>
      <c r="M593" s="5" t="s">
        <v>75</v>
      </c>
      <c r="N593" s="5" t="s">
        <v>2505</v>
      </c>
      <c r="O593" s="5"/>
      <c r="P593" s="5"/>
      <c r="Q593" s="5"/>
      <c r="R593" s="5"/>
      <c r="S593" s="5"/>
      <c r="T593" s="5"/>
      <c r="U593" s="5"/>
      <c r="V593" s="5"/>
      <c r="W593" s="5"/>
      <c r="X593" s="5"/>
      <c r="Y593" s="5"/>
      <c r="Z593" s="5"/>
    </row>
    <row r="594">
      <c r="A594" s="6" t="s">
        <v>2506</v>
      </c>
      <c r="B594" s="5" t="s">
        <v>1067</v>
      </c>
      <c r="C594" s="7" t="s">
        <v>1199</v>
      </c>
      <c r="D594" s="7" t="s">
        <v>1199</v>
      </c>
      <c r="E594" s="7" t="s">
        <v>16</v>
      </c>
      <c r="F594" s="7" t="s">
        <v>16</v>
      </c>
      <c r="G594" s="5" t="s">
        <v>19</v>
      </c>
      <c r="H594" s="7" t="s">
        <v>2507</v>
      </c>
      <c r="I594" s="7" t="s">
        <v>2508</v>
      </c>
      <c r="J594" s="8">
        <v>7000.0</v>
      </c>
      <c r="K594" s="7" t="s">
        <v>16</v>
      </c>
      <c r="L594" s="7" t="s">
        <v>16</v>
      </c>
      <c r="M594" s="5" t="s">
        <v>88</v>
      </c>
      <c r="N594" s="5" t="s">
        <v>2509</v>
      </c>
      <c r="O594" s="5"/>
      <c r="P594" s="5"/>
      <c r="Q594" s="5"/>
      <c r="R594" s="5"/>
      <c r="S594" s="5"/>
      <c r="T594" s="5"/>
      <c r="U594" s="5"/>
      <c r="V594" s="5"/>
      <c r="W594" s="5"/>
      <c r="X594" s="5"/>
      <c r="Y594" s="5"/>
      <c r="Z594" s="5"/>
    </row>
    <row r="595">
      <c r="A595" s="6" t="s">
        <v>2510</v>
      </c>
      <c r="B595" s="5" t="s">
        <v>1067</v>
      </c>
      <c r="C595" s="7" t="s">
        <v>1068</v>
      </c>
      <c r="D595" s="7" t="s">
        <v>1068</v>
      </c>
      <c r="E595" s="7" t="s">
        <v>16</v>
      </c>
      <c r="F595" s="7" t="s">
        <v>16</v>
      </c>
      <c r="G595" s="5" t="s">
        <v>19</v>
      </c>
      <c r="H595" s="7" t="s">
        <v>2511</v>
      </c>
      <c r="I595" s="7" t="s">
        <v>2512</v>
      </c>
      <c r="J595" s="8">
        <v>4500.0</v>
      </c>
      <c r="K595" s="7" t="s">
        <v>16</v>
      </c>
      <c r="L595" s="7" t="s">
        <v>16</v>
      </c>
      <c r="M595" s="5" t="s">
        <v>36</v>
      </c>
      <c r="N595" s="5" t="s">
        <v>2513</v>
      </c>
      <c r="O595" s="5"/>
      <c r="P595" s="5"/>
      <c r="Q595" s="5"/>
      <c r="R595" s="5"/>
      <c r="S595" s="5"/>
      <c r="T595" s="5"/>
      <c r="U595" s="5"/>
      <c r="V595" s="5"/>
      <c r="W595" s="5"/>
      <c r="X595" s="5"/>
      <c r="Y595" s="5"/>
      <c r="Z595" s="5"/>
    </row>
    <row r="596">
      <c r="A596" s="6" t="s">
        <v>2514</v>
      </c>
      <c r="B596" s="5" t="s">
        <v>1067</v>
      </c>
      <c r="C596" s="7" t="s">
        <v>1194</v>
      </c>
      <c r="D596" s="7" t="s">
        <v>1194</v>
      </c>
      <c r="E596" s="7" t="s">
        <v>16</v>
      </c>
      <c r="F596" s="7" t="s">
        <v>16</v>
      </c>
      <c r="G596" s="5" t="s">
        <v>19</v>
      </c>
      <c r="H596" s="7" t="s">
        <v>2515</v>
      </c>
      <c r="I596" s="7" t="s">
        <v>2516</v>
      </c>
      <c r="J596" s="8">
        <v>5000.0</v>
      </c>
      <c r="K596" s="7" t="s">
        <v>16</v>
      </c>
      <c r="L596" s="7" t="s">
        <v>16</v>
      </c>
      <c r="M596" s="5" t="s">
        <v>75</v>
      </c>
      <c r="N596" s="5" t="s">
        <v>2517</v>
      </c>
      <c r="O596" s="5"/>
      <c r="P596" s="5"/>
      <c r="Q596" s="5"/>
      <c r="R596" s="5"/>
      <c r="S596" s="5"/>
      <c r="T596" s="5"/>
      <c r="U596" s="5"/>
      <c r="V596" s="5"/>
      <c r="W596" s="5"/>
      <c r="X596" s="5"/>
      <c r="Y596" s="5"/>
      <c r="Z596" s="5"/>
    </row>
    <row r="597">
      <c r="A597" s="6" t="s">
        <v>2518</v>
      </c>
      <c r="B597" s="5" t="s">
        <v>1067</v>
      </c>
      <c r="C597" s="7" t="s">
        <v>85</v>
      </c>
      <c r="D597" s="7" t="s">
        <v>85</v>
      </c>
      <c r="E597" s="7" t="s">
        <v>16</v>
      </c>
      <c r="F597" s="7" t="s">
        <v>16</v>
      </c>
      <c r="G597" s="5" t="s">
        <v>19</v>
      </c>
      <c r="H597" s="7" t="s">
        <v>2519</v>
      </c>
      <c r="I597" s="7" t="s">
        <v>2520</v>
      </c>
      <c r="J597" s="8">
        <v>3000.0</v>
      </c>
      <c r="K597" s="7" t="s">
        <v>16</v>
      </c>
      <c r="L597" s="7" t="s">
        <v>16</v>
      </c>
      <c r="M597" s="5" t="s">
        <v>75</v>
      </c>
      <c r="N597" s="5" t="s">
        <v>2521</v>
      </c>
      <c r="O597" s="5"/>
      <c r="P597" s="5"/>
      <c r="Q597" s="5"/>
      <c r="R597" s="5"/>
      <c r="S597" s="5"/>
      <c r="T597" s="5"/>
      <c r="U597" s="5"/>
      <c r="V597" s="5"/>
      <c r="W597" s="5"/>
      <c r="X597" s="5"/>
      <c r="Y597" s="5"/>
      <c r="Z597" s="5"/>
    </row>
    <row r="598">
      <c r="A598" s="6" t="s">
        <v>2522</v>
      </c>
      <c r="B598" s="5" t="s">
        <v>1067</v>
      </c>
      <c r="C598" s="7" t="s">
        <v>2523</v>
      </c>
      <c r="D598" s="7" t="s">
        <v>2523</v>
      </c>
      <c r="E598" s="7" t="s">
        <v>16</v>
      </c>
      <c r="F598" s="7" t="s">
        <v>16</v>
      </c>
      <c r="G598" s="5" t="s">
        <v>19</v>
      </c>
      <c r="H598" s="7" t="s">
        <v>2524</v>
      </c>
      <c r="I598" s="7" t="s">
        <v>2525</v>
      </c>
      <c r="J598" s="8">
        <v>6000.0</v>
      </c>
      <c r="K598" s="7" t="s">
        <v>16</v>
      </c>
      <c r="L598" s="7" t="s">
        <v>16</v>
      </c>
      <c r="M598" s="5" t="s">
        <v>88</v>
      </c>
      <c r="N598" s="5" t="s">
        <v>2526</v>
      </c>
      <c r="O598" s="5"/>
      <c r="P598" s="5"/>
      <c r="Q598" s="5"/>
      <c r="R598" s="5"/>
      <c r="S598" s="5"/>
      <c r="T598" s="5"/>
      <c r="U598" s="5"/>
      <c r="V598" s="5"/>
      <c r="W598" s="5"/>
      <c r="X598" s="5"/>
      <c r="Y598" s="5"/>
      <c r="Z598" s="5"/>
    </row>
    <row r="599">
      <c r="A599" s="6" t="s">
        <v>2527</v>
      </c>
      <c r="B599" s="5" t="s">
        <v>1067</v>
      </c>
      <c r="C599" s="7" t="s">
        <v>1400</v>
      </c>
      <c r="D599" s="7" t="s">
        <v>1400</v>
      </c>
      <c r="E599" s="7" t="s">
        <v>16</v>
      </c>
      <c r="F599" s="7" t="s">
        <v>16</v>
      </c>
      <c r="G599" s="5" t="s">
        <v>19</v>
      </c>
      <c r="H599" s="7" t="s">
        <v>2528</v>
      </c>
      <c r="I599" s="7" t="s">
        <v>2529</v>
      </c>
      <c r="J599" s="8">
        <v>5000.0</v>
      </c>
      <c r="K599" s="7" t="s">
        <v>16</v>
      </c>
      <c r="L599" s="7" t="s">
        <v>16</v>
      </c>
      <c r="M599" s="5" t="s">
        <v>75</v>
      </c>
      <c r="N599" s="5" t="s">
        <v>2530</v>
      </c>
      <c r="O599" s="5"/>
      <c r="P599" s="5"/>
      <c r="Q599" s="5"/>
      <c r="R599" s="5"/>
      <c r="S599" s="5"/>
      <c r="T599" s="5"/>
      <c r="U599" s="5"/>
      <c r="V599" s="5"/>
      <c r="W599" s="5"/>
      <c r="X599" s="5"/>
      <c r="Y599" s="5"/>
      <c r="Z599" s="5"/>
    </row>
    <row r="600">
      <c r="A600" s="6" t="s">
        <v>2531</v>
      </c>
      <c r="B600" s="5" t="s">
        <v>1067</v>
      </c>
      <c r="C600" s="7" t="s">
        <v>1213</v>
      </c>
      <c r="D600" s="7" t="s">
        <v>1213</v>
      </c>
      <c r="E600" s="7" t="s">
        <v>16</v>
      </c>
      <c r="F600" s="7" t="s">
        <v>16</v>
      </c>
      <c r="G600" s="5" t="s">
        <v>19</v>
      </c>
      <c r="H600" s="7" t="s">
        <v>2532</v>
      </c>
      <c r="I600" s="7" t="s">
        <v>2533</v>
      </c>
      <c r="J600" s="8">
        <v>4000.0</v>
      </c>
      <c r="K600" s="7" t="s">
        <v>16</v>
      </c>
      <c r="L600" s="7" t="s">
        <v>16</v>
      </c>
      <c r="M600" s="5" t="s">
        <v>36</v>
      </c>
      <c r="N600" s="5" t="s">
        <v>2534</v>
      </c>
      <c r="O600" s="5"/>
      <c r="P600" s="5"/>
      <c r="Q600" s="5"/>
      <c r="R600" s="5"/>
      <c r="S600" s="5"/>
      <c r="T600" s="5"/>
      <c r="U600" s="5"/>
      <c r="V600" s="5"/>
      <c r="W600" s="5"/>
      <c r="X600" s="5"/>
      <c r="Y600" s="5"/>
      <c r="Z600" s="5"/>
    </row>
    <row r="601">
      <c r="A601" s="6" t="s">
        <v>2535</v>
      </c>
      <c r="B601" s="5" t="s">
        <v>1316</v>
      </c>
      <c r="C601" s="7" t="s">
        <v>2536</v>
      </c>
      <c r="D601" s="7" t="s">
        <v>2536</v>
      </c>
      <c r="E601" s="7" t="s">
        <v>16</v>
      </c>
      <c r="F601" s="7" t="s">
        <v>16</v>
      </c>
      <c r="G601" s="5" t="s">
        <v>19</v>
      </c>
      <c r="H601" s="7" t="s">
        <v>2537</v>
      </c>
      <c r="I601" s="7" t="s">
        <v>2538</v>
      </c>
      <c r="J601" s="8">
        <v>3000.0</v>
      </c>
      <c r="K601" s="7" t="s">
        <v>16</v>
      </c>
      <c r="L601" s="7" t="s">
        <v>16</v>
      </c>
      <c r="M601" s="5" t="s">
        <v>22</v>
      </c>
      <c r="N601" s="5" t="s">
        <v>2539</v>
      </c>
      <c r="O601" s="5"/>
      <c r="P601" s="5"/>
      <c r="Q601" s="5"/>
      <c r="R601" s="5"/>
      <c r="S601" s="5"/>
      <c r="T601" s="5"/>
      <c r="U601" s="5"/>
      <c r="V601" s="5"/>
      <c r="W601" s="5"/>
      <c r="X601" s="5"/>
      <c r="Y601" s="5"/>
      <c r="Z601" s="5"/>
    </row>
    <row r="602">
      <c r="A602" s="6" t="s">
        <v>2540</v>
      </c>
      <c r="B602" s="5" t="s">
        <v>1316</v>
      </c>
      <c r="C602" s="7" t="s">
        <v>2541</v>
      </c>
      <c r="D602" s="7" t="s">
        <v>2541</v>
      </c>
      <c r="E602" s="7" t="s">
        <v>16</v>
      </c>
      <c r="F602" s="7" t="s">
        <v>16</v>
      </c>
      <c r="G602" s="5" t="s">
        <v>19</v>
      </c>
      <c r="H602" s="7" t="s">
        <v>2542</v>
      </c>
      <c r="I602" s="7" t="s">
        <v>2543</v>
      </c>
      <c r="J602" s="8">
        <v>4000.0</v>
      </c>
      <c r="K602" s="7" t="s">
        <v>16</v>
      </c>
      <c r="L602" s="7" t="s">
        <v>16</v>
      </c>
      <c r="M602" s="5" t="s">
        <v>22</v>
      </c>
      <c r="N602" s="5" t="s">
        <v>2544</v>
      </c>
      <c r="O602" s="5"/>
      <c r="P602" s="5"/>
      <c r="Q602" s="5"/>
      <c r="R602" s="5"/>
      <c r="S602" s="5"/>
      <c r="T602" s="5"/>
      <c r="U602" s="5"/>
      <c r="V602" s="5"/>
      <c r="W602" s="5"/>
      <c r="X602" s="5"/>
      <c r="Y602" s="5"/>
      <c r="Z602" s="5"/>
    </row>
    <row r="603">
      <c r="A603" s="6" t="s">
        <v>2545</v>
      </c>
      <c r="B603" s="5" t="s">
        <v>1316</v>
      </c>
      <c r="C603" s="7" t="s">
        <v>2546</v>
      </c>
      <c r="D603" s="7" t="s">
        <v>2546</v>
      </c>
      <c r="E603" s="7" t="s">
        <v>16</v>
      </c>
      <c r="F603" s="7" t="s">
        <v>16</v>
      </c>
      <c r="G603" s="5" t="s">
        <v>19</v>
      </c>
      <c r="H603" s="7" t="s">
        <v>2547</v>
      </c>
      <c r="I603" s="7" t="s">
        <v>2548</v>
      </c>
      <c r="J603" s="8">
        <v>4000.0</v>
      </c>
      <c r="K603" s="7" t="s">
        <v>16</v>
      </c>
      <c r="L603" s="7" t="s">
        <v>16</v>
      </c>
      <c r="M603" s="5" t="s">
        <v>22</v>
      </c>
      <c r="N603" s="5" t="s">
        <v>2549</v>
      </c>
      <c r="O603" s="5"/>
      <c r="P603" s="5"/>
      <c r="Q603" s="5"/>
      <c r="R603" s="5"/>
      <c r="S603" s="5"/>
      <c r="T603" s="5"/>
      <c r="U603" s="5"/>
      <c r="V603" s="5"/>
      <c r="W603" s="5"/>
      <c r="X603" s="5"/>
      <c r="Y603" s="5"/>
      <c r="Z603" s="5"/>
    </row>
    <row r="604">
      <c r="A604" s="6" t="s">
        <v>2550</v>
      </c>
      <c r="B604" s="5" t="s">
        <v>1316</v>
      </c>
      <c r="C604" s="7" t="s">
        <v>2551</v>
      </c>
      <c r="D604" s="7" t="s">
        <v>2551</v>
      </c>
      <c r="E604" s="7" t="s">
        <v>16</v>
      </c>
      <c r="F604" s="7" t="s">
        <v>16</v>
      </c>
      <c r="G604" s="5" t="s">
        <v>19</v>
      </c>
      <c r="H604" s="7" t="s">
        <v>2552</v>
      </c>
      <c r="I604" s="7" t="s">
        <v>2553</v>
      </c>
      <c r="J604" s="8">
        <v>4000.0</v>
      </c>
      <c r="K604" s="7" t="s">
        <v>16</v>
      </c>
      <c r="L604" s="7" t="s">
        <v>16</v>
      </c>
      <c r="M604" s="5" t="s">
        <v>22</v>
      </c>
      <c r="N604" s="5" t="s">
        <v>2554</v>
      </c>
      <c r="O604" s="5"/>
      <c r="P604" s="5"/>
      <c r="Q604" s="5"/>
      <c r="R604" s="5"/>
      <c r="S604" s="5"/>
      <c r="T604" s="5"/>
      <c r="U604" s="5"/>
      <c r="V604" s="5"/>
      <c r="W604" s="5"/>
      <c r="X604" s="5"/>
      <c r="Y604" s="5"/>
      <c r="Z604" s="5"/>
    </row>
    <row r="605">
      <c r="A605" s="6" t="s">
        <v>2555</v>
      </c>
      <c r="B605" s="5" t="s">
        <v>1316</v>
      </c>
      <c r="C605" s="7" t="s">
        <v>2556</v>
      </c>
      <c r="D605" s="7" t="s">
        <v>2556</v>
      </c>
      <c r="E605" s="7" t="s">
        <v>16</v>
      </c>
      <c r="F605" s="7" t="s">
        <v>16</v>
      </c>
      <c r="G605" s="5" t="s">
        <v>19</v>
      </c>
      <c r="H605" s="7" t="s">
        <v>2557</v>
      </c>
      <c r="I605" s="7" t="s">
        <v>2558</v>
      </c>
      <c r="J605" s="8">
        <v>4000.0</v>
      </c>
      <c r="K605" s="7" t="s">
        <v>16</v>
      </c>
      <c r="L605" s="7" t="s">
        <v>16</v>
      </c>
      <c r="M605" s="5" t="s">
        <v>22</v>
      </c>
      <c r="N605" s="5" t="s">
        <v>2559</v>
      </c>
      <c r="O605" s="5"/>
      <c r="P605" s="5"/>
      <c r="Q605" s="5"/>
      <c r="R605" s="5"/>
      <c r="S605" s="5"/>
      <c r="T605" s="5"/>
      <c r="U605" s="5"/>
      <c r="V605" s="5"/>
      <c r="W605" s="5"/>
      <c r="X605" s="5"/>
      <c r="Y605" s="5"/>
      <c r="Z605" s="5"/>
    </row>
    <row r="606">
      <c r="A606" s="6" t="s">
        <v>2560</v>
      </c>
      <c r="B606" s="5" t="s">
        <v>1067</v>
      </c>
      <c r="C606" s="7" t="s">
        <v>2561</v>
      </c>
      <c r="D606" s="7" t="s">
        <v>2561</v>
      </c>
      <c r="E606" s="7" t="s">
        <v>16</v>
      </c>
      <c r="F606" s="7" t="s">
        <v>16</v>
      </c>
      <c r="G606" s="5" t="s">
        <v>19</v>
      </c>
      <c r="H606" s="7" t="s">
        <v>2562</v>
      </c>
      <c r="I606" s="7" t="s">
        <v>2563</v>
      </c>
      <c r="J606" s="8">
        <v>2000.0</v>
      </c>
      <c r="K606" s="7" t="s">
        <v>16</v>
      </c>
      <c r="L606" s="7" t="s">
        <v>16</v>
      </c>
      <c r="M606" s="5" t="s">
        <v>22</v>
      </c>
      <c r="N606" s="5" t="s">
        <v>2564</v>
      </c>
      <c r="O606" s="5"/>
      <c r="P606" s="5"/>
      <c r="Q606" s="5"/>
      <c r="R606" s="5"/>
      <c r="S606" s="5"/>
      <c r="T606" s="5"/>
      <c r="U606" s="5"/>
      <c r="V606" s="5"/>
      <c r="W606" s="5"/>
      <c r="X606" s="5"/>
      <c r="Y606" s="5"/>
      <c r="Z606" s="5"/>
    </row>
    <row r="607">
      <c r="A607" s="6" t="s">
        <v>2565</v>
      </c>
      <c r="B607" s="5" t="s">
        <v>1067</v>
      </c>
      <c r="C607" s="7" t="s">
        <v>2566</v>
      </c>
      <c r="D607" s="7" t="s">
        <v>2566</v>
      </c>
      <c r="E607" s="7" t="s">
        <v>16</v>
      </c>
      <c r="F607" s="7" t="s">
        <v>16</v>
      </c>
      <c r="G607" s="5" t="s">
        <v>19</v>
      </c>
      <c r="H607" s="7" t="s">
        <v>2567</v>
      </c>
      <c r="I607" s="7" t="s">
        <v>2568</v>
      </c>
      <c r="J607" s="8">
        <v>4000.0</v>
      </c>
      <c r="K607" s="7" t="s">
        <v>16</v>
      </c>
      <c r="L607" s="7" t="s">
        <v>16</v>
      </c>
      <c r="M607" s="5" t="s">
        <v>75</v>
      </c>
      <c r="N607" s="5" t="s">
        <v>2569</v>
      </c>
      <c r="O607" s="5"/>
      <c r="P607" s="5"/>
      <c r="Q607" s="5"/>
      <c r="R607" s="5"/>
      <c r="S607" s="5"/>
      <c r="T607" s="5"/>
      <c r="U607" s="5"/>
      <c r="V607" s="5"/>
      <c r="W607" s="5"/>
      <c r="X607" s="5"/>
      <c r="Y607" s="5"/>
      <c r="Z607" s="5"/>
    </row>
    <row r="608">
      <c r="A608" s="6" t="s">
        <v>2570</v>
      </c>
      <c r="B608" s="5" t="s">
        <v>1067</v>
      </c>
      <c r="C608" s="7" t="s">
        <v>2571</v>
      </c>
      <c r="D608" s="7" t="s">
        <v>2571</v>
      </c>
      <c r="E608" s="7" t="s">
        <v>16</v>
      </c>
      <c r="F608" s="7" t="s">
        <v>16</v>
      </c>
      <c r="G608" s="5" t="s">
        <v>19</v>
      </c>
      <c r="H608" s="7" t="s">
        <v>2572</v>
      </c>
      <c r="I608" s="7" t="s">
        <v>2573</v>
      </c>
      <c r="J608" s="8">
        <v>4000.0</v>
      </c>
      <c r="K608" s="7" t="s">
        <v>16</v>
      </c>
      <c r="L608" s="7" t="s">
        <v>16</v>
      </c>
      <c r="M608" s="5" t="s">
        <v>75</v>
      </c>
      <c r="N608" s="5" t="s">
        <v>2574</v>
      </c>
      <c r="O608" s="5"/>
      <c r="P608" s="5"/>
      <c r="Q608" s="5"/>
      <c r="R608" s="5"/>
      <c r="S608" s="5"/>
      <c r="T608" s="5"/>
      <c r="U608" s="5"/>
      <c r="V608" s="5"/>
      <c r="W608" s="5"/>
      <c r="X608" s="5"/>
      <c r="Y608" s="5"/>
      <c r="Z608" s="5"/>
    </row>
    <row r="609">
      <c r="A609" s="6" t="s">
        <v>2575</v>
      </c>
      <c r="B609" s="5" t="s">
        <v>1067</v>
      </c>
      <c r="C609" s="7" t="s">
        <v>2576</v>
      </c>
      <c r="D609" s="7" t="s">
        <v>2576</v>
      </c>
      <c r="E609" s="7" t="s">
        <v>16</v>
      </c>
      <c r="F609" s="7" t="s">
        <v>16</v>
      </c>
      <c r="G609" s="5" t="s">
        <v>19</v>
      </c>
      <c r="H609" s="7" t="s">
        <v>2577</v>
      </c>
      <c r="I609" s="7" t="s">
        <v>2578</v>
      </c>
      <c r="J609" s="8">
        <v>4000.0</v>
      </c>
      <c r="K609" s="7" t="s">
        <v>16</v>
      </c>
      <c r="L609" s="7" t="s">
        <v>16</v>
      </c>
      <c r="M609" s="5" t="s">
        <v>88</v>
      </c>
      <c r="N609" s="5" t="s">
        <v>2579</v>
      </c>
      <c r="O609" s="5"/>
      <c r="P609" s="5"/>
      <c r="Q609" s="5"/>
      <c r="R609" s="5"/>
      <c r="S609" s="5"/>
      <c r="T609" s="5"/>
      <c r="U609" s="5"/>
      <c r="V609" s="5"/>
      <c r="W609" s="5"/>
      <c r="X609" s="5"/>
      <c r="Y609" s="5"/>
      <c r="Z609" s="5"/>
    </row>
    <row r="610">
      <c r="A610" s="6" t="s">
        <v>2580</v>
      </c>
      <c r="B610" s="5" t="s">
        <v>1067</v>
      </c>
      <c r="C610" s="7" t="s">
        <v>2581</v>
      </c>
      <c r="D610" s="7" t="s">
        <v>2581</v>
      </c>
      <c r="E610" s="7" t="s">
        <v>16</v>
      </c>
      <c r="F610" s="7" t="s">
        <v>16</v>
      </c>
      <c r="G610" s="5" t="s">
        <v>19</v>
      </c>
      <c r="H610" s="7" t="s">
        <v>2582</v>
      </c>
      <c r="I610" s="7" t="s">
        <v>2583</v>
      </c>
      <c r="J610" s="8">
        <v>5000.0</v>
      </c>
      <c r="K610" s="7" t="s">
        <v>16</v>
      </c>
      <c r="L610" s="7" t="s">
        <v>16</v>
      </c>
      <c r="M610" s="5" t="s">
        <v>88</v>
      </c>
      <c r="N610" s="5" t="s">
        <v>2584</v>
      </c>
      <c r="O610" s="5"/>
      <c r="P610" s="5"/>
      <c r="Q610" s="5"/>
      <c r="R610" s="5"/>
      <c r="S610" s="5"/>
      <c r="T610" s="5"/>
      <c r="U610" s="5"/>
      <c r="V610" s="5"/>
      <c r="W610" s="5"/>
      <c r="X610" s="5"/>
      <c r="Y610" s="5"/>
      <c r="Z610" s="5"/>
    </row>
    <row r="611">
      <c r="A611" s="6" t="s">
        <v>2585</v>
      </c>
      <c r="B611" s="5" t="s">
        <v>1067</v>
      </c>
      <c r="C611" s="7" t="s">
        <v>1199</v>
      </c>
      <c r="D611" s="7" t="s">
        <v>1199</v>
      </c>
      <c r="E611" s="7" t="s">
        <v>16</v>
      </c>
      <c r="F611" s="7" t="s">
        <v>16</v>
      </c>
      <c r="G611" s="5" t="s">
        <v>19</v>
      </c>
      <c r="H611" s="7" t="s">
        <v>2586</v>
      </c>
      <c r="I611" s="7" t="s">
        <v>2587</v>
      </c>
      <c r="J611" s="8">
        <v>5500.0</v>
      </c>
      <c r="K611" s="7" t="s">
        <v>16</v>
      </c>
      <c r="L611" s="7" t="s">
        <v>16</v>
      </c>
      <c r="M611" s="5" t="s">
        <v>88</v>
      </c>
      <c r="N611" s="5" t="s">
        <v>2588</v>
      </c>
      <c r="O611" s="5"/>
      <c r="P611" s="5"/>
      <c r="Q611" s="5"/>
      <c r="R611" s="5"/>
      <c r="S611" s="5"/>
      <c r="T611" s="5"/>
      <c r="U611" s="5"/>
      <c r="V611" s="5"/>
      <c r="W611" s="5"/>
      <c r="X611" s="5"/>
      <c r="Y611" s="5"/>
      <c r="Z611" s="5"/>
    </row>
    <row r="612">
      <c r="A612" s="6" t="s">
        <v>2589</v>
      </c>
      <c r="B612" s="5" t="s">
        <v>1067</v>
      </c>
      <c r="C612" s="7" t="s">
        <v>1992</v>
      </c>
      <c r="D612" s="7" t="s">
        <v>1993</v>
      </c>
      <c r="E612" s="7" t="s">
        <v>16</v>
      </c>
      <c r="F612" s="7" t="s">
        <v>16</v>
      </c>
      <c r="G612" s="5" t="s">
        <v>19</v>
      </c>
      <c r="H612" s="7" t="s">
        <v>2590</v>
      </c>
      <c r="I612" s="7" t="s">
        <v>2591</v>
      </c>
      <c r="J612" s="8">
        <v>4000.0</v>
      </c>
      <c r="K612" s="7" t="s">
        <v>16</v>
      </c>
      <c r="L612" s="7" t="s">
        <v>16</v>
      </c>
      <c r="M612" s="5" t="s">
        <v>88</v>
      </c>
      <c r="N612" s="5" t="s">
        <v>2592</v>
      </c>
      <c r="O612" s="5"/>
      <c r="P612" s="5"/>
      <c r="Q612" s="5"/>
      <c r="R612" s="5"/>
      <c r="S612" s="5"/>
      <c r="T612" s="5"/>
      <c r="U612" s="5"/>
      <c r="V612" s="5"/>
      <c r="W612" s="5"/>
      <c r="X612" s="5"/>
      <c r="Y612" s="5"/>
      <c r="Z612" s="5"/>
    </row>
    <row r="613">
      <c r="A613" s="6" t="s">
        <v>2593</v>
      </c>
      <c r="B613" s="5" t="s">
        <v>1985</v>
      </c>
      <c r="C613" s="7" t="s">
        <v>2594</v>
      </c>
      <c r="D613" s="7" t="s">
        <v>2595</v>
      </c>
      <c r="E613" s="7" t="s">
        <v>16</v>
      </c>
      <c r="F613" s="7" t="s">
        <v>16</v>
      </c>
      <c r="G613" s="5" t="s">
        <v>19</v>
      </c>
      <c r="H613" s="7" t="s">
        <v>2596</v>
      </c>
      <c r="I613" s="7" t="s">
        <v>2597</v>
      </c>
      <c r="J613" s="8">
        <v>4500.0</v>
      </c>
      <c r="K613" s="7" t="s">
        <v>16</v>
      </c>
      <c r="L613" s="7" t="s">
        <v>16</v>
      </c>
      <c r="M613" s="5" t="s">
        <v>88</v>
      </c>
      <c r="N613" s="5" t="s">
        <v>2598</v>
      </c>
      <c r="O613" s="5"/>
      <c r="P613" s="5"/>
      <c r="Q613" s="5"/>
      <c r="R613" s="5"/>
      <c r="S613" s="5"/>
      <c r="T613" s="5"/>
      <c r="U613" s="5"/>
      <c r="V613" s="5"/>
      <c r="W613" s="5"/>
      <c r="X613" s="5"/>
      <c r="Y613" s="5"/>
      <c r="Z613" s="5"/>
    </row>
    <row r="614">
      <c r="A614" s="6" t="s">
        <v>2599</v>
      </c>
      <c r="B614" s="5" t="s">
        <v>1985</v>
      </c>
      <c r="C614" s="7" t="s">
        <v>2600</v>
      </c>
      <c r="D614" s="7" t="s">
        <v>2601</v>
      </c>
      <c r="E614" s="7" t="s">
        <v>16</v>
      </c>
      <c r="F614" s="7" t="s">
        <v>16</v>
      </c>
      <c r="G614" s="5" t="s">
        <v>19</v>
      </c>
      <c r="H614" s="7" t="s">
        <v>1480</v>
      </c>
      <c r="I614" s="7" t="s">
        <v>2602</v>
      </c>
      <c r="J614" s="7" t="s">
        <v>16</v>
      </c>
      <c r="K614" s="7" t="s">
        <v>16</v>
      </c>
      <c r="L614" s="7" t="s">
        <v>16</v>
      </c>
      <c r="M614" s="5" t="s">
        <v>88</v>
      </c>
      <c r="N614" s="5" t="s">
        <v>2603</v>
      </c>
      <c r="O614" s="5"/>
      <c r="P614" s="5"/>
      <c r="Q614" s="5"/>
      <c r="R614" s="5"/>
      <c r="S614" s="5"/>
      <c r="T614" s="5"/>
      <c r="U614" s="5"/>
      <c r="V614" s="5"/>
      <c r="W614" s="5"/>
      <c r="X614" s="5"/>
      <c r="Y614" s="5"/>
      <c r="Z614" s="5"/>
    </row>
    <row r="615">
      <c r="A615" s="6" t="s">
        <v>2604</v>
      </c>
      <c r="B615" s="5" t="s">
        <v>2426</v>
      </c>
      <c r="C615" s="7" t="s">
        <v>2605</v>
      </c>
      <c r="D615" s="7" t="s">
        <v>2606</v>
      </c>
      <c r="E615" s="7" t="s">
        <v>16</v>
      </c>
      <c r="F615" s="7" t="s">
        <v>16</v>
      </c>
      <c r="G615" s="5" t="s">
        <v>19</v>
      </c>
      <c r="H615" s="7" t="s">
        <v>2607</v>
      </c>
      <c r="I615" s="7" t="s">
        <v>2608</v>
      </c>
      <c r="J615" s="8">
        <v>6000.0</v>
      </c>
      <c r="K615" s="7" t="s">
        <v>16</v>
      </c>
      <c r="L615" s="7" t="s">
        <v>16</v>
      </c>
      <c r="M615" s="5" t="s">
        <v>88</v>
      </c>
      <c r="N615" s="5" t="s">
        <v>2609</v>
      </c>
      <c r="O615" s="5"/>
      <c r="P615" s="5"/>
      <c r="Q615" s="5"/>
      <c r="R615" s="5"/>
      <c r="S615" s="5"/>
      <c r="T615" s="5"/>
      <c r="U615" s="5"/>
      <c r="V615" s="5"/>
      <c r="W615" s="5"/>
      <c r="X615" s="5"/>
      <c r="Y615" s="5"/>
      <c r="Z615" s="5"/>
    </row>
    <row r="616">
      <c r="A616" s="6" t="s">
        <v>2610</v>
      </c>
      <c r="B616" s="5" t="s">
        <v>2426</v>
      </c>
      <c r="C616" s="7" t="s">
        <v>2611</v>
      </c>
      <c r="D616" s="7" t="s">
        <v>2612</v>
      </c>
      <c r="E616" s="7" t="s">
        <v>16</v>
      </c>
      <c r="F616" s="7" t="s">
        <v>16</v>
      </c>
      <c r="G616" s="5" t="s">
        <v>19</v>
      </c>
      <c r="H616" s="7" t="s">
        <v>2613</v>
      </c>
      <c r="I616" s="7" t="s">
        <v>2614</v>
      </c>
      <c r="J616" s="8">
        <v>5500.0</v>
      </c>
      <c r="K616" s="7" t="s">
        <v>16</v>
      </c>
      <c r="L616" s="7" t="s">
        <v>16</v>
      </c>
      <c r="M616" s="5" t="s">
        <v>88</v>
      </c>
      <c r="N616" s="5" t="s">
        <v>2615</v>
      </c>
      <c r="O616" s="5"/>
      <c r="P616" s="5"/>
      <c r="Q616" s="5"/>
      <c r="R616" s="5"/>
      <c r="S616" s="5"/>
      <c r="T616" s="5"/>
      <c r="U616" s="5"/>
      <c r="V616" s="5"/>
      <c r="W616" s="5"/>
      <c r="X616" s="5"/>
      <c r="Y616" s="5"/>
      <c r="Z616" s="5"/>
    </row>
    <row r="617">
      <c r="A617" s="6" t="s">
        <v>2616</v>
      </c>
      <c r="B617" s="5" t="s">
        <v>1067</v>
      </c>
      <c r="C617" s="7" t="s">
        <v>1068</v>
      </c>
      <c r="D617" s="7" t="s">
        <v>1068</v>
      </c>
      <c r="E617" s="7" t="s">
        <v>16</v>
      </c>
      <c r="F617" s="7" t="s">
        <v>16</v>
      </c>
      <c r="G617" s="5" t="s">
        <v>19</v>
      </c>
      <c r="H617" s="7" t="s">
        <v>2617</v>
      </c>
      <c r="I617" s="7" t="s">
        <v>2618</v>
      </c>
      <c r="J617" s="8">
        <v>4500.0</v>
      </c>
      <c r="K617" s="7" t="s">
        <v>16</v>
      </c>
      <c r="L617" s="7" t="s">
        <v>16</v>
      </c>
      <c r="M617" s="5" t="s">
        <v>36</v>
      </c>
      <c r="N617" s="5" t="s">
        <v>2619</v>
      </c>
      <c r="O617" s="5"/>
      <c r="P617" s="5"/>
      <c r="Q617" s="5"/>
      <c r="R617" s="5"/>
      <c r="S617" s="5"/>
      <c r="T617" s="5"/>
      <c r="U617" s="5"/>
      <c r="V617" s="5"/>
      <c r="W617" s="5"/>
      <c r="X617" s="5"/>
      <c r="Y617" s="5"/>
      <c r="Z617" s="5"/>
    </row>
    <row r="618">
      <c r="A618" s="6" t="s">
        <v>2620</v>
      </c>
      <c r="B618" s="5" t="s">
        <v>1067</v>
      </c>
      <c r="C618" s="7" t="s">
        <v>411</v>
      </c>
      <c r="D618" s="7" t="s">
        <v>411</v>
      </c>
      <c r="E618" s="7" t="s">
        <v>16</v>
      </c>
      <c r="F618" s="7" t="s">
        <v>16</v>
      </c>
      <c r="G618" s="5" t="s">
        <v>19</v>
      </c>
      <c r="H618" s="7" t="s">
        <v>2621</v>
      </c>
      <c r="I618" s="7" t="s">
        <v>2622</v>
      </c>
      <c r="J618" s="8">
        <v>3000.0</v>
      </c>
      <c r="K618" s="7" t="s">
        <v>16</v>
      </c>
      <c r="L618" s="7" t="s">
        <v>16</v>
      </c>
      <c r="M618" s="5" t="s">
        <v>22</v>
      </c>
      <c r="N618" s="5" t="s">
        <v>2623</v>
      </c>
      <c r="O618" s="5"/>
      <c r="P618" s="5"/>
      <c r="Q618" s="5"/>
      <c r="R618" s="5"/>
      <c r="S618" s="5"/>
      <c r="T618" s="5"/>
      <c r="U618" s="5"/>
      <c r="V618" s="5"/>
      <c r="W618" s="5"/>
      <c r="X618" s="5"/>
      <c r="Y618" s="5"/>
      <c r="Z618" s="5"/>
    </row>
    <row r="619">
      <c r="A619" s="6" t="s">
        <v>2624</v>
      </c>
      <c r="B619" s="5" t="s">
        <v>1067</v>
      </c>
      <c r="C619" s="7" t="s">
        <v>2576</v>
      </c>
      <c r="D619" s="7" t="s">
        <v>2576</v>
      </c>
      <c r="E619" s="7" t="s">
        <v>16</v>
      </c>
      <c r="F619" s="7" t="s">
        <v>16</v>
      </c>
      <c r="G619" s="5" t="s">
        <v>19</v>
      </c>
      <c r="H619" s="7" t="s">
        <v>2625</v>
      </c>
      <c r="I619" s="7" t="s">
        <v>2626</v>
      </c>
      <c r="J619" s="8">
        <v>4500.0</v>
      </c>
      <c r="K619" s="7" t="s">
        <v>16</v>
      </c>
      <c r="L619" s="7" t="s">
        <v>16</v>
      </c>
      <c r="M619" s="5" t="s">
        <v>75</v>
      </c>
      <c r="N619" s="5" t="s">
        <v>2627</v>
      </c>
      <c r="O619" s="5"/>
      <c r="P619" s="5"/>
      <c r="Q619" s="5"/>
      <c r="R619" s="5"/>
      <c r="S619" s="5"/>
      <c r="T619" s="5"/>
      <c r="U619" s="5"/>
      <c r="V619" s="5"/>
      <c r="W619" s="5"/>
      <c r="X619" s="5"/>
      <c r="Y619" s="5"/>
      <c r="Z619" s="5"/>
    </row>
    <row r="620">
      <c r="A620" s="6" t="s">
        <v>2628</v>
      </c>
      <c r="B620" s="5" t="s">
        <v>1067</v>
      </c>
      <c r="C620" s="7" t="s">
        <v>1068</v>
      </c>
      <c r="D620" s="7" t="s">
        <v>1068</v>
      </c>
      <c r="E620" s="7" t="s">
        <v>16</v>
      </c>
      <c r="F620" s="7" t="s">
        <v>16</v>
      </c>
      <c r="G620" s="5" t="s">
        <v>19</v>
      </c>
      <c r="H620" s="7" t="s">
        <v>2629</v>
      </c>
      <c r="I620" s="7" t="s">
        <v>2630</v>
      </c>
      <c r="J620" s="8">
        <v>4000.0</v>
      </c>
      <c r="K620" s="7" t="s">
        <v>16</v>
      </c>
      <c r="L620" s="7" t="s">
        <v>16</v>
      </c>
      <c r="M620" s="5" t="s">
        <v>36</v>
      </c>
      <c r="N620" s="5" t="s">
        <v>2631</v>
      </c>
      <c r="O620" s="5"/>
      <c r="P620" s="5"/>
      <c r="Q620" s="5"/>
      <c r="R620" s="5"/>
      <c r="S620" s="5"/>
      <c r="T620" s="5"/>
      <c r="U620" s="5"/>
      <c r="V620" s="5"/>
      <c r="W620" s="5"/>
      <c r="X620" s="5"/>
      <c r="Y620" s="5"/>
      <c r="Z620" s="5"/>
    </row>
    <row r="621">
      <c r="A621" s="6" t="s">
        <v>2632</v>
      </c>
      <c r="B621" s="5" t="s">
        <v>1067</v>
      </c>
      <c r="C621" s="7" t="s">
        <v>85</v>
      </c>
      <c r="D621" s="7" t="s">
        <v>85</v>
      </c>
      <c r="E621" s="7" t="s">
        <v>16</v>
      </c>
      <c r="F621" s="7" t="s">
        <v>16</v>
      </c>
      <c r="G621" s="5" t="s">
        <v>19</v>
      </c>
      <c r="H621" s="7" t="s">
        <v>2633</v>
      </c>
      <c r="I621" s="7" t="s">
        <v>2634</v>
      </c>
      <c r="J621" s="8">
        <v>3000.0</v>
      </c>
      <c r="K621" s="7" t="s">
        <v>16</v>
      </c>
      <c r="L621" s="7" t="s">
        <v>16</v>
      </c>
      <c r="M621" s="5" t="s">
        <v>22</v>
      </c>
      <c r="N621" s="5" t="s">
        <v>2635</v>
      </c>
      <c r="O621" s="5"/>
      <c r="P621" s="5"/>
      <c r="Q621" s="5"/>
      <c r="R621" s="5"/>
      <c r="S621" s="5"/>
      <c r="T621" s="5"/>
      <c r="U621" s="5"/>
      <c r="V621" s="5"/>
      <c r="W621" s="5"/>
      <c r="X621" s="5"/>
      <c r="Y621" s="5"/>
      <c r="Z621" s="5"/>
    </row>
    <row r="622">
      <c r="A622" s="6" t="s">
        <v>2636</v>
      </c>
      <c r="B622" s="5" t="s">
        <v>1067</v>
      </c>
      <c r="C622" s="7" t="s">
        <v>2581</v>
      </c>
      <c r="D622" s="7" t="s">
        <v>2581</v>
      </c>
      <c r="E622" s="7" t="s">
        <v>16</v>
      </c>
      <c r="F622" s="7" t="s">
        <v>16</v>
      </c>
      <c r="G622" s="5" t="s">
        <v>19</v>
      </c>
      <c r="H622" s="7" t="s">
        <v>2637</v>
      </c>
      <c r="I622" s="7" t="s">
        <v>2638</v>
      </c>
      <c r="J622" s="8">
        <v>5000.0</v>
      </c>
      <c r="K622" s="7" t="s">
        <v>16</v>
      </c>
      <c r="L622" s="7" t="s">
        <v>16</v>
      </c>
      <c r="M622" s="5" t="s">
        <v>75</v>
      </c>
      <c r="N622" s="5" t="s">
        <v>2639</v>
      </c>
      <c r="O622" s="5"/>
      <c r="P622" s="5"/>
      <c r="Q622" s="5"/>
      <c r="R622" s="5"/>
      <c r="S622" s="5"/>
      <c r="T622" s="5"/>
      <c r="U622" s="5"/>
      <c r="V622" s="5"/>
      <c r="W622" s="5"/>
      <c r="X622" s="5"/>
      <c r="Y622" s="5"/>
      <c r="Z622" s="5"/>
    </row>
    <row r="623">
      <c r="A623" s="6" t="s">
        <v>2640</v>
      </c>
      <c r="B623" s="5" t="s">
        <v>1316</v>
      </c>
      <c r="C623" s="7" t="s">
        <v>1421</v>
      </c>
      <c r="D623" s="7" t="s">
        <v>1421</v>
      </c>
      <c r="E623" s="7" t="s">
        <v>16</v>
      </c>
      <c r="F623" s="7" t="s">
        <v>16</v>
      </c>
      <c r="G623" s="5" t="s">
        <v>19</v>
      </c>
      <c r="H623" s="7" t="s">
        <v>2641</v>
      </c>
      <c r="I623" s="7" t="s">
        <v>2642</v>
      </c>
      <c r="J623" s="8">
        <v>4000.0</v>
      </c>
      <c r="K623" s="7" t="s">
        <v>16</v>
      </c>
      <c r="L623" s="7" t="s">
        <v>16</v>
      </c>
      <c r="M623" s="5" t="s">
        <v>75</v>
      </c>
      <c r="N623" s="5" t="s">
        <v>2643</v>
      </c>
      <c r="O623" s="5"/>
      <c r="P623" s="5"/>
      <c r="Q623" s="5"/>
      <c r="R623" s="5"/>
      <c r="S623" s="5"/>
      <c r="T623" s="5"/>
      <c r="U623" s="5"/>
      <c r="V623" s="5"/>
      <c r="W623" s="5"/>
      <c r="X623" s="5"/>
      <c r="Y623" s="5"/>
      <c r="Z623" s="5"/>
    </row>
    <row r="624">
      <c r="A624" s="6" t="s">
        <v>2644</v>
      </c>
      <c r="B624" s="5" t="s">
        <v>1067</v>
      </c>
      <c r="C624" s="7" t="s">
        <v>1068</v>
      </c>
      <c r="D624" s="7" t="s">
        <v>1068</v>
      </c>
      <c r="E624" s="7" t="s">
        <v>16</v>
      </c>
      <c r="F624" s="7" t="s">
        <v>16</v>
      </c>
      <c r="G624" s="5" t="s">
        <v>19</v>
      </c>
      <c r="H624" s="7" t="s">
        <v>2645</v>
      </c>
      <c r="I624" s="7" t="s">
        <v>2646</v>
      </c>
      <c r="J624" s="8">
        <v>4000.0</v>
      </c>
      <c r="K624" s="7" t="s">
        <v>16</v>
      </c>
      <c r="L624" s="7" t="s">
        <v>16</v>
      </c>
      <c r="M624" s="5" t="s">
        <v>88</v>
      </c>
      <c r="N624" s="5" t="s">
        <v>2647</v>
      </c>
      <c r="O624" s="5"/>
      <c r="P624" s="5"/>
      <c r="Q624" s="5"/>
      <c r="R624" s="5"/>
      <c r="S624" s="5"/>
      <c r="T624" s="5"/>
      <c r="U624" s="5"/>
      <c r="V624" s="5"/>
      <c r="W624" s="5"/>
      <c r="X624" s="5"/>
      <c r="Y624" s="5"/>
      <c r="Z624" s="5"/>
    </row>
    <row r="625">
      <c r="A625" s="6" t="s">
        <v>2648</v>
      </c>
      <c r="B625" s="5" t="s">
        <v>1067</v>
      </c>
      <c r="C625" s="7" t="s">
        <v>1207</v>
      </c>
      <c r="D625" s="7" t="s">
        <v>1207</v>
      </c>
      <c r="E625" s="7" t="s">
        <v>16</v>
      </c>
      <c r="F625" s="7" t="s">
        <v>16</v>
      </c>
      <c r="G625" s="5" t="s">
        <v>19</v>
      </c>
      <c r="H625" s="7" t="s">
        <v>1388</v>
      </c>
      <c r="I625" s="7" t="s">
        <v>2649</v>
      </c>
      <c r="J625" s="8">
        <v>4000.0</v>
      </c>
      <c r="K625" s="7" t="s">
        <v>16</v>
      </c>
      <c r="L625" s="7" t="s">
        <v>16</v>
      </c>
      <c r="M625" s="5" t="s">
        <v>75</v>
      </c>
      <c r="N625" s="5" t="s">
        <v>2650</v>
      </c>
      <c r="O625" s="5"/>
      <c r="P625" s="5"/>
      <c r="Q625" s="5"/>
      <c r="R625" s="5"/>
      <c r="S625" s="5"/>
      <c r="T625" s="5"/>
      <c r="U625" s="5"/>
      <c r="V625" s="5"/>
      <c r="W625" s="5"/>
      <c r="X625" s="5"/>
      <c r="Y625" s="5"/>
      <c r="Z625" s="5"/>
    </row>
    <row r="626">
      <c r="A626" s="6" t="s">
        <v>2651</v>
      </c>
      <c r="B626" s="5" t="s">
        <v>1067</v>
      </c>
      <c r="C626" s="7" t="s">
        <v>1878</v>
      </c>
      <c r="D626" s="7" t="s">
        <v>1878</v>
      </c>
      <c r="E626" s="7" t="s">
        <v>16</v>
      </c>
      <c r="F626" s="7" t="s">
        <v>16</v>
      </c>
      <c r="G626" s="5" t="s">
        <v>19</v>
      </c>
      <c r="H626" s="7" t="s">
        <v>2652</v>
      </c>
      <c r="I626" s="7" t="s">
        <v>2653</v>
      </c>
      <c r="J626" s="8">
        <v>3000.0</v>
      </c>
      <c r="K626" s="7" t="s">
        <v>16</v>
      </c>
      <c r="L626" s="7" t="s">
        <v>16</v>
      </c>
      <c r="M626" s="5" t="s">
        <v>22</v>
      </c>
      <c r="N626" s="5" t="s">
        <v>2654</v>
      </c>
      <c r="O626" s="5"/>
      <c r="P626" s="5"/>
      <c r="Q626" s="5"/>
      <c r="R626" s="5"/>
      <c r="S626" s="5"/>
      <c r="T626" s="5"/>
      <c r="U626" s="5"/>
      <c r="V626" s="5"/>
      <c r="W626" s="5"/>
      <c r="X626" s="5"/>
      <c r="Y626" s="5"/>
      <c r="Z626" s="5"/>
    </row>
    <row r="627">
      <c r="A627" s="6" t="s">
        <v>2655</v>
      </c>
      <c r="B627" s="5" t="s">
        <v>1316</v>
      </c>
      <c r="C627" s="7" t="s">
        <v>1410</v>
      </c>
      <c r="D627" s="7" t="s">
        <v>1410</v>
      </c>
      <c r="E627" s="7" t="s">
        <v>16</v>
      </c>
      <c r="F627" s="7" t="s">
        <v>16</v>
      </c>
      <c r="G627" s="5" t="s">
        <v>19</v>
      </c>
      <c r="H627" s="7" t="s">
        <v>2656</v>
      </c>
      <c r="I627" s="7" t="s">
        <v>2657</v>
      </c>
      <c r="J627" s="8">
        <v>5000.0</v>
      </c>
      <c r="K627" s="7" t="s">
        <v>16</v>
      </c>
      <c r="L627" s="7" t="s">
        <v>16</v>
      </c>
      <c r="M627" s="5" t="s">
        <v>36</v>
      </c>
      <c r="N627" s="5" t="s">
        <v>2658</v>
      </c>
      <c r="O627" s="5"/>
      <c r="P627" s="5"/>
      <c r="Q627" s="5"/>
      <c r="R627" s="5"/>
      <c r="S627" s="5"/>
      <c r="T627" s="5"/>
      <c r="U627" s="5"/>
      <c r="V627" s="5"/>
      <c r="W627" s="5"/>
      <c r="X627" s="5"/>
      <c r="Y627" s="5"/>
      <c r="Z627" s="5"/>
    </row>
    <row r="628">
      <c r="A628" s="6" t="s">
        <v>2659</v>
      </c>
      <c r="B628" s="5" t="s">
        <v>1316</v>
      </c>
      <c r="C628" s="7" t="s">
        <v>1421</v>
      </c>
      <c r="D628" s="7" t="s">
        <v>1421</v>
      </c>
      <c r="E628" s="7" t="s">
        <v>16</v>
      </c>
      <c r="F628" s="7" t="s">
        <v>16</v>
      </c>
      <c r="G628" s="5" t="s">
        <v>19</v>
      </c>
      <c r="H628" s="7" t="s">
        <v>2660</v>
      </c>
      <c r="I628" s="7" t="s">
        <v>2661</v>
      </c>
      <c r="J628" s="8">
        <v>3000.0</v>
      </c>
      <c r="K628" s="7" t="s">
        <v>16</v>
      </c>
      <c r="L628" s="7" t="s">
        <v>16</v>
      </c>
      <c r="M628" s="5" t="s">
        <v>75</v>
      </c>
      <c r="N628" s="5" t="s">
        <v>2662</v>
      </c>
      <c r="O628" s="5"/>
      <c r="P628" s="5"/>
      <c r="Q628" s="5"/>
      <c r="R628" s="5"/>
      <c r="S628" s="5"/>
      <c r="T628" s="5"/>
      <c r="U628" s="5"/>
      <c r="V628" s="5"/>
      <c r="W628" s="5"/>
      <c r="X628" s="5"/>
      <c r="Y628" s="5"/>
      <c r="Z628" s="5"/>
    </row>
    <row r="629">
      <c r="A629" s="6" t="s">
        <v>2663</v>
      </c>
      <c r="B629" s="5" t="s">
        <v>1316</v>
      </c>
      <c r="C629" s="7" t="s">
        <v>1426</v>
      </c>
      <c r="D629" s="7" t="s">
        <v>1426</v>
      </c>
      <c r="E629" s="7" t="s">
        <v>16</v>
      </c>
      <c r="F629" s="7" t="s">
        <v>16</v>
      </c>
      <c r="G629" s="5" t="s">
        <v>19</v>
      </c>
      <c r="H629" s="7" t="s">
        <v>2664</v>
      </c>
      <c r="I629" s="7" t="s">
        <v>2665</v>
      </c>
      <c r="J629" s="8">
        <v>3000.0</v>
      </c>
      <c r="K629" s="7" t="s">
        <v>16</v>
      </c>
      <c r="L629" s="7" t="s">
        <v>16</v>
      </c>
      <c r="M629" s="5" t="s">
        <v>75</v>
      </c>
      <c r="N629" s="5" t="s">
        <v>2666</v>
      </c>
      <c r="O629" s="5"/>
      <c r="P629" s="5"/>
      <c r="Q629" s="5"/>
      <c r="R629" s="5"/>
      <c r="S629" s="5"/>
      <c r="T629" s="5"/>
      <c r="U629" s="5"/>
      <c r="V629" s="5"/>
      <c r="W629" s="5"/>
      <c r="X629" s="5"/>
      <c r="Y629" s="5"/>
      <c r="Z629" s="5"/>
    </row>
    <row r="630">
      <c r="A630" s="6" t="s">
        <v>2667</v>
      </c>
      <c r="B630" s="5" t="s">
        <v>1316</v>
      </c>
      <c r="C630" s="7" t="s">
        <v>2235</v>
      </c>
      <c r="D630" s="7" t="s">
        <v>2235</v>
      </c>
      <c r="E630" s="7" t="s">
        <v>16</v>
      </c>
      <c r="F630" s="7" t="s">
        <v>16</v>
      </c>
      <c r="G630" s="5" t="s">
        <v>19</v>
      </c>
      <c r="H630" s="7" t="s">
        <v>2668</v>
      </c>
      <c r="I630" s="7" t="s">
        <v>2669</v>
      </c>
      <c r="J630" s="8">
        <v>4000.0</v>
      </c>
      <c r="K630" s="7" t="s">
        <v>16</v>
      </c>
      <c r="L630" s="7" t="s">
        <v>16</v>
      </c>
      <c r="M630" s="5" t="s">
        <v>22</v>
      </c>
      <c r="N630" s="5" t="s">
        <v>2670</v>
      </c>
      <c r="O630" s="5"/>
      <c r="P630" s="5"/>
      <c r="Q630" s="5"/>
      <c r="R630" s="5"/>
      <c r="S630" s="5"/>
      <c r="T630" s="5"/>
      <c r="U630" s="5"/>
      <c r="V630" s="5"/>
      <c r="W630" s="5"/>
      <c r="X630" s="5"/>
      <c r="Y630" s="5"/>
      <c r="Z630" s="5"/>
    </row>
    <row r="631">
      <c r="A631" s="6" t="s">
        <v>2671</v>
      </c>
      <c r="B631" s="5" t="s">
        <v>1316</v>
      </c>
      <c r="C631" s="7" t="s">
        <v>2162</v>
      </c>
      <c r="D631" s="7" t="s">
        <v>2162</v>
      </c>
      <c r="E631" s="7" t="s">
        <v>16</v>
      </c>
      <c r="F631" s="7" t="s">
        <v>16</v>
      </c>
      <c r="G631" s="5" t="s">
        <v>19</v>
      </c>
      <c r="H631" s="7" t="s">
        <v>2672</v>
      </c>
      <c r="I631" s="7" t="s">
        <v>2673</v>
      </c>
      <c r="J631" s="8">
        <v>6000.0</v>
      </c>
      <c r="K631" s="7" t="s">
        <v>16</v>
      </c>
      <c r="L631" s="7" t="s">
        <v>16</v>
      </c>
      <c r="M631" s="5" t="s">
        <v>75</v>
      </c>
      <c r="N631" s="5" t="s">
        <v>2674</v>
      </c>
      <c r="O631" s="5"/>
      <c r="P631" s="5"/>
      <c r="Q631" s="5"/>
      <c r="R631" s="5"/>
      <c r="S631" s="5"/>
      <c r="T631" s="5"/>
      <c r="U631" s="5"/>
      <c r="V631" s="5"/>
      <c r="W631" s="5"/>
      <c r="X631" s="5"/>
      <c r="Y631" s="5"/>
      <c r="Z631" s="5"/>
    </row>
    <row r="632">
      <c r="A632" s="6" t="s">
        <v>2675</v>
      </c>
      <c r="B632" s="5" t="s">
        <v>1316</v>
      </c>
      <c r="C632" s="7" t="s">
        <v>2167</v>
      </c>
      <c r="D632" s="7" t="s">
        <v>2167</v>
      </c>
      <c r="E632" s="7" t="s">
        <v>16</v>
      </c>
      <c r="F632" s="7" t="s">
        <v>16</v>
      </c>
      <c r="G632" s="5" t="s">
        <v>19</v>
      </c>
      <c r="H632" s="7" t="s">
        <v>2676</v>
      </c>
      <c r="I632" s="7" t="s">
        <v>2677</v>
      </c>
      <c r="J632" s="8">
        <v>6000.0</v>
      </c>
      <c r="K632" s="7" t="s">
        <v>16</v>
      </c>
      <c r="L632" s="7" t="s">
        <v>16</v>
      </c>
      <c r="M632" s="5" t="s">
        <v>75</v>
      </c>
      <c r="N632" s="5" t="s">
        <v>2678</v>
      </c>
      <c r="O632" s="5"/>
      <c r="P632" s="5"/>
      <c r="Q632" s="5"/>
      <c r="R632" s="5"/>
      <c r="S632" s="5"/>
      <c r="T632" s="5"/>
      <c r="U632" s="5"/>
      <c r="V632" s="5"/>
      <c r="W632" s="5"/>
      <c r="X632" s="5"/>
      <c r="Y632" s="5"/>
      <c r="Z632" s="5"/>
    </row>
    <row r="633">
      <c r="A633" s="6" t="s">
        <v>2679</v>
      </c>
      <c r="B633" s="5" t="s">
        <v>1316</v>
      </c>
      <c r="C633" s="7" t="s">
        <v>2172</v>
      </c>
      <c r="D633" s="7" t="s">
        <v>2172</v>
      </c>
      <c r="E633" s="7" t="s">
        <v>16</v>
      </c>
      <c r="F633" s="7" t="s">
        <v>16</v>
      </c>
      <c r="G633" s="5" t="s">
        <v>19</v>
      </c>
      <c r="H633" s="7" t="s">
        <v>2680</v>
      </c>
      <c r="I633" s="7" t="s">
        <v>2681</v>
      </c>
      <c r="J633" s="8">
        <v>6000.0</v>
      </c>
      <c r="K633" s="7" t="s">
        <v>16</v>
      </c>
      <c r="L633" s="7" t="s">
        <v>16</v>
      </c>
      <c r="M633" s="5" t="s">
        <v>75</v>
      </c>
      <c r="N633" s="5" t="s">
        <v>2682</v>
      </c>
      <c r="O633" s="5"/>
      <c r="P633" s="5"/>
      <c r="Q633" s="5"/>
      <c r="R633" s="5"/>
      <c r="S633" s="5"/>
      <c r="T633" s="5"/>
      <c r="U633" s="5"/>
      <c r="V633" s="5"/>
      <c r="W633" s="5"/>
      <c r="X633" s="5"/>
      <c r="Y633" s="5"/>
      <c r="Z633" s="5"/>
    </row>
    <row r="634">
      <c r="A634" s="6" t="s">
        <v>2683</v>
      </c>
      <c r="B634" s="5" t="s">
        <v>1316</v>
      </c>
      <c r="C634" s="7" t="s">
        <v>2177</v>
      </c>
      <c r="D634" s="7" t="s">
        <v>2177</v>
      </c>
      <c r="E634" s="7" t="s">
        <v>16</v>
      </c>
      <c r="F634" s="7" t="s">
        <v>16</v>
      </c>
      <c r="G634" s="5" t="s">
        <v>461</v>
      </c>
      <c r="H634" s="7" t="s">
        <v>2684</v>
      </c>
      <c r="I634" s="7" t="s">
        <v>2685</v>
      </c>
      <c r="J634" s="8">
        <v>8000.0</v>
      </c>
      <c r="K634" s="7" t="s">
        <v>16</v>
      </c>
      <c r="L634" s="7" t="s">
        <v>16</v>
      </c>
      <c r="M634" s="5" t="s">
        <v>75</v>
      </c>
      <c r="N634" s="5" t="s">
        <v>2686</v>
      </c>
      <c r="O634" s="5"/>
      <c r="P634" s="5"/>
      <c r="Q634" s="5"/>
      <c r="R634" s="5"/>
      <c r="S634" s="5"/>
      <c r="T634" s="5"/>
      <c r="U634" s="5"/>
      <c r="V634" s="5"/>
      <c r="W634" s="5"/>
      <c r="X634" s="5"/>
      <c r="Y634" s="5"/>
      <c r="Z634" s="5"/>
    </row>
    <row r="635">
      <c r="A635" s="6" t="s">
        <v>2687</v>
      </c>
      <c r="B635" s="5" t="s">
        <v>1985</v>
      </c>
      <c r="C635" s="7" t="s">
        <v>2688</v>
      </c>
      <c r="D635" s="7" t="s">
        <v>2689</v>
      </c>
      <c r="E635" s="7" t="s">
        <v>16</v>
      </c>
      <c r="F635" s="7" t="s">
        <v>16</v>
      </c>
      <c r="G635" s="5" t="s">
        <v>19</v>
      </c>
      <c r="H635" s="7" t="s">
        <v>2690</v>
      </c>
      <c r="I635" s="7" t="s">
        <v>2691</v>
      </c>
      <c r="J635" s="8">
        <v>4000.0</v>
      </c>
      <c r="K635" s="7" t="s">
        <v>16</v>
      </c>
      <c r="L635" s="7" t="s">
        <v>16</v>
      </c>
      <c r="M635" s="5" t="s">
        <v>75</v>
      </c>
      <c r="N635" s="5" t="s">
        <v>2692</v>
      </c>
      <c r="O635" s="5"/>
      <c r="P635" s="5"/>
      <c r="Q635" s="5"/>
      <c r="R635" s="5"/>
      <c r="S635" s="5"/>
      <c r="T635" s="5"/>
      <c r="U635" s="5"/>
      <c r="V635" s="5"/>
      <c r="W635" s="5"/>
      <c r="X635" s="5"/>
      <c r="Y635" s="5"/>
      <c r="Z635" s="5"/>
    </row>
    <row r="636">
      <c r="A636" s="6" t="s">
        <v>2693</v>
      </c>
      <c r="B636" s="5" t="s">
        <v>1985</v>
      </c>
      <c r="C636" s="7" t="s">
        <v>2694</v>
      </c>
      <c r="D636" s="7" t="s">
        <v>2695</v>
      </c>
      <c r="E636" s="7" t="s">
        <v>16</v>
      </c>
      <c r="F636" s="7" t="s">
        <v>16</v>
      </c>
      <c r="G636" s="5" t="s">
        <v>19</v>
      </c>
      <c r="H636" s="7" t="s">
        <v>2696</v>
      </c>
      <c r="I636" s="7" t="s">
        <v>2697</v>
      </c>
      <c r="J636" s="8">
        <v>2000.0</v>
      </c>
      <c r="K636" s="7" t="s">
        <v>16</v>
      </c>
      <c r="L636" s="7" t="s">
        <v>16</v>
      </c>
      <c r="M636" s="5" t="s">
        <v>22</v>
      </c>
      <c r="N636" s="5" t="s">
        <v>2698</v>
      </c>
      <c r="O636" s="5"/>
      <c r="P636" s="5"/>
      <c r="Q636" s="5"/>
      <c r="R636" s="5"/>
      <c r="S636" s="5"/>
      <c r="T636" s="5"/>
      <c r="U636" s="5"/>
      <c r="V636" s="5"/>
      <c r="W636" s="5"/>
      <c r="X636" s="5"/>
      <c r="Y636" s="5"/>
      <c r="Z636" s="5"/>
    </row>
    <row r="637">
      <c r="A637" s="6" t="s">
        <v>2699</v>
      </c>
      <c r="B637" s="5" t="s">
        <v>2700</v>
      </c>
      <c r="C637" s="7" t="s">
        <v>2085</v>
      </c>
      <c r="D637" s="7" t="s">
        <v>2086</v>
      </c>
      <c r="E637" s="7" t="s">
        <v>16</v>
      </c>
      <c r="F637" s="7" t="s">
        <v>16</v>
      </c>
      <c r="G637" s="5" t="s">
        <v>19</v>
      </c>
      <c r="H637" s="7" t="s">
        <v>2701</v>
      </c>
      <c r="I637" s="7" t="s">
        <v>2702</v>
      </c>
      <c r="J637" s="8">
        <v>6000.0</v>
      </c>
      <c r="K637" s="7" t="s">
        <v>16</v>
      </c>
      <c r="L637" s="7" t="s">
        <v>16</v>
      </c>
      <c r="M637" s="5" t="s">
        <v>88</v>
      </c>
      <c r="N637" s="5" t="s">
        <v>2703</v>
      </c>
      <c r="O637" s="5"/>
      <c r="P637" s="5"/>
      <c r="Q637" s="5"/>
      <c r="R637" s="5"/>
      <c r="S637" s="5"/>
      <c r="T637" s="5"/>
      <c r="U637" s="5"/>
      <c r="V637" s="5"/>
      <c r="W637" s="5"/>
      <c r="X637" s="5"/>
      <c r="Y637" s="5"/>
      <c r="Z637" s="5"/>
    </row>
    <row r="638">
      <c r="A638" s="6" t="s">
        <v>2704</v>
      </c>
      <c r="B638" s="5" t="s">
        <v>2426</v>
      </c>
      <c r="C638" s="7" t="s">
        <v>2705</v>
      </c>
      <c r="D638" s="7" t="s">
        <v>2074</v>
      </c>
      <c r="E638" s="7" t="s">
        <v>16</v>
      </c>
      <c r="F638" s="7" t="s">
        <v>16</v>
      </c>
      <c r="G638" s="5" t="s">
        <v>19</v>
      </c>
      <c r="H638" s="7" t="s">
        <v>2706</v>
      </c>
      <c r="I638" s="7" t="s">
        <v>2707</v>
      </c>
      <c r="J638" s="8">
        <v>4000.0</v>
      </c>
      <c r="K638" s="7" t="s">
        <v>16</v>
      </c>
      <c r="L638" s="7" t="s">
        <v>16</v>
      </c>
      <c r="M638" s="5" t="s">
        <v>88</v>
      </c>
      <c r="N638" s="5" t="s">
        <v>2708</v>
      </c>
      <c r="O638" s="5"/>
      <c r="P638" s="5"/>
      <c r="Q638" s="5"/>
      <c r="R638" s="5"/>
      <c r="S638" s="5"/>
      <c r="T638" s="5"/>
      <c r="U638" s="5"/>
      <c r="V638" s="5"/>
      <c r="W638" s="5"/>
      <c r="X638" s="5"/>
      <c r="Y638" s="5"/>
      <c r="Z638" s="5"/>
    </row>
    <row r="639">
      <c r="A639" s="6" t="s">
        <v>2709</v>
      </c>
      <c r="B639" s="5" t="s">
        <v>1067</v>
      </c>
      <c r="C639" s="7" t="s">
        <v>1068</v>
      </c>
      <c r="D639" s="7" t="s">
        <v>1068</v>
      </c>
      <c r="E639" s="7" t="s">
        <v>16</v>
      </c>
      <c r="F639" s="7" t="s">
        <v>16</v>
      </c>
      <c r="G639" s="5" t="s">
        <v>19</v>
      </c>
      <c r="H639" s="7" t="s">
        <v>2710</v>
      </c>
      <c r="I639" s="7" t="s">
        <v>2711</v>
      </c>
      <c r="J639" s="8">
        <v>4000.0</v>
      </c>
      <c r="K639" s="7" t="s">
        <v>16</v>
      </c>
      <c r="L639" s="7" t="s">
        <v>16</v>
      </c>
      <c r="M639" s="5" t="s">
        <v>75</v>
      </c>
      <c r="N639" s="5" t="s">
        <v>2712</v>
      </c>
      <c r="O639" s="5"/>
      <c r="P639" s="5"/>
      <c r="Q639" s="5"/>
      <c r="R639" s="5"/>
      <c r="S639" s="5"/>
      <c r="T639" s="5"/>
      <c r="U639" s="5"/>
      <c r="V639" s="5"/>
      <c r="W639" s="5"/>
      <c r="X639" s="5"/>
      <c r="Y639" s="5"/>
      <c r="Z639" s="5"/>
    </row>
    <row r="640">
      <c r="A640" s="6" t="s">
        <v>2713</v>
      </c>
      <c r="B640" s="5" t="s">
        <v>1067</v>
      </c>
      <c r="C640" s="7" t="s">
        <v>2714</v>
      </c>
      <c r="D640" s="7" t="s">
        <v>2714</v>
      </c>
      <c r="E640" s="7" t="s">
        <v>16</v>
      </c>
      <c r="F640" s="7" t="s">
        <v>16</v>
      </c>
      <c r="G640" s="5" t="s">
        <v>19</v>
      </c>
      <c r="H640" s="7" t="s">
        <v>2715</v>
      </c>
      <c r="I640" s="7" t="s">
        <v>2716</v>
      </c>
      <c r="J640" s="8">
        <v>8000.0</v>
      </c>
      <c r="K640" s="7" t="s">
        <v>16</v>
      </c>
      <c r="L640" s="7" t="s">
        <v>16</v>
      </c>
      <c r="M640" s="5" t="s">
        <v>88</v>
      </c>
      <c r="N640" s="5" t="s">
        <v>2717</v>
      </c>
      <c r="O640" s="5"/>
      <c r="P640" s="5"/>
      <c r="Q640" s="5"/>
      <c r="R640" s="5"/>
      <c r="S640" s="5"/>
      <c r="T640" s="5"/>
      <c r="U640" s="5"/>
      <c r="V640" s="5"/>
      <c r="W640" s="5"/>
      <c r="X640" s="5"/>
      <c r="Y640" s="5"/>
      <c r="Z640" s="5"/>
    </row>
    <row r="641">
      <c r="A641" s="6" t="s">
        <v>2718</v>
      </c>
      <c r="B641" s="5" t="s">
        <v>1067</v>
      </c>
      <c r="C641" s="7" t="s">
        <v>1194</v>
      </c>
      <c r="D641" s="7" t="s">
        <v>1194</v>
      </c>
      <c r="E641" s="7" t="s">
        <v>16</v>
      </c>
      <c r="F641" s="7" t="s">
        <v>16</v>
      </c>
      <c r="G641" s="5" t="s">
        <v>19</v>
      </c>
      <c r="H641" s="7" t="s">
        <v>2719</v>
      </c>
      <c r="I641" s="7" t="s">
        <v>2720</v>
      </c>
      <c r="J641" s="8">
        <v>5000.0</v>
      </c>
      <c r="K641" s="7" t="s">
        <v>16</v>
      </c>
      <c r="L641" s="7" t="s">
        <v>16</v>
      </c>
      <c r="M641" s="5" t="s">
        <v>88</v>
      </c>
      <c r="N641" s="5" t="s">
        <v>2721</v>
      </c>
      <c r="O641" s="5"/>
      <c r="P641" s="5"/>
      <c r="Q641" s="5"/>
      <c r="R641" s="5"/>
      <c r="S641" s="5"/>
      <c r="T641" s="5"/>
      <c r="U641" s="5"/>
      <c r="V641" s="5"/>
      <c r="W641" s="5"/>
      <c r="X641" s="5"/>
      <c r="Y641" s="5"/>
      <c r="Z641" s="5"/>
    </row>
    <row r="642">
      <c r="A642" s="6" t="s">
        <v>2722</v>
      </c>
      <c r="B642" s="5" t="s">
        <v>1067</v>
      </c>
      <c r="C642" s="7" t="s">
        <v>85</v>
      </c>
      <c r="D642" s="7" t="s">
        <v>85</v>
      </c>
      <c r="E642" s="7" t="s">
        <v>16</v>
      </c>
      <c r="F642" s="7" t="s">
        <v>16</v>
      </c>
      <c r="G642" s="5" t="s">
        <v>19</v>
      </c>
      <c r="H642" s="7" t="s">
        <v>2723</v>
      </c>
      <c r="I642" s="7" t="s">
        <v>2724</v>
      </c>
      <c r="J642" s="8">
        <v>2000.0</v>
      </c>
      <c r="K642" s="7" t="s">
        <v>16</v>
      </c>
      <c r="L642" s="7" t="s">
        <v>16</v>
      </c>
      <c r="M642" s="5" t="s">
        <v>22</v>
      </c>
      <c r="N642" s="5" t="s">
        <v>2725</v>
      </c>
      <c r="O642" s="5"/>
      <c r="P642" s="5"/>
      <c r="Q642" s="5"/>
      <c r="R642" s="5"/>
      <c r="S642" s="5"/>
      <c r="T642" s="5"/>
      <c r="U642" s="5"/>
      <c r="V642" s="5"/>
      <c r="W642" s="5"/>
      <c r="X642" s="5"/>
      <c r="Y642" s="5"/>
      <c r="Z642" s="5"/>
    </row>
    <row r="643">
      <c r="A643" s="6" t="s">
        <v>2726</v>
      </c>
      <c r="B643" s="5" t="s">
        <v>1067</v>
      </c>
      <c r="C643" s="7" t="s">
        <v>1405</v>
      </c>
      <c r="D643" s="7" t="s">
        <v>1405</v>
      </c>
      <c r="E643" s="7" t="s">
        <v>16</v>
      </c>
      <c r="F643" s="7" t="s">
        <v>16</v>
      </c>
      <c r="G643" s="5" t="s">
        <v>19</v>
      </c>
      <c r="H643" s="7" t="s">
        <v>2727</v>
      </c>
      <c r="I643" s="7" t="s">
        <v>2728</v>
      </c>
      <c r="J643" s="8">
        <v>5000.0</v>
      </c>
      <c r="K643" s="7" t="s">
        <v>16</v>
      </c>
      <c r="L643" s="7" t="s">
        <v>16</v>
      </c>
      <c r="M643" s="5" t="s">
        <v>22</v>
      </c>
      <c r="N643" s="5" t="s">
        <v>2729</v>
      </c>
      <c r="O643" s="5"/>
      <c r="P643" s="5"/>
      <c r="Q643" s="5"/>
      <c r="R643" s="5"/>
      <c r="S643" s="5"/>
      <c r="T643" s="5"/>
      <c r="U643" s="5"/>
      <c r="V643" s="5"/>
      <c r="W643" s="5"/>
      <c r="X643" s="5"/>
      <c r="Y643" s="5"/>
      <c r="Z643" s="5"/>
    </row>
    <row r="644">
      <c r="A644" s="6" t="s">
        <v>2730</v>
      </c>
      <c r="B644" s="5" t="s">
        <v>1067</v>
      </c>
      <c r="C644" s="7" t="s">
        <v>1850</v>
      </c>
      <c r="D644" s="7" t="s">
        <v>1850</v>
      </c>
      <c r="E644" s="7" t="s">
        <v>16</v>
      </c>
      <c r="F644" s="7" t="s">
        <v>16</v>
      </c>
      <c r="G644" s="5" t="s">
        <v>19</v>
      </c>
      <c r="H644" s="7" t="s">
        <v>2731</v>
      </c>
      <c r="I644" s="7" t="s">
        <v>2732</v>
      </c>
      <c r="J644" s="8">
        <v>5500.0</v>
      </c>
      <c r="K644" s="7" t="s">
        <v>16</v>
      </c>
      <c r="L644" s="7" t="s">
        <v>16</v>
      </c>
      <c r="M644" s="5" t="s">
        <v>36</v>
      </c>
      <c r="N644" s="5" t="s">
        <v>2733</v>
      </c>
      <c r="O644" s="5"/>
      <c r="P644" s="5"/>
      <c r="Q644" s="5"/>
      <c r="R644" s="5"/>
      <c r="S644" s="5"/>
      <c r="T644" s="5"/>
      <c r="U644" s="5"/>
      <c r="V644" s="5"/>
      <c r="W644" s="5"/>
      <c r="X644" s="5"/>
      <c r="Y644" s="5"/>
      <c r="Z644" s="5"/>
    </row>
    <row r="645">
      <c r="A645" s="6" t="s">
        <v>2734</v>
      </c>
      <c r="B645" s="5" t="s">
        <v>1067</v>
      </c>
      <c r="C645" s="7" t="s">
        <v>2523</v>
      </c>
      <c r="D645" s="7" t="s">
        <v>2523</v>
      </c>
      <c r="E645" s="7" t="s">
        <v>16</v>
      </c>
      <c r="F645" s="7" t="s">
        <v>16</v>
      </c>
      <c r="G645" s="5" t="s">
        <v>19</v>
      </c>
      <c r="H645" s="7" t="s">
        <v>2735</v>
      </c>
      <c r="I645" s="7" t="s">
        <v>2736</v>
      </c>
      <c r="J645" s="8">
        <v>6000.0</v>
      </c>
      <c r="K645" s="7" t="s">
        <v>16</v>
      </c>
      <c r="L645" s="7" t="s">
        <v>16</v>
      </c>
      <c r="M645" s="5" t="s">
        <v>88</v>
      </c>
      <c r="N645" s="5" t="s">
        <v>2737</v>
      </c>
      <c r="O645" s="5"/>
      <c r="P645" s="5"/>
      <c r="Q645" s="5"/>
      <c r="R645" s="5"/>
      <c r="S645" s="5"/>
      <c r="T645" s="5"/>
      <c r="U645" s="5"/>
      <c r="V645" s="5"/>
      <c r="W645" s="5"/>
      <c r="X645" s="5"/>
      <c r="Y645" s="5"/>
      <c r="Z645" s="5"/>
    </row>
    <row r="646">
      <c r="A646" s="6" t="s">
        <v>2738</v>
      </c>
      <c r="B646" s="5" t="s">
        <v>1067</v>
      </c>
      <c r="C646" s="7" t="s">
        <v>2739</v>
      </c>
      <c r="D646" s="7" t="s">
        <v>2739</v>
      </c>
      <c r="E646" s="7" t="s">
        <v>16</v>
      </c>
      <c r="F646" s="7" t="s">
        <v>16</v>
      </c>
      <c r="G646" s="5" t="s">
        <v>461</v>
      </c>
      <c r="H646" s="7" t="s">
        <v>2740</v>
      </c>
      <c r="I646" s="7" t="s">
        <v>2741</v>
      </c>
      <c r="J646" s="8">
        <v>5500.0</v>
      </c>
      <c r="K646" s="7" t="s">
        <v>16</v>
      </c>
      <c r="L646" s="7" t="s">
        <v>16</v>
      </c>
      <c r="M646" s="5" t="s">
        <v>88</v>
      </c>
      <c r="N646" s="5" t="s">
        <v>2742</v>
      </c>
      <c r="O646" s="5"/>
      <c r="P646" s="5"/>
      <c r="Q646" s="5"/>
      <c r="R646" s="5"/>
      <c r="S646" s="5"/>
      <c r="T646" s="5"/>
      <c r="U646" s="5"/>
      <c r="V646" s="5"/>
      <c r="W646" s="5"/>
      <c r="X646" s="5"/>
      <c r="Y646" s="5"/>
      <c r="Z646" s="5"/>
    </row>
    <row r="647">
      <c r="A647" s="6" t="s">
        <v>2743</v>
      </c>
      <c r="B647" s="5" t="s">
        <v>1067</v>
      </c>
      <c r="C647" s="7" t="s">
        <v>2561</v>
      </c>
      <c r="D647" s="7" t="s">
        <v>2561</v>
      </c>
      <c r="E647" s="7" t="s">
        <v>16</v>
      </c>
      <c r="F647" s="7" t="s">
        <v>16</v>
      </c>
      <c r="G647" s="5" t="s">
        <v>19</v>
      </c>
      <c r="H647" s="7" t="s">
        <v>2744</v>
      </c>
      <c r="I647" s="7" t="s">
        <v>2745</v>
      </c>
      <c r="J647" s="8">
        <v>2000.0</v>
      </c>
      <c r="K647" s="7" t="s">
        <v>16</v>
      </c>
      <c r="L647" s="7" t="s">
        <v>16</v>
      </c>
      <c r="M647" s="5" t="s">
        <v>75</v>
      </c>
      <c r="N647" s="5" t="s">
        <v>2746</v>
      </c>
      <c r="O647" s="5"/>
      <c r="P647" s="5"/>
      <c r="Q647" s="5"/>
      <c r="R647" s="5"/>
      <c r="S647" s="5"/>
      <c r="T647" s="5"/>
      <c r="U647" s="5"/>
      <c r="V647" s="5"/>
      <c r="W647" s="5"/>
      <c r="X647" s="5"/>
      <c r="Y647" s="5"/>
      <c r="Z647" s="5"/>
    </row>
    <row r="648">
      <c r="A648" s="6" t="s">
        <v>2747</v>
      </c>
      <c r="B648" s="5" t="s">
        <v>1067</v>
      </c>
      <c r="C648" s="7" t="s">
        <v>2748</v>
      </c>
      <c r="D648" s="7" t="s">
        <v>2748</v>
      </c>
      <c r="E648" s="7" t="s">
        <v>16</v>
      </c>
      <c r="F648" s="7" t="s">
        <v>16</v>
      </c>
      <c r="G648" s="5" t="s">
        <v>19</v>
      </c>
      <c r="H648" s="7" t="s">
        <v>2749</v>
      </c>
      <c r="I648" s="7" t="s">
        <v>2750</v>
      </c>
      <c r="J648" s="8">
        <v>4000.0</v>
      </c>
      <c r="K648" s="7" t="s">
        <v>16</v>
      </c>
      <c r="L648" s="7" t="s">
        <v>16</v>
      </c>
      <c r="M648" s="5" t="s">
        <v>22</v>
      </c>
      <c r="N648" s="5" t="s">
        <v>2751</v>
      </c>
      <c r="O648" s="5"/>
      <c r="P648" s="5"/>
      <c r="Q648" s="5"/>
      <c r="R648" s="5"/>
      <c r="S648" s="5"/>
      <c r="T648" s="5"/>
      <c r="U648" s="5"/>
      <c r="V648" s="5"/>
      <c r="W648" s="5"/>
      <c r="X648" s="5"/>
      <c r="Y648" s="5"/>
      <c r="Z648" s="5"/>
    </row>
    <row r="649">
      <c r="A649" s="6" t="s">
        <v>2752</v>
      </c>
      <c r="B649" s="5" t="s">
        <v>1067</v>
      </c>
      <c r="C649" s="7" t="s">
        <v>2753</v>
      </c>
      <c r="D649" s="7" t="s">
        <v>2753</v>
      </c>
      <c r="E649" s="7" t="s">
        <v>16</v>
      </c>
      <c r="F649" s="7" t="s">
        <v>16</v>
      </c>
      <c r="G649" s="5" t="s">
        <v>19</v>
      </c>
      <c r="H649" s="7" t="s">
        <v>2754</v>
      </c>
      <c r="I649" s="7" t="s">
        <v>2755</v>
      </c>
      <c r="J649" s="8">
        <v>4000.0</v>
      </c>
      <c r="K649" s="7" t="s">
        <v>16</v>
      </c>
      <c r="L649" s="7" t="s">
        <v>16</v>
      </c>
      <c r="M649" s="5" t="s">
        <v>22</v>
      </c>
      <c r="N649" s="5" t="s">
        <v>2756</v>
      </c>
      <c r="O649" s="5"/>
      <c r="P649" s="5"/>
      <c r="Q649" s="5"/>
      <c r="R649" s="5"/>
      <c r="S649" s="5"/>
      <c r="T649" s="5"/>
      <c r="U649" s="5"/>
      <c r="V649" s="5"/>
      <c r="W649" s="5"/>
      <c r="X649" s="5"/>
      <c r="Y649" s="5"/>
      <c r="Z649" s="5"/>
    </row>
    <row r="650">
      <c r="A650" s="6" t="s">
        <v>2757</v>
      </c>
      <c r="B650" s="5" t="s">
        <v>1067</v>
      </c>
      <c r="C650" s="7" t="s">
        <v>2758</v>
      </c>
      <c r="D650" s="7" t="s">
        <v>2758</v>
      </c>
      <c r="E650" s="7" t="s">
        <v>16</v>
      </c>
      <c r="F650" s="7" t="s">
        <v>16</v>
      </c>
      <c r="G650" s="5" t="s">
        <v>19</v>
      </c>
      <c r="H650" s="7" t="s">
        <v>2759</v>
      </c>
      <c r="I650" s="7" t="s">
        <v>2760</v>
      </c>
      <c r="J650" s="8">
        <v>4000.0</v>
      </c>
      <c r="K650" s="7" t="s">
        <v>16</v>
      </c>
      <c r="L650" s="7" t="s">
        <v>16</v>
      </c>
      <c r="M650" s="5" t="s">
        <v>75</v>
      </c>
      <c r="N650" s="5" t="s">
        <v>2761</v>
      </c>
      <c r="O650" s="5"/>
      <c r="P650" s="5"/>
      <c r="Q650" s="5"/>
      <c r="R650" s="5"/>
      <c r="S650" s="5"/>
      <c r="T650" s="5"/>
      <c r="U650" s="5"/>
      <c r="V650" s="5"/>
      <c r="W650" s="5"/>
      <c r="X650" s="5"/>
      <c r="Y650" s="5"/>
      <c r="Z650" s="5"/>
    </row>
    <row r="651">
      <c r="A651" s="6" t="s">
        <v>2762</v>
      </c>
      <c r="B651" s="5" t="s">
        <v>1067</v>
      </c>
      <c r="C651" s="7" t="s">
        <v>2576</v>
      </c>
      <c r="D651" s="7" t="s">
        <v>2576</v>
      </c>
      <c r="E651" s="7" t="s">
        <v>16</v>
      </c>
      <c r="F651" s="7" t="s">
        <v>16</v>
      </c>
      <c r="G651" s="5" t="s">
        <v>19</v>
      </c>
      <c r="H651" s="7" t="s">
        <v>2763</v>
      </c>
      <c r="I651" s="7" t="s">
        <v>2764</v>
      </c>
      <c r="J651" s="8">
        <v>4000.0</v>
      </c>
      <c r="K651" s="7" t="s">
        <v>16</v>
      </c>
      <c r="L651" s="7" t="s">
        <v>16</v>
      </c>
      <c r="M651" s="5" t="s">
        <v>75</v>
      </c>
      <c r="N651" s="5" t="s">
        <v>2765</v>
      </c>
      <c r="O651" s="5"/>
      <c r="P651" s="5"/>
      <c r="Q651" s="5"/>
      <c r="R651" s="5"/>
      <c r="S651" s="5"/>
      <c r="T651" s="5"/>
      <c r="U651" s="5"/>
      <c r="V651" s="5"/>
      <c r="W651" s="5"/>
      <c r="X651" s="5"/>
      <c r="Y651" s="5"/>
      <c r="Z651" s="5"/>
    </row>
    <row r="652">
      <c r="A652" s="6" t="s">
        <v>2766</v>
      </c>
      <c r="B652" s="5" t="s">
        <v>1067</v>
      </c>
      <c r="C652" s="7" t="s">
        <v>2767</v>
      </c>
      <c r="D652" s="7" t="s">
        <v>2767</v>
      </c>
      <c r="E652" s="7" t="s">
        <v>16</v>
      </c>
      <c r="F652" s="7" t="s">
        <v>16</v>
      </c>
      <c r="G652" s="5" t="s">
        <v>19</v>
      </c>
      <c r="H652" s="7" t="s">
        <v>2768</v>
      </c>
      <c r="I652" s="7" t="s">
        <v>2769</v>
      </c>
      <c r="J652" s="8">
        <v>4000.0</v>
      </c>
      <c r="K652" s="7" t="s">
        <v>16</v>
      </c>
      <c r="L652" s="7" t="s">
        <v>16</v>
      </c>
      <c r="M652" s="5" t="s">
        <v>75</v>
      </c>
      <c r="N652" s="5" t="s">
        <v>2770</v>
      </c>
      <c r="O652" s="5"/>
      <c r="P652" s="5"/>
      <c r="Q652" s="5"/>
      <c r="R652" s="5"/>
      <c r="S652" s="5"/>
      <c r="T652" s="5"/>
      <c r="U652" s="5"/>
      <c r="V652" s="5"/>
      <c r="W652" s="5"/>
      <c r="X652" s="5"/>
      <c r="Y652" s="5"/>
      <c r="Z652" s="5"/>
    </row>
    <row r="653">
      <c r="A653" s="6" t="s">
        <v>2771</v>
      </c>
      <c r="B653" s="5" t="s">
        <v>1067</v>
      </c>
      <c r="C653" s="7" t="s">
        <v>2772</v>
      </c>
      <c r="D653" s="7" t="s">
        <v>2772</v>
      </c>
      <c r="E653" s="7" t="s">
        <v>16</v>
      </c>
      <c r="F653" s="7" t="s">
        <v>16</v>
      </c>
      <c r="G653" s="5" t="s">
        <v>19</v>
      </c>
      <c r="H653" s="7" t="s">
        <v>2773</v>
      </c>
      <c r="I653" s="7" t="s">
        <v>2774</v>
      </c>
      <c r="J653" s="8">
        <v>5000.0</v>
      </c>
      <c r="K653" s="7" t="s">
        <v>16</v>
      </c>
      <c r="L653" s="7" t="s">
        <v>16</v>
      </c>
      <c r="M653" s="5" t="s">
        <v>22</v>
      </c>
      <c r="N653" s="5" t="s">
        <v>2775</v>
      </c>
      <c r="O653" s="5"/>
      <c r="P653" s="5"/>
      <c r="Q653" s="5"/>
      <c r="R653" s="5"/>
      <c r="S653" s="5"/>
      <c r="T653" s="5"/>
      <c r="U653" s="5"/>
      <c r="V653" s="5"/>
      <c r="W653" s="5"/>
      <c r="X653" s="5"/>
      <c r="Y653" s="5"/>
      <c r="Z653" s="5"/>
    </row>
    <row r="654">
      <c r="A654" s="6" t="s">
        <v>2776</v>
      </c>
      <c r="B654" s="5" t="s">
        <v>1067</v>
      </c>
      <c r="C654" s="7" t="s">
        <v>2777</v>
      </c>
      <c r="D654" s="7" t="s">
        <v>2777</v>
      </c>
      <c r="E654" s="7" t="s">
        <v>16</v>
      </c>
      <c r="F654" s="7" t="s">
        <v>16</v>
      </c>
      <c r="G654" s="5" t="s">
        <v>19</v>
      </c>
      <c r="H654" s="7" t="s">
        <v>2778</v>
      </c>
      <c r="I654" s="7" t="s">
        <v>2779</v>
      </c>
      <c r="J654" s="8">
        <v>5500.0</v>
      </c>
      <c r="K654" s="7" t="s">
        <v>16</v>
      </c>
      <c r="L654" s="7" t="s">
        <v>16</v>
      </c>
      <c r="M654" s="5" t="s">
        <v>36</v>
      </c>
      <c r="N654" s="5" t="s">
        <v>2780</v>
      </c>
      <c r="O654" s="5"/>
      <c r="P654" s="5"/>
      <c r="Q654" s="5"/>
      <c r="R654" s="5"/>
      <c r="S654" s="5"/>
      <c r="T654" s="5"/>
      <c r="U654" s="5"/>
      <c r="V654" s="5"/>
      <c r="W654" s="5"/>
      <c r="X654" s="5"/>
      <c r="Y654" s="5"/>
      <c r="Z654" s="5"/>
    </row>
    <row r="655">
      <c r="A655" s="6" t="s">
        <v>2781</v>
      </c>
      <c r="B655" s="5" t="s">
        <v>1067</v>
      </c>
      <c r="C655" s="7" t="s">
        <v>2782</v>
      </c>
      <c r="D655" s="7" t="s">
        <v>2782</v>
      </c>
      <c r="E655" s="7" t="s">
        <v>16</v>
      </c>
      <c r="F655" s="7" t="s">
        <v>16</v>
      </c>
      <c r="G655" s="5" t="s">
        <v>19</v>
      </c>
      <c r="H655" s="7" t="s">
        <v>2783</v>
      </c>
      <c r="I655" s="7" t="s">
        <v>2784</v>
      </c>
      <c r="J655" s="8">
        <v>6000.0</v>
      </c>
      <c r="K655" s="7" t="s">
        <v>16</v>
      </c>
      <c r="L655" s="7" t="s">
        <v>16</v>
      </c>
      <c r="M655" s="5" t="s">
        <v>88</v>
      </c>
      <c r="N655" s="5" t="s">
        <v>2785</v>
      </c>
      <c r="O655" s="5"/>
      <c r="P655" s="5"/>
      <c r="Q655" s="5"/>
      <c r="R655" s="5"/>
      <c r="S655" s="5"/>
      <c r="T655" s="5"/>
      <c r="U655" s="5"/>
      <c r="V655" s="5"/>
      <c r="W655" s="5"/>
      <c r="X655" s="5"/>
      <c r="Y655" s="5"/>
      <c r="Z655" s="5"/>
    </row>
    <row r="656">
      <c r="A656" s="6" t="s">
        <v>2786</v>
      </c>
      <c r="B656" s="5" t="s">
        <v>1067</v>
      </c>
      <c r="C656" s="7" t="s">
        <v>2787</v>
      </c>
      <c r="D656" s="7" t="s">
        <v>2787</v>
      </c>
      <c r="E656" s="7" t="s">
        <v>16</v>
      </c>
      <c r="F656" s="7" t="s">
        <v>16</v>
      </c>
      <c r="G656" s="5" t="s">
        <v>19</v>
      </c>
      <c r="H656" s="7" t="s">
        <v>2788</v>
      </c>
      <c r="I656" s="7" t="s">
        <v>2789</v>
      </c>
      <c r="J656" s="8">
        <v>5000.0</v>
      </c>
      <c r="K656" s="7" t="s">
        <v>16</v>
      </c>
      <c r="L656" s="7" t="s">
        <v>16</v>
      </c>
      <c r="M656" s="5" t="s">
        <v>88</v>
      </c>
      <c r="N656" s="5" t="s">
        <v>2790</v>
      </c>
      <c r="O656" s="5"/>
      <c r="P656" s="5"/>
      <c r="Q656" s="5"/>
      <c r="R656" s="5"/>
      <c r="S656" s="5"/>
      <c r="T656" s="5"/>
      <c r="U656" s="5"/>
      <c r="V656" s="5"/>
      <c r="W656" s="5"/>
      <c r="X656" s="5"/>
      <c r="Y656" s="5"/>
      <c r="Z656" s="5"/>
    </row>
    <row r="657">
      <c r="A657" s="6" t="s">
        <v>2791</v>
      </c>
      <c r="B657" s="5" t="s">
        <v>1067</v>
      </c>
      <c r="C657" s="7" t="s">
        <v>2792</v>
      </c>
      <c r="D657" s="7" t="s">
        <v>2792</v>
      </c>
      <c r="E657" s="7" t="s">
        <v>16</v>
      </c>
      <c r="F657" s="7" t="s">
        <v>16</v>
      </c>
      <c r="G657" s="5" t="s">
        <v>19</v>
      </c>
      <c r="H657" s="7" t="s">
        <v>2793</v>
      </c>
      <c r="I657" s="7" t="s">
        <v>2794</v>
      </c>
      <c r="J657" s="8">
        <v>1000.0</v>
      </c>
      <c r="K657" s="7" t="s">
        <v>16</v>
      </c>
      <c r="L657" s="7" t="s">
        <v>16</v>
      </c>
      <c r="M657" s="5" t="s">
        <v>22</v>
      </c>
      <c r="N657" s="5" t="s">
        <v>2795</v>
      </c>
      <c r="O657" s="5"/>
      <c r="P657" s="5"/>
      <c r="Q657" s="5"/>
      <c r="R657" s="5"/>
      <c r="S657" s="5"/>
      <c r="T657" s="5"/>
      <c r="U657" s="5"/>
      <c r="V657" s="5"/>
      <c r="W657" s="5"/>
      <c r="X657" s="5"/>
      <c r="Y657" s="5"/>
      <c r="Z657" s="5"/>
    </row>
    <row r="658">
      <c r="A658" s="6" t="s">
        <v>2796</v>
      </c>
      <c r="B658" s="5" t="s">
        <v>1067</v>
      </c>
      <c r="C658" s="7" t="s">
        <v>1691</v>
      </c>
      <c r="D658" s="7" t="s">
        <v>1691</v>
      </c>
      <c r="E658" s="7" t="s">
        <v>16</v>
      </c>
      <c r="F658" s="7" t="s">
        <v>16</v>
      </c>
      <c r="G658" s="5" t="s">
        <v>19</v>
      </c>
      <c r="H658" s="7" t="s">
        <v>2797</v>
      </c>
      <c r="I658" s="7" t="s">
        <v>2798</v>
      </c>
      <c r="J658" s="8">
        <v>1500.0</v>
      </c>
      <c r="K658" s="7" t="s">
        <v>16</v>
      </c>
      <c r="L658" s="7" t="s">
        <v>16</v>
      </c>
      <c r="M658" s="5" t="s">
        <v>22</v>
      </c>
      <c r="N658" s="5" t="s">
        <v>2799</v>
      </c>
      <c r="O658" s="5"/>
      <c r="P658" s="5"/>
      <c r="Q658" s="5"/>
      <c r="R658" s="5"/>
      <c r="S658" s="5"/>
      <c r="T658" s="5"/>
      <c r="U658" s="5"/>
      <c r="V658" s="5"/>
      <c r="W658" s="5"/>
      <c r="X658" s="5"/>
      <c r="Y658" s="5"/>
      <c r="Z658" s="5"/>
    </row>
    <row r="659">
      <c r="A659" s="6" t="s">
        <v>2800</v>
      </c>
      <c r="B659" s="5" t="s">
        <v>1067</v>
      </c>
      <c r="C659" s="7" t="s">
        <v>2801</v>
      </c>
      <c r="D659" s="7" t="s">
        <v>2801</v>
      </c>
      <c r="E659" s="7" t="s">
        <v>16</v>
      </c>
      <c r="F659" s="7" t="s">
        <v>16</v>
      </c>
      <c r="G659" s="5" t="s">
        <v>19</v>
      </c>
      <c r="H659" s="7" t="s">
        <v>2802</v>
      </c>
      <c r="I659" s="7" t="s">
        <v>2803</v>
      </c>
      <c r="J659" s="8">
        <v>2000.0</v>
      </c>
      <c r="K659" s="7" t="s">
        <v>16</v>
      </c>
      <c r="L659" s="7" t="s">
        <v>16</v>
      </c>
      <c r="M659" s="5" t="s">
        <v>22</v>
      </c>
      <c r="N659" s="5" t="s">
        <v>2804</v>
      </c>
      <c r="O659" s="5"/>
      <c r="P659" s="5"/>
      <c r="Q659" s="5"/>
      <c r="R659" s="5"/>
      <c r="S659" s="5"/>
      <c r="T659" s="5"/>
      <c r="U659" s="5"/>
      <c r="V659" s="5"/>
      <c r="W659" s="5"/>
      <c r="X659" s="5"/>
      <c r="Y659" s="5"/>
      <c r="Z659" s="5"/>
    </row>
    <row r="660">
      <c r="A660" s="6" t="s">
        <v>2805</v>
      </c>
      <c r="B660" s="5" t="s">
        <v>1067</v>
      </c>
      <c r="C660" s="7" t="s">
        <v>2806</v>
      </c>
      <c r="D660" s="7" t="s">
        <v>2806</v>
      </c>
      <c r="E660" s="7" t="s">
        <v>16</v>
      </c>
      <c r="F660" s="7" t="s">
        <v>16</v>
      </c>
      <c r="G660" s="5" t="s">
        <v>19</v>
      </c>
      <c r="H660" s="7" t="s">
        <v>2807</v>
      </c>
      <c r="I660" s="7" t="s">
        <v>2808</v>
      </c>
      <c r="J660" s="8">
        <v>4000.0</v>
      </c>
      <c r="K660" s="7" t="s">
        <v>16</v>
      </c>
      <c r="L660" s="7" t="s">
        <v>16</v>
      </c>
      <c r="M660" s="5" t="s">
        <v>22</v>
      </c>
      <c r="N660" s="5" t="s">
        <v>2809</v>
      </c>
      <c r="O660" s="5"/>
      <c r="P660" s="5"/>
      <c r="Q660" s="5"/>
      <c r="R660" s="5"/>
      <c r="S660" s="5"/>
      <c r="T660" s="5"/>
      <c r="U660" s="5"/>
      <c r="V660" s="5"/>
      <c r="W660" s="5"/>
      <c r="X660" s="5"/>
      <c r="Y660" s="5"/>
      <c r="Z660" s="5"/>
    </row>
    <row r="661">
      <c r="A661" s="6" t="s">
        <v>2810</v>
      </c>
      <c r="B661" s="5" t="s">
        <v>1067</v>
      </c>
      <c r="C661" s="7" t="s">
        <v>2811</v>
      </c>
      <c r="D661" s="7" t="s">
        <v>16</v>
      </c>
      <c r="E661" s="7" t="s">
        <v>16</v>
      </c>
      <c r="F661" s="7" t="s">
        <v>16</v>
      </c>
      <c r="G661" s="5" t="s">
        <v>19</v>
      </c>
      <c r="H661" s="7" t="s">
        <v>2812</v>
      </c>
      <c r="I661" s="7" t="s">
        <v>2813</v>
      </c>
      <c r="J661" s="8">
        <v>6000.0</v>
      </c>
      <c r="K661" s="7" t="s">
        <v>16</v>
      </c>
      <c r="L661" s="7" t="s">
        <v>16</v>
      </c>
      <c r="M661" s="5" t="s">
        <v>75</v>
      </c>
      <c r="N661" s="5" t="s">
        <v>2814</v>
      </c>
      <c r="O661" s="5"/>
      <c r="P661" s="5"/>
      <c r="Q661" s="5"/>
      <c r="R661" s="5"/>
      <c r="S661" s="5"/>
      <c r="T661" s="5"/>
      <c r="U661" s="5"/>
      <c r="V661" s="5"/>
      <c r="W661" s="5"/>
      <c r="X661" s="5"/>
      <c r="Y661" s="5"/>
      <c r="Z661" s="5"/>
    </row>
    <row r="662">
      <c r="A662" s="6" t="s">
        <v>2815</v>
      </c>
      <c r="B662" s="5" t="s">
        <v>2426</v>
      </c>
      <c r="C662" s="7" t="s">
        <v>2816</v>
      </c>
      <c r="D662" s="7" t="s">
        <v>2817</v>
      </c>
      <c r="E662" s="7" t="s">
        <v>16</v>
      </c>
      <c r="F662" s="7" t="s">
        <v>16</v>
      </c>
      <c r="G662" s="5" t="s">
        <v>19</v>
      </c>
      <c r="H662" s="7" t="s">
        <v>2818</v>
      </c>
      <c r="I662" s="7" t="s">
        <v>2819</v>
      </c>
      <c r="J662" s="8">
        <v>5000.0</v>
      </c>
      <c r="K662" s="7" t="s">
        <v>16</v>
      </c>
      <c r="L662" s="7" t="s">
        <v>16</v>
      </c>
      <c r="M662" s="5" t="s">
        <v>88</v>
      </c>
      <c r="N662" s="5" t="s">
        <v>2820</v>
      </c>
      <c r="O662" s="5"/>
      <c r="P662" s="5"/>
      <c r="Q662" s="5"/>
      <c r="R662" s="5"/>
      <c r="S662" s="5"/>
      <c r="T662" s="5"/>
      <c r="U662" s="5"/>
      <c r="V662" s="5"/>
      <c r="W662" s="5"/>
      <c r="X662" s="5"/>
      <c r="Y662" s="5"/>
      <c r="Z662" s="5"/>
    </row>
    <row r="663">
      <c r="A663" s="6" t="s">
        <v>2821</v>
      </c>
      <c r="B663" s="5" t="s">
        <v>2426</v>
      </c>
      <c r="C663" s="7" t="s">
        <v>2822</v>
      </c>
      <c r="D663" s="7" t="s">
        <v>2823</v>
      </c>
      <c r="E663" s="7" t="s">
        <v>16</v>
      </c>
      <c r="F663" s="7" t="s">
        <v>16</v>
      </c>
      <c r="G663" s="5" t="s">
        <v>19</v>
      </c>
      <c r="H663" s="7" t="s">
        <v>2824</v>
      </c>
      <c r="I663" s="7" t="s">
        <v>2825</v>
      </c>
      <c r="J663" s="8">
        <v>5000.0</v>
      </c>
      <c r="K663" s="7" t="s">
        <v>16</v>
      </c>
      <c r="L663" s="7" t="s">
        <v>16</v>
      </c>
      <c r="M663" s="5" t="s">
        <v>88</v>
      </c>
      <c r="N663" s="5" t="s">
        <v>2826</v>
      </c>
      <c r="O663" s="5"/>
      <c r="P663" s="5"/>
      <c r="Q663" s="5"/>
      <c r="R663" s="5"/>
      <c r="S663" s="5"/>
      <c r="T663" s="5"/>
      <c r="U663" s="5"/>
      <c r="V663" s="5"/>
      <c r="W663" s="5"/>
      <c r="X663" s="5"/>
      <c r="Y663" s="5"/>
      <c r="Z663" s="5"/>
    </row>
    <row r="664">
      <c r="A664" s="6" t="s">
        <v>2827</v>
      </c>
      <c r="B664" s="5" t="s">
        <v>1067</v>
      </c>
      <c r="C664" s="7" t="s">
        <v>1068</v>
      </c>
      <c r="D664" s="7" t="s">
        <v>1068</v>
      </c>
      <c r="E664" s="7" t="s">
        <v>16</v>
      </c>
      <c r="F664" s="7" t="s">
        <v>16</v>
      </c>
      <c r="G664" s="5" t="s">
        <v>19</v>
      </c>
      <c r="H664" s="7" t="s">
        <v>2828</v>
      </c>
      <c r="I664" s="7" t="s">
        <v>2829</v>
      </c>
      <c r="J664" s="8">
        <v>5000.0</v>
      </c>
      <c r="K664" s="7" t="s">
        <v>16</v>
      </c>
      <c r="L664" s="7" t="s">
        <v>16</v>
      </c>
      <c r="M664" s="5" t="s">
        <v>88</v>
      </c>
      <c r="N664" s="5" t="s">
        <v>2830</v>
      </c>
      <c r="O664" s="5"/>
      <c r="P664" s="5"/>
      <c r="Q664" s="5"/>
      <c r="R664" s="5"/>
      <c r="S664" s="5"/>
      <c r="T664" s="5"/>
      <c r="U664" s="5"/>
      <c r="V664" s="5"/>
      <c r="W664" s="5"/>
      <c r="X664" s="5"/>
      <c r="Y664" s="5"/>
      <c r="Z664" s="5"/>
    </row>
    <row r="665">
      <c r="A665" s="6" t="s">
        <v>2827</v>
      </c>
      <c r="B665" s="5" t="s">
        <v>1067</v>
      </c>
      <c r="C665" s="7" t="s">
        <v>1199</v>
      </c>
      <c r="D665" s="7" t="s">
        <v>1199</v>
      </c>
      <c r="E665" s="7" t="s">
        <v>16</v>
      </c>
      <c r="F665" s="7" t="s">
        <v>16</v>
      </c>
      <c r="G665" s="5" t="s">
        <v>19</v>
      </c>
      <c r="H665" s="7" t="s">
        <v>2831</v>
      </c>
      <c r="I665" s="7" t="s">
        <v>2832</v>
      </c>
      <c r="J665" s="8">
        <v>6000.0</v>
      </c>
      <c r="K665" s="7" t="s">
        <v>16</v>
      </c>
      <c r="L665" s="7" t="s">
        <v>16</v>
      </c>
      <c r="M665" s="5" t="s">
        <v>88</v>
      </c>
      <c r="N665" s="5" t="s">
        <v>2833</v>
      </c>
      <c r="O665" s="5"/>
      <c r="P665" s="5"/>
      <c r="Q665" s="5"/>
      <c r="R665" s="5"/>
      <c r="S665" s="5"/>
      <c r="T665" s="5"/>
      <c r="U665" s="5"/>
      <c r="V665" s="5"/>
      <c r="W665" s="5"/>
      <c r="X665" s="5"/>
      <c r="Y665" s="5"/>
      <c r="Z665" s="5"/>
    </row>
    <row r="666">
      <c r="A666" s="6" t="s">
        <v>2834</v>
      </c>
      <c r="B666" s="5" t="s">
        <v>1067</v>
      </c>
      <c r="C666" s="7" t="s">
        <v>1068</v>
      </c>
      <c r="D666" s="7" t="s">
        <v>1068</v>
      </c>
      <c r="E666" s="7" t="s">
        <v>16</v>
      </c>
      <c r="F666" s="7" t="s">
        <v>16</v>
      </c>
      <c r="G666" s="5" t="s">
        <v>19</v>
      </c>
      <c r="H666" s="7" t="s">
        <v>2835</v>
      </c>
      <c r="I666" s="7" t="s">
        <v>2836</v>
      </c>
      <c r="J666" s="8">
        <v>4500.0</v>
      </c>
      <c r="K666" s="7" t="s">
        <v>16</v>
      </c>
      <c r="L666" s="7" t="s">
        <v>16</v>
      </c>
      <c r="M666" s="5" t="s">
        <v>36</v>
      </c>
      <c r="N666" s="5" t="s">
        <v>2837</v>
      </c>
      <c r="O666" s="5"/>
      <c r="P666" s="5"/>
      <c r="Q666" s="5"/>
      <c r="R666" s="5"/>
      <c r="S666" s="5"/>
      <c r="T666" s="5"/>
      <c r="U666" s="5"/>
      <c r="V666" s="5"/>
      <c r="W666" s="5"/>
      <c r="X666" s="5"/>
      <c r="Y666" s="5"/>
      <c r="Z666" s="5"/>
    </row>
    <row r="667">
      <c r="A667" s="6" t="s">
        <v>2838</v>
      </c>
      <c r="B667" s="5" t="s">
        <v>1067</v>
      </c>
      <c r="C667" s="7" t="s">
        <v>2523</v>
      </c>
      <c r="D667" s="7" t="s">
        <v>2523</v>
      </c>
      <c r="E667" s="7" t="s">
        <v>16</v>
      </c>
      <c r="F667" s="7" t="s">
        <v>16</v>
      </c>
      <c r="G667" s="5" t="s">
        <v>19</v>
      </c>
      <c r="H667" s="7" t="s">
        <v>2839</v>
      </c>
      <c r="I667" s="7" t="s">
        <v>2840</v>
      </c>
      <c r="J667" s="8">
        <v>6000.0</v>
      </c>
      <c r="K667" s="7" t="s">
        <v>16</v>
      </c>
      <c r="L667" s="7" t="s">
        <v>16</v>
      </c>
      <c r="M667" s="5" t="s">
        <v>36</v>
      </c>
      <c r="N667" s="5" t="s">
        <v>2841</v>
      </c>
      <c r="O667" s="5"/>
      <c r="P667" s="5"/>
      <c r="Q667" s="5"/>
      <c r="R667" s="5"/>
      <c r="S667" s="5"/>
      <c r="T667" s="5"/>
      <c r="U667" s="5"/>
      <c r="V667" s="5"/>
      <c r="W667" s="5"/>
      <c r="X667" s="5"/>
      <c r="Y667" s="5"/>
      <c r="Z667" s="5"/>
    </row>
    <row r="668">
      <c r="A668" s="6" t="s">
        <v>2842</v>
      </c>
      <c r="B668" s="5" t="s">
        <v>1067</v>
      </c>
      <c r="C668" s="7" t="s">
        <v>2561</v>
      </c>
      <c r="D668" s="7" t="s">
        <v>2561</v>
      </c>
      <c r="E668" s="7" t="s">
        <v>16</v>
      </c>
      <c r="F668" s="7" t="s">
        <v>16</v>
      </c>
      <c r="G668" s="5" t="s">
        <v>19</v>
      </c>
      <c r="H668" s="7" t="s">
        <v>2843</v>
      </c>
      <c r="I668" s="7" t="s">
        <v>2844</v>
      </c>
      <c r="J668" s="8">
        <v>2000.0</v>
      </c>
      <c r="K668" s="7" t="s">
        <v>16</v>
      </c>
      <c r="L668" s="7" t="s">
        <v>16</v>
      </c>
      <c r="M668" s="5" t="s">
        <v>22</v>
      </c>
      <c r="N668" s="5" t="s">
        <v>2845</v>
      </c>
      <c r="O668" s="5"/>
      <c r="P668" s="5"/>
      <c r="Q668" s="5"/>
      <c r="R668" s="5"/>
      <c r="S668" s="5"/>
      <c r="T668" s="5"/>
      <c r="U668" s="5"/>
      <c r="V668" s="5"/>
      <c r="W668" s="5"/>
      <c r="X668" s="5"/>
      <c r="Y668" s="5"/>
      <c r="Z668" s="5"/>
    </row>
    <row r="669">
      <c r="A669" s="6" t="s">
        <v>2846</v>
      </c>
      <c r="B669" s="5" t="s">
        <v>1067</v>
      </c>
      <c r="C669" s="7" t="s">
        <v>2576</v>
      </c>
      <c r="D669" s="7" t="s">
        <v>2576</v>
      </c>
      <c r="E669" s="7" t="s">
        <v>16</v>
      </c>
      <c r="F669" s="7" t="s">
        <v>16</v>
      </c>
      <c r="G669" s="5" t="s">
        <v>19</v>
      </c>
      <c r="H669" s="7" t="s">
        <v>2847</v>
      </c>
      <c r="I669" s="7" t="s">
        <v>2848</v>
      </c>
      <c r="J669" s="8">
        <v>4000.0</v>
      </c>
      <c r="K669" s="7" t="s">
        <v>16</v>
      </c>
      <c r="L669" s="7" t="s">
        <v>16</v>
      </c>
      <c r="M669" s="5" t="s">
        <v>22</v>
      </c>
      <c r="N669" s="5" t="s">
        <v>2849</v>
      </c>
      <c r="O669" s="5"/>
      <c r="P669" s="5"/>
      <c r="Q669" s="5"/>
      <c r="R669" s="5"/>
      <c r="S669" s="5"/>
      <c r="T669" s="5"/>
      <c r="U669" s="5"/>
      <c r="V669" s="5"/>
      <c r="W669" s="5"/>
      <c r="X669" s="5"/>
      <c r="Y669" s="5"/>
      <c r="Z669" s="5"/>
    </row>
    <row r="670">
      <c r="A670" s="6" t="s">
        <v>2850</v>
      </c>
      <c r="B670" s="5" t="s">
        <v>1067</v>
      </c>
      <c r="C670" s="7" t="s">
        <v>2581</v>
      </c>
      <c r="D670" s="7" t="s">
        <v>2581</v>
      </c>
      <c r="E670" s="7" t="s">
        <v>16</v>
      </c>
      <c r="F670" s="7" t="s">
        <v>16</v>
      </c>
      <c r="G670" s="5" t="s">
        <v>19</v>
      </c>
      <c r="H670" s="7" t="s">
        <v>2851</v>
      </c>
      <c r="I670" s="7" t="s">
        <v>2852</v>
      </c>
      <c r="J670" s="8">
        <v>5000.0</v>
      </c>
      <c r="K670" s="7" t="s">
        <v>16</v>
      </c>
      <c r="L670" s="7" t="s">
        <v>16</v>
      </c>
      <c r="M670" s="5" t="s">
        <v>22</v>
      </c>
      <c r="N670" s="5" t="s">
        <v>2853</v>
      </c>
      <c r="O670" s="5"/>
      <c r="P670" s="5"/>
      <c r="Q670" s="5"/>
      <c r="R670" s="5"/>
      <c r="S670" s="5"/>
      <c r="T670" s="5"/>
      <c r="U670" s="5"/>
      <c r="V670" s="5"/>
      <c r="W670" s="5"/>
      <c r="X670" s="5"/>
      <c r="Y670" s="5"/>
      <c r="Z670" s="5"/>
    </row>
    <row r="671">
      <c r="A671" s="6" t="s">
        <v>2854</v>
      </c>
      <c r="B671" s="5" t="s">
        <v>1067</v>
      </c>
      <c r="C671" s="7" t="s">
        <v>2782</v>
      </c>
      <c r="D671" s="7" t="s">
        <v>2782</v>
      </c>
      <c r="E671" s="7" t="s">
        <v>16</v>
      </c>
      <c r="F671" s="7" t="s">
        <v>16</v>
      </c>
      <c r="G671" s="5" t="s">
        <v>19</v>
      </c>
      <c r="H671" s="7" t="s">
        <v>2855</v>
      </c>
      <c r="I671" s="7" t="s">
        <v>2856</v>
      </c>
      <c r="J671" s="8">
        <v>6000.0</v>
      </c>
      <c r="K671" s="7" t="s">
        <v>16</v>
      </c>
      <c r="L671" s="7" t="s">
        <v>16</v>
      </c>
      <c r="M671" s="5" t="s">
        <v>36</v>
      </c>
      <c r="N671" s="5" t="s">
        <v>2857</v>
      </c>
      <c r="O671" s="5"/>
      <c r="P671" s="5"/>
      <c r="Q671" s="5"/>
      <c r="R671" s="5"/>
      <c r="S671" s="5"/>
      <c r="T671" s="5"/>
      <c r="U671" s="5"/>
      <c r="V671" s="5"/>
      <c r="W671" s="5"/>
      <c r="X671" s="5"/>
      <c r="Y671" s="5"/>
      <c r="Z671" s="5"/>
    </row>
    <row r="672">
      <c r="A672" s="6" t="s">
        <v>2858</v>
      </c>
      <c r="B672" s="5" t="s">
        <v>1067</v>
      </c>
      <c r="C672" s="7" t="s">
        <v>2787</v>
      </c>
      <c r="D672" s="7" t="s">
        <v>2787</v>
      </c>
      <c r="E672" s="7" t="s">
        <v>16</v>
      </c>
      <c r="F672" s="7" t="s">
        <v>16</v>
      </c>
      <c r="G672" s="5" t="s">
        <v>19</v>
      </c>
      <c r="H672" s="7" t="s">
        <v>2859</v>
      </c>
      <c r="I672" s="7" t="s">
        <v>2860</v>
      </c>
      <c r="J672" s="8">
        <v>5000.0</v>
      </c>
      <c r="K672" s="7" t="s">
        <v>16</v>
      </c>
      <c r="L672" s="7" t="s">
        <v>16</v>
      </c>
      <c r="M672" s="5" t="s">
        <v>75</v>
      </c>
      <c r="N672" s="5" t="s">
        <v>2861</v>
      </c>
      <c r="O672" s="5"/>
      <c r="P672" s="5"/>
      <c r="Q672" s="5"/>
      <c r="R672" s="5"/>
      <c r="S672" s="5"/>
      <c r="T672" s="5"/>
      <c r="U672" s="5"/>
      <c r="V672" s="5"/>
      <c r="W672" s="5"/>
      <c r="X672" s="5"/>
      <c r="Y672" s="5"/>
      <c r="Z672" s="5"/>
    </row>
    <row r="673">
      <c r="A673" s="6" t="s">
        <v>2862</v>
      </c>
      <c r="B673" s="5" t="s">
        <v>2426</v>
      </c>
      <c r="C673" s="7" t="s">
        <v>2822</v>
      </c>
      <c r="D673" s="7" t="s">
        <v>2823</v>
      </c>
      <c r="E673" s="7" t="s">
        <v>16</v>
      </c>
      <c r="F673" s="7" t="s">
        <v>16</v>
      </c>
      <c r="G673" s="5" t="s">
        <v>19</v>
      </c>
      <c r="H673" s="7" t="s">
        <v>2863</v>
      </c>
      <c r="I673" s="7" t="s">
        <v>2864</v>
      </c>
      <c r="J673" s="8">
        <v>4000.0</v>
      </c>
      <c r="K673" s="7" t="s">
        <v>16</v>
      </c>
      <c r="L673" s="7" t="s">
        <v>16</v>
      </c>
      <c r="M673" s="5" t="s">
        <v>88</v>
      </c>
      <c r="N673" s="5" t="s">
        <v>2865</v>
      </c>
      <c r="O673" s="5"/>
      <c r="P673" s="5"/>
      <c r="Q673" s="5"/>
      <c r="R673" s="5"/>
      <c r="S673" s="5"/>
      <c r="T673" s="5"/>
      <c r="U673" s="5"/>
      <c r="V673" s="5"/>
      <c r="W673" s="5"/>
      <c r="X673" s="5"/>
      <c r="Y673" s="5"/>
      <c r="Z673" s="5"/>
    </row>
    <row r="674">
      <c r="A674" s="6" t="s">
        <v>2866</v>
      </c>
      <c r="B674" s="5" t="s">
        <v>1067</v>
      </c>
      <c r="C674" s="7" t="s">
        <v>1068</v>
      </c>
      <c r="D674" s="7" t="s">
        <v>1068</v>
      </c>
      <c r="E674" s="7" t="s">
        <v>16</v>
      </c>
      <c r="F674" s="7" t="s">
        <v>16</v>
      </c>
      <c r="G674" s="5" t="s">
        <v>19</v>
      </c>
      <c r="H674" s="7" t="s">
        <v>2867</v>
      </c>
      <c r="I674" s="7" t="s">
        <v>2868</v>
      </c>
      <c r="J674" s="8">
        <v>4500.0</v>
      </c>
      <c r="K674" s="7" t="s">
        <v>16</v>
      </c>
      <c r="L674" s="7" t="s">
        <v>16</v>
      </c>
      <c r="M674" s="5" t="s">
        <v>36</v>
      </c>
      <c r="N674" s="5" t="s">
        <v>2869</v>
      </c>
      <c r="O674" s="5"/>
      <c r="P674" s="5"/>
      <c r="Q674" s="5"/>
      <c r="R674" s="5"/>
      <c r="S674" s="5"/>
      <c r="T674" s="5"/>
      <c r="U674" s="5"/>
      <c r="V674" s="5"/>
      <c r="W674" s="5"/>
      <c r="X674" s="5"/>
      <c r="Y674" s="5"/>
      <c r="Z674" s="5"/>
    </row>
    <row r="675">
      <c r="A675" s="6" t="s">
        <v>2870</v>
      </c>
      <c r="B675" s="5" t="s">
        <v>1067</v>
      </c>
      <c r="C675" s="7" t="s">
        <v>2523</v>
      </c>
      <c r="D675" s="7" t="s">
        <v>2523</v>
      </c>
      <c r="E675" s="7" t="s">
        <v>16</v>
      </c>
      <c r="F675" s="7" t="s">
        <v>16</v>
      </c>
      <c r="G675" s="5" t="s">
        <v>19</v>
      </c>
      <c r="H675" s="7" t="s">
        <v>2871</v>
      </c>
      <c r="I675" s="7" t="s">
        <v>2872</v>
      </c>
      <c r="J675" s="8">
        <v>6000.0</v>
      </c>
      <c r="K675" s="7" t="s">
        <v>16</v>
      </c>
      <c r="L675" s="7" t="s">
        <v>16</v>
      </c>
      <c r="M675" s="5" t="s">
        <v>36</v>
      </c>
      <c r="N675" s="5" t="s">
        <v>2873</v>
      </c>
      <c r="O675" s="5"/>
      <c r="P675" s="5"/>
      <c r="Q675" s="5"/>
      <c r="R675" s="5"/>
      <c r="S675" s="5"/>
      <c r="T675" s="5"/>
      <c r="U675" s="5"/>
      <c r="V675" s="5"/>
      <c r="W675" s="5"/>
      <c r="X675" s="5"/>
      <c r="Y675" s="5"/>
      <c r="Z675" s="5"/>
    </row>
    <row r="676">
      <c r="A676" s="6" t="s">
        <v>2874</v>
      </c>
      <c r="B676" s="5" t="s">
        <v>1067</v>
      </c>
      <c r="C676" s="7" t="s">
        <v>2782</v>
      </c>
      <c r="D676" s="7" t="s">
        <v>2782</v>
      </c>
      <c r="E676" s="7" t="s">
        <v>16</v>
      </c>
      <c r="F676" s="7" t="s">
        <v>16</v>
      </c>
      <c r="G676" s="5" t="s">
        <v>19</v>
      </c>
      <c r="H676" s="7" t="s">
        <v>2875</v>
      </c>
      <c r="I676" s="7" t="s">
        <v>2876</v>
      </c>
      <c r="J676" s="8">
        <v>6000.0</v>
      </c>
      <c r="K676" s="7" t="s">
        <v>16</v>
      </c>
      <c r="L676" s="7" t="s">
        <v>16</v>
      </c>
      <c r="M676" s="5" t="s">
        <v>36</v>
      </c>
      <c r="N676" s="5" t="s">
        <v>2877</v>
      </c>
      <c r="O676" s="5"/>
      <c r="P676" s="5"/>
      <c r="Q676" s="5"/>
      <c r="R676" s="5"/>
      <c r="S676" s="5"/>
      <c r="T676" s="5"/>
      <c r="U676" s="5"/>
      <c r="V676" s="5"/>
      <c r="W676" s="5"/>
      <c r="X676" s="5"/>
      <c r="Y676" s="5"/>
      <c r="Z676" s="5"/>
    </row>
    <row r="677">
      <c r="A677" s="6" t="s">
        <v>2878</v>
      </c>
      <c r="B677" s="5" t="s">
        <v>1067</v>
      </c>
      <c r="C677" s="7" t="s">
        <v>2787</v>
      </c>
      <c r="D677" s="7" t="s">
        <v>2787</v>
      </c>
      <c r="E677" s="7" t="s">
        <v>16</v>
      </c>
      <c r="F677" s="7" t="s">
        <v>16</v>
      </c>
      <c r="G677" s="5" t="s">
        <v>19</v>
      </c>
      <c r="H677" s="7" t="s">
        <v>2879</v>
      </c>
      <c r="I677" s="7" t="s">
        <v>2880</v>
      </c>
      <c r="J677" s="8">
        <v>5000.0</v>
      </c>
      <c r="K677" s="7" t="s">
        <v>16</v>
      </c>
      <c r="L677" s="7" t="s">
        <v>16</v>
      </c>
      <c r="M677" s="5" t="s">
        <v>22</v>
      </c>
      <c r="N677" s="5" t="s">
        <v>2881</v>
      </c>
      <c r="O677" s="5"/>
      <c r="P677" s="5"/>
      <c r="Q677" s="5"/>
      <c r="R677" s="5"/>
      <c r="S677" s="5"/>
      <c r="T677" s="5"/>
      <c r="U677" s="5"/>
      <c r="V677" s="5"/>
      <c r="W677" s="5"/>
      <c r="X677" s="5"/>
      <c r="Y677" s="5"/>
      <c r="Z677" s="5"/>
    </row>
    <row r="678">
      <c r="A678" s="6" t="s">
        <v>2882</v>
      </c>
      <c r="B678" s="5" t="s">
        <v>1067</v>
      </c>
      <c r="C678" s="7" t="s">
        <v>2883</v>
      </c>
      <c r="D678" s="7" t="s">
        <v>2883</v>
      </c>
      <c r="E678" s="7" t="s">
        <v>16</v>
      </c>
      <c r="F678" s="7" t="s">
        <v>16</v>
      </c>
      <c r="G678" s="5" t="s">
        <v>19</v>
      </c>
      <c r="H678" s="7" t="s">
        <v>2884</v>
      </c>
      <c r="I678" s="7" t="s">
        <v>2885</v>
      </c>
      <c r="J678" s="8">
        <v>5000.0</v>
      </c>
      <c r="K678" s="7" t="s">
        <v>16</v>
      </c>
      <c r="L678" s="7" t="s">
        <v>16</v>
      </c>
      <c r="M678" s="5" t="s">
        <v>75</v>
      </c>
      <c r="N678" s="5" t="s">
        <v>2886</v>
      </c>
      <c r="O678" s="5"/>
      <c r="P678" s="5"/>
      <c r="Q678" s="5"/>
      <c r="R678" s="5"/>
      <c r="S678" s="5"/>
      <c r="T678" s="5"/>
      <c r="U678" s="5"/>
      <c r="V678" s="5"/>
      <c r="W678" s="5"/>
      <c r="X678" s="5"/>
      <c r="Y678" s="5"/>
      <c r="Z678" s="5"/>
    </row>
    <row r="679">
      <c r="A679" s="6" t="s">
        <v>2887</v>
      </c>
      <c r="B679" s="5" t="s">
        <v>1067</v>
      </c>
      <c r="C679" s="7" t="s">
        <v>1068</v>
      </c>
      <c r="D679" s="7" t="s">
        <v>1068</v>
      </c>
      <c r="E679" s="7" t="s">
        <v>16</v>
      </c>
      <c r="F679" s="7" t="s">
        <v>16</v>
      </c>
      <c r="G679" s="5" t="s">
        <v>19</v>
      </c>
      <c r="H679" s="7" t="s">
        <v>2888</v>
      </c>
      <c r="I679" s="7" t="s">
        <v>2889</v>
      </c>
      <c r="J679" s="8">
        <v>3000.0</v>
      </c>
      <c r="K679" s="7" t="s">
        <v>16</v>
      </c>
      <c r="L679" s="7" t="s">
        <v>16</v>
      </c>
      <c r="M679" s="5" t="s">
        <v>22</v>
      </c>
      <c r="N679" s="5" t="s">
        <v>2890</v>
      </c>
      <c r="O679" s="5"/>
      <c r="P679" s="5"/>
      <c r="Q679" s="5"/>
      <c r="R679" s="5"/>
      <c r="S679" s="5"/>
      <c r="T679" s="5"/>
      <c r="U679" s="5"/>
      <c r="V679" s="5"/>
      <c r="W679" s="5"/>
      <c r="X679" s="5"/>
      <c r="Y679" s="5"/>
      <c r="Z679" s="5"/>
    </row>
    <row r="680">
      <c r="A680" s="6" t="s">
        <v>2891</v>
      </c>
      <c r="B680" s="5" t="s">
        <v>1067</v>
      </c>
      <c r="C680" s="7" t="s">
        <v>1194</v>
      </c>
      <c r="D680" s="7" t="s">
        <v>1194</v>
      </c>
      <c r="E680" s="7" t="s">
        <v>16</v>
      </c>
      <c r="F680" s="7" t="s">
        <v>16</v>
      </c>
      <c r="G680" s="5" t="s">
        <v>19</v>
      </c>
      <c r="H680" s="7" t="s">
        <v>2892</v>
      </c>
      <c r="I680" s="7" t="s">
        <v>2893</v>
      </c>
      <c r="J680" s="8">
        <v>5000.0</v>
      </c>
      <c r="K680" s="7" t="s">
        <v>16</v>
      </c>
      <c r="L680" s="7" t="s">
        <v>16</v>
      </c>
      <c r="M680" s="5" t="s">
        <v>22</v>
      </c>
      <c r="N680" s="5" t="s">
        <v>2894</v>
      </c>
      <c r="O680" s="5"/>
      <c r="P680" s="5"/>
      <c r="Q680" s="5"/>
      <c r="R680" s="5"/>
      <c r="S680" s="5"/>
      <c r="T680" s="5"/>
      <c r="U680" s="5"/>
      <c r="V680" s="5"/>
      <c r="W680" s="5"/>
      <c r="X680" s="5"/>
      <c r="Y680" s="5"/>
      <c r="Z680" s="5"/>
    </row>
    <row r="681">
      <c r="A681" s="6" t="s">
        <v>2895</v>
      </c>
      <c r="B681" s="5" t="s">
        <v>1067</v>
      </c>
      <c r="C681" s="7" t="s">
        <v>2896</v>
      </c>
      <c r="D681" s="7" t="s">
        <v>2896</v>
      </c>
      <c r="E681" s="7" t="s">
        <v>16</v>
      </c>
      <c r="F681" s="7" t="s">
        <v>16</v>
      </c>
      <c r="G681" s="5" t="s">
        <v>19</v>
      </c>
      <c r="H681" s="7" t="s">
        <v>2897</v>
      </c>
      <c r="I681" s="7" t="s">
        <v>2898</v>
      </c>
      <c r="J681" s="8">
        <v>5000.0</v>
      </c>
      <c r="K681" s="7" t="s">
        <v>16</v>
      </c>
      <c r="L681" s="7" t="s">
        <v>16</v>
      </c>
      <c r="M681" s="5" t="s">
        <v>88</v>
      </c>
      <c r="N681" s="5" t="s">
        <v>2899</v>
      </c>
      <c r="O681" s="5"/>
      <c r="P681" s="5"/>
      <c r="Q681" s="5"/>
      <c r="R681" s="5"/>
      <c r="S681" s="5"/>
      <c r="T681" s="5"/>
      <c r="U681" s="5"/>
      <c r="V681" s="5"/>
      <c r="W681" s="5"/>
      <c r="X681" s="5"/>
      <c r="Y681" s="5"/>
      <c r="Z681" s="5"/>
    </row>
    <row r="682">
      <c r="A682" s="6" t="s">
        <v>2900</v>
      </c>
      <c r="B682" s="5" t="s">
        <v>1067</v>
      </c>
      <c r="C682" s="7" t="s">
        <v>85</v>
      </c>
      <c r="D682" s="7" t="s">
        <v>85</v>
      </c>
      <c r="E682" s="7" t="s">
        <v>16</v>
      </c>
      <c r="F682" s="7" t="s">
        <v>16</v>
      </c>
      <c r="G682" s="5" t="s">
        <v>19</v>
      </c>
      <c r="H682" s="7" t="s">
        <v>2901</v>
      </c>
      <c r="I682" s="7" t="s">
        <v>2902</v>
      </c>
      <c r="J682" s="8">
        <v>3000.0</v>
      </c>
      <c r="K682" s="7" t="s">
        <v>16</v>
      </c>
      <c r="L682" s="7" t="s">
        <v>16</v>
      </c>
      <c r="M682" s="5" t="s">
        <v>22</v>
      </c>
      <c r="N682" s="5" t="s">
        <v>2903</v>
      </c>
      <c r="O682" s="5"/>
      <c r="P682" s="5"/>
      <c r="Q682" s="5"/>
      <c r="R682" s="5"/>
      <c r="S682" s="5"/>
      <c r="T682" s="5"/>
      <c r="U682" s="5"/>
      <c r="V682" s="5"/>
      <c r="W682" s="5"/>
      <c r="X682" s="5"/>
      <c r="Y682" s="5"/>
      <c r="Z682" s="5"/>
    </row>
    <row r="683">
      <c r="A683" s="6" t="s">
        <v>2904</v>
      </c>
      <c r="B683" s="5" t="s">
        <v>1067</v>
      </c>
      <c r="C683" s="7" t="s">
        <v>2787</v>
      </c>
      <c r="D683" s="7" t="s">
        <v>2787</v>
      </c>
      <c r="E683" s="7" t="s">
        <v>16</v>
      </c>
      <c r="F683" s="7" t="s">
        <v>16</v>
      </c>
      <c r="G683" s="5" t="s">
        <v>19</v>
      </c>
      <c r="H683" s="7" t="s">
        <v>2905</v>
      </c>
      <c r="I683" s="7" t="s">
        <v>2906</v>
      </c>
      <c r="J683" s="8">
        <v>5000.0</v>
      </c>
      <c r="K683" s="7" t="s">
        <v>16</v>
      </c>
      <c r="L683" s="7" t="s">
        <v>16</v>
      </c>
      <c r="M683" s="5" t="s">
        <v>88</v>
      </c>
      <c r="N683" s="5" t="s">
        <v>2907</v>
      </c>
      <c r="O683" s="5"/>
      <c r="P683" s="5"/>
      <c r="Q683" s="5"/>
      <c r="R683" s="5"/>
      <c r="S683" s="5"/>
      <c r="T683" s="5"/>
      <c r="U683" s="5"/>
      <c r="V683" s="5"/>
      <c r="W683" s="5"/>
      <c r="X683" s="5"/>
      <c r="Y683" s="5"/>
      <c r="Z683" s="5"/>
    </row>
    <row r="684">
      <c r="A684" s="6" t="s">
        <v>2908</v>
      </c>
      <c r="B684" s="5" t="s">
        <v>1067</v>
      </c>
      <c r="C684" s="7" t="s">
        <v>2883</v>
      </c>
      <c r="D684" s="7" t="s">
        <v>2883</v>
      </c>
      <c r="E684" s="7" t="s">
        <v>16</v>
      </c>
      <c r="F684" s="7" t="s">
        <v>16</v>
      </c>
      <c r="G684" s="5" t="s">
        <v>19</v>
      </c>
      <c r="H684" s="7" t="s">
        <v>2909</v>
      </c>
      <c r="I684" s="7" t="s">
        <v>2910</v>
      </c>
      <c r="J684" s="8">
        <v>5000.0</v>
      </c>
      <c r="K684" s="7" t="s">
        <v>16</v>
      </c>
      <c r="L684" s="7" t="s">
        <v>16</v>
      </c>
      <c r="M684" s="5" t="s">
        <v>88</v>
      </c>
      <c r="N684" s="5" t="s">
        <v>2911</v>
      </c>
      <c r="O684" s="5"/>
      <c r="P684" s="5"/>
      <c r="Q684" s="5"/>
      <c r="R684" s="5"/>
      <c r="S684" s="5"/>
      <c r="T684" s="5"/>
      <c r="U684" s="5"/>
      <c r="V684" s="5"/>
      <c r="W684" s="5"/>
      <c r="X684" s="5"/>
      <c r="Y684" s="5"/>
      <c r="Z684" s="5"/>
    </row>
    <row r="685">
      <c r="A685" s="6" t="s">
        <v>2912</v>
      </c>
      <c r="B685" s="5" t="s">
        <v>1067</v>
      </c>
      <c r="C685" s="7" t="s">
        <v>2913</v>
      </c>
      <c r="D685" s="7" t="s">
        <v>2913</v>
      </c>
      <c r="E685" s="7" t="s">
        <v>16</v>
      </c>
      <c r="F685" s="7" t="s">
        <v>16</v>
      </c>
      <c r="G685" s="5" t="s">
        <v>19</v>
      </c>
      <c r="H685" s="7" t="s">
        <v>2914</v>
      </c>
      <c r="I685" s="7" t="s">
        <v>2915</v>
      </c>
      <c r="J685" s="8">
        <v>6000.0</v>
      </c>
      <c r="K685" s="7" t="s">
        <v>16</v>
      </c>
      <c r="L685" s="7" t="s">
        <v>16</v>
      </c>
      <c r="M685" s="5" t="s">
        <v>88</v>
      </c>
      <c r="N685" s="5" t="s">
        <v>2916</v>
      </c>
      <c r="O685" s="5"/>
      <c r="P685" s="5"/>
      <c r="Q685" s="5"/>
      <c r="R685" s="5"/>
      <c r="S685" s="5"/>
      <c r="T685" s="5"/>
      <c r="U685" s="5"/>
      <c r="V685" s="5"/>
      <c r="W685" s="5"/>
      <c r="X685" s="5"/>
      <c r="Y685" s="5"/>
      <c r="Z685" s="5"/>
    </row>
    <row r="686">
      <c r="A686" s="6" t="s">
        <v>2917</v>
      </c>
      <c r="B686" s="5" t="s">
        <v>1067</v>
      </c>
      <c r="C686" s="7" t="s">
        <v>2918</v>
      </c>
      <c r="D686" s="7" t="s">
        <v>2918</v>
      </c>
      <c r="E686" s="7" t="s">
        <v>16</v>
      </c>
      <c r="F686" s="7" t="s">
        <v>16</v>
      </c>
      <c r="G686" s="5" t="s">
        <v>19</v>
      </c>
      <c r="H686" s="7" t="s">
        <v>2919</v>
      </c>
      <c r="I686" s="7" t="s">
        <v>2920</v>
      </c>
      <c r="J686" s="8">
        <v>1000.0</v>
      </c>
      <c r="K686" s="7" t="s">
        <v>16</v>
      </c>
      <c r="L686" s="7" t="s">
        <v>16</v>
      </c>
      <c r="M686" s="5" t="s">
        <v>75</v>
      </c>
      <c r="N686" s="5" t="s">
        <v>2921</v>
      </c>
      <c r="O686" s="5"/>
      <c r="P686" s="5"/>
      <c r="Q686" s="5"/>
      <c r="R686" s="5"/>
      <c r="S686" s="5"/>
      <c r="T686" s="5"/>
      <c r="U686" s="5"/>
      <c r="V686" s="5"/>
      <c r="W686" s="5"/>
      <c r="X686" s="5"/>
      <c r="Y686" s="5"/>
      <c r="Z686" s="5"/>
    </row>
    <row r="687">
      <c r="A687" s="6" t="s">
        <v>2922</v>
      </c>
      <c r="B687" s="5" t="s">
        <v>1067</v>
      </c>
      <c r="C687" s="7" t="s">
        <v>2923</v>
      </c>
      <c r="D687" s="7" t="s">
        <v>16</v>
      </c>
      <c r="E687" s="7" t="s">
        <v>16</v>
      </c>
      <c r="F687" s="7" t="s">
        <v>16</v>
      </c>
      <c r="G687" s="5" t="s">
        <v>19</v>
      </c>
      <c r="H687" s="7" t="s">
        <v>2924</v>
      </c>
      <c r="I687" s="7" t="s">
        <v>2925</v>
      </c>
      <c r="J687" s="8">
        <v>4000.0</v>
      </c>
      <c r="K687" s="7" t="s">
        <v>16</v>
      </c>
      <c r="L687" s="7" t="s">
        <v>16</v>
      </c>
      <c r="M687" s="5" t="s">
        <v>22</v>
      </c>
      <c r="N687" s="5" t="s">
        <v>2926</v>
      </c>
      <c r="O687" s="5"/>
      <c r="P687" s="5"/>
      <c r="Q687" s="5"/>
      <c r="R687" s="5"/>
      <c r="S687" s="5"/>
      <c r="T687" s="5"/>
      <c r="U687" s="5"/>
      <c r="V687" s="5"/>
      <c r="W687" s="5"/>
      <c r="X687" s="5"/>
      <c r="Y687" s="5"/>
      <c r="Z687" s="5"/>
    </row>
    <row r="688">
      <c r="A688" s="6" t="s">
        <v>2927</v>
      </c>
      <c r="B688" s="5" t="s">
        <v>1067</v>
      </c>
      <c r="C688" s="7" t="s">
        <v>2928</v>
      </c>
      <c r="D688" s="7" t="s">
        <v>16</v>
      </c>
      <c r="E688" s="7" t="s">
        <v>16</v>
      </c>
      <c r="F688" s="7" t="s">
        <v>16</v>
      </c>
      <c r="G688" s="5" t="s">
        <v>19</v>
      </c>
      <c r="H688" s="7" t="s">
        <v>2929</v>
      </c>
      <c r="I688" s="7" t="s">
        <v>2930</v>
      </c>
      <c r="J688" s="8">
        <v>2000.0</v>
      </c>
      <c r="K688" s="7" t="s">
        <v>16</v>
      </c>
      <c r="L688" s="7" t="s">
        <v>16</v>
      </c>
      <c r="M688" s="5" t="s">
        <v>22</v>
      </c>
      <c r="N688" s="5" t="s">
        <v>2931</v>
      </c>
      <c r="O688" s="5"/>
      <c r="P688" s="5"/>
      <c r="Q688" s="5"/>
      <c r="R688" s="5"/>
      <c r="S688" s="5"/>
      <c r="T688" s="5"/>
      <c r="U688" s="5"/>
      <c r="V688" s="5"/>
      <c r="W688" s="5"/>
      <c r="X688" s="5"/>
      <c r="Y688" s="5"/>
      <c r="Z688" s="5"/>
    </row>
    <row r="689">
      <c r="A689" s="6" t="s">
        <v>2932</v>
      </c>
      <c r="B689" s="5" t="s">
        <v>1067</v>
      </c>
      <c r="C689" s="7" t="s">
        <v>2811</v>
      </c>
      <c r="D689" s="7" t="s">
        <v>16</v>
      </c>
      <c r="E689" s="7" t="s">
        <v>16</v>
      </c>
      <c r="F689" s="7" t="s">
        <v>16</v>
      </c>
      <c r="G689" s="5" t="s">
        <v>19</v>
      </c>
      <c r="H689" s="7" t="s">
        <v>2933</v>
      </c>
      <c r="I689" s="7" t="s">
        <v>2934</v>
      </c>
      <c r="J689" s="8">
        <v>6000.0</v>
      </c>
      <c r="K689" s="7" t="s">
        <v>16</v>
      </c>
      <c r="L689" s="7" t="s">
        <v>16</v>
      </c>
      <c r="M689" s="5" t="s">
        <v>22</v>
      </c>
      <c r="N689" s="5" t="s">
        <v>2935</v>
      </c>
      <c r="O689" s="5"/>
      <c r="P689" s="5"/>
      <c r="Q689" s="5"/>
      <c r="R689" s="5"/>
      <c r="S689" s="5"/>
      <c r="T689" s="5"/>
      <c r="U689" s="5"/>
      <c r="V689" s="5"/>
      <c r="W689" s="5"/>
      <c r="X689" s="5"/>
      <c r="Y689" s="5"/>
      <c r="Z689" s="5"/>
    </row>
    <row r="690">
      <c r="A690" s="6" t="s">
        <v>2936</v>
      </c>
      <c r="B690" s="5" t="s">
        <v>1985</v>
      </c>
      <c r="C690" s="7" t="s">
        <v>2937</v>
      </c>
      <c r="D690" s="7" t="s">
        <v>2938</v>
      </c>
      <c r="E690" s="7" t="s">
        <v>16</v>
      </c>
      <c r="F690" s="7" t="s">
        <v>16</v>
      </c>
      <c r="G690" s="5" t="s">
        <v>19</v>
      </c>
      <c r="H690" s="7" t="s">
        <v>2939</v>
      </c>
      <c r="I690" s="7" t="s">
        <v>2940</v>
      </c>
      <c r="J690" s="8">
        <v>5000.0</v>
      </c>
      <c r="K690" s="7" t="s">
        <v>16</v>
      </c>
      <c r="L690" s="7" t="s">
        <v>16</v>
      </c>
      <c r="M690" s="5" t="s">
        <v>75</v>
      </c>
      <c r="N690" s="5" t="s">
        <v>2941</v>
      </c>
      <c r="O690" s="5"/>
      <c r="P690" s="5"/>
      <c r="Q690" s="5"/>
      <c r="R690" s="5"/>
      <c r="S690" s="5"/>
      <c r="T690" s="5"/>
      <c r="U690" s="5"/>
      <c r="V690" s="5"/>
      <c r="W690" s="5"/>
      <c r="X690" s="5"/>
      <c r="Y690" s="5"/>
      <c r="Z690" s="5"/>
    </row>
    <row r="691">
      <c r="A691" s="6" t="s">
        <v>2942</v>
      </c>
      <c r="B691" s="5" t="s">
        <v>1985</v>
      </c>
      <c r="C691" s="7" t="s">
        <v>2943</v>
      </c>
      <c r="D691" s="7" t="s">
        <v>2944</v>
      </c>
      <c r="E691" s="7" t="s">
        <v>16</v>
      </c>
      <c r="F691" s="7" t="s">
        <v>16</v>
      </c>
      <c r="G691" s="5" t="s">
        <v>19</v>
      </c>
      <c r="H691" s="7" t="s">
        <v>2945</v>
      </c>
      <c r="I691" s="7" t="s">
        <v>2946</v>
      </c>
      <c r="J691" s="8">
        <v>4500.0</v>
      </c>
      <c r="K691" s="7" t="s">
        <v>16</v>
      </c>
      <c r="L691" s="7" t="s">
        <v>16</v>
      </c>
      <c r="M691" s="5" t="s">
        <v>88</v>
      </c>
      <c r="N691" s="5" t="s">
        <v>2947</v>
      </c>
      <c r="O691" s="5"/>
      <c r="P691" s="5"/>
      <c r="Q691" s="5"/>
      <c r="R691" s="5"/>
      <c r="S691" s="5"/>
      <c r="T691" s="5"/>
      <c r="U691" s="5"/>
      <c r="V691" s="5"/>
      <c r="W691" s="5"/>
      <c r="X691" s="5"/>
      <c r="Y691" s="5"/>
      <c r="Z691" s="5"/>
    </row>
    <row r="692">
      <c r="A692" s="6" t="s">
        <v>2948</v>
      </c>
      <c r="B692" s="5" t="s">
        <v>2426</v>
      </c>
      <c r="C692" s="7" t="s">
        <v>2949</v>
      </c>
      <c r="D692" s="7" t="s">
        <v>2950</v>
      </c>
      <c r="E692" s="7" t="s">
        <v>16</v>
      </c>
      <c r="F692" s="7" t="s">
        <v>16</v>
      </c>
      <c r="G692" s="5" t="s">
        <v>19</v>
      </c>
      <c r="H692" s="7" t="s">
        <v>2951</v>
      </c>
      <c r="I692" s="7" t="s">
        <v>2952</v>
      </c>
      <c r="J692" s="8">
        <v>5000.0</v>
      </c>
      <c r="K692" s="7" t="s">
        <v>16</v>
      </c>
      <c r="L692" s="7" t="s">
        <v>16</v>
      </c>
      <c r="M692" s="5" t="s">
        <v>88</v>
      </c>
      <c r="N692" s="5" t="s">
        <v>2953</v>
      </c>
      <c r="O692" s="5"/>
      <c r="P692" s="5"/>
      <c r="Q692" s="5"/>
      <c r="R692" s="5"/>
      <c r="S692" s="5"/>
      <c r="T692" s="5"/>
      <c r="U692" s="5"/>
      <c r="V692" s="5"/>
      <c r="W692" s="5"/>
      <c r="X692" s="5"/>
      <c r="Y692" s="5"/>
      <c r="Z692" s="5"/>
    </row>
    <row r="693">
      <c r="A693" s="6" t="s">
        <v>2954</v>
      </c>
      <c r="B693" s="5" t="s">
        <v>2426</v>
      </c>
      <c r="C693" s="7" t="s">
        <v>2955</v>
      </c>
      <c r="D693" s="7" t="s">
        <v>2956</v>
      </c>
      <c r="E693" s="7" t="s">
        <v>16</v>
      </c>
      <c r="F693" s="7" t="s">
        <v>16</v>
      </c>
      <c r="G693" s="5" t="s">
        <v>19</v>
      </c>
      <c r="H693" s="7" t="s">
        <v>2957</v>
      </c>
      <c r="I693" s="7" t="s">
        <v>2958</v>
      </c>
      <c r="J693" s="8">
        <v>3000.0</v>
      </c>
      <c r="K693" s="7" t="s">
        <v>16</v>
      </c>
      <c r="L693" s="7" t="s">
        <v>16</v>
      </c>
      <c r="M693" s="5" t="s">
        <v>75</v>
      </c>
      <c r="N693" s="5" t="s">
        <v>2959</v>
      </c>
      <c r="O693" s="5"/>
      <c r="P693" s="5"/>
      <c r="Q693" s="5"/>
      <c r="R693" s="5"/>
      <c r="S693" s="5"/>
      <c r="T693" s="5"/>
      <c r="U693" s="5"/>
      <c r="V693" s="5"/>
      <c r="W693" s="5"/>
      <c r="X693" s="5"/>
      <c r="Y693" s="5"/>
      <c r="Z693" s="5"/>
    </row>
    <row r="694">
      <c r="A694" s="6" t="s">
        <v>2960</v>
      </c>
      <c r="B694" s="5" t="s">
        <v>2961</v>
      </c>
      <c r="C694" s="7" t="s">
        <v>2962</v>
      </c>
      <c r="D694" s="7" t="s">
        <v>2963</v>
      </c>
      <c r="E694" s="7" t="s">
        <v>16</v>
      </c>
      <c r="F694" s="7" t="s">
        <v>16</v>
      </c>
      <c r="G694" s="5" t="s">
        <v>19</v>
      </c>
      <c r="H694" s="7" t="s">
        <v>2964</v>
      </c>
      <c r="I694" s="7" t="s">
        <v>2965</v>
      </c>
      <c r="J694" s="8">
        <v>5000.0</v>
      </c>
      <c r="K694" s="7" t="s">
        <v>16</v>
      </c>
      <c r="L694" s="7" t="s">
        <v>16</v>
      </c>
      <c r="M694" s="5" t="s">
        <v>75</v>
      </c>
      <c r="N694" s="5" t="s">
        <v>2966</v>
      </c>
      <c r="O694" s="5"/>
      <c r="P694" s="5"/>
      <c r="Q694" s="5"/>
      <c r="R694" s="5"/>
      <c r="S694" s="5"/>
      <c r="T694" s="5"/>
      <c r="U694" s="5"/>
      <c r="V694" s="5"/>
      <c r="W694" s="5"/>
      <c r="X694" s="5"/>
      <c r="Y694" s="5"/>
      <c r="Z694" s="5"/>
    </row>
    <row r="695">
      <c r="A695" s="6" t="s">
        <v>2967</v>
      </c>
      <c r="B695" s="5" t="s">
        <v>1985</v>
      </c>
      <c r="C695" s="7" t="s">
        <v>2968</v>
      </c>
      <c r="D695" s="7" t="s">
        <v>2817</v>
      </c>
      <c r="E695" s="7" t="s">
        <v>16</v>
      </c>
      <c r="F695" s="7" t="s">
        <v>16</v>
      </c>
      <c r="G695" s="5" t="s">
        <v>19</v>
      </c>
      <c r="H695" s="7" t="s">
        <v>2969</v>
      </c>
      <c r="I695" s="7" t="s">
        <v>2970</v>
      </c>
      <c r="J695" s="8">
        <v>5000.0</v>
      </c>
      <c r="K695" s="7" t="s">
        <v>16</v>
      </c>
      <c r="L695" s="7" t="s">
        <v>16</v>
      </c>
      <c r="M695" s="5" t="s">
        <v>88</v>
      </c>
      <c r="N695" s="5" t="s">
        <v>2971</v>
      </c>
      <c r="O695" s="5"/>
      <c r="P695" s="5"/>
      <c r="Q695" s="5"/>
      <c r="R695" s="5"/>
      <c r="S695" s="5"/>
      <c r="T695" s="5"/>
      <c r="U695" s="5"/>
      <c r="V695" s="5"/>
      <c r="W695" s="5"/>
      <c r="X695" s="5"/>
      <c r="Y695" s="5"/>
      <c r="Z695" s="5"/>
    </row>
    <row r="696">
      <c r="A696" s="6" t="s">
        <v>2972</v>
      </c>
      <c r="B696" s="5" t="s">
        <v>2973</v>
      </c>
      <c r="C696" s="7" t="s">
        <v>1068</v>
      </c>
      <c r="D696" s="7" t="s">
        <v>1068</v>
      </c>
      <c r="E696" s="7" t="s">
        <v>16</v>
      </c>
      <c r="F696" s="7" t="s">
        <v>16</v>
      </c>
      <c r="G696" s="5" t="s">
        <v>461</v>
      </c>
      <c r="H696" s="7" t="s">
        <v>2974</v>
      </c>
      <c r="I696" s="7" t="s">
        <v>2975</v>
      </c>
      <c r="J696" s="8">
        <v>5000.0</v>
      </c>
      <c r="K696" s="7" t="s">
        <v>16</v>
      </c>
      <c r="L696" s="7" t="s">
        <v>16</v>
      </c>
      <c r="M696" s="5" t="s">
        <v>75</v>
      </c>
      <c r="N696" s="5" t="s">
        <v>2976</v>
      </c>
      <c r="O696" s="5"/>
      <c r="P696" s="5"/>
      <c r="Q696" s="5"/>
      <c r="R696" s="5"/>
      <c r="S696" s="5"/>
      <c r="T696" s="5"/>
      <c r="U696" s="5"/>
      <c r="V696" s="5"/>
      <c r="W696" s="5"/>
      <c r="X696" s="5"/>
      <c r="Y696" s="5"/>
      <c r="Z696" s="5"/>
    </row>
    <row r="697">
      <c r="A697" s="6" t="s">
        <v>2977</v>
      </c>
      <c r="B697" s="5" t="s">
        <v>2973</v>
      </c>
      <c r="C697" s="7" t="s">
        <v>411</v>
      </c>
      <c r="D697" s="7" t="s">
        <v>411</v>
      </c>
      <c r="E697" s="7" t="s">
        <v>16</v>
      </c>
      <c r="F697" s="7" t="s">
        <v>16</v>
      </c>
      <c r="G697" s="5" t="s">
        <v>461</v>
      </c>
      <c r="H697" s="7" t="s">
        <v>2978</v>
      </c>
      <c r="I697" s="7" t="s">
        <v>2979</v>
      </c>
      <c r="J697" s="8">
        <v>4000.0</v>
      </c>
      <c r="K697" s="7" t="s">
        <v>16</v>
      </c>
      <c r="L697" s="7" t="s">
        <v>16</v>
      </c>
      <c r="M697" s="5" t="s">
        <v>75</v>
      </c>
      <c r="N697" s="5" t="s">
        <v>2980</v>
      </c>
      <c r="O697" s="5"/>
      <c r="P697" s="5"/>
      <c r="Q697" s="5"/>
      <c r="R697" s="5"/>
      <c r="S697" s="5"/>
      <c r="T697" s="5"/>
      <c r="U697" s="5"/>
      <c r="V697" s="5"/>
      <c r="W697" s="5"/>
      <c r="X697" s="5"/>
      <c r="Y697" s="5"/>
      <c r="Z697" s="5"/>
    </row>
    <row r="698">
      <c r="A698" s="6" t="s">
        <v>2981</v>
      </c>
      <c r="B698" s="5" t="s">
        <v>1067</v>
      </c>
      <c r="C698" s="7" t="s">
        <v>1068</v>
      </c>
      <c r="D698" s="7" t="s">
        <v>1068</v>
      </c>
      <c r="E698" s="7" t="s">
        <v>16</v>
      </c>
      <c r="F698" s="7" t="s">
        <v>16</v>
      </c>
      <c r="G698" s="5" t="s">
        <v>19</v>
      </c>
      <c r="H698" s="7" t="s">
        <v>2982</v>
      </c>
      <c r="I698" s="7" t="s">
        <v>2983</v>
      </c>
      <c r="J698" s="8">
        <v>3000.0</v>
      </c>
      <c r="K698" s="7" t="s">
        <v>16</v>
      </c>
      <c r="L698" s="7" t="s">
        <v>16</v>
      </c>
      <c r="M698" s="5" t="s">
        <v>22</v>
      </c>
      <c r="N698" s="5" t="s">
        <v>2984</v>
      </c>
      <c r="O698" s="5"/>
      <c r="P698" s="5"/>
      <c r="Q698" s="5"/>
      <c r="R698" s="5"/>
      <c r="S698" s="5"/>
      <c r="T698" s="5"/>
      <c r="U698" s="5"/>
      <c r="V698" s="5"/>
      <c r="W698" s="5"/>
      <c r="X698" s="5"/>
      <c r="Y698" s="5"/>
      <c r="Z698" s="5"/>
    </row>
    <row r="699">
      <c r="A699" s="6" t="s">
        <v>2985</v>
      </c>
      <c r="B699" s="5" t="s">
        <v>1067</v>
      </c>
      <c r="C699" s="7" t="s">
        <v>1068</v>
      </c>
      <c r="D699" s="7" t="s">
        <v>1068</v>
      </c>
      <c r="E699" s="7" t="s">
        <v>16</v>
      </c>
      <c r="F699" s="7" t="s">
        <v>16</v>
      </c>
      <c r="G699" s="5" t="s">
        <v>19</v>
      </c>
      <c r="H699" s="7" t="s">
        <v>2986</v>
      </c>
      <c r="I699" s="7" t="s">
        <v>2987</v>
      </c>
      <c r="J699" s="8">
        <v>4000.0</v>
      </c>
      <c r="K699" s="7" t="s">
        <v>16</v>
      </c>
      <c r="L699" s="7" t="s">
        <v>16</v>
      </c>
      <c r="M699" s="5" t="s">
        <v>22</v>
      </c>
      <c r="N699" s="5" t="s">
        <v>2988</v>
      </c>
      <c r="O699" s="5"/>
      <c r="P699" s="5"/>
      <c r="Q699" s="5"/>
      <c r="R699" s="5"/>
      <c r="S699" s="5"/>
      <c r="T699" s="5"/>
      <c r="U699" s="5"/>
      <c r="V699" s="5"/>
      <c r="W699" s="5"/>
      <c r="X699" s="5"/>
      <c r="Y699" s="5"/>
      <c r="Z699" s="5"/>
    </row>
    <row r="700">
      <c r="A700" s="6" t="s">
        <v>2989</v>
      </c>
      <c r="B700" s="5" t="s">
        <v>2973</v>
      </c>
      <c r="C700" s="7" t="s">
        <v>1068</v>
      </c>
      <c r="D700" s="7" t="s">
        <v>1068</v>
      </c>
      <c r="E700" s="7" t="s">
        <v>16</v>
      </c>
      <c r="F700" s="7" t="s">
        <v>16</v>
      </c>
      <c r="G700" s="5" t="s">
        <v>461</v>
      </c>
      <c r="H700" s="7" t="s">
        <v>2990</v>
      </c>
      <c r="I700" s="7" t="s">
        <v>2991</v>
      </c>
      <c r="J700" s="8">
        <v>5000.0</v>
      </c>
      <c r="K700" s="7" t="s">
        <v>16</v>
      </c>
      <c r="L700" s="7" t="s">
        <v>16</v>
      </c>
      <c r="M700" s="5" t="s">
        <v>75</v>
      </c>
      <c r="N700" s="5" t="s">
        <v>2992</v>
      </c>
      <c r="O700" s="5"/>
      <c r="P700" s="5"/>
      <c r="Q700" s="5"/>
      <c r="R700" s="5"/>
      <c r="S700" s="5"/>
      <c r="T700" s="5"/>
      <c r="U700" s="5"/>
      <c r="V700" s="5"/>
      <c r="W700" s="5"/>
      <c r="X700" s="5"/>
      <c r="Y700" s="5"/>
      <c r="Z700" s="5"/>
    </row>
    <row r="701">
      <c r="A701" s="6" t="s">
        <v>2993</v>
      </c>
      <c r="B701" s="5" t="s">
        <v>1067</v>
      </c>
      <c r="C701" s="7" t="s">
        <v>1183</v>
      </c>
      <c r="D701" s="7" t="s">
        <v>1183</v>
      </c>
      <c r="E701" s="7" t="s">
        <v>16</v>
      </c>
      <c r="F701" s="7" t="s">
        <v>16</v>
      </c>
      <c r="G701" s="5" t="s">
        <v>19</v>
      </c>
      <c r="H701" s="7" t="s">
        <v>2994</v>
      </c>
      <c r="I701" s="7" t="s">
        <v>2995</v>
      </c>
      <c r="J701" s="8">
        <v>2000.0</v>
      </c>
      <c r="K701" s="7" t="s">
        <v>16</v>
      </c>
      <c r="L701" s="7" t="s">
        <v>16</v>
      </c>
      <c r="M701" s="5" t="s">
        <v>22</v>
      </c>
      <c r="N701" s="5" t="s">
        <v>2996</v>
      </c>
      <c r="O701" s="5"/>
      <c r="P701" s="5"/>
      <c r="Q701" s="5"/>
      <c r="R701" s="5"/>
      <c r="S701" s="5"/>
      <c r="T701" s="5"/>
      <c r="U701" s="5"/>
      <c r="V701" s="5"/>
      <c r="W701" s="5"/>
      <c r="X701" s="5"/>
      <c r="Y701" s="5"/>
      <c r="Z701" s="5"/>
    </row>
    <row r="702">
      <c r="A702" s="6" t="s">
        <v>2997</v>
      </c>
      <c r="B702" s="5" t="s">
        <v>1067</v>
      </c>
      <c r="C702" s="7" t="s">
        <v>411</v>
      </c>
      <c r="D702" s="7" t="s">
        <v>411</v>
      </c>
      <c r="E702" s="7" t="s">
        <v>16</v>
      </c>
      <c r="F702" s="7" t="s">
        <v>16</v>
      </c>
      <c r="G702" s="5" t="s">
        <v>19</v>
      </c>
      <c r="H702" s="7" t="s">
        <v>2998</v>
      </c>
      <c r="I702" s="7" t="s">
        <v>2999</v>
      </c>
      <c r="J702" s="8">
        <v>3000.0</v>
      </c>
      <c r="K702" s="7" t="s">
        <v>16</v>
      </c>
      <c r="L702" s="7" t="s">
        <v>16</v>
      </c>
      <c r="M702" s="5" t="s">
        <v>22</v>
      </c>
      <c r="N702" s="5" t="s">
        <v>3000</v>
      </c>
      <c r="O702" s="5"/>
      <c r="P702" s="5"/>
      <c r="Q702" s="5"/>
      <c r="R702" s="5"/>
      <c r="S702" s="5"/>
      <c r="T702" s="5"/>
      <c r="U702" s="5"/>
      <c r="V702" s="5"/>
      <c r="W702" s="5"/>
      <c r="X702" s="5"/>
      <c r="Y702" s="5"/>
      <c r="Z702" s="5"/>
    </row>
    <row r="703">
      <c r="A703" s="6" t="s">
        <v>3001</v>
      </c>
      <c r="B703" s="5" t="s">
        <v>1067</v>
      </c>
      <c r="C703" s="7" t="s">
        <v>85</v>
      </c>
      <c r="D703" s="7" t="s">
        <v>85</v>
      </c>
      <c r="E703" s="7" t="s">
        <v>16</v>
      </c>
      <c r="F703" s="7" t="s">
        <v>16</v>
      </c>
      <c r="G703" s="5" t="s">
        <v>19</v>
      </c>
      <c r="H703" s="7" t="s">
        <v>3002</v>
      </c>
      <c r="I703" s="7" t="s">
        <v>3003</v>
      </c>
      <c r="J703" s="8">
        <v>2000.0</v>
      </c>
      <c r="K703" s="7" t="s">
        <v>16</v>
      </c>
      <c r="L703" s="7" t="s">
        <v>16</v>
      </c>
      <c r="M703" s="5" t="s">
        <v>22</v>
      </c>
      <c r="N703" s="5" t="s">
        <v>3004</v>
      </c>
      <c r="O703" s="5"/>
      <c r="P703" s="5"/>
      <c r="Q703" s="5"/>
      <c r="R703" s="5"/>
      <c r="S703" s="5"/>
      <c r="T703" s="5"/>
      <c r="U703" s="5"/>
      <c r="V703" s="5"/>
      <c r="W703" s="5"/>
      <c r="X703" s="5"/>
      <c r="Y703" s="5"/>
      <c r="Z703" s="5"/>
    </row>
    <row r="704">
      <c r="A704" s="6" t="s">
        <v>3005</v>
      </c>
      <c r="B704" s="5" t="s">
        <v>1067</v>
      </c>
      <c r="C704" s="7" t="s">
        <v>1068</v>
      </c>
      <c r="D704" s="7" t="s">
        <v>1068</v>
      </c>
      <c r="E704" s="7" t="s">
        <v>16</v>
      </c>
      <c r="F704" s="7" t="s">
        <v>16</v>
      </c>
      <c r="G704" s="5" t="s">
        <v>19</v>
      </c>
      <c r="H704" s="7" t="s">
        <v>233</v>
      </c>
      <c r="I704" s="7" t="s">
        <v>3006</v>
      </c>
      <c r="J704" s="8">
        <v>4000.0</v>
      </c>
      <c r="K704" s="7" t="s">
        <v>16</v>
      </c>
      <c r="L704" s="7" t="s">
        <v>16</v>
      </c>
      <c r="M704" s="5" t="s">
        <v>75</v>
      </c>
      <c r="N704" s="5" t="s">
        <v>3007</v>
      </c>
      <c r="O704" s="5"/>
      <c r="P704" s="5"/>
      <c r="Q704" s="5"/>
      <c r="R704" s="5"/>
      <c r="S704" s="5"/>
      <c r="T704" s="5"/>
      <c r="U704" s="5"/>
      <c r="V704" s="5"/>
      <c r="W704" s="5"/>
      <c r="X704" s="5"/>
      <c r="Y704" s="5"/>
      <c r="Z704" s="5"/>
    </row>
    <row r="705">
      <c r="A705" s="6" t="s">
        <v>3008</v>
      </c>
      <c r="B705" s="5" t="s">
        <v>1985</v>
      </c>
      <c r="C705" s="7" t="s">
        <v>1992</v>
      </c>
      <c r="D705" s="7" t="s">
        <v>1993</v>
      </c>
      <c r="E705" s="7" t="s">
        <v>16</v>
      </c>
      <c r="F705" s="7" t="s">
        <v>16</v>
      </c>
      <c r="G705" s="5" t="s">
        <v>19</v>
      </c>
      <c r="H705" s="7" t="s">
        <v>3009</v>
      </c>
      <c r="I705" s="7" t="s">
        <v>3010</v>
      </c>
      <c r="J705" s="8">
        <v>4000.0</v>
      </c>
      <c r="K705" s="7" t="s">
        <v>16</v>
      </c>
      <c r="L705" s="7" t="s">
        <v>16</v>
      </c>
      <c r="M705" s="5" t="s">
        <v>75</v>
      </c>
      <c r="N705" s="5" t="s">
        <v>3011</v>
      </c>
      <c r="O705" s="5"/>
      <c r="P705" s="5"/>
      <c r="Q705" s="5"/>
      <c r="R705" s="5"/>
      <c r="S705" s="5"/>
      <c r="T705" s="5"/>
      <c r="U705" s="5"/>
      <c r="V705" s="5"/>
      <c r="W705" s="5"/>
      <c r="X705" s="5"/>
      <c r="Y705" s="5"/>
      <c r="Z705" s="5"/>
    </row>
    <row r="706">
      <c r="A706" s="6" t="s">
        <v>3012</v>
      </c>
      <c r="B706" s="5" t="s">
        <v>1067</v>
      </c>
      <c r="C706" s="7" t="s">
        <v>2523</v>
      </c>
      <c r="D706" s="7" t="s">
        <v>2523</v>
      </c>
      <c r="E706" s="7" t="s">
        <v>16</v>
      </c>
      <c r="F706" s="7" t="s">
        <v>16</v>
      </c>
      <c r="G706" s="5" t="s">
        <v>19</v>
      </c>
      <c r="H706" s="7" t="s">
        <v>3013</v>
      </c>
      <c r="I706" s="7" t="s">
        <v>3014</v>
      </c>
      <c r="J706" s="8">
        <v>4000.0</v>
      </c>
      <c r="K706" s="7" t="s">
        <v>16</v>
      </c>
      <c r="L706" s="7" t="s">
        <v>16</v>
      </c>
      <c r="M706" s="5" t="s">
        <v>75</v>
      </c>
      <c r="N706" s="5" t="s">
        <v>3015</v>
      </c>
      <c r="O706" s="5"/>
      <c r="P706" s="5"/>
      <c r="Q706" s="5"/>
      <c r="R706" s="5"/>
      <c r="S706" s="5"/>
      <c r="T706" s="5"/>
      <c r="U706" s="5"/>
      <c r="V706" s="5"/>
      <c r="W706" s="5"/>
      <c r="X706" s="5"/>
      <c r="Y706" s="5"/>
      <c r="Z706" s="5"/>
    </row>
    <row r="707">
      <c r="A707" s="35" t="s">
        <v>3016</v>
      </c>
      <c r="B707" s="5" t="s">
        <v>1067</v>
      </c>
      <c r="C707" s="7" t="s">
        <v>1068</v>
      </c>
      <c r="D707" s="7" t="s">
        <v>1068</v>
      </c>
      <c r="E707" s="7" t="s">
        <v>16</v>
      </c>
      <c r="F707" s="7" t="s">
        <v>16</v>
      </c>
      <c r="G707" s="5" t="s">
        <v>19</v>
      </c>
      <c r="H707" s="7" t="s">
        <v>3017</v>
      </c>
      <c r="I707" s="7" t="s">
        <v>3018</v>
      </c>
      <c r="J707" s="8">
        <v>4000.0</v>
      </c>
      <c r="K707" s="7" t="s">
        <v>16</v>
      </c>
      <c r="L707" s="7" t="s">
        <v>16</v>
      </c>
      <c r="M707" s="5" t="s">
        <v>22</v>
      </c>
      <c r="N707" s="5" t="s">
        <v>3019</v>
      </c>
      <c r="O707" s="5"/>
      <c r="P707" s="5"/>
      <c r="Q707" s="5"/>
      <c r="R707" s="5"/>
      <c r="S707" s="5"/>
      <c r="T707" s="5"/>
      <c r="U707" s="5"/>
      <c r="V707" s="5"/>
      <c r="W707" s="5"/>
      <c r="X707" s="5"/>
      <c r="Y707" s="5"/>
      <c r="Z707" s="5"/>
    </row>
    <row r="708">
      <c r="A708" s="34" t="s">
        <v>3020</v>
      </c>
      <c r="B708" s="5" t="s">
        <v>1067</v>
      </c>
      <c r="C708" s="7" t="s">
        <v>406</v>
      </c>
      <c r="D708" s="7" t="s">
        <v>406</v>
      </c>
      <c r="E708" s="7" t="s">
        <v>16</v>
      </c>
      <c r="F708" s="7" t="s">
        <v>16</v>
      </c>
      <c r="G708" s="5" t="s">
        <v>19</v>
      </c>
      <c r="H708" s="7" t="s">
        <v>3021</v>
      </c>
      <c r="I708" s="7" t="s">
        <v>3022</v>
      </c>
      <c r="J708" s="8">
        <v>4000.0</v>
      </c>
      <c r="K708" s="7" t="s">
        <v>16</v>
      </c>
      <c r="L708" s="7" t="s">
        <v>16</v>
      </c>
      <c r="M708" s="5" t="s">
        <v>88</v>
      </c>
      <c r="N708" s="5" t="s">
        <v>3023</v>
      </c>
      <c r="O708" s="5"/>
      <c r="P708" s="5"/>
      <c r="Q708" s="5"/>
      <c r="R708" s="5"/>
      <c r="S708" s="5"/>
      <c r="T708" s="5"/>
      <c r="U708" s="5"/>
      <c r="V708" s="5"/>
      <c r="W708" s="5"/>
      <c r="X708" s="5"/>
      <c r="Y708" s="5"/>
      <c r="Z708" s="5"/>
    </row>
    <row r="709">
      <c r="A709" s="34" t="s">
        <v>3024</v>
      </c>
      <c r="B709" s="5" t="s">
        <v>1067</v>
      </c>
      <c r="C709" s="7" t="s">
        <v>3025</v>
      </c>
      <c r="D709" s="7" t="s">
        <v>406</v>
      </c>
      <c r="E709" s="7" t="s">
        <v>16</v>
      </c>
      <c r="F709" s="7" t="s">
        <v>16</v>
      </c>
      <c r="G709" s="5" t="s">
        <v>19</v>
      </c>
      <c r="H709" s="7" t="s">
        <v>809</v>
      </c>
      <c r="I709" s="7" t="s">
        <v>3026</v>
      </c>
      <c r="J709" s="8">
        <v>2000.0</v>
      </c>
      <c r="K709" s="7" t="s">
        <v>16</v>
      </c>
      <c r="L709" s="7" t="s">
        <v>16</v>
      </c>
      <c r="M709" s="5" t="s">
        <v>75</v>
      </c>
      <c r="N709" s="5" t="s">
        <v>3027</v>
      </c>
      <c r="O709" s="5"/>
      <c r="P709" s="5"/>
      <c r="Q709" s="5"/>
      <c r="R709" s="5"/>
      <c r="S709" s="5"/>
      <c r="T709" s="5"/>
      <c r="U709" s="5"/>
      <c r="V709" s="5"/>
      <c r="W709" s="5"/>
      <c r="X709" s="5"/>
      <c r="Y709" s="5"/>
      <c r="Z709" s="5"/>
    </row>
    <row r="710">
      <c r="A710" s="34" t="s">
        <v>3028</v>
      </c>
      <c r="B710" s="5" t="s">
        <v>1067</v>
      </c>
      <c r="C710" s="7" t="s">
        <v>3025</v>
      </c>
      <c r="D710" s="7" t="s">
        <v>406</v>
      </c>
      <c r="E710" s="7" t="s">
        <v>16</v>
      </c>
      <c r="F710" s="7" t="s">
        <v>16</v>
      </c>
      <c r="G710" s="5" t="s">
        <v>19</v>
      </c>
      <c r="H710" s="7" t="s">
        <v>3029</v>
      </c>
      <c r="I710" s="7" t="s">
        <v>3030</v>
      </c>
      <c r="J710" s="8">
        <v>2000.0</v>
      </c>
      <c r="K710" s="7" t="s">
        <v>16</v>
      </c>
      <c r="L710" s="7" t="s">
        <v>16</v>
      </c>
      <c r="M710" s="5" t="s">
        <v>75</v>
      </c>
      <c r="N710" s="5" t="s">
        <v>3031</v>
      </c>
      <c r="O710" s="5"/>
      <c r="P710" s="5"/>
      <c r="Q710" s="5"/>
      <c r="R710" s="5"/>
      <c r="S710" s="5"/>
      <c r="T710" s="5"/>
      <c r="U710" s="5"/>
      <c r="V710" s="5"/>
      <c r="W710" s="5"/>
      <c r="X710" s="5"/>
      <c r="Y710" s="5"/>
      <c r="Z710" s="5"/>
    </row>
    <row r="711">
      <c r="A711" s="34" t="s">
        <v>3032</v>
      </c>
      <c r="B711" s="5" t="s">
        <v>1067</v>
      </c>
      <c r="C711" s="7" t="s">
        <v>411</v>
      </c>
      <c r="D711" s="7" t="s">
        <v>411</v>
      </c>
      <c r="E711" s="7" t="s">
        <v>16</v>
      </c>
      <c r="F711" s="7" t="s">
        <v>16</v>
      </c>
      <c r="G711" s="5" t="s">
        <v>19</v>
      </c>
      <c r="H711" s="7" t="s">
        <v>3033</v>
      </c>
      <c r="I711" s="7" t="s">
        <v>3034</v>
      </c>
      <c r="J711" s="8">
        <v>3000.0</v>
      </c>
      <c r="K711" s="7" t="s">
        <v>16</v>
      </c>
      <c r="L711" s="7" t="s">
        <v>16</v>
      </c>
      <c r="M711" s="5" t="s">
        <v>22</v>
      </c>
      <c r="N711" s="5" t="s">
        <v>3035</v>
      </c>
      <c r="O711" s="5"/>
      <c r="P711" s="5"/>
      <c r="Q711" s="5"/>
      <c r="R711" s="5"/>
      <c r="S711" s="5"/>
      <c r="T711" s="5"/>
      <c r="U711" s="5"/>
      <c r="V711" s="5"/>
      <c r="W711" s="5"/>
      <c r="X711" s="5"/>
      <c r="Y711" s="5"/>
      <c r="Z711" s="5"/>
    </row>
    <row r="712">
      <c r="A712" s="35" t="s">
        <v>3036</v>
      </c>
      <c r="B712" s="5" t="s">
        <v>1067</v>
      </c>
      <c r="C712" s="7" t="s">
        <v>85</v>
      </c>
      <c r="D712" s="7" t="s">
        <v>85</v>
      </c>
      <c r="E712" s="7" t="s">
        <v>16</v>
      </c>
      <c r="F712" s="7" t="s">
        <v>16</v>
      </c>
      <c r="G712" s="5" t="s">
        <v>19</v>
      </c>
      <c r="H712" s="7" t="s">
        <v>3037</v>
      </c>
      <c r="I712" s="7" t="s">
        <v>3038</v>
      </c>
      <c r="J712" s="8">
        <v>3000.0</v>
      </c>
      <c r="K712" s="7" t="s">
        <v>16</v>
      </c>
      <c r="L712" s="7" t="s">
        <v>16</v>
      </c>
      <c r="M712" s="5" t="s">
        <v>22</v>
      </c>
      <c r="N712" s="5" t="s">
        <v>3039</v>
      </c>
      <c r="O712" s="5"/>
      <c r="P712" s="5"/>
      <c r="Q712" s="5"/>
      <c r="R712" s="5"/>
      <c r="S712" s="5"/>
      <c r="T712" s="5"/>
      <c r="U712" s="5"/>
      <c r="V712" s="5"/>
      <c r="W712" s="5"/>
      <c r="X712" s="5"/>
      <c r="Y712" s="5"/>
      <c r="Z712" s="5"/>
    </row>
    <row r="713">
      <c r="A713" s="34" t="s">
        <v>3040</v>
      </c>
      <c r="B713" s="5" t="s">
        <v>1067</v>
      </c>
      <c r="C713" s="7" t="s">
        <v>1748</v>
      </c>
      <c r="D713" s="7" t="s">
        <v>1748</v>
      </c>
      <c r="E713" s="7" t="s">
        <v>16</v>
      </c>
      <c r="F713" s="7" t="s">
        <v>16</v>
      </c>
      <c r="G713" s="5" t="s">
        <v>19</v>
      </c>
      <c r="H713" s="7" t="s">
        <v>3041</v>
      </c>
      <c r="I713" s="7" t="s">
        <v>3042</v>
      </c>
      <c r="J713" s="8">
        <v>5000.0</v>
      </c>
      <c r="K713" s="7" t="s">
        <v>16</v>
      </c>
      <c r="L713" s="7" t="s">
        <v>16</v>
      </c>
      <c r="M713" s="5" t="s">
        <v>88</v>
      </c>
      <c r="N713" s="5" t="s">
        <v>3043</v>
      </c>
      <c r="O713" s="5"/>
      <c r="P713" s="5"/>
      <c r="Q713" s="5"/>
      <c r="R713" s="5"/>
      <c r="S713" s="5"/>
      <c r="T713" s="5"/>
      <c r="U713" s="5"/>
      <c r="V713" s="5"/>
      <c r="W713" s="5"/>
      <c r="X713" s="5"/>
      <c r="Y713" s="5"/>
      <c r="Z713" s="5"/>
    </row>
    <row r="714">
      <c r="A714" s="35" t="s">
        <v>3044</v>
      </c>
      <c r="B714" s="5" t="s">
        <v>1067</v>
      </c>
      <c r="C714" s="7" t="s">
        <v>2581</v>
      </c>
      <c r="D714" s="7" t="s">
        <v>2581</v>
      </c>
      <c r="E714" s="7" t="s">
        <v>16</v>
      </c>
      <c r="F714" s="7" t="s">
        <v>16</v>
      </c>
      <c r="G714" s="5" t="s">
        <v>19</v>
      </c>
      <c r="H714" s="7" t="s">
        <v>3045</v>
      </c>
      <c r="I714" s="7" t="s">
        <v>3046</v>
      </c>
      <c r="J714" s="8">
        <v>5000.0</v>
      </c>
      <c r="K714" s="7" t="s">
        <v>16</v>
      </c>
      <c r="L714" s="7" t="s">
        <v>16</v>
      </c>
      <c r="M714" s="5" t="s">
        <v>36</v>
      </c>
      <c r="N714" s="5" t="s">
        <v>3047</v>
      </c>
      <c r="O714" s="5"/>
      <c r="P714" s="5"/>
      <c r="Q714" s="5"/>
      <c r="R714" s="5"/>
      <c r="S714" s="5"/>
      <c r="T714" s="5"/>
      <c r="U714" s="5"/>
      <c r="V714" s="5"/>
      <c r="W714" s="5"/>
      <c r="X714" s="5"/>
      <c r="Y714" s="5"/>
      <c r="Z714" s="5"/>
    </row>
    <row r="715">
      <c r="A715" s="34" t="s">
        <v>3048</v>
      </c>
      <c r="B715" s="5" t="s">
        <v>1067</v>
      </c>
      <c r="C715" s="7" t="s">
        <v>2918</v>
      </c>
      <c r="D715" s="7" t="s">
        <v>2918</v>
      </c>
      <c r="E715" s="7" t="s">
        <v>16</v>
      </c>
      <c r="F715" s="7" t="s">
        <v>16</v>
      </c>
      <c r="G715" s="5" t="s">
        <v>19</v>
      </c>
      <c r="H715" s="7" t="s">
        <v>3049</v>
      </c>
      <c r="I715" s="7" t="s">
        <v>3050</v>
      </c>
      <c r="J715" s="8">
        <v>1000.0</v>
      </c>
      <c r="K715" s="7" t="s">
        <v>16</v>
      </c>
      <c r="L715" s="7" t="s">
        <v>16</v>
      </c>
      <c r="M715" s="5" t="s">
        <v>22</v>
      </c>
      <c r="N715" s="5" t="s">
        <v>3051</v>
      </c>
      <c r="O715" s="5"/>
      <c r="P715" s="5"/>
      <c r="Q715" s="5"/>
      <c r="R715" s="5"/>
      <c r="S715" s="5"/>
      <c r="T715" s="5"/>
      <c r="U715" s="5"/>
      <c r="V715" s="5"/>
      <c r="W715" s="5"/>
      <c r="X715" s="5"/>
      <c r="Y715" s="5"/>
      <c r="Z715" s="5"/>
    </row>
    <row r="716">
      <c r="A716" s="35" t="s">
        <v>3052</v>
      </c>
      <c r="B716" s="5" t="s">
        <v>1067</v>
      </c>
      <c r="C716" s="7" t="s">
        <v>1199</v>
      </c>
      <c r="D716" s="7" t="s">
        <v>1199</v>
      </c>
      <c r="E716" s="7" t="s">
        <v>16</v>
      </c>
      <c r="F716" s="7" t="s">
        <v>16</v>
      </c>
      <c r="G716" s="5" t="s">
        <v>19</v>
      </c>
      <c r="H716" s="7" t="s">
        <v>3053</v>
      </c>
      <c r="I716" s="7" t="s">
        <v>3054</v>
      </c>
      <c r="J716" s="8">
        <v>6000.0</v>
      </c>
      <c r="K716" s="7" t="s">
        <v>16</v>
      </c>
      <c r="L716" s="7" t="s">
        <v>16</v>
      </c>
      <c r="M716" s="5" t="s">
        <v>88</v>
      </c>
      <c r="N716" s="5" t="s">
        <v>3055</v>
      </c>
      <c r="O716" s="5"/>
      <c r="P716" s="5"/>
      <c r="Q716" s="5"/>
      <c r="R716" s="5"/>
      <c r="S716" s="5"/>
      <c r="T716" s="5"/>
      <c r="U716" s="5"/>
      <c r="V716" s="5"/>
      <c r="W716" s="5"/>
      <c r="X716" s="5"/>
      <c r="Y716" s="5"/>
      <c r="Z716" s="5"/>
    </row>
    <row r="717">
      <c r="A717" s="34" t="s">
        <v>3056</v>
      </c>
      <c r="B717" s="5" t="s">
        <v>1067</v>
      </c>
      <c r="C717" s="7" t="s">
        <v>2913</v>
      </c>
      <c r="D717" s="7" t="s">
        <v>2913</v>
      </c>
      <c r="E717" s="7" t="s">
        <v>16</v>
      </c>
      <c r="F717" s="7" t="s">
        <v>16</v>
      </c>
      <c r="G717" s="5" t="s">
        <v>19</v>
      </c>
      <c r="H717" s="7" t="s">
        <v>3057</v>
      </c>
      <c r="I717" s="7" t="s">
        <v>3058</v>
      </c>
      <c r="J717" s="8">
        <v>6000.0</v>
      </c>
      <c r="K717" s="7" t="s">
        <v>16</v>
      </c>
      <c r="L717" s="7" t="s">
        <v>16</v>
      </c>
      <c r="M717" s="5" t="s">
        <v>88</v>
      </c>
      <c r="N717" s="5" t="s">
        <v>3059</v>
      </c>
      <c r="O717" s="5"/>
      <c r="P717" s="5"/>
      <c r="Q717" s="5"/>
      <c r="R717" s="5"/>
      <c r="S717" s="5"/>
      <c r="T717" s="5"/>
      <c r="U717" s="5"/>
      <c r="V717" s="5"/>
      <c r="W717" s="5"/>
      <c r="X717" s="5"/>
      <c r="Y717" s="5"/>
      <c r="Z717" s="5"/>
    </row>
    <row r="718">
      <c r="A718" s="34" t="s">
        <v>3060</v>
      </c>
      <c r="B718" s="5" t="s">
        <v>1067</v>
      </c>
      <c r="C718" s="7" t="s">
        <v>1691</v>
      </c>
      <c r="D718" s="7" t="s">
        <v>1691</v>
      </c>
      <c r="E718" s="7" t="s">
        <v>16</v>
      </c>
      <c r="F718" s="7" t="s">
        <v>16</v>
      </c>
      <c r="G718" s="5" t="s">
        <v>19</v>
      </c>
      <c r="H718" s="7" t="s">
        <v>3061</v>
      </c>
      <c r="I718" s="7" t="s">
        <v>3062</v>
      </c>
      <c r="J718" s="8">
        <v>1000.0</v>
      </c>
      <c r="K718" s="7" t="s">
        <v>16</v>
      </c>
      <c r="L718" s="7" t="s">
        <v>16</v>
      </c>
      <c r="M718" s="5" t="s">
        <v>22</v>
      </c>
      <c r="N718" s="5" t="s">
        <v>3063</v>
      </c>
      <c r="O718" s="5"/>
      <c r="P718" s="5"/>
      <c r="Q718" s="5"/>
      <c r="R718" s="5"/>
      <c r="S718" s="5"/>
      <c r="T718" s="5"/>
      <c r="U718" s="5"/>
      <c r="V718" s="5"/>
      <c r="W718" s="5"/>
      <c r="X718" s="5"/>
      <c r="Y718" s="5"/>
      <c r="Z718" s="5"/>
    </row>
    <row r="719">
      <c r="A719" s="34" t="s">
        <v>3064</v>
      </c>
      <c r="B719" s="5" t="s">
        <v>1067</v>
      </c>
      <c r="C719" s="7" t="s">
        <v>2883</v>
      </c>
      <c r="D719" s="7" t="s">
        <v>2883</v>
      </c>
      <c r="E719" s="7" t="s">
        <v>16</v>
      </c>
      <c r="F719" s="7" t="s">
        <v>16</v>
      </c>
      <c r="G719" s="5" t="s">
        <v>19</v>
      </c>
      <c r="H719" s="7" t="s">
        <v>3065</v>
      </c>
      <c r="I719" s="7" t="s">
        <v>3066</v>
      </c>
      <c r="J719" s="8">
        <v>5000.0</v>
      </c>
      <c r="K719" s="7" t="s">
        <v>16</v>
      </c>
      <c r="L719" s="7" t="s">
        <v>16</v>
      </c>
      <c r="M719" s="5" t="s">
        <v>75</v>
      </c>
      <c r="N719" s="5" t="s">
        <v>3067</v>
      </c>
      <c r="O719" s="5"/>
      <c r="P719" s="5"/>
      <c r="Q719" s="5"/>
      <c r="R719" s="5"/>
      <c r="S719" s="5"/>
      <c r="T719" s="5"/>
      <c r="U719" s="5"/>
      <c r="V719" s="5"/>
      <c r="W719" s="5"/>
      <c r="X719" s="5"/>
      <c r="Y719" s="5"/>
      <c r="Z719" s="5"/>
    </row>
    <row r="720">
      <c r="A720" s="34" t="s">
        <v>3068</v>
      </c>
      <c r="B720" s="5" t="s">
        <v>1067</v>
      </c>
      <c r="C720" s="7" t="s">
        <v>3069</v>
      </c>
      <c r="D720" s="7" t="s">
        <v>3069</v>
      </c>
      <c r="E720" s="7" t="s">
        <v>16</v>
      </c>
      <c r="F720" s="7" t="s">
        <v>16</v>
      </c>
      <c r="G720" s="5" t="s">
        <v>19</v>
      </c>
      <c r="H720" s="7" t="s">
        <v>3070</v>
      </c>
      <c r="I720" s="7" t="s">
        <v>3071</v>
      </c>
      <c r="J720" s="8">
        <v>5000.0</v>
      </c>
      <c r="K720" s="7" t="s">
        <v>16</v>
      </c>
      <c r="L720" s="7" t="s">
        <v>16</v>
      </c>
      <c r="M720" s="5" t="s">
        <v>75</v>
      </c>
      <c r="N720" s="5" t="s">
        <v>3072</v>
      </c>
      <c r="O720" s="5"/>
      <c r="P720" s="5"/>
      <c r="Q720" s="5"/>
      <c r="R720" s="5"/>
      <c r="S720" s="5"/>
      <c r="T720" s="5"/>
      <c r="U720" s="5"/>
      <c r="V720" s="5"/>
      <c r="W720" s="5"/>
      <c r="X720" s="5"/>
      <c r="Y720" s="5"/>
      <c r="Z720" s="5"/>
    </row>
    <row r="721">
      <c r="A721" s="34" t="s">
        <v>3073</v>
      </c>
      <c r="B721" s="5" t="s">
        <v>1067</v>
      </c>
      <c r="C721" s="7" t="s">
        <v>3074</v>
      </c>
      <c r="D721" s="7" t="s">
        <v>3074</v>
      </c>
      <c r="E721" s="7" t="s">
        <v>16</v>
      </c>
      <c r="F721" s="7" t="s">
        <v>16</v>
      </c>
      <c r="G721" s="5" t="s">
        <v>19</v>
      </c>
      <c r="H721" s="7" t="s">
        <v>3075</v>
      </c>
      <c r="I721" s="7" t="s">
        <v>3076</v>
      </c>
      <c r="J721" s="8">
        <v>5000.0</v>
      </c>
      <c r="K721" s="7" t="s">
        <v>16</v>
      </c>
      <c r="L721" s="7" t="s">
        <v>16</v>
      </c>
      <c r="M721" s="5" t="s">
        <v>75</v>
      </c>
      <c r="N721" s="5" t="s">
        <v>3077</v>
      </c>
      <c r="O721" s="5"/>
      <c r="P721" s="5"/>
      <c r="Q721" s="5"/>
      <c r="R721" s="5"/>
      <c r="S721" s="5"/>
      <c r="T721" s="5"/>
      <c r="U721" s="5"/>
      <c r="V721" s="5"/>
      <c r="W721" s="5"/>
      <c r="X721" s="5"/>
      <c r="Y721" s="5"/>
      <c r="Z721" s="5"/>
    </row>
    <row r="722">
      <c r="A722" s="34" t="s">
        <v>3078</v>
      </c>
      <c r="B722" s="5" t="s">
        <v>1067</v>
      </c>
      <c r="C722" s="7" t="s">
        <v>3079</v>
      </c>
      <c r="D722" s="7" t="s">
        <v>3079</v>
      </c>
      <c r="E722" s="7" t="s">
        <v>16</v>
      </c>
      <c r="F722" s="7" t="s">
        <v>16</v>
      </c>
      <c r="G722" s="5" t="s">
        <v>19</v>
      </c>
      <c r="H722" s="7" t="s">
        <v>3080</v>
      </c>
      <c r="I722" s="7" t="s">
        <v>3081</v>
      </c>
      <c r="J722" s="8">
        <v>5000.0</v>
      </c>
      <c r="K722" s="7" t="s">
        <v>16</v>
      </c>
      <c r="L722" s="7" t="s">
        <v>16</v>
      </c>
      <c r="M722" s="5" t="s">
        <v>88</v>
      </c>
      <c r="N722" s="5" t="s">
        <v>3082</v>
      </c>
      <c r="O722" s="5"/>
      <c r="P722" s="5"/>
      <c r="Q722" s="5"/>
      <c r="R722" s="5"/>
      <c r="S722" s="5"/>
      <c r="T722" s="5"/>
      <c r="U722" s="5"/>
      <c r="V722" s="5"/>
      <c r="W722" s="5"/>
      <c r="X722" s="5"/>
      <c r="Y722" s="5"/>
      <c r="Z722" s="5"/>
    </row>
    <row r="723">
      <c r="A723" s="34" t="s">
        <v>3083</v>
      </c>
      <c r="B723" s="5" t="s">
        <v>1067</v>
      </c>
      <c r="C723" s="7" t="s">
        <v>3084</v>
      </c>
      <c r="D723" s="7" t="s">
        <v>3084</v>
      </c>
      <c r="E723" s="7" t="s">
        <v>16</v>
      </c>
      <c r="F723" s="7" t="s">
        <v>16</v>
      </c>
      <c r="G723" s="5" t="s">
        <v>19</v>
      </c>
      <c r="H723" s="7" t="s">
        <v>1480</v>
      </c>
      <c r="I723" s="7" t="s">
        <v>3085</v>
      </c>
      <c r="J723" s="8">
        <v>4000.0</v>
      </c>
      <c r="K723" s="7" t="s">
        <v>16</v>
      </c>
      <c r="L723" s="7" t="s">
        <v>16</v>
      </c>
      <c r="M723" s="5" t="s">
        <v>75</v>
      </c>
      <c r="N723" s="5" t="s">
        <v>3086</v>
      </c>
      <c r="O723" s="5"/>
      <c r="P723" s="5"/>
      <c r="Q723" s="5"/>
      <c r="R723" s="5"/>
      <c r="S723" s="5"/>
      <c r="T723" s="5"/>
      <c r="U723" s="5"/>
      <c r="V723" s="5"/>
      <c r="W723" s="5"/>
      <c r="X723" s="5"/>
      <c r="Y723" s="5"/>
      <c r="Z723" s="5"/>
    </row>
    <row r="724">
      <c r="A724" s="34" t="s">
        <v>3087</v>
      </c>
      <c r="B724" s="5" t="s">
        <v>1067</v>
      </c>
      <c r="C724" s="7" t="s">
        <v>1203</v>
      </c>
      <c r="D724" s="7" t="s">
        <v>1203</v>
      </c>
      <c r="E724" s="7" t="s">
        <v>16</v>
      </c>
      <c r="F724" s="7" t="s">
        <v>16</v>
      </c>
      <c r="G724" s="5" t="s">
        <v>19</v>
      </c>
      <c r="H724" s="7" t="s">
        <v>3088</v>
      </c>
      <c r="I724" s="7" t="s">
        <v>3089</v>
      </c>
      <c r="J724" s="8">
        <v>5000.0</v>
      </c>
      <c r="K724" s="7" t="s">
        <v>16</v>
      </c>
      <c r="L724" s="7" t="s">
        <v>16</v>
      </c>
      <c r="M724" s="5" t="s">
        <v>88</v>
      </c>
      <c r="N724" s="5" t="s">
        <v>3090</v>
      </c>
      <c r="O724" s="5"/>
      <c r="P724" s="5"/>
      <c r="Q724" s="5"/>
      <c r="R724" s="5"/>
      <c r="S724" s="5"/>
      <c r="T724" s="5"/>
      <c r="U724" s="5"/>
      <c r="V724" s="5"/>
      <c r="W724" s="5"/>
      <c r="X724" s="5"/>
      <c r="Y724" s="5"/>
      <c r="Z724" s="5"/>
    </row>
    <row r="725">
      <c r="A725" s="34" t="s">
        <v>3091</v>
      </c>
      <c r="B725" s="5" t="s">
        <v>1067</v>
      </c>
      <c r="C725" s="7" t="s">
        <v>3092</v>
      </c>
      <c r="D725" s="7" t="s">
        <v>3092</v>
      </c>
      <c r="E725" s="7" t="s">
        <v>16</v>
      </c>
      <c r="F725" s="7" t="s">
        <v>16</v>
      </c>
      <c r="G725" s="5" t="s">
        <v>19</v>
      </c>
      <c r="H725" s="7" t="s">
        <v>3093</v>
      </c>
      <c r="I725" s="7" t="s">
        <v>3094</v>
      </c>
      <c r="J725" s="8">
        <v>4500.0</v>
      </c>
      <c r="K725" s="7" t="s">
        <v>16</v>
      </c>
      <c r="L725" s="7" t="s">
        <v>16</v>
      </c>
      <c r="M725" s="5" t="s">
        <v>75</v>
      </c>
      <c r="N725" s="5" t="s">
        <v>3095</v>
      </c>
      <c r="O725" s="5"/>
      <c r="P725" s="5"/>
      <c r="Q725" s="5"/>
      <c r="R725" s="5"/>
      <c r="S725" s="5"/>
      <c r="T725" s="5"/>
      <c r="U725" s="5"/>
      <c r="V725" s="5"/>
      <c r="W725" s="5"/>
      <c r="X725" s="5"/>
      <c r="Y725" s="5"/>
      <c r="Z725" s="5"/>
    </row>
    <row r="726">
      <c r="A726" s="34" t="s">
        <v>3096</v>
      </c>
      <c r="B726" s="5" t="s">
        <v>1985</v>
      </c>
      <c r="C726" s="7" t="s">
        <v>3097</v>
      </c>
      <c r="D726" s="7" t="s">
        <v>3098</v>
      </c>
      <c r="E726" s="7" t="s">
        <v>16</v>
      </c>
      <c r="F726" s="7" t="s">
        <v>16</v>
      </c>
      <c r="G726" s="5" t="s">
        <v>19</v>
      </c>
      <c r="H726" s="7" t="s">
        <v>3099</v>
      </c>
      <c r="I726" s="7" t="s">
        <v>3100</v>
      </c>
      <c r="J726" s="8">
        <v>4000.0</v>
      </c>
      <c r="K726" s="7" t="s">
        <v>16</v>
      </c>
      <c r="L726" s="7" t="s">
        <v>16</v>
      </c>
      <c r="M726" s="5" t="s">
        <v>36</v>
      </c>
      <c r="N726" s="5" t="s">
        <v>3101</v>
      </c>
      <c r="O726" s="5"/>
      <c r="P726" s="5"/>
      <c r="Q726" s="5"/>
      <c r="R726" s="5"/>
      <c r="S726" s="5"/>
      <c r="T726" s="5"/>
      <c r="U726" s="5"/>
      <c r="V726" s="5"/>
      <c r="W726" s="5"/>
      <c r="X726" s="5"/>
      <c r="Y726" s="5"/>
      <c r="Z726" s="5"/>
    </row>
    <row r="727">
      <c r="A727" s="34" t="s">
        <v>3102</v>
      </c>
      <c r="B727" s="5" t="s">
        <v>1985</v>
      </c>
      <c r="C727" s="7" t="s">
        <v>3103</v>
      </c>
      <c r="D727" s="7" t="s">
        <v>3104</v>
      </c>
      <c r="E727" s="7" t="s">
        <v>16</v>
      </c>
      <c r="F727" s="7" t="s">
        <v>16</v>
      </c>
      <c r="G727" s="5" t="s">
        <v>19</v>
      </c>
      <c r="H727" s="7" t="s">
        <v>3105</v>
      </c>
      <c r="I727" s="7" t="s">
        <v>3106</v>
      </c>
      <c r="J727" s="8">
        <v>5000.0</v>
      </c>
      <c r="K727" s="7" t="s">
        <v>16</v>
      </c>
      <c r="L727" s="7" t="s">
        <v>16</v>
      </c>
      <c r="M727" s="5" t="s">
        <v>88</v>
      </c>
      <c r="N727" s="5" t="s">
        <v>3107</v>
      </c>
      <c r="O727" s="5"/>
      <c r="P727" s="5"/>
      <c r="Q727" s="5"/>
      <c r="R727" s="5"/>
      <c r="S727" s="5"/>
      <c r="T727" s="5"/>
      <c r="U727" s="5"/>
      <c r="V727" s="5"/>
      <c r="W727" s="5"/>
      <c r="X727" s="5"/>
      <c r="Y727" s="5"/>
      <c r="Z727" s="5"/>
    </row>
    <row r="728">
      <c r="A728" s="6" t="s">
        <v>3108</v>
      </c>
      <c r="B728" s="5" t="s">
        <v>2426</v>
      </c>
      <c r="C728" s="7" t="s">
        <v>3109</v>
      </c>
      <c r="D728" s="7" t="s">
        <v>3110</v>
      </c>
      <c r="E728" s="7" t="s">
        <v>16</v>
      </c>
      <c r="F728" s="7" t="s">
        <v>16</v>
      </c>
      <c r="G728" s="5" t="s">
        <v>19</v>
      </c>
      <c r="H728" s="7" t="s">
        <v>3111</v>
      </c>
      <c r="I728" s="7" t="s">
        <v>3112</v>
      </c>
      <c r="J728" s="8">
        <v>5500.0</v>
      </c>
      <c r="K728" s="7" t="s">
        <v>16</v>
      </c>
      <c r="L728" s="7" t="s">
        <v>16</v>
      </c>
      <c r="M728" s="5" t="s">
        <v>88</v>
      </c>
      <c r="N728" s="5" t="s">
        <v>3113</v>
      </c>
      <c r="O728" s="5"/>
      <c r="P728" s="5"/>
      <c r="Q728" s="5"/>
      <c r="R728" s="5"/>
      <c r="S728" s="5"/>
      <c r="T728" s="5"/>
      <c r="U728" s="5"/>
      <c r="V728" s="5"/>
      <c r="W728" s="5"/>
      <c r="X728" s="5"/>
      <c r="Y728" s="5"/>
      <c r="Z728" s="5"/>
    </row>
    <row r="729">
      <c r="A729" s="6" t="s">
        <v>3114</v>
      </c>
      <c r="B729" s="5" t="s">
        <v>2973</v>
      </c>
      <c r="C729" s="7" t="s">
        <v>1068</v>
      </c>
      <c r="D729" s="7" t="s">
        <v>1068</v>
      </c>
      <c r="E729" s="7" t="s">
        <v>16</v>
      </c>
      <c r="F729" s="7" t="s">
        <v>16</v>
      </c>
      <c r="G729" s="5" t="s">
        <v>461</v>
      </c>
      <c r="H729" s="7" t="s">
        <v>3115</v>
      </c>
      <c r="I729" s="7" t="s">
        <v>3116</v>
      </c>
      <c r="J729" s="8">
        <v>5000.0</v>
      </c>
      <c r="K729" s="7" t="s">
        <v>16</v>
      </c>
      <c r="L729" s="7" t="s">
        <v>16</v>
      </c>
      <c r="M729" s="5" t="s">
        <v>75</v>
      </c>
      <c r="N729" s="5" t="s">
        <v>3117</v>
      </c>
      <c r="O729" s="5"/>
      <c r="P729" s="5"/>
      <c r="Q729" s="5"/>
      <c r="R729" s="5"/>
      <c r="S729" s="5"/>
      <c r="T729" s="5"/>
      <c r="U729" s="5"/>
      <c r="V729" s="5"/>
      <c r="W729" s="5"/>
      <c r="X729" s="5"/>
      <c r="Y729" s="5"/>
      <c r="Z729" s="5"/>
    </row>
    <row r="730">
      <c r="A730" s="6" t="s">
        <v>3118</v>
      </c>
      <c r="B730" s="5" t="s">
        <v>2973</v>
      </c>
      <c r="C730" s="7" t="s">
        <v>1194</v>
      </c>
      <c r="D730" s="7" t="s">
        <v>1194</v>
      </c>
      <c r="E730" s="7" t="s">
        <v>16</v>
      </c>
      <c r="F730" s="7" t="s">
        <v>16</v>
      </c>
      <c r="G730" s="5" t="s">
        <v>461</v>
      </c>
      <c r="H730" s="7" t="s">
        <v>3119</v>
      </c>
      <c r="I730" s="7" t="s">
        <v>3120</v>
      </c>
      <c r="J730" s="8">
        <v>6000.0</v>
      </c>
      <c r="K730" s="7" t="s">
        <v>16</v>
      </c>
      <c r="L730" s="7" t="s">
        <v>16</v>
      </c>
      <c r="M730" s="5" t="s">
        <v>88</v>
      </c>
      <c r="N730" s="5" t="s">
        <v>3121</v>
      </c>
      <c r="O730" s="5"/>
      <c r="P730" s="5"/>
      <c r="Q730" s="5"/>
      <c r="R730" s="5"/>
      <c r="S730" s="5"/>
      <c r="T730" s="5"/>
      <c r="U730" s="5"/>
      <c r="V730" s="5"/>
      <c r="W730" s="5"/>
      <c r="X730" s="5"/>
      <c r="Y730" s="5"/>
      <c r="Z730" s="5"/>
    </row>
    <row r="731">
      <c r="A731" s="6" t="s">
        <v>3122</v>
      </c>
      <c r="B731" s="5" t="s">
        <v>2973</v>
      </c>
      <c r="C731" s="7" t="s">
        <v>406</v>
      </c>
      <c r="D731" s="7" t="s">
        <v>406</v>
      </c>
      <c r="E731" s="7" t="s">
        <v>16</v>
      </c>
      <c r="F731" s="7" t="s">
        <v>16</v>
      </c>
      <c r="G731" s="5" t="s">
        <v>461</v>
      </c>
      <c r="H731" s="7" t="s">
        <v>3123</v>
      </c>
      <c r="I731" s="7" t="s">
        <v>3124</v>
      </c>
      <c r="J731" s="8">
        <v>4000.0</v>
      </c>
      <c r="K731" s="7" t="s">
        <v>16</v>
      </c>
      <c r="L731" s="7" t="s">
        <v>16</v>
      </c>
      <c r="M731" s="5" t="s">
        <v>75</v>
      </c>
      <c r="N731" s="5" t="s">
        <v>3125</v>
      </c>
      <c r="O731" s="5"/>
      <c r="P731" s="5"/>
      <c r="Q731" s="5"/>
      <c r="R731" s="5"/>
      <c r="S731" s="5"/>
      <c r="T731" s="5"/>
      <c r="U731" s="5"/>
      <c r="V731" s="5"/>
      <c r="W731" s="5"/>
      <c r="X731" s="5"/>
      <c r="Y731" s="5"/>
      <c r="Z731" s="5"/>
    </row>
    <row r="732">
      <c r="A732" s="6" t="s">
        <v>3126</v>
      </c>
      <c r="B732" s="5" t="s">
        <v>2973</v>
      </c>
      <c r="C732" s="7" t="s">
        <v>411</v>
      </c>
      <c r="D732" s="7" t="s">
        <v>411</v>
      </c>
      <c r="E732" s="7" t="s">
        <v>16</v>
      </c>
      <c r="F732" s="7" t="s">
        <v>16</v>
      </c>
      <c r="G732" s="5" t="s">
        <v>461</v>
      </c>
      <c r="H732" s="7" t="s">
        <v>3127</v>
      </c>
      <c r="I732" s="7" t="s">
        <v>3128</v>
      </c>
      <c r="J732" s="8">
        <v>4000.0</v>
      </c>
      <c r="K732" s="7" t="s">
        <v>16</v>
      </c>
      <c r="L732" s="7" t="s">
        <v>16</v>
      </c>
      <c r="M732" s="5" t="s">
        <v>75</v>
      </c>
      <c r="N732" s="5" t="s">
        <v>3129</v>
      </c>
      <c r="O732" s="5"/>
      <c r="P732" s="5"/>
      <c r="Q732" s="5"/>
      <c r="R732" s="5"/>
      <c r="S732" s="5"/>
      <c r="T732" s="5"/>
      <c r="U732" s="5"/>
      <c r="V732" s="5"/>
      <c r="W732" s="5"/>
      <c r="X732" s="5"/>
      <c r="Y732" s="5"/>
      <c r="Z732" s="5"/>
    </row>
    <row r="733">
      <c r="A733" s="6" t="s">
        <v>3130</v>
      </c>
      <c r="B733" s="5" t="s">
        <v>2973</v>
      </c>
      <c r="C733" s="7" t="s">
        <v>85</v>
      </c>
      <c r="D733" s="7" t="s">
        <v>85</v>
      </c>
      <c r="E733" s="7" t="s">
        <v>16</v>
      </c>
      <c r="F733" s="7" t="s">
        <v>16</v>
      </c>
      <c r="G733" s="5" t="s">
        <v>461</v>
      </c>
      <c r="H733" s="7" t="s">
        <v>3131</v>
      </c>
      <c r="I733" s="7" t="s">
        <v>3132</v>
      </c>
      <c r="J733" s="8">
        <v>4000.0</v>
      </c>
      <c r="K733" s="7" t="s">
        <v>16</v>
      </c>
      <c r="L733" s="7" t="s">
        <v>16</v>
      </c>
      <c r="M733" s="5" t="s">
        <v>75</v>
      </c>
      <c r="N733" s="5" t="s">
        <v>3133</v>
      </c>
      <c r="O733" s="5"/>
      <c r="P733" s="5"/>
      <c r="Q733" s="5"/>
      <c r="R733" s="5"/>
      <c r="S733" s="5"/>
      <c r="T733" s="5"/>
      <c r="U733" s="5"/>
      <c r="V733" s="5"/>
      <c r="W733" s="5"/>
      <c r="X733" s="5"/>
      <c r="Y733" s="5"/>
      <c r="Z733" s="5"/>
    </row>
    <row r="734">
      <c r="A734" s="6" t="s">
        <v>3134</v>
      </c>
      <c r="B734" s="5" t="s">
        <v>2973</v>
      </c>
      <c r="C734" s="7" t="s">
        <v>1748</v>
      </c>
      <c r="D734" s="7" t="s">
        <v>1748</v>
      </c>
      <c r="E734" s="7" t="s">
        <v>16</v>
      </c>
      <c r="F734" s="7" t="s">
        <v>16</v>
      </c>
      <c r="G734" s="5" t="s">
        <v>461</v>
      </c>
      <c r="H734" s="7" t="s">
        <v>3135</v>
      </c>
      <c r="I734" s="7" t="s">
        <v>3136</v>
      </c>
      <c r="J734" s="8">
        <v>5500.0</v>
      </c>
      <c r="K734" s="7" t="s">
        <v>16</v>
      </c>
      <c r="L734" s="7" t="s">
        <v>16</v>
      </c>
      <c r="M734" s="5" t="s">
        <v>75</v>
      </c>
      <c r="N734" s="5" t="s">
        <v>3137</v>
      </c>
      <c r="O734" s="5"/>
      <c r="P734" s="5"/>
      <c r="Q734" s="5"/>
      <c r="R734" s="5"/>
      <c r="S734" s="5"/>
      <c r="T734" s="5"/>
      <c r="U734" s="5"/>
      <c r="V734" s="5"/>
      <c r="W734" s="5"/>
      <c r="X734" s="5"/>
      <c r="Y734" s="5"/>
      <c r="Z734" s="5"/>
    </row>
    <row r="735">
      <c r="A735" s="6" t="s">
        <v>3138</v>
      </c>
      <c r="B735" s="5" t="s">
        <v>2973</v>
      </c>
      <c r="C735" s="7" t="s">
        <v>2576</v>
      </c>
      <c r="D735" s="7" t="s">
        <v>2576</v>
      </c>
      <c r="E735" s="7" t="s">
        <v>16</v>
      </c>
      <c r="F735" s="7" t="s">
        <v>16</v>
      </c>
      <c r="G735" s="5" t="s">
        <v>461</v>
      </c>
      <c r="H735" s="7" t="s">
        <v>3139</v>
      </c>
      <c r="I735" s="7" t="s">
        <v>3140</v>
      </c>
      <c r="J735" s="8">
        <v>5000.0</v>
      </c>
      <c r="K735" s="7" t="s">
        <v>16</v>
      </c>
      <c r="L735" s="7" t="s">
        <v>16</v>
      </c>
      <c r="M735" s="5" t="s">
        <v>75</v>
      </c>
      <c r="N735" s="5" t="s">
        <v>3141</v>
      </c>
      <c r="O735" s="5"/>
      <c r="P735" s="5"/>
      <c r="Q735" s="5"/>
      <c r="R735" s="5"/>
      <c r="S735" s="5"/>
      <c r="T735" s="5"/>
      <c r="U735" s="5"/>
      <c r="V735" s="5"/>
      <c r="W735" s="5"/>
      <c r="X735" s="5"/>
      <c r="Y735" s="5"/>
      <c r="Z735" s="5"/>
    </row>
    <row r="736">
      <c r="A736" s="6" t="s">
        <v>3142</v>
      </c>
      <c r="B736" s="5" t="s">
        <v>2973</v>
      </c>
      <c r="C736" s="7" t="s">
        <v>3143</v>
      </c>
      <c r="D736" s="7" t="s">
        <v>3143</v>
      </c>
      <c r="E736" s="7" t="s">
        <v>16</v>
      </c>
      <c r="F736" s="7" t="s">
        <v>16</v>
      </c>
      <c r="G736" s="5" t="s">
        <v>461</v>
      </c>
      <c r="H736" s="7" t="s">
        <v>3144</v>
      </c>
      <c r="I736" s="7" t="s">
        <v>3145</v>
      </c>
      <c r="J736" s="8">
        <v>6000.0</v>
      </c>
      <c r="K736" s="7" t="s">
        <v>16</v>
      </c>
      <c r="L736" s="7" t="s">
        <v>16</v>
      </c>
      <c r="M736" s="5" t="s">
        <v>88</v>
      </c>
      <c r="N736" s="5" t="s">
        <v>3146</v>
      </c>
      <c r="O736" s="5"/>
      <c r="P736" s="5"/>
      <c r="Q736" s="5"/>
      <c r="R736" s="5"/>
      <c r="S736" s="5"/>
      <c r="T736" s="5"/>
      <c r="U736" s="5"/>
      <c r="V736" s="5"/>
      <c r="W736" s="5"/>
      <c r="X736" s="5"/>
      <c r="Y736" s="5"/>
      <c r="Z736" s="5"/>
    </row>
    <row r="737">
      <c r="A737" s="6" t="s">
        <v>3147</v>
      </c>
      <c r="B737" s="5" t="s">
        <v>1067</v>
      </c>
      <c r="C737" s="7" t="s">
        <v>1068</v>
      </c>
      <c r="D737" s="7" t="s">
        <v>1068</v>
      </c>
      <c r="E737" s="7" t="s">
        <v>16</v>
      </c>
      <c r="F737" s="7" t="s">
        <v>16</v>
      </c>
      <c r="G737" s="5" t="s">
        <v>19</v>
      </c>
      <c r="H737" s="7" t="s">
        <v>3148</v>
      </c>
      <c r="I737" s="7" t="s">
        <v>3149</v>
      </c>
      <c r="J737" s="8">
        <v>4500.0</v>
      </c>
      <c r="K737" s="7" t="s">
        <v>16</v>
      </c>
      <c r="L737" s="7" t="s">
        <v>16</v>
      </c>
      <c r="M737" s="5" t="s">
        <v>36</v>
      </c>
      <c r="N737" s="5" t="s">
        <v>3150</v>
      </c>
      <c r="O737" s="5"/>
      <c r="P737" s="5"/>
      <c r="Q737" s="5"/>
      <c r="R737" s="5"/>
      <c r="S737" s="5"/>
      <c r="T737" s="5"/>
      <c r="U737" s="5"/>
      <c r="V737" s="5"/>
      <c r="W737" s="5"/>
      <c r="X737" s="5"/>
      <c r="Y737" s="5"/>
      <c r="Z737" s="5"/>
    </row>
    <row r="738">
      <c r="A738" s="6" t="s">
        <v>3151</v>
      </c>
      <c r="B738" s="5" t="s">
        <v>1067</v>
      </c>
      <c r="C738" s="7" t="s">
        <v>406</v>
      </c>
      <c r="D738" s="7" t="s">
        <v>406</v>
      </c>
      <c r="E738" s="7" t="s">
        <v>16</v>
      </c>
      <c r="F738" s="7" t="s">
        <v>16</v>
      </c>
      <c r="G738" s="5" t="s">
        <v>19</v>
      </c>
      <c r="H738" s="7" t="s">
        <v>3152</v>
      </c>
      <c r="I738" s="7" t="s">
        <v>3153</v>
      </c>
      <c r="J738" s="8">
        <v>3000.0</v>
      </c>
      <c r="K738" s="7" t="s">
        <v>16</v>
      </c>
      <c r="L738" s="7" t="s">
        <v>16</v>
      </c>
      <c r="M738" s="5" t="s">
        <v>22</v>
      </c>
      <c r="N738" s="7" t="s">
        <v>3154</v>
      </c>
      <c r="O738" s="5"/>
      <c r="P738" s="5"/>
      <c r="Q738" s="5"/>
      <c r="R738" s="5"/>
      <c r="S738" s="5"/>
      <c r="T738" s="5"/>
      <c r="U738" s="5"/>
      <c r="V738" s="5"/>
      <c r="W738" s="5"/>
      <c r="X738" s="5"/>
      <c r="Y738" s="5"/>
      <c r="Z738" s="5"/>
    </row>
    <row r="739">
      <c r="A739" s="6" t="s">
        <v>3155</v>
      </c>
      <c r="B739" s="5" t="s">
        <v>1067</v>
      </c>
      <c r="C739" s="7" t="s">
        <v>411</v>
      </c>
      <c r="D739" s="7" t="s">
        <v>411</v>
      </c>
      <c r="E739" s="7" t="s">
        <v>16</v>
      </c>
      <c r="F739" s="7" t="s">
        <v>16</v>
      </c>
      <c r="G739" s="5" t="s">
        <v>19</v>
      </c>
      <c r="H739" s="7" t="s">
        <v>3156</v>
      </c>
      <c r="I739" s="7" t="s">
        <v>3157</v>
      </c>
      <c r="J739" s="8">
        <v>4000.0</v>
      </c>
      <c r="K739" s="7" t="s">
        <v>16</v>
      </c>
      <c r="L739" s="7" t="s">
        <v>16</v>
      </c>
      <c r="M739" s="5" t="s">
        <v>22</v>
      </c>
      <c r="N739" s="5" t="s">
        <v>3158</v>
      </c>
      <c r="O739" s="5"/>
      <c r="P739" s="5"/>
      <c r="Q739" s="5"/>
      <c r="R739" s="5"/>
      <c r="S739" s="5"/>
      <c r="T739" s="5"/>
      <c r="U739" s="5"/>
      <c r="V739" s="5"/>
      <c r="W739" s="5"/>
      <c r="X739" s="5"/>
      <c r="Y739" s="5"/>
      <c r="Z739" s="5"/>
    </row>
    <row r="740">
      <c r="A740" s="6" t="s">
        <v>3159</v>
      </c>
      <c r="B740" s="5" t="s">
        <v>1067</v>
      </c>
      <c r="C740" s="7" t="s">
        <v>85</v>
      </c>
      <c r="D740" s="7" t="s">
        <v>85</v>
      </c>
      <c r="E740" s="7" t="s">
        <v>16</v>
      </c>
      <c r="F740" s="7" t="s">
        <v>16</v>
      </c>
      <c r="G740" s="5" t="s">
        <v>19</v>
      </c>
      <c r="H740" s="7" t="s">
        <v>3160</v>
      </c>
      <c r="I740" s="7" t="s">
        <v>3161</v>
      </c>
      <c r="J740" s="8">
        <v>3000.0</v>
      </c>
      <c r="K740" s="7" t="s">
        <v>16</v>
      </c>
      <c r="L740" s="7" t="s">
        <v>16</v>
      </c>
      <c r="M740" s="5" t="s">
        <v>22</v>
      </c>
      <c r="N740" s="5" t="s">
        <v>3162</v>
      </c>
      <c r="O740" s="5"/>
      <c r="P740" s="5"/>
      <c r="Q740" s="5"/>
      <c r="R740" s="5"/>
      <c r="S740" s="5"/>
      <c r="T740" s="5"/>
      <c r="U740" s="5"/>
      <c r="V740" s="5"/>
      <c r="W740" s="5"/>
      <c r="X740" s="5"/>
      <c r="Y740" s="5"/>
      <c r="Z740" s="5"/>
    </row>
    <row r="741">
      <c r="A741" s="6" t="s">
        <v>3163</v>
      </c>
      <c r="B741" s="5" t="s">
        <v>1067</v>
      </c>
      <c r="C741" s="7" t="s">
        <v>3164</v>
      </c>
      <c r="D741" s="7" t="s">
        <v>3164</v>
      </c>
      <c r="E741" s="7" t="s">
        <v>16</v>
      </c>
      <c r="F741" s="7" t="s">
        <v>16</v>
      </c>
      <c r="G741" s="5" t="s">
        <v>19</v>
      </c>
      <c r="H741" s="7" t="s">
        <v>3165</v>
      </c>
      <c r="I741" s="7" t="s">
        <v>3166</v>
      </c>
      <c r="J741" s="8">
        <v>4500.0</v>
      </c>
      <c r="K741" s="7" t="s">
        <v>16</v>
      </c>
      <c r="L741" s="7" t="s">
        <v>16</v>
      </c>
      <c r="M741" s="5" t="s">
        <v>36</v>
      </c>
      <c r="N741" s="5" t="s">
        <v>3167</v>
      </c>
      <c r="O741" s="5"/>
      <c r="P741" s="5"/>
      <c r="Q741" s="5"/>
      <c r="R741" s="5"/>
      <c r="S741" s="5"/>
      <c r="T741" s="5"/>
      <c r="U741" s="5"/>
      <c r="V741" s="5"/>
      <c r="W741" s="5"/>
      <c r="X741" s="5"/>
      <c r="Y741" s="5"/>
      <c r="Z741" s="5"/>
    </row>
    <row r="742">
      <c r="A742" s="6" t="s">
        <v>3168</v>
      </c>
      <c r="B742" s="5" t="s">
        <v>1067</v>
      </c>
      <c r="C742" s="7" t="s">
        <v>1068</v>
      </c>
      <c r="D742" s="7" t="s">
        <v>1068</v>
      </c>
      <c r="E742" s="7" t="s">
        <v>16</v>
      </c>
      <c r="F742" s="7" t="s">
        <v>16</v>
      </c>
      <c r="G742" s="5" t="s">
        <v>19</v>
      </c>
      <c r="H742" s="7" t="s">
        <v>3169</v>
      </c>
      <c r="I742" s="7" t="s">
        <v>3170</v>
      </c>
      <c r="J742" s="8">
        <v>4500.0</v>
      </c>
      <c r="K742" s="7" t="s">
        <v>16</v>
      </c>
      <c r="L742" s="7" t="s">
        <v>16</v>
      </c>
      <c r="M742" s="5" t="s">
        <v>36</v>
      </c>
      <c r="N742" s="5" t="s">
        <v>3171</v>
      </c>
      <c r="O742" s="5"/>
      <c r="P742" s="5"/>
      <c r="Q742" s="5"/>
      <c r="R742" s="5"/>
      <c r="S742" s="5"/>
      <c r="T742" s="5"/>
      <c r="U742" s="5"/>
      <c r="V742" s="5"/>
      <c r="W742" s="5"/>
      <c r="X742" s="5"/>
      <c r="Y742" s="5"/>
      <c r="Z742" s="5"/>
    </row>
    <row r="743">
      <c r="A743" s="6" t="s">
        <v>3172</v>
      </c>
      <c r="B743" s="5" t="s">
        <v>1067</v>
      </c>
      <c r="C743" s="7" t="s">
        <v>406</v>
      </c>
      <c r="D743" s="7" t="s">
        <v>406</v>
      </c>
      <c r="E743" s="7" t="s">
        <v>16</v>
      </c>
      <c r="F743" s="7" t="s">
        <v>16</v>
      </c>
      <c r="G743" s="5" t="s">
        <v>19</v>
      </c>
      <c r="H743" s="7" t="s">
        <v>3173</v>
      </c>
      <c r="I743" s="7" t="s">
        <v>3174</v>
      </c>
      <c r="J743" s="8">
        <v>3000.0</v>
      </c>
      <c r="K743" s="7" t="s">
        <v>16</v>
      </c>
      <c r="L743" s="7" t="s">
        <v>16</v>
      </c>
      <c r="M743" s="5" t="s">
        <v>75</v>
      </c>
      <c r="N743" s="5" t="s">
        <v>3175</v>
      </c>
      <c r="O743" s="5"/>
      <c r="P743" s="5"/>
      <c r="Q743" s="5"/>
      <c r="R743" s="5"/>
      <c r="S743" s="5"/>
      <c r="T743" s="5"/>
      <c r="U743" s="5"/>
      <c r="V743" s="5"/>
      <c r="W743" s="5"/>
      <c r="X743" s="5"/>
      <c r="Y743" s="5"/>
      <c r="Z743" s="5"/>
    </row>
    <row r="744">
      <c r="A744" s="6" t="s">
        <v>3176</v>
      </c>
      <c r="B744" s="5" t="s">
        <v>1067</v>
      </c>
      <c r="C744" s="7" t="s">
        <v>3177</v>
      </c>
      <c r="D744" s="7" t="s">
        <v>406</v>
      </c>
      <c r="E744" s="7" t="s">
        <v>16</v>
      </c>
      <c r="F744" s="7" t="s">
        <v>16</v>
      </c>
      <c r="G744" s="7" t="s">
        <v>19</v>
      </c>
      <c r="H744" s="7" t="s">
        <v>3178</v>
      </c>
      <c r="I744" s="7" t="s">
        <v>3179</v>
      </c>
      <c r="J744" s="8">
        <v>2000.0</v>
      </c>
      <c r="K744" s="7" t="s">
        <v>16</v>
      </c>
      <c r="L744" s="7" t="s">
        <v>16</v>
      </c>
      <c r="M744" s="5" t="s">
        <v>22</v>
      </c>
      <c r="N744" s="5" t="s">
        <v>3180</v>
      </c>
      <c r="O744" s="5"/>
      <c r="P744" s="5"/>
      <c r="Q744" s="5"/>
      <c r="R744" s="5"/>
      <c r="S744" s="5"/>
      <c r="T744" s="5"/>
      <c r="U744" s="5"/>
      <c r="V744" s="5"/>
      <c r="W744" s="5"/>
      <c r="X744" s="5"/>
      <c r="Y744" s="5"/>
      <c r="Z744" s="5"/>
    </row>
    <row r="745">
      <c r="A745" s="6" t="s">
        <v>3181</v>
      </c>
      <c r="B745" s="5" t="s">
        <v>1067</v>
      </c>
      <c r="C745" s="7" t="s">
        <v>3074</v>
      </c>
      <c r="D745" s="7" t="s">
        <v>3074</v>
      </c>
      <c r="E745" s="7" t="s">
        <v>16</v>
      </c>
      <c r="F745" s="7" t="s">
        <v>16</v>
      </c>
      <c r="G745" s="5" t="s">
        <v>19</v>
      </c>
      <c r="H745" s="7" t="s">
        <v>3182</v>
      </c>
      <c r="I745" s="7" t="s">
        <v>3183</v>
      </c>
      <c r="J745" s="8">
        <v>5000.0</v>
      </c>
      <c r="K745" s="7" t="s">
        <v>16</v>
      </c>
      <c r="L745" s="7" t="s">
        <v>16</v>
      </c>
      <c r="M745" s="5" t="s">
        <v>22</v>
      </c>
      <c r="N745" s="5" t="s">
        <v>3184</v>
      </c>
      <c r="O745" s="5"/>
      <c r="P745" s="5"/>
      <c r="Q745" s="5"/>
      <c r="R745" s="5"/>
      <c r="S745" s="5"/>
      <c r="T745" s="5"/>
      <c r="U745" s="5"/>
      <c r="V745" s="5"/>
      <c r="W745" s="5"/>
      <c r="X745" s="5"/>
      <c r="Y745" s="5"/>
      <c r="Z745" s="5"/>
    </row>
    <row r="746">
      <c r="A746" s="6" t="s">
        <v>3185</v>
      </c>
      <c r="B746" s="5" t="s">
        <v>1067</v>
      </c>
      <c r="C746" s="7" t="s">
        <v>3079</v>
      </c>
      <c r="D746" s="7" t="s">
        <v>3079</v>
      </c>
      <c r="E746" s="7" t="s">
        <v>16</v>
      </c>
      <c r="F746" s="7" t="s">
        <v>16</v>
      </c>
      <c r="G746" s="5" t="s">
        <v>19</v>
      </c>
      <c r="H746" s="7" t="s">
        <v>3186</v>
      </c>
      <c r="I746" s="7" t="s">
        <v>3187</v>
      </c>
      <c r="J746" s="8">
        <v>5000.0</v>
      </c>
      <c r="K746" s="7" t="s">
        <v>16</v>
      </c>
      <c r="L746" s="7" t="s">
        <v>16</v>
      </c>
      <c r="M746" s="5" t="s">
        <v>36</v>
      </c>
      <c r="N746" s="5" t="s">
        <v>3188</v>
      </c>
      <c r="O746" s="5"/>
      <c r="P746" s="5"/>
      <c r="Q746" s="5"/>
      <c r="R746" s="5"/>
      <c r="S746" s="5"/>
      <c r="T746" s="5"/>
      <c r="U746" s="5"/>
      <c r="V746" s="5"/>
      <c r="W746" s="5"/>
      <c r="X746" s="5"/>
      <c r="Y746" s="5"/>
      <c r="Z746" s="5"/>
    </row>
    <row r="747">
      <c r="A747" s="6" t="s">
        <v>3189</v>
      </c>
      <c r="B747" s="5" t="s">
        <v>1985</v>
      </c>
      <c r="C747" s="7" t="s">
        <v>3190</v>
      </c>
      <c r="D747" s="7" t="s">
        <v>3191</v>
      </c>
      <c r="E747" s="7" t="s">
        <v>16</v>
      </c>
      <c r="F747" s="7" t="s">
        <v>16</v>
      </c>
      <c r="G747" s="5" t="s">
        <v>19</v>
      </c>
      <c r="H747" s="7" t="s">
        <v>3192</v>
      </c>
      <c r="I747" s="7" t="s">
        <v>3193</v>
      </c>
      <c r="J747" s="8">
        <v>5000.0</v>
      </c>
      <c r="K747" s="7" t="s">
        <v>16</v>
      </c>
      <c r="L747" s="7" t="s">
        <v>16</v>
      </c>
      <c r="M747" s="5" t="s">
        <v>88</v>
      </c>
      <c r="N747" s="5" t="s">
        <v>3194</v>
      </c>
      <c r="O747" s="5"/>
      <c r="P747" s="5"/>
      <c r="Q747" s="5"/>
      <c r="R747" s="5"/>
      <c r="S747" s="5"/>
      <c r="T747" s="5"/>
      <c r="U747" s="5"/>
      <c r="V747" s="5"/>
      <c r="W747" s="5"/>
      <c r="X747" s="5"/>
      <c r="Y747" s="5"/>
      <c r="Z747" s="5"/>
    </row>
    <row r="748">
      <c r="A748" s="6" t="s">
        <v>3195</v>
      </c>
      <c r="B748" s="5" t="s">
        <v>2426</v>
      </c>
      <c r="C748" s="7" t="s">
        <v>3196</v>
      </c>
      <c r="D748" s="7" t="s">
        <v>3197</v>
      </c>
      <c r="E748" s="7" t="s">
        <v>16</v>
      </c>
      <c r="F748" s="7" t="s">
        <v>16</v>
      </c>
      <c r="G748" s="5" t="s">
        <v>19</v>
      </c>
      <c r="H748" s="7" t="s">
        <v>3198</v>
      </c>
      <c r="I748" s="7" t="s">
        <v>3199</v>
      </c>
      <c r="J748" s="8">
        <v>5000.0</v>
      </c>
      <c r="K748" s="7" t="s">
        <v>16</v>
      </c>
      <c r="L748" s="7" t="s">
        <v>16</v>
      </c>
      <c r="M748" s="5" t="s">
        <v>36</v>
      </c>
      <c r="N748" s="5" t="s">
        <v>3200</v>
      </c>
      <c r="O748" s="5"/>
      <c r="P748" s="5"/>
      <c r="Q748" s="5"/>
      <c r="R748" s="5"/>
      <c r="S748" s="5"/>
      <c r="T748" s="5"/>
      <c r="U748" s="5"/>
      <c r="V748" s="5"/>
      <c r="W748" s="5"/>
      <c r="X748" s="5"/>
      <c r="Y748" s="5"/>
      <c r="Z748" s="5"/>
    </row>
    <row r="749">
      <c r="A749" s="6" t="s">
        <v>3201</v>
      </c>
      <c r="B749" s="5" t="s">
        <v>2973</v>
      </c>
      <c r="C749" s="7" t="s">
        <v>3079</v>
      </c>
      <c r="D749" s="7" t="s">
        <v>3079</v>
      </c>
      <c r="E749" s="7" t="s">
        <v>16</v>
      </c>
      <c r="F749" s="7" t="s">
        <v>16</v>
      </c>
      <c r="G749" s="5" t="s">
        <v>461</v>
      </c>
      <c r="H749" s="7" t="s">
        <v>3202</v>
      </c>
      <c r="I749" s="7" t="s">
        <v>3203</v>
      </c>
      <c r="J749" s="8">
        <v>5500.0</v>
      </c>
      <c r="K749" s="7" t="s">
        <v>16</v>
      </c>
      <c r="L749" s="7" t="s">
        <v>16</v>
      </c>
      <c r="M749" s="5" t="s">
        <v>75</v>
      </c>
      <c r="N749" s="5" t="s">
        <v>3204</v>
      </c>
      <c r="O749" s="5"/>
      <c r="P749" s="5"/>
      <c r="Q749" s="5"/>
      <c r="R749" s="5"/>
      <c r="S749" s="5"/>
      <c r="T749" s="5"/>
      <c r="U749" s="5"/>
      <c r="V749" s="5"/>
      <c r="W749" s="5"/>
      <c r="X749" s="5"/>
      <c r="Y749" s="5"/>
      <c r="Z749" s="5"/>
    </row>
    <row r="750">
      <c r="A750" s="6" t="s">
        <v>3205</v>
      </c>
      <c r="B750" s="5" t="s">
        <v>1067</v>
      </c>
      <c r="C750" s="7" t="s">
        <v>1068</v>
      </c>
      <c r="D750" s="7" t="s">
        <v>1068</v>
      </c>
      <c r="E750" s="7" t="s">
        <v>16</v>
      </c>
      <c r="F750" s="7" t="s">
        <v>16</v>
      </c>
      <c r="G750" s="5" t="s">
        <v>19</v>
      </c>
      <c r="H750" s="7" t="s">
        <v>3206</v>
      </c>
      <c r="I750" s="7" t="s">
        <v>3207</v>
      </c>
      <c r="J750" s="8">
        <v>4500.0</v>
      </c>
      <c r="K750" s="7" t="s">
        <v>16</v>
      </c>
      <c r="L750" s="7" t="s">
        <v>16</v>
      </c>
      <c r="M750" s="5" t="s">
        <v>36</v>
      </c>
      <c r="N750" s="5" t="s">
        <v>2257</v>
      </c>
      <c r="O750" s="5"/>
      <c r="P750" s="5"/>
      <c r="Q750" s="5"/>
      <c r="R750" s="5"/>
      <c r="S750" s="5"/>
      <c r="T750" s="5"/>
      <c r="U750" s="5"/>
      <c r="V750" s="5"/>
      <c r="W750" s="5"/>
      <c r="X750" s="5"/>
      <c r="Y750" s="5"/>
      <c r="Z750" s="5"/>
    </row>
    <row r="751">
      <c r="A751" s="6" t="s">
        <v>3208</v>
      </c>
      <c r="B751" s="5" t="s">
        <v>1067</v>
      </c>
      <c r="C751" s="7" t="s">
        <v>1421</v>
      </c>
      <c r="D751" s="7" t="s">
        <v>1421</v>
      </c>
      <c r="E751" s="7" t="s">
        <v>16</v>
      </c>
      <c r="F751" s="7" t="s">
        <v>16</v>
      </c>
      <c r="G751" s="5" t="s">
        <v>19</v>
      </c>
      <c r="H751" s="7" t="s">
        <v>3209</v>
      </c>
      <c r="I751" s="7" t="s">
        <v>3210</v>
      </c>
      <c r="J751" s="8">
        <v>4000.0</v>
      </c>
      <c r="K751" s="7" t="s">
        <v>16</v>
      </c>
      <c r="L751" s="7" t="s">
        <v>16</v>
      </c>
      <c r="M751" s="5" t="s">
        <v>36</v>
      </c>
      <c r="N751" s="5" t="s">
        <v>3211</v>
      </c>
      <c r="O751" s="5"/>
      <c r="P751" s="5"/>
      <c r="Q751" s="5"/>
      <c r="R751" s="5"/>
      <c r="S751" s="5"/>
      <c r="T751" s="5"/>
      <c r="U751" s="5"/>
      <c r="V751" s="5"/>
      <c r="W751" s="5"/>
      <c r="X751" s="5"/>
      <c r="Y751" s="5"/>
      <c r="Z751" s="5"/>
    </row>
    <row r="752">
      <c r="A752" s="6" t="s">
        <v>3212</v>
      </c>
      <c r="B752" s="5" t="s">
        <v>2426</v>
      </c>
      <c r="C752" s="7" t="s">
        <v>3213</v>
      </c>
      <c r="D752" s="7" t="s">
        <v>3214</v>
      </c>
      <c r="E752" s="7" t="s">
        <v>16</v>
      </c>
      <c r="F752" s="7" t="s">
        <v>16</v>
      </c>
      <c r="G752" s="7" t="s">
        <v>19</v>
      </c>
      <c r="H752" s="7" t="s">
        <v>3215</v>
      </c>
      <c r="I752" s="7" t="s">
        <v>3216</v>
      </c>
      <c r="J752" s="8">
        <v>5500.0</v>
      </c>
      <c r="K752" s="7" t="s">
        <v>16</v>
      </c>
      <c r="L752" s="7" t="s">
        <v>16</v>
      </c>
      <c r="M752" s="5" t="s">
        <v>36</v>
      </c>
      <c r="N752" s="5" t="s">
        <v>3217</v>
      </c>
      <c r="O752" s="5"/>
      <c r="P752" s="5"/>
      <c r="Q752" s="5"/>
      <c r="R752" s="5"/>
      <c r="S752" s="5"/>
      <c r="T752" s="5"/>
      <c r="U752" s="5"/>
      <c r="V752" s="5"/>
      <c r="W752" s="5"/>
      <c r="X752" s="5"/>
      <c r="Y752" s="5"/>
      <c r="Z752" s="5"/>
    </row>
    <row r="753">
      <c r="A753" s="6" t="s">
        <v>3218</v>
      </c>
      <c r="B753" s="5" t="s">
        <v>1067</v>
      </c>
      <c r="C753" s="7" t="s">
        <v>1068</v>
      </c>
      <c r="D753" s="7" t="s">
        <v>1068</v>
      </c>
      <c r="E753" s="7" t="s">
        <v>16</v>
      </c>
      <c r="F753" s="7" t="s">
        <v>16</v>
      </c>
      <c r="G753" s="5" t="s">
        <v>19</v>
      </c>
      <c r="H753" s="7" t="s">
        <v>3219</v>
      </c>
      <c r="I753" s="7" t="s">
        <v>3220</v>
      </c>
      <c r="J753" s="8">
        <v>4000.0</v>
      </c>
      <c r="K753" s="7" t="s">
        <v>16</v>
      </c>
      <c r="L753" s="7" t="s">
        <v>16</v>
      </c>
      <c r="M753" s="5" t="s">
        <v>88</v>
      </c>
      <c r="N753" s="5" t="s">
        <v>3221</v>
      </c>
      <c r="O753" s="5"/>
      <c r="P753" s="5"/>
      <c r="Q753" s="5"/>
      <c r="R753" s="5"/>
      <c r="S753" s="5"/>
      <c r="T753" s="5"/>
      <c r="U753" s="5"/>
      <c r="V753" s="5"/>
      <c r="W753" s="5"/>
      <c r="X753" s="5"/>
      <c r="Y753" s="5"/>
      <c r="Z753" s="5"/>
    </row>
    <row r="754">
      <c r="A754" s="6" t="s">
        <v>3222</v>
      </c>
      <c r="B754" s="5" t="s">
        <v>1067</v>
      </c>
      <c r="C754" s="7" t="s">
        <v>406</v>
      </c>
      <c r="D754" s="7" t="s">
        <v>406</v>
      </c>
      <c r="E754" s="7" t="s">
        <v>16</v>
      </c>
      <c r="F754" s="7" t="s">
        <v>16</v>
      </c>
      <c r="G754" s="5" t="s">
        <v>19</v>
      </c>
      <c r="H754" s="7" t="s">
        <v>3223</v>
      </c>
      <c r="I754" s="7" t="s">
        <v>3224</v>
      </c>
      <c r="J754" s="8">
        <v>4000.0</v>
      </c>
      <c r="K754" s="7" t="s">
        <v>16</v>
      </c>
      <c r="L754" s="7" t="s">
        <v>16</v>
      </c>
      <c r="M754" s="5" t="s">
        <v>75</v>
      </c>
      <c r="N754" s="5" t="s">
        <v>3225</v>
      </c>
      <c r="O754" s="5"/>
      <c r="P754" s="5"/>
      <c r="Q754" s="5"/>
      <c r="R754" s="5"/>
      <c r="S754" s="5"/>
      <c r="T754" s="5"/>
      <c r="U754" s="5"/>
      <c r="V754" s="5"/>
      <c r="W754" s="5"/>
      <c r="X754" s="5"/>
      <c r="Y754" s="5"/>
      <c r="Z754" s="5"/>
    </row>
    <row r="755">
      <c r="A755" s="6" t="s">
        <v>3226</v>
      </c>
      <c r="B755" s="5" t="s">
        <v>1067</v>
      </c>
      <c r="C755" s="7" t="s">
        <v>85</v>
      </c>
      <c r="D755" s="7" t="s">
        <v>85</v>
      </c>
      <c r="E755" s="7" t="s">
        <v>16</v>
      </c>
      <c r="F755" s="7" t="s">
        <v>16</v>
      </c>
      <c r="G755" s="5" t="s">
        <v>19</v>
      </c>
      <c r="H755" s="7" t="s">
        <v>3227</v>
      </c>
      <c r="I755" s="7" t="s">
        <v>3228</v>
      </c>
      <c r="J755" s="8">
        <v>3000.0</v>
      </c>
      <c r="K755" s="7" t="s">
        <v>16</v>
      </c>
      <c r="L755" s="7" t="s">
        <v>16</v>
      </c>
      <c r="M755" s="5" t="s">
        <v>88</v>
      </c>
      <c r="N755" s="5" t="s">
        <v>3229</v>
      </c>
      <c r="O755" s="5"/>
      <c r="P755" s="5"/>
      <c r="Q755" s="5"/>
      <c r="R755" s="5"/>
      <c r="S755" s="5"/>
      <c r="T755" s="5"/>
      <c r="U755" s="5"/>
      <c r="V755" s="5"/>
      <c r="W755" s="5"/>
      <c r="X755" s="5"/>
      <c r="Y755" s="5"/>
      <c r="Z755" s="5"/>
    </row>
    <row r="756">
      <c r="A756" s="6" t="s">
        <v>3230</v>
      </c>
      <c r="B756" s="5" t="s">
        <v>1067</v>
      </c>
      <c r="C756" s="7" t="s">
        <v>1405</v>
      </c>
      <c r="D756" s="7" t="s">
        <v>85</v>
      </c>
      <c r="E756" s="7" t="s">
        <v>16</v>
      </c>
      <c r="F756" s="7" t="s">
        <v>16</v>
      </c>
      <c r="G756" s="5" t="s">
        <v>19</v>
      </c>
      <c r="H756" s="7" t="s">
        <v>3231</v>
      </c>
      <c r="I756" s="7" t="s">
        <v>3232</v>
      </c>
      <c r="J756" s="8">
        <v>5000.0</v>
      </c>
      <c r="K756" s="7" t="s">
        <v>16</v>
      </c>
      <c r="L756" s="7" t="s">
        <v>16</v>
      </c>
      <c r="M756" s="5" t="s">
        <v>22</v>
      </c>
      <c r="N756" s="5" t="s">
        <v>3233</v>
      </c>
      <c r="O756" s="5"/>
      <c r="P756" s="5"/>
      <c r="Q756" s="5"/>
      <c r="R756" s="5"/>
      <c r="S756" s="5"/>
      <c r="T756" s="5"/>
      <c r="U756" s="5"/>
      <c r="V756" s="5"/>
      <c r="W756" s="5"/>
      <c r="X756" s="5"/>
      <c r="Y756" s="5"/>
      <c r="Z756" s="5"/>
    </row>
    <row r="757">
      <c r="A757" s="6" t="s">
        <v>3234</v>
      </c>
      <c r="B757" s="5" t="s">
        <v>1067</v>
      </c>
      <c r="C757" s="7" t="s">
        <v>1850</v>
      </c>
      <c r="D757" s="7" t="s">
        <v>85</v>
      </c>
      <c r="E757" s="7" t="s">
        <v>16</v>
      </c>
      <c r="F757" s="7" t="s">
        <v>16</v>
      </c>
      <c r="G757" s="5" t="s">
        <v>19</v>
      </c>
      <c r="H757" s="7" t="s">
        <v>3235</v>
      </c>
      <c r="I757" s="7" t="s">
        <v>3236</v>
      </c>
      <c r="J757" s="8">
        <v>5500.0</v>
      </c>
      <c r="K757" s="7" t="s">
        <v>16</v>
      </c>
      <c r="L757" s="7" t="s">
        <v>16</v>
      </c>
      <c r="M757" s="5" t="s">
        <v>22</v>
      </c>
      <c r="N757" s="5" t="s">
        <v>3237</v>
      </c>
      <c r="O757" s="5"/>
      <c r="P757" s="5"/>
      <c r="Q757" s="5"/>
      <c r="R757" s="5"/>
      <c r="S757" s="5"/>
      <c r="T757" s="5"/>
      <c r="U757" s="5"/>
      <c r="V757" s="5"/>
      <c r="W757" s="5"/>
      <c r="X757" s="5"/>
      <c r="Y757" s="5"/>
      <c r="Z757" s="5"/>
    </row>
    <row r="758">
      <c r="A758" s="6" t="s">
        <v>3238</v>
      </c>
      <c r="B758" s="5" t="s">
        <v>1067</v>
      </c>
      <c r="C758" s="7" t="s">
        <v>2523</v>
      </c>
      <c r="D758" s="7" t="s">
        <v>85</v>
      </c>
      <c r="E758" s="7" t="s">
        <v>16</v>
      </c>
      <c r="F758" s="7" t="s">
        <v>16</v>
      </c>
      <c r="G758" s="7" t="s">
        <v>19</v>
      </c>
      <c r="H758" s="7" t="s">
        <v>3239</v>
      </c>
      <c r="I758" s="7" t="s">
        <v>3240</v>
      </c>
      <c r="J758" s="8">
        <v>6000.0</v>
      </c>
      <c r="K758" s="7" t="s">
        <v>16</v>
      </c>
      <c r="L758" s="7" t="s">
        <v>16</v>
      </c>
      <c r="M758" s="5" t="s">
        <v>75</v>
      </c>
      <c r="N758" s="5" t="s">
        <v>3241</v>
      </c>
      <c r="O758" s="5"/>
      <c r="P758" s="5"/>
      <c r="Q758" s="5"/>
      <c r="R758" s="5"/>
      <c r="S758" s="5"/>
      <c r="T758" s="5"/>
      <c r="U758" s="5"/>
      <c r="V758" s="5"/>
      <c r="W758" s="5"/>
      <c r="X758" s="5"/>
      <c r="Y758" s="5"/>
      <c r="Z758" s="5"/>
    </row>
    <row r="759">
      <c r="A759" s="6" t="s">
        <v>3242</v>
      </c>
      <c r="B759" s="5" t="s">
        <v>1067</v>
      </c>
      <c r="C759" s="7" t="s">
        <v>2772</v>
      </c>
      <c r="D759" s="7" t="s">
        <v>2767</v>
      </c>
      <c r="E759" s="7" t="s">
        <v>16</v>
      </c>
      <c r="F759" s="7" t="s">
        <v>16</v>
      </c>
      <c r="G759" s="5" t="s">
        <v>19</v>
      </c>
      <c r="H759" s="7" t="s">
        <v>3243</v>
      </c>
      <c r="I759" s="7" t="s">
        <v>3244</v>
      </c>
      <c r="J759" s="8">
        <v>5000.0</v>
      </c>
      <c r="K759" s="7" t="s">
        <v>16</v>
      </c>
      <c r="L759" s="7" t="s">
        <v>16</v>
      </c>
      <c r="M759" s="5" t="s">
        <v>22</v>
      </c>
      <c r="N759" s="5" t="s">
        <v>3245</v>
      </c>
      <c r="O759" s="5"/>
      <c r="P759" s="5"/>
      <c r="Q759" s="5"/>
      <c r="R759" s="5"/>
      <c r="S759" s="5"/>
      <c r="T759" s="5"/>
      <c r="U759" s="5"/>
      <c r="V759" s="5"/>
      <c r="W759" s="5"/>
      <c r="X759" s="5"/>
      <c r="Y759" s="5"/>
      <c r="Z759" s="5"/>
    </row>
    <row r="760">
      <c r="A760" s="6" t="s">
        <v>3246</v>
      </c>
      <c r="B760" s="5" t="s">
        <v>1067</v>
      </c>
      <c r="C760" s="7" t="s">
        <v>2777</v>
      </c>
      <c r="D760" s="7" t="s">
        <v>2767</v>
      </c>
      <c r="E760" s="7" t="s">
        <v>16</v>
      </c>
      <c r="F760" s="7" t="s">
        <v>16</v>
      </c>
      <c r="G760" s="5" t="s">
        <v>19</v>
      </c>
      <c r="H760" s="7" t="s">
        <v>3247</v>
      </c>
      <c r="I760" s="7" t="s">
        <v>3248</v>
      </c>
      <c r="J760" s="8">
        <v>5500.0</v>
      </c>
      <c r="K760" s="7" t="s">
        <v>16</v>
      </c>
      <c r="L760" s="7" t="s">
        <v>16</v>
      </c>
      <c r="M760" s="5" t="s">
        <v>22</v>
      </c>
      <c r="N760" s="5" t="s">
        <v>3249</v>
      </c>
      <c r="O760" s="5"/>
      <c r="P760" s="5"/>
      <c r="Q760" s="5"/>
      <c r="R760" s="5"/>
      <c r="S760" s="5"/>
      <c r="T760" s="5"/>
      <c r="U760" s="5"/>
      <c r="V760" s="5"/>
      <c r="W760" s="5"/>
      <c r="X760" s="5"/>
      <c r="Y760" s="5"/>
      <c r="Z760" s="5"/>
    </row>
    <row r="761">
      <c r="A761" s="6" t="s">
        <v>3250</v>
      </c>
      <c r="B761" s="5" t="s">
        <v>1067</v>
      </c>
      <c r="C761" s="7" t="s">
        <v>2782</v>
      </c>
      <c r="D761" s="7" t="s">
        <v>2767</v>
      </c>
      <c r="E761" s="7" t="s">
        <v>16</v>
      </c>
      <c r="F761" s="7" t="s">
        <v>16</v>
      </c>
      <c r="G761" s="5" t="s">
        <v>19</v>
      </c>
      <c r="H761" s="7" t="s">
        <v>3251</v>
      </c>
      <c r="I761" s="7" t="s">
        <v>3252</v>
      </c>
      <c r="J761" s="8">
        <v>6000.0</v>
      </c>
      <c r="K761" s="7" t="s">
        <v>16</v>
      </c>
      <c r="L761" s="7" t="s">
        <v>16</v>
      </c>
      <c r="M761" s="5" t="s">
        <v>75</v>
      </c>
      <c r="N761" s="5" t="s">
        <v>3253</v>
      </c>
      <c r="O761" s="5"/>
      <c r="P761" s="5"/>
      <c r="Q761" s="5"/>
      <c r="R761" s="5"/>
      <c r="S761" s="5"/>
      <c r="T761" s="5"/>
      <c r="U761" s="5"/>
      <c r="V761" s="5"/>
      <c r="W761" s="5"/>
      <c r="X761" s="5"/>
      <c r="Y761" s="5"/>
      <c r="Z761" s="5"/>
    </row>
    <row r="762">
      <c r="A762" s="6" t="s">
        <v>3254</v>
      </c>
      <c r="B762" s="5" t="s">
        <v>1067</v>
      </c>
      <c r="C762" s="7" t="s">
        <v>2883</v>
      </c>
      <c r="D762" s="7" t="s">
        <v>2883</v>
      </c>
      <c r="E762" s="7" t="s">
        <v>16</v>
      </c>
      <c r="F762" s="7" t="s">
        <v>16</v>
      </c>
      <c r="G762" s="5" t="s">
        <v>19</v>
      </c>
      <c r="H762" s="7" t="s">
        <v>3255</v>
      </c>
      <c r="I762" s="7" t="s">
        <v>3256</v>
      </c>
      <c r="J762" s="8">
        <v>5000.0</v>
      </c>
      <c r="K762" s="7" t="s">
        <v>16</v>
      </c>
      <c r="L762" s="7" t="s">
        <v>16</v>
      </c>
      <c r="M762" s="5" t="s">
        <v>36</v>
      </c>
      <c r="N762" s="5" t="s">
        <v>3257</v>
      </c>
      <c r="O762" s="5"/>
      <c r="P762" s="5"/>
      <c r="Q762" s="5"/>
      <c r="R762" s="5"/>
      <c r="S762" s="5"/>
      <c r="T762" s="5"/>
      <c r="U762" s="5"/>
      <c r="V762" s="5"/>
      <c r="W762" s="5"/>
      <c r="X762" s="5"/>
      <c r="Y762" s="5"/>
      <c r="Z762" s="5"/>
    </row>
    <row r="763">
      <c r="A763" s="6" t="s">
        <v>3258</v>
      </c>
      <c r="B763" s="5" t="s">
        <v>1067</v>
      </c>
      <c r="C763" s="7" t="s">
        <v>2913</v>
      </c>
      <c r="D763" s="7" t="s">
        <v>2913</v>
      </c>
      <c r="E763" s="7" t="s">
        <v>16</v>
      </c>
      <c r="F763" s="7" t="s">
        <v>16</v>
      </c>
      <c r="G763" s="5" t="s">
        <v>19</v>
      </c>
      <c r="H763" s="7" t="s">
        <v>3259</v>
      </c>
      <c r="I763" s="7" t="s">
        <v>3260</v>
      </c>
      <c r="J763" s="8">
        <v>6000.0</v>
      </c>
      <c r="K763" s="7" t="s">
        <v>16</v>
      </c>
      <c r="L763" s="7" t="s">
        <v>16</v>
      </c>
      <c r="M763" s="5" t="s">
        <v>88</v>
      </c>
      <c r="N763" s="5" t="s">
        <v>3261</v>
      </c>
      <c r="O763" s="5"/>
      <c r="P763" s="5"/>
      <c r="Q763" s="5"/>
      <c r="R763" s="5"/>
      <c r="S763" s="5"/>
      <c r="T763" s="5"/>
      <c r="U763" s="5"/>
      <c r="V763" s="5"/>
      <c r="W763" s="5"/>
      <c r="X763" s="5"/>
      <c r="Y763" s="5"/>
      <c r="Z763" s="5"/>
    </row>
    <row r="764">
      <c r="A764" s="6" t="s">
        <v>3262</v>
      </c>
      <c r="B764" s="5" t="s">
        <v>1067</v>
      </c>
      <c r="C764" s="7" t="s">
        <v>3084</v>
      </c>
      <c r="D764" s="7" t="s">
        <v>3084</v>
      </c>
      <c r="E764" s="7" t="s">
        <v>16</v>
      </c>
      <c r="F764" s="7" t="s">
        <v>16</v>
      </c>
      <c r="G764" s="5" t="s">
        <v>19</v>
      </c>
      <c r="H764" s="7" t="s">
        <v>3263</v>
      </c>
      <c r="I764" s="7" t="s">
        <v>3264</v>
      </c>
      <c r="J764" s="8">
        <v>4000.0</v>
      </c>
      <c r="K764" s="7" t="s">
        <v>16</v>
      </c>
      <c r="L764" s="7" t="s">
        <v>16</v>
      </c>
      <c r="M764" s="5" t="s">
        <v>75</v>
      </c>
      <c r="N764" s="5" t="s">
        <v>3265</v>
      </c>
      <c r="O764" s="5"/>
      <c r="P764" s="5"/>
      <c r="Q764" s="5"/>
      <c r="R764" s="5"/>
      <c r="S764" s="5"/>
      <c r="T764" s="5"/>
      <c r="U764" s="5"/>
      <c r="V764" s="5"/>
      <c r="W764" s="5"/>
      <c r="X764" s="5"/>
      <c r="Y764" s="5"/>
      <c r="Z764" s="5"/>
    </row>
    <row r="765">
      <c r="A765" s="6" t="s">
        <v>3266</v>
      </c>
      <c r="B765" s="5" t="s">
        <v>1985</v>
      </c>
      <c r="C765" s="7" t="s">
        <v>3267</v>
      </c>
      <c r="D765" s="7" t="s">
        <v>3268</v>
      </c>
      <c r="E765" s="7" t="s">
        <v>16</v>
      </c>
      <c r="F765" s="7" t="s">
        <v>16</v>
      </c>
      <c r="G765" s="5" t="s">
        <v>19</v>
      </c>
      <c r="H765" s="7" t="s">
        <v>3269</v>
      </c>
      <c r="I765" s="7" t="s">
        <v>3270</v>
      </c>
      <c r="J765" s="8">
        <v>5000.0</v>
      </c>
      <c r="K765" s="7" t="s">
        <v>16</v>
      </c>
      <c r="L765" s="7" t="s">
        <v>16</v>
      </c>
      <c r="M765" s="5" t="s">
        <v>88</v>
      </c>
      <c r="N765" s="5" t="s">
        <v>3271</v>
      </c>
      <c r="O765" s="5"/>
      <c r="P765" s="5"/>
      <c r="Q765" s="5"/>
      <c r="R765" s="5"/>
      <c r="S765" s="5"/>
      <c r="T765" s="5"/>
      <c r="U765" s="5"/>
      <c r="V765" s="5"/>
      <c r="W765" s="5"/>
      <c r="X765" s="5"/>
      <c r="Y765" s="5"/>
      <c r="Z765" s="5"/>
    </row>
    <row r="766">
      <c r="A766" s="6" t="s">
        <v>3272</v>
      </c>
      <c r="B766" s="5" t="s">
        <v>2426</v>
      </c>
      <c r="C766" s="7" t="s">
        <v>3273</v>
      </c>
      <c r="D766" s="7" t="s">
        <v>3274</v>
      </c>
      <c r="E766" s="7" t="s">
        <v>16</v>
      </c>
      <c r="F766" s="7" t="s">
        <v>16</v>
      </c>
      <c r="G766" s="5" t="s">
        <v>19</v>
      </c>
      <c r="H766" s="7" t="s">
        <v>3275</v>
      </c>
      <c r="I766" s="7" t="s">
        <v>3276</v>
      </c>
      <c r="J766" s="8">
        <v>4500.0</v>
      </c>
      <c r="K766" s="7" t="s">
        <v>16</v>
      </c>
      <c r="L766" s="7" t="s">
        <v>16</v>
      </c>
      <c r="M766" s="5" t="s">
        <v>88</v>
      </c>
      <c r="N766" s="5" t="s">
        <v>3277</v>
      </c>
      <c r="O766" s="5"/>
      <c r="P766" s="5"/>
      <c r="Q766" s="5"/>
      <c r="R766" s="5"/>
      <c r="S766" s="5"/>
      <c r="T766" s="5"/>
      <c r="U766" s="5"/>
      <c r="V766" s="5"/>
      <c r="W766" s="5"/>
      <c r="X766" s="5"/>
      <c r="Y766" s="5"/>
      <c r="Z766" s="5"/>
    </row>
    <row r="767">
      <c r="A767" s="6" t="s">
        <v>3278</v>
      </c>
      <c r="B767" s="5" t="s">
        <v>2426</v>
      </c>
      <c r="C767" s="7" t="s">
        <v>3279</v>
      </c>
      <c r="D767" s="7" t="s">
        <v>3280</v>
      </c>
      <c r="E767" s="7" t="s">
        <v>16</v>
      </c>
      <c r="F767" s="7" t="s">
        <v>16</v>
      </c>
      <c r="G767" s="5" t="s">
        <v>19</v>
      </c>
      <c r="H767" s="7" t="s">
        <v>3281</v>
      </c>
      <c r="I767" s="7" t="s">
        <v>3282</v>
      </c>
      <c r="J767" s="8">
        <v>5000.0</v>
      </c>
      <c r="K767" s="7" t="s">
        <v>16</v>
      </c>
      <c r="L767" s="7" t="s">
        <v>16</v>
      </c>
      <c r="M767" s="5" t="s">
        <v>88</v>
      </c>
      <c r="N767" s="5" t="s">
        <v>3283</v>
      </c>
      <c r="O767" s="5"/>
      <c r="P767" s="5"/>
      <c r="Q767" s="5"/>
      <c r="R767" s="5"/>
      <c r="S767" s="5"/>
      <c r="T767" s="5"/>
      <c r="U767" s="5"/>
      <c r="V767" s="5"/>
      <c r="W767" s="5"/>
      <c r="X767" s="5"/>
      <c r="Y767" s="5"/>
      <c r="Z767" s="5"/>
    </row>
    <row r="768">
      <c r="A768" s="6" t="s">
        <v>3284</v>
      </c>
      <c r="B768" s="5" t="s">
        <v>2973</v>
      </c>
      <c r="C768" s="7" t="s">
        <v>1068</v>
      </c>
      <c r="D768" s="7" t="s">
        <v>1068</v>
      </c>
      <c r="E768" s="7" t="s">
        <v>16</v>
      </c>
      <c r="F768" s="7" t="s">
        <v>16</v>
      </c>
      <c r="G768" s="5" t="s">
        <v>461</v>
      </c>
      <c r="H768" s="7" t="s">
        <v>3285</v>
      </c>
      <c r="I768" s="7" t="s">
        <v>3286</v>
      </c>
      <c r="J768" s="8">
        <v>5000.0</v>
      </c>
      <c r="K768" s="7" t="s">
        <v>16</v>
      </c>
      <c r="L768" s="7" t="s">
        <v>16</v>
      </c>
      <c r="M768" s="5" t="s">
        <v>75</v>
      </c>
      <c r="N768" s="5" t="s">
        <v>3287</v>
      </c>
      <c r="O768" s="5"/>
      <c r="P768" s="5"/>
      <c r="Q768" s="5"/>
      <c r="R768" s="5"/>
      <c r="S768" s="5"/>
      <c r="T768" s="5"/>
      <c r="U768" s="5"/>
      <c r="V768" s="5"/>
      <c r="W768" s="5"/>
      <c r="X768" s="5"/>
      <c r="Y768" s="5"/>
      <c r="Z768" s="5"/>
    </row>
    <row r="769">
      <c r="A769" s="6" t="s">
        <v>3288</v>
      </c>
      <c r="B769" s="5" t="s">
        <v>2973</v>
      </c>
      <c r="C769" s="7" t="s">
        <v>2918</v>
      </c>
      <c r="D769" s="7" t="s">
        <v>2918</v>
      </c>
      <c r="E769" s="7" t="s">
        <v>16</v>
      </c>
      <c r="F769" s="7" t="s">
        <v>16</v>
      </c>
      <c r="G769" s="5" t="s">
        <v>461</v>
      </c>
      <c r="H769" s="7" t="s">
        <v>3289</v>
      </c>
      <c r="I769" s="7" t="s">
        <v>3290</v>
      </c>
      <c r="J769" s="8">
        <v>3000.0</v>
      </c>
      <c r="K769" s="7" t="s">
        <v>16</v>
      </c>
      <c r="L769" s="7" t="s">
        <v>16</v>
      </c>
      <c r="M769" s="5" t="s">
        <v>75</v>
      </c>
      <c r="N769" s="5" t="s">
        <v>3291</v>
      </c>
      <c r="O769" s="5"/>
      <c r="P769" s="5"/>
      <c r="Q769" s="5"/>
      <c r="R769" s="5"/>
      <c r="S769" s="5"/>
      <c r="T769" s="5"/>
      <c r="U769" s="5"/>
      <c r="V769" s="5"/>
      <c r="W769" s="5"/>
      <c r="X769" s="5"/>
      <c r="Y769" s="5"/>
      <c r="Z769" s="5"/>
    </row>
    <row r="770">
      <c r="A770" s="6" t="s">
        <v>3292</v>
      </c>
      <c r="B770" s="5" t="s">
        <v>2973</v>
      </c>
      <c r="C770" s="7" t="s">
        <v>3079</v>
      </c>
      <c r="D770" s="7" t="s">
        <v>3079</v>
      </c>
      <c r="E770" s="7" t="s">
        <v>16</v>
      </c>
      <c r="F770" s="7" t="s">
        <v>16</v>
      </c>
      <c r="G770" s="5" t="s">
        <v>461</v>
      </c>
      <c r="H770" s="7" t="s">
        <v>3293</v>
      </c>
      <c r="I770" s="7" t="s">
        <v>3294</v>
      </c>
      <c r="J770" s="8">
        <v>5500.0</v>
      </c>
      <c r="K770" s="7" t="s">
        <v>16</v>
      </c>
      <c r="L770" s="7" t="s">
        <v>16</v>
      </c>
      <c r="M770" s="5" t="s">
        <v>75</v>
      </c>
      <c r="N770" s="5" t="s">
        <v>3295</v>
      </c>
      <c r="O770" s="5"/>
      <c r="P770" s="5"/>
      <c r="Q770" s="5"/>
      <c r="R770" s="5"/>
      <c r="S770" s="5"/>
      <c r="T770" s="5"/>
      <c r="U770" s="5"/>
      <c r="V770" s="5"/>
      <c r="W770" s="5"/>
      <c r="X770" s="5"/>
      <c r="Y770" s="5"/>
      <c r="Z770" s="5"/>
    </row>
    <row r="771">
      <c r="A771" s="6" t="s">
        <v>3296</v>
      </c>
      <c r="B771" s="5" t="s">
        <v>1067</v>
      </c>
      <c r="C771" s="7" t="s">
        <v>3297</v>
      </c>
      <c r="D771" s="7" t="s">
        <v>16</v>
      </c>
      <c r="E771" s="7" t="s">
        <v>16</v>
      </c>
      <c r="F771" s="7" t="s">
        <v>16</v>
      </c>
      <c r="G771" s="5" t="s">
        <v>19</v>
      </c>
      <c r="H771" s="7" t="s">
        <v>3298</v>
      </c>
      <c r="I771" s="7" t="s">
        <v>3299</v>
      </c>
      <c r="J771" s="8">
        <v>99999.0</v>
      </c>
      <c r="K771" s="7" t="s">
        <v>16</v>
      </c>
      <c r="L771" s="7" t="s">
        <v>16</v>
      </c>
      <c r="M771" s="5" t="s">
        <v>88</v>
      </c>
      <c r="N771" s="5" t="s">
        <v>3300</v>
      </c>
      <c r="O771" s="5"/>
      <c r="P771" s="5"/>
      <c r="Q771" s="5"/>
      <c r="R771" s="5"/>
      <c r="S771" s="5"/>
      <c r="T771" s="5"/>
      <c r="U771" s="5"/>
      <c r="V771" s="5"/>
      <c r="W771" s="5"/>
      <c r="X771" s="5"/>
      <c r="Y771" s="5"/>
      <c r="Z771" s="5"/>
    </row>
    <row r="772">
      <c r="A772" s="17" t="s">
        <v>3301</v>
      </c>
      <c r="B772" s="5" t="s">
        <v>1067</v>
      </c>
      <c r="C772" s="7" t="s">
        <v>1068</v>
      </c>
      <c r="D772" s="7" t="s">
        <v>1068</v>
      </c>
      <c r="E772" s="7" t="s">
        <v>16</v>
      </c>
      <c r="F772" s="7" t="s">
        <v>16</v>
      </c>
      <c r="G772" s="5" t="s">
        <v>19</v>
      </c>
      <c r="H772" s="7" t="s">
        <v>3302</v>
      </c>
      <c r="I772" s="7" t="s">
        <v>3303</v>
      </c>
      <c r="J772" s="8">
        <v>4000.0</v>
      </c>
      <c r="K772" s="7" t="s">
        <v>16</v>
      </c>
      <c r="L772" s="7" t="s">
        <v>16</v>
      </c>
      <c r="M772" s="5" t="s">
        <v>22</v>
      </c>
      <c r="N772" s="5" t="s">
        <v>3304</v>
      </c>
      <c r="O772" s="5"/>
      <c r="P772" s="5"/>
      <c r="Q772" s="5"/>
      <c r="R772" s="5"/>
      <c r="S772" s="5"/>
      <c r="T772" s="5"/>
      <c r="U772" s="5"/>
      <c r="V772" s="5"/>
      <c r="W772" s="5"/>
      <c r="X772" s="5"/>
      <c r="Y772" s="5"/>
      <c r="Z772" s="5"/>
    </row>
    <row r="773">
      <c r="A773" s="17" t="s">
        <v>3305</v>
      </c>
      <c r="B773" s="5" t="s">
        <v>1067</v>
      </c>
      <c r="C773" s="7" t="s">
        <v>2714</v>
      </c>
      <c r="D773" s="7" t="s">
        <v>1068</v>
      </c>
      <c r="E773" s="7" t="s">
        <v>16</v>
      </c>
      <c r="F773" s="7" t="s">
        <v>16</v>
      </c>
      <c r="G773" s="5" t="s">
        <v>19</v>
      </c>
      <c r="H773" s="7" t="s">
        <v>3306</v>
      </c>
      <c r="I773" s="7" t="s">
        <v>3307</v>
      </c>
      <c r="J773" s="8">
        <v>8000.0</v>
      </c>
      <c r="K773" s="7" t="s">
        <v>16</v>
      </c>
      <c r="L773" s="7" t="s">
        <v>16</v>
      </c>
      <c r="M773" s="5" t="s">
        <v>22</v>
      </c>
      <c r="N773" s="5" t="s">
        <v>3308</v>
      </c>
      <c r="O773" s="5"/>
      <c r="P773" s="5"/>
      <c r="Q773" s="5"/>
      <c r="R773" s="5"/>
      <c r="S773" s="5"/>
      <c r="T773" s="5"/>
      <c r="U773" s="5"/>
      <c r="V773" s="5"/>
      <c r="W773" s="5"/>
      <c r="X773" s="5"/>
      <c r="Y773" s="5"/>
      <c r="Z773" s="5"/>
    </row>
    <row r="774">
      <c r="A774" s="6" t="s">
        <v>3309</v>
      </c>
      <c r="B774" s="5" t="s">
        <v>1067</v>
      </c>
      <c r="C774" s="7" t="s">
        <v>2913</v>
      </c>
      <c r="D774" s="7" t="s">
        <v>2913</v>
      </c>
      <c r="E774" s="7" t="s">
        <v>16</v>
      </c>
      <c r="F774" s="7" t="s">
        <v>16</v>
      </c>
      <c r="G774" s="5" t="s">
        <v>19</v>
      </c>
      <c r="H774" s="7" t="s">
        <v>3310</v>
      </c>
      <c r="I774" s="7" t="s">
        <v>3311</v>
      </c>
      <c r="J774" s="8">
        <v>6000.0</v>
      </c>
      <c r="K774" s="7" t="s">
        <v>16</v>
      </c>
      <c r="L774" s="7" t="s">
        <v>16</v>
      </c>
      <c r="M774" s="5" t="s">
        <v>22</v>
      </c>
      <c r="N774" s="5" t="s">
        <v>3312</v>
      </c>
      <c r="O774" s="5"/>
      <c r="P774" s="5"/>
      <c r="Q774" s="5"/>
      <c r="R774" s="5"/>
      <c r="S774" s="5"/>
      <c r="T774" s="5"/>
      <c r="U774" s="5"/>
      <c r="V774" s="5"/>
      <c r="W774" s="5"/>
      <c r="X774" s="5"/>
      <c r="Y774" s="5"/>
      <c r="Z774" s="5"/>
    </row>
    <row r="775">
      <c r="A775" s="6" t="s">
        <v>3313</v>
      </c>
      <c r="B775" s="5" t="s">
        <v>1067</v>
      </c>
      <c r="C775" s="7" t="s">
        <v>1199</v>
      </c>
      <c r="D775" s="7" t="s">
        <v>1199</v>
      </c>
      <c r="E775" s="7" t="s">
        <v>16</v>
      </c>
      <c r="F775" s="7" t="s">
        <v>16</v>
      </c>
      <c r="G775" s="5" t="s">
        <v>19</v>
      </c>
      <c r="H775" s="7" t="s">
        <v>3314</v>
      </c>
      <c r="I775" s="7" t="s">
        <v>3315</v>
      </c>
      <c r="J775" s="8">
        <v>6000.0</v>
      </c>
      <c r="K775" s="7" t="s">
        <v>16</v>
      </c>
      <c r="L775" s="7" t="s">
        <v>16</v>
      </c>
      <c r="M775" s="5" t="s">
        <v>36</v>
      </c>
      <c r="N775" s="5" t="s">
        <v>3316</v>
      </c>
      <c r="O775" s="5"/>
      <c r="P775" s="5"/>
      <c r="Q775" s="5"/>
      <c r="R775" s="5"/>
      <c r="S775" s="5"/>
      <c r="T775" s="5"/>
      <c r="U775" s="5"/>
      <c r="V775" s="5"/>
      <c r="W775" s="5"/>
      <c r="X775" s="5"/>
      <c r="Y775" s="5"/>
      <c r="Z775" s="5"/>
    </row>
    <row r="776">
      <c r="A776" s="34" t="s">
        <v>3317</v>
      </c>
      <c r="B776" s="5" t="s">
        <v>1067</v>
      </c>
      <c r="C776" s="7" t="s">
        <v>1068</v>
      </c>
      <c r="D776" s="7" t="s">
        <v>1068</v>
      </c>
      <c r="E776" s="7" t="s">
        <v>16</v>
      </c>
      <c r="F776" s="7" t="s">
        <v>16</v>
      </c>
      <c r="G776" s="5" t="s">
        <v>19</v>
      </c>
      <c r="H776" s="7" t="s">
        <v>3318</v>
      </c>
      <c r="I776" s="7" t="s">
        <v>3319</v>
      </c>
      <c r="J776" s="8">
        <v>4000.0</v>
      </c>
      <c r="K776" s="7" t="s">
        <v>16</v>
      </c>
      <c r="L776" s="7" t="s">
        <v>16</v>
      </c>
      <c r="M776" s="5" t="s">
        <v>22</v>
      </c>
      <c r="N776" s="5" t="s">
        <v>3320</v>
      </c>
      <c r="O776" s="5"/>
      <c r="P776" s="5"/>
      <c r="Q776" s="5"/>
      <c r="R776" s="5"/>
      <c r="S776" s="5"/>
      <c r="T776" s="5"/>
      <c r="U776" s="5"/>
      <c r="V776" s="5"/>
      <c r="W776" s="5"/>
      <c r="X776" s="5"/>
      <c r="Y776" s="5"/>
      <c r="Z776" s="5"/>
    </row>
    <row r="777">
      <c r="A777" s="34" t="s">
        <v>3321</v>
      </c>
      <c r="B777" s="5" t="s">
        <v>1067</v>
      </c>
      <c r="C777" s="7" t="s">
        <v>3322</v>
      </c>
      <c r="D777" s="7" t="s">
        <v>3322</v>
      </c>
      <c r="E777" s="7" t="s">
        <v>16</v>
      </c>
      <c r="F777" s="7" t="s">
        <v>16</v>
      </c>
      <c r="G777" s="5" t="s">
        <v>461</v>
      </c>
      <c r="H777" s="7" t="s">
        <v>3323</v>
      </c>
      <c r="I777" s="7" t="s">
        <v>3324</v>
      </c>
      <c r="J777" s="8">
        <v>8000.0</v>
      </c>
      <c r="K777" s="7" t="s">
        <v>16</v>
      </c>
      <c r="L777" s="7" t="s">
        <v>16</v>
      </c>
      <c r="M777" s="5" t="s">
        <v>88</v>
      </c>
      <c r="N777" s="5" t="s">
        <v>3325</v>
      </c>
      <c r="O777" s="5"/>
      <c r="P777" s="5"/>
      <c r="Q777" s="5"/>
      <c r="R777" s="5"/>
      <c r="S777" s="5"/>
      <c r="T777" s="5"/>
      <c r="U777" s="5"/>
      <c r="V777" s="5"/>
      <c r="W777" s="5"/>
      <c r="X777" s="5"/>
      <c r="Y777" s="5"/>
      <c r="Z777" s="5"/>
    </row>
    <row r="778">
      <c r="A778" s="34" t="s">
        <v>3326</v>
      </c>
      <c r="B778" s="5" t="s">
        <v>1067</v>
      </c>
      <c r="C778" s="7" t="s">
        <v>1203</v>
      </c>
      <c r="D778" s="7" t="s">
        <v>1203</v>
      </c>
      <c r="E778" s="7" t="s">
        <v>16</v>
      </c>
      <c r="F778" s="7" t="s">
        <v>16</v>
      </c>
      <c r="G778" s="5" t="s">
        <v>19</v>
      </c>
      <c r="H778" s="7" t="s">
        <v>3327</v>
      </c>
      <c r="I778" s="7" t="s">
        <v>3328</v>
      </c>
      <c r="J778" s="8">
        <v>5000.0</v>
      </c>
      <c r="K778" s="7" t="s">
        <v>16</v>
      </c>
      <c r="L778" s="7" t="s">
        <v>16</v>
      </c>
      <c r="M778" s="5" t="s">
        <v>22</v>
      </c>
      <c r="N778" s="5" t="s">
        <v>3329</v>
      </c>
      <c r="O778" s="5"/>
      <c r="P778" s="5"/>
      <c r="Q778" s="5"/>
      <c r="R778" s="5"/>
      <c r="S778" s="5"/>
      <c r="T778" s="5"/>
      <c r="U778" s="5"/>
      <c r="V778" s="5"/>
      <c r="W778" s="5"/>
      <c r="X778" s="5"/>
      <c r="Y778" s="5"/>
      <c r="Z778" s="5"/>
    </row>
    <row r="779">
      <c r="A779" s="34" t="s">
        <v>3330</v>
      </c>
      <c r="B779" s="5" t="s">
        <v>1067</v>
      </c>
      <c r="C779" s="7" t="s">
        <v>2913</v>
      </c>
      <c r="D779" s="7" t="s">
        <v>2913</v>
      </c>
      <c r="E779" s="7" t="s">
        <v>16</v>
      </c>
      <c r="F779" s="7" t="s">
        <v>16</v>
      </c>
      <c r="G779" s="7" t="s">
        <v>19</v>
      </c>
      <c r="H779" s="7" t="s">
        <v>3331</v>
      </c>
      <c r="I779" s="7" t="s">
        <v>3332</v>
      </c>
      <c r="J779" s="8">
        <v>6000.0</v>
      </c>
      <c r="K779" s="7" t="s">
        <v>16</v>
      </c>
      <c r="L779" s="7" t="s">
        <v>16</v>
      </c>
      <c r="M779" s="5" t="s">
        <v>88</v>
      </c>
      <c r="N779" s="5" t="s">
        <v>3333</v>
      </c>
      <c r="O779" s="5"/>
      <c r="P779" s="5"/>
      <c r="Q779" s="5"/>
      <c r="R779" s="5"/>
      <c r="S779" s="5"/>
      <c r="T779" s="5"/>
      <c r="U779" s="5"/>
      <c r="V779" s="5"/>
      <c r="W779" s="5"/>
      <c r="X779" s="5"/>
      <c r="Y779" s="5"/>
      <c r="Z779" s="5"/>
    </row>
    <row r="780">
      <c r="A780" s="34" t="s">
        <v>3334</v>
      </c>
      <c r="B780" s="5" t="s">
        <v>1067</v>
      </c>
      <c r="C780" s="7" t="s">
        <v>3335</v>
      </c>
      <c r="D780" s="7" t="s">
        <v>3335</v>
      </c>
      <c r="E780" s="7" t="s">
        <v>16</v>
      </c>
      <c r="F780" s="7" t="s">
        <v>16</v>
      </c>
      <c r="G780" s="5" t="s">
        <v>461</v>
      </c>
      <c r="H780" s="7" t="s">
        <v>3336</v>
      </c>
      <c r="I780" s="7" t="s">
        <v>3337</v>
      </c>
      <c r="J780" s="8">
        <v>8000.0</v>
      </c>
      <c r="K780" s="7" t="s">
        <v>16</v>
      </c>
      <c r="L780" s="7" t="s">
        <v>16</v>
      </c>
      <c r="M780" s="5" t="s">
        <v>22</v>
      </c>
      <c r="N780" s="5" t="s">
        <v>3338</v>
      </c>
      <c r="O780" s="5"/>
      <c r="P780" s="5"/>
      <c r="Q780" s="5"/>
      <c r="R780" s="5"/>
      <c r="S780" s="5"/>
      <c r="T780" s="5"/>
      <c r="U780" s="5"/>
      <c r="V780" s="5"/>
      <c r="W780" s="5"/>
      <c r="X780" s="5"/>
      <c r="Y780" s="5"/>
      <c r="Z780" s="5"/>
    </row>
    <row r="781">
      <c r="A781" s="34" t="s">
        <v>3339</v>
      </c>
      <c r="B781" s="5" t="s">
        <v>1067</v>
      </c>
      <c r="C781" s="7" t="s">
        <v>3297</v>
      </c>
      <c r="D781" s="7" t="s">
        <v>16</v>
      </c>
      <c r="E781" s="7" t="s">
        <v>16</v>
      </c>
      <c r="F781" s="7" t="s">
        <v>16</v>
      </c>
      <c r="G781" s="5" t="s">
        <v>19</v>
      </c>
      <c r="H781" s="7" t="s">
        <v>3340</v>
      </c>
      <c r="I781" s="7" t="s">
        <v>3341</v>
      </c>
      <c r="J781" s="8">
        <v>99999.0</v>
      </c>
      <c r="K781" s="7" t="s">
        <v>16</v>
      </c>
      <c r="L781" s="7" t="s">
        <v>16</v>
      </c>
      <c r="M781" s="5" t="s">
        <v>88</v>
      </c>
      <c r="N781" s="5" t="s">
        <v>3342</v>
      </c>
      <c r="O781" s="5"/>
      <c r="P781" s="5"/>
      <c r="Q781" s="5"/>
      <c r="R781" s="5"/>
      <c r="S781" s="5"/>
      <c r="T781" s="5"/>
      <c r="U781" s="5"/>
      <c r="V781" s="5"/>
      <c r="W781" s="5"/>
      <c r="X781" s="5"/>
      <c r="Y781" s="5"/>
      <c r="Z781" s="5"/>
    </row>
    <row r="782">
      <c r="A782" s="34" t="s">
        <v>3343</v>
      </c>
      <c r="B782" s="5" t="s">
        <v>1067</v>
      </c>
      <c r="C782" s="7" t="s">
        <v>1199</v>
      </c>
      <c r="D782" s="7" t="s">
        <v>1199</v>
      </c>
      <c r="E782" s="7" t="s">
        <v>16</v>
      </c>
      <c r="F782" s="7" t="s">
        <v>16</v>
      </c>
      <c r="G782" s="5" t="s">
        <v>461</v>
      </c>
      <c r="H782" s="7" t="s">
        <v>3344</v>
      </c>
      <c r="I782" s="7" t="s">
        <v>3345</v>
      </c>
      <c r="J782" s="8">
        <v>6000.0</v>
      </c>
      <c r="K782" s="7" t="s">
        <v>16</v>
      </c>
      <c r="L782" s="7" t="s">
        <v>16</v>
      </c>
      <c r="M782" s="5" t="s">
        <v>88</v>
      </c>
      <c r="N782" s="5" t="s">
        <v>3346</v>
      </c>
      <c r="O782" s="5"/>
      <c r="P782" s="5"/>
      <c r="Q782" s="5"/>
      <c r="R782" s="5"/>
      <c r="S782" s="5"/>
      <c r="T782" s="5"/>
      <c r="U782" s="5"/>
      <c r="V782" s="5"/>
      <c r="W782" s="5"/>
      <c r="X782" s="5"/>
      <c r="Y782" s="5"/>
      <c r="Z782" s="5"/>
    </row>
    <row r="783">
      <c r="A783" s="34" t="s">
        <v>3347</v>
      </c>
      <c r="B783" s="5" t="s">
        <v>3348</v>
      </c>
      <c r="C783" s="7" t="s">
        <v>3349</v>
      </c>
      <c r="D783" s="7" t="s">
        <v>3349</v>
      </c>
      <c r="E783" s="7" t="s">
        <v>16</v>
      </c>
      <c r="F783" s="7" t="s">
        <v>16</v>
      </c>
      <c r="G783" s="7" t="s">
        <v>461</v>
      </c>
      <c r="H783" s="7" t="s">
        <v>975</v>
      </c>
      <c r="I783" s="7" t="s">
        <v>3350</v>
      </c>
      <c r="J783" s="8">
        <v>8000.0</v>
      </c>
      <c r="K783" s="7" t="s">
        <v>16</v>
      </c>
      <c r="L783" s="7" t="s">
        <v>16</v>
      </c>
      <c r="M783" s="5" t="s">
        <v>88</v>
      </c>
      <c r="N783" s="5" t="s">
        <v>3351</v>
      </c>
      <c r="O783" s="5"/>
      <c r="P783" s="5"/>
      <c r="Q783" s="5"/>
      <c r="R783" s="5"/>
      <c r="S783" s="5"/>
      <c r="T783" s="5"/>
      <c r="U783" s="5"/>
      <c r="V783" s="5"/>
      <c r="W783" s="5"/>
      <c r="X783" s="5"/>
      <c r="Y783" s="5"/>
      <c r="Z783" s="5"/>
    </row>
    <row r="784">
      <c r="A784" s="34" t="s">
        <v>3352</v>
      </c>
      <c r="B784" s="5" t="s">
        <v>2426</v>
      </c>
      <c r="C784" s="7" t="s">
        <v>3353</v>
      </c>
      <c r="D784" s="7" t="s">
        <v>3353</v>
      </c>
      <c r="E784" s="7" t="s">
        <v>16</v>
      </c>
      <c r="F784" s="7" t="s">
        <v>16</v>
      </c>
      <c r="G784" s="7" t="s">
        <v>461</v>
      </c>
      <c r="H784" s="7" t="s">
        <v>3354</v>
      </c>
      <c r="I784" s="7" t="s">
        <v>3355</v>
      </c>
      <c r="J784" s="8">
        <v>5000.0</v>
      </c>
      <c r="K784" s="7" t="s">
        <v>16</v>
      </c>
      <c r="L784" s="7" t="s">
        <v>16</v>
      </c>
      <c r="M784" s="5" t="s">
        <v>22</v>
      </c>
      <c r="N784" s="5" t="s">
        <v>3356</v>
      </c>
      <c r="O784" s="5"/>
      <c r="P784" s="5"/>
      <c r="Q784" s="5"/>
      <c r="R784" s="5"/>
      <c r="S784" s="5"/>
      <c r="T784" s="5"/>
      <c r="U784" s="5"/>
      <c r="V784" s="5"/>
      <c r="W784" s="5"/>
      <c r="X784" s="5"/>
      <c r="Y784" s="5"/>
      <c r="Z784" s="5"/>
    </row>
    <row r="785">
      <c r="A785" s="34" t="s">
        <v>3357</v>
      </c>
      <c r="B785" s="5" t="s">
        <v>2426</v>
      </c>
      <c r="C785" s="7" t="s">
        <v>3358</v>
      </c>
      <c r="D785" s="7" t="s">
        <v>3358</v>
      </c>
      <c r="E785" s="7" t="s">
        <v>16</v>
      </c>
      <c r="F785" s="7" t="s">
        <v>16</v>
      </c>
      <c r="G785" s="5" t="s">
        <v>461</v>
      </c>
      <c r="H785" s="7" t="s">
        <v>3359</v>
      </c>
      <c r="I785" s="7" t="s">
        <v>3360</v>
      </c>
      <c r="J785" s="8">
        <v>5000.0</v>
      </c>
      <c r="K785" s="7" t="s">
        <v>16</v>
      </c>
      <c r="L785" s="7" t="s">
        <v>16</v>
      </c>
      <c r="M785" s="5" t="s">
        <v>22</v>
      </c>
      <c r="N785" s="5" t="s">
        <v>3361</v>
      </c>
      <c r="O785" s="5"/>
      <c r="P785" s="5"/>
      <c r="Q785" s="5"/>
      <c r="R785" s="5"/>
      <c r="S785" s="5"/>
      <c r="T785" s="5"/>
      <c r="U785" s="5"/>
      <c r="V785" s="5"/>
      <c r="W785" s="5"/>
      <c r="X785" s="5"/>
      <c r="Y785" s="5"/>
      <c r="Z785" s="5"/>
    </row>
    <row r="786">
      <c r="A786" s="34" t="s">
        <v>3362</v>
      </c>
      <c r="B786" s="5" t="s">
        <v>2426</v>
      </c>
      <c r="C786" s="7" t="s">
        <v>3363</v>
      </c>
      <c r="D786" s="7" t="s">
        <v>3363</v>
      </c>
      <c r="E786" s="7" t="s">
        <v>16</v>
      </c>
      <c r="F786" s="7" t="s">
        <v>16</v>
      </c>
      <c r="G786" s="5" t="s">
        <v>461</v>
      </c>
      <c r="H786" s="7" t="s">
        <v>3364</v>
      </c>
      <c r="I786" s="7" t="s">
        <v>3365</v>
      </c>
      <c r="J786" s="8">
        <v>4000.0</v>
      </c>
      <c r="K786" s="7" t="s">
        <v>16</v>
      </c>
      <c r="L786" s="7" t="s">
        <v>16</v>
      </c>
      <c r="M786" s="5" t="s">
        <v>22</v>
      </c>
      <c r="N786" s="5" t="s">
        <v>3366</v>
      </c>
      <c r="O786" s="5"/>
      <c r="P786" s="5"/>
      <c r="Q786" s="5"/>
      <c r="R786" s="5"/>
      <c r="S786" s="5"/>
      <c r="T786" s="5"/>
      <c r="U786" s="5"/>
      <c r="V786" s="5"/>
      <c r="W786" s="5"/>
      <c r="X786" s="5"/>
      <c r="Y786" s="5"/>
      <c r="Z786" s="5"/>
    </row>
    <row r="787">
      <c r="A787" s="34" t="s">
        <v>3367</v>
      </c>
      <c r="B787" s="5" t="s">
        <v>2426</v>
      </c>
      <c r="C787" s="7" t="s">
        <v>3368</v>
      </c>
      <c r="D787" s="7" t="s">
        <v>3368</v>
      </c>
      <c r="E787" s="7" t="s">
        <v>16</v>
      </c>
      <c r="F787" s="7" t="s">
        <v>16</v>
      </c>
      <c r="G787" s="5" t="s">
        <v>461</v>
      </c>
      <c r="H787" s="7" t="s">
        <v>3369</v>
      </c>
      <c r="I787" s="7" t="s">
        <v>3370</v>
      </c>
      <c r="J787" s="8">
        <v>6000.0</v>
      </c>
      <c r="K787" s="7" t="s">
        <v>16</v>
      </c>
      <c r="L787" s="7" t="s">
        <v>16</v>
      </c>
      <c r="M787" s="5" t="s">
        <v>36</v>
      </c>
      <c r="N787" s="5" t="s">
        <v>3371</v>
      </c>
      <c r="O787" s="5"/>
      <c r="P787" s="5"/>
      <c r="Q787" s="5"/>
      <c r="R787" s="5"/>
      <c r="S787" s="5"/>
      <c r="T787" s="5"/>
      <c r="U787" s="5"/>
      <c r="V787" s="5"/>
      <c r="W787" s="5"/>
      <c r="X787" s="5"/>
      <c r="Y787" s="5"/>
      <c r="Z787" s="5"/>
    </row>
    <row r="788">
      <c r="A788" s="34" t="s">
        <v>3372</v>
      </c>
      <c r="B788" s="5" t="s">
        <v>2426</v>
      </c>
      <c r="C788" s="7" t="s">
        <v>3373</v>
      </c>
      <c r="D788" s="7" t="s">
        <v>3373</v>
      </c>
      <c r="E788" s="7" t="s">
        <v>16</v>
      </c>
      <c r="F788" s="7" t="s">
        <v>16</v>
      </c>
      <c r="G788" s="5" t="s">
        <v>19</v>
      </c>
      <c r="H788" s="7" t="s">
        <v>3374</v>
      </c>
      <c r="I788" s="7" t="s">
        <v>3375</v>
      </c>
      <c r="J788" s="8">
        <v>4000.0</v>
      </c>
      <c r="K788" s="7" t="s">
        <v>16</v>
      </c>
      <c r="L788" s="7" t="s">
        <v>16</v>
      </c>
      <c r="M788" s="5" t="s">
        <v>22</v>
      </c>
      <c r="N788" s="5" t="s">
        <v>3376</v>
      </c>
      <c r="O788" s="5"/>
      <c r="P788" s="5"/>
      <c r="Q788" s="5"/>
      <c r="R788" s="5"/>
      <c r="S788" s="5"/>
      <c r="T788" s="5"/>
      <c r="U788" s="5"/>
      <c r="V788" s="5"/>
      <c r="W788" s="5"/>
      <c r="X788" s="5"/>
      <c r="Y788" s="5"/>
      <c r="Z788" s="5"/>
    </row>
    <row r="789">
      <c r="A789" s="34" t="s">
        <v>3377</v>
      </c>
      <c r="B789" s="5" t="s">
        <v>2426</v>
      </c>
      <c r="C789" s="7" t="s">
        <v>3378</v>
      </c>
      <c r="D789" s="7" t="s">
        <v>3378</v>
      </c>
      <c r="E789" s="7" t="s">
        <v>16</v>
      </c>
      <c r="F789" s="7" t="s">
        <v>16</v>
      </c>
      <c r="G789" s="5" t="s">
        <v>461</v>
      </c>
      <c r="H789" s="7" t="s">
        <v>3379</v>
      </c>
      <c r="I789" s="7" t="s">
        <v>3380</v>
      </c>
      <c r="J789" s="8">
        <v>6000.0</v>
      </c>
      <c r="K789" s="7" t="s">
        <v>16</v>
      </c>
      <c r="L789" s="7" t="s">
        <v>16</v>
      </c>
      <c r="M789" s="5" t="s">
        <v>36</v>
      </c>
      <c r="N789" s="5" t="s">
        <v>3381</v>
      </c>
      <c r="O789" s="5"/>
      <c r="P789" s="5"/>
      <c r="Q789" s="5"/>
      <c r="R789" s="5"/>
      <c r="S789" s="5"/>
      <c r="T789" s="5"/>
      <c r="U789" s="5"/>
      <c r="V789" s="5"/>
      <c r="W789" s="5"/>
      <c r="X789" s="5"/>
      <c r="Y789" s="5"/>
      <c r="Z789" s="5"/>
    </row>
    <row r="790">
      <c r="A790" s="34" t="s">
        <v>3382</v>
      </c>
      <c r="B790" s="5" t="s">
        <v>2426</v>
      </c>
      <c r="C790" s="7" t="s">
        <v>3383</v>
      </c>
      <c r="D790" s="7" t="s">
        <v>3383</v>
      </c>
      <c r="E790" s="7" t="s">
        <v>16</v>
      </c>
      <c r="F790" s="7" t="s">
        <v>16</v>
      </c>
      <c r="G790" s="5" t="s">
        <v>461</v>
      </c>
      <c r="H790" s="7" t="s">
        <v>3384</v>
      </c>
      <c r="I790" s="7" t="s">
        <v>3385</v>
      </c>
      <c r="J790" s="8">
        <v>4000.0</v>
      </c>
      <c r="K790" s="7" t="s">
        <v>16</v>
      </c>
      <c r="L790" s="7" t="s">
        <v>16</v>
      </c>
      <c r="M790" s="5" t="s">
        <v>22</v>
      </c>
      <c r="N790" s="5" t="s">
        <v>3386</v>
      </c>
      <c r="O790" s="5"/>
      <c r="P790" s="5"/>
      <c r="Q790" s="5"/>
      <c r="R790" s="5"/>
      <c r="S790" s="5"/>
      <c r="T790" s="5"/>
      <c r="U790" s="5"/>
      <c r="V790" s="5"/>
      <c r="W790" s="5"/>
      <c r="X790" s="5"/>
      <c r="Y790" s="5"/>
      <c r="Z790" s="5"/>
    </row>
    <row r="791">
      <c r="A791" s="34" t="s">
        <v>3387</v>
      </c>
      <c r="B791" s="5" t="s">
        <v>2426</v>
      </c>
      <c r="C791" s="7" t="s">
        <v>3388</v>
      </c>
      <c r="D791" s="7" t="s">
        <v>3388</v>
      </c>
      <c r="E791" s="7" t="s">
        <v>16</v>
      </c>
      <c r="F791" s="7" t="s">
        <v>16</v>
      </c>
      <c r="G791" s="5" t="s">
        <v>19</v>
      </c>
      <c r="H791" s="7" t="s">
        <v>3389</v>
      </c>
      <c r="I791" s="7" t="s">
        <v>3390</v>
      </c>
      <c r="J791" s="8">
        <v>6000.0</v>
      </c>
      <c r="K791" s="7" t="s">
        <v>16</v>
      </c>
      <c r="L791" s="7" t="s">
        <v>16</v>
      </c>
      <c r="M791" s="5" t="s">
        <v>88</v>
      </c>
      <c r="N791" s="5" t="s">
        <v>3391</v>
      </c>
      <c r="O791" s="5"/>
      <c r="P791" s="5"/>
      <c r="Q791" s="5"/>
      <c r="R791" s="5"/>
      <c r="S791" s="5"/>
      <c r="T791" s="5"/>
      <c r="U791" s="5"/>
      <c r="V791" s="5"/>
      <c r="W791" s="5"/>
      <c r="X791" s="5"/>
      <c r="Y791" s="5"/>
      <c r="Z791" s="5"/>
    </row>
    <row r="792">
      <c r="A792" s="34" t="s">
        <v>3392</v>
      </c>
      <c r="B792" s="5" t="s">
        <v>2426</v>
      </c>
      <c r="C792" s="7" t="s">
        <v>3393</v>
      </c>
      <c r="D792" s="7" t="s">
        <v>3393</v>
      </c>
      <c r="E792" s="7" t="s">
        <v>16</v>
      </c>
      <c r="F792" s="7" t="s">
        <v>16</v>
      </c>
      <c r="G792" s="5" t="s">
        <v>461</v>
      </c>
      <c r="H792" s="7" t="s">
        <v>3394</v>
      </c>
      <c r="I792" s="7" t="s">
        <v>3395</v>
      </c>
      <c r="J792" s="8">
        <v>6000.0</v>
      </c>
      <c r="K792" s="7" t="s">
        <v>16</v>
      </c>
      <c r="L792" s="7" t="s">
        <v>16</v>
      </c>
      <c r="M792" s="5" t="s">
        <v>88</v>
      </c>
      <c r="N792" s="5" t="s">
        <v>3396</v>
      </c>
      <c r="O792" s="5"/>
      <c r="P792" s="5"/>
      <c r="Q792" s="5"/>
      <c r="R792" s="5"/>
      <c r="S792" s="5"/>
      <c r="T792" s="5"/>
      <c r="U792" s="5"/>
      <c r="V792" s="5"/>
      <c r="W792" s="5"/>
      <c r="X792" s="5"/>
      <c r="Y792" s="5"/>
      <c r="Z792" s="5"/>
    </row>
    <row r="793">
      <c r="A793" s="34" t="s">
        <v>3397</v>
      </c>
      <c r="B793" s="5" t="s">
        <v>2973</v>
      </c>
      <c r="C793" s="7" t="s">
        <v>1203</v>
      </c>
      <c r="D793" s="7" t="s">
        <v>1203</v>
      </c>
      <c r="E793" s="7" t="s">
        <v>16</v>
      </c>
      <c r="F793" s="7" t="s">
        <v>16</v>
      </c>
      <c r="G793" s="5" t="s">
        <v>461</v>
      </c>
      <c r="H793" s="7" t="s">
        <v>3398</v>
      </c>
      <c r="I793" s="7" t="s">
        <v>3399</v>
      </c>
      <c r="J793" s="8">
        <v>5000.0</v>
      </c>
      <c r="K793" s="7" t="s">
        <v>16</v>
      </c>
      <c r="L793" s="7" t="s">
        <v>16</v>
      </c>
      <c r="M793" s="5" t="s">
        <v>75</v>
      </c>
      <c r="N793" s="5" t="s">
        <v>3400</v>
      </c>
      <c r="O793" s="5"/>
      <c r="P793" s="5"/>
      <c r="Q793" s="5"/>
      <c r="R793" s="5"/>
      <c r="S793" s="5"/>
      <c r="T793" s="5"/>
      <c r="U793" s="5"/>
      <c r="V793" s="5"/>
      <c r="W793" s="5"/>
      <c r="X793" s="5"/>
      <c r="Y793" s="5"/>
      <c r="Z793" s="5"/>
    </row>
    <row r="794">
      <c r="A794" s="34" t="s">
        <v>3401</v>
      </c>
      <c r="B794" s="5" t="s">
        <v>2973</v>
      </c>
      <c r="C794" s="7" t="s">
        <v>1213</v>
      </c>
      <c r="D794" s="7" t="s">
        <v>1213</v>
      </c>
      <c r="E794" s="7" t="s">
        <v>16</v>
      </c>
      <c r="F794" s="7" t="s">
        <v>16</v>
      </c>
      <c r="G794" s="5" t="s">
        <v>461</v>
      </c>
      <c r="H794" s="7" t="s">
        <v>3402</v>
      </c>
      <c r="I794" s="7" t="s">
        <v>3403</v>
      </c>
      <c r="J794" s="8">
        <v>5000.0</v>
      </c>
      <c r="K794" s="7" t="s">
        <v>16</v>
      </c>
      <c r="L794" s="7" t="s">
        <v>16</v>
      </c>
      <c r="M794" s="5" t="s">
        <v>75</v>
      </c>
      <c r="N794" s="5" t="s">
        <v>3404</v>
      </c>
      <c r="O794" s="5"/>
      <c r="P794" s="5"/>
      <c r="Q794" s="5"/>
      <c r="R794" s="5"/>
      <c r="S794" s="5"/>
      <c r="T794" s="5"/>
      <c r="U794" s="5"/>
      <c r="V794" s="5"/>
      <c r="W794" s="5"/>
      <c r="X794" s="5"/>
      <c r="Y794" s="5"/>
      <c r="Z794" s="5"/>
    </row>
    <row r="795">
      <c r="A795" s="34" t="s">
        <v>3405</v>
      </c>
      <c r="B795" s="5" t="s">
        <v>2973</v>
      </c>
      <c r="C795" s="7" t="s">
        <v>1207</v>
      </c>
      <c r="D795" s="7" t="s">
        <v>1207</v>
      </c>
      <c r="E795" s="7" t="s">
        <v>16</v>
      </c>
      <c r="F795" s="7" t="s">
        <v>16</v>
      </c>
      <c r="G795" s="7" t="s">
        <v>461</v>
      </c>
      <c r="H795" s="7" t="s">
        <v>3406</v>
      </c>
      <c r="I795" s="7" t="s">
        <v>3407</v>
      </c>
      <c r="J795" s="8">
        <v>5000.0</v>
      </c>
      <c r="K795" s="7" t="s">
        <v>16</v>
      </c>
      <c r="L795" s="7" t="s">
        <v>16</v>
      </c>
      <c r="M795" s="5" t="s">
        <v>75</v>
      </c>
      <c r="N795" s="5" t="s">
        <v>3408</v>
      </c>
      <c r="O795" s="5"/>
      <c r="P795" s="5"/>
      <c r="Q795" s="5"/>
      <c r="R795" s="5"/>
      <c r="S795" s="5"/>
      <c r="T795" s="5"/>
      <c r="U795" s="5"/>
      <c r="V795" s="5"/>
      <c r="W795" s="5"/>
      <c r="X795" s="5"/>
      <c r="Y795" s="5"/>
      <c r="Z795" s="5"/>
    </row>
    <row r="796">
      <c r="A796" s="34" t="s">
        <v>3409</v>
      </c>
      <c r="B796" s="5" t="s">
        <v>2973</v>
      </c>
      <c r="C796" s="7" t="s">
        <v>1878</v>
      </c>
      <c r="D796" s="7" t="s">
        <v>1878</v>
      </c>
      <c r="E796" s="7" t="s">
        <v>16</v>
      </c>
      <c r="F796" s="7" t="s">
        <v>16</v>
      </c>
      <c r="G796" s="5" t="s">
        <v>461</v>
      </c>
      <c r="H796" s="7" t="s">
        <v>3410</v>
      </c>
      <c r="I796" s="7" t="s">
        <v>3411</v>
      </c>
      <c r="J796" s="8">
        <v>5000.0</v>
      </c>
      <c r="K796" s="7" t="s">
        <v>16</v>
      </c>
      <c r="L796" s="7" t="s">
        <v>16</v>
      </c>
      <c r="M796" s="5" t="s">
        <v>75</v>
      </c>
      <c r="N796" s="5" t="s">
        <v>3412</v>
      </c>
      <c r="O796" s="5"/>
      <c r="P796" s="5"/>
      <c r="Q796" s="5"/>
      <c r="R796" s="5"/>
      <c r="S796" s="5"/>
      <c r="T796" s="5"/>
      <c r="U796" s="5"/>
      <c r="V796" s="5"/>
      <c r="W796" s="5"/>
      <c r="X796" s="5"/>
      <c r="Y796" s="5"/>
      <c r="Z796" s="5"/>
    </row>
    <row r="797">
      <c r="A797" s="34" t="s">
        <v>3413</v>
      </c>
      <c r="B797" s="5" t="s">
        <v>2973</v>
      </c>
      <c r="C797" s="7" t="s">
        <v>1421</v>
      </c>
      <c r="D797" s="7" t="s">
        <v>1421</v>
      </c>
      <c r="E797" s="7" t="s">
        <v>16</v>
      </c>
      <c r="F797" s="7" t="s">
        <v>16</v>
      </c>
      <c r="G797" s="7" t="s">
        <v>461</v>
      </c>
      <c r="H797" s="7" t="s">
        <v>3414</v>
      </c>
      <c r="I797" s="7" t="s">
        <v>3415</v>
      </c>
      <c r="J797" s="8">
        <v>5500.0</v>
      </c>
      <c r="K797" s="7" t="s">
        <v>16</v>
      </c>
      <c r="L797" s="7" t="s">
        <v>16</v>
      </c>
      <c r="M797" s="5" t="s">
        <v>75</v>
      </c>
      <c r="N797" s="5" t="s">
        <v>3416</v>
      </c>
      <c r="O797" s="5"/>
      <c r="P797" s="5"/>
      <c r="Q797" s="5"/>
      <c r="R797" s="5"/>
      <c r="S797" s="5"/>
      <c r="T797" s="5"/>
      <c r="U797" s="5"/>
      <c r="V797" s="5"/>
      <c r="W797" s="5"/>
      <c r="X797" s="5"/>
      <c r="Y797" s="5"/>
      <c r="Z797" s="5"/>
    </row>
    <row r="798">
      <c r="A798" s="34" t="s">
        <v>3417</v>
      </c>
      <c r="B798" s="5" t="s">
        <v>2973</v>
      </c>
      <c r="C798" s="7" t="s">
        <v>1400</v>
      </c>
      <c r="D798" s="7" t="s">
        <v>1400</v>
      </c>
      <c r="E798" s="7" t="s">
        <v>16</v>
      </c>
      <c r="F798" s="7" t="s">
        <v>16</v>
      </c>
      <c r="G798" s="5" t="s">
        <v>461</v>
      </c>
      <c r="H798" s="7" t="s">
        <v>3418</v>
      </c>
      <c r="I798" s="7" t="s">
        <v>3419</v>
      </c>
      <c r="J798" s="8">
        <v>6500.0</v>
      </c>
      <c r="K798" s="7" t="s">
        <v>16</v>
      </c>
      <c r="L798" s="7" t="s">
        <v>16</v>
      </c>
      <c r="M798" s="5" t="s">
        <v>75</v>
      </c>
      <c r="N798" s="5" t="s">
        <v>3420</v>
      </c>
      <c r="O798" s="5"/>
      <c r="P798" s="5"/>
      <c r="Q798" s="5"/>
      <c r="R798" s="5"/>
      <c r="S798" s="5"/>
      <c r="T798" s="5"/>
      <c r="U798" s="5"/>
      <c r="V798" s="5"/>
      <c r="W798" s="5"/>
      <c r="X798" s="5"/>
      <c r="Y798" s="5"/>
      <c r="Z798" s="5"/>
    </row>
    <row r="799">
      <c r="A799" s="34" t="s">
        <v>3421</v>
      </c>
      <c r="B799" s="5" t="s">
        <v>2973</v>
      </c>
      <c r="C799" s="7" t="s">
        <v>2913</v>
      </c>
      <c r="D799" s="7" t="s">
        <v>2913</v>
      </c>
      <c r="E799" s="7" t="s">
        <v>16</v>
      </c>
      <c r="F799" s="7" t="s">
        <v>16</v>
      </c>
      <c r="G799" s="7" t="s">
        <v>461</v>
      </c>
      <c r="H799" s="7" t="s">
        <v>3422</v>
      </c>
      <c r="I799" s="7" t="s">
        <v>3423</v>
      </c>
      <c r="J799" s="8">
        <v>7000.0</v>
      </c>
      <c r="K799" s="7" t="s">
        <v>16</v>
      </c>
      <c r="L799" s="7" t="s">
        <v>16</v>
      </c>
      <c r="M799" s="5" t="s">
        <v>75</v>
      </c>
      <c r="N799" s="5" t="s">
        <v>3424</v>
      </c>
      <c r="O799" s="5"/>
      <c r="P799" s="5"/>
      <c r="Q799" s="5"/>
      <c r="R799" s="5"/>
      <c r="S799" s="5"/>
      <c r="T799" s="5"/>
      <c r="U799" s="5"/>
      <c r="V799" s="5"/>
      <c r="W799" s="5"/>
      <c r="X799" s="5"/>
      <c r="Y799" s="5"/>
      <c r="Z799" s="5"/>
    </row>
    <row r="800">
      <c r="A800" s="34" t="s">
        <v>3425</v>
      </c>
      <c r="B800" s="5" t="s">
        <v>2973</v>
      </c>
      <c r="C800" s="7" t="s">
        <v>1199</v>
      </c>
      <c r="D800" s="7" t="s">
        <v>1199</v>
      </c>
      <c r="E800" s="7" t="s">
        <v>16</v>
      </c>
      <c r="F800" s="7" t="s">
        <v>16</v>
      </c>
      <c r="G800" s="5" t="s">
        <v>461</v>
      </c>
      <c r="H800" s="7" t="s">
        <v>3426</v>
      </c>
      <c r="I800" s="7" t="s">
        <v>3427</v>
      </c>
      <c r="J800" s="8">
        <v>7000.0</v>
      </c>
      <c r="K800" s="7" t="s">
        <v>16</v>
      </c>
      <c r="L800" s="7" t="s">
        <v>16</v>
      </c>
      <c r="M800" s="5" t="s">
        <v>75</v>
      </c>
      <c r="N800" s="5" t="s">
        <v>3428</v>
      </c>
      <c r="O800" s="5"/>
      <c r="P800" s="5"/>
      <c r="Q800" s="5"/>
      <c r="R800" s="5"/>
      <c r="S800" s="5"/>
      <c r="T800" s="5"/>
      <c r="U800" s="5"/>
      <c r="V800" s="5"/>
      <c r="W800" s="5"/>
      <c r="X800" s="5"/>
      <c r="Y800" s="5"/>
      <c r="Z800" s="5"/>
    </row>
    <row r="801">
      <c r="A801" s="34" t="s">
        <v>3429</v>
      </c>
      <c r="B801" s="5" t="s">
        <v>1067</v>
      </c>
      <c r="C801" s="7" t="s">
        <v>2913</v>
      </c>
      <c r="D801" s="7" t="s">
        <v>2913</v>
      </c>
      <c r="E801" s="7" t="s">
        <v>16</v>
      </c>
      <c r="F801" s="7" t="s">
        <v>16</v>
      </c>
      <c r="G801" s="5" t="s">
        <v>19</v>
      </c>
      <c r="H801" s="7" t="s">
        <v>3430</v>
      </c>
      <c r="I801" s="7" t="s">
        <v>3431</v>
      </c>
      <c r="J801" s="8">
        <v>6000.0</v>
      </c>
      <c r="K801" s="7" t="s">
        <v>16</v>
      </c>
      <c r="L801" s="7" t="s">
        <v>16</v>
      </c>
      <c r="M801" s="5" t="s">
        <v>36</v>
      </c>
      <c r="N801" s="5" t="s">
        <v>3432</v>
      </c>
      <c r="O801" s="5"/>
      <c r="P801" s="5"/>
      <c r="Q801" s="5"/>
      <c r="R801" s="5"/>
      <c r="S801" s="5"/>
      <c r="T801" s="5"/>
      <c r="U801" s="5"/>
      <c r="V801" s="5"/>
      <c r="W801" s="5"/>
      <c r="X801" s="5"/>
      <c r="Y801" s="5"/>
      <c r="Z801" s="5"/>
    </row>
    <row r="802">
      <c r="A802" s="34" t="s">
        <v>3433</v>
      </c>
      <c r="B802" s="5" t="s">
        <v>1067</v>
      </c>
      <c r="C802" s="7" t="s">
        <v>3335</v>
      </c>
      <c r="D802" s="7" t="s">
        <v>3335</v>
      </c>
      <c r="E802" s="7" t="s">
        <v>16</v>
      </c>
      <c r="F802" s="7" t="s">
        <v>16</v>
      </c>
      <c r="G802" s="5" t="s">
        <v>461</v>
      </c>
      <c r="H802" s="7" t="s">
        <v>3434</v>
      </c>
      <c r="I802" s="7" t="s">
        <v>3435</v>
      </c>
      <c r="J802" s="8">
        <v>8000.0</v>
      </c>
      <c r="K802" s="7" t="s">
        <v>16</v>
      </c>
      <c r="L802" s="7" t="s">
        <v>16</v>
      </c>
      <c r="M802" s="5" t="s">
        <v>36</v>
      </c>
      <c r="N802" s="5" t="s">
        <v>3436</v>
      </c>
      <c r="O802" s="5"/>
      <c r="P802" s="5"/>
      <c r="Q802" s="5"/>
      <c r="R802" s="5"/>
      <c r="S802" s="5"/>
      <c r="T802" s="5"/>
      <c r="U802" s="5"/>
      <c r="V802" s="5"/>
      <c r="W802" s="5"/>
      <c r="X802" s="5"/>
      <c r="Y802" s="5"/>
      <c r="Z802" s="5"/>
    </row>
    <row r="803">
      <c r="A803" s="34" t="s">
        <v>3437</v>
      </c>
      <c r="B803" s="5" t="s">
        <v>1067</v>
      </c>
      <c r="C803" s="7" t="s">
        <v>1199</v>
      </c>
      <c r="D803" s="7" t="s">
        <v>1199</v>
      </c>
      <c r="E803" s="7" t="s">
        <v>16</v>
      </c>
      <c r="F803" s="7" t="s">
        <v>16</v>
      </c>
      <c r="G803" s="7" t="s">
        <v>19</v>
      </c>
      <c r="H803" s="7" t="s">
        <v>3438</v>
      </c>
      <c r="I803" s="7" t="s">
        <v>3439</v>
      </c>
      <c r="J803" s="8">
        <v>6000.0</v>
      </c>
      <c r="K803" s="7" t="s">
        <v>16</v>
      </c>
      <c r="L803" s="7" t="s">
        <v>16</v>
      </c>
      <c r="M803" s="5" t="s">
        <v>88</v>
      </c>
      <c r="N803" s="5" t="s">
        <v>3440</v>
      </c>
      <c r="O803" s="5"/>
      <c r="P803" s="5"/>
      <c r="Q803" s="5"/>
      <c r="R803" s="5"/>
      <c r="S803" s="5"/>
      <c r="T803" s="5"/>
      <c r="U803" s="5"/>
      <c r="V803" s="5"/>
      <c r="W803" s="5"/>
      <c r="X803" s="5"/>
      <c r="Y803" s="5"/>
      <c r="Z803" s="5"/>
    </row>
    <row r="804">
      <c r="A804" s="34" t="s">
        <v>3441</v>
      </c>
      <c r="B804" s="5" t="s">
        <v>2426</v>
      </c>
      <c r="C804" s="7" t="s">
        <v>3442</v>
      </c>
      <c r="D804" s="7" t="s">
        <v>3442</v>
      </c>
      <c r="E804" s="7" t="s">
        <v>16</v>
      </c>
      <c r="F804" s="7" t="s">
        <v>16</v>
      </c>
      <c r="G804" s="5" t="s">
        <v>19</v>
      </c>
      <c r="H804" s="7" t="s">
        <v>983</v>
      </c>
      <c r="I804" s="7" t="s">
        <v>3443</v>
      </c>
      <c r="J804" s="8">
        <v>6000.0</v>
      </c>
      <c r="K804" s="7" t="s">
        <v>16</v>
      </c>
      <c r="L804" s="7" t="s">
        <v>16</v>
      </c>
      <c r="M804" s="5" t="s">
        <v>36</v>
      </c>
      <c r="N804" s="5" t="s">
        <v>3444</v>
      </c>
      <c r="O804" s="5"/>
      <c r="P804" s="5"/>
      <c r="Q804" s="5"/>
      <c r="R804" s="5"/>
      <c r="S804" s="5"/>
      <c r="T804" s="5"/>
      <c r="U804" s="5"/>
      <c r="V804" s="5"/>
      <c r="W804" s="5"/>
      <c r="X804" s="5"/>
      <c r="Y804" s="5"/>
      <c r="Z804" s="5"/>
    </row>
    <row r="805">
      <c r="A805" s="34" t="s">
        <v>3445</v>
      </c>
      <c r="B805" s="5" t="s">
        <v>2426</v>
      </c>
      <c r="C805" s="7" t="s">
        <v>3446</v>
      </c>
      <c r="D805" s="7" t="s">
        <v>3446</v>
      </c>
      <c r="E805" s="7" t="s">
        <v>16</v>
      </c>
      <c r="F805" s="7" t="s">
        <v>16</v>
      </c>
      <c r="G805" s="5" t="s">
        <v>19</v>
      </c>
      <c r="H805" s="7" t="s">
        <v>2828</v>
      </c>
      <c r="I805" s="7" t="s">
        <v>3447</v>
      </c>
      <c r="J805" s="8">
        <v>6000.0</v>
      </c>
      <c r="K805" s="7" t="s">
        <v>16</v>
      </c>
      <c r="L805" s="7" t="s">
        <v>16</v>
      </c>
      <c r="M805" s="5" t="s">
        <v>88</v>
      </c>
      <c r="N805" s="5" t="s">
        <v>3448</v>
      </c>
      <c r="O805" s="5"/>
      <c r="P805" s="5"/>
      <c r="Q805" s="5"/>
      <c r="R805" s="5"/>
      <c r="S805" s="5"/>
      <c r="T805" s="5"/>
      <c r="U805" s="5"/>
      <c r="V805" s="5"/>
      <c r="W805" s="5"/>
      <c r="X805" s="5"/>
      <c r="Y805" s="5"/>
      <c r="Z805" s="5"/>
    </row>
    <row r="806">
      <c r="A806" s="34" t="s">
        <v>3449</v>
      </c>
      <c r="B806" s="5" t="s">
        <v>1067</v>
      </c>
      <c r="C806" s="7" t="s">
        <v>1199</v>
      </c>
      <c r="D806" s="7" t="s">
        <v>1199</v>
      </c>
      <c r="E806" s="7" t="s">
        <v>16</v>
      </c>
      <c r="F806" s="7" t="s">
        <v>16</v>
      </c>
      <c r="G806" s="7" t="s">
        <v>461</v>
      </c>
      <c r="H806" s="7" t="s">
        <v>3450</v>
      </c>
      <c r="I806" s="7" t="s">
        <v>3451</v>
      </c>
      <c r="J806" s="8">
        <v>7000.0</v>
      </c>
      <c r="K806" s="7" t="s">
        <v>16</v>
      </c>
      <c r="L806" s="7" t="s">
        <v>16</v>
      </c>
      <c r="M806" s="5" t="s">
        <v>75</v>
      </c>
      <c r="N806" s="5" t="s">
        <v>3452</v>
      </c>
      <c r="O806" s="5"/>
      <c r="P806" s="5"/>
      <c r="Q806" s="5"/>
      <c r="R806" s="5"/>
      <c r="S806" s="5"/>
      <c r="T806" s="5"/>
      <c r="U806" s="5"/>
      <c r="V806" s="5"/>
      <c r="W806" s="5"/>
      <c r="X806" s="5"/>
      <c r="Y806" s="5"/>
      <c r="Z806" s="5"/>
    </row>
    <row r="807">
      <c r="A807" s="34" t="s">
        <v>3453</v>
      </c>
      <c r="B807" s="5" t="s">
        <v>3454</v>
      </c>
      <c r="C807" s="7" t="s">
        <v>3455</v>
      </c>
      <c r="D807" s="7" t="s">
        <v>3455</v>
      </c>
      <c r="E807" s="7" t="s">
        <v>16</v>
      </c>
      <c r="F807" s="7" t="s">
        <v>16</v>
      </c>
      <c r="G807" s="5" t="s">
        <v>461</v>
      </c>
      <c r="H807" s="7" t="s">
        <v>3456</v>
      </c>
      <c r="I807" s="7" t="s">
        <v>3457</v>
      </c>
      <c r="J807" s="8">
        <v>5000.0</v>
      </c>
      <c r="K807" s="7" t="s">
        <v>16</v>
      </c>
      <c r="L807" s="7" t="s">
        <v>16</v>
      </c>
      <c r="M807" s="5" t="s">
        <v>75</v>
      </c>
      <c r="N807" s="5" t="s">
        <v>3458</v>
      </c>
      <c r="O807" s="5"/>
      <c r="P807" s="5"/>
      <c r="Q807" s="5"/>
      <c r="R807" s="5"/>
      <c r="S807" s="5"/>
      <c r="T807" s="5"/>
      <c r="U807" s="5"/>
      <c r="V807" s="5"/>
      <c r="W807" s="5"/>
      <c r="X807" s="5"/>
      <c r="Y807" s="5"/>
      <c r="Z807" s="5"/>
    </row>
    <row r="808">
      <c r="A808" s="34" t="s">
        <v>3459</v>
      </c>
      <c r="B808" s="5" t="s">
        <v>1985</v>
      </c>
      <c r="C808" s="7" t="s">
        <v>3460</v>
      </c>
      <c r="D808" s="7" t="s">
        <v>3460</v>
      </c>
      <c r="E808" s="7" t="s">
        <v>16</v>
      </c>
      <c r="F808" s="7" t="s">
        <v>16</v>
      </c>
      <c r="G808" s="7" t="s">
        <v>461</v>
      </c>
      <c r="H808" s="7" t="s">
        <v>3461</v>
      </c>
      <c r="I808" s="7" t="s">
        <v>3462</v>
      </c>
      <c r="J808" s="8">
        <v>100000.0</v>
      </c>
      <c r="K808" s="7" t="s">
        <v>16</v>
      </c>
      <c r="L808" s="7" t="s">
        <v>16</v>
      </c>
      <c r="M808" s="5" t="s">
        <v>75</v>
      </c>
      <c r="N808" s="5" t="s">
        <v>3463</v>
      </c>
      <c r="O808" s="5"/>
      <c r="P808" s="5"/>
      <c r="Q808" s="5"/>
      <c r="R808" s="5"/>
      <c r="S808" s="5"/>
      <c r="T808" s="5"/>
      <c r="U808" s="5"/>
      <c r="V808" s="5"/>
      <c r="W808" s="5"/>
      <c r="X808" s="5"/>
      <c r="Y808" s="5"/>
      <c r="Z808" s="5"/>
    </row>
    <row r="809">
      <c r="A809" s="34" t="s">
        <v>3464</v>
      </c>
      <c r="B809" s="5" t="s">
        <v>1067</v>
      </c>
      <c r="C809" s="7" t="s">
        <v>1068</v>
      </c>
      <c r="D809" s="7" t="s">
        <v>1068</v>
      </c>
      <c r="E809" s="7" t="s">
        <v>16</v>
      </c>
      <c r="F809" s="7" t="s">
        <v>16</v>
      </c>
      <c r="G809" s="7" t="s">
        <v>461</v>
      </c>
      <c r="H809" s="7" t="s">
        <v>3465</v>
      </c>
      <c r="I809" s="7" t="s">
        <v>3466</v>
      </c>
      <c r="J809" s="8">
        <v>4500.0</v>
      </c>
      <c r="K809" s="7" t="s">
        <v>16</v>
      </c>
      <c r="L809" s="7" t="s">
        <v>16</v>
      </c>
      <c r="M809" s="5" t="s">
        <v>88</v>
      </c>
      <c r="N809" s="5" t="s">
        <v>3467</v>
      </c>
      <c r="O809" s="5"/>
      <c r="P809" s="5"/>
      <c r="Q809" s="5"/>
      <c r="R809" s="5"/>
      <c r="S809" s="5"/>
      <c r="T809" s="5"/>
      <c r="U809" s="5"/>
      <c r="V809" s="5"/>
      <c r="W809" s="5"/>
      <c r="X809" s="5"/>
      <c r="Y809" s="5"/>
      <c r="Z809" s="5"/>
    </row>
    <row r="810">
      <c r="A810" s="34" t="s">
        <v>3468</v>
      </c>
      <c r="B810" s="5" t="s">
        <v>1067</v>
      </c>
      <c r="C810" s="7" t="s">
        <v>2523</v>
      </c>
      <c r="D810" s="7" t="s">
        <v>85</v>
      </c>
      <c r="E810" s="7" t="s">
        <v>16</v>
      </c>
      <c r="F810" s="7" t="s">
        <v>16</v>
      </c>
      <c r="G810" s="7" t="s">
        <v>461</v>
      </c>
      <c r="H810" s="7" t="s">
        <v>3469</v>
      </c>
      <c r="I810" s="7" t="s">
        <v>3470</v>
      </c>
      <c r="J810" s="8">
        <v>6000.0</v>
      </c>
      <c r="K810" s="7" t="s">
        <v>16</v>
      </c>
      <c r="L810" s="7" t="s">
        <v>16</v>
      </c>
      <c r="M810" s="5" t="s">
        <v>88</v>
      </c>
      <c r="N810" s="5" t="s">
        <v>3471</v>
      </c>
      <c r="O810" s="5"/>
      <c r="P810" s="5"/>
      <c r="Q810" s="5"/>
      <c r="R810" s="5"/>
      <c r="S810" s="5"/>
      <c r="T810" s="5"/>
      <c r="U810" s="5"/>
      <c r="V810" s="5"/>
      <c r="W810" s="5"/>
      <c r="X810" s="5"/>
      <c r="Y810" s="5"/>
      <c r="Z810" s="5"/>
    </row>
    <row r="811">
      <c r="A811" s="34" t="s">
        <v>3472</v>
      </c>
      <c r="B811" s="5" t="s">
        <v>1067</v>
      </c>
      <c r="C811" s="7" t="s">
        <v>2576</v>
      </c>
      <c r="D811" s="7" t="s">
        <v>2576</v>
      </c>
      <c r="E811" s="7" t="s">
        <v>16</v>
      </c>
      <c r="F811" s="7" t="s">
        <v>16</v>
      </c>
      <c r="G811" s="5" t="s">
        <v>461</v>
      </c>
      <c r="H811" s="7" t="s">
        <v>3473</v>
      </c>
      <c r="I811" s="7" t="s">
        <v>3474</v>
      </c>
      <c r="J811" s="8">
        <v>4500.0</v>
      </c>
      <c r="K811" s="7" t="s">
        <v>16</v>
      </c>
      <c r="L811" s="7" t="s">
        <v>16</v>
      </c>
      <c r="M811" s="5" t="s">
        <v>88</v>
      </c>
      <c r="N811" s="5" t="s">
        <v>3475</v>
      </c>
      <c r="O811" s="5"/>
      <c r="P811" s="5"/>
      <c r="Q811" s="5"/>
      <c r="R811" s="5"/>
      <c r="S811" s="5"/>
      <c r="T811" s="5"/>
      <c r="U811" s="5"/>
      <c r="V811" s="5"/>
      <c r="W811" s="5"/>
      <c r="X811" s="5"/>
      <c r="Y811" s="5"/>
      <c r="Z811" s="5"/>
    </row>
    <row r="812">
      <c r="A812" s="34" t="s">
        <v>3476</v>
      </c>
      <c r="B812" s="5" t="s">
        <v>1067</v>
      </c>
      <c r="C812" s="7" t="s">
        <v>3092</v>
      </c>
      <c r="D812" s="7" t="s">
        <v>3092</v>
      </c>
      <c r="E812" s="7" t="s">
        <v>16</v>
      </c>
      <c r="F812" s="7" t="s">
        <v>16</v>
      </c>
      <c r="G812" s="7" t="s">
        <v>19</v>
      </c>
      <c r="H812" s="7" t="s">
        <v>3477</v>
      </c>
      <c r="I812" s="7" t="s">
        <v>3478</v>
      </c>
      <c r="J812" s="8">
        <v>5000.0</v>
      </c>
      <c r="K812" s="7" t="s">
        <v>16</v>
      </c>
      <c r="L812" s="7" t="s">
        <v>16</v>
      </c>
      <c r="M812" s="5" t="s">
        <v>22</v>
      </c>
      <c r="N812" s="5" t="s">
        <v>3479</v>
      </c>
      <c r="O812" s="5"/>
      <c r="P812" s="5"/>
      <c r="Q812" s="5"/>
      <c r="R812" s="5"/>
      <c r="S812" s="5"/>
      <c r="T812" s="5"/>
      <c r="U812" s="5"/>
      <c r="V812" s="5"/>
      <c r="W812" s="5"/>
      <c r="X812" s="5"/>
      <c r="Y812" s="5"/>
      <c r="Z812" s="5"/>
    </row>
    <row r="813">
      <c r="A813" s="34" t="s">
        <v>3480</v>
      </c>
      <c r="B813" s="5" t="s">
        <v>1067</v>
      </c>
      <c r="C813" s="7" t="s">
        <v>3069</v>
      </c>
      <c r="D813" s="7" t="s">
        <v>3069</v>
      </c>
      <c r="E813" s="7" t="s">
        <v>16</v>
      </c>
      <c r="F813" s="7" t="s">
        <v>16</v>
      </c>
      <c r="G813" s="5" t="s">
        <v>19</v>
      </c>
      <c r="H813" s="7" t="s">
        <v>3481</v>
      </c>
      <c r="I813" s="7" t="s">
        <v>3482</v>
      </c>
      <c r="J813" s="8">
        <v>5000.0</v>
      </c>
      <c r="K813" s="7" t="s">
        <v>16</v>
      </c>
      <c r="L813" s="7" t="s">
        <v>16</v>
      </c>
      <c r="M813" s="5" t="s">
        <v>22</v>
      </c>
      <c r="N813" s="5" t="s">
        <v>3483</v>
      </c>
      <c r="O813" s="5"/>
      <c r="P813" s="5"/>
      <c r="Q813" s="5"/>
      <c r="R813" s="5"/>
      <c r="S813" s="5"/>
      <c r="T813" s="5"/>
      <c r="U813" s="5"/>
      <c r="V813" s="5"/>
      <c r="W813" s="5"/>
      <c r="X813" s="5"/>
      <c r="Y813" s="5"/>
      <c r="Z813" s="5"/>
    </row>
    <row r="814">
      <c r="A814" s="34" t="s">
        <v>3484</v>
      </c>
      <c r="B814" s="5" t="s">
        <v>1067</v>
      </c>
      <c r="C814" s="7" t="s">
        <v>3485</v>
      </c>
      <c r="D814" s="7" t="s">
        <v>3485</v>
      </c>
      <c r="E814" s="7" t="s">
        <v>16</v>
      </c>
      <c r="F814" s="7" t="s">
        <v>16</v>
      </c>
      <c r="G814" s="5" t="s">
        <v>19</v>
      </c>
      <c r="H814" s="7" t="s">
        <v>3486</v>
      </c>
      <c r="I814" s="7" t="s">
        <v>3487</v>
      </c>
      <c r="J814" s="7" t="s">
        <v>3488</v>
      </c>
      <c r="K814" s="7" t="s">
        <v>16</v>
      </c>
      <c r="L814" s="7" t="s">
        <v>16</v>
      </c>
      <c r="M814" s="5" t="s">
        <v>36</v>
      </c>
      <c r="N814" s="5" t="s">
        <v>3489</v>
      </c>
      <c r="O814" s="5"/>
      <c r="P814" s="5"/>
      <c r="Q814" s="5"/>
      <c r="R814" s="5"/>
      <c r="S814" s="5"/>
      <c r="T814" s="5"/>
      <c r="U814" s="5"/>
      <c r="V814" s="5"/>
      <c r="W814" s="5"/>
      <c r="X814" s="5"/>
      <c r="Y814" s="5"/>
      <c r="Z814" s="5"/>
    </row>
    <row r="815">
      <c r="A815" s="34" t="s">
        <v>3490</v>
      </c>
      <c r="B815" s="5" t="s">
        <v>1067</v>
      </c>
      <c r="C815" s="7" t="s">
        <v>3084</v>
      </c>
      <c r="D815" s="7" t="s">
        <v>3084</v>
      </c>
      <c r="E815" s="7" t="s">
        <v>16</v>
      </c>
      <c r="F815" s="7" t="s">
        <v>16</v>
      </c>
      <c r="G815" s="7" t="s">
        <v>19</v>
      </c>
      <c r="H815" s="7" t="s">
        <v>3491</v>
      </c>
      <c r="I815" s="7" t="s">
        <v>3492</v>
      </c>
      <c r="J815" s="8">
        <v>4000.0</v>
      </c>
      <c r="K815" s="7" t="s">
        <v>16</v>
      </c>
      <c r="L815" s="7" t="s">
        <v>16</v>
      </c>
      <c r="M815" s="5" t="s">
        <v>22</v>
      </c>
      <c r="N815" s="5" t="s">
        <v>3493</v>
      </c>
      <c r="O815" s="5"/>
      <c r="P815" s="5"/>
      <c r="Q815" s="5"/>
      <c r="R815" s="5"/>
      <c r="S815" s="5"/>
      <c r="T815" s="5"/>
      <c r="U815" s="5"/>
      <c r="V815" s="5"/>
      <c r="W815" s="5"/>
      <c r="X815" s="5"/>
      <c r="Y815" s="5"/>
      <c r="Z815" s="5"/>
    </row>
    <row r="816">
      <c r="A816" s="34" t="s">
        <v>3494</v>
      </c>
      <c r="B816" s="5" t="s">
        <v>1067</v>
      </c>
      <c r="C816" s="7" t="s">
        <v>1691</v>
      </c>
      <c r="D816" s="7" t="s">
        <v>1691</v>
      </c>
      <c r="E816" s="7" t="s">
        <v>16</v>
      </c>
      <c r="F816" s="7" t="s">
        <v>16</v>
      </c>
      <c r="G816" s="5" t="s">
        <v>461</v>
      </c>
      <c r="H816" s="7" t="s">
        <v>3495</v>
      </c>
      <c r="I816" s="7" t="s">
        <v>3496</v>
      </c>
      <c r="J816" s="8">
        <v>1500.0</v>
      </c>
      <c r="K816" s="7" t="s">
        <v>16</v>
      </c>
      <c r="L816" s="7" t="s">
        <v>16</v>
      </c>
      <c r="M816" s="5" t="s">
        <v>22</v>
      </c>
      <c r="N816" s="5" t="s">
        <v>3497</v>
      </c>
      <c r="O816" s="5"/>
      <c r="P816" s="5"/>
      <c r="Q816" s="5"/>
      <c r="R816" s="5"/>
      <c r="S816" s="5"/>
      <c r="T816" s="5"/>
      <c r="U816" s="5"/>
      <c r="V816" s="5"/>
      <c r="W816" s="5"/>
      <c r="X816" s="5"/>
      <c r="Y816" s="5"/>
      <c r="Z816" s="5"/>
    </row>
    <row r="817">
      <c r="A817" s="34" t="s">
        <v>3498</v>
      </c>
      <c r="B817" s="5" t="s">
        <v>1067</v>
      </c>
      <c r="C817" s="7" t="s">
        <v>3499</v>
      </c>
      <c r="D817" s="7" t="s">
        <v>16</v>
      </c>
      <c r="E817" s="7" t="s">
        <v>16</v>
      </c>
      <c r="F817" s="7" t="s">
        <v>16</v>
      </c>
      <c r="G817" s="5" t="s">
        <v>19</v>
      </c>
      <c r="H817" s="7" t="s">
        <v>3500</v>
      </c>
      <c r="I817" s="7" t="s">
        <v>3501</v>
      </c>
      <c r="J817" s="8">
        <v>4000.0</v>
      </c>
      <c r="K817" s="7" t="s">
        <v>16</v>
      </c>
      <c r="L817" s="7" t="s">
        <v>16</v>
      </c>
      <c r="M817" s="5" t="s">
        <v>22</v>
      </c>
      <c r="N817" s="5" t="s">
        <v>3502</v>
      </c>
      <c r="O817" s="5"/>
      <c r="P817" s="5"/>
      <c r="Q817" s="5"/>
      <c r="R817" s="5"/>
      <c r="S817" s="5"/>
      <c r="T817" s="5"/>
      <c r="U817" s="5"/>
      <c r="V817" s="5"/>
      <c r="W817" s="5"/>
      <c r="X817" s="5"/>
      <c r="Y817" s="5"/>
      <c r="Z817" s="5"/>
    </row>
    <row r="818">
      <c r="A818" s="34" t="s">
        <v>3503</v>
      </c>
      <c r="B818" s="5" t="s">
        <v>1985</v>
      </c>
      <c r="C818" s="7" t="s">
        <v>3504</v>
      </c>
      <c r="D818" s="7" t="s">
        <v>3505</v>
      </c>
      <c r="E818" s="7" t="s">
        <v>16</v>
      </c>
      <c r="F818" s="7" t="s">
        <v>16</v>
      </c>
      <c r="G818" s="5" t="s">
        <v>19</v>
      </c>
      <c r="H818" s="7" t="s">
        <v>3506</v>
      </c>
      <c r="I818" s="7" t="s">
        <v>3507</v>
      </c>
      <c r="J818" s="8">
        <v>4000.0</v>
      </c>
      <c r="K818" s="7" t="s">
        <v>16</v>
      </c>
      <c r="L818" s="7" t="s">
        <v>16</v>
      </c>
      <c r="M818" s="5" t="s">
        <v>36</v>
      </c>
      <c r="N818" s="5" t="s">
        <v>3508</v>
      </c>
      <c r="O818" s="5"/>
      <c r="P818" s="5"/>
      <c r="Q818" s="5"/>
      <c r="R818" s="5"/>
      <c r="S818" s="5"/>
      <c r="T818" s="5"/>
      <c r="U818" s="5"/>
      <c r="V818" s="5"/>
      <c r="W818" s="5"/>
      <c r="X818" s="5"/>
      <c r="Y818" s="5"/>
      <c r="Z818" s="5"/>
    </row>
    <row r="819">
      <c r="A819" s="34" t="s">
        <v>3509</v>
      </c>
      <c r="B819" s="5" t="s">
        <v>1985</v>
      </c>
      <c r="C819" s="7" t="s">
        <v>3510</v>
      </c>
      <c r="D819" s="7" t="s">
        <v>3511</v>
      </c>
      <c r="E819" s="7" t="s">
        <v>16</v>
      </c>
      <c r="F819" s="7" t="s">
        <v>16</v>
      </c>
      <c r="G819" s="7" t="s">
        <v>19</v>
      </c>
      <c r="H819" s="7" t="s">
        <v>3512</v>
      </c>
      <c r="I819" s="7" t="s">
        <v>3513</v>
      </c>
      <c r="J819" s="8">
        <v>6000.0</v>
      </c>
      <c r="K819" s="7" t="s">
        <v>16</v>
      </c>
      <c r="L819" s="7" t="s">
        <v>16</v>
      </c>
      <c r="M819" s="5" t="s">
        <v>22</v>
      </c>
      <c r="N819" s="5" t="s">
        <v>3514</v>
      </c>
      <c r="O819" s="5"/>
      <c r="P819" s="5"/>
      <c r="Q819" s="5"/>
      <c r="R819" s="5"/>
      <c r="S819" s="5"/>
      <c r="T819" s="5"/>
      <c r="U819" s="5"/>
      <c r="V819" s="5"/>
      <c r="W819" s="5"/>
      <c r="X819" s="5"/>
      <c r="Y819" s="5"/>
      <c r="Z819" s="5"/>
    </row>
    <row r="820">
      <c r="A820" s="34" t="s">
        <v>3515</v>
      </c>
      <c r="B820" s="5" t="s">
        <v>2426</v>
      </c>
      <c r="C820" s="7" t="s">
        <v>3516</v>
      </c>
      <c r="D820" s="7" t="s">
        <v>3069</v>
      </c>
      <c r="E820" s="7" t="s">
        <v>16</v>
      </c>
      <c r="F820" s="7" t="s">
        <v>16</v>
      </c>
      <c r="G820" s="5" t="s">
        <v>461</v>
      </c>
      <c r="H820" s="7" t="s">
        <v>3517</v>
      </c>
      <c r="I820" s="7" t="s">
        <v>3518</v>
      </c>
      <c r="J820" s="8">
        <v>6000.0</v>
      </c>
      <c r="K820" s="7" t="s">
        <v>16</v>
      </c>
      <c r="L820" s="7" t="s">
        <v>16</v>
      </c>
      <c r="M820" s="5" t="s">
        <v>75</v>
      </c>
      <c r="N820" s="5" t="s">
        <v>3519</v>
      </c>
      <c r="O820" s="5"/>
      <c r="P820" s="5"/>
      <c r="Q820" s="5"/>
      <c r="R820" s="5"/>
      <c r="S820" s="5"/>
      <c r="T820" s="5"/>
      <c r="U820" s="5"/>
      <c r="V820" s="5"/>
      <c r="W820" s="5"/>
      <c r="X820" s="5"/>
      <c r="Y820" s="5"/>
      <c r="Z820" s="5"/>
    </row>
    <row r="821">
      <c r="A821" s="34" t="s">
        <v>3520</v>
      </c>
      <c r="B821" s="5" t="s">
        <v>2426</v>
      </c>
      <c r="C821" s="7" t="s">
        <v>3521</v>
      </c>
      <c r="D821" s="7" t="s">
        <v>3522</v>
      </c>
      <c r="E821" s="7" t="s">
        <v>16</v>
      </c>
      <c r="F821" s="7" t="s">
        <v>16</v>
      </c>
      <c r="G821" s="5" t="s">
        <v>461</v>
      </c>
      <c r="H821" s="7" t="s">
        <v>3523</v>
      </c>
      <c r="I821" s="7" t="s">
        <v>3524</v>
      </c>
      <c r="J821" s="8">
        <v>5000.0</v>
      </c>
      <c r="K821" s="7" t="s">
        <v>16</v>
      </c>
      <c r="L821" s="7" t="s">
        <v>16</v>
      </c>
      <c r="M821" s="5" t="s">
        <v>36</v>
      </c>
      <c r="N821" s="5" t="s">
        <v>3525</v>
      </c>
      <c r="O821" s="5"/>
      <c r="P821" s="5"/>
      <c r="Q821" s="5"/>
      <c r="R821" s="5"/>
      <c r="S821" s="5"/>
      <c r="T821" s="5"/>
      <c r="U821" s="5"/>
      <c r="V821" s="5"/>
      <c r="W821" s="5"/>
      <c r="X821" s="5"/>
      <c r="Y821" s="5"/>
      <c r="Z821" s="5"/>
    </row>
    <row r="822">
      <c r="A822" s="34" t="s">
        <v>3526</v>
      </c>
      <c r="B822" s="5" t="s">
        <v>2973</v>
      </c>
      <c r="C822" s="7" t="s">
        <v>3092</v>
      </c>
      <c r="D822" s="7" t="s">
        <v>3092</v>
      </c>
      <c r="E822" s="7" t="s">
        <v>16</v>
      </c>
      <c r="F822" s="7" t="s">
        <v>16</v>
      </c>
      <c r="G822" s="5" t="s">
        <v>461</v>
      </c>
      <c r="H822" s="7" t="s">
        <v>3527</v>
      </c>
      <c r="I822" s="7" t="s">
        <v>3528</v>
      </c>
      <c r="J822" s="8">
        <v>5500.0</v>
      </c>
      <c r="K822" s="7" t="s">
        <v>16</v>
      </c>
      <c r="L822" s="7" t="s">
        <v>16</v>
      </c>
      <c r="M822" s="5" t="s">
        <v>75</v>
      </c>
      <c r="N822" s="5" t="s">
        <v>3529</v>
      </c>
      <c r="O822" s="5"/>
      <c r="P822" s="5"/>
      <c r="Q822" s="5"/>
      <c r="R822" s="5"/>
      <c r="S822" s="5"/>
      <c r="T822" s="5"/>
      <c r="U822" s="5"/>
      <c r="V822" s="5"/>
      <c r="W822" s="5"/>
      <c r="X822" s="5"/>
      <c r="Y822" s="5"/>
      <c r="Z822" s="5"/>
    </row>
    <row r="823">
      <c r="A823" s="34" t="s">
        <v>3530</v>
      </c>
      <c r="B823" s="5" t="s">
        <v>2973</v>
      </c>
      <c r="C823" s="7" t="s">
        <v>3069</v>
      </c>
      <c r="D823" s="7" t="s">
        <v>3069</v>
      </c>
      <c r="E823" s="7" t="s">
        <v>16</v>
      </c>
      <c r="F823" s="7" t="s">
        <v>16</v>
      </c>
      <c r="G823" s="5" t="s">
        <v>461</v>
      </c>
      <c r="H823" s="7" t="s">
        <v>3531</v>
      </c>
      <c r="I823" s="7" t="s">
        <v>3532</v>
      </c>
      <c r="J823" s="8">
        <v>5500.0</v>
      </c>
      <c r="K823" s="7" t="s">
        <v>16</v>
      </c>
      <c r="L823" s="7" t="s">
        <v>16</v>
      </c>
      <c r="M823" s="5" t="s">
        <v>75</v>
      </c>
      <c r="N823" s="5" t="s">
        <v>3533</v>
      </c>
      <c r="O823" s="5"/>
      <c r="P823" s="5"/>
      <c r="Q823" s="5"/>
      <c r="R823" s="5"/>
      <c r="S823" s="5"/>
      <c r="T823" s="5"/>
      <c r="U823" s="5"/>
      <c r="V823" s="5"/>
      <c r="W823" s="5"/>
      <c r="X823" s="5"/>
      <c r="Y823" s="5"/>
      <c r="Z823" s="5"/>
    </row>
    <row r="824">
      <c r="A824" s="34" t="s">
        <v>3534</v>
      </c>
      <c r="B824" s="5" t="s">
        <v>2973</v>
      </c>
      <c r="C824" s="7" t="s">
        <v>1199</v>
      </c>
      <c r="D824" s="7" t="s">
        <v>1199</v>
      </c>
      <c r="E824" s="7" t="s">
        <v>16</v>
      </c>
      <c r="F824" s="7" t="s">
        <v>16</v>
      </c>
      <c r="G824" s="5" t="s">
        <v>461</v>
      </c>
      <c r="H824" s="7" t="s">
        <v>3535</v>
      </c>
      <c r="I824" s="7" t="s">
        <v>3536</v>
      </c>
      <c r="J824" s="8">
        <v>7000.0</v>
      </c>
      <c r="K824" s="7" t="s">
        <v>16</v>
      </c>
      <c r="L824" s="7" t="s">
        <v>16</v>
      </c>
      <c r="M824" s="5" t="s">
        <v>75</v>
      </c>
      <c r="N824" s="5" t="s">
        <v>3537</v>
      </c>
      <c r="O824" s="5"/>
      <c r="P824" s="5"/>
      <c r="Q824" s="5"/>
      <c r="R824" s="5"/>
      <c r="S824" s="5"/>
      <c r="T824" s="5"/>
      <c r="U824" s="5"/>
      <c r="V824" s="5"/>
      <c r="W824" s="5"/>
      <c r="X824" s="5"/>
      <c r="Y824" s="5"/>
      <c r="Z824" s="5"/>
    </row>
    <row r="825">
      <c r="A825" s="34" t="s">
        <v>3538</v>
      </c>
      <c r="B825" s="5" t="s">
        <v>2973</v>
      </c>
      <c r="C825" s="7" t="s">
        <v>3297</v>
      </c>
      <c r="D825" s="7" t="s">
        <v>3297</v>
      </c>
      <c r="E825" s="7" t="s">
        <v>16</v>
      </c>
      <c r="F825" s="7" t="s">
        <v>16</v>
      </c>
      <c r="G825" s="5" t="s">
        <v>461</v>
      </c>
      <c r="H825" s="7" t="s">
        <v>3539</v>
      </c>
      <c r="I825" s="7" t="s">
        <v>3540</v>
      </c>
      <c r="J825" s="8">
        <v>99999.0</v>
      </c>
      <c r="K825" s="7" t="s">
        <v>16</v>
      </c>
      <c r="L825" s="7" t="s">
        <v>16</v>
      </c>
      <c r="M825" s="5" t="s">
        <v>75</v>
      </c>
      <c r="N825" s="5" t="s">
        <v>3541</v>
      </c>
      <c r="O825" s="5"/>
      <c r="P825" s="5"/>
      <c r="Q825" s="5"/>
      <c r="R825" s="5"/>
      <c r="S825" s="5"/>
      <c r="T825" s="5"/>
      <c r="U825" s="5"/>
      <c r="V825" s="5"/>
      <c r="W825" s="5"/>
      <c r="X825" s="5"/>
      <c r="Y825" s="5"/>
      <c r="Z825" s="5"/>
    </row>
    <row r="826">
      <c r="A826" s="34" t="s">
        <v>3542</v>
      </c>
      <c r="B826" s="5" t="s">
        <v>3543</v>
      </c>
      <c r="C826" s="7" t="s">
        <v>3544</v>
      </c>
      <c r="D826" s="7" t="s">
        <v>3545</v>
      </c>
      <c r="E826" s="7" t="s">
        <v>16</v>
      </c>
      <c r="F826" s="7" t="s">
        <v>16</v>
      </c>
      <c r="G826" s="7" t="s">
        <v>461</v>
      </c>
      <c r="H826" s="7" t="s">
        <v>3546</v>
      </c>
      <c r="I826" s="7" t="s">
        <v>3547</v>
      </c>
      <c r="J826" s="8">
        <v>5000.0</v>
      </c>
      <c r="K826" s="7" t="s">
        <v>16</v>
      </c>
      <c r="L826" s="7" t="s">
        <v>16</v>
      </c>
      <c r="M826" s="5" t="s">
        <v>75</v>
      </c>
      <c r="N826" s="5" t="s">
        <v>3548</v>
      </c>
      <c r="O826" s="5"/>
      <c r="P826" s="5"/>
      <c r="Q826" s="5"/>
      <c r="R826" s="5"/>
      <c r="S826" s="5"/>
      <c r="T826" s="5"/>
      <c r="U826" s="5"/>
      <c r="V826" s="5"/>
      <c r="W826" s="5"/>
      <c r="X826" s="5"/>
      <c r="Y826" s="5"/>
      <c r="Z826" s="5"/>
    </row>
    <row r="827">
      <c r="A827" s="34" t="s">
        <v>3549</v>
      </c>
      <c r="B827" s="5" t="s">
        <v>1067</v>
      </c>
      <c r="C827" s="7" t="s">
        <v>1194</v>
      </c>
      <c r="D827" s="7" t="s">
        <v>1194</v>
      </c>
      <c r="E827" s="7" t="s">
        <v>16</v>
      </c>
      <c r="F827" s="7" t="s">
        <v>16</v>
      </c>
      <c r="G827" s="5" t="s">
        <v>461</v>
      </c>
      <c r="H827" s="7" t="s">
        <v>3550</v>
      </c>
      <c r="I827" s="7" t="s">
        <v>3551</v>
      </c>
      <c r="J827" s="8">
        <v>5000.0</v>
      </c>
      <c r="K827" s="7" t="s">
        <v>16</v>
      </c>
      <c r="L827" s="7" t="s">
        <v>16</v>
      </c>
      <c r="M827" s="5" t="s">
        <v>88</v>
      </c>
      <c r="N827" s="5" t="s">
        <v>3552</v>
      </c>
      <c r="O827" s="5"/>
      <c r="P827" s="5"/>
      <c r="Q827" s="5"/>
      <c r="R827" s="5"/>
      <c r="S827" s="5"/>
      <c r="T827" s="5"/>
      <c r="U827" s="5"/>
      <c r="V827" s="5"/>
      <c r="W827" s="5"/>
      <c r="X827" s="5"/>
      <c r="Y827" s="5"/>
      <c r="Z827" s="5"/>
    </row>
    <row r="828">
      <c r="A828" s="34" t="s">
        <v>3553</v>
      </c>
      <c r="B828" s="5" t="s">
        <v>1067</v>
      </c>
      <c r="C828" s="7" t="s">
        <v>1748</v>
      </c>
      <c r="D828" s="7" t="s">
        <v>1748</v>
      </c>
      <c r="E828" s="7" t="s">
        <v>16</v>
      </c>
      <c r="F828" s="7" t="s">
        <v>16</v>
      </c>
      <c r="G828" s="5" t="s">
        <v>461</v>
      </c>
      <c r="H828" s="7" t="s">
        <v>3554</v>
      </c>
      <c r="I828" s="7" t="s">
        <v>3555</v>
      </c>
      <c r="J828" s="8">
        <v>6000.0</v>
      </c>
      <c r="K828" s="7" t="s">
        <v>16</v>
      </c>
      <c r="L828" s="7" t="s">
        <v>16</v>
      </c>
      <c r="M828" s="5" t="s">
        <v>88</v>
      </c>
      <c r="N828" s="5" t="s">
        <v>3556</v>
      </c>
      <c r="O828" s="5"/>
      <c r="P828" s="5"/>
      <c r="Q828" s="5"/>
      <c r="R828" s="5"/>
      <c r="S828" s="5"/>
      <c r="T828" s="5"/>
      <c r="U828" s="5"/>
      <c r="V828" s="5"/>
      <c r="W828" s="5"/>
      <c r="X828" s="5"/>
      <c r="Y828" s="5"/>
      <c r="Z828" s="5"/>
    </row>
    <row r="829">
      <c r="A829" s="34" t="s">
        <v>3557</v>
      </c>
      <c r="B829" s="5" t="s">
        <v>1067</v>
      </c>
      <c r="C829" s="7" t="s">
        <v>3558</v>
      </c>
      <c r="D829" s="7" t="s">
        <v>3079</v>
      </c>
      <c r="E829" s="7" t="s">
        <v>16</v>
      </c>
      <c r="F829" s="7" t="s">
        <v>16</v>
      </c>
      <c r="G829" s="5" t="s">
        <v>461</v>
      </c>
      <c r="H829" s="7" t="s">
        <v>3559</v>
      </c>
      <c r="I829" s="7" t="s">
        <v>3560</v>
      </c>
      <c r="J829" s="7" t="s">
        <v>3488</v>
      </c>
      <c r="K829" s="7" t="s">
        <v>16</v>
      </c>
      <c r="L829" s="7" t="s">
        <v>16</v>
      </c>
      <c r="M829" s="5" t="s">
        <v>22</v>
      </c>
      <c r="N829" s="5" t="s">
        <v>3561</v>
      </c>
      <c r="O829" s="5"/>
      <c r="P829" s="5"/>
      <c r="Q829" s="5"/>
      <c r="R829" s="5"/>
      <c r="S829" s="5"/>
      <c r="T829" s="5"/>
      <c r="U829" s="5"/>
      <c r="V829" s="5"/>
      <c r="W829" s="5"/>
      <c r="X829" s="5"/>
      <c r="Y829" s="5"/>
      <c r="Z829" s="5"/>
    </row>
    <row r="830">
      <c r="A830" s="34" t="s">
        <v>3562</v>
      </c>
      <c r="B830" s="5" t="s">
        <v>1067</v>
      </c>
      <c r="C830" s="7" t="s">
        <v>3563</v>
      </c>
      <c r="D830" s="7" t="s">
        <v>3563</v>
      </c>
      <c r="E830" s="7" t="s">
        <v>16</v>
      </c>
      <c r="F830" s="7" t="s">
        <v>16</v>
      </c>
      <c r="G830" s="5" t="s">
        <v>19</v>
      </c>
      <c r="H830" s="7" t="s">
        <v>3564</v>
      </c>
      <c r="I830" s="7" t="s">
        <v>3565</v>
      </c>
      <c r="J830" s="7" t="s">
        <v>3488</v>
      </c>
      <c r="K830" s="7" t="s">
        <v>16</v>
      </c>
      <c r="L830" s="7" t="s">
        <v>16</v>
      </c>
      <c r="M830" s="5" t="s">
        <v>22</v>
      </c>
      <c r="N830" s="5" t="s">
        <v>3566</v>
      </c>
      <c r="O830" s="5"/>
      <c r="P830" s="5"/>
      <c r="Q830" s="5"/>
      <c r="R830" s="5"/>
      <c r="S830" s="5"/>
      <c r="T830" s="5"/>
      <c r="U830" s="5"/>
      <c r="V830" s="5"/>
      <c r="W830" s="5"/>
      <c r="X830" s="5"/>
      <c r="Y830" s="5"/>
      <c r="Z830" s="5"/>
    </row>
    <row r="831">
      <c r="A831" s="34" t="s">
        <v>3567</v>
      </c>
      <c r="B831" s="5" t="s">
        <v>1067</v>
      </c>
      <c r="C831" s="7" t="s">
        <v>3568</v>
      </c>
      <c r="D831" s="7" t="s">
        <v>3568</v>
      </c>
      <c r="E831" s="7" t="s">
        <v>16</v>
      </c>
      <c r="F831" s="7" t="s">
        <v>16</v>
      </c>
      <c r="G831" s="5" t="s">
        <v>461</v>
      </c>
      <c r="H831" s="7" t="s">
        <v>3569</v>
      </c>
      <c r="I831" s="7" t="s">
        <v>3570</v>
      </c>
      <c r="J831" s="8">
        <v>7000.0</v>
      </c>
      <c r="K831" s="7" t="s">
        <v>16</v>
      </c>
      <c r="L831" s="7" t="s">
        <v>16</v>
      </c>
      <c r="M831" s="5" t="s">
        <v>36</v>
      </c>
      <c r="N831" s="5" t="s">
        <v>3571</v>
      </c>
      <c r="O831" s="5"/>
      <c r="P831" s="5"/>
      <c r="Q831" s="5"/>
      <c r="R831" s="5"/>
      <c r="S831" s="5"/>
      <c r="T831" s="5"/>
      <c r="U831" s="5"/>
      <c r="V831" s="5"/>
      <c r="W831" s="5"/>
      <c r="X831" s="5"/>
      <c r="Y831" s="5"/>
      <c r="Z831" s="5"/>
    </row>
    <row r="832">
      <c r="A832" s="34" t="s">
        <v>3572</v>
      </c>
      <c r="B832" s="5" t="s">
        <v>1067</v>
      </c>
      <c r="C832" s="7" t="s">
        <v>3573</v>
      </c>
      <c r="D832" s="7" t="s">
        <v>3574</v>
      </c>
      <c r="E832" s="7" t="s">
        <v>16</v>
      </c>
      <c r="F832" s="7" t="s">
        <v>16</v>
      </c>
      <c r="G832" s="5" t="s">
        <v>19</v>
      </c>
      <c r="H832" s="7" t="s">
        <v>3575</v>
      </c>
      <c r="I832" s="7" t="s">
        <v>3576</v>
      </c>
      <c r="J832" s="7" t="s">
        <v>3488</v>
      </c>
      <c r="K832" s="7" t="s">
        <v>16</v>
      </c>
      <c r="L832" s="7" t="s">
        <v>16</v>
      </c>
      <c r="M832" s="5" t="s">
        <v>22</v>
      </c>
      <c r="N832" s="5" t="s">
        <v>3577</v>
      </c>
      <c r="O832" s="5"/>
      <c r="P832" s="5"/>
      <c r="Q832" s="5"/>
      <c r="R832" s="5"/>
      <c r="S832" s="5"/>
      <c r="T832" s="5"/>
      <c r="U832" s="5"/>
      <c r="V832" s="5"/>
      <c r="W832" s="5"/>
      <c r="X832" s="5"/>
      <c r="Y832" s="5"/>
      <c r="Z832" s="5"/>
    </row>
    <row r="833">
      <c r="A833" s="34" t="s">
        <v>3578</v>
      </c>
      <c r="B833" s="5" t="s">
        <v>1067</v>
      </c>
      <c r="C833" s="7" t="s">
        <v>1199</v>
      </c>
      <c r="D833" s="7" t="s">
        <v>1199</v>
      </c>
      <c r="E833" s="7" t="s">
        <v>16</v>
      </c>
      <c r="F833" s="7" t="s">
        <v>16</v>
      </c>
      <c r="G833" s="7" t="s">
        <v>19</v>
      </c>
      <c r="H833" s="7" t="s">
        <v>3579</v>
      </c>
      <c r="I833" s="7" t="s">
        <v>3580</v>
      </c>
      <c r="J833" s="8">
        <v>7000.0</v>
      </c>
      <c r="K833" s="7" t="s">
        <v>16</v>
      </c>
      <c r="L833" s="7" t="s">
        <v>16</v>
      </c>
      <c r="M833" s="5" t="s">
        <v>88</v>
      </c>
      <c r="N833" s="5" t="s">
        <v>3581</v>
      </c>
      <c r="O833" s="5"/>
      <c r="P833" s="5"/>
      <c r="Q833" s="5"/>
      <c r="R833" s="5"/>
      <c r="S833" s="5"/>
      <c r="T833" s="5"/>
      <c r="U833" s="5"/>
      <c r="V833" s="5"/>
      <c r="W833" s="5"/>
      <c r="X833" s="5"/>
      <c r="Y833" s="5"/>
      <c r="Z833" s="5"/>
    </row>
    <row r="834">
      <c r="A834" s="34" t="s">
        <v>3582</v>
      </c>
      <c r="B834" s="5" t="s">
        <v>1067</v>
      </c>
      <c r="C834" s="7" t="s">
        <v>3583</v>
      </c>
      <c r="D834" s="7" t="s">
        <v>3583</v>
      </c>
      <c r="E834" s="7" t="s">
        <v>16</v>
      </c>
      <c r="F834" s="7" t="s">
        <v>16</v>
      </c>
      <c r="G834" s="5" t="s">
        <v>19</v>
      </c>
      <c r="H834" s="7" t="s">
        <v>3584</v>
      </c>
      <c r="I834" s="7" t="s">
        <v>3585</v>
      </c>
      <c r="J834" s="8">
        <v>4000.0</v>
      </c>
      <c r="K834" s="7" t="s">
        <v>16</v>
      </c>
      <c r="L834" s="7" t="s">
        <v>16</v>
      </c>
      <c r="M834" s="5" t="s">
        <v>22</v>
      </c>
      <c r="N834" s="5" t="s">
        <v>3586</v>
      </c>
      <c r="O834" s="5"/>
      <c r="P834" s="5"/>
      <c r="Q834" s="5"/>
      <c r="R834" s="5"/>
      <c r="S834" s="5"/>
      <c r="T834" s="5"/>
      <c r="U834" s="5"/>
      <c r="V834" s="5"/>
      <c r="W834" s="5"/>
      <c r="X834" s="5"/>
      <c r="Y834" s="5"/>
      <c r="Z834" s="5"/>
    </row>
    <row r="835">
      <c r="A835" s="34" t="s">
        <v>3587</v>
      </c>
      <c r="B835" s="5" t="s">
        <v>1067</v>
      </c>
      <c r="C835" s="7" t="s">
        <v>3588</v>
      </c>
      <c r="D835" s="7" t="s">
        <v>16</v>
      </c>
      <c r="E835" s="7" t="s">
        <v>16</v>
      </c>
      <c r="F835" s="7" t="s">
        <v>16</v>
      </c>
      <c r="G835" s="5" t="s">
        <v>19</v>
      </c>
      <c r="H835" s="7" t="s">
        <v>3589</v>
      </c>
      <c r="I835" s="7" t="s">
        <v>3590</v>
      </c>
      <c r="J835" s="8">
        <v>6000.0</v>
      </c>
      <c r="K835" s="7" t="s">
        <v>16</v>
      </c>
      <c r="L835" s="7" t="s">
        <v>16</v>
      </c>
      <c r="M835" s="5" t="s">
        <v>36</v>
      </c>
      <c r="N835" s="5" t="s">
        <v>3591</v>
      </c>
      <c r="O835" s="5"/>
      <c r="P835" s="5"/>
      <c r="Q835" s="5"/>
      <c r="R835" s="5"/>
      <c r="S835" s="5"/>
      <c r="T835" s="5"/>
      <c r="U835" s="5"/>
      <c r="V835" s="5"/>
      <c r="W835" s="5"/>
      <c r="X835" s="5"/>
      <c r="Y835" s="5"/>
      <c r="Z835" s="5"/>
    </row>
    <row r="836">
      <c r="A836" s="34" t="s">
        <v>3592</v>
      </c>
      <c r="B836" s="5" t="s">
        <v>1067</v>
      </c>
      <c r="C836" s="7" t="s">
        <v>863</v>
      </c>
      <c r="D836" s="7" t="s">
        <v>16</v>
      </c>
      <c r="E836" s="7" t="s">
        <v>16</v>
      </c>
      <c r="F836" s="7" t="s">
        <v>16</v>
      </c>
      <c r="G836" s="5" t="s">
        <v>19</v>
      </c>
      <c r="H836" s="7" t="s">
        <v>3593</v>
      </c>
      <c r="I836" s="7" t="s">
        <v>3594</v>
      </c>
      <c r="J836" s="8">
        <v>6000.0</v>
      </c>
      <c r="K836" s="7" t="s">
        <v>16</v>
      </c>
      <c r="L836" s="7" t="s">
        <v>16</v>
      </c>
      <c r="M836" s="5" t="s">
        <v>36</v>
      </c>
      <c r="N836" s="5" t="s">
        <v>3595</v>
      </c>
      <c r="O836" s="5"/>
      <c r="P836" s="5"/>
      <c r="Q836" s="5"/>
      <c r="R836" s="5"/>
      <c r="S836" s="5"/>
      <c r="T836" s="5"/>
      <c r="U836" s="5"/>
      <c r="V836" s="5"/>
      <c r="W836" s="5"/>
      <c r="X836" s="5"/>
      <c r="Y836" s="5"/>
      <c r="Z836" s="5"/>
    </row>
    <row r="837">
      <c r="A837" s="35" t="s">
        <v>3596</v>
      </c>
      <c r="B837" s="5" t="s">
        <v>3454</v>
      </c>
      <c r="C837" s="7" t="s">
        <v>3597</v>
      </c>
      <c r="D837" s="7" t="s">
        <v>3598</v>
      </c>
      <c r="E837" s="7" t="s">
        <v>16</v>
      </c>
      <c r="F837" s="7" t="s">
        <v>16</v>
      </c>
      <c r="G837" s="5" t="s">
        <v>19</v>
      </c>
      <c r="H837" s="7" t="s">
        <v>3599</v>
      </c>
      <c r="I837" s="7" t="s">
        <v>3600</v>
      </c>
      <c r="J837" s="8">
        <v>5000.0</v>
      </c>
      <c r="K837" s="7" t="s">
        <v>16</v>
      </c>
      <c r="L837" s="7" t="s">
        <v>16</v>
      </c>
      <c r="M837" s="5" t="s">
        <v>88</v>
      </c>
      <c r="N837" s="5" t="s">
        <v>3601</v>
      </c>
      <c r="O837" s="5"/>
      <c r="P837" s="5"/>
      <c r="Q837" s="5"/>
      <c r="R837" s="5"/>
      <c r="S837" s="5"/>
      <c r="T837" s="5"/>
      <c r="U837" s="5"/>
      <c r="V837" s="5"/>
      <c r="W837" s="5"/>
      <c r="X837" s="5"/>
      <c r="Y837" s="5"/>
      <c r="Z837" s="5"/>
    </row>
    <row r="838">
      <c r="A838" s="35" t="s">
        <v>3602</v>
      </c>
      <c r="B838" s="5" t="s">
        <v>2426</v>
      </c>
      <c r="C838" s="7" t="s">
        <v>3603</v>
      </c>
      <c r="D838" s="7" t="s">
        <v>3604</v>
      </c>
      <c r="E838" s="7" t="s">
        <v>16</v>
      </c>
      <c r="F838" s="7" t="s">
        <v>16</v>
      </c>
      <c r="G838" s="5" t="s">
        <v>326</v>
      </c>
      <c r="H838" s="7" t="s">
        <v>3605</v>
      </c>
      <c r="I838" s="7" t="s">
        <v>3606</v>
      </c>
      <c r="J838" s="8">
        <v>99999.0</v>
      </c>
      <c r="K838" s="7" t="s">
        <v>16</v>
      </c>
      <c r="L838" s="7" t="s">
        <v>16</v>
      </c>
      <c r="M838" s="5" t="s">
        <v>75</v>
      </c>
      <c r="N838" s="5" t="s">
        <v>3607</v>
      </c>
      <c r="O838" s="5"/>
      <c r="P838" s="5"/>
      <c r="Q838" s="5"/>
      <c r="R838" s="5"/>
      <c r="S838" s="5"/>
      <c r="T838" s="5"/>
      <c r="U838" s="5"/>
      <c r="V838" s="5"/>
      <c r="W838" s="5"/>
      <c r="X838" s="5"/>
      <c r="Y838" s="5"/>
      <c r="Z838" s="5"/>
    </row>
    <row r="839">
      <c r="A839" s="34" t="s">
        <v>3608</v>
      </c>
      <c r="B839" s="5" t="s">
        <v>2973</v>
      </c>
      <c r="C839" s="7" t="s">
        <v>1068</v>
      </c>
      <c r="D839" s="7" t="s">
        <v>1068</v>
      </c>
      <c r="E839" s="7" t="s">
        <v>16</v>
      </c>
      <c r="F839" s="7" t="s">
        <v>16</v>
      </c>
      <c r="G839" s="5" t="s">
        <v>461</v>
      </c>
      <c r="H839" s="7" t="s">
        <v>3609</v>
      </c>
      <c r="I839" s="7" t="s">
        <v>3610</v>
      </c>
      <c r="J839" s="8">
        <v>5500.0</v>
      </c>
      <c r="K839" s="7" t="s">
        <v>16</v>
      </c>
      <c r="L839" s="7" t="s">
        <v>16</v>
      </c>
      <c r="M839" s="5" t="s">
        <v>75</v>
      </c>
      <c r="N839" s="5" t="s">
        <v>3611</v>
      </c>
      <c r="O839" s="5"/>
      <c r="P839" s="5"/>
      <c r="Q839" s="5"/>
      <c r="R839" s="5"/>
      <c r="S839" s="5"/>
      <c r="T839" s="5"/>
      <c r="U839" s="5"/>
      <c r="V839" s="5"/>
      <c r="W839" s="5"/>
      <c r="X839" s="5"/>
      <c r="Y839" s="5"/>
      <c r="Z839" s="5"/>
    </row>
    <row r="840">
      <c r="A840" s="34" t="s">
        <v>3612</v>
      </c>
      <c r="B840" s="5" t="s">
        <v>2973</v>
      </c>
      <c r="C840" s="7" t="s">
        <v>2576</v>
      </c>
      <c r="D840" s="7" t="s">
        <v>2576</v>
      </c>
      <c r="E840" s="7" t="s">
        <v>16</v>
      </c>
      <c r="F840" s="7" t="s">
        <v>16</v>
      </c>
      <c r="G840" s="7" t="s">
        <v>461</v>
      </c>
      <c r="H840" s="7" t="s">
        <v>2099</v>
      </c>
      <c r="I840" s="7" t="s">
        <v>3613</v>
      </c>
      <c r="J840" s="8">
        <v>5000.0</v>
      </c>
      <c r="K840" s="7" t="s">
        <v>16</v>
      </c>
      <c r="L840" s="7" t="s">
        <v>16</v>
      </c>
      <c r="M840" s="5" t="s">
        <v>75</v>
      </c>
      <c r="N840" s="5" t="s">
        <v>3614</v>
      </c>
      <c r="O840" s="5"/>
      <c r="P840" s="5"/>
      <c r="Q840" s="5"/>
      <c r="R840" s="5"/>
      <c r="S840" s="5"/>
      <c r="T840" s="5"/>
      <c r="U840" s="5"/>
      <c r="V840" s="5"/>
      <c r="W840" s="5"/>
      <c r="X840" s="5"/>
      <c r="Y840" s="5"/>
      <c r="Z840" s="5"/>
    </row>
    <row r="841">
      <c r="A841" s="34" t="s">
        <v>3615</v>
      </c>
      <c r="B841" s="5" t="s">
        <v>2973</v>
      </c>
      <c r="C841" s="7" t="s">
        <v>3084</v>
      </c>
      <c r="D841" s="7" t="s">
        <v>3084</v>
      </c>
      <c r="E841" s="7" t="s">
        <v>16</v>
      </c>
      <c r="F841" s="7" t="s">
        <v>16</v>
      </c>
      <c r="G841" s="7" t="s">
        <v>461</v>
      </c>
      <c r="H841" s="7" t="s">
        <v>3616</v>
      </c>
      <c r="I841" s="7" t="s">
        <v>3617</v>
      </c>
      <c r="J841" s="8">
        <v>5000.0</v>
      </c>
      <c r="K841" s="7" t="s">
        <v>16</v>
      </c>
      <c r="L841" s="7" t="s">
        <v>16</v>
      </c>
      <c r="M841" s="5" t="s">
        <v>75</v>
      </c>
      <c r="N841" s="5" t="s">
        <v>3618</v>
      </c>
      <c r="O841" s="5"/>
      <c r="P841" s="5"/>
      <c r="Q841" s="5"/>
      <c r="R841" s="5"/>
      <c r="S841" s="5"/>
      <c r="T841" s="5"/>
      <c r="U841" s="5"/>
      <c r="V841" s="5"/>
      <c r="W841" s="5"/>
      <c r="X841" s="5"/>
      <c r="Y841" s="5"/>
      <c r="Z841" s="5"/>
    </row>
    <row r="842">
      <c r="A842" s="34" t="s">
        <v>3619</v>
      </c>
      <c r="B842" s="5" t="s">
        <v>3543</v>
      </c>
      <c r="C842" s="7" t="s">
        <v>3620</v>
      </c>
      <c r="D842" s="7" t="s">
        <v>3268</v>
      </c>
      <c r="E842" s="7" t="s">
        <v>16</v>
      </c>
      <c r="F842" s="7" t="s">
        <v>16</v>
      </c>
      <c r="G842" s="5" t="s">
        <v>461</v>
      </c>
      <c r="H842" s="7" t="s">
        <v>3621</v>
      </c>
      <c r="I842" s="7" t="s">
        <v>3622</v>
      </c>
      <c r="J842" s="8">
        <v>6000.0</v>
      </c>
      <c r="K842" s="7" t="s">
        <v>16</v>
      </c>
      <c r="L842" s="7" t="s">
        <v>16</v>
      </c>
      <c r="M842" s="5" t="s">
        <v>75</v>
      </c>
      <c r="N842" s="5" t="s">
        <v>3623</v>
      </c>
      <c r="O842" s="5"/>
      <c r="P842" s="5"/>
      <c r="Q842" s="5"/>
      <c r="R842" s="5"/>
      <c r="S842" s="5"/>
      <c r="T842" s="5"/>
      <c r="U842" s="5"/>
      <c r="V842" s="5"/>
      <c r="W842" s="5"/>
      <c r="X842" s="5"/>
      <c r="Y842" s="5"/>
      <c r="Z842" s="5"/>
    </row>
    <row r="843">
      <c r="A843" s="34" t="s">
        <v>3624</v>
      </c>
      <c r="B843" s="5" t="s">
        <v>3625</v>
      </c>
      <c r="C843" s="7" t="s">
        <v>3109</v>
      </c>
      <c r="D843" s="7" t="s">
        <v>3110</v>
      </c>
      <c r="E843" s="7" t="s">
        <v>16</v>
      </c>
      <c r="F843" s="7" t="s">
        <v>16</v>
      </c>
      <c r="G843" s="5" t="s">
        <v>461</v>
      </c>
      <c r="H843" s="7" t="s">
        <v>3626</v>
      </c>
      <c r="I843" s="7" t="s">
        <v>3627</v>
      </c>
      <c r="J843" s="8">
        <v>6000.0</v>
      </c>
      <c r="K843" s="7" t="s">
        <v>16</v>
      </c>
      <c r="L843" s="7" t="s">
        <v>16</v>
      </c>
      <c r="M843" s="5" t="s">
        <v>75</v>
      </c>
      <c r="N843" s="5" t="s">
        <v>3628</v>
      </c>
      <c r="O843" s="5"/>
      <c r="P843" s="5"/>
      <c r="Q843" s="5"/>
      <c r="R843" s="5"/>
      <c r="S843" s="5"/>
      <c r="T843" s="5"/>
      <c r="U843" s="5"/>
      <c r="V843" s="5"/>
      <c r="W843" s="5"/>
      <c r="X843" s="5"/>
      <c r="Y843" s="5"/>
      <c r="Z843" s="5"/>
    </row>
    <row r="844">
      <c r="A844" s="34" t="s">
        <v>3629</v>
      </c>
      <c r="B844" s="5" t="s">
        <v>3625</v>
      </c>
      <c r="C844" s="7" t="s">
        <v>3446</v>
      </c>
      <c r="D844" s="7" t="s">
        <v>3630</v>
      </c>
      <c r="E844" s="7" t="s">
        <v>16</v>
      </c>
      <c r="F844" s="7" t="s">
        <v>16</v>
      </c>
      <c r="G844" s="5" t="s">
        <v>326</v>
      </c>
      <c r="H844" s="7" t="s">
        <v>497</v>
      </c>
      <c r="I844" s="7" t="s">
        <v>3631</v>
      </c>
      <c r="J844" s="8">
        <v>7000.0</v>
      </c>
      <c r="K844" s="7" t="s">
        <v>16</v>
      </c>
      <c r="L844" s="7" t="s">
        <v>16</v>
      </c>
      <c r="M844" s="5" t="s">
        <v>75</v>
      </c>
      <c r="N844" s="5" t="s">
        <v>3632</v>
      </c>
      <c r="O844" s="5"/>
      <c r="P844" s="5"/>
      <c r="Q844" s="5"/>
      <c r="R844" s="5"/>
      <c r="S844" s="5"/>
      <c r="T844" s="5"/>
      <c r="U844" s="5"/>
      <c r="V844" s="5"/>
      <c r="W844" s="5"/>
      <c r="X844" s="5"/>
      <c r="Y844" s="5"/>
      <c r="Z844" s="5"/>
    </row>
    <row r="845">
      <c r="A845" s="6" t="s">
        <v>3633</v>
      </c>
      <c r="B845" s="5" t="s">
        <v>3634</v>
      </c>
      <c r="C845" s="7" t="s">
        <v>3635</v>
      </c>
      <c r="D845" s="7" t="s">
        <v>16</v>
      </c>
      <c r="E845" s="7" t="s">
        <v>16</v>
      </c>
      <c r="F845" s="7" t="s">
        <v>16</v>
      </c>
      <c r="G845" s="5" t="s">
        <v>19</v>
      </c>
      <c r="H845" s="7" t="s">
        <v>16</v>
      </c>
      <c r="I845" s="7" t="s">
        <v>3636</v>
      </c>
      <c r="J845" s="7" t="s">
        <v>16</v>
      </c>
      <c r="K845" s="7" t="s">
        <v>16</v>
      </c>
      <c r="L845" s="7" t="s">
        <v>3637</v>
      </c>
      <c r="M845" s="5" t="s">
        <v>75</v>
      </c>
      <c r="N845" s="5" t="s">
        <v>3638</v>
      </c>
      <c r="O845" s="5"/>
      <c r="P845" s="5"/>
      <c r="Q845" s="5"/>
      <c r="R845" s="5"/>
      <c r="S845" s="5"/>
      <c r="T845" s="5"/>
      <c r="U845" s="5"/>
      <c r="V845" s="5"/>
      <c r="W845" s="5"/>
      <c r="X845" s="5"/>
      <c r="Y845" s="5"/>
      <c r="Z845" s="5"/>
    </row>
    <row r="846">
      <c r="A846" s="6" t="s">
        <v>3639</v>
      </c>
      <c r="B846" s="5" t="s">
        <v>3634</v>
      </c>
      <c r="C846" s="7" t="s">
        <v>3640</v>
      </c>
      <c r="D846" s="7" t="s">
        <v>16</v>
      </c>
      <c r="E846" s="7" t="s">
        <v>16</v>
      </c>
      <c r="F846" s="7" t="s">
        <v>16</v>
      </c>
      <c r="G846" s="5" t="s">
        <v>19</v>
      </c>
      <c r="H846" s="7" t="s">
        <v>16</v>
      </c>
      <c r="I846" s="7" t="s">
        <v>3641</v>
      </c>
      <c r="J846" s="7" t="s">
        <v>16</v>
      </c>
      <c r="K846" s="7" t="s">
        <v>16</v>
      </c>
      <c r="L846" s="7" t="s">
        <v>283</v>
      </c>
      <c r="M846" s="5" t="s">
        <v>75</v>
      </c>
      <c r="N846" s="5" t="s">
        <v>3642</v>
      </c>
      <c r="O846" s="5"/>
      <c r="P846" s="5"/>
      <c r="Q846" s="5"/>
      <c r="R846" s="5"/>
      <c r="S846" s="5"/>
      <c r="T846" s="5"/>
      <c r="U846" s="5"/>
      <c r="V846" s="5"/>
      <c r="W846" s="5"/>
      <c r="X846" s="5"/>
      <c r="Y846" s="5"/>
      <c r="Z846" s="5"/>
    </row>
    <row r="847">
      <c r="A847" s="6" t="s">
        <v>3643</v>
      </c>
      <c r="B847" s="5" t="s">
        <v>3634</v>
      </c>
      <c r="C847" s="7" t="s">
        <v>3644</v>
      </c>
      <c r="D847" s="7" t="s">
        <v>16</v>
      </c>
      <c r="E847" s="7" t="s">
        <v>16</v>
      </c>
      <c r="F847" s="7" t="s">
        <v>16</v>
      </c>
      <c r="G847" s="5" t="s">
        <v>19</v>
      </c>
      <c r="H847" s="7" t="s">
        <v>16</v>
      </c>
      <c r="I847" s="7" t="s">
        <v>3645</v>
      </c>
      <c r="J847" s="7" t="s">
        <v>16</v>
      </c>
      <c r="K847" s="7" t="s">
        <v>16</v>
      </c>
      <c r="L847" s="7" t="s">
        <v>3637</v>
      </c>
      <c r="M847" s="5" t="s">
        <v>75</v>
      </c>
      <c r="N847" s="5" t="s">
        <v>3646</v>
      </c>
      <c r="O847" s="5"/>
      <c r="P847" s="5"/>
      <c r="Q847" s="5"/>
      <c r="R847" s="5"/>
      <c r="S847" s="5"/>
      <c r="T847" s="5"/>
      <c r="U847" s="5"/>
      <c r="V847" s="5"/>
      <c r="W847" s="5"/>
      <c r="X847" s="5"/>
      <c r="Y847" s="5"/>
      <c r="Z847" s="5"/>
    </row>
    <row r="848">
      <c r="A848" s="6" t="s">
        <v>3647</v>
      </c>
      <c r="B848" s="5" t="s">
        <v>3634</v>
      </c>
      <c r="C848" s="7" t="s">
        <v>3648</v>
      </c>
      <c r="D848" s="7" t="s">
        <v>16</v>
      </c>
      <c r="E848" s="7" t="s">
        <v>16</v>
      </c>
      <c r="F848" s="7" t="s">
        <v>16</v>
      </c>
      <c r="G848" s="5" t="s">
        <v>19</v>
      </c>
      <c r="H848" s="7" t="s">
        <v>16</v>
      </c>
      <c r="I848" s="7" t="s">
        <v>3649</v>
      </c>
      <c r="J848" s="7" t="s">
        <v>16</v>
      </c>
      <c r="K848" s="7" t="s">
        <v>16</v>
      </c>
      <c r="L848" s="7" t="s">
        <v>283</v>
      </c>
      <c r="M848" s="5" t="s">
        <v>75</v>
      </c>
      <c r="N848" s="5" t="s">
        <v>3650</v>
      </c>
      <c r="O848" s="5"/>
      <c r="P848" s="5"/>
      <c r="Q848" s="5"/>
      <c r="R848" s="5"/>
      <c r="S848" s="5"/>
      <c r="T848" s="5"/>
      <c r="U848" s="5"/>
      <c r="V848" s="5"/>
      <c r="W848" s="5"/>
      <c r="X848" s="5"/>
      <c r="Y848" s="5"/>
      <c r="Z848" s="5"/>
    </row>
    <row r="849">
      <c r="A849" s="6" t="s">
        <v>3651</v>
      </c>
      <c r="B849" s="5" t="s">
        <v>3634</v>
      </c>
      <c r="C849" s="7" t="s">
        <v>3652</v>
      </c>
      <c r="D849" s="7" t="s">
        <v>16</v>
      </c>
      <c r="E849" s="7" t="s">
        <v>16</v>
      </c>
      <c r="F849" s="7" t="s">
        <v>16</v>
      </c>
      <c r="G849" s="5" t="s">
        <v>19</v>
      </c>
      <c r="H849" s="7" t="s">
        <v>16</v>
      </c>
      <c r="I849" s="7" t="s">
        <v>3653</v>
      </c>
      <c r="J849" s="7" t="s">
        <v>16</v>
      </c>
      <c r="K849" s="7" t="s">
        <v>16</v>
      </c>
      <c r="L849" s="7" t="s">
        <v>3654</v>
      </c>
      <c r="M849" s="5" t="s">
        <v>75</v>
      </c>
      <c r="N849" s="5" t="s">
        <v>3655</v>
      </c>
      <c r="O849" s="5"/>
      <c r="P849" s="5"/>
      <c r="Q849" s="5"/>
      <c r="R849" s="5"/>
      <c r="S849" s="5"/>
      <c r="T849" s="5"/>
      <c r="U849" s="5"/>
      <c r="V849" s="5"/>
      <c r="W849" s="5"/>
      <c r="X849" s="5"/>
      <c r="Y849" s="5"/>
      <c r="Z849" s="5"/>
    </row>
    <row r="850">
      <c r="A850" s="6" t="s">
        <v>3656</v>
      </c>
      <c r="B850" s="5" t="s">
        <v>3634</v>
      </c>
      <c r="C850" s="7" t="s">
        <v>3657</v>
      </c>
      <c r="D850" s="7" t="s">
        <v>16</v>
      </c>
      <c r="E850" s="7" t="s">
        <v>16</v>
      </c>
      <c r="F850" s="7" t="s">
        <v>16</v>
      </c>
      <c r="G850" s="5" t="s">
        <v>19</v>
      </c>
      <c r="H850" s="7" t="s">
        <v>16</v>
      </c>
      <c r="I850" s="7" t="s">
        <v>3658</v>
      </c>
      <c r="J850" s="7" t="s">
        <v>16</v>
      </c>
      <c r="K850" s="7" t="s">
        <v>16</v>
      </c>
      <c r="L850" s="7" t="s">
        <v>3659</v>
      </c>
      <c r="M850" s="5" t="s">
        <v>75</v>
      </c>
      <c r="N850" s="5" t="s">
        <v>3660</v>
      </c>
      <c r="O850" s="5"/>
      <c r="P850" s="5"/>
      <c r="Q850" s="5"/>
      <c r="R850" s="5"/>
      <c r="S850" s="5"/>
      <c r="T850" s="5"/>
      <c r="U850" s="5"/>
      <c r="V850" s="5"/>
      <c r="W850" s="5"/>
      <c r="X850" s="5"/>
      <c r="Y850" s="5"/>
      <c r="Z850" s="5"/>
    </row>
    <row r="851">
      <c r="A851" s="6" t="s">
        <v>3661</v>
      </c>
      <c r="B851" s="5" t="s">
        <v>3634</v>
      </c>
      <c r="C851" s="7" t="s">
        <v>3662</v>
      </c>
      <c r="D851" s="7" t="s">
        <v>16</v>
      </c>
      <c r="E851" s="7" t="s">
        <v>16</v>
      </c>
      <c r="F851" s="7" t="s">
        <v>16</v>
      </c>
      <c r="G851" s="5" t="s">
        <v>19</v>
      </c>
      <c r="H851" s="7" t="s">
        <v>16</v>
      </c>
      <c r="I851" s="7" t="s">
        <v>3663</v>
      </c>
      <c r="J851" s="7" t="s">
        <v>16</v>
      </c>
      <c r="K851" s="7" t="s">
        <v>16</v>
      </c>
      <c r="L851" s="7" t="s">
        <v>3664</v>
      </c>
      <c r="M851" s="5" t="s">
        <v>75</v>
      </c>
      <c r="N851" s="5" t="s">
        <v>3665</v>
      </c>
      <c r="O851" s="5"/>
      <c r="P851" s="5"/>
      <c r="Q851" s="5"/>
      <c r="R851" s="5"/>
      <c r="S851" s="5"/>
      <c r="T851" s="5"/>
      <c r="U851" s="5"/>
      <c r="V851" s="5"/>
      <c r="W851" s="5"/>
      <c r="X851" s="5"/>
      <c r="Y851" s="5"/>
      <c r="Z851" s="5"/>
    </row>
    <row r="852">
      <c r="A852" s="6" t="s">
        <v>3666</v>
      </c>
      <c r="B852" s="5" t="s">
        <v>3634</v>
      </c>
      <c r="C852" s="7" t="s">
        <v>3667</v>
      </c>
      <c r="D852" s="7" t="s">
        <v>16</v>
      </c>
      <c r="E852" s="7" t="s">
        <v>16</v>
      </c>
      <c r="F852" s="7" t="s">
        <v>16</v>
      </c>
      <c r="G852" s="5" t="s">
        <v>19</v>
      </c>
      <c r="H852" s="7" t="s">
        <v>16</v>
      </c>
      <c r="I852" s="7" t="s">
        <v>3668</v>
      </c>
      <c r="J852" s="7" t="s">
        <v>16</v>
      </c>
      <c r="K852" s="7" t="s">
        <v>16</v>
      </c>
      <c r="L852" s="7" t="s">
        <v>3669</v>
      </c>
      <c r="M852" s="5" t="s">
        <v>75</v>
      </c>
      <c r="N852" s="5" t="s">
        <v>3670</v>
      </c>
      <c r="O852" s="5"/>
      <c r="P852" s="5"/>
      <c r="Q852" s="5"/>
      <c r="R852" s="5"/>
      <c r="S852" s="5"/>
      <c r="T852" s="5"/>
      <c r="U852" s="5"/>
      <c r="V852" s="5"/>
      <c r="W852" s="5"/>
      <c r="X852" s="5"/>
      <c r="Y852" s="5"/>
      <c r="Z852" s="5"/>
    </row>
    <row r="853">
      <c r="A853" s="6" t="s">
        <v>3671</v>
      </c>
      <c r="B853" s="5" t="s">
        <v>3634</v>
      </c>
      <c r="C853" s="7" t="s">
        <v>3667</v>
      </c>
      <c r="D853" s="7" t="s">
        <v>16</v>
      </c>
      <c r="E853" s="7" t="s">
        <v>16</v>
      </c>
      <c r="F853" s="7" t="s">
        <v>16</v>
      </c>
      <c r="G853" s="5" t="s">
        <v>19</v>
      </c>
      <c r="H853" s="7" t="s">
        <v>16</v>
      </c>
      <c r="I853" s="7" t="s">
        <v>3672</v>
      </c>
      <c r="J853" s="7" t="s">
        <v>16</v>
      </c>
      <c r="K853" s="7" t="s">
        <v>16</v>
      </c>
      <c r="L853" s="7" t="s">
        <v>3669</v>
      </c>
      <c r="M853" s="5" t="s">
        <v>75</v>
      </c>
      <c r="N853" s="5" t="s">
        <v>3670</v>
      </c>
      <c r="O853" s="5"/>
      <c r="P853" s="5"/>
      <c r="Q853" s="5"/>
      <c r="R853" s="5"/>
      <c r="S853" s="5"/>
      <c r="T853" s="5"/>
      <c r="U853" s="5"/>
      <c r="V853" s="5"/>
      <c r="W853" s="5"/>
      <c r="X853" s="5"/>
      <c r="Y853" s="5"/>
      <c r="Z853" s="5"/>
    </row>
    <row r="854">
      <c r="A854" s="6" t="s">
        <v>3673</v>
      </c>
      <c r="B854" s="5" t="s">
        <v>3634</v>
      </c>
      <c r="C854" s="7" t="s">
        <v>3674</v>
      </c>
      <c r="D854" s="7" t="s">
        <v>16</v>
      </c>
      <c r="E854" s="7" t="s">
        <v>16</v>
      </c>
      <c r="F854" s="7" t="s">
        <v>16</v>
      </c>
      <c r="G854" s="5" t="s">
        <v>19</v>
      </c>
      <c r="H854" s="7" t="s">
        <v>16</v>
      </c>
      <c r="I854" s="7" t="s">
        <v>3675</v>
      </c>
      <c r="J854" s="7" t="s">
        <v>16</v>
      </c>
      <c r="K854" s="7" t="s">
        <v>16</v>
      </c>
      <c r="L854" s="7" t="s">
        <v>3664</v>
      </c>
      <c r="M854" s="5" t="s">
        <v>88</v>
      </c>
      <c r="N854" s="5" t="s">
        <v>3676</v>
      </c>
      <c r="O854" s="5"/>
      <c r="P854" s="5"/>
      <c r="Q854" s="5"/>
      <c r="R854" s="5"/>
      <c r="S854" s="5"/>
      <c r="T854" s="5"/>
      <c r="U854" s="5"/>
      <c r="V854" s="5"/>
      <c r="W854" s="5"/>
      <c r="X854" s="5"/>
      <c r="Y854" s="5"/>
      <c r="Z854" s="5"/>
    </row>
    <row r="855">
      <c r="A855" s="6" t="s">
        <v>3677</v>
      </c>
      <c r="B855" s="5" t="s">
        <v>3634</v>
      </c>
      <c r="C855" s="7" t="s">
        <v>3678</v>
      </c>
      <c r="D855" s="7" t="s">
        <v>16</v>
      </c>
      <c r="E855" s="7" t="s">
        <v>16</v>
      </c>
      <c r="F855" s="7" t="s">
        <v>16</v>
      </c>
      <c r="G855" s="5" t="s">
        <v>19</v>
      </c>
      <c r="H855" s="7" t="s">
        <v>16</v>
      </c>
      <c r="I855" s="7" t="s">
        <v>3679</v>
      </c>
      <c r="J855" s="7" t="s">
        <v>16</v>
      </c>
      <c r="K855" s="7" t="s">
        <v>16</v>
      </c>
      <c r="L855" s="7" t="s">
        <v>3669</v>
      </c>
      <c r="M855" s="5" t="s">
        <v>75</v>
      </c>
      <c r="N855" s="5" t="s">
        <v>3680</v>
      </c>
      <c r="O855" s="5"/>
      <c r="P855" s="5"/>
      <c r="Q855" s="5"/>
      <c r="R855" s="5"/>
      <c r="S855" s="5"/>
      <c r="T855" s="5"/>
      <c r="U855" s="5"/>
      <c r="V855" s="5"/>
      <c r="W855" s="5"/>
      <c r="X855" s="5"/>
      <c r="Y855" s="5"/>
      <c r="Z855" s="5"/>
    </row>
    <row r="856">
      <c r="A856" s="6" t="s">
        <v>3681</v>
      </c>
      <c r="B856" s="5" t="s">
        <v>3634</v>
      </c>
      <c r="C856" s="7" t="s">
        <v>3678</v>
      </c>
      <c r="D856" s="7" t="s">
        <v>16</v>
      </c>
      <c r="E856" s="7" t="s">
        <v>16</v>
      </c>
      <c r="F856" s="7" t="s">
        <v>16</v>
      </c>
      <c r="G856" s="5" t="s">
        <v>19</v>
      </c>
      <c r="H856" s="7" t="s">
        <v>16</v>
      </c>
      <c r="I856" s="7" t="s">
        <v>3682</v>
      </c>
      <c r="J856" s="7" t="s">
        <v>16</v>
      </c>
      <c r="K856" s="7" t="s">
        <v>16</v>
      </c>
      <c r="L856" s="7" t="s">
        <v>3669</v>
      </c>
      <c r="M856" s="5" t="s">
        <v>75</v>
      </c>
      <c r="N856" s="5" t="s">
        <v>3680</v>
      </c>
      <c r="O856" s="5"/>
      <c r="P856" s="5"/>
      <c r="Q856" s="5"/>
      <c r="R856" s="5"/>
      <c r="S856" s="5"/>
      <c r="T856" s="5"/>
      <c r="U856" s="5"/>
      <c r="V856" s="5"/>
      <c r="W856" s="5"/>
      <c r="X856" s="5"/>
      <c r="Y856" s="5"/>
      <c r="Z856" s="5"/>
    </row>
    <row r="857">
      <c r="A857" s="6" t="s">
        <v>3683</v>
      </c>
      <c r="B857" s="5" t="s">
        <v>3634</v>
      </c>
      <c r="C857" s="7" t="s">
        <v>3684</v>
      </c>
      <c r="D857" s="7" t="s">
        <v>16</v>
      </c>
      <c r="E857" s="7" t="s">
        <v>16</v>
      </c>
      <c r="F857" s="7" t="s">
        <v>16</v>
      </c>
      <c r="G857" s="5" t="s">
        <v>19</v>
      </c>
      <c r="H857" s="7" t="s">
        <v>16</v>
      </c>
      <c r="I857" s="7" t="s">
        <v>3685</v>
      </c>
      <c r="J857" s="7" t="s">
        <v>16</v>
      </c>
      <c r="K857" s="7" t="s">
        <v>16</v>
      </c>
      <c r="L857" s="7" t="s">
        <v>3669</v>
      </c>
      <c r="M857" s="5" t="s">
        <v>75</v>
      </c>
      <c r="N857" s="5" t="s">
        <v>3686</v>
      </c>
      <c r="O857" s="5"/>
      <c r="P857" s="5"/>
      <c r="Q857" s="5"/>
      <c r="R857" s="5"/>
      <c r="S857" s="5"/>
      <c r="T857" s="5"/>
      <c r="U857" s="5"/>
      <c r="V857" s="5"/>
      <c r="W857" s="5"/>
      <c r="X857" s="5"/>
      <c r="Y857" s="5"/>
      <c r="Z857" s="5"/>
    </row>
    <row r="858">
      <c r="A858" s="17" t="s">
        <v>3687</v>
      </c>
      <c r="B858" s="5" t="s">
        <v>3634</v>
      </c>
      <c r="C858" s="7" t="s">
        <v>3684</v>
      </c>
      <c r="D858" s="7" t="s">
        <v>16</v>
      </c>
      <c r="E858" s="7" t="s">
        <v>16</v>
      </c>
      <c r="F858" s="7" t="s">
        <v>16</v>
      </c>
      <c r="G858" s="5" t="s">
        <v>19</v>
      </c>
      <c r="H858" s="7" t="s">
        <v>16</v>
      </c>
      <c r="I858" s="7" t="s">
        <v>3688</v>
      </c>
      <c r="J858" s="7" t="s">
        <v>16</v>
      </c>
      <c r="K858" s="7" t="s">
        <v>16</v>
      </c>
      <c r="L858" s="7" t="s">
        <v>3669</v>
      </c>
      <c r="M858" s="5" t="s">
        <v>75</v>
      </c>
      <c r="N858" s="5" t="s">
        <v>3686</v>
      </c>
      <c r="O858" s="5"/>
      <c r="P858" s="5"/>
      <c r="Q858" s="5"/>
      <c r="R858" s="5"/>
      <c r="S858" s="5"/>
      <c r="T858" s="5"/>
      <c r="U858" s="5"/>
      <c r="V858" s="5"/>
      <c r="W858" s="5"/>
      <c r="X858" s="5"/>
      <c r="Y858" s="5"/>
      <c r="Z858" s="5"/>
    </row>
    <row r="859">
      <c r="A859" s="17" t="s">
        <v>3689</v>
      </c>
      <c r="B859" s="5" t="s">
        <v>3634</v>
      </c>
      <c r="C859" s="7" t="s">
        <v>3690</v>
      </c>
      <c r="D859" s="7" t="s">
        <v>16</v>
      </c>
      <c r="E859" s="7" t="s">
        <v>16</v>
      </c>
      <c r="F859" s="7" t="s">
        <v>16</v>
      </c>
      <c r="G859" s="5" t="s">
        <v>19</v>
      </c>
      <c r="H859" s="7" t="s">
        <v>16</v>
      </c>
      <c r="I859" s="7" t="s">
        <v>3691</v>
      </c>
      <c r="J859" s="7" t="s">
        <v>16</v>
      </c>
      <c r="K859" s="7" t="s">
        <v>16</v>
      </c>
      <c r="L859" s="7" t="s">
        <v>3692</v>
      </c>
      <c r="M859" s="5" t="s">
        <v>75</v>
      </c>
      <c r="N859" s="5" t="s">
        <v>3693</v>
      </c>
      <c r="O859" s="5"/>
      <c r="P859" s="5"/>
      <c r="Q859" s="5"/>
      <c r="R859" s="5"/>
      <c r="S859" s="5"/>
      <c r="T859" s="5"/>
      <c r="U859" s="5"/>
      <c r="V859" s="5"/>
      <c r="W859" s="5"/>
      <c r="X859" s="5"/>
      <c r="Y859" s="5"/>
      <c r="Z859" s="5"/>
    </row>
    <row r="860">
      <c r="A860" s="6" t="s">
        <v>3694</v>
      </c>
      <c r="B860" s="5" t="s">
        <v>3634</v>
      </c>
      <c r="C860" s="7" t="s">
        <v>3674</v>
      </c>
      <c r="D860" s="7" t="s">
        <v>16</v>
      </c>
      <c r="E860" s="7" t="s">
        <v>16</v>
      </c>
      <c r="F860" s="7" t="s">
        <v>16</v>
      </c>
      <c r="G860" s="5" t="s">
        <v>19</v>
      </c>
      <c r="H860" s="7" t="s">
        <v>16</v>
      </c>
      <c r="I860" s="7" t="s">
        <v>3695</v>
      </c>
      <c r="J860" s="7" t="s">
        <v>16</v>
      </c>
      <c r="K860" s="7" t="s">
        <v>16</v>
      </c>
      <c r="L860" s="7" t="s">
        <v>16</v>
      </c>
      <c r="M860" s="5" t="s">
        <v>75</v>
      </c>
      <c r="N860" s="5" t="s">
        <v>3696</v>
      </c>
      <c r="O860" s="5"/>
      <c r="P860" s="5"/>
      <c r="Q860" s="5"/>
      <c r="R860" s="5"/>
      <c r="S860" s="5"/>
      <c r="T860" s="5"/>
      <c r="U860" s="5"/>
      <c r="V860" s="5"/>
      <c r="W860" s="5"/>
      <c r="X860" s="5"/>
      <c r="Y860" s="5"/>
      <c r="Z860" s="5"/>
    </row>
    <row r="861">
      <c r="A861" s="6" t="s">
        <v>3697</v>
      </c>
      <c r="B861" s="5" t="s">
        <v>1096</v>
      </c>
      <c r="C861" s="7" t="s">
        <v>1097</v>
      </c>
      <c r="D861" s="7" t="s">
        <v>1068</v>
      </c>
      <c r="E861" s="7" t="s">
        <v>16</v>
      </c>
      <c r="F861" s="7" t="s">
        <v>16</v>
      </c>
      <c r="G861" s="5" t="s">
        <v>19</v>
      </c>
      <c r="H861" s="7" t="s">
        <v>16</v>
      </c>
      <c r="I861" s="7" t="s">
        <v>3698</v>
      </c>
      <c r="J861" s="7" t="s">
        <v>16</v>
      </c>
      <c r="K861" s="7" t="s">
        <v>16</v>
      </c>
      <c r="L861" s="7" t="s">
        <v>21</v>
      </c>
      <c r="M861" s="5" t="s">
        <v>75</v>
      </c>
      <c r="N861" s="5" t="s">
        <v>3699</v>
      </c>
      <c r="O861" s="5"/>
      <c r="P861" s="5"/>
      <c r="Q861" s="5"/>
      <c r="R861" s="5"/>
      <c r="S861" s="5"/>
      <c r="T861" s="5"/>
      <c r="U861" s="5"/>
      <c r="V861" s="5"/>
      <c r="W861" s="5"/>
      <c r="X861" s="5"/>
      <c r="Y861" s="5"/>
      <c r="Z861" s="5"/>
    </row>
    <row r="862">
      <c r="A862" s="6" t="s">
        <v>3700</v>
      </c>
      <c r="B862" s="5" t="s">
        <v>1096</v>
      </c>
      <c r="C862" s="7" t="s">
        <v>3701</v>
      </c>
      <c r="D862" s="7" t="s">
        <v>1522</v>
      </c>
      <c r="E862" s="7" t="s">
        <v>16</v>
      </c>
      <c r="F862" s="7" t="s">
        <v>16</v>
      </c>
      <c r="G862" s="7" t="s">
        <v>19</v>
      </c>
      <c r="H862" s="7" t="s">
        <v>16</v>
      </c>
      <c r="I862" s="7" t="s">
        <v>3702</v>
      </c>
      <c r="J862" s="7" t="s">
        <v>16</v>
      </c>
      <c r="K862" s="7" t="s">
        <v>16</v>
      </c>
      <c r="L862" s="7" t="s">
        <v>80</v>
      </c>
      <c r="M862" s="5" t="s">
        <v>36</v>
      </c>
      <c r="N862" s="5" t="s">
        <v>3703</v>
      </c>
      <c r="O862" s="5"/>
      <c r="P862" s="5"/>
      <c r="Q862" s="5"/>
      <c r="R862" s="5"/>
      <c r="S862" s="5"/>
      <c r="T862" s="5"/>
      <c r="U862" s="5"/>
      <c r="V862" s="5"/>
      <c r="W862" s="5"/>
      <c r="X862" s="5"/>
      <c r="Y862" s="5"/>
      <c r="Z862" s="5"/>
    </row>
    <row r="863">
      <c r="A863" s="6" t="s">
        <v>3704</v>
      </c>
      <c r="B863" s="5" t="s">
        <v>1096</v>
      </c>
      <c r="C863" s="7" t="s">
        <v>1228</v>
      </c>
      <c r="D863" s="7" t="s">
        <v>1194</v>
      </c>
      <c r="E863" s="7" t="s">
        <v>16</v>
      </c>
      <c r="F863" s="7" t="s">
        <v>16</v>
      </c>
      <c r="G863" s="5" t="s">
        <v>19</v>
      </c>
      <c r="H863" s="7" t="s">
        <v>16</v>
      </c>
      <c r="I863" s="7" t="s">
        <v>3705</v>
      </c>
      <c r="J863" s="7" t="s">
        <v>16</v>
      </c>
      <c r="K863" s="7" t="s">
        <v>16</v>
      </c>
      <c r="L863" s="7" t="s">
        <v>80</v>
      </c>
      <c r="M863" s="5" t="s">
        <v>75</v>
      </c>
      <c r="N863" s="5" t="s">
        <v>3706</v>
      </c>
      <c r="O863" s="5"/>
      <c r="P863" s="5"/>
      <c r="Q863" s="5"/>
      <c r="R863" s="5"/>
      <c r="S863" s="5"/>
      <c r="T863" s="5"/>
      <c r="U863" s="5"/>
      <c r="V863" s="5"/>
      <c r="W863" s="5"/>
      <c r="X863" s="5"/>
      <c r="Y863" s="5"/>
      <c r="Z863" s="5"/>
    </row>
    <row r="864">
      <c r="A864" s="6" t="s">
        <v>3707</v>
      </c>
      <c r="B864" s="5" t="s">
        <v>1096</v>
      </c>
      <c r="C864" s="7" t="s">
        <v>1228</v>
      </c>
      <c r="D864" s="7" t="s">
        <v>1194</v>
      </c>
      <c r="E864" s="7" t="s">
        <v>16</v>
      </c>
      <c r="F864" s="7" t="s">
        <v>16</v>
      </c>
      <c r="G864" s="5" t="s">
        <v>19</v>
      </c>
      <c r="H864" s="7" t="s">
        <v>16</v>
      </c>
      <c r="I864" s="7" t="s">
        <v>3708</v>
      </c>
      <c r="J864" s="7" t="s">
        <v>16</v>
      </c>
      <c r="K864" s="7" t="s">
        <v>16</v>
      </c>
      <c r="L864" s="7" t="s">
        <v>80</v>
      </c>
      <c r="M864" s="5" t="s">
        <v>75</v>
      </c>
      <c r="N864" s="5" t="s">
        <v>3706</v>
      </c>
      <c r="O864" s="5"/>
      <c r="P864" s="5"/>
      <c r="Q864" s="5"/>
      <c r="R864" s="5"/>
      <c r="S864" s="5"/>
      <c r="T864" s="5"/>
      <c r="U864" s="5"/>
      <c r="V864" s="5"/>
      <c r="W864" s="5"/>
      <c r="X864" s="5"/>
      <c r="Y864" s="5"/>
      <c r="Z864" s="5"/>
    </row>
    <row r="865">
      <c r="A865" s="6" t="s">
        <v>3709</v>
      </c>
      <c r="B865" s="5" t="s">
        <v>1096</v>
      </c>
      <c r="C865" s="7" t="s">
        <v>3710</v>
      </c>
      <c r="D865" s="7" t="s">
        <v>1531</v>
      </c>
      <c r="E865" s="7" t="s">
        <v>16</v>
      </c>
      <c r="F865" s="7" t="s">
        <v>16</v>
      </c>
      <c r="G865" s="7" t="s">
        <v>19</v>
      </c>
      <c r="H865" s="7" t="s">
        <v>16</v>
      </c>
      <c r="I865" s="7" t="s">
        <v>3711</v>
      </c>
      <c r="J865" s="7" t="s">
        <v>16</v>
      </c>
      <c r="K865" s="7" t="s">
        <v>16</v>
      </c>
      <c r="L865" s="7" t="s">
        <v>21</v>
      </c>
      <c r="M865" s="5" t="s">
        <v>22</v>
      </c>
      <c r="N865" s="5" t="s">
        <v>3712</v>
      </c>
      <c r="O865" s="5"/>
      <c r="P865" s="5"/>
      <c r="Q865" s="5"/>
      <c r="R865" s="5"/>
      <c r="S865" s="5"/>
      <c r="T865" s="5"/>
      <c r="U865" s="5"/>
      <c r="V865" s="5"/>
      <c r="W865" s="5"/>
      <c r="X865" s="5"/>
      <c r="Y865" s="5"/>
      <c r="Z865" s="5"/>
    </row>
    <row r="866">
      <c r="A866" s="6" t="s">
        <v>3713</v>
      </c>
      <c r="B866" s="5" t="s">
        <v>1096</v>
      </c>
      <c r="C866" s="7" t="s">
        <v>3710</v>
      </c>
      <c r="D866" s="7" t="s">
        <v>1531</v>
      </c>
      <c r="E866" s="7" t="s">
        <v>16</v>
      </c>
      <c r="F866" s="7" t="s">
        <v>16</v>
      </c>
      <c r="G866" s="5" t="s">
        <v>19</v>
      </c>
      <c r="H866" s="7" t="s">
        <v>16</v>
      </c>
      <c r="I866" s="7" t="s">
        <v>3714</v>
      </c>
      <c r="J866" s="7" t="s">
        <v>16</v>
      </c>
      <c r="K866" s="7" t="s">
        <v>16</v>
      </c>
      <c r="L866" s="7" t="s">
        <v>21</v>
      </c>
      <c r="M866" s="5" t="s">
        <v>22</v>
      </c>
      <c r="N866" s="5" t="s">
        <v>3712</v>
      </c>
      <c r="O866" s="5"/>
      <c r="P866" s="5"/>
      <c r="Q866" s="5"/>
      <c r="R866" s="5"/>
      <c r="S866" s="5"/>
      <c r="T866" s="5"/>
      <c r="U866" s="5"/>
      <c r="V866" s="5"/>
      <c r="W866" s="5"/>
      <c r="X866" s="5"/>
      <c r="Y866" s="5"/>
      <c r="Z866" s="5"/>
    </row>
    <row r="867">
      <c r="A867" s="6" t="s">
        <v>3715</v>
      </c>
      <c r="B867" s="5" t="s">
        <v>1096</v>
      </c>
      <c r="C867" s="7" t="s">
        <v>3716</v>
      </c>
      <c r="D867" s="7" t="s">
        <v>1541</v>
      </c>
      <c r="E867" s="7" t="s">
        <v>16</v>
      </c>
      <c r="F867" s="7" t="s">
        <v>16</v>
      </c>
      <c r="G867" s="5" t="s">
        <v>19</v>
      </c>
      <c r="H867" s="7" t="s">
        <v>16</v>
      </c>
      <c r="I867" s="7" t="s">
        <v>3717</v>
      </c>
      <c r="J867" s="7" t="s">
        <v>16</v>
      </c>
      <c r="K867" s="7" t="s">
        <v>16</v>
      </c>
      <c r="L867" s="7" t="s">
        <v>21</v>
      </c>
      <c r="M867" s="5" t="s">
        <v>22</v>
      </c>
      <c r="N867" s="5" t="s">
        <v>3718</v>
      </c>
      <c r="O867" s="5"/>
      <c r="P867" s="5"/>
      <c r="Q867" s="5"/>
      <c r="R867" s="5"/>
      <c r="S867" s="5"/>
      <c r="T867" s="5"/>
      <c r="U867" s="5"/>
      <c r="V867" s="5"/>
      <c r="W867" s="5"/>
      <c r="X867" s="5"/>
      <c r="Y867" s="5"/>
      <c r="Z867" s="5"/>
    </row>
    <row r="868">
      <c r="A868" s="6" t="s">
        <v>3719</v>
      </c>
      <c r="B868" s="5" t="s">
        <v>1096</v>
      </c>
      <c r="C868" s="7" t="s">
        <v>3720</v>
      </c>
      <c r="D868" s="7" t="s">
        <v>1546</v>
      </c>
      <c r="E868" s="7" t="s">
        <v>16</v>
      </c>
      <c r="F868" s="7" t="s">
        <v>16</v>
      </c>
      <c r="G868" s="7" t="s">
        <v>19</v>
      </c>
      <c r="H868" s="7" t="s">
        <v>16</v>
      </c>
      <c r="I868" s="7" t="s">
        <v>3721</v>
      </c>
      <c r="J868" s="7" t="s">
        <v>16</v>
      </c>
      <c r="K868" s="7" t="s">
        <v>16</v>
      </c>
      <c r="L868" s="7" t="s">
        <v>3722</v>
      </c>
      <c r="M868" s="5" t="s">
        <v>36</v>
      </c>
      <c r="N868" s="5" t="s">
        <v>3723</v>
      </c>
      <c r="O868" s="5"/>
      <c r="P868" s="5"/>
      <c r="Q868" s="5"/>
      <c r="R868" s="5"/>
      <c r="S868" s="5"/>
      <c r="T868" s="5"/>
      <c r="U868" s="5"/>
      <c r="V868" s="5"/>
      <c r="W868" s="5"/>
      <c r="X868" s="5"/>
      <c r="Y868" s="5"/>
      <c r="Z868" s="5"/>
    </row>
    <row r="869">
      <c r="A869" s="6" t="s">
        <v>3724</v>
      </c>
      <c r="B869" s="5" t="s">
        <v>1096</v>
      </c>
      <c r="C869" s="7" t="s">
        <v>3720</v>
      </c>
      <c r="D869" s="7" t="s">
        <v>1546</v>
      </c>
      <c r="E869" s="7" t="s">
        <v>16</v>
      </c>
      <c r="F869" s="7" t="s">
        <v>16</v>
      </c>
      <c r="G869" s="5" t="s">
        <v>19</v>
      </c>
      <c r="H869" s="7" t="s">
        <v>16</v>
      </c>
      <c r="I869" s="7" t="s">
        <v>3725</v>
      </c>
      <c r="J869" s="7" t="s">
        <v>16</v>
      </c>
      <c r="K869" s="7" t="s">
        <v>16</v>
      </c>
      <c r="L869" s="7" t="s">
        <v>3722</v>
      </c>
      <c r="M869" s="5" t="s">
        <v>36</v>
      </c>
      <c r="N869" s="5" t="s">
        <v>3723</v>
      </c>
      <c r="O869" s="5"/>
      <c r="P869" s="5"/>
      <c r="Q869" s="5"/>
      <c r="R869" s="5"/>
      <c r="S869" s="5"/>
      <c r="T869" s="5"/>
      <c r="U869" s="5"/>
      <c r="V869" s="5"/>
      <c r="W869" s="5"/>
      <c r="X869" s="5"/>
      <c r="Y869" s="5"/>
      <c r="Z869" s="5"/>
    </row>
    <row r="870">
      <c r="A870" s="6" t="s">
        <v>3726</v>
      </c>
      <c r="B870" s="5" t="s">
        <v>1096</v>
      </c>
      <c r="C870" s="7" t="s">
        <v>1123</v>
      </c>
      <c r="D870" s="7" t="s">
        <v>1092</v>
      </c>
      <c r="E870" s="7" t="s">
        <v>16</v>
      </c>
      <c r="F870" s="7" t="s">
        <v>16</v>
      </c>
      <c r="G870" s="5" t="s">
        <v>19</v>
      </c>
      <c r="H870" s="7" t="s">
        <v>16</v>
      </c>
      <c r="I870" s="7" t="s">
        <v>3727</v>
      </c>
      <c r="J870" s="7" t="s">
        <v>16</v>
      </c>
      <c r="K870" s="7" t="s">
        <v>16</v>
      </c>
      <c r="L870" s="7" t="s">
        <v>21</v>
      </c>
      <c r="M870" s="5" t="s">
        <v>36</v>
      </c>
      <c r="N870" s="5" t="s">
        <v>3728</v>
      </c>
      <c r="O870" s="5"/>
      <c r="P870" s="5"/>
      <c r="Q870" s="5"/>
      <c r="R870" s="5"/>
      <c r="S870" s="5"/>
      <c r="T870" s="5"/>
      <c r="U870" s="5"/>
      <c r="V870" s="5"/>
      <c r="W870" s="5"/>
      <c r="X870" s="5"/>
      <c r="Y870" s="5"/>
      <c r="Z870" s="5"/>
    </row>
    <row r="871">
      <c r="A871" s="6" t="s">
        <v>3729</v>
      </c>
      <c r="B871" s="5" t="s">
        <v>1096</v>
      </c>
      <c r="C871" s="7" t="s">
        <v>1218</v>
      </c>
      <c r="D871" s="7" t="s">
        <v>1183</v>
      </c>
      <c r="E871" s="7" t="s">
        <v>16</v>
      </c>
      <c r="F871" s="7" t="s">
        <v>16</v>
      </c>
      <c r="G871" s="7" t="s">
        <v>19</v>
      </c>
      <c r="H871" s="7" t="s">
        <v>16</v>
      </c>
      <c r="I871" s="7" t="s">
        <v>3730</v>
      </c>
      <c r="J871" s="7" t="s">
        <v>16</v>
      </c>
      <c r="K871" s="7" t="s">
        <v>16</v>
      </c>
      <c r="L871" s="7" t="s">
        <v>42</v>
      </c>
      <c r="M871" s="5" t="s">
        <v>88</v>
      </c>
      <c r="N871" s="5" t="s">
        <v>3731</v>
      </c>
      <c r="O871" s="5"/>
      <c r="P871" s="5"/>
      <c r="Q871" s="5"/>
      <c r="R871" s="5"/>
      <c r="S871" s="5"/>
      <c r="T871" s="5"/>
      <c r="U871" s="5"/>
      <c r="V871" s="5"/>
      <c r="W871" s="5"/>
      <c r="X871" s="5"/>
      <c r="Y871" s="5"/>
      <c r="Z871" s="5"/>
    </row>
    <row r="872">
      <c r="A872" s="6" t="s">
        <v>3732</v>
      </c>
      <c r="B872" s="5" t="s">
        <v>1096</v>
      </c>
      <c r="C872" s="7" t="s">
        <v>1118</v>
      </c>
      <c r="D872" s="7" t="s">
        <v>411</v>
      </c>
      <c r="E872" s="7" t="s">
        <v>16</v>
      </c>
      <c r="F872" s="7" t="s">
        <v>16</v>
      </c>
      <c r="G872" s="7" t="s">
        <v>19</v>
      </c>
      <c r="H872" s="7" t="s">
        <v>16</v>
      </c>
      <c r="I872" s="7" t="s">
        <v>3733</v>
      </c>
      <c r="J872" s="7" t="s">
        <v>16</v>
      </c>
      <c r="K872" s="7" t="s">
        <v>16</v>
      </c>
      <c r="L872" s="7" t="s">
        <v>21</v>
      </c>
      <c r="M872" s="5" t="s">
        <v>88</v>
      </c>
      <c r="N872" s="5" t="s">
        <v>3734</v>
      </c>
      <c r="O872" s="5"/>
      <c r="P872" s="5"/>
      <c r="Q872" s="5"/>
      <c r="R872" s="5"/>
      <c r="S872" s="5"/>
      <c r="T872" s="5"/>
      <c r="U872" s="5"/>
      <c r="V872" s="5"/>
      <c r="W872" s="5"/>
      <c r="X872" s="5"/>
      <c r="Y872" s="5"/>
      <c r="Z872" s="5"/>
    </row>
    <row r="873">
      <c r="A873" s="6" t="s">
        <v>3735</v>
      </c>
      <c r="B873" s="5" t="s">
        <v>1096</v>
      </c>
      <c r="C873" s="7" t="s">
        <v>1097</v>
      </c>
      <c r="D873" s="7" t="s">
        <v>1068</v>
      </c>
      <c r="E873" s="7" t="s">
        <v>16</v>
      </c>
      <c r="F873" s="7" t="s">
        <v>16</v>
      </c>
      <c r="G873" s="5" t="s">
        <v>19</v>
      </c>
      <c r="H873" s="7" t="s">
        <v>16</v>
      </c>
      <c r="I873" s="7" t="s">
        <v>3736</v>
      </c>
      <c r="J873" s="7" t="s">
        <v>16</v>
      </c>
      <c r="K873" s="7" t="s">
        <v>16</v>
      </c>
      <c r="L873" s="7" t="s">
        <v>3737</v>
      </c>
      <c r="M873" s="5" t="s">
        <v>36</v>
      </c>
      <c r="N873" s="5" t="s">
        <v>3738</v>
      </c>
      <c r="O873" s="5"/>
      <c r="P873" s="5"/>
      <c r="Q873" s="5"/>
      <c r="R873" s="5"/>
      <c r="S873" s="5"/>
      <c r="T873" s="5"/>
      <c r="U873" s="5"/>
      <c r="V873" s="5"/>
      <c r="W873" s="5"/>
      <c r="X873" s="5"/>
      <c r="Y873" s="5"/>
      <c r="Z873" s="5"/>
    </row>
    <row r="874">
      <c r="A874" s="6" t="s">
        <v>3739</v>
      </c>
      <c r="B874" s="5" t="s">
        <v>1096</v>
      </c>
      <c r="C874" s="7" t="s">
        <v>1113</v>
      </c>
      <c r="D874" s="7" t="s">
        <v>1085</v>
      </c>
      <c r="E874" s="7" t="s">
        <v>16</v>
      </c>
      <c r="F874" s="7" t="s">
        <v>16</v>
      </c>
      <c r="G874" s="5" t="s">
        <v>19</v>
      </c>
      <c r="H874" s="7" t="s">
        <v>16</v>
      </c>
      <c r="I874" s="7" t="s">
        <v>3740</v>
      </c>
      <c r="J874" s="7" t="s">
        <v>16</v>
      </c>
      <c r="K874" s="7" t="s">
        <v>16</v>
      </c>
      <c r="L874" s="7" t="s">
        <v>135</v>
      </c>
      <c r="M874" s="5" t="s">
        <v>36</v>
      </c>
      <c r="N874" s="5" t="s">
        <v>3741</v>
      </c>
      <c r="O874" s="5"/>
      <c r="P874" s="5"/>
      <c r="Q874" s="5"/>
      <c r="R874" s="5"/>
      <c r="S874" s="5"/>
      <c r="T874" s="5"/>
      <c r="U874" s="5"/>
      <c r="V874" s="5"/>
      <c r="W874" s="5"/>
      <c r="X874" s="5"/>
      <c r="Y874" s="5"/>
      <c r="Z874" s="5"/>
    </row>
    <row r="875">
      <c r="A875" s="6" t="s">
        <v>3742</v>
      </c>
      <c r="B875" s="5" t="s">
        <v>1096</v>
      </c>
      <c r="C875" s="7" t="s">
        <v>1228</v>
      </c>
      <c r="D875" s="7" t="s">
        <v>1194</v>
      </c>
      <c r="E875" s="7" t="s">
        <v>16</v>
      </c>
      <c r="F875" s="7" t="s">
        <v>16</v>
      </c>
      <c r="G875" s="5" t="s">
        <v>19</v>
      </c>
      <c r="H875" s="7" t="s">
        <v>16</v>
      </c>
      <c r="I875" s="7" t="s">
        <v>3743</v>
      </c>
      <c r="J875" s="7" t="s">
        <v>16</v>
      </c>
      <c r="K875" s="7" t="s">
        <v>16</v>
      </c>
      <c r="L875" s="7" t="s">
        <v>135</v>
      </c>
      <c r="M875" s="5" t="s">
        <v>36</v>
      </c>
      <c r="N875" s="5" t="s">
        <v>3744</v>
      </c>
      <c r="O875" s="5"/>
      <c r="P875" s="5"/>
      <c r="Q875" s="5"/>
      <c r="R875" s="5"/>
      <c r="S875" s="5"/>
      <c r="T875" s="5"/>
      <c r="U875" s="5"/>
      <c r="V875" s="5"/>
      <c r="W875" s="5"/>
      <c r="X875" s="5"/>
      <c r="Y875" s="5"/>
      <c r="Z875" s="5"/>
    </row>
    <row r="876">
      <c r="A876" s="6" t="s">
        <v>3745</v>
      </c>
      <c r="B876" s="5" t="s">
        <v>1096</v>
      </c>
      <c r="C876" s="7" t="s">
        <v>1228</v>
      </c>
      <c r="D876" s="7" t="s">
        <v>1194</v>
      </c>
      <c r="E876" s="7" t="s">
        <v>16</v>
      </c>
      <c r="F876" s="7" t="s">
        <v>16</v>
      </c>
      <c r="G876" s="5" t="s">
        <v>19</v>
      </c>
      <c r="H876" s="7" t="s">
        <v>16</v>
      </c>
      <c r="I876" s="7" t="s">
        <v>3746</v>
      </c>
      <c r="J876" s="7" t="s">
        <v>16</v>
      </c>
      <c r="K876" s="7" t="s">
        <v>16</v>
      </c>
      <c r="L876" s="7" t="s">
        <v>135</v>
      </c>
      <c r="M876" s="5" t="s">
        <v>36</v>
      </c>
      <c r="N876" s="5" t="s">
        <v>3744</v>
      </c>
      <c r="O876" s="5"/>
      <c r="P876" s="5"/>
      <c r="Q876" s="5"/>
      <c r="R876" s="5"/>
      <c r="S876" s="5"/>
      <c r="T876" s="5"/>
      <c r="U876" s="5"/>
      <c r="V876" s="5"/>
      <c r="W876" s="5"/>
      <c r="X876" s="5"/>
      <c r="Y876" s="5"/>
      <c r="Z876" s="5"/>
    </row>
    <row r="877">
      <c r="A877" s="6" t="s">
        <v>3747</v>
      </c>
      <c r="B877" s="5" t="s">
        <v>1096</v>
      </c>
      <c r="C877" s="7" t="s">
        <v>1436</v>
      </c>
      <c r="D877" s="7" t="s">
        <v>1400</v>
      </c>
      <c r="E877" s="7" t="s">
        <v>16</v>
      </c>
      <c r="F877" s="7" t="s">
        <v>16</v>
      </c>
      <c r="G877" s="5" t="s">
        <v>19</v>
      </c>
      <c r="H877" s="7" t="s">
        <v>16</v>
      </c>
      <c r="I877" s="7" t="s">
        <v>3748</v>
      </c>
      <c r="J877" s="7" t="s">
        <v>16</v>
      </c>
      <c r="K877" s="7" t="s">
        <v>16</v>
      </c>
      <c r="L877" s="7" t="s">
        <v>135</v>
      </c>
      <c r="M877" s="5" t="s">
        <v>75</v>
      </c>
      <c r="N877" s="5" t="s">
        <v>3749</v>
      </c>
      <c r="O877" s="5"/>
      <c r="P877" s="5"/>
      <c r="Q877" s="5"/>
      <c r="R877" s="5"/>
      <c r="S877" s="5"/>
      <c r="T877" s="5"/>
      <c r="U877" s="5"/>
      <c r="V877" s="5"/>
      <c r="W877" s="5"/>
      <c r="X877" s="5"/>
      <c r="Y877" s="5"/>
      <c r="Z877" s="5"/>
    </row>
    <row r="878">
      <c r="A878" s="6" t="s">
        <v>3750</v>
      </c>
      <c r="B878" s="5" t="s">
        <v>1096</v>
      </c>
      <c r="C878" s="7" t="s">
        <v>3751</v>
      </c>
      <c r="D878" s="7" t="s">
        <v>1608</v>
      </c>
      <c r="E878" s="7" t="s">
        <v>16</v>
      </c>
      <c r="F878" s="7" t="s">
        <v>16</v>
      </c>
      <c r="G878" s="7" t="s">
        <v>19</v>
      </c>
      <c r="H878" s="7" t="s">
        <v>16</v>
      </c>
      <c r="I878" s="7" t="s">
        <v>3752</v>
      </c>
      <c r="J878" s="7" t="s">
        <v>16</v>
      </c>
      <c r="K878" s="7" t="s">
        <v>16</v>
      </c>
      <c r="L878" s="7" t="s">
        <v>135</v>
      </c>
      <c r="M878" s="5" t="s">
        <v>22</v>
      </c>
      <c r="N878" s="5" t="s">
        <v>3753</v>
      </c>
      <c r="O878" s="5"/>
      <c r="P878" s="5"/>
      <c r="Q878" s="5"/>
      <c r="R878" s="5"/>
      <c r="S878" s="5"/>
      <c r="T878" s="5"/>
      <c r="U878" s="5"/>
      <c r="V878" s="5"/>
      <c r="W878" s="5"/>
      <c r="X878" s="5"/>
      <c r="Y878" s="5"/>
      <c r="Z878" s="5"/>
    </row>
    <row r="879">
      <c r="A879" s="6" t="s">
        <v>3754</v>
      </c>
      <c r="B879" s="5" t="s">
        <v>1096</v>
      </c>
      <c r="C879" s="7" t="s">
        <v>3755</v>
      </c>
      <c r="D879" s="7" t="s">
        <v>1614</v>
      </c>
      <c r="E879" s="7" t="s">
        <v>16</v>
      </c>
      <c r="F879" s="7" t="s">
        <v>16</v>
      </c>
      <c r="G879" s="7" t="s">
        <v>19</v>
      </c>
      <c r="H879" s="7" t="s">
        <v>16</v>
      </c>
      <c r="I879" s="7" t="s">
        <v>3756</v>
      </c>
      <c r="J879" s="7" t="s">
        <v>16</v>
      </c>
      <c r="K879" s="7" t="s">
        <v>16</v>
      </c>
      <c r="L879" s="7" t="s">
        <v>118</v>
      </c>
      <c r="M879" s="5" t="s">
        <v>36</v>
      </c>
      <c r="N879" s="5" t="s">
        <v>3757</v>
      </c>
      <c r="O879" s="5"/>
      <c r="P879" s="5"/>
      <c r="Q879" s="5"/>
      <c r="R879" s="5"/>
      <c r="S879" s="5"/>
      <c r="T879" s="5"/>
      <c r="U879" s="5"/>
      <c r="V879" s="5"/>
      <c r="W879" s="5"/>
      <c r="X879" s="5"/>
      <c r="Y879" s="5"/>
      <c r="Z879" s="5"/>
    </row>
    <row r="880">
      <c r="A880" s="6" t="s">
        <v>3758</v>
      </c>
      <c r="B880" s="5" t="s">
        <v>1096</v>
      </c>
      <c r="C880" s="7" t="s">
        <v>3759</v>
      </c>
      <c r="D880" s="7" t="s">
        <v>1624</v>
      </c>
      <c r="E880" s="7" t="s">
        <v>16</v>
      </c>
      <c r="F880" s="7" t="s">
        <v>16</v>
      </c>
      <c r="G880" s="7" t="s">
        <v>19</v>
      </c>
      <c r="H880" s="7" t="s">
        <v>16</v>
      </c>
      <c r="I880" s="7" t="s">
        <v>3760</v>
      </c>
      <c r="J880" s="7" t="s">
        <v>16</v>
      </c>
      <c r="K880" s="7" t="s">
        <v>16</v>
      </c>
      <c r="L880" s="7" t="s">
        <v>107</v>
      </c>
      <c r="M880" s="5" t="s">
        <v>22</v>
      </c>
      <c r="N880" s="5" t="s">
        <v>3761</v>
      </c>
      <c r="O880" s="5"/>
      <c r="P880" s="5"/>
      <c r="Q880" s="5"/>
      <c r="R880" s="5"/>
      <c r="S880" s="5"/>
      <c r="T880" s="5"/>
      <c r="U880" s="5"/>
      <c r="V880" s="5"/>
      <c r="W880" s="5"/>
      <c r="X880" s="5"/>
      <c r="Y880" s="5"/>
      <c r="Z880" s="5"/>
    </row>
    <row r="881">
      <c r="A881" s="6" t="s">
        <v>3762</v>
      </c>
      <c r="B881" s="5" t="s">
        <v>1096</v>
      </c>
      <c r="C881" s="7" t="s">
        <v>3763</v>
      </c>
      <c r="D881" s="7" t="s">
        <v>1630</v>
      </c>
      <c r="E881" s="7" t="s">
        <v>16</v>
      </c>
      <c r="F881" s="7" t="s">
        <v>16</v>
      </c>
      <c r="G881" s="5" t="s">
        <v>19</v>
      </c>
      <c r="H881" s="7" t="s">
        <v>16</v>
      </c>
      <c r="I881" s="7" t="s">
        <v>3764</v>
      </c>
      <c r="J881" s="7" t="s">
        <v>16</v>
      </c>
      <c r="K881" s="7" t="s">
        <v>16</v>
      </c>
      <c r="L881" s="7" t="s">
        <v>135</v>
      </c>
      <c r="M881" s="5" t="s">
        <v>22</v>
      </c>
      <c r="N881" s="5" t="s">
        <v>3765</v>
      </c>
      <c r="O881" s="5"/>
      <c r="P881" s="5"/>
      <c r="Q881" s="5"/>
      <c r="R881" s="5"/>
      <c r="S881" s="5"/>
      <c r="T881" s="5"/>
      <c r="U881" s="5"/>
      <c r="V881" s="5"/>
      <c r="W881" s="5"/>
      <c r="X881" s="5"/>
      <c r="Y881" s="5"/>
      <c r="Z881" s="5"/>
    </row>
    <row r="882">
      <c r="A882" s="6" t="s">
        <v>3766</v>
      </c>
      <c r="B882" s="5" t="s">
        <v>1096</v>
      </c>
      <c r="C882" s="7" t="s">
        <v>3767</v>
      </c>
      <c r="D882" s="7" t="s">
        <v>1643</v>
      </c>
      <c r="E882" s="7" t="s">
        <v>16</v>
      </c>
      <c r="F882" s="7" t="s">
        <v>16</v>
      </c>
      <c r="G882" s="5" t="s">
        <v>19</v>
      </c>
      <c r="H882" s="7" t="s">
        <v>16</v>
      </c>
      <c r="I882" s="7" t="s">
        <v>3768</v>
      </c>
      <c r="J882" s="7" t="s">
        <v>16</v>
      </c>
      <c r="K882" s="7" t="s">
        <v>16</v>
      </c>
      <c r="L882" s="7" t="s">
        <v>3737</v>
      </c>
      <c r="M882" s="5" t="s">
        <v>75</v>
      </c>
      <c r="N882" s="5" t="s">
        <v>3769</v>
      </c>
      <c r="O882" s="5"/>
      <c r="P882" s="5"/>
      <c r="Q882" s="5"/>
      <c r="R882" s="5"/>
      <c r="S882" s="5"/>
      <c r="T882" s="5"/>
      <c r="U882" s="5"/>
      <c r="V882" s="5"/>
      <c r="W882" s="5"/>
      <c r="X882" s="5"/>
      <c r="Y882" s="5"/>
      <c r="Z882" s="5"/>
    </row>
    <row r="883">
      <c r="A883" s="6" t="s">
        <v>3770</v>
      </c>
      <c r="B883" s="5" t="s">
        <v>1096</v>
      </c>
      <c r="C883" s="7" t="s">
        <v>3771</v>
      </c>
      <c r="D883" s="7" t="s">
        <v>1648</v>
      </c>
      <c r="E883" s="7" t="s">
        <v>16</v>
      </c>
      <c r="F883" s="7" t="s">
        <v>16</v>
      </c>
      <c r="G883" s="5" t="s">
        <v>19</v>
      </c>
      <c r="H883" s="7" t="s">
        <v>16</v>
      </c>
      <c r="I883" s="7" t="s">
        <v>3772</v>
      </c>
      <c r="J883" s="7" t="s">
        <v>16</v>
      </c>
      <c r="K883" s="7" t="s">
        <v>16</v>
      </c>
      <c r="L883" s="7" t="s">
        <v>135</v>
      </c>
      <c r="M883" s="5" t="s">
        <v>22</v>
      </c>
      <c r="N883" s="5" t="s">
        <v>3773</v>
      </c>
      <c r="O883" s="5"/>
      <c r="P883" s="5"/>
      <c r="Q883" s="5"/>
      <c r="R883" s="5"/>
      <c r="S883" s="5"/>
      <c r="T883" s="5"/>
      <c r="U883" s="5"/>
      <c r="V883" s="5"/>
      <c r="W883" s="5"/>
      <c r="X883" s="5"/>
      <c r="Y883" s="5"/>
      <c r="Z883" s="5"/>
    </row>
    <row r="884">
      <c r="A884" s="6" t="s">
        <v>3774</v>
      </c>
      <c r="B884" s="5" t="s">
        <v>1096</v>
      </c>
      <c r="C884" s="7" t="s">
        <v>1097</v>
      </c>
      <c r="D884" s="7" t="s">
        <v>1068</v>
      </c>
      <c r="E884" s="7" t="s">
        <v>16</v>
      </c>
      <c r="F884" s="7" t="s">
        <v>16</v>
      </c>
      <c r="G884" s="7" t="s">
        <v>19</v>
      </c>
      <c r="H884" s="7" t="s">
        <v>16</v>
      </c>
      <c r="I884" s="7" t="s">
        <v>3775</v>
      </c>
      <c r="J884" s="7" t="s">
        <v>16</v>
      </c>
      <c r="K884" s="7" t="s">
        <v>16</v>
      </c>
      <c r="L884" s="7" t="s">
        <v>3776</v>
      </c>
      <c r="M884" s="5" t="s">
        <v>22</v>
      </c>
      <c r="N884" s="5" t="s">
        <v>3777</v>
      </c>
      <c r="O884" s="5"/>
      <c r="P884" s="5"/>
      <c r="Q884" s="5"/>
      <c r="R884" s="5"/>
      <c r="S884" s="5"/>
      <c r="T884" s="5"/>
      <c r="U884" s="5"/>
      <c r="V884" s="5"/>
      <c r="W884" s="5"/>
      <c r="X884" s="5"/>
      <c r="Y884" s="5"/>
      <c r="Z884" s="5"/>
    </row>
    <row r="885">
      <c r="A885" s="6" t="s">
        <v>3778</v>
      </c>
      <c r="B885" s="5" t="s">
        <v>1096</v>
      </c>
      <c r="C885" s="7" t="s">
        <v>1228</v>
      </c>
      <c r="D885" s="7" t="s">
        <v>1194</v>
      </c>
      <c r="E885" s="7" t="s">
        <v>16</v>
      </c>
      <c r="F885" s="7" t="s">
        <v>16</v>
      </c>
      <c r="G885" s="5" t="s">
        <v>19</v>
      </c>
      <c r="H885" s="7" t="s">
        <v>16</v>
      </c>
      <c r="I885" s="7" t="s">
        <v>3779</v>
      </c>
      <c r="J885" s="7" t="s">
        <v>16</v>
      </c>
      <c r="K885" s="7" t="s">
        <v>16</v>
      </c>
      <c r="L885" s="7" t="s">
        <v>157</v>
      </c>
      <c r="M885" s="5" t="s">
        <v>36</v>
      </c>
      <c r="N885" s="5" t="s">
        <v>3780</v>
      </c>
      <c r="O885" s="5"/>
      <c r="P885" s="5"/>
      <c r="Q885" s="5"/>
      <c r="R885" s="5"/>
      <c r="S885" s="5"/>
      <c r="T885" s="5"/>
      <c r="U885" s="5"/>
      <c r="V885" s="5"/>
      <c r="W885" s="5"/>
      <c r="X885" s="5"/>
      <c r="Y885" s="5"/>
      <c r="Z885" s="5"/>
    </row>
    <row r="886">
      <c r="A886" s="6" t="s">
        <v>3781</v>
      </c>
      <c r="B886" s="5" t="s">
        <v>1096</v>
      </c>
      <c r="C886" s="7" t="s">
        <v>3782</v>
      </c>
      <c r="D886" s="7" t="s">
        <v>1672</v>
      </c>
      <c r="E886" s="7" t="s">
        <v>16</v>
      </c>
      <c r="F886" s="7" t="s">
        <v>16</v>
      </c>
      <c r="G886" s="5" t="s">
        <v>19</v>
      </c>
      <c r="H886" s="7" t="s">
        <v>16</v>
      </c>
      <c r="I886" s="7" t="s">
        <v>3783</v>
      </c>
      <c r="J886" s="7" t="s">
        <v>16</v>
      </c>
      <c r="K886" s="7" t="s">
        <v>16</v>
      </c>
      <c r="L886" s="7" t="s">
        <v>1675</v>
      </c>
      <c r="M886" s="5" t="s">
        <v>22</v>
      </c>
      <c r="N886" s="5" t="s">
        <v>3784</v>
      </c>
      <c r="O886" s="5"/>
      <c r="P886" s="5"/>
      <c r="Q886" s="5"/>
      <c r="R886" s="5"/>
      <c r="S886" s="5"/>
      <c r="T886" s="5"/>
      <c r="U886" s="5"/>
      <c r="V886" s="5"/>
      <c r="W886" s="5"/>
      <c r="X886" s="5"/>
      <c r="Y886" s="5"/>
      <c r="Z886" s="5"/>
    </row>
    <row r="887">
      <c r="A887" s="6" t="s">
        <v>3785</v>
      </c>
      <c r="B887" s="5" t="s">
        <v>1096</v>
      </c>
      <c r="C887" s="7" t="s">
        <v>3786</v>
      </c>
      <c r="D887" s="7" t="s">
        <v>1678</v>
      </c>
      <c r="E887" s="7" t="s">
        <v>16</v>
      </c>
      <c r="F887" s="7" t="s">
        <v>16</v>
      </c>
      <c r="G887" s="5" t="s">
        <v>19</v>
      </c>
      <c r="H887" s="7" t="s">
        <v>16</v>
      </c>
      <c r="I887" s="7" t="s">
        <v>3787</v>
      </c>
      <c r="J887" s="7" t="s">
        <v>16</v>
      </c>
      <c r="K887" s="7" t="s">
        <v>16</v>
      </c>
      <c r="L887" s="7" t="s">
        <v>157</v>
      </c>
      <c r="M887" s="5" t="s">
        <v>75</v>
      </c>
      <c r="N887" s="5" t="s">
        <v>3788</v>
      </c>
      <c r="O887" s="5"/>
      <c r="P887" s="5"/>
      <c r="Q887" s="5"/>
      <c r="R887" s="5"/>
      <c r="S887" s="5"/>
      <c r="T887" s="5"/>
      <c r="U887" s="5"/>
      <c r="V887" s="5"/>
      <c r="W887" s="5"/>
      <c r="X887" s="5"/>
      <c r="Y887" s="5"/>
      <c r="Z887" s="5"/>
    </row>
    <row r="888">
      <c r="A888" s="6" t="s">
        <v>3789</v>
      </c>
      <c r="B888" s="5" t="s">
        <v>1096</v>
      </c>
      <c r="C888" s="7" t="s">
        <v>1336</v>
      </c>
      <c r="D888" s="7" t="s">
        <v>1337</v>
      </c>
      <c r="E888" s="7" t="s">
        <v>16</v>
      </c>
      <c r="F888" s="7" t="s">
        <v>16</v>
      </c>
      <c r="G888" s="5" t="s">
        <v>19</v>
      </c>
      <c r="H888" s="7" t="s">
        <v>16</v>
      </c>
      <c r="I888" s="7" t="s">
        <v>3790</v>
      </c>
      <c r="J888" s="7" t="s">
        <v>16</v>
      </c>
      <c r="K888" s="7" t="s">
        <v>16</v>
      </c>
      <c r="L888" s="7" t="s">
        <v>166</v>
      </c>
      <c r="M888" s="5" t="s">
        <v>75</v>
      </c>
      <c r="N888" s="5" t="s">
        <v>3791</v>
      </c>
      <c r="O888" s="5"/>
      <c r="P888" s="5"/>
      <c r="Q888" s="5"/>
      <c r="R888" s="5"/>
      <c r="S888" s="5"/>
      <c r="T888" s="5"/>
      <c r="U888" s="5"/>
      <c r="V888" s="5"/>
      <c r="W888" s="5"/>
      <c r="X888" s="5"/>
      <c r="Y888" s="5"/>
      <c r="Z888" s="5"/>
    </row>
    <row r="889">
      <c r="A889" s="6" t="s">
        <v>3792</v>
      </c>
      <c r="B889" s="5" t="s">
        <v>1096</v>
      </c>
      <c r="C889" s="7" t="s">
        <v>1342</v>
      </c>
      <c r="D889" s="7" t="s">
        <v>1311</v>
      </c>
      <c r="E889" s="7" t="s">
        <v>16</v>
      </c>
      <c r="F889" s="7" t="s">
        <v>16</v>
      </c>
      <c r="G889" s="7" t="s">
        <v>19</v>
      </c>
      <c r="H889" s="7" t="s">
        <v>16</v>
      </c>
      <c r="I889" s="7" t="s">
        <v>3793</v>
      </c>
      <c r="J889" s="7" t="s">
        <v>16</v>
      </c>
      <c r="K889" s="7" t="s">
        <v>16</v>
      </c>
      <c r="L889" s="7" t="s">
        <v>157</v>
      </c>
      <c r="M889" s="5" t="s">
        <v>36</v>
      </c>
      <c r="N889" s="5" t="s">
        <v>3794</v>
      </c>
      <c r="O889" s="5"/>
      <c r="P889" s="5"/>
      <c r="Q889" s="5"/>
      <c r="R889" s="5"/>
      <c r="S889" s="5"/>
      <c r="T889" s="5"/>
      <c r="U889" s="5"/>
      <c r="V889" s="5"/>
      <c r="W889" s="5"/>
      <c r="X889" s="5"/>
      <c r="Y889" s="5"/>
      <c r="Z889" s="5"/>
    </row>
    <row r="890">
      <c r="A890" s="6" t="s">
        <v>3795</v>
      </c>
      <c r="B890" s="5" t="s">
        <v>1096</v>
      </c>
      <c r="C890" s="7" t="s">
        <v>1342</v>
      </c>
      <c r="D890" s="7" t="s">
        <v>1311</v>
      </c>
      <c r="E890" s="7" t="s">
        <v>16</v>
      </c>
      <c r="F890" s="7" t="s">
        <v>16</v>
      </c>
      <c r="G890" s="5" t="s">
        <v>19</v>
      </c>
      <c r="H890" s="7" t="s">
        <v>16</v>
      </c>
      <c r="I890" s="7" t="s">
        <v>3793</v>
      </c>
      <c r="J890" s="7" t="s">
        <v>16</v>
      </c>
      <c r="K890" s="7" t="s">
        <v>16</v>
      </c>
      <c r="L890" s="7" t="s">
        <v>157</v>
      </c>
      <c r="M890" s="5" t="s">
        <v>36</v>
      </c>
      <c r="N890" s="5" t="s">
        <v>3794</v>
      </c>
      <c r="O890" s="5"/>
      <c r="P890" s="5"/>
      <c r="Q890" s="5"/>
      <c r="R890" s="5"/>
      <c r="S890" s="5"/>
      <c r="T890" s="5"/>
      <c r="U890" s="5"/>
      <c r="V890" s="5"/>
      <c r="W890" s="5"/>
      <c r="X890" s="5"/>
      <c r="Y890" s="5"/>
      <c r="Z890" s="5"/>
    </row>
    <row r="891">
      <c r="A891" s="6" t="s">
        <v>3796</v>
      </c>
      <c r="B891" s="5" t="s">
        <v>1096</v>
      </c>
      <c r="C891" s="7" t="s">
        <v>3797</v>
      </c>
      <c r="D891" s="7" t="s">
        <v>1691</v>
      </c>
      <c r="E891" s="7" t="s">
        <v>16</v>
      </c>
      <c r="F891" s="7" t="s">
        <v>16</v>
      </c>
      <c r="G891" s="5" t="s">
        <v>19</v>
      </c>
      <c r="H891" s="7" t="s">
        <v>16</v>
      </c>
      <c r="I891" s="7" t="s">
        <v>3798</v>
      </c>
      <c r="J891" s="7" t="s">
        <v>16</v>
      </c>
      <c r="K891" s="7" t="s">
        <v>16</v>
      </c>
      <c r="L891" s="7" t="s">
        <v>166</v>
      </c>
      <c r="M891" s="5" t="s">
        <v>22</v>
      </c>
      <c r="N891" s="5" t="s">
        <v>3799</v>
      </c>
      <c r="O891" s="5"/>
      <c r="P891" s="5"/>
      <c r="Q891" s="5"/>
      <c r="R891" s="5"/>
      <c r="S891" s="5"/>
      <c r="T891" s="5"/>
      <c r="U891" s="5"/>
      <c r="V891" s="5"/>
      <c r="W891" s="5"/>
      <c r="X891" s="5"/>
      <c r="Y891" s="5"/>
      <c r="Z891" s="5"/>
    </row>
    <row r="892">
      <c r="A892" s="6" t="s">
        <v>3800</v>
      </c>
      <c r="B892" s="5" t="s">
        <v>1096</v>
      </c>
      <c r="C892" s="7" t="s">
        <v>3801</v>
      </c>
      <c r="D892" s="7" t="s">
        <v>1696</v>
      </c>
      <c r="E892" s="7" t="s">
        <v>16</v>
      </c>
      <c r="F892" s="7" t="s">
        <v>16</v>
      </c>
      <c r="G892" s="5" t="s">
        <v>19</v>
      </c>
      <c r="H892" s="7" t="s">
        <v>16</v>
      </c>
      <c r="I892" s="7" t="s">
        <v>3802</v>
      </c>
      <c r="J892" s="7" t="s">
        <v>16</v>
      </c>
      <c r="K892" s="7" t="s">
        <v>16</v>
      </c>
      <c r="L892" s="7" t="s">
        <v>191</v>
      </c>
      <c r="M892" s="5" t="s">
        <v>36</v>
      </c>
      <c r="N892" s="5" t="s">
        <v>3803</v>
      </c>
      <c r="O892" s="5"/>
      <c r="P892" s="5"/>
      <c r="Q892" s="5"/>
      <c r="R892" s="5"/>
      <c r="S892" s="5"/>
      <c r="T892" s="5"/>
      <c r="U892" s="5"/>
      <c r="V892" s="5"/>
      <c r="W892" s="5"/>
      <c r="X892" s="5"/>
      <c r="Y892" s="5"/>
      <c r="Z892" s="5"/>
    </row>
    <row r="893">
      <c r="A893" s="6" t="s">
        <v>3804</v>
      </c>
      <c r="B893" s="5" t="s">
        <v>1096</v>
      </c>
      <c r="C893" s="7" t="s">
        <v>1234</v>
      </c>
      <c r="D893" s="7" t="s">
        <v>1203</v>
      </c>
      <c r="E893" s="7" t="s">
        <v>16</v>
      </c>
      <c r="F893" s="7" t="s">
        <v>16</v>
      </c>
      <c r="G893" s="7" t="s">
        <v>19</v>
      </c>
      <c r="H893" s="7" t="s">
        <v>16</v>
      </c>
      <c r="I893" s="7" t="s">
        <v>3805</v>
      </c>
      <c r="J893" s="7" t="s">
        <v>16</v>
      </c>
      <c r="K893" s="7" t="s">
        <v>16</v>
      </c>
      <c r="L893" s="7" t="s">
        <v>1703</v>
      </c>
      <c r="M893" s="5" t="s">
        <v>75</v>
      </c>
      <c r="N893" s="5" t="s">
        <v>3806</v>
      </c>
      <c r="O893" s="5"/>
      <c r="P893" s="5"/>
      <c r="Q893" s="5"/>
      <c r="R893" s="5"/>
      <c r="S893" s="5"/>
      <c r="T893" s="5"/>
      <c r="U893" s="5"/>
      <c r="V893" s="5"/>
      <c r="W893" s="5"/>
      <c r="X893" s="5"/>
      <c r="Y893" s="5"/>
      <c r="Z893" s="5"/>
    </row>
    <row r="894">
      <c r="A894" s="6" t="s">
        <v>3807</v>
      </c>
      <c r="B894" s="5" t="s">
        <v>1096</v>
      </c>
      <c r="C894" s="7" t="s">
        <v>3808</v>
      </c>
      <c r="D894" s="7" t="s">
        <v>1706</v>
      </c>
      <c r="E894" s="7" t="s">
        <v>16</v>
      </c>
      <c r="F894" s="7" t="s">
        <v>16</v>
      </c>
      <c r="G894" s="5" t="s">
        <v>19</v>
      </c>
      <c r="H894" s="7" t="s">
        <v>16</v>
      </c>
      <c r="I894" s="7" t="s">
        <v>3809</v>
      </c>
      <c r="J894" s="7" t="s">
        <v>16</v>
      </c>
      <c r="K894" s="7" t="s">
        <v>16</v>
      </c>
      <c r="L894" s="7" t="s">
        <v>157</v>
      </c>
      <c r="M894" s="5" t="s">
        <v>22</v>
      </c>
      <c r="N894" s="5" t="s">
        <v>3810</v>
      </c>
      <c r="O894" s="5"/>
      <c r="P894" s="5"/>
      <c r="Q894" s="5"/>
      <c r="R894" s="5"/>
      <c r="S894" s="5"/>
      <c r="T894" s="5"/>
      <c r="U894" s="5"/>
      <c r="V894" s="5"/>
      <c r="W894" s="5"/>
      <c r="X894" s="5"/>
      <c r="Y894" s="5"/>
      <c r="Z894" s="5"/>
    </row>
    <row r="895">
      <c r="A895" s="6" t="s">
        <v>3811</v>
      </c>
      <c r="B895" s="5" t="s">
        <v>1096</v>
      </c>
      <c r="C895" s="7" t="s">
        <v>3812</v>
      </c>
      <c r="D895" s="7" t="s">
        <v>1711</v>
      </c>
      <c r="E895" s="7" t="s">
        <v>16</v>
      </c>
      <c r="F895" s="7" t="s">
        <v>16</v>
      </c>
      <c r="G895" s="5" t="s">
        <v>19</v>
      </c>
      <c r="H895" s="7" t="s">
        <v>16</v>
      </c>
      <c r="I895" s="7" t="s">
        <v>3813</v>
      </c>
      <c r="J895" s="7" t="s">
        <v>16</v>
      </c>
      <c r="K895" s="7" t="s">
        <v>16</v>
      </c>
      <c r="L895" s="7" t="s">
        <v>157</v>
      </c>
      <c r="M895" s="5" t="s">
        <v>22</v>
      </c>
      <c r="N895" s="5" t="s">
        <v>3814</v>
      </c>
      <c r="O895" s="5"/>
      <c r="P895" s="5"/>
      <c r="Q895" s="5"/>
      <c r="R895" s="5"/>
      <c r="S895" s="5"/>
      <c r="T895" s="5"/>
      <c r="U895" s="5"/>
      <c r="V895" s="5"/>
      <c r="W895" s="5"/>
      <c r="X895" s="5"/>
      <c r="Y895" s="5"/>
      <c r="Z895" s="5"/>
    </row>
    <row r="896">
      <c r="A896" s="6" t="s">
        <v>3815</v>
      </c>
      <c r="B896" s="5" t="s">
        <v>1096</v>
      </c>
      <c r="C896" s="7" t="s">
        <v>1431</v>
      </c>
      <c r="D896" s="7" t="s">
        <v>85</v>
      </c>
      <c r="E896" s="7" t="s">
        <v>16</v>
      </c>
      <c r="F896" s="7" t="s">
        <v>16</v>
      </c>
      <c r="G896" s="5" t="s">
        <v>19</v>
      </c>
      <c r="H896" s="7" t="s">
        <v>16</v>
      </c>
      <c r="I896" s="7" t="s">
        <v>3816</v>
      </c>
      <c r="J896" s="7" t="s">
        <v>16</v>
      </c>
      <c r="K896" s="7" t="s">
        <v>16</v>
      </c>
      <c r="L896" s="7" t="s">
        <v>3817</v>
      </c>
      <c r="M896" s="5" t="s">
        <v>36</v>
      </c>
      <c r="N896" s="5" t="s">
        <v>3818</v>
      </c>
      <c r="O896" s="5"/>
      <c r="P896" s="5"/>
      <c r="Q896" s="5"/>
      <c r="R896" s="5"/>
      <c r="S896" s="5"/>
      <c r="T896" s="5"/>
      <c r="U896" s="5"/>
      <c r="V896" s="5"/>
      <c r="W896" s="5"/>
      <c r="X896" s="5"/>
      <c r="Y896" s="5"/>
      <c r="Z896" s="5"/>
    </row>
    <row r="897">
      <c r="A897" s="6" t="s">
        <v>3819</v>
      </c>
      <c r="B897" s="5" t="s">
        <v>1096</v>
      </c>
      <c r="C897" s="7" t="s">
        <v>1218</v>
      </c>
      <c r="D897" s="7" t="s">
        <v>1183</v>
      </c>
      <c r="E897" s="7" t="s">
        <v>16</v>
      </c>
      <c r="F897" s="7" t="s">
        <v>16</v>
      </c>
      <c r="G897" s="5" t="s">
        <v>19</v>
      </c>
      <c r="H897" s="7" t="s">
        <v>16</v>
      </c>
      <c r="I897" s="7" t="s">
        <v>3820</v>
      </c>
      <c r="J897" s="7" t="s">
        <v>16</v>
      </c>
      <c r="K897" s="7" t="s">
        <v>16</v>
      </c>
      <c r="L897" s="7" t="s">
        <v>205</v>
      </c>
      <c r="M897" s="5" t="s">
        <v>22</v>
      </c>
      <c r="N897" s="5" t="s">
        <v>3821</v>
      </c>
      <c r="O897" s="5"/>
      <c r="P897" s="5"/>
      <c r="Q897" s="5"/>
      <c r="R897" s="5"/>
      <c r="S897" s="5"/>
      <c r="T897" s="5"/>
      <c r="U897" s="5"/>
      <c r="V897" s="5"/>
      <c r="W897" s="5"/>
      <c r="X897" s="5"/>
      <c r="Y897" s="5"/>
      <c r="Z897" s="5"/>
    </row>
    <row r="898">
      <c r="A898" s="6" t="s">
        <v>3822</v>
      </c>
      <c r="B898" s="5" t="s">
        <v>1096</v>
      </c>
      <c r="C898" s="7" t="s">
        <v>1118</v>
      </c>
      <c r="D898" s="7" t="s">
        <v>411</v>
      </c>
      <c r="E898" s="7" t="s">
        <v>16</v>
      </c>
      <c r="F898" s="7" t="s">
        <v>16</v>
      </c>
      <c r="G898" s="7" t="s">
        <v>19</v>
      </c>
      <c r="H898" s="7" t="s">
        <v>16</v>
      </c>
      <c r="I898" s="7" t="s">
        <v>3823</v>
      </c>
      <c r="J898" s="7" t="s">
        <v>16</v>
      </c>
      <c r="K898" s="7" t="s">
        <v>16</v>
      </c>
      <c r="L898" s="7" t="s">
        <v>205</v>
      </c>
      <c r="M898" s="5" t="s">
        <v>75</v>
      </c>
      <c r="N898" s="5" t="s">
        <v>3824</v>
      </c>
      <c r="O898" s="5"/>
      <c r="P898" s="5"/>
      <c r="Q898" s="5"/>
      <c r="R898" s="5"/>
      <c r="S898" s="5"/>
      <c r="T898" s="5"/>
      <c r="U898" s="5"/>
      <c r="V898" s="5"/>
      <c r="W898" s="5"/>
      <c r="X898" s="5"/>
      <c r="Y898" s="5"/>
      <c r="Z898" s="5"/>
    </row>
    <row r="899">
      <c r="A899" s="6" t="s">
        <v>3825</v>
      </c>
      <c r="B899" s="5" t="s">
        <v>1096</v>
      </c>
      <c r="C899" s="7" t="s">
        <v>3826</v>
      </c>
      <c r="D899" s="7" t="s">
        <v>1199</v>
      </c>
      <c r="E899" s="7" t="s">
        <v>16</v>
      </c>
      <c r="F899" s="7" t="s">
        <v>16</v>
      </c>
      <c r="G899" s="7" t="s">
        <v>19</v>
      </c>
      <c r="H899" s="7" t="s">
        <v>16</v>
      </c>
      <c r="I899" s="7" t="s">
        <v>3827</v>
      </c>
      <c r="J899" s="7" t="s">
        <v>16</v>
      </c>
      <c r="K899" s="7" t="s">
        <v>16</v>
      </c>
      <c r="L899" s="7" t="s">
        <v>226</v>
      </c>
      <c r="M899" s="5" t="s">
        <v>36</v>
      </c>
      <c r="N899" s="5" t="s">
        <v>3828</v>
      </c>
      <c r="O899" s="5"/>
      <c r="P899" s="5"/>
      <c r="Q899" s="5"/>
      <c r="R899" s="5"/>
      <c r="S899" s="5"/>
      <c r="T899" s="5"/>
      <c r="U899" s="5"/>
      <c r="V899" s="5"/>
      <c r="W899" s="5"/>
      <c r="X899" s="5"/>
      <c r="Y899" s="5"/>
      <c r="Z899" s="5"/>
    </row>
    <row r="900">
      <c r="A900" s="6" t="s">
        <v>3829</v>
      </c>
      <c r="B900" s="5" t="s">
        <v>1096</v>
      </c>
      <c r="C900" s="7" t="s">
        <v>3830</v>
      </c>
      <c r="D900" s="7" t="s">
        <v>1748</v>
      </c>
      <c r="E900" s="7" t="s">
        <v>16</v>
      </c>
      <c r="F900" s="7" t="s">
        <v>16</v>
      </c>
      <c r="G900" s="7" t="s">
        <v>19</v>
      </c>
      <c r="H900" s="7" t="s">
        <v>16</v>
      </c>
      <c r="I900" s="7" t="s">
        <v>3831</v>
      </c>
      <c r="J900" s="7" t="s">
        <v>16</v>
      </c>
      <c r="K900" s="7" t="s">
        <v>16</v>
      </c>
      <c r="L900" s="7" t="s">
        <v>221</v>
      </c>
      <c r="M900" s="5" t="s">
        <v>22</v>
      </c>
      <c r="N900" s="5" t="s">
        <v>3832</v>
      </c>
      <c r="O900" s="5"/>
      <c r="P900" s="5"/>
      <c r="Q900" s="5"/>
      <c r="R900" s="5"/>
      <c r="S900" s="5"/>
      <c r="T900" s="5"/>
      <c r="U900" s="5"/>
      <c r="V900" s="5"/>
      <c r="W900" s="5"/>
      <c r="X900" s="5"/>
      <c r="Y900" s="5"/>
      <c r="Z900" s="5"/>
    </row>
    <row r="901">
      <c r="A901" s="6" t="s">
        <v>3833</v>
      </c>
      <c r="B901" s="5" t="s">
        <v>1096</v>
      </c>
      <c r="C901" s="7" t="s">
        <v>1097</v>
      </c>
      <c r="D901" s="7" t="s">
        <v>1068</v>
      </c>
      <c r="E901" s="7" t="s">
        <v>16</v>
      </c>
      <c r="F901" s="7" t="s">
        <v>16</v>
      </c>
      <c r="G901" s="7" t="s">
        <v>19</v>
      </c>
      <c r="H901" s="7" t="s">
        <v>16</v>
      </c>
      <c r="I901" s="7" t="s">
        <v>3834</v>
      </c>
      <c r="J901" s="7" t="s">
        <v>16</v>
      </c>
      <c r="K901" s="7" t="s">
        <v>16</v>
      </c>
      <c r="L901" s="7" t="s">
        <v>258</v>
      </c>
      <c r="M901" s="5" t="s">
        <v>36</v>
      </c>
      <c r="N901" s="5" t="s">
        <v>3835</v>
      </c>
      <c r="O901" s="5"/>
      <c r="P901" s="5"/>
      <c r="Q901" s="5"/>
      <c r="R901" s="5"/>
      <c r="S901" s="5"/>
      <c r="T901" s="5"/>
      <c r="U901" s="5"/>
      <c r="V901" s="5"/>
      <c r="W901" s="5"/>
      <c r="X901" s="5"/>
      <c r="Y901" s="5"/>
      <c r="Z901" s="5"/>
    </row>
    <row r="902">
      <c r="A902" s="6" t="s">
        <v>3836</v>
      </c>
      <c r="B902" s="5" t="s">
        <v>1096</v>
      </c>
      <c r="C902" s="7" t="s">
        <v>1228</v>
      </c>
      <c r="D902" s="7" t="s">
        <v>1194</v>
      </c>
      <c r="E902" s="7" t="s">
        <v>16</v>
      </c>
      <c r="F902" s="7" t="s">
        <v>16</v>
      </c>
      <c r="G902" s="5" t="s">
        <v>19</v>
      </c>
      <c r="H902" s="7" t="s">
        <v>16</v>
      </c>
      <c r="I902" s="7" t="s">
        <v>3837</v>
      </c>
      <c r="J902" s="7" t="s">
        <v>16</v>
      </c>
      <c r="K902" s="7" t="s">
        <v>16</v>
      </c>
      <c r="L902" s="7" t="s">
        <v>1802</v>
      </c>
      <c r="M902" s="5" t="s">
        <v>36</v>
      </c>
      <c r="N902" s="5" t="s">
        <v>3838</v>
      </c>
      <c r="O902" s="5"/>
      <c r="P902" s="5"/>
      <c r="Q902" s="5"/>
      <c r="R902" s="5"/>
      <c r="S902" s="5"/>
      <c r="T902" s="5"/>
      <c r="U902" s="5"/>
      <c r="V902" s="5"/>
      <c r="W902" s="5"/>
      <c r="X902" s="5"/>
      <c r="Y902" s="5"/>
      <c r="Z902" s="5"/>
    </row>
    <row r="903">
      <c r="A903" s="6" t="s">
        <v>3839</v>
      </c>
      <c r="B903" s="5" t="s">
        <v>1096</v>
      </c>
      <c r="C903" s="7" t="s">
        <v>1228</v>
      </c>
      <c r="D903" s="7" t="s">
        <v>1194</v>
      </c>
      <c r="E903" s="7" t="s">
        <v>16</v>
      </c>
      <c r="F903" s="7" t="s">
        <v>16</v>
      </c>
      <c r="G903" s="5" t="s">
        <v>19</v>
      </c>
      <c r="H903" s="7" t="s">
        <v>16</v>
      </c>
      <c r="I903" s="7" t="s">
        <v>3840</v>
      </c>
      <c r="J903" s="7" t="s">
        <v>16</v>
      </c>
      <c r="K903" s="7" t="s">
        <v>16</v>
      </c>
      <c r="L903" s="7" t="s">
        <v>1802</v>
      </c>
      <c r="M903" s="5" t="s">
        <v>36</v>
      </c>
      <c r="N903" s="5" t="s">
        <v>3838</v>
      </c>
      <c r="O903" s="5"/>
      <c r="P903" s="5"/>
      <c r="Q903" s="5"/>
      <c r="R903" s="5"/>
      <c r="S903" s="5"/>
      <c r="T903" s="5"/>
      <c r="U903" s="5"/>
      <c r="V903" s="5"/>
      <c r="W903" s="5"/>
      <c r="X903" s="5"/>
      <c r="Y903" s="5"/>
      <c r="Z903" s="5"/>
    </row>
    <row r="904">
      <c r="A904" s="6" t="s">
        <v>3841</v>
      </c>
      <c r="B904" s="5" t="s">
        <v>1096</v>
      </c>
      <c r="C904" s="7" t="s">
        <v>3720</v>
      </c>
      <c r="D904" s="7" t="s">
        <v>1546</v>
      </c>
      <c r="E904" s="7" t="s">
        <v>16</v>
      </c>
      <c r="F904" s="7" t="s">
        <v>16</v>
      </c>
      <c r="G904" s="5" t="s">
        <v>19</v>
      </c>
      <c r="H904" s="7" t="s">
        <v>16</v>
      </c>
      <c r="I904" s="7" t="s">
        <v>3842</v>
      </c>
      <c r="J904" s="7" t="s">
        <v>16</v>
      </c>
      <c r="K904" s="7" t="s">
        <v>16</v>
      </c>
      <c r="L904" s="7" t="s">
        <v>1811</v>
      </c>
      <c r="M904" s="5" t="s">
        <v>88</v>
      </c>
      <c r="N904" s="5" t="s">
        <v>3843</v>
      </c>
      <c r="O904" s="5"/>
      <c r="P904" s="5"/>
      <c r="Q904" s="5"/>
      <c r="R904" s="5"/>
      <c r="S904" s="5"/>
      <c r="T904" s="5"/>
      <c r="U904" s="5"/>
      <c r="V904" s="5"/>
      <c r="W904" s="5"/>
      <c r="X904" s="5"/>
      <c r="Y904" s="5"/>
      <c r="Z904" s="5"/>
    </row>
    <row r="905">
      <c r="A905" s="6" t="s">
        <v>3844</v>
      </c>
      <c r="B905" s="5" t="s">
        <v>1096</v>
      </c>
      <c r="C905" s="7" t="s">
        <v>1218</v>
      </c>
      <c r="D905" s="7" t="s">
        <v>1183</v>
      </c>
      <c r="E905" s="7" t="s">
        <v>16</v>
      </c>
      <c r="F905" s="7" t="s">
        <v>16</v>
      </c>
      <c r="G905" s="5" t="s">
        <v>19</v>
      </c>
      <c r="H905" s="7" t="s">
        <v>16</v>
      </c>
      <c r="I905" s="7" t="s">
        <v>3845</v>
      </c>
      <c r="J905" s="7" t="s">
        <v>16</v>
      </c>
      <c r="K905" s="7" t="s">
        <v>16</v>
      </c>
      <c r="L905" s="7" t="s">
        <v>1802</v>
      </c>
      <c r="M905" s="5" t="s">
        <v>36</v>
      </c>
      <c r="N905" s="5" t="s">
        <v>3846</v>
      </c>
      <c r="O905" s="5"/>
      <c r="P905" s="5"/>
      <c r="Q905" s="5"/>
      <c r="R905" s="5"/>
      <c r="S905" s="5"/>
      <c r="T905" s="5"/>
      <c r="U905" s="5"/>
      <c r="V905" s="5"/>
      <c r="W905" s="5"/>
      <c r="X905" s="5"/>
      <c r="Y905" s="5"/>
      <c r="Z905" s="5"/>
    </row>
    <row r="906">
      <c r="A906" s="6" t="s">
        <v>3847</v>
      </c>
      <c r="B906" s="5" t="s">
        <v>1096</v>
      </c>
      <c r="C906" s="7" t="s">
        <v>1118</v>
      </c>
      <c r="D906" s="7" t="s">
        <v>411</v>
      </c>
      <c r="E906" s="7" t="s">
        <v>16</v>
      </c>
      <c r="F906" s="7" t="s">
        <v>16</v>
      </c>
      <c r="G906" s="5" t="s">
        <v>19</v>
      </c>
      <c r="H906" s="7" t="s">
        <v>16</v>
      </c>
      <c r="I906" s="7" t="s">
        <v>3848</v>
      </c>
      <c r="J906" s="7" t="s">
        <v>16</v>
      </c>
      <c r="K906" s="7" t="s">
        <v>16</v>
      </c>
      <c r="L906" s="7" t="s">
        <v>3849</v>
      </c>
      <c r="M906" s="5" t="s">
        <v>36</v>
      </c>
      <c r="N906" s="5" t="s">
        <v>3850</v>
      </c>
      <c r="O906" s="5"/>
      <c r="P906" s="5"/>
      <c r="Q906" s="5"/>
      <c r="R906" s="5"/>
      <c r="S906" s="5"/>
      <c r="T906" s="5"/>
      <c r="U906" s="5"/>
      <c r="V906" s="5"/>
      <c r="W906" s="5"/>
      <c r="X906" s="5"/>
      <c r="Y906" s="5"/>
      <c r="Z906" s="5"/>
    </row>
    <row r="907">
      <c r="A907" s="6" t="s">
        <v>3851</v>
      </c>
      <c r="B907" s="5" t="s">
        <v>1096</v>
      </c>
      <c r="C907" s="7" t="s">
        <v>1431</v>
      </c>
      <c r="D907" s="7" t="s">
        <v>85</v>
      </c>
      <c r="E907" s="7" t="s">
        <v>16</v>
      </c>
      <c r="F907" s="7" t="s">
        <v>16</v>
      </c>
      <c r="G907" s="5" t="s">
        <v>19</v>
      </c>
      <c r="H907" s="7" t="s">
        <v>16</v>
      </c>
      <c r="I907" s="7" t="s">
        <v>3852</v>
      </c>
      <c r="J907" s="7" t="s">
        <v>16</v>
      </c>
      <c r="K907" s="7" t="s">
        <v>16</v>
      </c>
      <c r="L907" s="7" t="s">
        <v>3853</v>
      </c>
      <c r="M907" s="5" t="s">
        <v>22</v>
      </c>
      <c r="N907" s="5" t="s">
        <v>3854</v>
      </c>
      <c r="O907" s="5"/>
      <c r="P907" s="5"/>
      <c r="Q907" s="5"/>
      <c r="R907" s="5"/>
      <c r="S907" s="5"/>
      <c r="T907" s="5"/>
      <c r="U907" s="5"/>
      <c r="V907" s="5"/>
      <c r="W907" s="5"/>
      <c r="X907" s="5"/>
      <c r="Y907" s="5"/>
      <c r="Z907" s="5"/>
    </row>
    <row r="908">
      <c r="A908" s="6" t="s">
        <v>3855</v>
      </c>
      <c r="B908" s="5" t="s">
        <v>1096</v>
      </c>
      <c r="C908" s="7" t="s">
        <v>1342</v>
      </c>
      <c r="D908" s="7" t="s">
        <v>1311</v>
      </c>
      <c r="E908" s="7" t="s">
        <v>16</v>
      </c>
      <c r="F908" s="7" t="s">
        <v>16</v>
      </c>
      <c r="G908" s="5" t="s">
        <v>19</v>
      </c>
      <c r="H908" s="7" t="s">
        <v>16</v>
      </c>
      <c r="I908" s="7" t="s">
        <v>3856</v>
      </c>
      <c r="J908" s="7" t="s">
        <v>16</v>
      </c>
      <c r="K908" s="7" t="s">
        <v>16</v>
      </c>
      <c r="L908" s="7" t="s">
        <v>258</v>
      </c>
      <c r="M908" s="5" t="s">
        <v>36</v>
      </c>
      <c r="N908" s="5" t="s">
        <v>3857</v>
      </c>
      <c r="O908" s="5"/>
      <c r="P908" s="5"/>
      <c r="Q908" s="5"/>
      <c r="R908" s="5"/>
      <c r="S908" s="5"/>
      <c r="T908" s="5"/>
      <c r="U908" s="5"/>
      <c r="V908" s="5"/>
      <c r="W908" s="5"/>
      <c r="X908" s="5"/>
      <c r="Y908" s="5"/>
      <c r="Z908" s="5"/>
    </row>
    <row r="909">
      <c r="A909" s="6" t="s">
        <v>3858</v>
      </c>
      <c r="B909" s="5" t="s">
        <v>1096</v>
      </c>
      <c r="C909" s="7" t="s">
        <v>1234</v>
      </c>
      <c r="D909" s="7" t="s">
        <v>1203</v>
      </c>
      <c r="E909" s="7" t="s">
        <v>16</v>
      </c>
      <c r="F909" s="7" t="s">
        <v>16</v>
      </c>
      <c r="G909" s="5" t="s">
        <v>19</v>
      </c>
      <c r="H909" s="7" t="s">
        <v>16</v>
      </c>
      <c r="I909" s="7" t="s">
        <v>3859</v>
      </c>
      <c r="J909" s="7" t="s">
        <v>16</v>
      </c>
      <c r="K909" s="7" t="s">
        <v>16</v>
      </c>
      <c r="L909" s="7" t="s">
        <v>3860</v>
      </c>
      <c r="M909" s="5" t="s">
        <v>36</v>
      </c>
      <c r="N909" s="5" t="s">
        <v>3861</v>
      </c>
      <c r="O909" s="5"/>
      <c r="P909" s="5"/>
      <c r="Q909" s="5"/>
      <c r="R909" s="5"/>
      <c r="S909" s="5"/>
      <c r="T909" s="5"/>
      <c r="U909" s="5"/>
      <c r="V909" s="5"/>
      <c r="W909" s="5"/>
      <c r="X909" s="5"/>
      <c r="Y909" s="5"/>
      <c r="Z909" s="5"/>
    </row>
    <row r="910">
      <c r="A910" s="6" t="s">
        <v>3862</v>
      </c>
      <c r="B910" s="5" t="s">
        <v>1096</v>
      </c>
      <c r="C910" s="7" t="s">
        <v>3863</v>
      </c>
      <c r="D910" s="7" t="s">
        <v>1860</v>
      </c>
      <c r="E910" s="7" t="s">
        <v>16</v>
      </c>
      <c r="F910" s="7" t="s">
        <v>16</v>
      </c>
      <c r="G910" s="5" t="s">
        <v>19</v>
      </c>
      <c r="H910" s="7" t="s">
        <v>16</v>
      </c>
      <c r="I910" s="7" t="s">
        <v>3864</v>
      </c>
      <c r="J910" s="7" t="s">
        <v>16</v>
      </c>
      <c r="K910" s="7" t="s">
        <v>16</v>
      </c>
      <c r="L910" s="7" t="s">
        <v>263</v>
      </c>
      <c r="M910" s="5" t="s">
        <v>36</v>
      </c>
      <c r="N910" s="5" t="s">
        <v>3865</v>
      </c>
      <c r="O910" s="5"/>
      <c r="P910" s="5"/>
      <c r="Q910" s="5"/>
      <c r="R910" s="5"/>
      <c r="S910" s="5"/>
      <c r="T910" s="5"/>
      <c r="U910" s="5"/>
      <c r="V910" s="5"/>
      <c r="W910" s="5"/>
      <c r="X910" s="5"/>
      <c r="Y910" s="5"/>
      <c r="Z910" s="5"/>
    </row>
    <row r="911">
      <c r="A911" s="6" t="s">
        <v>3866</v>
      </c>
      <c r="B911" s="5" t="s">
        <v>1096</v>
      </c>
      <c r="C911" s="7" t="s">
        <v>3867</v>
      </c>
      <c r="D911" s="7" t="s">
        <v>1865</v>
      </c>
      <c r="E911" s="7" t="s">
        <v>16</v>
      </c>
      <c r="F911" s="7" t="s">
        <v>16</v>
      </c>
      <c r="G911" s="5" t="s">
        <v>19</v>
      </c>
      <c r="H911" s="7" t="s">
        <v>16</v>
      </c>
      <c r="I911" s="7" t="s">
        <v>3868</v>
      </c>
      <c r="J911" s="7" t="s">
        <v>16</v>
      </c>
      <c r="K911" s="7" t="s">
        <v>16</v>
      </c>
      <c r="L911" s="7" t="s">
        <v>283</v>
      </c>
      <c r="M911" s="5" t="s">
        <v>22</v>
      </c>
      <c r="N911" s="5" t="s">
        <v>3869</v>
      </c>
      <c r="O911" s="5"/>
      <c r="P911" s="5"/>
      <c r="Q911" s="5"/>
      <c r="R911" s="5"/>
      <c r="S911" s="5"/>
      <c r="T911" s="5"/>
      <c r="U911" s="5"/>
      <c r="V911" s="5"/>
      <c r="W911" s="5"/>
      <c r="X911" s="5"/>
      <c r="Y911" s="5"/>
      <c r="Z911" s="5"/>
    </row>
    <row r="912">
      <c r="A912" s="6" t="s">
        <v>3870</v>
      </c>
      <c r="B912" s="5" t="s">
        <v>1096</v>
      </c>
      <c r="C912" s="7" t="s">
        <v>1239</v>
      </c>
      <c r="D912" s="7" t="s">
        <v>1213</v>
      </c>
      <c r="E912" s="7" t="s">
        <v>16</v>
      </c>
      <c r="F912" s="7" t="s">
        <v>16</v>
      </c>
      <c r="G912" s="5" t="s">
        <v>19</v>
      </c>
      <c r="H912" s="7" t="s">
        <v>16</v>
      </c>
      <c r="I912" s="7" t="s">
        <v>1654</v>
      </c>
      <c r="J912" s="7" t="s">
        <v>16</v>
      </c>
      <c r="K912" s="7" t="s">
        <v>16</v>
      </c>
      <c r="L912" s="7" t="s">
        <v>1868</v>
      </c>
      <c r="M912" s="5" t="s">
        <v>88</v>
      </c>
      <c r="N912" s="5" t="s">
        <v>3871</v>
      </c>
      <c r="O912" s="5"/>
      <c r="P912" s="5"/>
      <c r="Q912" s="5"/>
      <c r="R912" s="5"/>
      <c r="S912" s="5"/>
      <c r="T912" s="5"/>
      <c r="U912" s="5"/>
      <c r="V912" s="5"/>
      <c r="W912" s="5"/>
      <c r="X912" s="5"/>
      <c r="Y912" s="5"/>
      <c r="Z912" s="5"/>
    </row>
    <row r="913">
      <c r="A913" s="6" t="s">
        <v>3872</v>
      </c>
      <c r="B913" s="5" t="s">
        <v>1096</v>
      </c>
      <c r="C913" s="7" t="s">
        <v>3873</v>
      </c>
      <c r="D913" s="7" t="s">
        <v>1207</v>
      </c>
      <c r="E913" s="7" t="s">
        <v>16</v>
      </c>
      <c r="F913" s="7" t="s">
        <v>16</v>
      </c>
      <c r="G913" s="5" t="s">
        <v>19</v>
      </c>
      <c r="H913" s="7" t="s">
        <v>16</v>
      </c>
      <c r="I913" s="7" t="s">
        <v>3874</v>
      </c>
      <c r="J913" s="7" t="s">
        <v>16</v>
      </c>
      <c r="K913" s="7" t="s">
        <v>16</v>
      </c>
      <c r="L913" s="7" t="s">
        <v>273</v>
      </c>
      <c r="M913" s="5" t="s">
        <v>88</v>
      </c>
      <c r="N913" s="5" t="s">
        <v>3875</v>
      </c>
      <c r="O913" s="5"/>
      <c r="P913" s="5"/>
      <c r="Q913" s="5"/>
      <c r="R913" s="5"/>
      <c r="S913" s="5"/>
      <c r="T913" s="5"/>
      <c r="U913" s="5"/>
      <c r="V913" s="5"/>
      <c r="W913" s="5"/>
      <c r="X913" s="5"/>
      <c r="Y913" s="5"/>
      <c r="Z913" s="5"/>
    </row>
    <row r="914">
      <c r="A914" s="6" t="s">
        <v>3876</v>
      </c>
      <c r="B914" s="5" t="s">
        <v>1096</v>
      </c>
      <c r="C914" s="7" t="s">
        <v>1436</v>
      </c>
      <c r="D914" s="7" t="s">
        <v>1400</v>
      </c>
      <c r="E914" s="7" t="s">
        <v>16</v>
      </c>
      <c r="F914" s="7" t="s">
        <v>16</v>
      </c>
      <c r="G914" s="5" t="s">
        <v>19</v>
      </c>
      <c r="H914" s="7" t="s">
        <v>16</v>
      </c>
      <c r="I914" s="7" t="s">
        <v>3877</v>
      </c>
      <c r="J914" s="7" t="s">
        <v>16</v>
      </c>
      <c r="K914" s="7" t="s">
        <v>16</v>
      </c>
      <c r="L914" s="7" t="s">
        <v>1881</v>
      </c>
      <c r="M914" s="5" t="s">
        <v>88</v>
      </c>
      <c r="N914" s="5" t="s">
        <v>3878</v>
      </c>
      <c r="O914" s="5"/>
      <c r="P914" s="5"/>
      <c r="Q914" s="5"/>
      <c r="R914" s="5"/>
      <c r="S914" s="5"/>
      <c r="T914" s="5"/>
      <c r="U914" s="5"/>
      <c r="V914" s="5"/>
      <c r="W914" s="5"/>
      <c r="X914" s="5"/>
      <c r="Y914" s="5"/>
      <c r="Z914" s="5"/>
    </row>
    <row r="915">
      <c r="A915" s="6" t="s">
        <v>3879</v>
      </c>
      <c r="B915" s="5" t="s">
        <v>1096</v>
      </c>
      <c r="C915" s="7" t="s">
        <v>1103</v>
      </c>
      <c r="D915" s="7" t="s">
        <v>1073</v>
      </c>
      <c r="E915" s="7" t="s">
        <v>16</v>
      </c>
      <c r="F915" s="7" t="s">
        <v>16</v>
      </c>
      <c r="G915" s="5" t="s">
        <v>19</v>
      </c>
      <c r="H915" s="7" t="s">
        <v>16</v>
      </c>
      <c r="I915" s="7" t="s">
        <v>3880</v>
      </c>
      <c r="J915" s="7" t="s">
        <v>16</v>
      </c>
      <c r="K915" s="7" t="s">
        <v>16</v>
      </c>
      <c r="L915" s="7" t="s">
        <v>1839</v>
      </c>
      <c r="M915" s="5" t="s">
        <v>36</v>
      </c>
      <c r="N915" s="5" t="s">
        <v>3881</v>
      </c>
      <c r="O915" s="5"/>
      <c r="P915" s="5"/>
      <c r="Q915" s="5"/>
      <c r="R915" s="5"/>
      <c r="S915" s="5"/>
      <c r="T915" s="5"/>
      <c r="U915" s="5"/>
      <c r="V915" s="5"/>
      <c r="W915" s="5"/>
      <c r="X915" s="5"/>
      <c r="Y915" s="5"/>
      <c r="Z915" s="5"/>
    </row>
    <row r="916">
      <c r="A916" s="6" t="s">
        <v>3882</v>
      </c>
      <c r="B916" s="5" t="s">
        <v>1096</v>
      </c>
      <c r="C916" s="7" t="s">
        <v>1108</v>
      </c>
      <c r="D916" s="7" t="s">
        <v>1079</v>
      </c>
      <c r="E916" s="7" t="s">
        <v>16</v>
      </c>
      <c r="F916" s="7" t="s">
        <v>16</v>
      </c>
      <c r="G916" s="5" t="s">
        <v>19</v>
      </c>
      <c r="H916" s="7" t="s">
        <v>16</v>
      </c>
      <c r="I916" s="7" t="s">
        <v>2478</v>
      </c>
      <c r="J916" s="7" t="s">
        <v>16</v>
      </c>
      <c r="K916" s="7" t="s">
        <v>16</v>
      </c>
      <c r="L916" s="7" t="s">
        <v>3883</v>
      </c>
      <c r="M916" s="5" t="s">
        <v>36</v>
      </c>
      <c r="N916" s="5" t="s">
        <v>3884</v>
      </c>
      <c r="O916" s="5"/>
      <c r="P916" s="5"/>
      <c r="Q916" s="5"/>
      <c r="R916" s="5"/>
      <c r="S916" s="5"/>
      <c r="T916" s="5"/>
      <c r="U916" s="5"/>
      <c r="V916" s="5"/>
      <c r="W916" s="5"/>
      <c r="X916" s="5"/>
      <c r="Y916" s="5"/>
      <c r="Z916" s="5"/>
    </row>
    <row r="917">
      <c r="A917" s="6" t="s">
        <v>3885</v>
      </c>
      <c r="B917" s="5" t="s">
        <v>1096</v>
      </c>
      <c r="C917" s="7" t="s">
        <v>3701</v>
      </c>
      <c r="D917" s="7" t="s">
        <v>1522</v>
      </c>
      <c r="E917" s="7" t="s">
        <v>16</v>
      </c>
      <c r="F917" s="7" t="s">
        <v>16</v>
      </c>
      <c r="G917" s="5" t="s">
        <v>19</v>
      </c>
      <c r="H917" s="7" t="s">
        <v>16</v>
      </c>
      <c r="I917" s="7" t="s">
        <v>3886</v>
      </c>
      <c r="J917" s="7" t="s">
        <v>16</v>
      </c>
      <c r="K917" s="7" t="s">
        <v>16</v>
      </c>
      <c r="L917" s="7" t="s">
        <v>1965</v>
      </c>
      <c r="M917" s="5" t="s">
        <v>36</v>
      </c>
      <c r="N917" s="5" t="s">
        <v>3887</v>
      </c>
      <c r="O917" s="5"/>
      <c r="P917" s="5"/>
      <c r="Q917" s="5"/>
      <c r="R917" s="5"/>
      <c r="S917" s="5"/>
      <c r="T917" s="5"/>
      <c r="U917" s="5"/>
      <c r="V917" s="5"/>
      <c r="W917" s="5"/>
      <c r="X917" s="5"/>
      <c r="Y917" s="5"/>
      <c r="Z917" s="5"/>
    </row>
    <row r="918">
      <c r="A918" s="6" t="s">
        <v>3888</v>
      </c>
      <c r="B918" s="5" t="s">
        <v>1096</v>
      </c>
      <c r="C918" s="7" t="s">
        <v>3716</v>
      </c>
      <c r="D918" s="7" t="s">
        <v>1541</v>
      </c>
      <c r="E918" s="7" t="s">
        <v>16</v>
      </c>
      <c r="F918" s="7" t="s">
        <v>16</v>
      </c>
      <c r="G918" s="5" t="s">
        <v>19</v>
      </c>
      <c r="H918" s="7" t="s">
        <v>16</v>
      </c>
      <c r="I918" s="7" t="s">
        <v>3889</v>
      </c>
      <c r="J918" s="7" t="s">
        <v>16</v>
      </c>
      <c r="K918" s="7" t="s">
        <v>16</v>
      </c>
      <c r="L918" s="7" t="s">
        <v>288</v>
      </c>
      <c r="M918" s="5" t="s">
        <v>22</v>
      </c>
      <c r="N918" s="5" t="s">
        <v>3890</v>
      </c>
      <c r="O918" s="5"/>
      <c r="P918" s="5"/>
      <c r="Q918" s="5"/>
      <c r="R918" s="5"/>
      <c r="S918" s="5"/>
      <c r="T918" s="5"/>
      <c r="U918" s="5"/>
      <c r="V918" s="5"/>
      <c r="W918" s="5"/>
      <c r="X918" s="5"/>
      <c r="Y918" s="5"/>
      <c r="Z918" s="5"/>
    </row>
    <row r="919">
      <c r="A919" s="6" t="s">
        <v>3891</v>
      </c>
      <c r="B919" s="5" t="s">
        <v>1096</v>
      </c>
      <c r="C919" s="7" t="s">
        <v>3720</v>
      </c>
      <c r="D919" s="7" t="s">
        <v>1546</v>
      </c>
      <c r="E919" s="7" t="s">
        <v>16</v>
      </c>
      <c r="F919" s="7" t="s">
        <v>16</v>
      </c>
      <c r="G919" s="5" t="s">
        <v>19</v>
      </c>
      <c r="H919" s="7" t="s">
        <v>16</v>
      </c>
      <c r="I919" s="7" t="s">
        <v>3892</v>
      </c>
      <c r="J919" s="7" t="s">
        <v>16</v>
      </c>
      <c r="K919" s="7" t="s">
        <v>16</v>
      </c>
      <c r="L919" s="7" t="s">
        <v>1935</v>
      </c>
      <c r="M919" s="5" t="s">
        <v>36</v>
      </c>
      <c r="N919" s="5" t="s">
        <v>3893</v>
      </c>
      <c r="O919" s="5"/>
      <c r="P919" s="5"/>
      <c r="Q919" s="5"/>
      <c r="R919" s="5"/>
      <c r="S919" s="5"/>
      <c r="T919" s="5"/>
      <c r="U919" s="5"/>
      <c r="V919" s="5"/>
      <c r="W919" s="5"/>
      <c r="X919" s="5"/>
      <c r="Y919" s="5"/>
      <c r="Z919" s="5"/>
    </row>
    <row r="920">
      <c r="A920" s="6" t="s">
        <v>3894</v>
      </c>
      <c r="B920" s="5" t="s">
        <v>1096</v>
      </c>
      <c r="C920" s="7" t="s">
        <v>1239</v>
      </c>
      <c r="D920" s="7" t="s">
        <v>1213</v>
      </c>
      <c r="E920" s="7" t="s">
        <v>16</v>
      </c>
      <c r="F920" s="7" t="s">
        <v>16</v>
      </c>
      <c r="G920" s="5" t="s">
        <v>19</v>
      </c>
      <c r="H920" s="7" t="s">
        <v>16</v>
      </c>
      <c r="I920" s="7" t="s">
        <v>3895</v>
      </c>
      <c r="J920" s="7" t="s">
        <v>16</v>
      </c>
      <c r="K920" s="7" t="s">
        <v>16</v>
      </c>
      <c r="L920" s="7" t="s">
        <v>288</v>
      </c>
      <c r="M920" s="5" t="s">
        <v>36</v>
      </c>
      <c r="N920" s="5" t="s">
        <v>3896</v>
      </c>
      <c r="O920" s="5"/>
      <c r="P920" s="5"/>
      <c r="Q920" s="5"/>
      <c r="R920" s="5"/>
      <c r="S920" s="5"/>
      <c r="T920" s="5"/>
      <c r="U920" s="5"/>
      <c r="V920" s="5"/>
      <c r="W920" s="5"/>
      <c r="X920" s="5"/>
      <c r="Y920" s="5"/>
      <c r="Z920" s="5"/>
    </row>
    <row r="921">
      <c r="A921" s="6" t="s">
        <v>3897</v>
      </c>
      <c r="B921" s="5" t="s">
        <v>1096</v>
      </c>
      <c r="C921" s="7" t="s">
        <v>1436</v>
      </c>
      <c r="D921" s="7" t="s">
        <v>1400</v>
      </c>
      <c r="E921" s="7" t="s">
        <v>16</v>
      </c>
      <c r="F921" s="7" t="s">
        <v>16</v>
      </c>
      <c r="G921" s="5" t="s">
        <v>19</v>
      </c>
      <c r="H921" s="7" t="s">
        <v>16</v>
      </c>
      <c r="I921" s="7" t="s">
        <v>3898</v>
      </c>
      <c r="J921" s="7" t="s">
        <v>16</v>
      </c>
      <c r="K921" s="7" t="s">
        <v>16</v>
      </c>
      <c r="L921" s="7" t="s">
        <v>1948</v>
      </c>
      <c r="M921" s="5" t="s">
        <v>88</v>
      </c>
      <c r="N921" s="5" t="s">
        <v>3899</v>
      </c>
      <c r="O921" s="5"/>
      <c r="P921" s="5"/>
      <c r="Q921" s="5"/>
      <c r="R921" s="5"/>
      <c r="S921" s="5"/>
      <c r="T921" s="5"/>
      <c r="U921" s="5"/>
      <c r="V921" s="5"/>
      <c r="W921" s="5"/>
      <c r="X921" s="5"/>
      <c r="Y921" s="5"/>
      <c r="Z921" s="5"/>
    </row>
    <row r="922">
      <c r="A922" s="6" t="s">
        <v>3900</v>
      </c>
      <c r="B922" s="5" t="s">
        <v>1096</v>
      </c>
      <c r="C922" s="7" t="s">
        <v>1223</v>
      </c>
      <c r="D922" s="7" t="s">
        <v>1189</v>
      </c>
      <c r="E922" s="7" t="s">
        <v>16</v>
      </c>
      <c r="F922" s="7" t="s">
        <v>16</v>
      </c>
      <c r="G922" s="7" t="s">
        <v>19</v>
      </c>
      <c r="H922" s="7" t="s">
        <v>16</v>
      </c>
      <c r="I922" s="7" t="s">
        <v>3901</v>
      </c>
      <c r="J922" s="7" t="s">
        <v>16</v>
      </c>
      <c r="K922" s="7" t="s">
        <v>16</v>
      </c>
      <c r="L922" s="7" t="s">
        <v>1935</v>
      </c>
      <c r="M922" s="5" t="s">
        <v>22</v>
      </c>
      <c r="N922" s="5" t="s">
        <v>3902</v>
      </c>
      <c r="O922" s="5"/>
      <c r="P922" s="5"/>
      <c r="Q922" s="5"/>
      <c r="R922" s="5"/>
      <c r="S922" s="5"/>
      <c r="T922" s="5"/>
      <c r="U922" s="5"/>
      <c r="V922" s="5"/>
      <c r="W922" s="5"/>
      <c r="X922" s="5"/>
      <c r="Y922" s="5"/>
      <c r="Z922" s="5"/>
    </row>
    <row r="923">
      <c r="A923" s="6" t="s">
        <v>3903</v>
      </c>
      <c r="B923" s="5" t="s">
        <v>1096</v>
      </c>
      <c r="C923" s="7" t="s">
        <v>1123</v>
      </c>
      <c r="D923" s="7" t="s">
        <v>1092</v>
      </c>
      <c r="E923" s="7" t="s">
        <v>16</v>
      </c>
      <c r="F923" s="7" t="s">
        <v>16</v>
      </c>
      <c r="G923" s="5" t="s">
        <v>19</v>
      </c>
      <c r="H923" s="7" t="s">
        <v>3904</v>
      </c>
      <c r="I923" s="7" t="s">
        <v>3905</v>
      </c>
      <c r="J923" s="7" t="s">
        <v>16</v>
      </c>
      <c r="K923" s="7" t="s">
        <v>16</v>
      </c>
      <c r="L923" s="7" t="s">
        <v>16</v>
      </c>
      <c r="M923" s="5" t="s">
        <v>36</v>
      </c>
      <c r="N923" s="5" t="s">
        <v>3906</v>
      </c>
      <c r="O923" s="5"/>
      <c r="P923" s="5"/>
      <c r="Q923" s="5"/>
      <c r="R923" s="5"/>
      <c r="S923" s="5"/>
      <c r="T923" s="5"/>
      <c r="U923" s="5"/>
      <c r="V923" s="5"/>
      <c r="W923" s="5"/>
      <c r="X923" s="5"/>
      <c r="Y923" s="5"/>
      <c r="Z923" s="5"/>
    </row>
    <row r="924">
      <c r="A924" s="6" t="s">
        <v>3907</v>
      </c>
      <c r="B924" s="5" t="s">
        <v>1096</v>
      </c>
      <c r="C924" s="7" t="s">
        <v>3759</v>
      </c>
      <c r="D924" s="7" t="s">
        <v>1624</v>
      </c>
      <c r="E924" s="7" t="s">
        <v>16</v>
      </c>
      <c r="F924" s="7" t="s">
        <v>16</v>
      </c>
      <c r="G924" s="7" t="s">
        <v>19</v>
      </c>
      <c r="H924" s="7" t="s">
        <v>3908</v>
      </c>
      <c r="I924" s="7" t="s">
        <v>3909</v>
      </c>
      <c r="J924" s="7" t="s">
        <v>16</v>
      </c>
      <c r="K924" s="7" t="s">
        <v>16</v>
      </c>
      <c r="L924" s="7" t="s">
        <v>16</v>
      </c>
      <c r="M924" s="5" t="s">
        <v>36</v>
      </c>
      <c r="N924" s="5" t="s">
        <v>3910</v>
      </c>
      <c r="O924" s="5"/>
      <c r="P924" s="5"/>
      <c r="Q924" s="5"/>
      <c r="R924" s="5"/>
      <c r="S924" s="5"/>
      <c r="T924" s="5"/>
      <c r="U924" s="5"/>
      <c r="V924" s="5"/>
      <c r="W924" s="5"/>
      <c r="X924" s="5"/>
      <c r="Y924" s="5"/>
      <c r="Z924" s="5"/>
    </row>
    <row r="925">
      <c r="A925" s="6" t="s">
        <v>3911</v>
      </c>
      <c r="B925" s="5" t="s">
        <v>1096</v>
      </c>
      <c r="C925" s="7" t="s">
        <v>3912</v>
      </c>
      <c r="D925" s="7" t="s">
        <v>1322</v>
      </c>
      <c r="E925" s="7" t="s">
        <v>16</v>
      </c>
      <c r="F925" s="7" t="s">
        <v>16</v>
      </c>
      <c r="G925" s="5" t="s">
        <v>19</v>
      </c>
      <c r="H925" s="7" t="s">
        <v>3913</v>
      </c>
      <c r="I925" s="7" t="s">
        <v>3914</v>
      </c>
      <c r="J925" s="7" t="s">
        <v>16</v>
      </c>
      <c r="K925" s="7" t="s">
        <v>16</v>
      </c>
      <c r="L925" s="7" t="s">
        <v>16</v>
      </c>
      <c r="M925" s="5" t="s">
        <v>22</v>
      </c>
      <c r="N925" s="5" t="s">
        <v>3915</v>
      </c>
      <c r="O925" s="5"/>
      <c r="P925" s="5"/>
      <c r="Q925" s="5"/>
      <c r="R925" s="5"/>
      <c r="S925" s="5"/>
      <c r="T925" s="5"/>
      <c r="U925" s="5"/>
      <c r="V925" s="5"/>
      <c r="W925" s="5"/>
      <c r="X925" s="5"/>
      <c r="Y925" s="5"/>
      <c r="Z925" s="5"/>
    </row>
    <row r="926">
      <c r="A926" s="6" t="s">
        <v>3916</v>
      </c>
      <c r="B926" s="5" t="s">
        <v>1096</v>
      </c>
      <c r="C926" s="7" t="s">
        <v>3917</v>
      </c>
      <c r="D926" s="7" t="s">
        <v>1317</v>
      </c>
      <c r="E926" s="7" t="s">
        <v>16</v>
      </c>
      <c r="F926" s="7" t="s">
        <v>16</v>
      </c>
      <c r="G926" s="7" t="s">
        <v>19</v>
      </c>
      <c r="H926" s="7" t="s">
        <v>3918</v>
      </c>
      <c r="I926" s="7" t="s">
        <v>3919</v>
      </c>
      <c r="J926" s="7" t="s">
        <v>16</v>
      </c>
      <c r="K926" s="7" t="s">
        <v>16</v>
      </c>
      <c r="L926" s="7" t="s">
        <v>16</v>
      </c>
      <c r="M926" s="5" t="s">
        <v>22</v>
      </c>
      <c r="N926" s="5" t="s">
        <v>3920</v>
      </c>
      <c r="O926" s="5"/>
      <c r="P926" s="5"/>
      <c r="Q926" s="5"/>
      <c r="R926" s="5"/>
      <c r="S926" s="5"/>
      <c r="T926" s="5"/>
      <c r="U926" s="5"/>
      <c r="V926" s="5"/>
      <c r="W926" s="5"/>
      <c r="X926" s="5"/>
      <c r="Y926" s="5"/>
      <c r="Z926" s="5"/>
    </row>
    <row r="927">
      <c r="A927" s="6" t="s">
        <v>3921</v>
      </c>
      <c r="B927" s="5" t="s">
        <v>1096</v>
      </c>
      <c r="C927" s="7" t="s">
        <v>3922</v>
      </c>
      <c r="D927" s="7" t="s">
        <v>1327</v>
      </c>
      <c r="E927" s="7" t="s">
        <v>16</v>
      </c>
      <c r="F927" s="7" t="s">
        <v>16</v>
      </c>
      <c r="G927" s="5" t="s">
        <v>19</v>
      </c>
      <c r="H927" s="7" t="s">
        <v>3923</v>
      </c>
      <c r="I927" s="7" t="s">
        <v>3924</v>
      </c>
      <c r="J927" s="7" t="s">
        <v>16</v>
      </c>
      <c r="K927" s="7" t="s">
        <v>16</v>
      </c>
      <c r="L927" s="7" t="s">
        <v>16</v>
      </c>
      <c r="M927" s="5" t="s">
        <v>22</v>
      </c>
      <c r="N927" s="5" t="s">
        <v>3925</v>
      </c>
      <c r="O927" s="5"/>
      <c r="P927" s="5"/>
      <c r="Q927" s="5"/>
      <c r="R927" s="5"/>
      <c r="S927" s="5"/>
      <c r="T927" s="5"/>
      <c r="U927" s="5"/>
      <c r="V927" s="5"/>
      <c r="W927" s="5"/>
      <c r="X927" s="5"/>
      <c r="Y927" s="5"/>
      <c r="Z927" s="5"/>
    </row>
    <row r="928">
      <c r="A928" s="6" t="s">
        <v>3926</v>
      </c>
      <c r="B928" s="5" t="s">
        <v>1096</v>
      </c>
      <c r="C928" s="7" t="s">
        <v>3927</v>
      </c>
      <c r="D928" s="7" t="s">
        <v>1410</v>
      </c>
      <c r="E928" s="7" t="s">
        <v>16</v>
      </c>
      <c r="F928" s="7" t="s">
        <v>16</v>
      </c>
      <c r="G928" s="5" t="s">
        <v>19</v>
      </c>
      <c r="H928" s="7" t="s">
        <v>3928</v>
      </c>
      <c r="I928" s="7" t="s">
        <v>3929</v>
      </c>
      <c r="J928" s="7" t="s">
        <v>16</v>
      </c>
      <c r="K928" s="7" t="s">
        <v>16</v>
      </c>
      <c r="L928" s="7" t="s">
        <v>16</v>
      </c>
      <c r="M928" s="5" t="s">
        <v>36</v>
      </c>
      <c r="N928" s="5" t="s">
        <v>3930</v>
      </c>
      <c r="O928" s="5"/>
      <c r="P928" s="5"/>
      <c r="Q928" s="5"/>
      <c r="R928" s="5"/>
      <c r="S928" s="5"/>
      <c r="T928" s="5"/>
      <c r="U928" s="5"/>
      <c r="V928" s="5"/>
      <c r="W928" s="5"/>
      <c r="X928" s="5"/>
      <c r="Y928" s="5"/>
      <c r="Z928" s="5"/>
    </row>
    <row r="929">
      <c r="A929" s="6" t="s">
        <v>3931</v>
      </c>
      <c r="B929" s="5" t="s">
        <v>1096</v>
      </c>
      <c r="C929" s="7" t="s">
        <v>3932</v>
      </c>
      <c r="D929" s="7" t="s">
        <v>1415</v>
      </c>
      <c r="E929" s="7" t="s">
        <v>16</v>
      </c>
      <c r="F929" s="7" t="s">
        <v>16</v>
      </c>
      <c r="G929" s="7" t="s">
        <v>19</v>
      </c>
      <c r="H929" s="7" t="s">
        <v>3933</v>
      </c>
      <c r="I929" s="7" t="s">
        <v>3934</v>
      </c>
      <c r="J929" s="7" t="s">
        <v>16</v>
      </c>
      <c r="K929" s="7" t="s">
        <v>16</v>
      </c>
      <c r="L929" s="7" t="s">
        <v>16</v>
      </c>
      <c r="M929" s="5" t="s">
        <v>36</v>
      </c>
      <c r="N929" s="5" t="s">
        <v>3935</v>
      </c>
      <c r="O929" s="5"/>
      <c r="P929" s="5"/>
      <c r="Q929" s="5"/>
      <c r="R929" s="5"/>
      <c r="S929" s="5"/>
      <c r="T929" s="5"/>
      <c r="U929" s="5"/>
      <c r="V929" s="5"/>
      <c r="W929" s="5"/>
      <c r="X929" s="5"/>
      <c r="Y929" s="5"/>
      <c r="Z929" s="5"/>
    </row>
    <row r="930">
      <c r="A930" s="6" t="s">
        <v>3936</v>
      </c>
      <c r="B930" s="5" t="s">
        <v>1096</v>
      </c>
      <c r="C930" s="7" t="s">
        <v>3937</v>
      </c>
      <c r="D930" s="7" t="s">
        <v>1418</v>
      </c>
      <c r="E930" s="7" t="s">
        <v>16</v>
      </c>
      <c r="F930" s="7" t="s">
        <v>16</v>
      </c>
      <c r="G930" s="7" t="s">
        <v>19</v>
      </c>
      <c r="H930" s="7" t="s">
        <v>3938</v>
      </c>
      <c r="I930" s="7" t="s">
        <v>3939</v>
      </c>
      <c r="J930" s="7" t="s">
        <v>16</v>
      </c>
      <c r="K930" s="7" t="s">
        <v>16</v>
      </c>
      <c r="L930" s="7" t="s">
        <v>16</v>
      </c>
      <c r="M930" s="5" t="s">
        <v>36</v>
      </c>
      <c r="N930" s="5" t="s">
        <v>3940</v>
      </c>
      <c r="O930" s="5"/>
      <c r="P930" s="5"/>
      <c r="Q930" s="5"/>
      <c r="R930" s="5"/>
      <c r="S930" s="5"/>
      <c r="T930" s="5"/>
      <c r="U930" s="5"/>
      <c r="V930" s="5"/>
      <c r="W930" s="5"/>
      <c r="X930" s="5"/>
      <c r="Y930" s="5"/>
      <c r="Z930" s="5"/>
    </row>
    <row r="931">
      <c r="A931" s="6" t="s">
        <v>3941</v>
      </c>
      <c r="B931" s="5" t="s">
        <v>1096</v>
      </c>
      <c r="C931" s="7" t="s">
        <v>1441</v>
      </c>
      <c r="D931" s="7" t="s">
        <v>1421</v>
      </c>
      <c r="E931" s="7" t="s">
        <v>16</v>
      </c>
      <c r="F931" s="7" t="s">
        <v>16</v>
      </c>
      <c r="G931" s="5" t="s">
        <v>19</v>
      </c>
      <c r="H931" s="7" t="s">
        <v>3942</v>
      </c>
      <c r="I931" s="7" t="s">
        <v>3943</v>
      </c>
      <c r="J931" s="7" t="s">
        <v>16</v>
      </c>
      <c r="K931" s="7" t="s">
        <v>16</v>
      </c>
      <c r="L931" s="7" t="s">
        <v>16</v>
      </c>
      <c r="M931" s="5" t="s">
        <v>75</v>
      </c>
      <c r="N931" s="5" t="s">
        <v>3944</v>
      </c>
      <c r="O931" s="5"/>
      <c r="P931" s="5"/>
      <c r="Q931" s="5"/>
      <c r="R931" s="5"/>
      <c r="S931" s="5"/>
      <c r="T931" s="5"/>
      <c r="U931" s="5"/>
      <c r="V931" s="5"/>
      <c r="W931" s="5"/>
      <c r="X931" s="5"/>
      <c r="Y931" s="5"/>
      <c r="Z931" s="5"/>
    </row>
    <row r="932">
      <c r="A932" s="6" t="s">
        <v>3945</v>
      </c>
      <c r="B932" s="5" t="s">
        <v>1096</v>
      </c>
      <c r="C932" s="7" t="s">
        <v>1097</v>
      </c>
      <c r="D932" s="7" t="s">
        <v>1068</v>
      </c>
      <c r="E932" s="7" t="s">
        <v>16</v>
      </c>
      <c r="F932" s="7" t="s">
        <v>16</v>
      </c>
      <c r="G932" s="7" t="s">
        <v>19</v>
      </c>
      <c r="H932" s="7" t="s">
        <v>16</v>
      </c>
      <c r="I932" s="7" t="s">
        <v>3946</v>
      </c>
      <c r="J932" s="7" t="s">
        <v>16</v>
      </c>
      <c r="K932" s="7" t="s">
        <v>16</v>
      </c>
      <c r="L932" s="7" t="s">
        <v>3947</v>
      </c>
      <c r="M932" s="5" t="s">
        <v>22</v>
      </c>
      <c r="N932" s="5" t="s">
        <v>3948</v>
      </c>
      <c r="O932" s="5"/>
      <c r="P932" s="5"/>
      <c r="Q932" s="5"/>
      <c r="R932" s="5"/>
      <c r="S932" s="5"/>
      <c r="T932" s="5"/>
      <c r="U932" s="5"/>
      <c r="V932" s="5"/>
      <c r="W932" s="5"/>
      <c r="X932" s="5"/>
      <c r="Y932" s="5"/>
      <c r="Z932" s="5"/>
    </row>
    <row r="933">
      <c r="A933" s="6" t="s">
        <v>3949</v>
      </c>
      <c r="B933" s="5" t="s">
        <v>1096</v>
      </c>
      <c r="C933" s="7" t="s">
        <v>1218</v>
      </c>
      <c r="D933" s="7" t="s">
        <v>1183</v>
      </c>
      <c r="E933" s="7" t="s">
        <v>16</v>
      </c>
      <c r="F933" s="7" t="s">
        <v>16</v>
      </c>
      <c r="G933" s="7" t="s">
        <v>19</v>
      </c>
      <c r="H933" s="7" t="s">
        <v>3950</v>
      </c>
      <c r="I933" s="7" t="s">
        <v>3951</v>
      </c>
      <c r="J933" s="7" t="s">
        <v>16</v>
      </c>
      <c r="K933" s="7" t="s">
        <v>16</v>
      </c>
      <c r="L933" s="7" t="s">
        <v>16</v>
      </c>
      <c r="M933" s="5" t="s">
        <v>36</v>
      </c>
      <c r="N933" s="5" t="s">
        <v>3952</v>
      </c>
      <c r="O933" s="5"/>
      <c r="P933" s="5"/>
      <c r="Q933" s="5"/>
      <c r="R933" s="5"/>
      <c r="S933" s="5"/>
      <c r="T933" s="5"/>
      <c r="U933" s="5"/>
      <c r="V933" s="5"/>
      <c r="W933" s="5"/>
      <c r="X933" s="5"/>
      <c r="Y933" s="5"/>
      <c r="Z933" s="5"/>
    </row>
    <row r="934">
      <c r="A934" s="6" t="s">
        <v>3953</v>
      </c>
      <c r="B934" s="5" t="s">
        <v>1096</v>
      </c>
      <c r="C934" s="7" t="s">
        <v>1218</v>
      </c>
      <c r="D934" s="7" t="s">
        <v>1183</v>
      </c>
      <c r="E934" s="7" t="s">
        <v>16</v>
      </c>
      <c r="F934" s="7" t="s">
        <v>16</v>
      </c>
      <c r="G934" s="7" t="s">
        <v>19</v>
      </c>
      <c r="H934" s="7" t="s">
        <v>16</v>
      </c>
      <c r="I934" s="7" t="s">
        <v>3954</v>
      </c>
      <c r="J934" s="7" t="s">
        <v>16</v>
      </c>
      <c r="K934" s="7" t="s">
        <v>16</v>
      </c>
      <c r="L934" s="7" t="s">
        <v>342</v>
      </c>
      <c r="M934" s="5" t="s">
        <v>22</v>
      </c>
      <c r="N934" s="5" t="s">
        <v>3955</v>
      </c>
      <c r="O934" s="5"/>
      <c r="P934" s="5"/>
      <c r="Q934" s="5"/>
      <c r="R934" s="5"/>
      <c r="S934" s="5"/>
      <c r="T934" s="5"/>
      <c r="U934" s="5"/>
      <c r="V934" s="5"/>
      <c r="W934" s="5"/>
      <c r="X934" s="5"/>
      <c r="Y934" s="5"/>
      <c r="Z934" s="5"/>
    </row>
    <row r="935">
      <c r="A935" s="6" t="s">
        <v>3956</v>
      </c>
      <c r="B935" s="5" t="s">
        <v>1096</v>
      </c>
      <c r="C935" s="7" t="s">
        <v>1118</v>
      </c>
      <c r="D935" s="7" t="s">
        <v>411</v>
      </c>
      <c r="E935" s="7" t="s">
        <v>16</v>
      </c>
      <c r="F935" s="7" t="s">
        <v>16</v>
      </c>
      <c r="G935" s="5" t="s">
        <v>19</v>
      </c>
      <c r="H935" s="7" t="s">
        <v>16</v>
      </c>
      <c r="I935" s="7" t="s">
        <v>3957</v>
      </c>
      <c r="J935" s="7" t="s">
        <v>16</v>
      </c>
      <c r="K935" s="7" t="s">
        <v>16</v>
      </c>
      <c r="L935" s="7" t="s">
        <v>2107</v>
      </c>
      <c r="M935" s="5" t="s">
        <v>22</v>
      </c>
      <c r="N935" s="5" t="s">
        <v>3958</v>
      </c>
      <c r="O935" s="5"/>
      <c r="P935" s="5"/>
      <c r="Q935" s="5"/>
      <c r="R935" s="5"/>
      <c r="S935" s="5"/>
      <c r="T935" s="5"/>
      <c r="U935" s="5"/>
      <c r="V935" s="5"/>
      <c r="W935" s="5"/>
      <c r="X935" s="5"/>
      <c r="Y935" s="5"/>
      <c r="Z935" s="5"/>
    </row>
    <row r="936">
      <c r="A936" s="6" t="s">
        <v>3959</v>
      </c>
      <c r="B936" s="5" t="s">
        <v>1096</v>
      </c>
      <c r="C936" s="7" t="s">
        <v>1118</v>
      </c>
      <c r="D936" s="7" t="s">
        <v>411</v>
      </c>
      <c r="E936" s="7" t="s">
        <v>16</v>
      </c>
      <c r="F936" s="7" t="s">
        <v>16</v>
      </c>
      <c r="G936" s="7" t="s">
        <v>19</v>
      </c>
      <c r="H936" s="7" t="s">
        <v>16</v>
      </c>
      <c r="I936" s="7" t="s">
        <v>3960</v>
      </c>
      <c r="J936" s="7" t="s">
        <v>16</v>
      </c>
      <c r="K936" s="7" t="s">
        <v>16</v>
      </c>
      <c r="L936" s="7" t="s">
        <v>351</v>
      </c>
      <c r="M936" s="5" t="s">
        <v>36</v>
      </c>
      <c r="N936" s="5" t="s">
        <v>3961</v>
      </c>
      <c r="O936" s="5"/>
      <c r="P936" s="5"/>
      <c r="Q936" s="5"/>
      <c r="R936" s="5"/>
      <c r="S936" s="5"/>
      <c r="T936" s="5"/>
      <c r="U936" s="5"/>
      <c r="V936" s="5"/>
      <c r="W936" s="5"/>
      <c r="X936" s="5"/>
      <c r="Y936" s="5"/>
      <c r="Z936" s="5"/>
    </row>
    <row r="937">
      <c r="A937" s="6" t="s">
        <v>3962</v>
      </c>
      <c r="B937" s="5" t="s">
        <v>1096</v>
      </c>
      <c r="C937" s="7" t="s">
        <v>1431</v>
      </c>
      <c r="D937" s="7" t="s">
        <v>85</v>
      </c>
      <c r="E937" s="7" t="s">
        <v>16</v>
      </c>
      <c r="F937" s="7" t="s">
        <v>16</v>
      </c>
      <c r="G937" s="5" t="s">
        <v>19</v>
      </c>
      <c r="H937" s="7" t="s">
        <v>3963</v>
      </c>
      <c r="I937" s="7" t="s">
        <v>3964</v>
      </c>
      <c r="J937" s="7" t="s">
        <v>16</v>
      </c>
      <c r="K937" s="7" t="s">
        <v>16</v>
      </c>
      <c r="L937" s="7" t="s">
        <v>16</v>
      </c>
      <c r="M937" s="5" t="s">
        <v>75</v>
      </c>
      <c r="N937" s="5" t="s">
        <v>3965</v>
      </c>
      <c r="O937" s="5"/>
      <c r="P937" s="5"/>
      <c r="Q937" s="5"/>
      <c r="R937" s="5"/>
      <c r="S937" s="5"/>
      <c r="T937" s="5"/>
      <c r="U937" s="5"/>
      <c r="V937" s="5"/>
      <c r="W937" s="5"/>
      <c r="X937" s="5"/>
      <c r="Y937" s="5"/>
      <c r="Z937" s="5"/>
    </row>
    <row r="938">
      <c r="A938" s="6" t="s">
        <v>3966</v>
      </c>
      <c r="B938" s="5" t="s">
        <v>1096</v>
      </c>
      <c r="C938" s="7" t="s">
        <v>3967</v>
      </c>
      <c r="D938" s="7" t="s">
        <v>2142</v>
      </c>
      <c r="E938" s="7" t="s">
        <v>16</v>
      </c>
      <c r="F938" s="7" t="s">
        <v>16</v>
      </c>
      <c r="G938" s="5" t="s">
        <v>19</v>
      </c>
      <c r="H938" s="7" t="s">
        <v>3968</v>
      </c>
      <c r="I938" s="7" t="s">
        <v>3969</v>
      </c>
      <c r="J938" s="7" t="s">
        <v>16</v>
      </c>
      <c r="K938" s="7" t="s">
        <v>16</v>
      </c>
      <c r="L938" s="7" t="s">
        <v>16</v>
      </c>
      <c r="M938" s="5" t="s">
        <v>22</v>
      </c>
      <c r="N938" s="5" t="s">
        <v>3970</v>
      </c>
      <c r="O938" s="5"/>
      <c r="P938" s="5"/>
      <c r="Q938" s="5"/>
      <c r="R938" s="5"/>
      <c r="S938" s="5"/>
      <c r="T938" s="5"/>
      <c r="U938" s="5"/>
      <c r="V938" s="5"/>
      <c r="W938" s="5"/>
      <c r="X938" s="5"/>
      <c r="Y938" s="5"/>
      <c r="Z938" s="5"/>
    </row>
    <row r="939">
      <c r="A939" s="6" t="s">
        <v>3971</v>
      </c>
      <c r="B939" s="5" t="s">
        <v>1096</v>
      </c>
      <c r="C939" s="7" t="s">
        <v>3972</v>
      </c>
      <c r="D939" s="7" t="s">
        <v>2147</v>
      </c>
      <c r="E939" s="7" t="s">
        <v>16</v>
      </c>
      <c r="F939" s="7" t="s">
        <v>16</v>
      </c>
      <c r="G939" s="5" t="s">
        <v>19</v>
      </c>
      <c r="H939" s="7" t="s">
        <v>3973</v>
      </c>
      <c r="I939" s="7" t="s">
        <v>3974</v>
      </c>
      <c r="J939" s="7" t="s">
        <v>16</v>
      </c>
      <c r="K939" s="7" t="s">
        <v>16</v>
      </c>
      <c r="L939" s="7" t="s">
        <v>16</v>
      </c>
      <c r="M939" s="5" t="s">
        <v>22</v>
      </c>
      <c r="N939" s="5" t="s">
        <v>3975</v>
      </c>
      <c r="O939" s="5"/>
      <c r="P939" s="5"/>
      <c r="Q939" s="5"/>
      <c r="R939" s="5"/>
      <c r="S939" s="5"/>
      <c r="T939" s="5"/>
      <c r="U939" s="5"/>
      <c r="V939" s="5"/>
      <c r="W939" s="5"/>
      <c r="X939" s="5"/>
      <c r="Y939" s="5"/>
      <c r="Z939" s="5"/>
    </row>
    <row r="940">
      <c r="A940" s="6" t="s">
        <v>3976</v>
      </c>
      <c r="B940" s="5" t="s">
        <v>1096</v>
      </c>
      <c r="C940" s="7" t="s">
        <v>3977</v>
      </c>
      <c r="D940" s="7" t="s">
        <v>2152</v>
      </c>
      <c r="E940" s="7" t="s">
        <v>16</v>
      </c>
      <c r="F940" s="7" t="s">
        <v>16</v>
      </c>
      <c r="G940" s="5" t="s">
        <v>19</v>
      </c>
      <c r="H940" s="7" t="s">
        <v>3978</v>
      </c>
      <c r="I940" s="7" t="s">
        <v>3979</v>
      </c>
      <c r="J940" s="7" t="s">
        <v>16</v>
      </c>
      <c r="K940" s="7" t="s">
        <v>16</v>
      </c>
      <c r="L940" s="7" t="s">
        <v>16</v>
      </c>
      <c r="M940" s="5" t="s">
        <v>22</v>
      </c>
      <c r="N940" s="5" t="s">
        <v>3980</v>
      </c>
      <c r="O940" s="5"/>
      <c r="P940" s="5"/>
      <c r="Q940" s="5"/>
      <c r="R940" s="5"/>
      <c r="S940" s="5"/>
      <c r="T940" s="5"/>
      <c r="U940" s="5"/>
      <c r="V940" s="5"/>
      <c r="W940" s="5"/>
      <c r="X940" s="5"/>
      <c r="Y940" s="5"/>
      <c r="Z940" s="5"/>
    </row>
    <row r="941">
      <c r="A941" s="6" t="s">
        <v>3981</v>
      </c>
      <c r="B941" s="5" t="s">
        <v>1096</v>
      </c>
      <c r="C941" s="7" t="s">
        <v>3982</v>
      </c>
      <c r="D941" s="7" t="s">
        <v>2157</v>
      </c>
      <c r="E941" s="7" t="s">
        <v>16</v>
      </c>
      <c r="F941" s="7" t="s">
        <v>16</v>
      </c>
      <c r="G941" s="7" t="s">
        <v>19</v>
      </c>
      <c r="H941" s="7" t="s">
        <v>3983</v>
      </c>
      <c r="I941" s="7" t="s">
        <v>3984</v>
      </c>
      <c r="J941" s="7" t="s">
        <v>16</v>
      </c>
      <c r="K941" s="7" t="s">
        <v>16</v>
      </c>
      <c r="L941" s="7" t="s">
        <v>16</v>
      </c>
      <c r="M941" s="5" t="s">
        <v>22</v>
      </c>
      <c r="N941" s="5" t="s">
        <v>3985</v>
      </c>
      <c r="O941" s="5"/>
      <c r="P941" s="5"/>
      <c r="Q941" s="5"/>
      <c r="R941" s="5"/>
      <c r="S941" s="5"/>
      <c r="T941" s="5"/>
      <c r="U941" s="5"/>
      <c r="V941" s="5"/>
      <c r="W941" s="5"/>
      <c r="X941" s="5"/>
      <c r="Y941" s="5"/>
      <c r="Z941" s="5"/>
    </row>
    <row r="942">
      <c r="A942" s="6" t="s">
        <v>3986</v>
      </c>
      <c r="B942" s="5" t="s">
        <v>1096</v>
      </c>
      <c r="C942" s="7" t="s">
        <v>3987</v>
      </c>
      <c r="D942" s="7" t="s">
        <v>2162</v>
      </c>
      <c r="E942" s="7" t="s">
        <v>16</v>
      </c>
      <c r="F942" s="7" t="s">
        <v>16</v>
      </c>
      <c r="G942" s="7" t="s">
        <v>19</v>
      </c>
      <c r="H942" s="7" t="s">
        <v>3988</v>
      </c>
      <c r="I942" s="7" t="s">
        <v>3989</v>
      </c>
      <c r="J942" s="7" t="s">
        <v>16</v>
      </c>
      <c r="K942" s="7" t="s">
        <v>16</v>
      </c>
      <c r="L942" s="7" t="s">
        <v>16</v>
      </c>
      <c r="M942" s="5" t="s">
        <v>75</v>
      </c>
      <c r="N942" s="5" t="s">
        <v>3990</v>
      </c>
      <c r="O942" s="5"/>
      <c r="P942" s="5"/>
      <c r="Q942" s="5"/>
      <c r="R942" s="5"/>
      <c r="S942" s="5"/>
      <c r="T942" s="5"/>
      <c r="U942" s="5"/>
      <c r="V942" s="5"/>
      <c r="W942" s="5"/>
      <c r="X942" s="5"/>
      <c r="Y942" s="5"/>
      <c r="Z942" s="5"/>
    </row>
    <row r="943">
      <c r="A943" s="6" t="s">
        <v>3991</v>
      </c>
      <c r="B943" s="5" t="s">
        <v>1096</v>
      </c>
      <c r="C943" s="7" t="s">
        <v>3992</v>
      </c>
      <c r="D943" s="7" t="s">
        <v>2167</v>
      </c>
      <c r="E943" s="7" t="s">
        <v>16</v>
      </c>
      <c r="F943" s="7" t="s">
        <v>16</v>
      </c>
      <c r="G943" s="7" t="s">
        <v>19</v>
      </c>
      <c r="H943" s="7" t="s">
        <v>3993</v>
      </c>
      <c r="I943" s="7" t="s">
        <v>3994</v>
      </c>
      <c r="J943" s="7" t="s">
        <v>16</v>
      </c>
      <c r="K943" s="7" t="s">
        <v>16</v>
      </c>
      <c r="L943" s="7" t="s">
        <v>16</v>
      </c>
      <c r="M943" s="5" t="s">
        <v>75</v>
      </c>
      <c r="N943" s="5" t="s">
        <v>3995</v>
      </c>
      <c r="O943" s="5"/>
      <c r="P943" s="5"/>
      <c r="Q943" s="5"/>
      <c r="R943" s="5"/>
      <c r="S943" s="5"/>
      <c r="T943" s="5"/>
      <c r="U943" s="5"/>
      <c r="V943" s="5"/>
      <c r="W943" s="5"/>
      <c r="X943" s="5"/>
      <c r="Y943" s="5"/>
      <c r="Z943" s="5"/>
    </row>
    <row r="944">
      <c r="A944" s="6" t="s">
        <v>3996</v>
      </c>
      <c r="B944" s="5" t="s">
        <v>1096</v>
      </c>
      <c r="C944" s="7" t="s">
        <v>3997</v>
      </c>
      <c r="D944" s="7" t="s">
        <v>2172</v>
      </c>
      <c r="E944" s="7" t="s">
        <v>16</v>
      </c>
      <c r="F944" s="7" t="s">
        <v>16</v>
      </c>
      <c r="G944" s="7" t="s">
        <v>19</v>
      </c>
      <c r="H944" s="7" t="s">
        <v>3998</v>
      </c>
      <c r="I944" s="7" t="s">
        <v>3999</v>
      </c>
      <c r="J944" s="7" t="s">
        <v>16</v>
      </c>
      <c r="K944" s="7" t="s">
        <v>16</v>
      </c>
      <c r="L944" s="7" t="s">
        <v>16</v>
      </c>
      <c r="M944" s="5" t="s">
        <v>75</v>
      </c>
      <c r="N944" s="5" t="s">
        <v>4000</v>
      </c>
      <c r="O944" s="5"/>
      <c r="P944" s="5"/>
      <c r="Q944" s="5"/>
      <c r="R944" s="5"/>
      <c r="S944" s="5"/>
      <c r="T944" s="5"/>
      <c r="U944" s="5"/>
      <c r="V944" s="5"/>
      <c r="W944" s="5"/>
      <c r="X944" s="5"/>
      <c r="Y944" s="5"/>
      <c r="Z944" s="5"/>
    </row>
    <row r="945">
      <c r="A945" s="6" t="s">
        <v>4001</v>
      </c>
      <c r="B945" s="5" t="s">
        <v>1096</v>
      </c>
      <c r="C945" s="7" t="s">
        <v>4002</v>
      </c>
      <c r="D945" s="7" t="s">
        <v>2182</v>
      </c>
      <c r="E945" s="7" t="s">
        <v>16</v>
      </c>
      <c r="F945" s="7" t="s">
        <v>16</v>
      </c>
      <c r="G945" s="5" t="s">
        <v>19</v>
      </c>
      <c r="H945" s="7" t="s">
        <v>4003</v>
      </c>
      <c r="I945" s="7" t="s">
        <v>4004</v>
      </c>
      <c r="J945" s="7" t="s">
        <v>16</v>
      </c>
      <c r="K945" s="7" t="s">
        <v>16</v>
      </c>
      <c r="L945" s="7" t="s">
        <v>16</v>
      </c>
      <c r="M945" s="5" t="s">
        <v>36</v>
      </c>
      <c r="N945" s="7" t="s">
        <v>4005</v>
      </c>
      <c r="O945" s="5"/>
      <c r="P945" s="5"/>
      <c r="Q945" s="5"/>
      <c r="R945" s="5"/>
      <c r="S945" s="5"/>
      <c r="T945" s="5"/>
      <c r="U945" s="5"/>
      <c r="V945" s="5"/>
      <c r="W945" s="5"/>
      <c r="X945" s="5"/>
      <c r="Y945" s="5"/>
      <c r="Z945" s="5"/>
    </row>
    <row r="946">
      <c r="A946" s="6" t="s">
        <v>4006</v>
      </c>
      <c r="B946" s="5" t="s">
        <v>1096</v>
      </c>
      <c r="C946" s="7" t="s">
        <v>4007</v>
      </c>
      <c r="D946" s="7" t="s">
        <v>2187</v>
      </c>
      <c r="E946" s="7" t="s">
        <v>16</v>
      </c>
      <c r="F946" s="7" t="s">
        <v>16</v>
      </c>
      <c r="G946" s="5" t="s">
        <v>19</v>
      </c>
      <c r="H946" s="7" t="s">
        <v>4008</v>
      </c>
      <c r="I946" s="7" t="s">
        <v>4009</v>
      </c>
      <c r="J946" s="7" t="s">
        <v>16</v>
      </c>
      <c r="K946" s="7" t="s">
        <v>16</v>
      </c>
      <c r="L946" s="7" t="s">
        <v>16</v>
      </c>
      <c r="M946" s="5" t="s">
        <v>36</v>
      </c>
      <c r="N946" s="5" t="s">
        <v>4010</v>
      </c>
      <c r="O946" s="5"/>
      <c r="P946" s="5"/>
      <c r="Q946" s="5"/>
      <c r="R946" s="5"/>
      <c r="S946" s="5"/>
      <c r="T946" s="5"/>
      <c r="U946" s="5"/>
      <c r="V946" s="5"/>
      <c r="W946" s="5"/>
      <c r="X946" s="5"/>
      <c r="Y946" s="5"/>
      <c r="Z946" s="5"/>
    </row>
    <row r="947">
      <c r="A947" s="6" t="s">
        <v>4011</v>
      </c>
      <c r="B947" s="5" t="s">
        <v>1096</v>
      </c>
      <c r="C947" s="7" t="s">
        <v>1097</v>
      </c>
      <c r="D947" s="7" t="s">
        <v>1068</v>
      </c>
      <c r="E947" s="7" t="s">
        <v>16</v>
      </c>
      <c r="F947" s="7" t="s">
        <v>16</v>
      </c>
      <c r="G947" s="5" t="s">
        <v>19</v>
      </c>
      <c r="H947" s="7" t="s">
        <v>4012</v>
      </c>
      <c r="I947" s="7" t="s">
        <v>4013</v>
      </c>
      <c r="J947" s="7" t="s">
        <v>16</v>
      </c>
      <c r="K947" s="7" t="s">
        <v>16</v>
      </c>
      <c r="L947" s="7" t="s">
        <v>16</v>
      </c>
      <c r="M947" s="5" t="s">
        <v>36</v>
      </c>
      <c r="N947" s="5" t="s">
        <v>4014</v>
      </c>
      <c r="O947" s="5"/>
      <c r="P947" s="5"/>
      <c r="Q947" s="5"/>
      <c r="R947" s="5"/>
      <c r="S947" s="5"/>
      <c r="T947" s="5"/>
      <c r="U947" s="5"/>
      <c r="V947" s="5"/>
      <c r="W947" s="5"/>
      <c r="X947" s="5"/>
      <c r="Y947" s="5"/>
      <c r="Z947" s="5"/>
    </row>
    <row r="948">
      <c r="A948" s="6" t="s">
        <v>4015</v>
      </c>
      <c r="B948" s="5" t="s">
        <v>1096</v>
      </c>
      <c r="C948" s="7" t="s">
        <v>4016</v>
      </c>
      <c r="D948" s="7" t="s">
        <v>2207</v>
      </c>
      <c r="E948" s="7" t="s">
        <v>16</v>
      </c>
      <c r="F948" s="7" t="s">
        <v>16</v>
      </c>
      <c r="G948" s="7" t="s">
        <v>19</v>
      </c>
      <c r="H948" s="7" t="s">
        <v>4017</v>
      </c>
      <c r="I948" s="7" t="s">
        <v>4018</v>
      </c>
      <c r="J948" s="7" t="s">
        <v>16</v>
      </c>
      <c r="K948" s="7" t="s">
        <v>16</v>
      </c>
      <c r="L948" s="7" t="s">
        <v>16</v>
      </c>
      <c r="M948" s="5" t="s">
        <v>36</v>
      </c>
      <c r="N948" s="5" t="s">
        <v>4019</v>
      </c>
      <c r="O948" s="5"/>
      <c r="P948" s="5"/>
      <c r="Q948" s="5"/>
      <c r="R948" s="5"/>
      <c r="S948" s="5"/>
      <c r="T948" s="5"/>
      <c r="U948" s="5"/>
      <c r="V948" s="5"/>
      <c r="W948" s="5"/>
      <c r="X948" s="5"/>
      <c r="Y948" s="5"/>
      <c r="Z948" s="5"/>
    </row>
    <row r="949">
      <c r="A949" s="6" t="s">
        <v>4020</v>
      </c>
      <c r="B949" s="5" t="s">
        <v>1096</v>
      </c>
      <c r="C949" s="7" t="s">
        <v>1441</v>
      </c>
      <c r="D949" s="7" t="s">
        <v>1421</v>
      </c>
      <c r="E949" s="7" t="s">
        <v>16</v>
      </c>
      <c r="F949" s="7" t="s">
        <v>16</v>
      </c>
      <c r="G949" s="5" t="s">
        <v>19</v>
      </c>
      <c r="H949" s="7" t="s">
        <v>4021</v>
      </c>
      <c r="I949" s="7" t="s">
        <v>4022</v>
      </c>
      <c r="J949" s="7" t="s">
        <v>16</v>
      </c>
      <c r="K949" s="7" t="s">
        <v>16</v>
      </c>
      <c r="L949" s="7" t="s">
        <v>16</v>
      </c>
      <c r="M949" s="5" t="s">
        <v>22</v>
      </c>
      <c r="N949" s="5" t="s">
        <v>4023</v>
      </c>
      <c r="O949" s="5"/>
      <c r="P949" s="5"/>
      <c r="Q949" s="5"/>
      <c r="R949" s="5"/>
      <c r="S949" s="5"/>
      <c r="T949" s="5"/>
      <c r="U949" s="5"/>
      <c r="V949" s="5"/>
      <c r="W949" s="5"/>
      <c r="X949" s="5"/>
      <c r="Y949" s="5"/>
      <c r="Z949" s="5"/>
    </row>
    <row r="950">
      <c r="A950" s="6" t="s">
        <v>4024</v>
      </c>
      <c r="B950" s="5" t="s">
        <v>1096</v>
      </c>
      <c r="C950" s="7" t="s">
        <v>4025</v>
      </c>
      <c r="D950" s="7" t="s">
        <v>1426</v>
      </c>
      <c r="E950" s="7" t="s">
        <v>16</v>
      </c>
      <c r="F950" s="7" t="s">
        <v>16</v>
      </c>
      <c r="G950" s="5" t="s">
        <v>19</v>
      </c>
      <c r="H950" s="7" t="s">
        <v>4026</v>
      </c>
      <c r="I950" s="7" t="s">
        <v>4027</v>
      </c>
      <c r="J950" s="7" t="s">
        <v>16</v>
      </c>
      <c r="K950" s="7" t="s">
        <v>16</v>
      </c>
      <c r="L950" s="7" t="s">
        <v>16</v>
      </c>
      <c r="M950" s="5" t="s">
        <v>36</v>
      </c>
      <c r="N950" s="5" t="s">
        <v>4028</v>
      </c>
      <c r="O950" s="5"/>
      <c r="P950" s="5"/>
      <c r="Q950" s="5"/>
      <c r="R950" s="5"/>
      <c r="S950" s="5"/>
      <c r="T950" s="5"/>
      <c r="U950" s="5"/>
      <c r="V950" s="5"/>
      <c r="W950" s="5"/>
      <c r="X950" s="5"/>
      <c r="Y950" s="5"/>
      <c r="Z950" s="5"/>
    </row>
    <row r="951">
      <c r="A951" s="6" t="s">
        <v>4029</v>
      </c>
      <c r="B951" s="5" t="s">
        <v>1096</v>
      </c>
      <c r="C951" s="7" t="s">
        <v>4030</v>
      </c>
      <c r="D951" s="7" t="s">
        <v>2235</v>
      </c>
      <c r="E951" s="7" t="s">
        <v>16</v>
      </c>
      <c r="F951" s="7" t="s">
        <v>16</v>
      </c>
      <c r="G951" s="5" t="s">
        <v>19</v>
      </c>
      <c r="H951" s="7" t="s">
        <v>4031</v>
      </c>
      <c r="I951" s="7" t="s">
        <v>4032</v>
      </c>
      <c r="J951" s="7" t="s">
        <v>16</v>
      </c>
      <c r="K951" s="7" t="s">
        <v>16</v>
      </c>
      <c r="L951" s="7" t="s">
        <v>16</v>
      </c>
      <c r="M951" s="5" t="s">
        <v>22</v>
      </c>
      <c r="N951" s="5" t="s">
        <v>4033</v>
      </c>
      <c r="O951" s="5"/>
      <c r="P951" s="5"/>
      <c r="Q951" s="5"/>
      <c r="R951" s="5"/>
      <c r="S951" s="5"/>
      <c r="T951" s="5"/>
      <c r="U951" s="5"/>
      <c r="V951" s="5"/>
      <c r="W951" s="5"/>
      <c r="X951" s="5"/>
      <c r="Y951" s="5"/>
      <c r="Z951" s="5"/>
    </row>
    <row r="952">
      <c r="A952" s="6" t="s">
        <v>4034</v>
      </c>
      <c r="B952" s="5" t="s">
        <v>1096</v>
      </c>
      <c r="C952" s="7" t="s">
        <v>1118</v>
      </c>
      <c r="D952" s="7" t="s">
        <v>411</v>
      </c>
      <c r="E952" s="7" t="s">
        <v>16</v>
      </c>
      <c r="F952" s="7" t="s">
        <v>16</v>
      </c>
      <c r="G952" s="7" t="s">
        <v>19</v>
      </c>
      <c r="H952" s="7" t="s">
        <v>4035</v>
      </c>
      <c r="I952" s="7" t="s">
        <v>4036</v>
      </c>
      <c r="J952" s="7" t="s">
        <v>16</v>
      </c>
      <c r="K952" s="7" t="s">
        <v>16</v>
      </c>
      <c r="L952" s="7" t="s">
        <v>16</v>
      </c>
      <c r="M952" s="5" t="s">
        <v>75</v>
      </c>
      <c r="N952" s="5" t="s">
        <v>4037</v>
      </c>
      <c r="O952" s="5"/>
      <c r="P952" s="5"/>
      <c r="Q952" s="5"/>
      <c r="R952" s="5"/>
      <c r="S952" s="5"/>
      <c r="T952" s="5"/>
      <c r="U952" s="5"/>
      <c r="V952" s="5"/>
      <c r="W952" s="5"/>
      <c r="X952" s="5"/>
      <c r="Y952" s="5"/>
      <c r="Z952" s="5"/>
    </row>
    <row r="953">
      <c r="A953" s="6" t="s">
        <v>4038</v>
      </c>
      <c r="B953" s="5" t="s">
        <v>1096</v>
      </c>
      <c r="C953" s="7" t="s">
        <v>4039</v>
      </c>
      <c r="D953" s="7" t="s">
        <v>1905</v>
      </c>
      <c r="E953" s="7" t="s">
        <v>16</v>
      </c>
      <c r="F953" s="7" t="s">
        <v>16</v>
      </c>
      <c r="G953" s="5" t="s">
        <v>19</v>
      </c>
      <c r="H953" s="7" t="s">
        <v>4040</v>
      </c>
      <c r="I953" s="7" t="s">
        <v>3951</v>
      </c>
      <c r="J953" s="7" t="s">
        <v>16</v>
      </c>
      <c r="K953" s="7" t="s">
        <v>16</v>
      </c>
      <c r="L953" s="7" t="s">
        <v>16</v>
      </c>
      <c r="M953" s="5" t="s">
        <v>75</v>
      </c>
      <c r="N953" s="5" t="s">
        <v>4041</v>
      </c>
      <c r="O953" s="5"/>
      <c r="P953" s="5"/>
      <c r="Q953" s="5"/>
      <c r="R953" s="5"/>
      <c r="S953" s="5"/>
      <c r="T953" s="5"/>
      <c r="U953" s="5"/>
      <c r="V953" s="5"/>
      <c r="W953" s="5"/>
      <c r="X953" s="5"/>
      <c r="Y953" s="5"/>
      <c r="Z953" s="5"/>
    </row>
    <row r="954">
      <c r="A954" s="6" t="s">
        <v>4042</v>
      </c>
      <c r="B954" s="5" t="s">
        <v>1096</v>
      </c>
      <c r="C954" s="7" t="s">
        <v>3873</v>
      </c>
      <c r="D954" s="7" t="s">
        <v>1207</v>
      </c>
      <c r="E954" s="7" t="s">
        <v>16</v>
      </c>
      <c r="F954" s="7" t="s">
        <v>16</v>
      </c>
      <c r="G954" s="5" t="s">
        <v>19</v>
      </c>
      <c r="H954" s="7" t="s">
        <v>4043</v>
      </c>
      <c r="I954" s="7" t="s">
        <v>4044</v>
      </c>
      <c r="J954" s="7" t="s">
        <v>16</v>
      </c>
      <c r="K954" s="7" t="s">
        <v>16</v>
      </c>
      <c r="L954" s="7" t="s">
        <v>16</v>
      </c>
      <c r="M954" s="5" t="s">
        <v>22</v>
      </c>
      <c r="N954" s="5" t="s">
        <v>4045</v>
      </c>
      <c r="O954" s="5"/>
      <c r="P954" s="5"/>
      <c r="Q954" s="5"/>
      <c r="R954" s="5"/>
      <c r="S954" s="5"/>
      <c r="T954" s="5"/>
      <c r="U954" s="5"/>
      <c r="V954" s="5"/>
      <c r="W954" s="5"/>
      <c r="X954" s="5"/>
      <c r="Y954" s="5"/>
      <c r="Z954" s="5"/>
    </row>
    <row r="955">
      <c r="A955" s="6" t="s">
        <v>4046</v>
      </c>
      <c r="B955" s="5" t="s">
        <v>1096</v>
      </c>
      <c r="C955" s="7" t="s">
        <v>4047</v>
      </c>
      <c r="D955" s="7" t="s">
        <v>1878</v>
      </c>
      <c r="E955" s="7" t="s">
        <v>16</v>
      </c>
      <c r="F955" s="7" t="s">
        <v>16</v>
      </c>
      <c r="G955" s="7" t="s">
        <v>19</v>
      </c>
      <c r="H955" s="7" t="s">
        <v>4048</v>
      </c>
      <c r="I955" s="7" t="s">
        <v>4049</v>
      </c>
      <c r="J955" s="7" t="s">
        <v>16</v>
      </c>
      <c r="K955" s="7" t="s">
        <v>16</v>
      </c>
      <c r="L955" s="7" t="s">
        <v>16</v>
      </c>
      <c r="M955" s="5" t="s">
        <v>22</v>
      </c>
      <c r="N955" s="5" t="s">
        <v>4050</v>
      </c>
      <c r="O955" s="5"/>
      <c r="P955" s="5"/>
      <c r="Q955" s="5"/>
      <c r="R955" s="5"/>
      <c r="S955" s="5"/>
      <c r="T955" s="5"/>
      <c r="U955" s="5"/>
      <c r="V955" s="5"/>
      <c r="W955" s="5"/>
      <c r="X955" s="5"/>
      <c r="Y955" s="5"/>
      <c r="Z955" s="5"/>
    </row>
    <row r="956">
      <c r="A956" s="6" t="s">
        <v>4051</v>
      </c>
      <c r="B956" s="5" t="s">
        <v>1096</v>
      </c>
      <c r="C956" s="7" t="s">
        <v>4025</v>
      </c>
      <c r="D956" s="7" t="s">
        <v>1426</v>
      </c>
      <c r="E956" s="7" t="s">
        <v>16</v>
      </c>
      <c r="F956" s="7" t="s">
        <v>16</v>
      </c>
      <c r="G956" s="5" t="s">
        <v>19</v>
      </c>
      <c r="H956" s="7" t="s">
        <v>4052</v>
      </c>
      <c r="I956" s="7" t="s">
        <v>4053</v>
      </c>
      <c r="J956" s="7" t="s">
        <v>16</v>
      </c>
      <c r="K956" s="7" t="s">
        <v>16</v>
      </c>
      <c r="L956" s="7" t="s">
        <v>16</v>
      </c>
      <c r="M956" s="5" t="s">
        <v>36</v>
      </c>
      <c r="N956" s="5" t="s">
        <v>4054</v>
      </c>
      <c r="O956" s="5"/>
      <c r="P956" s="5"/>
      <c r="Q956" s="5"/>
      <c r="R956" s="5"/>
      <c r="S956" s="5"/>
      <c r="T956" s="5"/>
      <c r="U956" s="5"/>
      <c r="V956" s="5"/>
      <c r="W956" s="5"/>
      <c r="X956" s="5"/>
      <c r="Y956" s="5"/>
      <c r="Z956" s="5"/>
    </row>
    <row r="957">
      <c r="A957" s="6" t="s">
        <v>4055</v>
      </c>
      <c r="B957" s="5" t="s">
        <v>1096</v>
      </c>
      <c r="C957" s="7" t="s">
        <v>4056</v>
      </c>
      <c r="D957" s="7" t="s">
        <v>2177</v>
      </c>
      <c r="E957" s="7" t="s">
        <v>16</v>
      </c>
      <c r="F957" s="7" t="s">
        <v>16</v>
      </c>
      <c r="G957" s="7" t="s">
        <v>19</v>
      </c>
      <c r="H957" s="7" t="s">
        <v>444</v>
      </c>
      <c r="I957" s="7" t="s">
        <v>4057</v>
      </c>
      <c r="J957" s="7" t="s">
        <v>16</v>
      </c>
      <c r="K957" s="7" t="s">
        <v>16</v>
      </c>
      <c r="L957" s="7" t="s">
        <v>16</v>
      </c>
      <c r="M957" s="5" t="s">
        <v>22</v>
      </c>
      <c r="N957" s="5" t="s">
        <v>4058</v>
      </c>
      <c r="O957" s="5"/>
      <c r="P957" s="5"/>
      <c r="Q957" s="5"/>
      <c r="R957" s="5"/>
      <c r="S957" s="5"/>
      <c r="T957" s="5"/>
      <c r="U957" s="5"/>
      <c r="V957" s="5"/>
      <c r="W957" s="5"/>
      <c r="X957" s="5"/>
      <c r="Y957" s="5"/>
      <c r="Z957" s="5"/>
    </row>
    <row r="958">
      <c r="A958" s="6" t="s">
        <v>4059</v>
      </c>
      <c r="B958" s="5" t="s">
        <v>1096</v>
      </c>
      <c r="C958" s="7" t="s">
        <v>1228</v>
      </c>
      <c r="D958" s="7" t="s">
        <v>1194</v>
      </c>
      <c r="E958" s="7" t="s">
        <v>16</v>
      </c>
      <c r="F958" s="7" t="s">
        <v>16</v>
      </c>
      <c r="G958" s="5" t="s">
        <v>19</v>
      </c>
      <c r="H958" s="7" t="s">
        <v>4060</v>
      </c>
      <c r="I958" s="7" t="s">
        <v>4061</v>
      </c>
      <c r="J958" s="7" t="s">
        <v>16</v>
      </c>
      <c r="K958" s="7" t="s">
        <v>16</v>
      </c>
      <c r="L958" s="7" t="s">
        <v>16</v>
      </c>
      <c r="M958" s="5" t="s">
        <v>36</v>
      </c>
      <c r="N958" s="5" t="s">
        <v>4062</v>
      </c>
      <c r="O958" s="5"/>
      <c r="P958" s="5"/>
      <c r="Q958" s="5"/>
      <c r="R958" s="5"/>
      <c r="S958" s="5"/>
      <c r="T958" s="5"/>
      <c r="U958" s="5"/>
      <c r="V958" s="5"/>
      <c r="W958" s="5"/>
      <c r="X958" s="5"/>
      <c r="Y958" s="5"/>
      <c r="Z958" s="5"/>
    </row>
    <row r="959">
      <c r="A959" s="6" t="s">
        <v>4063</v>
      </c>
      <c r="B959" s="5" t="s">
        <v>1096</v>
      </c>
      <c r="C959" s="7" t="s">
        <v>1436</v>
      </c>
      <c r="D959" s="7" t="s">
        <v>1400</v>
      </c>
      <c r="E959" s="7" t="s">
        <v>16</v>
      </c>
      <c r="F959" s="7" t="s">
        <v>16</v>
      </c>
      <c r="G959" s="7" t="s">
        <v>19</v>
      </c>
      <c r="H959" s="7" t="s">
        <v>4064</v>
      </c>
      <c r="I959" s="7" t="s">
        <v>4065</v>
      </c>
      <c r="J959" s="7" t="s">
        <v>16</v>
      </c>
      <c r="K959" s="7" t="s">
        <v>16</v>
      </c>
      <c r="L959" s="7" t="s">
        <v>16</v>
      </c>
      <c r="M959" s="5" t="s">
        <v>36</v>
      </c>
      <c r="N959" s="5" t="s">
        <v>4066</v>
      </c>
      <c r="O959" s="5"/>
      <c r="P959" s="5"/>
      <c r="Q959" s="5"/>
      <c r="R959" s="5"/>
      <c r="S959" s="5"/>
      <c r="T959" s="5"/>
      <c r="U959" s="5"/>
      <c r="V959" s="5"/>
      <c r="W959" s="5"/>
      <c r="X959" s="5"/>
      <c r="Y959" s="5"/>
      <c r="Z959" s="5"/>
    </row>
    <row r="960">
      <c r="A960" s="6" t="s">
        <v>4067</v>
      </c>
      <c r="B960" s="5" t="s">
        <v>1096</v>
      </c>
      <c r="C960" s="7" t="s">
        <v>1097</v>
      </c>
      <c r="D960" s="7" t="s">
        <v>1068</v>
      </c>
      <c r="E960" s="7" t="s">
        <v>16</v>
      </c>
      <c r="F960" s="7" t="s">
        <v>16</v>
      </c>
      <c r="G960" s="5" t="s">
        <v>19</v>
      </c>
      <c r="H960" s="7" t="s">
        <v>4068</v>
      </c>
      <c r="I960" s="7" t="s">
        <v>4069</v>
      </c>
      <c r="J960" s="7" t="s">
        <v>16</v>
      </c>
      <c r="K960" s="7" t="s">
        <v>16</v>
      </c>
      <c r="L960" s="7" t="s">
        <v>16</v>
      </c>
      <c r="M960" s="5" t="s">
        <v>22</v>
      </c>
      <c r="N960" s="5" t="s">
        <v>4070</v>
      </c>
      <c r="O960" s="5"/>
      <c r="P960" s="5"/>
      <c r="Q960" s="5"/>
      <c r="R960" s="5"/>
      <c r="S960" s="5"/>
      <c r="T960" s="5"/>
      <c r="U960" s="5"/>
      <c r="V960" s="5"/>
      <c r="W960" s="5"/>
      <c r="X960" s="5"/>
      <c r="Y960" s="5"/>
      <c r="Z960" s="5"/>
    </row>
    <row r="961">
      <c r="A961" s="6" t="s">
        <v>4071</v>
      </c>
      <c r="B961" s="5" t="s">
        <v>1096</v>
      </c>
      <c r="C961" s="7" t="s">
        <v>1118</v>
      </c>
      <c r="D961" s="7" t="s">
        <v>411</v>
      </c>
      <c r="E961" s="7" t="s">
        <v>16</v>
      </c>
      <c r="F961" s="7" t="s">
        <v>16</v>
      </c>
      <c r="G961" s="5" t="s">
        <v>19</v>
      </c>
      <c r="H961" s="7" t="s">
        <v>4072</v>
      </c>
      <c r="I961" s="7" t="s">
        <v>4073</v>
      </c>
      <c r="J961" s="7" t="s">
        <v>16</v>
      </c>
      <c r="K961" s="7" t="s">
        <v>16</v>
      </c>
      <c r="L961" s="7" t="s">
        <v>16</v>
      </c>
      <c r="M961" s="5" t="s">
        <v>22</v>
      </c>
      <c r="N961" s="5" t="s">
        <v>4074</v>
      </c>
      <c r="O961" s="5"/>
      <c r="P961" s="5"/>
      <c r="Q961" s="5"/>
      <c r="R961" s="5"/>
      <c r="S961" s="5"/>
      <c r="T961" s="5"/>
      <c r="U961" s="5"/>
      <c r="V961" s="5"/>
      <c r="W961" s="5"/>
      <c r="X961" s="5"/>
      <c r="Y961" s="5"/>
      <c r="Z961" s="5"/>
    </row>
    <row r="962">
      <c r="A962" s="6" t="s">
        <v>4075</v>
      </c>
      <c r="B962" s="5" t="s">
        <v>1096</v>
      </c>
      <c r="C962" s="7" t="s">
        <v>1218</v>
      </c>
      <c r="D962" s="7" t="s">
        <v>406</v>
      </c>
      <c r="E962" s="7" t="s">
        <v>16</v>
      </c>
      <c r="F962" s="7" t="s">
        <v>16</v>
      </c>
      <c r="G962" s="5" t="s">
        <v>19</v>
      </c>
      <c r="H962" s="7" t="s">
        <v>4076</v>
      </c>
      <c r="I962" s="7" t="s">
        <v>4077</v>
      </c>
      <c r="J962" s="7" t="s">
        <v>16</v>
      </c>
      <c r="K962" s="7" t="s">
        <v>16</v>
      </c>
      <c r="L962" s="7" t="s">
        <v>16</v>
      </c>
      <c r="M962" s="5" t="s">
        <v>22</v>
      </c>
      <c r="N962" s="5" t="s">
        <v>4078</v>
      </c>
      <c r="O962" s="5"/>
      <c r="P962" s="5"/>
      <c r="Q962" s="5"/>
      <c r="R962" s="5"/>
      <c r="S962" s="5"/>
      <c r="T962" s="5"/>
      <c r="U962" s="5"/>
      <c r="V962" s="5"/>
      <c r="W962" s="5"/>
      <c r="X962" s="5"/>
      <c r="Y962" s="5"/>
      <c r="Z962" s="5"/>
    </row>
    <row r="963">
      <c r="A963" s="6" t="s">
        <v>4079</v>
      </c>
      <c r="B963" s="5" t="s">
        <v>1096</v>
      </c>
      <c r="C963" s="7" t="s">
        <v>1436</v>
      </c>
      <c r="D963" s="7" t="s">
        <v>1400</v>
      </c>
      <c r="E963" s="7" t="s">
        <v>16</v>
      </c>
      <c r="F963" s="7" t="s">
        <v>16</v>
      </c>
      <c r="G963" s="7" t="s">
        <v>19</v>
      </c>
      <c r="H963" s="7" t="s">
        <v>4080</v>
      </c>
      <c r="I963" s="7" t="s">
        <v>4081</v>
      </c>
      <c r="J963" s="7" t="s">
        <v>16</v>
      </c>
      <c r="K963" s="7" t="s">
        <v>16</v>
      </c>
      <c r="L963" s="7" t="s">
        <v>16</v>
      </c>
      <c r="M963" s="5" t="s">
        <v>22</v>
      </c>
      <c r="N963" s="5" t="s">
        <v>4082</v>
      </c>
      <c r="O963" s="5"/>
      <c r="P963" s="5"/>
      <c r="Q963" s="5"/>
      <c r="R963" s="5"/>
      <c r="S963" s="5"/>
      <c r="T963" s="5"/>
      <c r="U963" s="5"/>
      <c r="V963" s="5"/>
      <c r="W963" s="5"/>
      <c r="X963" s="5"/>
      <c r="Y963" s="5"/>
      <c r="Z963" s="5"/>
    </row>
    <row r="964">
      <c r="A964" s="6" t="s">
        <v>4083</v>
      </c>
      <c r="B964" s="5" t="s">
        <v>1096</v>
      </c>
      <c r="C964" s="7" t="s">
        <v>1441</v>
      </c>
      <c r="D964" s="7" t="s">
        <v>16</v>
      </c>
      <c r="E964" s="7" t="s">
        <v>16</v>
      </c>
      <c r="F964" s="7" t="s">
        <v>16</v>
      </c>
      <c r="G964" s="7" t="s">
        <v>19</v>
      </c>
      <c r="H964" s="7" t="s">
        <v>4084</v>
      </c>
      <c r="I964" s="7" t="s">
        <v>4085</v>
      </c>
      <c r="J964" s="7" t="s">
        <v>16</v>
      </c>
      <c r="K964" s="7" t="s">
        <v>16</v>
      </c>
      <c r="L964" s="7" t="s">
        <v>16</v>
      </c>
      <c r="M964" s="5" t="s">
        <v>22</v>
      </c>
      <c r="N964" s="5" t="s">
        <v>4086</v>
      </c>
      <c r="O964" s="5"/>
      <c r="P964" s="5"/>
      <c r="Q964" s="5"/>
      <c r="R964" s="5"/>
      <c r="S964" s="5"/>
      <c r="T964" s="5"/>
      <c r="U964" s="5"/>
      <c r="V964" s="5"/>
      <c r="W964" s="5"/>
      <c r="X964" s="5"/>
      <c r="Y964" s="5"/>
      <c r="Z964" s="5"/>
    </row>
    <row r="965">
      <c r="A965" s="6" t="s">
        <v>4087</v>
      </c>
      <c r="B965" s="5" t="s">
        <v>1096</v>
      </c>
      <c r="C965" s="7" t="s">
        <v>4025</v>
      </c>
      <c r="D965" s="7" t="s">
        <v>1426</v>
      </c>
      <c r="E965" s="7" t="s">
        <v>16</v>
      </c>
      <c r="F965" s="7" t="s">
        <v>16</v>
      </c>
      <c r="G965" s="7" t="s">
        <v>19</v>
      </c>
      <c r="H965" s="7" t="s">
        <v>4088</v>
      </c>
      <c r="I965" s="7" t="s">
        <v>4089</v>
      </c>
      <c r="J965" s="7" t="s">
        <v>16</v>
      </c>
      <c r="K965" s="7" t="s">
        <v>16</v>
      </c>
      <c r="L965" s="7" t="s">
        <v>16</v>
      </c>
      <c r="M965" s="5" t="s">
        <v>22</v>
      </c>
      <c r="N965" s="5" t="s">
        <v>4090</v>
      </c>
      <c r="O965" s="5"/>
      <c r="P965" s="5"/>
      <c r="Q965" s="5"/>
      <c r="R965" s="5"/>
      <c r="S965" s="5"/>
      <c r="T965" s="5"/>
      <c r="U965" s="5"/>
      <c r="V965" s="5"/>
      <c r="W965" s="5"/>
      <c r="X965" s="5"/>
      <c r="Y965" s="5"/>
      <c r="Z965" s="5"/>
    </row>
    <row r="966">
      <c r="A966" s="6" t="s">
        <v>4091</v>
      </c>
      <c r="B966" s="5" t="s">
        <v>1096</v>
      </c>
      <c r="C966" s="7" t="s">
        <v>1431</v>
      </c>
      <c r="D966" s="7" t="s">
        <v>85</v>
      </c>
      <c r="E966" s="7" t="s">
        <v>16</v>
      </c>
      <c r="F966" s="7" t="s">
        <v>16</v>
      </c>
      <c r="G966" s="5" t="s">
        <v>19</v>
      </c>
      <c r="H966" s="7" t="s">
        <v>4092</v>
      </c>
      <c r="I966" s="7" t="s">
        <v>4093</v>
      </c>
      <c r="J966" s="7" t="s">
        <v>16</v>
      </c>
      <c r="K966" s="7" t="s">
        <v>16</v>
      </c>
      <c r="L966" s="7" t="s">
        <v>16</v>
      </c>
      <c r="M966" s="5" t="s">
        <v>36</v>
      </c>
      <c r="N966" s="5" t="s">
        <v>4094</v>
      </c>
      <c r="O966" s="5"/>
      <c r="P966" s="5"/>
      <c r="Q966" s="5"/>
      <c r="R966" s="5"/>
      <c r="S966" s="5"/>
      <c r="T966" s="5"/>
      <c r="U966" s="5"/>
      <c r="V966" s="5"/>
      <c r="W966" s="5"/>
      <c r="X966" s="5"/>
      <c r="Y966" s="5"/>
      <c r="Z966" s="5"/>
    </row>
    <row r="967">
      <c r="A967" s="6" t="s">
        <v>4095</v>
      </c>
      <c r="B967" s="5" t="s">
        <v>1096</v>
      </c>
      <c r="C967" s="7" t="s">
        <v>1239</v>
      </c>
      <c r="D967" s="7" t="s">
        <v>1213</v>
      </c>
      <c r="E967" s="7" t="s">
        <v>16</v>
      </c>
      <c r="F967" s="7" t="s">
        <v>16</v>
      </c>
      <c r="G967" s="7" t="s">
        <v>19</v>
      </c>
      <c r="H967" s="7" t="s">
        <v>4096</v>
      </c>
      <c r="I967" s="7" t="s">
        <v>4097</v>
      </c>
      <c r="J967" s="7" t="s">
        <v>16</v>
      </c>
      <c r="K967" s="7" t="s">
        <v>16</v>
      </c>
      <c r="L967" s="7" t="s">
        <v>16</v>
      </c>
      <c r="M967" s="5" t="s">
        <v>36</v>
      </c>
      <c r="N967" s="5" t="s">
        <v>4098</v>
      </c>
      <c r="O967" s="5"/>
      <c r="P967" s="5"/>
      <c r="Q967" s="5"/>
      <c r="R967" s="5"/>
      <c r="S967" s="5"/>
      <c r="T967" s="5"/>
      <c r="U967" s="5"/>
      <c r="V967" s="5"/>
      <c r="W967" s="5"/>
      <c r="X967" s="5"/>
      <c r="Y967" s="5"/>
      <c r="Z967" s="5"/>
    </row>
    <row r="968">
      <c r="A968" s="6" t="s">
        <v>4099</v>
      </c>
      <c r="B968" s="5" t="s">
        <v>1096</v>
      </c>
      <c r="C968" s="7" t="s">
        <v>4100</v>
      </c>
      <c r="D968" s="7" t="s">
        <v>2556</v>
      </c>
      <c r="E968" s="7" t="s">
        <v>16</v>
      </c>
      <c r="F968" s="7" t="s">
        <v>16</v>
      </c>
      <c r="G968" s="5" t="s">
        <v>19</v>
      </c>
      <c r="H968" s="7" t="s">
        <v>4101</v>
      </c>
      <c r="I968" s="7" t="s">
        <v>4102</v>
      </c>
      <c r="J968" s="7" t="s">
        <v>16</v>
      </c>
      <c r="K968" s="7" t="s">
        <v>16</v>
      </c>
      <c r="L968" s="7" t="s">
        <v>16</v>
      </c>
      <c r="M968" s="5" t="s">
        <v>22</v>
      </c>
      <c r="N968" s="5" t="s">
        <v>4103</v>
      </c>
      <c r="O968" s="5"/>
      <c r="P968" s="5"/>
      <c r="Q968" s="5"/>
      <c r="R968" s="5"/>
      <c r="S968" s="5"/>
      <c r="T968" s="5"/>
      <c r="U968" s="5"/>
      <c r="V968" s="5"/>
      <c r="W968" s="5"/>
      <c r="X968" s="5"/>
      <c r="Y968" s="5"/>
      <c r="Z968" s="5"/>
    </row>
    <row r="969">
      <c r="A969" s="6" t="s">
        <v>4104</v>
      </c>
      <c r="B969" s="5" t="s">
        <v>1096</v>
      </c>
      <c r="C969" s="7" t="s">
        <v>4105</v>
      </c>
      <c r="D969" s="7" t="s">
        <v>2561</v>
      </c>
      <c r="E969" s="7" t="s">
        <v>16</v>
      </c>
      <c r="F969" s="7" t="s">
        <v>16</v>
      </c>
      <c r="G969" s="7" t="s">
        <v>19</v>
      </c>
      <c r="H969" s="7" t="s">
        <v>4106</v>
      </c>
      <c r="I969" s="7" t="s">
        <v>4107</v>
      </c>
      <c r="J969" s="7" t="s">
        <v>16</v>
      </c>
      <c r="K969" s="7" t="s">
        <v>16</v>
      </c>
      <c r="L969" s="7" t="s">
        <v>16</v>
      </c>
      <c r="M969" s="5" t="s">
        <v>22</v>
      </c>
      <c r="N969" s="5" t="s">
        <v>4108</v>
      </c>
      <c r="O969" s="5"/>
      <c r="P969" s="5"/>
      <c r="Q969" s="5"/>
      <c r="R969" s="5"/>
      <c r="S969" s="5"/>
      <c r="T969" s="5"/>
      <c r="U969" s="5"/>
      <c r="V969" s="5"/>
      <c r="W969" s="5"/>
      <c r="X969" s="5"/>
      <c r="Y969" s="5"/>
      <c r="Z969" s="5"/>
    </row>
    <row r="970">
      <c r="A970" s="6" t="s">
        <v>4109</v>
      </c>
      <c r="B970" s="5" t="s">
        <v>1096</v>
      </c>
      <c r="C970" s="7" t="s">
        <v>4110</v>
      </c>
      <c r="D970" s="7" t="s">
        <v>2576</v>
      </c>
      <c r="E970" s="7" t="s">
        <v>16</v>
      </c>
      <c r="F970" s="7" t="s">
        <v>16</v>
      </c>
      <c r="G970" s="5" t="s">
        <v>19</v>
      </c>
      <c r="H970" s="7" t="s">
        <v>4111</v>
      </c>
      <c r="I970" s="7" t="s">
        <v>4112</v>
      </c>
      <c r="J970" s="7" t="s">
        <v>16</v>
      </c>
      <c r="K970" s="7" t="s">
        <v>16</v>
      </c>
      <c r="L970" s="7" t="s">
        <v>16</v>
      </c>
      <c r="M970" s="5" t="s">
        <v>75</v>
      </c>
      <c r="N970" s="5" t="s">
        <v>4113</v>
      </c>
      <c r="O970" s="5"/>
      <c r="P970" s="5"/>
      <c r="Q970" s="5"/>
      <c r="R970" s="5"/>
      <c r="S970" s="5"/>
      <c r="T970" s="5"/>
      <c r="U970" s="5"/>
      <c r="V970" s="5"/>
      <c r="W970" s="5"/>
      <c r="X970" s="5"/>
      <c r="Y970" s="5"/>
      <c r="Z970" s="5"/>
    </row>
    <row r="971">
      <c r="A971" s="6" t="s">
        <v>4114</v>
      </c>
      <c r="B971" s="5" t="s">
        <v>1096</v>
      </c>
      <c r="C971" s="7" t="s">
        <v>4115</v>
      </c>
      <c r="D971" s="7" t="s">
        <v>2581</v>
      </c>
      <c r="E971" s="7" t="s">
        <v>16</v>
      </c>
      <c r="F971" s="7" t="s">
        <v>16</v>
      </c>
      <c r="G971" s="7" t="s">
        <v>19</v>
      </c>
      <c r="H971" s="7" t="s">
        <v>452</v>
      </c>
      <c r="I971" s="7" t="s">
        <v>4116</v>
      </c>
      <c r="J971" s="7" t="s">
        <v>16</v>
      </c>
      <c r="K971" s="7" t="s">
        <v>16</v>
      </c>
      <c r="L971" s="7" t="s">
        <v>16</v>
      </c>
      <c r="M971" s="5" t="s">
        <v>75</v>
      </c>
      <c r="N971" s="5" t="s">
        <v>4117</v>
      </c>
      <c r="O971" s="5"/>
      <c r="P971" s="5"/>
      <c r="Q971" s="5"/>
      <c r="R971" s="5"/>
      <c r="S971" s="5"/>
      <c r="T971" s="5"/>
      <c r="U971" s="5"/>
      <c r="V971" s="5"/>
      <c r="W971" s="5"/>
      <c r="X971" s="5"/>
      <c r="Y971" s="5"/>
      <c r="Z971" s="5"/>
    </row>
    <row r="972">
      <c r="A972" s="6" t="s">
        <v>4118</v>
      </c>
      <c r="B972" s="5" t="s">
        <v>1096</v>
      </c>
      <c r="C972" s="7" t="s">
        <v>4110</v>
      </c>
      <c r="D972" s="7" t="s">
        <v>2576</v>
      </c>
      <c r="E972" s="7" t="s">
        <v>16</v>
      </c>
      <c r="F972" s="7" t="s">
        <v>16</v>
      </c>
      <c r="G972" s="5" t="s">
        <v>19</v>
      </c>
      <c r="H972" s="7" t="s">
        <v>4119</v>
      </c>
      <c r="I972" s="7" t="s">
        <v>4120</v>
      </c>
      <c r="J972" s="7" t="s">
        <v>16</v>
      </c>
      <c r="K972" s="7" t="s">
        <v>16</v>
      </c>
      <c r="L972" s="7" t="s">
        <v>16</v>
      </c>
      <c r="M972" s="5" t="s">
        <v>22</v>
      </c>
      <c r="N972" s="5" t="s">
        <v>4121</v>
      </c>
      <c r="O972" s="5"/>
      <c r="P972" s="5"/>
      <c r="Q972" s="5"/>
      <c r="R972" s="5"/>
      <c r="S972" s="5"/>
      <c r="T972" s="5"/>
      <c r="U972" s="5"/>
      <c r="V972" s="5"/>
      <c r="W972" s="5"/>
      <c r="X972" s="5"/>
      <c r="Y972" s="5"/>
      <c r="Z972" s="5"/>
    </row>
    <row r="973">
      <c r="A973" s="6" t="s">
        <v>4122</v>
      </c>
      <c r="B973" s="5" t="s">
        <v>1096</v>
      </c>
      <c r="C973" s="7" t="s">
        <v>4115</v>
      </c>
      <c r="D973" s="7" t="s">
        <v>2581</v>
      </c>
      <c r="E973" s="7" t="s">
        <v>16</v>
      </c>
      <c r="F973" s="7" t="s">
        <v>16</v>
      </c>
      <c r="G973" s="5" t="s">
        <v>19</v>
      </c>
      <c r="H973" s="7" t="s">
        <v>4123</v>
      </c>
      <c r="I973" s="7" t="s">
        <v>4124</v>
      </c>
      <c r="J973" s="7" t="s">
        <v>16</v>
      </c>
      <c r="K973" s="7" t="s">
        <v>16</v>
      </c>
      <c r="L973" s="7" t="s">
        <v>16</v>
      </c>
      <c r="M973" s="5" t="s">
        <v>22</v>
      </c>
      <c r="N973" s="5" t="s">
        <v>4125</v>
      </c>
      <c r="O973" s="5"/>
      <c r="P973" s="5"/>
      <c r="Q973" s="5"/>
      <c r="R973" s="5"/>
      <c r="S973" s="5"/>
      <c r="T973" s="5"/>
      <c r="U973" s="5"/>
      <c r="V973" s="5"/>
      <c r="W973" s="5"/>
      <c r="X973" s="5"/>
      <c r="Y973" s="5"/>
      <c r="Z973" s="5"/>
    </row>
    <row r="974">
      <c r="A974" s="6" t="s">
        <v>4126</v>
      </c>
      <c r="B974" s="5" t="s">
        <v>1096</v>
      </c>
      <c r="C974" s="7" t="s">
        <v>1118</v>
      </c>
      <c r="D974" s="7" t="s">
        <v>411</v>
      </c>
      <c r="E974" s="7" t="s">
        <v>16</v>
      </c>
      <c r="F974" s="7" t="s">
        <v>16</v>
      </c>
      <c r="G974" s="7" t="s">
        <v>19</v>
      </c>
      <c r="H974" s="7" t="s">
        <v>4127</v>
      </c>
      <c r="I974" s="7" t="s">
        <v>4128</v>
      </c>
      <c r="J974" s="7" t="s">
        <v>16</v>
      </c>
      <c r="K974" s="7" t="s">
        <v>16</v>
      </c>
      <c r="L974" s="7" t="s">
        <v>16</v>
      </c>
      <c r="M974" s="5" t="s">
        <v>75</v>
      </c>
      <c r="N974" s="5" t="s">
        <v>4129</v>
      </c>
      <c r="O974" s="5"/>
      <c r="P974" s="5"/>
      <c r="Q974" s="5"/>
      <c r="R974" s="5"/>
      <c r="S974" s="5"/>
      <c r="T974" s="5"/>
      <c r="U974" s="5"/>
      <c r="V974" s="5"/>
      <c r="W974" s="5"/>
      <c r="X974" s="5"/>
      <c r="Y974" s="5"/>
      <c r="Z974" s="5"/>
    </row>
    <row r="975">
      <c r="A975" s="6" t="s">
        <v>4130</v>
      </c>
      <c r="B975" s="5" t="s">
        <v>1096</v>
      </c>
      <c r="C975" s="7" t="s">
        <v>3987</v>
      </c>
      <c r="D975" s="7" t="s">
        <v>2162</v>
      </c>
      <c r="E975" s="7" t="s">
        <v>16</v>
      </c>
      <c r="F975" s="7" t="s">
        <v>16</v>
      </c>
      <c r="G975" s="7" t="s">
        <v>19</v>
      </c>
      <c r="H975" s="7" t="s">
        <v>4131</v>
      </c>
      <c r="I975" s="7" t="s">
        <v>4132</v>
      </c>
      <c r="J975" s="7" t="s">
        <v>16</v>
      </c>
      <c r="K975" s="7" t="s">
        <v>16</v>
      </c>
      <c r="L975" s="7" t="s">
        <v>16</v>
      </c>
      <c r="M975" s="5" t="s">
        <v>75</v>
      </c>
      <c r="N975" s="5" t="s">
        <v>4133</v>
      </c>
      <c r="O975" s="5"/>
      <c r="P975" s="5"/>
      <c r="Q975" s="5"/>
      <c r="R975" s="5"/>
      <c r="S975" s="5"/>
      <c r="T975" s="5"/>
      <c r="U975" s="5"/>
      <c r="V975" s="5"/>
      <c r="W975" s="5"/>
      <c r="X975" s="5"/>
      <c r="Y975" s="5"/>
      <c r="Z975" s="5"/>
    </row>
    <row r="976">
      <c r="A976" s="6" t="s">
        <v>4134</v>
      </c>
      <c r="B976" s="5" t="s">
        <v>1096</v>
      </c>
      <c r="C976" s="7" t="s">
        <v>3992</v>
      </c>
      <c r="D976" s="7" t="s">
        <v>2167</v>
      </c>
      <c r="E976" s="7" t="s">
        <v>16</v>
      </c>
      <c r="F976" s="7" t="s">
        <v>16</v>
      </c>
      <c r="G976" s="5" t="s">
        <v>19</v>
      </c>
      <c r="H976" s="7" t="s">
        <v>4135</v>
      </c>
      <c r="I976" s="7" t="s">
        <v>4136</v>
      </c>
      <c r="J976" s="7" t="s">
        <v>16</v>
      </c>
      <c r="K976" s="7" t="s">
        <v>16</v>
      </c>
      <c r="L976" s="7" t="s">
        <v>16</v>
      </c>
      <c r="M976" s="5" t="s">
        <v>75</v>
      </c>
      <c r="N976" s="5" t="s">
        <v>4137</v>
      </c>
      <c r="O976" s="5"/>
      <c r="P976" s="5"/>
      <c r="Q976" s="5"/>
      <c r="R976" s="5"/>
      <c r="S976" s="5"/>
      <c r="T976" s="5"/>
      <c r="U976" s="5"/>
      <c r="V976" s="5"/>
      <c r="W976" s="5"/>
      <c r="X976" s="5"/>
      <c r="Y976" s="5"/>
      <c r="Z976" s="5"/>
    </row>
    <row r="977">
      <c r="A977" s="6" t="s">
        <v>4138</v>
      </c>
      <c r="B977" s="5" t="s">
        <v>1096</v>
      </c>
      <c r="C977" s="7" t="s">
        <v>4139</v>
      </c>
      <c r="D977" s="7" t="s">
        <v>2172</v>
      </c>
      <c r="E977" s="7" t="s">
        <v>16</v>
      </c>
      <c r="F977" s="7" t="s">
        <v>16</v>
      </c>
      <c r="G977" s="5" t="s">
        <v>19</v>
      </c>
      <c r="H977" s="7" t="s">
        <v>4140</v>
      </c>
      <c r="I977" s="7" t="s">
        <v>4141</v>
      </c>
      <c r="J977" s="7" t="s">
        <v>16</v>
      </c>
      <c r="K977" s="7" t="s">
        <v>16</v>
      </c>
      <c r="L977" s="7" t="s">
        <v>16</v>
      </c>
      <c r="M977" s="5" t="s">
        <v>75</v>
      </c>
      <c r="N977" s="5" t="s">
        <v>4142</v>
      </c>
      <c r="O977" s="5"/>
      <c r="P977" s="5"/>
      <c r="Q977" s="5"/>
      <c r="R977" s="5"/>
      <c r="S977" s="5"/>
      <c r="T977" s="5"/>
      <c r="U977" s="5"/>
      <c r="V977" s="5"/>
      <c r="W977" s="5"/>
      <c r="X977" s="5"/>
      <c r="Y977" s="5"/>
      <c r="Z977" s="5"/>
    </row>
    <row r="978">
      <c r="A978" s="6" t="s">
        <v>4143</v>
      </c>
      <c r="B978" s="5" t="s">
        <v>1096</v>
      </c>
      <c r="C978" s="7" t="s">
        <v>4056</v>
      </c>
      <c r="D978" s="7" t="s">
        <v>2177</v>
      </c>
      <c r="E978" s="7" t="s">
        <v>16</v>
      </c>
      <c r="F978" s="7" t="s">
        <v>16</v>
      </c>
      <c r="G978" s="5" t="s">
        <v>19</v>
      </c>
      <c r="H978" s="7" t="s">
        <v>4144</v>
      </c>
      <c r="I978" s="7" t="s">
        <v>4145</v>
      </c>
      <c r="J978" s="7" t="s">
        <v>16</v>
      </c>
      <c r="K978" s="7" t="s">
        <v>16</v>
      </c>
      <c r="L978" s="7" t="s">
        <v>16</v>
      </c>
      <c r="M978" s="5" t="s">
        <v>75</v>
      </c>
      <c r="N978" s="5" t="s">
        <v>4146</v>
      </c>
      <c r="O978" s="5"/>
      <c r="P978" s="5"/>
      <c r="Q978" s="5"/>
      <c r="R978" s="5"/>
      <c r="S978" s="5"/>
      <c r="T978" s="5"/>
      <c r="U978" s="5"/>
      <c r="V978" s="5"/>
      <c r="W978" s="5"/>
      <c r="X978" s="5"/>
      <c r="Y978" s="5"/>
      <c r="Z978" s="5"/>
    </row>
    <row r="979">
      <c r="A979" s="6" t="s">
        <v>4147</v>
      </c>
      <c r="B979" s="5" t="s">
        <v>1096</v>
      </c>
      <c r="C979" s="7" t="s">
        <v>1431</v>
      </c>
      <c r="D979" s="7" t="s">
        <v>85</v>
      </c>
      <c r="E979" s="7" t="s">
        <v>16</v>
      </c>
      <c r="F979" s="7" t="s">
        <v>16</v>
      </c>
      <c r="G979" s="7" t="s">
        <v>19</v>
      </c>
      <c r="H979" s="7" t="s">
        <v>4148</v>
      </c>
      <c r="I979" s="7" t="s">
        <v>4149</v>
      </c>
      <c r="J979" s="7" t="s">
        <v>16</v>
      </c>
      <c r="K979" s="7" t="s">
        <v>16</v>
      </c>
      <c r="L979" s="7" t="s">
        <v>16</v>
      </c>
      <c r="M979" s="5" t="s">
        <v>22</v>
      </c>
      <c r="N979" s="5" t="s">
        <v>4150</v>
      </c>
      <c r="O979" s="5"/>
      <c r="P979" s="5"/>
      <c r="Q979" s="5"/>
      <c r="R979" s="5"/>
      <c r="S979" s="5"/>
      <c r="T979" s="5"/>
      <c r="U979" s="5"/>
      <c r="V979" s="5"/>
      <c r="W979" s="5"/>
      <c r="X979" s="5"/>
      <c r="Y979" s="5"/>
      <c r="Z979" s="5"/>
    </row>
    <row r="980">
      <c r="A980" s="6" t="s">
        <v>4151</v>
      </c>
      <c r="B980" s="5" t="s">
        <v>1096</v>
      </c>
      <c r="C980" s="7" t="s">
        <v>4105</v>
      </c>
      <c r="D980" s="7" t="s">
        <v>2561</v>
      </c>
      <c r="E980" s="7" t="s">
        <v>16</v>
      </c>
      <c r="F980" s="7" t="s">
        <v>16</v>
      </c>
      <c r="G980" s="5" t="s">
        <v>19</v>
      </c>
      <c r="H980" s="7" t="s">
        <v>4152</v>
      </c>
      <c r="I980" s="7" t="s">
        <v>4153</v>
      </c>
      <c r="J980" s="7" t="s">
        <v>16</v>
      </c>
      <c r="K980" s="7" t="s">
        <v>16</v>
      </c>
      <c r="L980" s="7" t="s">
        <v>16</v>
      </c>
      <c r="M980" s="5" t="s">
        <v>22</v>
      </c>
      <c r="N980" s="5" t="s">
        <v>4154</v>
      </c>
      <c r="O980" s="5"/>
      <c r="P980" s="5"/>
      <c r="Q980" s="5"/>
      <c r="R980" s="5"/>
      <c r="S980" s="5"/>
      <c r="T980" s="5"/>
      <c r="U980" s="5"/>
      <c r="V980" s="5"/>
      <c r="W980" s="5"/>
      <c r="X980" s="5"/>
      <c r="Y980" s="5"/>
      <c r="Z980" s="5"/>
    </row>
    <row r="981">
      <c r="A981" s="6" t="s">
        <v>4155</v>
      </c>
      <c r="B981" s="5" t="s">
        <v>1096</v>
      </c>
      <c r="C981" s="7" t="s">
        <v>4156</v>
      </c>
      <c r="D981" s="7" t="s">
        <v>2767</v>
      </c>
      <c r="E981" s="7" t="s">
        <v>16</v>
      </c>
      <c r="F981" s="7" t="s">
        <v>16</v>
      </c>
      <c r="G981" s="5" t="s">
        <v>19</v>
      </c>
      <c r="H981" s="7" t="s">
        <v>4157</v>
      </c>
      <c r="I981" s="7" t="s">
        <v>4158</v>
      </c>
      <c r="J981" s="7" t="s">
        <v>16</v>
      </c>
      <c r="K981" s="7" t="s">
        <v>16</v>
      </c>
      <c r="L981" s="7" t="s">
        <v>16</v>
      </c>
      <c r="M981" s="5" t="s">
        <v>22</v>
      </c>
      <c r="N981" s="5" t="s">
        <v>4159</v>
      </c>
      <c r="O981" s="5"/>
      <c r="P981" s="5"/>
      <c r="Q981" s="5"/>
      <c r="R981" s="5"/>
      <c r="S981" s="5"/>
      <c r="T981" s="5"/>
      <c r="U981" s="5"/>
      <c r="V981" s="5"/>
      <c r="W981" s="5"/>
      <c r="X981" s="5"/>
      <c r="Y981" s="5"/>
      <c r="Z981" s="5"/>
    </row>
    <row r="982">
      <c r="A982" s="6" t="s">
        <v>4160</v>
      </c>
      <c r="B982" s="5" t="s">
        <v>1096</v>
      </c>
      <c r="C982" s="7" t="s">
        <v>4161</v>
      </c>
      <c r="D982" s="7" t="s">
        <v>2787</v>
      </c>
      <c r="E982" s="7" t="s">
        <v>16</v>
      </c>
      <c r="F982" s="7" t="s">
        <v>16</v>
      </c>
      <c r="G982" s="7" t="s">
        <v>19</v>
      </c>
      <c r="H982" s="7" t="s">
        <v>4162</v>
      </c>
      <c r="I982" s="7" t="s">
        <v>4163</v>
      </c>
      <c r="J982" s="7" t="s">
        <v>16</v>
      </c>
      <c r="K982" s="7" t="s">
        <v>16</v>
      </c>
      <c r="L982" s="7" t="s">
        <v>16</v>
      </c>
      <c r="M982" s="5" t="s">
        <v>22</v>
      </c>
      <c r="N982" s="5" t="s">
        <v>4164</v>
      </c>
      <c r="O982" s="5"/>
      <c r="P982" s="5"/>
      <c r="Q982" s="5"/>
      <c r="R982" s="5"/>
      <c r="S982" s="5"/>
      <c r="T982" s="5"/>
      <c r="U982" s="5"/>
      <c r="V982" s="5"/>
      <c r="W982" s="5"/>
      <c r="X982" s="5"/>
      <c r="Y982" s="5"/>
      <c r="Z982" s="5"/>
    </row>
    <row r="983">
      <c r="A983" s="6" t="s">
        <v>4165</v>
      </c>
      <c r="B983" s="5" t="s">
        <v>1096</v>
      </c>
      <c r="C983" s="7" t="s">
        <v>3797</v>
      </c>
      <c r="D983" s="7" t="s">
        <v>1691</v>
      </c>
      <c r="E983" s="7" t="s">
        <v>16</v>
      </c>
      <c r="F983" s="7" t="s">
        <v>16</v>
      </c>
      <c r="G983" s="5" t="s">
        <v>19</v>
      </c>
      <c r="H983" s="7" t="s">
        <v>4166</v>
      </c>
      <c r="I983" s="7" t="s">
        <v>4167</v>
      </c>
      <c r="J983" s="7" t="s">
        <v>16</v>
      </c>
      <c r="K983" s="7" t="s">
        <v>16</v>
      </c>
      <c r="L983" s="7" t="s">
        <v>16</v>
      </c>
      <c r="M983" s="5" t="s">
        <v>36</v>
      </c>
      <c r="N983" s="5" t="s">
        <v>4168</v>
      </c>
      <c r="O983" s="5"/>
      <c r="P983" s="5"/>
      <c r="Q983" s="5"/>
      <c r="R983" s="5"/>
      <c r="S983" s="5"/>
      <c r="T983" s="5"/>
      <c r="U983" s="5"/>
      <c r="V983" s="5"/>
      <c r="W983" s="5"/>
      <c r="X983" s="5"/>
      <c r="Y983" s="5"/>
      <c r="Z983" s="5"/>
    </row>
    <row r="984">
      <c r="A984" s="6" t="s">
        <v>4169</v>
      </c>
      <c r="B984" s="5" t="s">
        <v>1096</v>
      </c>
      <c r="C984" s="7" t="s">
        <v>4170</v>
      </c>
      <c r="D984" s="7" t="s">
        <v>2801</v>
      </c>
      <c r="E984" s="7" t="s">
        <v>16</v>
      </c>
      <c r="F984" s="7" t="s">
        <v>16</v>
      </c>
      <c r="G984" s="7" t="s">
        <v>19</v>
      </c>
      <c r="H984" s="7" t="s">
        <v>4171</v>
      </c>
      <c r="I984" s="7" t="s">
        <v>4172</v>
      </c>
      <c r="J984" s="7" t="s">
        <v>16</v>
      </c>
      <c r="K984" s="7" t="s">
        <v>16</v>
      </c>
      <c r="L984" s="7" t="s">
        <v>16</v>
      </c>
      <c r="M984" s="5" t="s">
        <v>22</v>
      </c>
      <c r="N984" s="5" t="s">
        <v>4173</v>
      </c>
      <c r="O984" s="5"/>
      <c r="P984" s="5"/>
      <c r="Q984" s="5"/>
      <c r="R984" s="5"/>
      <c r="S984" s="5"/>
      <c r="T984" s="5"/>
      <c r="U984" s="5"/>
      <c r="V984" s="5"/>
      <c r="W984" s="5"/>
      <c r="X984" s="5"/>
      <c r="Y984" s="5"/>
      <c r="Z984" s="5"/>
    </row>
    <row r="985">
      <c r="A985" s="6" t="s">
        <v>4174</v>
      </c>
      <c r="B985" s="5" t="s">
        <v>1096</v>
      </c>
      <c r="C985" s="7" t="s">
        <v>4175</v>
      </c>
      <c r="D985" s="7" t="s">
        <v>1068</v>
      </c>
      <c r="E985" s="7" t="s">
        <v>16</v>
      </c>
      <c r="F985" s="7" t="s">
        <v>16</v>
      </c>
      <c r="G985" s="5" t="s">
        <v>19</v>
      </c>
      <c r="H985" s="7" t="s">
        <v>4176</v>
      </c>
      <c r="I985" s="7" t="s">
        <v>4177</v>
      </c>
      <c r="J985" s="7" t="s">
        <v>16</v>
      </c>
      <c r="K985" s="7" t="s">
        <v>16</v>
      </c>
      <c r="L985" s="7" t="s">
        <v>16</v>
      </c>
      <c r="M985" s="5" t="s">
        <v>36</v>
      </c>
      <c r="N985" s="5" t="s">
        <v>4178</v>
      </c>
      <c r="O985" s="5"/>
      <c r="P985" s="5"/>
      <c r="Q985" s="5"/>
      <c r="R985" s="5"/>
      <c r="S985" s="5"/>
      <c r="T985" s="5"/>
      <c r="U985" s="5"/>
      <c r="V985" s="5"/>
      <c r="W985" s="5"/>
      <c r="X985" s="5"/>
      <c r="Y985" s="5"/>
      <c r="Z985" s="5"/>
    </row>
    <row r="986">
      <c r="A986" s="6" t="s">
        <v>4179</v>
      </c>
      <c r="B986" s="5" t="s">
        <v>1096</v>
      </c>
      <c r="C986" s="7" t="s">
        <v>1228</v>
      </c>
      <c r="D986" s="7" t="s">
        <v>1194</v>
      </c>
      <c r="E986" s="7" t="s">
        <v>16</v>
      </c>
      <c r="F986" s="7" t="s">
        <v>16</v>
      </c>
      <c r="G986" s="5" t="s">
        <v>19</v>
      </c>
      <c r="H986" s="7" t="s">
        <v>4180</v>
      </c>
      <c r="I986" s="7" t="s">
        <v>3736</v>
      </c>
      <c r="J986" s="7" t="s">
        <v>16</v>
      </c>
      <c r="K986" s="7" t="s">
        <v>16</v>
      </c>
      <c r="L986" s="7" t="s">
        <v>16</v>
      </c>
      <c r="M986" s="5" t="s">
        <v>36</v>
      </c>
      <c r="N986" s="5" t="s">
        <v>4181</v>
      </c>
      <c r="O986" s="5"/>
      <c r="P986" s="5"/>
      <c r="Q986" s="5"/>
      <c r="R986" s="5"/>
      <c r="S986" s="5"/>
      <c r="T986" s="5"/>
      <c r="U986" s="5"/>
      <c r="V986" s="5"/>
      <c r="W986" s="5"/>
      <c r="X986" s="5"/>
      <c r="Y986" s="5"/>
      <c r="Z986" s="5"/>
    </row>
    <row r="987">
      <c r="A987" s="6" t="s">
        <v>4182</v>
      </c>
      <c r="B987" s="5" t="s">
        <v>1096</v>
      </c>
      <c r="C987" s="7" t="s">
        <v>4161</v>
      </c>
      <c r="D987" s="7" t="s">
        <v>2787</v>
      </c>
      <c r="E987" s="7" t="s">
        <v>16</v>
      </c>
      <c r="F987" s="7" t="s">
        <v>16</v>
      </c>
      <c r="G987" s="5" t="s">
        <v>19</v>
      </c>
      <c r="H987" s="7" t="s">
        <v>4183</v>
      </c>
      <c r="I987" s="7" t="s">
        <v>4184</v>
      </c>
      <c r="J987" s="7" t="s">
        <v>16</v>
      </c>
      <c r="K987" s="7" t="s">
        <v>16</v>
      </c>
      <c r="L987" s="7" t="s">
        <v>16</v>
      </c>
      <c r="M987" s="5" t="s">
        <v>22</v>
      </c>
      <c r="N987" s="5" t="s">
        <v>4185</v>
      </c>
      <c r="O987" s="5"/>
      <c r="P987" s="5"/>
      <c r="Q987" s="5"/>
      <c r="R987" s="5"/>
      <c r="S987" s="5"/>
      <c r="T987" s="5"/>
      <c r="U987" s="5"/>
      <c r="V987" s="5"/>
      <c r="W987" s="5"/>
      <c r="X987" s="5"/>
      <c r="Y987" s="5"/>
      <c r="Z987" s="5"/>
    </row>
    <row r="988">
      <c r="A988" s="6" t="s">
        <v>4186</v>
      </c>
      <c r="B988" s="5" t="s">
        <v>1096</v>
      </c>
      <c r="C988" s="7" t="s">
        <v>4187</v>
      </c>
      <c r="D988" s="7" t="s">
        <v>2883</v>
      </c>
      <c r="E988" s="7" t="s">
        <v>16</v>
      </c>
      <c r="F988" s="7" t="s">
        <v>16</v>
      </c>
      <c r="G988" s="7" t="s">
        <v>19</v>
      </c>
      <c r="H988" s="7" t="s">
        <v>4188</v>
      </c>
      <c r="I988" s="7" t="s">
        <v>4189</v>
      </c>
      <c r="J988" s="7" t="s">
        <v>16</v>
      </c>
      <c r="K988" s="7" t="s">
        <v>16</v>
      </c>
      <c r="L988" s="7" t="s">
        <v>16</v>
      </c>
      <c r="M988" s="5" t="s">
        <v>22</v>
      </c>
      <c r="N988" s="5" t="s">
        <v>4190</v>
      </c>
      <c r="O988" s="5"/>
      <c r="P988" s="5"/>
      <c r="Q988" s="5"/>
      <c r="R988" s="5"/>
      <c r="S988" s="5"/>
      <c r="T988" s="5"/>
      <c r="U988" s="5"/>
      <c r="V988" s="5"/>
      <c r="W988" s="5"/>
      <c r="X988" s="5"/>
      <c r="Y988" s="5"/>
      <c r="Z988" s="5"/>
    </row>
    <row r="989">
      <c r="A989" s="6" t="s">
        <v>4191</v>
      </c>
      <c r="B989" s="5" t="s">
        <v>1096</v>
      </c>
      <c r="C989" s="7" t="s">
        <v>4192</v>
      </c>
      <c r="D989" s="7" t="s">
        <v>2918</v>
      </c>
      <c r="E989" s="7" t="s">
        <v>16</v>
      </c>
      <c r="F989" s="7" t="s">
        <v>16</v>
      </c>
      <c r="G989" s="5" t="s">
        <v>19</v>
      </c>
      <c r="H989" s="7" t="s">
        <v>4193</v>
      </c>
      <c r="I989" s="7" t="s">
        <v>4194</v>
      </c>
      <c r="J989" s="7" t="s">
        <v>16</v>
      </c>
      <c r="K989" s="7" t="s">
        <v>16</v>
      </c>
      <c r="L989" s="7" t="s">
        <v>16</v>
      </c>
      <c r="M989" s="5" t="s">
        <v>36</v>
      </c>
      <c r="N989" s="5" t="s">
        <v>4195</v>
      </c>
      <c r="O989" s="5"/>
      <c r="P989" s="5"/>
      <c r="Q989" s="5"/>
      <c r="R989" s="5"/>
      <c r="S989" s="5"/>
      <c r="T989" s="5"/>
      <c r="U989" s="5"/>
      <c r="V989" s="5"/>
      <c r="W989" s="5"/>
      <c r="X989" s="5"/>
      <c r="Y989" s="5"/>
      <c r="Z989" s="5"/>
    </row>
    <row r="990">
      <c r="A990" s="6" t="s">
        <v>4196</v>
      </c>
      <c r="B990" s="5" t="s">
        <v>1096</v>
      </c>
      <c r="C990" s="7" t="s">
        <v>1097</v>
      </c>
      <c r="D990" s="7" t="s">
        <v>1068</v>
      </c>
      <c r="E990" s="7" t="s">
        <v>16</v>
      </c>
      <c r="F990" s="7" t="s">
        <v>16</v>
      </c>
      <c r="G990" s="5" t="s">
        <v>19</v>
      </c>
      <c r="H990" s="7" t="s">
        <v>4197</v>
      </c>
      <c r="I990" s="7" t="s">
        <v>4198</v>
      </c>
      <c r="J990" s="7" t="s">
        <v>16</v>
      </c>
      <c r="K990" s="7" t="s">
        <v>16</v>
      </c>
      <c r="L990" s="7" t="s">
        <v>16</v>
      </c>
      <c r="M990" s="5" t="s">
        <v>36</v>
      </c>
      <c r="N990" s="5" t="s">
        <v>4199</v>
      </c>
      <c r="O990" s="5"/>
      <c r="P990" s="5"/>
      <c r="Q990" s="5"/>
      <c r="R990" s="5"/>
      <c r="S990" s="5"/>
      <c r="T990" s="5"/>
      <c r="U990" s="5"/>
      <c r="V990" s="5"/>
      <c r="W990" s="5"/>
      <c r="X990" s="5"/>
      <c r="Y990" s="5"/>
      <c r="Z990" s="5"/>
    </row>
    <row r="991">
      <c r="A991" s="6" t="s">
        <v>4200</v>
      </c>
      <c r="B991" s="5" t="s">
        <v>1096</v>
      </c>
      <c r="C991" s="7" t="s">
        <v>1097</v>
      </c>
      <c r="D991" s="7" t="s">
        <v>1068</v>
      </c>
      <c r="E991" s="7" t="s">
        <v>16</v>
      </c>
      <c r="F991" s="7" t="s">
        <v>16</v>
      </c>
      <c r="G991" s="5" t="s">
        <v>19</v>
      </c>
      <c r="H991" s="7" t="s">
        <v>4201</v>
      </c>
      <c r="I991" s="7" t="s">
        <v>4202</v>
      </c>
      <c r="J991" s="7" t="s">
        <v>16</v>
      </c>
      <c r="K991" s="7" t="s">
        <v>16</v>
      </c>
      <c r="L991" s="7" t="s">
        <v>16</v>
      </c>
      <c r="M991" s="5" t="s">
        <v>22</v>
      </c>
      <c r="N991" s="5" t="s">
        <v>4203</v>
      </c>
      <c r="O991" s="5"/>
      <c r="P991" s="5"/>
      <c r="Q991" s="5"/>
      <c r="R991" s="5"/>
      <c r="S991" s="5"/>
      <c r="T991" s="5"/>
      <c r="U991" s="5"/>
      <c r="V991" s="5"/>
      <c r="W991" s="5"/>
      <c r="X991" s="5"/>
      <c r="Y991" s="5"/>
      <c r="Z991" s="5"/>
    </row>
    <row r="992">
      <c r="A992" s="6" t="s">
        <v>4204</v>
      </c>
      <c r="B992" s="5" t="s">
        <v>1096</v>
      </c>
      <c r="C992" s="7" t="s">
        <v>1218</v>
      </c>
      <c r="D992" s="7" t="s">
        <v>1183</v>
      </c>
      <c r="E992" s="7" t="s">
        <v>16</v>
      </c>
      <c r="F992" s="7" t="s">
        <v>16</v>
      </c>
      <c r="G992" s="5" t="s">
        <v>19</v>
      </c>
      <c r="H992" s="7" t="s">
        <v>4205</v>
      </c>
      <c r="I992" s="7" t="s">
        <v>4206</v>
      </c>
      <c r="J992" s="7" t="s">
        <v>16</v>
      </c>
      <c r="K992" s="7" t="s">
        <v>16</v>
      </c>
      <c r="L992" s="7" t="s">
        <v>16</v>
      </c>
      <c r="M992" s="5" t="s">
        <v>22</v>
      </c>
      <c r="N992" s="5" t="s">
        <v>4207</v>
      </c>
      <c r="O992" s="5"/>
      <c r="P992" s="5"/>
      <c r="Q992" s="5"/>
      <c r="R992" s="5"/>
      <c r="S992" s="5"/>
      <c r="T992" s="5"/>
      <c r="U992" s="5"/>
      <c r="V992" s="5"/>
      <c r="W992" s="5"/>
      <c r="X992" s="5"/>
      <c r="Y992" s="5"/>
      <c r="Z992" s="5"/>
    </row>
    <row r="993">
      <c r="A993" s="6" t="s">
        <v>4208</v>
      </c>
      <c r="B993" s="5" t="s">
        <v>1096</v>
      </c>
      <c r="C993" s="7" t="s">
        <v>1118</v>
      </c>
      <c r="D993" s="7" t="s">
        <v>411</v>
      </c>
      <c r="E993" s="7" t="s">
        <v>16</v>
      </c>
      <c r="F993" s="7" t="s">
        <v>16</v>
      </c>
      <c r="G993" s="7" t="s">
        <v>19</v>
      </c>
      <c r="H993" s="7" t="s">
        <v>4209</v>
      </c>
      <c r="I993" s="7" t="s">
        <v>4210</v>
      </c>
      <c r="J993" s="7" t="s">
        <v>16</v>
      </c>
      <c r="K993" s="7" t="s">
        <v>16</v>
      </c>
      <c r="L993" s="7" t="s">
        <v>16</v>
      </c>
      <c r="M993" s="5" t="s">
        <v>22</v>
      </c>
      <c r="N993" s="5" t="s">
        <v>4211</v>
      </c>
      <c r="O993" s="5"/>
      <c r="P993" s="5"/>
      <c r="Q993" s="5"/>
      <c r="R993" s="5"/>
      <c r="S993" s="5"/>
      <c r="T993" s="5"/>
      <c r="U993" s="5"/>
      <c r="V993" s="5"/>
      <c r="W993" s="5"/>
      <c r="X993" s="5"/>
      <c r="Y993" s="5"/>
      <c r="Z993" s="5"/>
    </row>
    <row r="994">
      <c r="A994" s="6" t="s">
        <v>4212</v>
      </c>
      <c r="B994" s="5" t="s">
        <v>1096</v>
      </c>
      <c r="C994" s="7" t="s">
        <v>1097</v>
      </c>
      <c r="D994" s="7" t="s">
        <v>1068</v>
      </c>
      <c r="E994" s="7" t="s">
        <v>16</v>
      </c>
      <c r="F994" s="7" t="s">
        <v>16</v>
      </c>
      <c r="G994" s="7" t="s">
        <v>19</v>
      </c>
      <c r="H994" s="7" t="s">
        <v>4213</v>
      </c>
      <c r="I994" s="7" t="s">
        <v>4214</v>
      </c>
      <c r="J994" s="7" t="s">
        <v>16</v>
      </c>
      <c r="K994" s="7" t="s">
        <v>16</v>
      </c>
      <c r="L994" s="7" t="s">
        <v>16</v>
      </c>
      <c r="M994" s="5" t="s">
        <v>75</v>
      </c>
      <c r="N994" s="5" t="s">
        <v>4215</v>
      </c>
      <c r="O994" s="5"/>
      <c r="P994" s="5"/>
      <c r="Q994" s="5"/>
      <c r="R994" s="5"/>
      <c r="S994" s="5"/>
      <c r="T994" s="5"/>
      <c r="U994" s="5"/>
      <c r="V994" s="5"/>
      <c r="W994" s="5"/>
      <c r="X994" s="5"/>
      <c r="Y994" s="5"/>
      <c r="Z994" s="5"/>
    </row>
    <row r="995">
      <c r="A995" s="6" t="s">
        <v>4216</v>
      </c>
      <c r="B995" s="5" t="s">
        <v>1096</v>
      </c>
      <c r="C995" s="7" t="s">
        <v>1431</v>
      </c>
      <c r="D995" s="7" t="s">
        <v>85</v>
      </c>
      <c r="E995" s="7" t="s">
        <v>16</v>
      </c>
      <c r="F995" s="7" t="s">
        <v>16</v>
      </c>
      <c r="G995" s="5" t="s">
        <v>19</v>
      </c>
      <c r="H995" s="7" t="s">
        <v>4217</v>
      </c>
      <c r="I995" s="7" t="s">
        <v>4218</v>
      </c>
      <c r="J995" s="7" t="s">
        <v>16</v>
      </c>
      <c r="K995" s="7" t="s">
        <v>16</v>
      </c>
      <c r="L995" s="7" t="s">
        <v>16</v>
      </c>
      <c r="M995" s="5" t="s">
        <v>75</v>
      </c>
      <c r="N995" s="5" t="s">
        <v>4219</v>
      </c>
      <c r="O995" s="5"/>
      <c r="P995" s="5"/>
      <c r="Q995" s="5"/>
      <c r="R995" s="5"/>
      <c r="S995" s="5"/>
      <c r="T995" s="5"/>
      <c r="U995" s="5"/>
      <c r="V995" s="5"/>
      <c r="W995" s="5"/>
      <c r="X995" s="5"/>
      <c r="Y995" s="5"/>
      <c r="Z995" s="5"/>
    </row>
    <row r="996">
      <c r="A996" s="6" t="s">
        <v>4220</v>
      </c>
      <c r="B996" s="5" t="s">
        <v>1096</v>
      </c>
      <c r="C996" s="7" t="s">
        <v>1218</v>
      </c>
      <c r="D996" s="7" t="s">
        <v>406</v>
      </c>
      <c r="E996" s="7" t="s">
        <v>16</v>
      </c>
      <c r="F996" s="7" t="s">
        <v>16</v>
      </c>
      <c r="G996" s="5" t="s">
        <v>19</v>
      </c>
      <c r="H996" s="7" t="s">
        <v>4221</v>
      </c>
      <c r="I996" s="7" t="s">
        <v>4222</v>
      </c>
      <c r="J996" s="7" t="s">
        <v>16</v>
      </c>
      <c r="K996" s="7" t="s">
        <v>16</v>
      </c>
      <c r="L996" s="7" t="s">
        <v>16</v>
      </c>
      <c r="M996" s="5" t="s">
        <v>36</v>
      </c>
      <c r="N996" s="5" t="s">
        <v>4223</v>
      </c>
      <c r="O996" s="5"/>
      <c r="P996" s="5"/>
      <c r="Q996" s="5"/>
      <c r="R996" s="5"/>
      <c r="S996" s="5"/>
      <c r="T996" s="5"/>
      <c r="U996" s="5"/>
      <c r="V996" s="5"/>
      <c r="W996" s="5"/>
      <c r="X996" s="5"/>
      <c r="Y996" s="5"/>
      <c r="Z996" s="5"/>
    </row>
    <row r="997">
      <c r="A997" s="6" t="s">
        <v>4224</v>
      </c>
      <c r="B997" s="5" t="s">
        <v>1096</v>
      </c>
      <c r="C997" s="7" t="s">
        <v>3830</v>
      </c>
      <c r="D997" s="7" t="s">
        <v>1748</v>
      </c>
      <c r="E997" s="7" t="s">
        <v>16</v>
      </c>
      <c r="F997" s="7" t="s">
        <v>16</v>
      </c>
      <c r="G997" s="7" t="s">
        <v>19</v>
      </c>
      <c r="H997" s="7" t="s">
        <v>4225</v>
      </c>
      <c r="I997" s="7" t="s">
        <v>4226</v>
      </c>
      <c r="J997" s="7" t="s">
        <v>16</v>
      </c>
      <c r="K997" s="7" t="s">
        <v>16</v>
      </c>
      <c r="L997" s="7" t="s">
        <v>16</v>
      </c>
      <c r="M997" s="5" t="s">
        <v>22</v>
      </c>
      <c r="N997" s="5" t="s">
        <v>4227</v>
      </c>
      <c r="O997" s="5"/>
      <c r="P997" s="5"/>
      <c r="Q997" s="5"/>
      <c r="R997" s="5"/>
      <c r="S997" s="5"/>
      <c r="T997" s="5"/>
      <c r="U997" s="5"/>
      <c r="V997" s="5"/>
      <c r="W997" s="5"/>
      <c r="X997" s="5"/>
      <c r="Y997" s="5"/>
      <c r="Z997" s="5"/>
    </row>
    <row r="998">
      <c r="A998" s="6" t="s">
        <v>4228</v>
      </c>
      <c r="B998" s="5" t="s">
        <v>1096</v>
      </c>
      <c r="C998" s="7" t="s">
        <v>3826</v>
      </c>
      <c r="D998" s="7" t="s">
        <v>1199</v>
      </c>
      <c r="E998" s="7" t="s">
        <v>16</v>
      </c>
      <c r="F998" s="7" t="s">
        <v>16</v>
      </c>
      <c r="G998" s="7" t="s">
        <v>19</v>
      </c>
      <c r="H998" s="7" t="s">
        <v>3053</v>
      </c>
      <c r="I998" s="7" t="s">
        <v>4229</v>
      </c>
      <c r="J998" s="7" t="s">
        <v>16</v>
      </c>
      <c r="K998" s="7" t="s">
        <v>16</v>
      </c>
      <c r="L998" s="7" t="s">
        <v>16</v>
      </c>
      <c r="M998" s="5" t="s">
        <v>36</v>
      </c>
      <c r="N998" s="5" t="s">
        <v>4230</v>
      </c>
      <c r="O998" s="5"/>
      <c r="P998" s="5"/>
      <c r="Q998" s="5"/>
      <c r="R998" s="5"/>
      <c r="S998" s="5"/>
      <c r="T998" s="5"/>
      <c r="U998" s="5"/>
      <c r="V998" s="5"/>
      <c r="W998" s="5"/>
      <c r="X998" s="5"/>
      <c r="Y998" s="5"/>
      <c r="Z998" s="5"/>
    </row>
    <row r="999">
      <c r="A999" s="6" t="s">
        <v>4231</v>
      </c>
      <c r="B999" s="5" t="s">
        <v>1096</v>
      </c>
      <c r="C999" s="7" t="s">
        <v>4110</v>
      </c>
      <c r="D999" s="7" t="s">
        <v>2576</v>
      </c>
      <c r="E999" s="7" t="s">
        <v>16</v>
      </c>
      <c r="F999" s="7" t="s">
        <v>16</v>
      </c>
      <c r="G999" s="5" t="s">
        <v>19</v>
      </c>
      <c r="H999" s="7" t="s">
        <v>4232</v>
      </c>
      <c r="I999" s="7" t="s">
        <v>4233</v>
      </c>
      <c r="J999" s="7" t="s">
        <v>16</v>
      </c>
      <c r="K999" s="7" t="s">
        <v>16</v>
      </c>
      <c r="L999" s="7" t="s">
        <v>16</v>
      </c>
      <c r="M999" s="5" t="s">
        <v>22</v>
      </c>
      <c r="N999" s="5" t="s">
        <v>4234</v>
      </c>
      <c r="O999" s="5"/>
      <c r="P999" s="5"/>
      <c r="Q999" s="5"/>
      <c r="R999" s="5"/>
      <c r="S999" s="5"/>
      <c r="T999" s="5"/>
      <c r="U999" s="5"/>
      <c r="V999" s="5"/>
      <c r="W999" s="5"/>
      <c r="X999" s="5"/>
      <c r="Y999" s="5"/>
      <c r="Z999" s="5"/>
    </row>
    <row r="1000">
      <c r="A1000" s="6" t="s">
        <v>4235</v>
      </c>
      <c r="B1000" s="5" t="s">
        <v>1096</v>
      </c>
      <c r="C1000" s="7" t="s">
        <v>4115</v>
      </c>
      <c r="D1000" s="7" t="s">
        <v>2581</v>
      </c>
      <c r="E1000" s="7" t="s">
        <v>16</v>
      </c>
      <c r="F1000" s="7" t="s">
        <v>16</v>
      </c>
      <c r="G1000" s="5" t="s">
        <v>19</v>
      </c>
      <c r="H1000" s="7" t="s">
        <v>4236</v>
      </c>
      <c r="I1000" s="7" t="s">
        <v>4237</v>
      </c>
      <c r="J1000" s="7" t="s">
        <v>16</v>
      </c>
      <c r="K1000" s="7" t="s">
        <v>16</v>
      </c>
      <c r="L1000" s="7" t="s">
        <v>16</v>
      </c>
      <c r="M1000" s="5" t="s">
        <v>75</v>
      </c>
      <c r="N1000" s="5" t="s">
        <v>4238</v>
      </c>
      <c r="O1000" s="5"/>
      <c r="P1000" s="5"/>
      <c r="Q1000" s="5"/>
      <c r="R1000" s="5"/>
      <c r="S1000" s="5"/>
      <c r="T1000" s="5"/>
      <c r="U1000" s="5"/>
      <c r="V1000" s="5"/>
      <c r="W1000" s="5"/>
      <c r="X1000" s="5"/>
      <c r="Y1000" s="5"/>
      <c r="Z1000" s="5"/>
    </row>
    <row r="1001">
      <c r="A1001" s="6" t="s">
        <v>4235</v>
      </c>
      <c r="B1001" s="5" t="s">
        <v>1096</v>
      </c>
      <c r="C1001" s="7" t="s">
        <v>4115</v>
      </c>
      <c r="D1001" s="7" t="s">
        <v>2581</v>
      </c>
      <c r="E1001" s="7" t="s">
        <v>16</v>
      </c>
      <c r="F1001" s="7" t="s">
        <v>16</v>
      </c>
      <c r="G1001" s="5" t="s">
        <v>19</v>
      </c>
      <c r="H1001" s="7" t="s">
        <v>4236</v>
      </c>
      <c r="I1001" s="7" t="s">
        <v>4237</v>
      </c>
      <c r="J1001" s="7" t="s">
        <v>16</v>
      </c>
      <c r="K1001" s="7" t="s">
        <v>16</v>
      </c>
      <c r="L1001" s="7" t="s">
        <v>16</v>
      </c>
      <c r="M1001" s="5" t="s">
        <v>75</v>
      </c>
      <c r="N1001" s="5" t="s">
        <v>4238</v>
      </c>
      <c r="O1001" s="5"/>
      <c r="P1001" s="5"/>
      <c r="Q1001" s="5"/>
      <c r="R1001" s="5"/>
      <c r="S1001" s="5"/>
      <c r="T1001" s="5"/>
      <c r="U1001" s="5"/>
      <c r="V1001" s="5"/>
      <c r="W1001" s="5"/>
      <c r="X1001" s="5"/>
      <c r="Y1001" s="5"/>
      <c r="Z1001" s="5"/>
    </row>
    <row r="1002">
      <c r="A1002" s="6" t="s">
        <v>4239</v>
      </c>
      <c r="B1002" s="5" t="s">
        <v>1096</v>
      </c>
      <c r="C1002" s="7" t="s">
        <v>4192</v>
      </c>
      <c r="D1002" s="7" t="s">
        <v>2918</v>
      </c>
      <c r="E1002" s="7" t="s">
        <v>16</v>
      </c>
      <c r="F1002" s="7" t="s">
        <v>16</v>
      </c>
      <c r="G1002" s="7" t="s">
        <v>19</v>
      </c>
      <c r="H1002" s="7" t="s">
        <v>4240</v>
      </c>
      <c r="I1002" s="7" t="s">
        <v>4241</v>
      </c>
      <c r="J1002" s="7" t="s">
        <v>16</v>
      </c>
      <c r="K1002" s="7" t="s">
        <v>16</v>
      </c>
      <c r="L1002" s="7" t="s">
        <v>16</v>
      </c>
      <c r="M1002" s="5" t="s">
        <v>22</v>
      </c>
      <c r="N1002" s="5" t="s">
        <v>4242</v>
      </c>
      <c r="O1002" s="5"/>
      <c r="P1002" s="5"/>
      <c r="Q1002" s="5"/>
      <c r="R1002" s="5"/>
      <c r="S1002" s="5"/>
      <c r="T1002" s="5"/>
      <c r="U1002" s="5"/>
      <c r="V1002" s="5"/>
      <c r="W1002" s="5"/>
      <c r="X1002" s="5"/>
      <c r="Y1002" s="5"/>
      <c r="Z1002" s="5"/>
    </row>
    <row r="1003">
      <c r="A1003" s="34" t="s">
        <v>4243</v>
      </c>
      <c r="B1003" s="5" t="s">
        <v>1096</v>
      </c>
      <c r="C1003" s="7" t="s">
        <v>4244</v>
      </c>
      <c r="D1003" s="7" t="s">
        <v>3074</v>
      </c>
      <c r="E1003" s="7" t="s">
        <v>16</v>
      </c>
      <c r="F1003" s="7" t="s">
        <v>16</v>
      </c>
      <c r="G1003" s="7" t="s">
        <v>19</v>
      </c>
      <c r="H1003" s="7" t="s">
        <v>4245</v>
      </c>
      <c r="I1003" s="7" t="s">
        <v>4246</v>
      </c>
      <c r="J1003" s="7" t="s">
        <v>16</v>
      </c>
      <c r="K1003" s="7" t="s">
        <v>16</v>
      </c>
      <c r="L1003" s="7" t="s">
        <v>16</v>
      </c>
      <c r="M1003" s="5" t="s">
        <v>22</v>
      </c>
      <c r="N1003" s="5" t="s">
        <v>4247</v>
      </c>
      <c r="O1003" s="5"/>
      <c r="P1003" s="5"/>
      <c r="Q1003" s="5"/>
      <c r="R1003" s="5"/>
      <c r="S1003" s="5"/>
      <c r="T1003" s="5"/>
      <c r="U1003" s="5"/>
      <c r="V1003" s="5"/>
      <c r="W1003" s="5"/>
      <c r="X1003" s="5"/>
      <c r="Y1003" s="5"/>
      <c r="Z1003" s="5"/>
    </row>
    <row r="1004">
      <c r="A1004" s="6" t="s">
        <v>4248</v>
      </c>
      <c r="B1004" s="5" t="s">
        <v>1096</v>
      </c>
      <c r="C1004" s="7" t="s">
        <v>4249</v>
      </c>
      <c r="D1004" s="7" t="s">
        <v>3079</v>
      </c>
      <c r="E1004" s="7" t="s">
        <v>16</v>
      </c>
      <c r="F1004" s="7" t="s">
        <v>16</v>
      </c>
      <c r="G1004" s="7" t="s">
        <v>19</v>
      </c>
      <c r="H1004" s="7" t="s">
        <v>4250</v>
      </c>
      <c r="I1004" s="7" t="s">
        <v>4251</v>
      </c>
      <c r="J1004" s="7" t="s">
        <v>16</v>
      </c>
      <c r="K1004" s="7" t="s">
        <v>16</v>
      </c>
      <c r="L1004" s="7" t="s">
        <v>16</v>
      </c>
      <c r="M1004" s="5" t="s">
        <v>36</v>
      </c>
      <c r="N1004" s="5" t="s">
        <v>4252</v>
      </c>
      <c r="O1004" s="5"/>
      <c r="P1004" s="5"/>
      <c r="Q1004" s="5"/>
      <c r="R1004" s="5"/>
      <c r="S1004" s="5"/>
      <c r="T1004" s="5"/>
      <c r="U1004" s="5"/>
      <c r="V1004" s="5"/>
      <c r="W1004" s="5"/>
      <c r="X1004" s="5"/>
      <c r="Y1004" s="5"/>
      <c r="Z1004" s="5"/>
    </row>
    <row r="1005">
      <c r="A1005" s="6" t="s">
        <v>4253</v>
      </c>
      <c r="B1005" s="5" t="s">
        <v>1096</v>
      </c>
      <c r="C1005" s="7" t="s">
        <v>4254</v>
      </c>
      <c r="D1005" s="7" t="s">
        <v>3084</v>
      </c>
      <c r="E1005" s="7" t="s">
        <v>16</v>
      </c>
      <c r="F1005" s="7" t="s">
        <v>16</v>
      </c>
      <c r="G1005" s="7" t="s">
        <v>19</v>
      </c>
      <c r="H1005" s="7" t="s">
        <v>4255</v>
      </c>
      <c r="I1005" s="7" t="s">
        <v>4256</v>
      </c>
      <c r="J1005" s="7" t="s">
        <v>16</v>
      </c>
      <c r="K1005" s="7" t="s">
        <v>16</v>
      </c>
      <c r="L1005" s="7" t="s">
        <v>16</v>
      </c>
      <c r="M1005" s="5" t="s">
        <v>75</v>
      </c>
      <c r="N1005" s="5" t="s">
        <v>4257</v>
      </c>
      <c r="O1005" s="5"/>
      <c r="P1005" s="5"/>
      <c r="Q1005" s="5"/>
      <c r="R1005" s="5"/>
      <c r="S1005" s="5"/>
      <c r="T1005" s="5"/>
      <c r="U1005" s="5"/>
      <c r="V1005" s="5"/>
      <c r="W1005" s="5"/>
      <c r="X1005" s="5"/>
      <c r="Y1005" s="5"/>
      <c r="Z1005" s="5"/>
    </row>
    <row r="1006">
      <c r="A1006" s="6" t="s">
        <v>4253</v>
      </c>
      <c r="B1006" s="5" t="s">
        <v>1096</v>
      </c>
      <c r="C1006" s="7" t="s">
        <v>4254</v>
      </c>
      <c r="D1006" s="7" t="s">
        <v>3084</v>
      </c>
      <c r="E1006" s="7" t="s">
        <v>16</v>
      </c>
      <c r="F1006" s="7" t="s">
        <v>16</v>
      </c>
      <c r="G1006" s="7" t="s">
        <v>19</v>
      </c>
      <c r="H1006" s="7" t="s">
        <v>4255</v>
      </c>
      <c r="I1006" s="7" t="s">
        <v>4256</v>
      </c>
      <c r="J1006" s="7" t="s">
        <v>16</v>
      </c>
      <c r="K1006" s="7" t="s">
        <v>16</v>
      </c>
      <c r="L1006" s="7" t="s">
        <v>16</v>
      </c>
      <c r="M1006" s="5" t="s">
        <v>75</v>
      </c>
      <c r="N1006" s="5" t="s">
        <v>4257</v>
      </c>
      <c r="O1006" s="5"/>
      <c r="P1006" s="5"/>
      <c r="Q1006" s="5"/>
      <c r="R1006" s="5"/>
      <c r="S1006" s="5"/>
      <c r="T1006" s="5"/>
      <c r="U1006" s="5"/>
      <c r="V1006" s="5"/>
      <c r="W1006" s="5"/>
      <c r="X1006" s="5"/>
      <c r="Y1006" s="5"/>
      <c r="Z1006" s="5"/>
    </row>
    <row r="1007">
      <c r="A1007" s="6" t="s">
        <v>4258</v>
      </c>
      <c r="B1007" s="5" t="s">
        <v>1096</v>
      </c>
      <c r="C1007" s="7" t="s">
        <v>1234</v>
      </c>
      <c r="D1007" s="7" t="s">
        <v>1203</v>
      </c>
      <c r="E1007" s="7" t="s">
        <v>16</v>
      </c>
      <c r="F1007" s="7" t="s">
        <v>16</v>
      </c>
      <c r="G1007" s="7" t="s">
        <v>19</v>
      </c>
      <c r="H1007" s="7" t="s">
        <v>4259</v>
      </c>
      <c r="I1007" s="7" t="s">
        <v>4260</v>
      </c>
      <c r="J1007" s="7" t="s">
        <v>16</v>
      </c>
      <c r="K1007" s="7" t="s">
        <v>16</v>
      </c>
      <c r="L1007" s="7" t="s">
        <v>16</v>
      </c>
      <c r="M1007" s="5" t="s">
        <v>75</v>
      </c>
      <c r="N1007" s="5" t="s">
        <v>4261</v>
      </c>
      <c r="O1007" s="5"/>
      <c r="P1007" s="5"/>
      <c r="Q1007" s="5"/>
      <c r="R1007" s="5"/>
      <c r="S1007" s="5"/>
      <c r="T1007" s="5"/>
      <c r="U1007" s="5"/>
      <c r="V1007" s="5"/>
      <c r="W1007" s="5"/>
      <c r="X1007" s="5"/>
      <c r="Y1007" s="5"/>
      <c r="Z1007" s="5"/>
    </row>
    <row r="1008">
      <c r="A1008" s="6" t="s">
        <v>4258</v>
      </c>
      <c r="B1008" s="5" t="s">
        <v>1096</v>
      </c>
      <c r="C1008" s="7" t="s">
        <v>1234</v>
      </c>
      <c r="D1008" s="7" t="s">
        <v>1203</v>
      </c>
      <c r="E1008" s="7" t="s">
        <v>16</v>
      </c>
      <c r="F1008" s="7" t="s">
        <v>16</v>
      </c>
      <c r="G1008" s="7" t="s">
        <v>19</v>
      </c>
      <c r="H1008" s="7" t="s">
        <v>4259</v>
      </c>
      <c r="I1008" s="7" t="s">
        <v>4260</v>
      </c>
      <c r="J1008" s="7" t="s">
        <v>16</v>
      </c>
      <c r="K1008" s="7" t="s">
        <v>16</v>
      </c>
      <c r="L1008" s="7" t="s">
        <v>16</v>
      </c>
      <c r="M1008" s="5" t="s">
        <v>75</v>
      </c>
      <c r="N1008" s="5" t="s">
        <v>4261</v>
      </c>
      <c r="O1008" s="5"/>
      <c r="P1008" s="5"/>
      <c r="Q1008" s="5"/>
      <c r="R1008" s="5"/>
      <c r="S1008" s="5"/>
      <c r="T1008" s="5"/>
      <c r="U1008" s="5"/>
      <c r="V1008" s="5"/>
      <c r="W1008" s="5"/>
      <c r="X1008" s="5"/>
      <c r="Y1008" s="5"/>
      <c r="Z1008" s="5"/>
    </row>
    <row r="1009">
      <c r="A1009" s="6" t="s">
        <v>4262</v>
      </c>
      <c r="B1009" s="5" t="s">
        <v>1096</v>
      </c>
      <c r="C1009" s="7" t="s">
        <v>4263</v>
      </c>
      <c r="D1009" s="7" t="s">
        <v>3092</v>
      </c>
      <c r="E1009" s="7" t="s">
        <v>16</v>
      </c>
      <c r="F1009" s="7" t="s">
        <v>16</v>
      </c>
      <c r="G1009" s="7" t="s">
        <v>19</v>
      </c>
      <c r="H1009" s="7" t="s">
        <v>4264</v>
      </c>
      <c r="I1009" s="7" t="s">
        <v>4265</v>
      </c>
      <c r="J1009" s="7" t="s">
        <v>16</v>
      </c>
      <c r="K1009" s="7" t="s">
        <v>16</v>
      </c>
      <c r="L1009" s="7" t="s">
        <v>16</v>
      </c>
      <c r="M1009" s="5" t="s">
        <v>75</v>
      </c>
      <c r="N1009" s="5" t="s">
        <v>4266</v>
      </c>
      <c r="O1009" s="5"/>
      <c r="P1009" s="5"/>
      <c r="Q1009" s="5"/>
      <c r="R1009" s="5"/>
      <c r="S1009" s="5"/>
      <c r="T1009" s="5"/>
      <c r="U1009" s="5"/>
      <c r="V1009" s="5"/>
      <c r="W1009" s="5"/>
      <c r="X1009" s="5"/>
      <c r="Y1009" s="5"/>
      <c r="Z1009" s="5"/>
    </row>
    <row r="1010">
      <c r="A1010" s="34" t="s">
        <v>4262</v>
      </c>
      <c r="B1010" s="5" t="s">
        <v>1096</v>
      </c>
      <c r="C1010" s="7" t="s">
        <v>4263</v>
      </c>
      <c r="D1010" s="7" t="s">
        <v>3092</v>
      </c>
      <c r="E1010" s="7" t="s">
        <v>16</v>
      </c>
      <c r="F1010" s="7" t="s">
        <v>16</v>
      </c>
      <c r="G1010" s="7" t="s">
        <v>19</v>
      </c>
      <c r="H1010" s="7" t="s">
        <v>4264</v>
      </c>
      <c r="I1010" s="7" t="s">
        <v>4265</v>
      </c>
      <c r="J1010" s="7" t="s">
        <v>16</v>
      </c>
      <c r="K1010" s="7" t="s">
        <v>16</v>
      </c>
      <c r="L1010" s="7" t="s">
        <v>16</v>
      </c>
      <c r="M1010" s="5" t="s">
        <v>75</v>
      </c>
      <c r="N1010" s="5" t="s">
        <v>4266</v>
      </c>
      <c r="O1010" s="5"/>
      <c r="P1010" s="5"/>
      <c r="Q1010" s="5"/>
      <c r="R1010" s="5"/>
      <c r="S1010" s="5"/>
      <c r="T1010" s="5"/>
      <c r="U1010" s="5"/>
      <c r="V1010" s="5"/>
      <c r="W1010" s="5"/>
      <c r="X1010" s="5"/>
      <c r="Y1010" s="5"/>
      <c r="Z1010" s="5"/>
    </row>
    <row r="1011">
      <c r="A1011" s="34" t="s">
        <v>4267</v>
      </c>
      <c r="B1011" s="5" t="s">
        <v>1096</v>
      </c>
      <c r="C1011" s="7" t="s">
        <v>1097</v>
      </c>
      <c r="D1011" s="7" t="s">
        <v>1068</v>
      </c>
      <c r="E1011" s="7" t="s">
        <v>16</v>
      </c>
      <c r="F1011" s="7" t="s">
        <v>16</v>
      </c>
      <c r="G1011" s="5" t="s">
        <v>19</v>
      </c>
      <c r="H1011" s="7" t="s">
        <v>4268</v>
      </c>
      <c r="I1011" s="7" t="s">
        <v>4269</v>
      </c>
      <c r="J1011" s="7" t="s">
        <v>16</v>
      </c>
      <c r="K1011" s="7" t="s">
        <v>16</v>
      </c>
      <c r="L1011" s="7" t="s">
        <v>16</v>
      </c>
      <c r="M1011" s="5" t="s">
        <v>22</v>
      </c>
      <c r="N1011" s="5" t="s">
        <v>4270</v>
      </c>
      <c r="O1011" s="5"/>
      <c r="P1011" s="5"/>
      <c r="Q1011" s="5"/>
      <c r="R1011" s="5"/>
      <c r="S1011" s="5"/>
      <c r="T1011" s="5"/>
      <c r="U1011" s="5"/>
      <c r="V1011" s="5"/>
      <c r="W1011" s="5"/>
      <c r="X1011" s="5"/>
      <c r="Y1011" s="5"/>
      <c r="Z1011" s="5"/>
    </row>
    <row r="1012">
      <c r="A1012" s="6" t="s">
        <v>4271</v>
      </c>
      <c r="B1012" s="5" t="s">
        <v>1096</v>
      </c>
      <c r="C1012" s="7" t="s">
        <v>1218</v>
      </c>
      <c r="D1012" s="7" t="s">
        <v>406</v>
      </c>
      <c r="E1012" s="7" t="s">
        <v>16</v>
      </c>
      <c r="F1012" s="7" t="s">
        <v>16</v>
      </c>
      <c r="G1012" s="5" t="s">
        <v>19</v>
      </c>
      <c r="H1012" s="7" t="s">
        <v>4272</v>
      </c>
      <c r="I1012" s="7" t="s">
        <v>4273</v>
      </c>
      <c r="J1012" s="7" t="s">
        <v>16</v>
      </c>
      <c r="K1012" s="7" t="s">
        <v>16</v>
      </c>
      <c r="L1012" s="7" t="s">
        <v>16</v>
      </c>
      <c r="M1012" s="5" t="s">
        <v>22</v>
      </c>
      <c r="N1012" s="5" t="s">
        <v>4274</v>
      </c>
      <c r="O1012" s="5"/>
      <c r="P1012" s="5"/>
      <c r="Q1012" s="5"/>
      <c r="R1012" s="5"/>
      <c r="S1012" s="5"/>
      <c r="T1012" s="5"/>
      <c r="U1012" s="5"/>
      <c r="V1012" s="5"/>
      <c r="W1012" s="5"/>
      <c r="X1012" s="5"/>
      <c r="Y1012" s="5"/>
      <c r="Z1012" s="5"/>
    </row>
    <row r="1013">
      <c r="A1013" s="6" t="s">
        <v>4275</v>
      </c>
      <c r="B1013" s="5" t="s">
        <v>1096</v>
      </c>
      <c r="C1013" s="7" t="s">
        <v>4249</v>
      </c>
      <c r="D1013" s="7" t="s">
        <v>3079</v>
      </c>
      <c r="E1013" s="7" t="s">
        <v>16</v>
      </c>
      <c r="F1013" s="7" t="s">
        <v>16</v>
      </c>
      <c r="G1013" s="7" t="s">
        <v>19</v>
      </c>
      <c r="H1013" s="7" t="s">
        <v>4276</v>
      </c>
      <c r="I1013" s="7" t="s">
        <v>4277</v>
      </c>
      <c r="J1013" s="7" t="s">
        <v>16</v>
      </c>
      <c r="K1013" s="7" t="s">
        <v>16</v>
      </c>
      <c r="L1013" s="7" t="s">
        <v>16</v>
      </c>
      <c r="M1013" s="5" t="s">
        <v>22</v>
      </c>
      <c r="N1013" s="5" t="s">
        <v>4278</v>
      </c>
      <c r="O1013" s="5"/>
      <c r="P1013" s="5"/>
      <c r="Q1013" s="5"/>
      <c r="R1013" s="5"/>
      <c r="S1013" s="5"/>
      <c r="T1013" s="5"/>
      <c r="U1013" s="5"/>
      <c r="V1013" s="5"/>
      <c r="W1013" s="5"/>
      <c r="X1013" s="5"/>
      <c r="Y1013" s="5"/>
      <c r="Z1013" s="5"/>
    </row>
    <row r="1014">
      <c r="A1014" s="6" t="s">
        <v>4279</v>
      </c>
      <c r="B1014" s="5" t="s">
        <v>1096</v>
      </c>
      <c r="C1014" s="7" t="s">
        <v>1097</v>
      </c>
      <c r="D1014" s="7" t="s">
        <v>1068</v>
      </c>
      <c r="E1014" s="7" t="s">
        <v>16</v>
      </c>
      <c r="F1014" s="7" t="s">
        <v>16</v>
      </c>
      <c r="G1014" s="7" t="s">
        <v>19</v>
      </c>
      <c r="H1014" s="7" t="s">
        <v>4280</v>
      </c>
      <c r="I1014" s="7" t="s">
        <v>4281</v>
      </c>
      <c r="J1014" s="7" t="s">
        <v>16</v>
      </c>
      <c r="K1014" s="7" t="s">
        <v>16</v>
      </c>
      <c r="L1014" s="7" t="s">
        <v>16</v>
      </c>
      <c r="M1014" s="5" t="s">
        <v>22</v>
      </c>
      <c r="N1014" s="5" t="s">
        <v>4282</v>
      </c>
      <c r="O1014" s="5"/>
      <c r="P1014" s="5"/>
      <c r="Q1014" s="5"/>
      <c r="R1014" s="5"/>
      <c r="S1014" s="5"/>
      <c r="T1014" s="5"/>
      <c r="U1014" s="5"/>
      <c r="V1014" s="5"/>
      <c r="W1014" s="5"/>
      <c r="X1014" s="5"/>
      <c r="Y1014" s="5"/>
      <c r="Z1014" s="5"/>
    </row>
    <row r="1015">
      <c r="A1015" s="34" t="s">
        <v>4283</v>
      </c>
      <c r="B1015" s="5" t="s">
        <v>1096</v>
      </c>
      <c r="C1015" s="7" t="s">
        <v>1218</v>
      </c>
      <c r="D1015" s="7" t="s">
        <v>406</v>
      </c>
      <c r="E1015" s="7" t="s">
        <v>16</v>
      </c>
      <c r="F1015" s="7" t="s">
        <v>16</v>
      </c>
      <c r="G1015" s="5" t="s">
        <v>19</v>
      </c>
      <c r="H1015" s="7" t="s">
        <v>4284</v>
      </c>
      <c r="I1015" s="7" t="s">
        <v>4285</v>
      </c>
      <c r="J1015" s="7" t="s">
        <v>16</v>
      </c>
      <c r="K1015" s="7" t="s">
        <v>16</v>
      </c>
      <c r="L1015" s="7" t="s">
        <v>16</v>
      </c>
      <c r="M1015" s="5" t="s">
        <v>22</v>
      </c>
      <c r="N1015" s="5" t="s">
        <v>4286</v>
      </c>
      <c r="O1015" s="5"/>
      <c r="P1015" s="5"/>
      <c r="Q1015" s="5"/>
      <c r="R1015" s="5"/>
      <c r="S1015" s="5"/>
      <c r="T1015" s="5"/>
      <c r="U1015" s="5"/>
      <c r="V1015" s="5"/>
      <c r="W1015" s="5"/>
      <c r="X1015" s="5"/>
      <c r="Y1015" s="5"/>
      <c r="Z1015" s="5"/>
    </row>
    <row r="1016">
      <c r="A1016" s="34" t="s">
        <v>4287</v>
      </c>
      <c r="B1016" s="5" t="s">
        <v>1096</v>
      </c>
      <c r="C1016" s="7" t="s">
        <v>1118</v>
      </c>
      <c r="D1016" s="7" t="s">
        <v>411</v>
      </c>
      <c r="E1016" s="7" t="s">
        <v>16</v>
      </c>
      <c r="F1016" s="7" t="s">
        <v>16</v>
      </c>
      <c r="G1016" s="5" t="s">
        <v>19</v>
      </c>
      <c r="H1016" s="7" t="s">
        <v>4288</v>
      </c>
      <c r="I1016" s="7" t="s">
        <v>4289</v>
      </c>
      <c r="J1016" s="7" t="s">
        <v>16</v>
      </c>
      <c r="K1016" s="7" t="s">
        <v>16</v>
      </c>
      <c r="L1016" s="7" t="s">
        <v>16</v>
      </c>
      <c r="M1016" s="5" t="s">
        <v>22</v>
      </c>
      <c r="N1016" s="5" t="s">
        <v>4290</v>
      </c>
      <c r="O1016" s="5"/>
      <c r="P1016" s="5"/>
      <c r="Q1016" s="5"/>
      <c r="R1016" s="5"/>
      <c r="S1016" s="5"/>
      <c r="T1016" s="5"/>
      <c r="U1016" s="5"/>
      <c r="V1016" s="5"/>
      <c r="W1016" s="5"/>
      <c r="X1016" s="5"/>
      <c r="Y1016" s="5"/>
      <c r="Z1016" s="5"/>
    </row>
    <row r="1017">
      <c r="A1017" s="34" t="s">
        <v>4291</v>
      </c>
      <c r="B1017" s="5" t="s">
        <v>1096</v>
      </c>
      <c r="C1017" s="7" t="s">
        <v>1431</v>
      </c>
      <c r="D1017" s="7" t="s">
        <v>85</v>
      </c>
      <c r="E1017" s="7" t="s">
        <v>16</v>
      </c>
      <c r="F1017" s="7" t="s">
        <v>16</v>
      </c>
      <c r="G1017" s="7" t="s">
        <v>19</v>
      </c>
      <c r="H1017" s="7" t="s">
        <v>4292</v>
      </c>
      <c r="I1017" s="7" t="s">
        <v>4293</v>
      </c>
      <c r="J1017" s="7" t="s">
        <v>16</v>
      </c>
      <c r="K1017" s="7" t="s">
        <v>16</v>
      </c>
      <c r="L1017" s="7" t="s">
        <v>16</v>
      </c>
      <c r="M1017" s="5" t="s">
        <v>22</v>
      </c>
      <c r="N1017" s="5" t="s">
        <v>4294</v>
      </c>
      <c r="O1017" s="5"/>
      <c r="P1017" s="5"/>
      <c r="Q1017" s="5"/>
      <c r="R1017" s="5"/>
      <c r="S1017" s="5"/>
      <c r="T1017" s="5"/>
      <c r="U1017" s="5"/>
      <c r="V1017" s="5"/>
      <c r="W1017" s="5"/>
      <c r="X1017" s="5"/>
      <c r="Y1017" s="5"/>
      <c r="Z1017" s="5"/>
    </row>
    <row r="1018">
      <c r="A1018" s="34" t="s">
        <v>4295</v>
      </c>
      <c r="B1018" s="5" t="s">
        <v>1096</v>
      </c>
      <c r="C1018" s="7" t="s">
        <v>1234</v>
      </c>
      <c r="D1018" s="7" t="s">
        <v>1203</v>
      </c>
      <c r="E1018" s="7" t="s">
        <v>16</v>
      </c>
      <c r="F1018" s="7" t="s">
        <v>16</v>
      </c>
      <c r="G1018" s="7" t="s">
        <v>19</v>
      </c>
      <c r="H1018" s="7" t="s">
        <v>4296</v>
      </c>
      <c r="I1018" s="7" t="s">
        <v>4297</v>
      </c>
      <c r="J1018" s="7" t="s">
        <v>16</v>
      </c>
      <c r="K1018" s="7" t="s">
        <v>16</v>
      </c>
      <c r="L1018" s="7" t="s">
        <v>16</v>
      </c>
      <c r="M1018" s="5" t="s">
        <v>36</v>
      </c>
      <c r="N1018" s="5" t="s">
        <v>4298</v>
      </c>
      <c r="O1018" s="5"/>
      <c r="P1018" s="5"/>
      <c r="Q1018" s="5"/>
      <c r="R1018" s="5"/>
      <c r="S1018" s="5"/>
      <c r="T1018" s="5"/>
      <c r="U1018" s="5"/>
      <c r="V1018" s="5"/>
      <c r="W1018" s="5"/>
      <c r="X1018" s="5"/>
      <c r="Y1018" s="5"/>
      <c r="Z1018" s="5"/>
    </row>
    <row r="1019">
      <c r="A1019" s="34" t="s">
        <v>4299</v>
      </c>
      <c r="B1019" s="5" t="s">
        <v>1096</v>
      </c>
      <c r="C1019" s="7" t="s">
        <v>4115</v>
      </c>
      <c r="D1019" s="7" t="s">
        <v>2581</v>
      </c>
      <c r="E1019" s="7" t="s">
        <v>16</v>
      </c>
      <c r="F1019" s="7" t="s">
        <v>16</v>
      </c>
      <c r="G1019" s="7" t="s">
        <v>19</v>
      </c>
      <c r="H1019" s="7" t="s">
        <v>4300</v>
      </c>
      <c r="I1019" s="7" t="s">
        <v>4301</v>
      </c>
      <c r="J1019" s="7" t="s">
        <v>16</v>
      </c>
      <c r="K1019" s="7" t="s">
        <v>16</v>
      </c>
      <c r="L1019" s="7" t="s">
        <v>16</v>
      </c>
      <c r="M1019" s="5" t="s">
        <v>36</v>
      </c>
      <c r="N1019" s="5" t="s">
        <v>4302</v>
      </c>
      <c r="O1019" s="5"/>
      <c r="P1019" s="5"/>
      <c r="Q1019" s="5"/>
      <c r="R1019" s="5"/>
      <c r="S1019" s="5"/>
      <c r="T1019" s="5"/>
      <c r="U1019" s="5"/>
      <c r="V1019" s="5"/>
      <c r="W1019" s="5"/>
      <c r="X1019" s="5"/>
      <c r="Y1019" s="5"/>
      <c r="Z1019" s="5"/>
    </row>
    <row r="1020">
      <c r="A1020" s="6" t="s">
        <v>4303</v>
      </c>
      <c r="B1020" s="5" t="s">
        <v>1096</v>
      </c>
      <c r="C1020" s="7" t="s">
        <v>4156</v>
      </c>
      <c r="D1020" s="7" t="s">
        <v>2767</v>
      </c>
      <c r="E1020" s="7" t="s">
        <v>16</v>
      </c>
      <c r="F1020" s="7" t="s">
        <v>16</v>
      </c>
      <c r="G1020" s="7" t="s">
        <v>19</v>
      </c>
      <c r="H1020" s="7" t="s">
        <v>4304</v>
      </c>
      <c r="I1020" s="7" t="s">
        <v>4305</v>
      </c>
      <c r="J1020" s="7" t="s">
        <v>16</v>
      </c>
      <c r="K1020" s="7" t="s">
        <v>16</v>
      </c>
      <c r="L1020" s="7" t="s">
        <v>16</v>
      </c>
      <c r="M1020" s="5" t="s">
        <v>36</v>
      </c>
      <c r="N1020" s="5" t="s">
        <v>4306</v>
      </c>
      <c r="O1020" s="5"/>
      <c r="P1020" s="5"/>
      <c r="Q1020" s="5"/>
      <c r="R1020" s="5"/>
      <c r="S1020" s="5"/>
      <c r="T1020" s="5"/>
      <c r="U1020" s="5"/>
      <c r="V1020" s="5"/>
      <c r="W1020" s="5"/>
      <c r="X1020" s="5"/>
      <c r="Y1020" s="5"/>
      <c r="Z1020" s="5"/>
    </row>
    <row r="1021">
      <c r="A1021" s="6" t="s">
        <v>4307</v>
      </c>
      <c r="B1021" s="5" t="s">
        <v>1096</v>
      </c>
      <c r="C1021" s="7" t="s">
        <v>4192</v>
      </c>
      <c r="D1021" s="7" t="s">
        <v>2918</v>
      </c>
      <c r="E1021" s="7" t="s">
        <v>16</v>
      </c>
      <c r="F1021" s="7" t="s">
        <v>16</v>
      </c>
      <c r="G1021" s="7" t="s">
        <v>19</v>
      </c>
      <c r="H1021" s="7" t="s">
        <v>4308</v>
      </c>
      <c r="I1021" s="7" t="s">
        <v>4309</v>
      </c>
      <c r="J1021" s="7" t="s">
        <v>16</v>
      </c>
      <c r="K1021" s="7" t="s">
        <v>16</v>
      </c>
      <c r="L1021" s="7" t="s">
        <v>16</v>
      </c>
      <c r="M1021" s="5" t="s">
        <v>22</v>
      </c>
      <c r="N1021" s="5" t="s">
        <v>4310</v>
      </c>
      <c r="O1021" s="5"/>
      <c r="P1021" s="5"/>
      <c r="Q1021" s="5"/>
      <c r="R1021" s="5"/>
      <c r="S1021" s="5"/>
      <c r="T1021" s="5"/>
      <c r="U1021" s="5"/>
      <c r="V1021" s="5"/>
      <c r="W1021" s="5"/>
      <c r="X1021" s="5"/>
      <c r="Y1021" s="5"/>
      <c r="Z1021" s="5"/>
    </row>
    <row r="1022">
      <c r="A1022" s="34" t="s">
        <v>4311</v>
      </c>
      <c r="B1022" s="5" t="s">
        <v>1096</v>
      </c>
      <c r="C1022" s="7" t="s">
        <v>4263</v>
      </c>
      <c r="D1022" s="7" t="s">
        <v>3092</v>
      </c>
      <c r="E1022" s="7" t="s">
        <v>16</v>
      </c>
      <c r="F1022" s="7" t="s">
        <v>16</v>
      </c>
      <c r="G1022" s="7" t="s">
        <v>19</v>
      </c>
      <c r="H1022" s="7" t="s">
        <v>4312</v>
      </c>
      <c r="I1022" s="7" t="s">
        <v>4313</v>
      </c>
      <c r="J1022" s="7" t="s">
        <v>16</v>
      </c>
      <c r="K1022" s="7" t="s">
        <v>16</v>
      </c>
      <c r="L1022" s="7" t="s">
        <v>16</v>
      </c>
      <c r="M1022" s="5" t="s">
        <v>36</v>
      </c>
      <c r="N1022" s="5" t="s">
        <v>4314</v>
      </c>
      <c r="O1022" s="5"/>
      <c r="P1022" s="5"/>
      <c r="Q1022" s="5"/>
      <c r="R1022" s="5"/>
      <c r="S1022" s="5"/>
      <c r="T1022" s="5"/>
      <c r="U1022" s="5"/>
      <c r="V1022" s="5"/>
      <c r="W1022" s="5"/>
      <c r="X1022" s="5"/>
      <c r="Y1022" s="5"/>
      <c r="Z1022" s="5"/>
    </row>
    <row r="1023">
      <c r="A1023" s="6" t="s">
        <v>4315</v>
      </c>
      <c r="B1023" s="5" t="s">
        <v>1096</v>
      </c>
      <c r="C1023" s="7" t="s">
        <v>4187</v>
      </c>
      <c r="D1023" s="7" t="s">
        <v>2883</v>
      </c>
      <c r="E1023" s="7" t="s">
        <v>16</v>
      </c>
      <c r="F1023" s="7" t="s">
        <v>16</v>
      </c>
      <c r="G1023" s="7" t="s">
        <v>19</v>
      </c>
      <c r="H1023" s="7" t="s">
        <v>4316</v>
      </c>
      <c r="I1023" s="7" t="s">
        <v>4317</v>
      </c>
      <c r="J1023" s="7" t="s">
        <v>16</v>
      </c>
      <c r="K1023" s="7" t="s">
        <v>16</v>
      </c>
      <c r="L1023" s="7" t="s">
        <v>16</v>
      </c>
      <c r="M1023" s="5" t="s">
        <v>36</v>
      </c>
      <c r="N1023" s="5" t="s">
        <v>4318</v>
      </c>
      <c r="O1023" s="5"/>
      <c r="P1023" s="5"/>
      <c r="Q1023" s="5"/>
      <c r="R1023" s="5"/>
      <c r="S1023" s="5"/>
      <c r="T1023" s="5"/>
      <c r="U1023" s="5"/>
      <c r="V1023" s="5"/>
      <c r="W1023" s="5"/>
      <c r="X1023" s="5"/>
      <c r="Y1023" s="5"/>
      <c r="Z1023" s="5"/>
    </row>
    <row r="1024">
      <c r="A1024" s="6" t="s">
        <v>4319</v>
      </c>
      <c r="B1024" s="5" t="s">
        <v>1096</v>
      </c>
      <c r="C1024" s="7" t="s">
        <v>4320</v>
      </c>
      <c r="D1024" s="7" t="s">
        <v>2913</v>
      </c>
      <c r="E1024" s="7" t="s">
        <v>16</v>
      </c>
      <c r="F1024" s="7" t="s">
        <v>16</v>
      </c>
      <c r="G1024" s="7" t="s">
        <v>19</v>
      </c>
      <c r="H1024" s="7" t="s">
        <v>4321</v>
      </c>
      <c r="I1024" s="7" t="s">
        <v>4322</v>
      </c>
      <c r="J1024" s="7" t="s">
        <v>16</v>
      </c>
      <c r="K1024" s="7" t="s">
        <v>16</v>
      </c>
      <c r="L1024" s="7" t="s">
        <v>16</v>
      </c>
      <c r="M1024" s="5" t="s">
        <v>75</v>
      </c>
      <c r="N1024" s="5" t="s">
        <v>4323</v>
      </c>
      <c r="O1024" s="5"/>
      <c r="P1024" s="5"/>
      <c r="Q1024" s="5"/>
      <c r="R1024" s="5"/>
      <c r="S1024" s="5"/>
      <c r="T1024" s="5"/>
      <c r="U1024" s="5"/>
      <c r="V1024" s="5"/>
      <c r="W1024" s="5"/>
      <c r="X1024" s="5"/>
      <c r="Y1024" s="5"/>
      <c r="Z1024" s="5"/>
    </row>
    <row r="1025">
      <c r="A1025" s="6" t="s">
        <v>4324</v>
      </c>
      <c r="B1025" s="5" t="s">
        <v>1096</v>
      </c>
      <c r="C1025" s="7" t="s">
        <v>4249</v>
      </c>
      <c r="D1025" s="7" t="s">
        <v>3079</v>
      </c>
      <c r="E1025" s="7" t="s">
        <v>16</v>
      </c>
      <c r="F1025" s="7" t="s">
        <v>16</v>
      </c>
      <c r="G1025" s="5" t="s">
        <v>19</v>
      </c>
      <c r="H1025" s="7" t="s">
        <v>4325</v>
      </c>
      <c r="I1025" s="7" t="s">
        <v>4326</v>
      </c>
      <c r="J1025" s="7" t="s">
        <v>16</v>
      </c>
      <c r="K1025" s="7" t="s">
        <v>16</v>
      </c>
      <c r="L1025" s="7" t="s">
        <v>16</v>
      </c>
      <c r="M1025" s="5" t="s">
        <v>36</v>
      </c>
      <c r="N1025" s="5" t="s">
        <v>4327</v>
      </c>
      <c r="O1025" s="5"/>
      <c r="P1025" s="5"/>
      <c r="Q1025" s="5"/>
      <c r="R1025" s="5"/>
      <c r="S1025" s="5"/>
      <c r="T1025" s="5"/>
      <c r="U1025" s="5"/>
      <c r="V1025" s="5"/>
      <c r="W1025" s="5"/>
      <c r="X1025" s="5"/>
      <c r="Y1025" s="5"/>
      <c r="Z1025" s="5"/>
    </row>
    <row r="1026">
      <c r="A1026" s="6" t="s">
        <v>4328</v>
      </c>
      <c r="B1026" s="5" t="s">
        <v>1096</v>
      </c>
      <c r="C1026" s="7" t="s">
        <v>4254</v>
      </c>
      <c r="D1026" s="7" t="s">
        <v>3084</v>
      </c>
      <c r="E1026" s="7" t="s">
        <v>16</v>
      </c>
      <c r="F1026" s="7" t="s">
        <v>16</v>
      </c>
      <c r="G1026" s="5" t="s">
        <v>19</v>
      </c>
      <c r="H1026" s="7" t="s">
        <v>4329</v>
      </c>
      <c r="I1026" s="7" t="s">
        <v>4330</v>
      </c>
      <c r="J1026" s="7" t="s">
        <v>16</v>
      </c>
      <c r="K1026" s="7" t="s">
        <v>16</v>
      </c>
      <c r="L1026" s="7" t="s">
        <v>16</v>
      </c>
      <c r="M1026" s="5" t="s">
        <v>36</v>
      </c>
      <c r="N1026" s="5" t="s">
        <v>4331</v>
      </c>
      <c r="O1026" s="5"/>
      <c r="P1026" s="5"/>
      <c r="Q1026" s="5"/>
      <c r="R1026" s="5"/>
      <c r="S1026" s="5"/>
      <c r="T1026" s="5"/>
      <c r="U1026" s="5"/>
      <c r="V1026" s="5"/>
      <c r="W1026" s="5"/>
      <c r="X1026" s="5"/>
      <c r="Y1026" s="5"/>
      <c r="Z1026" s="5"/>
    </row>
    <row r="1027">
      <c r="A1027" s="6" t="s">
        <v>4332</v>
      </c>
      <c r="B1027" s="5" t="s">
        <v>1096</v>
      </c>
      <c r="C1027" s="7" t="s">
        <v>4333</v>
      </c>
      <c r="D1027" s="7" t="s">
        <v>3069</v>
      </c>
      <c r="E1027" s="7" t="s">
        <v>16</v>
      </c>
      <c r="F1027" s="7" t="s">
        <v>16</v>
      </c>
      <c r="G1027" s="5" t="s">
        <v>19</v>
      </c>
      <c r="H1027" s="7" t="s">
        <v>4334</v>
      </c>
      <c r="I1027" s="7" t="s">
        <v>4335</v>
      </c>
      <c r="J1027" s="7" t="s">
        <v>16</v>
      </c>
      <c r="K1027" s="7" t="s">
        <v>16</v>
      </c>
      <c r="L1027" s="7" t="s">
        <v>16</v>
      </c>
      <c r="M1027" s="5" t="s">
        <v>36</v>
      </c>
      <c r="N1027" s="5" t="s">
        <v>4336</v>
      </c>
      <c r="O1027" s="5"/>
      <c r="P1027" s="5"/>
      <c r="Q1027" s="5"/>
      <c r="R1027" s="5"/>
      <c r="S1027" s="5"/>
      <c r="T1027" s="5"/>
      <c r="U1027" s="5"/>
      <c r="V1027" s="5"/>
      <c r="W1027" s="5"/>
      <c r="X1027" s="5"/>
      <c r="Y1027" s="5"/>
      <c r="Z1027" s="5"/>
    </row>
    <row r="1028">
      <c r="A1028" s="6" t="s">
        <v>4337</v>
      </c>
      <c r="B1028" s="5" t="s">
        <v>1096</v>
      </c>
      <c r="C1028" s="7" t="s">
        <v>1097</v>
      </c>
      <c r="D1028" s="7" t="s">
        <v>1068</v>
      </c>
      <c r="E1028" s="7" t="s">
        <v>16</v>
      </c>
      <c r="F1028" s="7" t="s">
        <v>16</v>
      </c>
      <c r="G1028" s="7" t="s">
        <v>19</v>
      </c>
      <c r="H1028" s="7" t="s">
        <v>3465</v>
      </c>
      <c r="I1028" s="7" t="s">
        <v>3960</v>
      </c>
      <c r="J1028" s="7" t="s">
        <v>16</v>
      </c>
      <c r="K1028" s="7" t="s">
        <v>16</v>
      </c>
      <c r="L1028" s="7" t="s">
        <v>16</v>
      </c>
      <c r="M1028" s="5" t="s">
        <v>36</v>
      </c>
      <c r="N1028" s="5" t="s">
        <v>4338</v>
      </c>
      <c r="O1028" s="5"/>
      <c r="P1028" s="5"/>
      <c r="Q1028" s="5"/>
      <c r="R1028" s="5"/>
      <c r="S1028" s="5"/>
      <c r="T1028" s="5"/>
      <c r="U1028" s="5"/>
      <c r="V1028" s="5"/>
      <c r="W1028" s="5"/>
      <c r="X1028" s="5"/>
      <c r="Y1028" s="5"/>
      <c r="Z1028" s="5"/>
    </row>
    <row r="1029">
      <c r="A1029" s="6" t="s">
        <v>4339</v>
      </c>
      <c r="B1029" s="5" t="s">
        <v>1096</v>
      </c>
      <c r="C1029" s="7" t="s">
        <v>4320</v>
      </c>
      <c r="D1029" s="7" t="s">
        <v>2913</v>
      </c>
      <c r="E1029" s="7" t="s">
        <v>16</v>
      </c>
      <c r="F1029" s="7" t="s">
        <v>16</v>
      </c>
      <c r="G1029" s="5" t="s">
        <v>19</v>
      </c>
      <c r="H1029" s="7" t="s">
        <v>4340</v>
      </c>
      <c r="I1029" s="7" t="s">
        <v>3730</v>
      </c>
      <c r="J1029" s="7" t="s">
        <v>16</v>
      </c>
      <c r="K1029" s="7" t="s">
        <v>16</v>
      </c>
      <c r="L1029" s="7" t="s">
        <v>16</v>
      </c>
      <c r="M1029" s="5" t="s">
        <v>36</v>
      </c>
      <c r="N1029" s="5" t="s">
        <v>4341</v>
      </c>
      <c r="O1029" s="5"/>
      <c r="P1029" s="5"/>
      <c r="Q1029" s="5"/>
      <c r="R1029" s="5"/>
      <c r="S1029" s="5"/>
      <c r="T1029" s="5"/>
      <c r="U1029" s="5"/>
      <c r="V1029" s="5"/>
      <c r="W1029" s="5"/>
      <c r="X1029" s="5"/>
      <c r="Y1029" s="5"/>
      <c r="Z1029" s="5"/>
    </row>
    <row r="1030">
      <c r="A1030" s="34" t="s">
        <v>4342</v>
      </c>
      <c r="B1030" s="5" t="s">
        <v>1096</v>
      </c>
      <c r="C1030" s="7" t="s">
        <v>1097</v>
      </c>
      <c r="D1030" s="7" t="s">
        <v>1068</v>
      </c>
      <c r="E1030" s="7" t="s">
        <v>16</v>
      </c>
      <c r="F1030" s="7" t="s">
        <v>16</v>
      </c>
      <c r="G1030" s="7" t="s">
        <v>19</v>
      </c>
      <c r="H1030" s="7" t="s">
        <v>4343</v>
      </c>
      <c r="I1030" s="7" t="s">
        <v>4344</v>
      </c>
      <c r="J1030" s="7" t="s">
        <v>16</v>
      </c>
      <c r="K1030" s="7" t="s">
        <v>16</v>
      </c>
      <c r="L1030" s="7" t="s">
        <v>16</v>
      </c>
      <c r="M1030" s="5" t="s">
        <v>36</v>
      </c>
      <c r="N1030" s="5" t="s">
        <v>4345</v>
      </c>
      <c r="O1030" s="5"/>
      <c r="P1030" s="5"/>
      <c r="Q1030" s="5"/>
      <c r="R1030" s="5"/>
      <c r="S1030" s="5"/>
      <c r="T1030" s="5"/>
      <c r="U1030" s="5"/>
      <c r="V1030" s="5"/>
      <c r="W1030" s="5"/>
      <c r="X1030" s="5"/>
      <c r="Y1030" s="5"/>
      <c r="Z1030" s="5"/>
    </row>
    <row r="1031">
      <c r="A1031" s="34" t="s">
        <v>4346</v>
      </c>
      <c r="B1031" s="5" t="s">
        <v>1096</v>
      </c>
      <c r="C1031" s="7" t="s">
        <v>1336</v>
      </c>
      <c r="D1031" s="7" t="s">
        <v>1337</v>
      </c>
      <c r="E1031" s="7" t="s">
        <v>16</v>
      </c>
      <c r="F1031" s="7" t="s">
        <v>16</v>
      </c>
      <c r="G1031" s="5" t="s">
        <v>19</v>
      </c>
      <c r="H1031" s="7" t="s">
        <v>4347</v>
      </c>
      <c r="I1031" s="7" t="s">
        <v>4348</v>
      </c>
      <c r="J1031" s="7" t="s">
        <v>16</v>
      </c>
      <c r="K1031" s="7" t="s">
        <v>16</v>
      </c>
      <c r="L1031" s="7" t="s">
        <v>16</v>
      </c>
      <c r="M1031" s="5" t="s">
        <v>22</v>
      </c>
      <c r="N1031" s="5" t="s">
        <v>4349</v>
      </c>
      <c r="O1031" s="5"/>
      <c r="P1031" s="5"/>
      <c r="Q1031" s="5"/>
      <c r="R1031" s="5"/>
      <c r="S1031" s="5"/>
      <c r="T1031" s="5"/>
      <c r="U1031" s="5"/>
      <c r="V1031" s="5"/>
      <c r="W1031" s="5"/>
      <c r="X1031" s="5"/>
      <c r="Y1031" s="5"/>
      <c r="Z1031" s="5"/>
    </row>
    <row r="1032">
      <c r="A1032" s="34" t="s">
        <v>4350</v>
      </c>
      <c r="B1032" s="5" t="s">
        <v>1096</v>
      </c>
      <c r="C1032" s="7" t="s">
        <v>1234</v>
      </c>
      <c r="D1032" s="7" t="s">
        <v>1203</v>
      </c>
      <c r="E1032" s="7" t="s">
        <v>16</v>
      </c>
      <c r="F1032" s="7" t="s">
        <v>16</v>
      </c>
      <c r="G1032" s="7" t="s">
        <v>19</v>
      </c>
      <c r="H1032" s="7" t="s">
        <v>4351</v>
      </c>
      <c r="I1032" s="7" t="s">
        <v>4352</v>
      </c>
      <c r="J1032" s="7" t="s">
        <v>16</v>
      </c>
      <c r="K1032" s="7" t="s">
        <v>16</v>
      </c>
      <c r="L1032" s="7" t="s">
        <v>16</v>
      </c>
      <c r="M1032" s="5" t="s">
        <v>22</v>
      </c>
      <c r="N1032" s="5" t="s">
        <v>4353</v>
      </c>
      <c r="O1032" s="5"/>
      <c r="P1032" s="5"/>
      <c r="Q1032" s="5"/>
      <c r="R1032" s="5"/>
      <c r="S1032" s="5"/>
      <c r="T1032" s="5"/>
      <c r="U1032" s="5"/>
      <c r="V1032" s="5"/>
      <c r="W1032" s="5"/>
      <c r="X1032" s="5"/>
      <c r="Y1032" s="5"/>
      <c r="Z1032" s="5"/>
    </row>
    <row r="1033">
      <c r="A1033" s="34" t="s">
        <v>4354</v>
      </c>
      <c r="B1033" s="5" t="s">
        <v>1096</v>
      </c>
      <c r="C1033" s="7" t="s">
        <v>4320</v>
      </c>
      <c r="D1033" s="7" t="s">
        <v>2913</v>
      </c>
      <c r="E1033" s="7" t="s">
        <v>16</v>
      </c>
      <c r="F1033" s="7" t="s">
        <v>16</v>
      </c>
      <c r="G1033" s="7" t="s">
        <v>19</v>
      </c>
      <c r="H1033" s="7" t="s">
        <v>903</v>
      </c>
      <c r="I1033" s="7" t="s">
        <v>1105</v>
      </c>
      <c r="J1033" s="7" t="s">
        <v>16</v>
      </c>
      <c r="K1033" s="7" t="s">
        <v>16</v>
      </c>
      <c r="L1033" s="7" t="s">
        <v>16</v>
      </c>
      <c r="M1033" s="5" t="s">
        <v>22</v>
      </c>
      <c r="N1033" s="5" t="s">
        <v>4355</v>
      </c>
      <c r="O1033" s="5"/>
      <c r="P1033" s="5"/>
      <c r="Q1033" s="5"/>
      <c r="R1033" s="5"/>
      <c r="S1033" s="5"/>
      <c r="T1033" s="5"/>
      <c r="U1033" s="5"/>
      <c r="V1033" s="5"/>
      <c r="W1033" s="5"/>
      <c r="X1033" s="5"/>
      <c r="Y1033" s="5"/>
      <c r="Z1033" s="5"/>
    </row>
    <row r="1034">
      <c r="A1034" s="35" t="s">
        <v>4356</v>
      </c>
      <c r="B1034" s="5" t="s">
        <v>1096</v>
      </c>
      <c r="C1034" s="7" t="s">
        <v>3826</v>
      </c>
      <c r="D1034" s="7" t="s">
        <v>1199</v>
      </c>
      <c r="E1034" s="7" t="s">
        <v>16</v>
      </c>
      <c r="F1034" s="7" t="s">
        <v>16</v>
      </c>
      <c r="G1034" s="7" t="s">
        <v>19</v>
      </c>
      <c r="H1034" s="7" t="s">
        <v>4357</v>
      </c>
      <c r="I1034" s="7" t="s">
        <v>4358</v>
      </c>
      <c r="J1034" s="7" t="s">
        <v>16</v>
      </c>
      <c r="K1034" s="7" t="s">
        <v>16</v>
      </c>
      <c r="L1034" s="7" t="s">
        <v>16</v>
      </c>
      <c r="M1034" s="5" t="s">
        <v>22</v>
      </c>
      <c r="N1034" s="5" t="s">
        <v>4359</v>
      </c>
      <c r="O1034" s="5"/>
      <c r="P1034" s="5"/>
      <c r="Q1034" s="5"/>
      <c r="R1034" s="5"/>
      <c r="S1034" s="5"/>
      <c r="T1034" s="5"/>
      <c r="U1034" s="5"/>
      <c r="V1034" s="5"/>
      <c r="W1034" s="5"/>
      <c r="X1034" s="5"/>
      <c r="Y1034" s="5"/>
      <c r="Z1034" s="5"/>
    </row>
    <row r="1035">
      <c r="A1035" s="35" t="s">
        <v>4360</v>
      </c>
      <c r="B1035" s="5" t="s">
        <v>1096</v>
      </c>
      <c r="C1035" s="7" t="s">
        <v>4320</v>
      </c>
      <c r="D1035" s="7" t="s">
        <v>2913</v>
      </c>
      <c r="E1035" s="7" t="s">
        <v>16</v>
      </c>
      <c r="F1035" s="7" t="s">
        <v>16</v>
      </c>
      <c r="G1035" s="7" t="s">
        <v>19</v>
      </c>
      <c r="H1035" s="7" t="s">
        <v>4361</v>
      </c>
      <c r="I1035" s="7" t="s">
        <v>4362</v>
      </c>
      <c r="J1035" s="7" t="s">
        <v>16</v>
      </c>
      <c r="K1035" s="7" t="s">
        <v>16</v>
      </c>
      <c r="L1035" s="7" t="s">
        <v>16</v>
      </c>
      <c r="M1035" s="5" t="s">
        <v>22</v>
      </c>
      <c r="N1035" s="5" t="s">
        <v>4363</v>
      </c>
      <c r="O1035" s="5"/>
      <c r="P1035" s="5"/>
      <c r="Q1035" s="5"/>
      <c r="R1035" s="5"/>
      <c r="S1035" s="5"/>
      <c r="T1035" s="5"/>
      <c r="U1035" s="5"/>
      <c r="V1035" s="5"/>
      <c r="W1035" s="5"/>
      <c r="X1035" s="5"/>
      <c r="Y1035" s="5"/>
      <c r="Z1035" s="5"/>
    </row>
    <row r="1036">
      <c r="A1036" s="34" t="s">
        <v>4364</v>
      </c>
      <c r="B1036" s="5" t="s">
        <v>1096</v>
      </c>
      <c r="C1036" s="7" t="s">
        <v>3826</v>
      </c>
      <c r="D1036" s="7" t="s">
        <v>1199</v>
      </c>
      <c r="E1036" s="7" t="s">
        <v>16</v>
      </c>
      <c r="F1036" s="7" t="s">
        <v>16</v>
      </c>
      <c r="G1036" s="5" t="s">
        <v>19</v>
      </c>
      <c r="H1036" s="7" t="s">
        <v>4365</v>
      </c>
      <c r="I1036" s="7" t="s">
        <v>4366</v>
      </c>
      <c r="J1036" s="7" t="s">
        <v>16</v>
      </c>
      <c r="K1036" s="7" t="s">
        <v>16</v>
      </c>
      <c r="L1036" s="7" t="s">
        <v>16</v>
      </c>
      <c r="M1036" s="5" t="s">
        <v>36</v>
      </c>
      <c r="N1036" s="5" t="s">
        <v>4367</v>
      </c>
      <c r="O1036" s="5"/>
      <c r="P1036" s="5"/>
      <c r="Q1036" s="5"/>
      <c r="R1036" s="5"/>
      <c r="S1036" s="5"/>
      <c r="T1036" s="5"/>
      <c r="U1036" s="5"/>
      <c r="V1036" s="5"/>
      <c r="W1036" s="5"/>
      <c r="X1036" s="5"/>
      <c r="Y1036" s="5"/>
      <c r="Z1036" s="5"/>
    </row>
    <row r="1037">
      <c r="A1037" s="34" t="s">
        <v>4368</v>
      </c>
      <c r="B1037" s="5" t="s">
        <v>1096</v>
      </c>
      <c r="C1037" s="7" t="s">
        <v>1431</v>
      </c>
      <c r="D1037" s="7" t="s">
        <v>85</v>
      </c>
      <c r="E1037" s="7" t="s">
        <v>16</v>
      </c>
      <c r="F1037" s="7" t="s">
        <v>16</v>
      </c>
      <c r="G1037" s="7" t="s">
        <v>19</v>
      </c>
      <c r="H1037" s="7" t="s">
        <v>4369</v>
      </c>
      <c r="I1037" s="7" t="s">
        <v>4370</v>
      </c>
      <c r="J1037" s="7" t="s">
        <v>16</v>
      </c>
      <c r="K1037" s="7" t="s">
        <v>16</v>
      </c>
      <c r="L1037" s="7" t="s">
        <v>16</v>
      </c>
      <c r="M1037" s="5" t="s">
        <v>22</v>
      </c>
      <c r="N1037" s="5" t="s">
        <v>4371</v>
      </c>
      <c r="O1037" s="5"/>
      <c r="P1037" s="5"/>
      <c r="Q1037" s="5"/>
      <c r="R1037" s="5"/>
      <c r="S1037" s="5"/>
      <c r="T1037" s="5"/>
      <c r="U1037" s="5"/>
      <c r="V1037" s="5"/>
      <c r="W1037" s="5"/>
      <c r="X1037" s="5"/>
      <c r="Y1037" s="5"/>
      <c r="Z1037" s="5"/>
    </row>
    <row r="1038">
      <c r="A1038" s="34" t="s">
        <v>4372</v>
      </c>
      <c r="B1038" s="5" t="s">
        <v>1096</v>
      </c>
      <c r="C1038" s="7" t="s">
        <v>4263</v>
      </c>
      <c r="D1038" s="7" t="s">
        <v>3092</v>
      </c>
      <c r="E1038" s="7" t="s">
        <v>16</v>
      </c>
      <c r="F1038" s="7" t="s">
        <v>16</v>
      </c>
      <c r="G1038" s="5" t="s">
        <v>461</v>
      </c>
      <c r="H1038" s="7" t="s">
        <v>4373</v>
      </c>
      <c r="I1038" s="7" t="s">
        <v>4374</v>
      </c>
      <c r="J1038" s="7" t="s">
        <v>16</v>
      </c>
      <c r="K1038" s="7" t="s">
        <v>16</v>
      </c>
      <c r="L1038" s="7" t="s">
        <v>16</v>
      </c>
      <c r="M1038" s="5" t="s">
        <v>75</v>
      </c>
      <c r="N1038" s="5" t="s">
        <v>4375</v>
      </c>
      <c r="O1038" s="5"/>
      <c r="P1038" s="5"/>
      <c r="Q1038" s="5"/>
      <c r="R1038" s="5"/>
      <c r="S1038" s="5"/>
      <c r="T1038" s="5"/>
      <c r="U1038" s="5"/>
      <c r="V1038" s="5"/>
      <c r="W1038" s="5"/>
      <c r="X1038" s="5"/>
      <c r="Y1038" s="5"/>
      <c r="Z1038" s="5"/>
    </row>
    <row r="1039">
      <c r="A1039" s="34" t="s">
        <v>4376</v>
      </c>
      <c r="B1039" s="5" t="s">
        <v>1096</v>
      </c>
      <c r="C1039" s="7" t="s">
        <v>4333</v>
      </c>
      <c r="D1039" s="7" t="s">
        <v>3069</v>
      </c>
      <c r="E1039" s="7" t="s">
        <v>16</v>
      </c>
      <c r="F1039" s="7" t="s">
        <v>16</v>
      </c>
      <c r="G1039" s="5" t="s">
        <v>19</v>
      </c>
      <c r="H1039" s="7" t="s">
        <v>4377</v>
      </c>
      <c r="I1039" s="7" t="s">
        <v>4378</v>
      </c>
      <c r="J1039" s="7" t="s">
        <v>16</v>
      </c>
      <c r="K1039" s="7" t="s">
        <v>16</v>
      </c>
      <c r="L1039" s="7" t="s">
        <v>16</v>
      </c>
      <c r="M1039" s="5" t="s">
        <v>22</v>
      </c>
      <c r="N1039" s="5" t="s">
        <v>4379</v>
      </c>
      <c r="O1039" s="5"/>
      <c r="P1039" s="5"/>
      <c r="Q1039" s="5"/>
      <c r="R1039" s="5"/>
      <c r="S1039" s="5"/>
      <c r="T1039" s="5"/>
      <c r="U1039" s="5"/>
      <c r="V1039" s="5"/>
      <c r="W1039" s="5"/>
      <c r="X1039" s="5"/>
      <c r="Y1039" s="5"/>
      <c r="Z1039" s="5"/>
    </row>
    <row r="1040">
      <c r="A1040" s="34" t="s">
        <v>4380</v>
      </c>
      <c r="B1040" s="5" t="s">
        <v>1096</v>
      </c>
      <c r="C1040" s="7" t="s">
        <v>4381</v>
      </c>
      <c r="D1040" s="7" t="s">
        <v>3485</v>
      </c>
      <c r="E1040" s="7" t="s">
        <v>16</v>
      </c>
      <c r="F1040" s="7" t="s">
        <v>16</v>
      </c>
      <c r="G1040" s="5" t="s">
        <v>19</v>
      </c>
      <c r="H1040" s="7" t="s">
        <v>4382</v>
      </c>
      <c r="I1040" s="7" t="s">
        <v>1105</v>
      </c>
      <c r="J1040" s="7" t="s">
        <v>16</v>
      </c>
      <c r="K1040" s="7" t="s">
        <v>16</v>
      </c>
      <c r="L1040" s="7" t="s">
        <v>16</v>
      </c>
      <c r="M1040" s="5" t="s">
        <v>22</v>
      </c>
      <c r="N1040" s="5" t="s">
        <v>4383</v>
      </c>
      <c r="O1040" s="5"/>
      <c r="P1040" s="5"/>
      <c r="Q1040" s="5"/>
      <c r="R1040" s="5"/>
      <c r="S1040" s="5"/>
      <c r="T1040" s="5"/>
      <c r="U1040" s="5"/>
      <c r="V1040" s="5"/>
      <c r="W1040" s="5"/>
      <c r="X1040" s="5"/>
      <c r="Y1040" s="5"/>
      <c r="Z1040" s="5"/>
    </row>
    <row r="1041">
      <c r="A1041" s="34" t="s">
        <v>4384</v>
      </c>
      <c r="B1041" s="5" t="s">
        <v>1096</v>
      </c>
      <c r="C1041" s="7" t="s">
        <v>4254</v>
      </c>
      <c r="D1041" s="7" t="s">
        <v>3084</v>
      </c>
      <c r="E1041" s="7" t="s">
        <v>16</v>
      </c>
      <c r="F1041" s="7" t="s">
        <v>16</v>
      </c>
      <c r="G1041" s="7" t="s">
        <v>19</v>
      </c>
      <c r="H1041" s="7" t="s">
        <v>4385</v>
      </c>
      <c r="I1041" s="7" t="s">
        <v>4386</v>
      </c>
      <c r="J1041" s="7" t="s">
        <v>16</v>
      </c>
      <c r="K1041" s="7" t="s">
        <v>16</v>
      </c>
      <c r="L1041" s="7" t="s">
        <v>16</v>
      </c>
      <c r="M1041" s="5" t="s">
        <v>22</v>
      </c>
      <c r="N1041" s="5" t="s">
        <v>4387</v>
      </c>
      <c r="O1041" s="5"/>
      <c r="P1041" s="5"/>
      <c r="Q1041" s="5"/>
      <c r="R1041" s="5"/>
      <c r="S1041" s="5"/>
      <c r="T1041" s="5"/>
      <c r="U1041" s="5"/>
      <c r="V1041" s="5"/>
      <c r="W1041" s="5"/>
      <c r="X1041" s="5"/>
      <c r="Y1041" s="5"/>
      <c r="Z1041" s="5"/>
    </row>
    <row r="1042">
      <c r="A1042" s="6" t="s">
        <v>4388</v>
      </c>
      <c r="B1042" s="5" t="s">
        <v>1067</v>
      </c>
      <c r="C1042" s="7" t="s">
        <v>1068</v>
      </c>
      <c r="D1042" s="7" t="s">
        <v>1068</v>
      </c>
      <c r="E1042" s="7" t="s">
        <v>16</v>
      </c>
      <c r="F1042" s="7" t="s">
        <v>16</v>
      </c>
      <c r="G1042" s="5" t="s">
        <v>19</v>
      </c>
      <c r="H1042" s="7" t="s">
        <v>4389</v>
      </c>
      <c r="I1042" s="7" t="s">
        <v>4390</v>
      </c>
      <c r="J1042" s="8">
        <v>4500.0</v>
      </c>
      <c r="K1042" s="7" t="s">
        <v>16</v>
      </c>
      <c r="L1042" s="7" t="s">
        <v>4391</v>
      </c>
      <c r="M1042" s="5" t="s">
        <v>75</v>
      </c>
      <c r="N1042" s="5" t="s">
        <v>4392</v>
      </c>
      <c r="O1042" s="5"/>
      <c r="P1042" s="5"/>
      <c r="Q1042" s="5"/>
      <c r="R1042" s="5"/>
      <c r="S1042" s="5"/>
      <c r="T1042" s="5"/>
      <c r="U1042" s="5"/>
      <c r="V1042" s="5"/>
      <c r="W1042" s="5"/>
      <c r="X1042" s="5"/>
      <c r="Y1042" s="5"/>
      <c r="Z1042" s="5"/>
    </row>
    <row r="1043">
      <c r="A1043" s="6" t="s">
        <v>4393</v>
      </c>
      <c r="B1043" s="5" t="s">
        <v>1067</v>
      </c>
      <c r="C1043" s="7" t="s">
        <v>1068</v>
      </c>
      <c r="D1043" s="7" t="s">
        <v>1068</v>
      </c>
      <c r="E1043" s="7" t="s">
        <v>16</v>
      </c>
      <c r="F1043" s="7" t="s">
        <v>16</v>
      </c>
      <c r="G1043" s="7" t="s">
        <v>19</v>
      </c>
      <c r="H1043" s="7" t="s">
        <v>4394</v>
      </c>
      <c r="I1043" s="7" t="s">
        <v>4395</v>
      </c>
      <c r="J1043" s="8">
        <v>4000.0</v>
      </c>
      <c r="K1043" s="7" t="s">
        <v>16</v>
      </c>
      <c r="L1043" s="7" t="s">
        <v>4391</v>
      </c>
      <c r="M1043" s="5" t="s">
        <v>75</v>
      </c>
      <c r="N1043" s="5" t="s">
        <v>4396</v>
      </c>
      <c r="O1043" s="5"/>
      <c r="P1043" s="5"/>
      <c r="Q1043" s="5"/>
      <c r="R1043" s="5"/>
      <c r="S1043" s="5"/>
      <c r="T1043" s="5"/>
      <c r="U1043" s="5"/>
      <c r="V1043" s="5"/>
      <c r="W1043" s="5"/>
      <c r="X1043" s="5"/>
      <c r="Y1043" s="5"/>
      <c r="Z1043" s="5"/>
    </row>
    <row r="1044">
      <c r="A1044" s="6" t="s">
        <v>4397</v>
      </c>
      <c r="B1044" s="5" t="s">
        <v>1067</v>
      </c>
      <c r="C1044" s="7" t="s">
        <v>85</v>
      </c>
      <c r="D1044" s="7" t="s">
        <v>85</v>
      </c>
      <c r="E1044" s="7" t="s">
        <v>16</v>
      </c>
      <c r="F1044" s="7" t="s">
        <v>16</v>
      </c>
      <c r="G1044" s="7" t="s">
        <v>19</v>
      </c>
      <c r="H1044" s="7" t="s">
        <v>4398</v>
      </c>
      <c r="I1044" s="7" t="s">
        <v>4399</v>
      </c>
      <c r="J1044" s="8">
        <v>1000.0</v>
      </c>
      <c r="K1044" s="7" t="s">
        <v>16</v>
      </c>
      <c r="L1044" s="7" t="s">
        <v>4391</v>
      </c>
      <c r="M1044" s="5" t="s">
        <v>75</v>
      </c>
      <c r="N1044" s="5" t="s">
        <v>4400</v>
      </c>
      <c r="O1044" s="5"/>
      <c r="P1044" s="5"/>
      <c r="Q1044" s="5"/>
      <c r="R1044" s="5"/>
      <c r="S1044" s="5"/>
      <c r="T1044" s="5"/>
      <c r="U1044" s="5"/>
      <c r="V1044" s="5"/>
      <c r="W1044" s="5"/>
      <c r="X1044" s="5"/>
      <c r="Y1044" s="5"/>
      <c r="Z1044" s="5"/>
    </row>
    <row r="1045">
      <c r="A1045" s="6" t="s">
        <v>4401</v>
      </c>
      <c r="B1045" s="5" t="s">
        <v>1067</v>
      </c>
      <c r="C1045" s="7" t="s">
        <v>1068</v>
      </c>
      <c r="D1045" s="7" t="s">
        <v>1068</v>
      </c>
      <c r="E1045" s="7" t="s">
        <v>16</v>
      </c>
      <c r="F1045" s="7" t="s">
        <v>16</v>
      </c>
      <c r="G1045" s="7" t="s">
        <v>19</v>
      </c>
      <c r="H1045" s="7" t="s">
        <v>4402</v>
      </c>
      <c r="I1045" s="7" t="s">
        <v>4403</v>
      </c>
      <c r="J1045" s="8">
        <v>4000.0</v>
      </c>
      <c r="K1045" s="7" t="s">
        <v>16</v>
      </c>
      <c r="L1045" s="7" t="s">
        <v>4391</v>
      </c>
      <c r="M1045" s="5" t="s">
        <v>75</v>
      </c>
      <c r="N1045" s="5" t="s">
        <v>4392</v>
      </c>
      <c r="O1045" s="5"/>
      <c r="P1045" s="5"/>
      <c r="Q1045" s="5"/>
      <c r="R1045" s="5"/>
      <c r="S1045" s="5"/>
      <c r="T1045" s="5"/>
      <c r="U1045" s="5"/>
      <c r="V1045" s="5"/>
      <c r="W1045" s="5"/>
      <c r="X1045" s="5"/>
      <c r="Y1045" s="5"/>
      <c r="Z1045" s="5"/>
    </row>
    <row r="1046">
      <c r="A1046" s="6" t="s">
        <v>4404</v>
      </c>
      <c r="B1046" s="5" t="s">
        <v>14</v>
      </c>
      <c r="C1046" s="7" t="s">
        <v>4405</v>
      </c>
      <c r="D1046" s="7" t="s">
        <v>16</v>
      </c>
      <c r="E1046" s="8">
        <v>0.0</v>
      </c>
      <c r="F1046" s="7" t="s">
        <v>17</v>
      </c>
      <c r="G1046" s="7" t="s">
        <v>19</v>
      </c>
      <c r="H1046" s="7" t="s">
        <v>16</v>
      </c>
      <c r="I1046" s="7" t="s">
        <v>4406</v>
      </c>
      <c r="J1046" s="7" t="s">
        <v>16</v>
      </c>
      <c r="K1046" s="7" t="s">
        <v>16</v>
      </c>
      <c r="L1046" s="7" t="s">
        <v>4391</v>
      </c>
      <c r="M1046" s="5" t="s">
        <v>75</v>
      </c>
      <c r="N1046" s="5" t="s">
        <v>4407</v>
      </c>
      <c r="O1046" s="5"/>
      <c r="P1046" s="5"/>
      <c r="Q1046" s="5"/>
      <c r="R1046" s="5"/>
      <c r="S1046" s="5"/>
      <c r="T1046" s="5"/>
      <c r="U1046" s="5"/>
      <c r="V1046" s="5"/>
      <c r="W1046" s="5"/>
      <c r="X1046" s="5"/>
      <c r="Y1046" s="5"/>
      <c r="Z1046" s="5"/>
    </row>
    <row r="1047">
      <c r="A1047" s="6" t="s">
        <v>4408</v>
      </c>
      <c r="B1047" s="5" t="s">
        <v>1128</v>
      </c>
      <c r="C1047" s="7" t="s">
        <v>4409</v>
      </c>
      <c r="D1047" s="7" t="s">
        <v>1289</v>
      </c>
      <c r="E1047" s="8">
        <v>2.0</v>
      </c>
      <c r="F1047" s="7" t="s">
        <v>17</v>
      </c>
      <c r="G1047" s="7" t="s">
        <v>461</v>
      </c>
      <c r="H1047" s="7" t="s">
        <v>16</v>
      </c>
      <c r="I1047" s="7" t="s">
        <v>4410</v>
      </c>
      <c r="J1047" s="7" t="s">
        <v>1266</v>
      </c>
      <c r="K1047" s="7" t="s">
        <v>16</v>
      </c>
      <c r="L1047" s="7" t="s">
        <v>4391</v>
      </c>
      <c r="M1047" s="5" t="s">
        <v>75</v>
      </c>
      <c r="N1047" s="5" t="s">
        <v>4411</v>
      </c>
      <c r="O1047" s="5"/>
      <c r="P1047" s="5"/>
      <c r="Q1047" s="5"/>
      <c r="R1047" s="5"/>
      <c r="S1047" s="5"/>
      <c r="T1047" s="5"/>
      <c r="U1047" s="5"/>
      <c r="V1047" s="5"/>
      <c r="W1047" s="5"/>
      <c r="X1047" s="5"/>
      <c r="Y1047" s="5"/>
      <c r="Z1047" s="5"/>
    </row>
    <row r="1048">
      <c r="A1048" s="6" t="s">
        <v>4412</v>
      </c>
      <c r="B1048" s="5" t="s">
        <v>14</v>
      </c>
      <c r="C1048" s="7" t="s">
        <v>59</v>
      </c>
      <c r="D1048" s="7" t="s">
        <v>16</v>
      </c>
      <c r="E1048" s="8">
        <v>2.0</v>
      </c>
      <c r="F1048" s="7" t="s">
        <v>17</v>
      </c>
      <c r="G1048" s="7" t="s">
        <v>19</v>
      </c>
      <c r="H1048" s="7" t="s">
        <v>16</v>
      </c>
      <c r="I1048" s="7" t="s">
        <v>4413</v>
      </c>
      <c r="J1048" s="7" t="s">
        <v>16</v>
      </c>
      <c r="K1048" s="7" t="s">
        <v>16</v>
      </c>
      <c r="L1048" s="7" t="s">
        <v>4391</v>
      </c>
      <c r="M1048" s="5" t="s">
        <v>75</v>
      </c>
      <c r="N1048" s="5" t="s">
        <v>4414</v>
      </c>
      <c r="O1048" s="5"/>
      <c r="P1048" s="5"/>
      <c r="Q1048" s="5"/>
      <c r="R1048" s="5"/>
      <c r="S1048" s="5"/>
      <c r="T1048" s="5"/>
      <c r="U1048" s="5"/>
      <c r="V1048" s="5"/>
      <c r="W1048" s="5"/>
      <c r="X1048" s="5"/>
      <c r="Y1048" s="5"/>
      <c r="Z1048" s="5"/>
    </row>
    <row r="1049">
      <c r="A1049" s="6" t="s">
        <v>4415</v>
      </c>
      <c r="B1049" s="5" t="s">
        <v>1067</v>
      </c>
      <c r="C1049" s="7" t="s">
        <v>411</v>
      </c>
      <c r="D1049" s="7" t="s">
        <v>411</v>
      </c>
      <c r="E1049" s="7" t="s">
        <v>16</v>
      </c>
      <c r="F1049" s="7" t="s">
        <v>16</v>
      </c>
      <c r="G1049" s="7" t="s">
        <v>19</v>
      </c>
      <c r="H1049" s="7" t="s">
        <v>4416</v>
      </c>
      <c r="I1049" s="7" t="s">
        <v>4417</v>
      </c>
      <c r="J1049" s="8">
        <v>3000.0</v>
      </c>
      <c r="K1049" s="7" t="s">
        <v>16</v>
      </c>
      <c r="L1049" s="7" t="s">
        <v>4391</v>
      </c>
      <c r="M1049" s="5" t="s">
        <v>75</v>
      </c>
      <c r="N1049" s="5" t="s">
        <v>4418</v>
      </c>
      <c r="O1049" s="5"/>
      <c r="P1049" s="5"/>
      <c r="Q1049" s="5"/>
      <c r="R1049" s="5"/>
      <c r="S1049" s="5"/>
      <c r="T1049" s="5"/>
      <c r="U1049" s="5"/>
      <c r="V1049" s="5"/>
      <c r="W1049" s="5"/>
      <c r="X1049" s="5"/>
      <c r="Y1049" s="5"/>
      <c r="Z1049" s="5"/>
    </row>
    <row r="1050">
      <c r="A1050" s="6" t="s">
        <v>4419</v>
      </c>
      <c r="B1050" s="5" t="s">
        <v>1128</v>
      </c>
      <c r="C1050" s="7" t="s">
        <v>1446</v>
      </c>
      <c r="D1050" s="7" t="s">
        <v>1068</v>
      </c>
      <c r="E1050" s="8">
        <v>3.0</v>
      </c>
      <c r="F1050" s="7" t="s">
        <v>105</v>
      </c>
      <c r="G1050" s="7" t="s">
        <v>461</v>
      </c>
      <c r="H1050" s="7" t="s">
        <v>16</v>
      </c>
      <c r="I1050" s="7" t="s">
        <v>4420</v>
      </c>
      <c r="J1050" s="7" t="s">
        <v>1266</v>
      </c>
      <c r="K1050" s="7" t="s">
        <v>16</v>
      </c>
      <c r="L1050" s="7" t="s">
        <v>4391</v>
      </c>
      <c r="M1050" s="5" t="s">
        <v>75</v>
      </c>
      <c r="N1050" s="5" t="s">
        <v>4421</v>
      </c>
      <c r="O1050" s="5"/>
      <c r="P1050" s="5"/>
      <c r="Q1050" s="5"/>
      <c r="R1050" s="5"/>
      <c r="S1050" s="5"/>
      <c r="T1050" s="5"/>
      <c r="U1050" s="5"/>
      <c r="V1050" s="5"/>
      <c r="W1050" s="5"/>
      <c r="X1050" s="5"/>
      <c r="Y1050" s="5"/>
      <c r="Z1050" s="5"/>
    </row>
    <row r="1051">
      <c r="A1051" s="6" t="s">
        <v>4422</v>
      </c>
      <c r="B1051" s="5" t="s">
        <v>1128</v>
      </c>
      <c r="C1051" s="7" t="s">
        <v>1446</v>
      </c>
      <c r="D1051" s="7" t="s">
        <v>1068</v>
      </c>
      <c r="E1051" s="8">
        <v>3.0</v>
      </c>
      <c r="F1051" s="7" t="s">
        <v>105</v>
      </c>
      <c r="G1051" s="5" t="s">
        <v>461</v>
      </c>
      <c r="H1051" s="7" t="s">
        <v>16</v>
      </c>
      <c r="I1051" s="7" t="s">
        <v>4423</v>
      </c>
      <c r="J1051" s="7" t="s">
        <v>1266</v>
      </c>
      <c r="K1051" s="7" t="s">
        <v>16</v>
      </c>
      <c r="L1051" s="7" t="s">
        <v>4391</v>
      </c>
      <c r="M1051" s="5" t="s">
        <v>75</v>
      </c>
      <c r="N1051" s="5" t="s">
        <v>4421</v>
      </c>
      <c r="O1051" s="5"/>
      <c r="P1051" s="5"/>
      <c r="Q1051" s="5"/>
      <c r="R1051" s="5"/>
      <c r="S1051" s="5"/>
      <c r="T1051" s="5"/>
      <c r="U1051" s="5"/>
      <c r="V1051" s="5"/>
      <c r="W1051" s="5"/>
      <c r="X1051" s="5"/>
      <c r="Y1051" s="5"/>
      <c r="Z1051" s="5"/>
    </row>
    <row r="1052">
      <c r="A1052" s="6" t="s">
        <v>4424</v>
      </c>
      <c r="B1052" s="5" t="s">
        <v>14</v>
      </c>
      <c r="C1052" s="7" t="s">
        <v>4425</v>
      </c>
      <c r="D1052" s="7" t="s">
        <v>16</v>
      </c>
      <c r="E1052" s="8">
        <v>0.0</v>
      </c>
      <c r="F1052" s="7" t="s">
        <v>17</v>
      </c>
      <c r="G1052" s="7" t="s">
        <v>19</v>
      </c>
      <c r="H1052" s="7" t="s">
        <v>16</v>
      </c>
      <c r="I1052" s="7" t="s">
        <v>4426</v>
      </c>
      <c r="J1052" s="7" t="s">
        <v>16</v>
      </c>
      <c r="K1052" s="7" t="s">
        <v>16</v>
      </c>
      <c r="L1052" s="7" t="s">
        <v>4391</v>
      </c>
      <c r="M1052" s="5" t="s">
        <v>75</v>
      </c>
      <c r="N1052" s="5" t="s">
        <v>16</v>
      </c>
      <c r="O1052" s="5"/>
      <c r="P1052" s="5"/>
      <c r="Q1052" s="5"/>
      <c r="R1052" s="5"/>
      <c r="S1052" s="5"/>
      <c r="T1052" s="5"/>
      <c r="U1052" s="5"/>
      <c r="V1052" s="5"/>
      <c r="W1052" s="5"/>
      <c r="X1052" s="5"/>
      <c r="Y1052" s="5"/>
      <c r="Z1052" s="5"/>
    </row>
    <row r="1053">
      <c r="A1053" s="6" t="s">
        <v>4427</v>
      </c>
      <c r="B1053" s="5" t="s">
        <v>14</v>
      </c>
      <c r="C1053" s="7" t="s">
        <v>4425</v>
      </c>
      <c r="D1053" s="7" t="s">
        <v>16</v>
      </c>
      <c r="E1053" s="8">
        <v>0.0</v>
      </c>
      <c r="F1053" s="7" t="s">
        <v>17</v>
      </c>
      <c r="G1053" s="7" t="s">
        <v>19</v>
      </c>
      <c r="H1053" s="7" t="s">
        <v>16</v>
      </c>
      <c r="I1053" s="7" t="s">
        <v>4428</v>
      </c>
      <c r="J1053" s="7" t="s">
        <v>16</v>
      </c>
      <c r="K1053" s="7" t="s">
        <v>16</v>
      </c>
      <c r="L1053" s="7" t="s">
        <v>4391</v>
      </c>
      <c r="M1053" s="5" t="s">
        <v>75</v>
      </c>
      <c r="N1053" s="5" t="s">
        <v>16</v>
      </c>
      <c r="O1053" s="5"/>
      <c r="P1053" s="5"/>
      <c r="Q1053" s="5"/>
      <c r="R1053" s="5"/>
      <c r="S1053" s="5"/>
      <c r="T1053" s="5"/>
      <c r="U1053" s="5"/>
      <c r="V1053" s="5"/>
      <c r="W1053" s="5"/>
      <c r="X1053" s="5"/>
      <c r="Y1053" s="5"/>
      <c r="Z1053" s="5"/>
    </row>
    <row r="1054">
      <c r="A1054" s="6" t="s">
        <v>4429</v>
      </c>
      <c r="B1054" s="5" t="s">
        <v>1067</v>
      </c>
      <c r="C1054" s="7" t="s">
        <v>1068</v>
      </c>
      <c r="D1054" s="7" t="s">
        <v>1068</v>
      </c>
      <c r="E1054" s="7" t="s">
        <v>16</v>
      </c>
      <c r="F1054" s="7" t="s">
        <v>16</v>
      </c>
      <c r="G1054" s="7" t="s">
        <v>19</v>
      </c>
      <c r="H1054" s="7" t="s">
        <v>4430</v>
      </c>
      <c r="I1054" s="7" t="s">
        <v>4431</v>
      </c>
      <c r="J1054" s="8">
        <v>4000.0</v>
      </c>
      <c r="K1054" s="7" t="s">
        <v>16</v>
      </c>
      <c r="L1054" s="7" t="s">
        <v>4391</v>
      </c>
      <c r="M1054" s="5" t="s">
        <v>75</v>
      </c>
      <c r="N1054" s="5" t="s">
        <v>4432</v>
      </c>
      <c r="O1054" s="5"/>
      <c r="P1054" s="5"/>
      <c r="Q1054" s="5"/>
      <c r="R1054" s="5"/>
      <c r="S1054" s="5"/>
      <c r="T1054" s="5"/>
      <c r="U1054" s="5"/>
      <c r="V1054" s="5"/>
      <c r="W1054" s="5"/>
      <c r="X1054" s="5"/>
      <c r="Y1054" s="5"/>
      <c r="Z1054" s="5"/>
    </row>
    <row r="1055">
      <c r="A1055" s="6" t="s">
        <v>4433</v>
      </c>
      <c r="B1055" s="5" t="s">
        <v>1067</v>
      </c>
      <c r="C1055" s="7" t="s">
        <v>2217</v>
      </c>
      <c r="D1055" s="7" t="s">
        <v>2217</v>
      </c>
      <c r="E1055" s="7" t="s">
        <v>16</v>
      </c>
      <c r="F1055" s="7" t="s">
        <v>16</v>
      </c>
      <c r="G1055" s="7" t="s">
        <v>19</v>
      </c>
      <c r="H1055" s="7" t="s">
        <v>4434</v>
      </c>
      <c r="I1055" s="7" t="s">
        <v>4435</v>
      </c>
      <c r="J1055" s="8">
        <v>7000.0</v>
      </c>
      <c r="K1055" s="7" t="s">
        <v>16</v>
      </c>
      <c r="L1055" s="7" t="s">
        <v>16</v>
      </c>
      <c r="M1055" s="5" t="s">
        <v>75</v>
      </c>
      <c r="N1055" s="5" t="s">
        <v>4436</v>
      </c>
      <c r="O1055" s="5"/>
      <c r="P1055" s="5"/>
      <c r="Q1055" s="5"/>
      <c r="R1055" s="5"/>
      <c r="S1055" s="5"/>
      <c r="T1055" s="5"/>
      <c r="U1055" s="5"/>
      <c r="V1055" s="5"/>
      <c r="W1055" s="5"/>
      <c r="X1055" s="5"/>
      <c r="Y1055" s="5"/>
      <c r="Z1055" s="5"/>
    </row>
    <row r="1056">
      <c r="A1056" s="6" t="s">
        <v>4437</v>
      </c>
      <c r="B1056" s="5" t="s">
        <v>14</v>
      </c>
      <c r="C1056" s="7" t="s">
        <v>4438</v>
      </c>
      <c r="D1056" s="7" t="s">
        <v>16</v>
      </c>
      <c r="E1056" s="8">
        <v>1.0</v>
      </c>
      <c r="F1056" s="7" t="s">
        <v>17</v>
      </c>
      <c r="G1056" s="5" t="s">
        <v>19</v>
      </c>
      <c r="H1056" s="7" t="s">
        <v>16</v>
      </c>
      <c r="I1056" s="7" t="s">
        <v>4439</v>
      </c>
      <c r="J1056" s="7" t="s">
        <v>16</v>
      </c>
      <c r="K1056" s="7" t="s">
        <v>16</v>
      </c>
      <c r="L1056" s="7" t="s">
        <v>16</v>
      </c>
      <c r="M1056" s="5" t="s">
        <v>75</v>
      </c>
      <c r="N1056" s="5" t="s">
        <v>4440</v>
      </c>
      <c r="O1056" s="5"/>
      <c r="P1056" s="5"/>
      <c r="Q1056" s="5"/>
      <c r="R1056" s="5"/>
      <c r="S1056" s="5"/>
      <c r="T1056" s="5"/>
      <c r="U1056" s="5"/>
      <c r="V1056" s="5"/>
      <c r="W1056" s="5"/>
      <c r="X1056" s="5"/>
      <c r="Y1056" s="5"/>
      <c r="Z1056" s="5"/>
    </row>
    <row r="1057">
      <c r="A1057" s="6" t="s">
        <v>4441</v>
      </c>
      <c r="B1057" s="5" t="s">
        <v>14</v>
      </c>
      <c r="C1057" s="7" t="s">
        <v>4442</v>
      </c>
      <c r="D1057" s="7" t="s">
        <v>16</v>
      </c>
      <c r="E1057" s="8">
        <v>1.0</v>
      </c>
      <c r="F1057" s="7" t="s">
        <v>17</v>
      </c>
      <c r="G1057" s="7" t="s">
        <v>19</v>
      </c>
      <c r="H1057" s="7" t="s">
        <v>16</v>
      </c>
      <c r="I1057" s="7" t="s">
        <v>4443</v>
      </c>
      <c r="J1057" s="7" t="s">
        <v>16</v>
      </c>
      <c r="K1057" s="7" t="s">
        <v>16</v>
      </c>
      <c r="L1057" s="7" t="s">
        <v>16</v>
      </c>
      <c r="M1057" s="5" t="s">
        <v>75</v>
      </c>
      <c r="N1057" s="5" t="s">
        <v>16</v>
      </c>
      <c r="O1057" s="5"/>
      <c r="P1057" s="5"/>
      <c r="Q1057" s="5"/>
      <c r="R1057" s="5"/>
      <c r="S1057" s="5"/>
      <c r="T1057" s="5"/>
      <c r="U1057" s="5"/>
      <c r="V1057" s="5"/>
      <c r="W1057" s="5"/>
      <c r="X1057" s="5"/>
      <c r="Y1057" s="5"/>
      <c r="Z1057" s="5"/>
    </row>
    <row r="1058">
      <c r="A1058" s="6" t="s">
        <v>4444</v>
      </c>
      <c r="B1058" s="5" t="s">
        <v>1985</v>
      </c>
      <c r="C1058" s="7" t="s">
        <v>2968</v>
      </c>
      <c r="D1058" s="7" t="s">
        <v>2817</v>
      </c>
      <c r="E1058" s="7" t="s">
        <v>16</v>
      </c>
      <c r="F1058" s="7" t="s">
        <v>16</v>
      </c>
      <c r="G1058" s="7" t="s">
        <v>19</v>
      </c>
      <c r="H1058" s="7" t="s">
        <v>4445</v>
      </c>
      <c r="I1058" s="7" t="s">
        <v>4446</v>
      </c>
      <c r="J1058" s="8">
        <v>4000.0</v>
      </c>
      <c r="K1058" s="7" t="s">
        <v>16</v>
      </c>
      <c r="L1058" s="7" t="s">
        <v>16</v>
      </c>
      <c r="M1058" s="5" t="s">
        <v>75</v>
      </c>
      <c r="N1058" s="5" t="s">
        <v>4447</v>
      </c>
      <c r="O1058" s="5"/>
      <c r="P1058" s="5"/>
      <c r="Q1058" s="5"/>
      <c r="R1058" s="5"/>
      <c r="S1058" s="5"/>
      <c r="T1058" s="5"/>
      <c r="U1058" s="5"/>
      <c r="V1058" s="5"/>
      <c r="W1058" s="5"/>
      <c r="X1058" s="5"/>
      <c r="Y1058" s="5"/>
      <c r="Z1058" s="5"/>
    </row>
    <row r="1059">
      <c r="A1059" s="6" t="s">
        <v>4448</v>
      </c>
      <c r="B1059" s="5" t="s">
        <v>14</v>
      </c>
      <c r="C1059" s="7" t="s">
        <v>4449</v>
      </c>
      <c r="D1059" s="7" t="s">
        <v>16</v>
      </c>
      <c r="E1059" s="8">
        <v>0.0</v>
      </c>
      <c r="F1059" s="7" t="s">
        <v>17</v>
      </c>
      <c r="G1059" s="5" t="s">
        <v>19</v>
      </c>
      <c r="H1059" s="7" t="s">
        <v>16</v>
      </c>
      <c r="I1059" s="7" t="s">
        <v>4450</v>
      </c>
      <c r="J1059" s="7" t="s">
        <v>16</v>
      </c>
      <c r="K1059" s="7" t="s">
        <v>16</v>
      </c>
      <c r="L1059" s="7" t="s">
        <v>16</v>
      </c>
      <c r="M1059" s="5" t="s">
        <v>75</v>
      </c>
      <c r="N1059" s="5" t="s">
        <v>16</v>
      </c>
      <c r="O1059" s="5"/>
      <c r="P1059" s="5"/>
      <c r="Q1059" s="5"/>
      <c r="R1059" s="5"/>
      <c r="S1059" s="5"/>
      <c r="T1059" s="5"/>
      <c r="U1059" s="5"/>
      <c r="V1059" s="5"/>
      <c r="W1059" s="5"/>
      <c r="X1059" s="5"/>
      <c r="Y1059" s="5"/>
      <c r="Z1059" s="5"/>
    </row>
    <row r="1060">
      <c r="A1060" s="6" t="s">
        <v>4451</v>
      </c>
      <c r="B1060" s="5" t="s">
        <v>1067</v>
      </c>
      <c r="C1060" s="7" t="s">
        <v>1194</v>
      </c>
      <c r="D1060" s="7" t="s">
        <v>1194</v>
      </c>
      <c r="E1060" s="7" t="s">
        <v>16</v>
      </c>
      <c r="F1060" s="7" t="s">
        <v>16</v>
      </c>
      <c r="G1060" s="5" t="s">
        <v>19</v>
      </c>
      <c r="H1060" s="7" t="s">
        <v>4452</v>
      </c>
      <c r="I1060" s="7" t="s">
        <v>4453</v>
      </c>
      <c r="J1060" s="8">
        <v>5000.0</v>
      </c>
      <c r="K1060" s="7" t="s">
        <v>16</v>
      </c>
      <c r="L1060" s="7" t="s">
        <v>16</v>
      </c>
      <c r="M1060" s="5" t="s">
        <v>75</v>
      </c>
      <c r="N1060" s="5" t="s">
        <v>4454</v>
      </c>
      <c r="O1060" s="5"/>
      <c r="P1060" s="5"/>
      <c r="Q1060" s="5"/>
      <c r="R1060" s="5"/>
      <c r="S1060" s="5"/>
      <c r="T1060" s="5"/>
      <c r="U1060" s="5"/>
      <c r="V1060" s="5"/>
      <c r="W1060" s="5"/>
      <c r="X1060" s="5"/>
      <c r="Y1060" s="5"/>
      <c r="Z1060" s="5"/>
    </row>
    <row r="1061">
      <c r="A1061" s="6" t="s">
        <v>4455</v>
      </c>
      <c r="B1061" s="5" t="s">
        <v>1067</v>
      </c>
      <c r="C1061" s="7" t="s">
        <v>1183</v>
      </c>
      <c r="D1061" s="7" t="s">
        <v>1183</v>
      </c>
      <c r="E1061" s="7" t="s">
        <v>16</v>
      </c>
      <c r="F1061" s="7" t="s">
        <v>16</v>
      </c>
      <c r="G1061" s="5" t="s">
        <v>19</v>
      </c>
      <c r="H1061" s="7" t="s">
        <v>4456</v>
      </c>
      <c r="I1061" s="7" t="s">
        <v>4457</v>
      </c>
      <c r="J1061" s="8">
        <v>3000.0</v>
      </c>
      <c r="K1061" s="7" t="s">
        <v>16</v>
      </c>
      <c r="L1061" s="7" t="s">
        <v>4391</v>
      </c>
      <c r="M1061" s="5" t="s">
        <v>75</v>
      </c>
      <c r="N1061" s="5" t="s">
        <v>4458</v>
      </c>
      <c r="O1061" s="5"/>
      <c r="P1061" s="5"/>
      <c r="Q1061" s="5"/>
      <c r="R1061" s="5"/>
      <c r="S1061" s="5"/>
      <c r="T1061" s="5"/>
      <c r="U1061" s="5"/>
      <c r="V1061" s="5"/>
      <c r="W1061" s="5"/>
      <c r="X1061" s="5"/>
      <c r="Y1061" s="5"/>
      <c r="Z1061" s="5"/>
    </row>
    <row r="1062">
      <c r="A1062" s="6" t="s">
        <v>4459</v>
      </c>
      <c r="B1062" s="5" t="s">
        <v>14</v>
      </c>
      <c r="C1062" s="7" t="s">
        <v>4460</v>
      </c>
      <c r="D1062" s="7" t="s">
        <v>16</v>
      </c>
      <c r="E1062" s="8">
        <v>1.0</v>
      </c>
      <c r="F1062" s="7" t="s">
        <v>105</v>
      </c>
      <c r="G1062" s="5" t="s">
        <v>19</v>
      </c>
      <c r="H1062" s="7" t="s">
        <v>16</v>
      </c>
      <c r="I1062" s="7" t="s">
        <v>4461</v>
      </c>
      <c r="J1062" s="7" t="s">
        <v>16</v>
      </c>
      <c r="K1062" s="7" t="s">
        <v>16</v>
      </c>
      <c r="L1062" s="7" t="s">
        <v>16</v>
      </c>
      <c r="M1062" s="5" t="s">
        <v>75</v>
      </c>
      <c r="N1062" s="5" t="s">
        <v>4462</v>
      </c>
      <c r="O1062" s="5"/>
      <c r="P1062" s="5"/>
      <c r="Q1062" s="5"/>
      <c r="R1062" s="5"/>
      <c r="S1062" s="5"/>
      <c r="T1062" s="5"/>
      <c r="U1062" s="5"/>
      <c r="V1062" s="5"/>
      <c r="W1062" s="5"/>
      <c r="X1062" s="5"/>
      <c r="Y1062" s="5"/>
      <c r="Z1062" s="5"/>
    </row>
    <row r="1063">
      <c r="A1063" s="6" t="s">
        <v>4463</v>
      </c>
      <c r="B1063" s="5" t="s">
        <v>14</v>
      </c>
      <c r="C1063" s="7" t="s">
        <v>4464</v>
      </c>
      <c r="D1063" s="7" t="s">
        <v>16</v>
      </c>
      <c r="E1063" s="8">
        <v>1.0</v>
      </c>
      <c r="F1063" s="7" t="s">
        <v>17</v>
      </c>
      <c r="G1063" s="5" t="s">
        <v>19</v>
      </c>
      <c r="H1063" s="7" t="s">
        <v>16</v>
      </c>
      <c r="I1063" s="7" t="s">
        <v>4465</v>
      </c>
      <c r="J1063" s="7" t="s">
        <v>16</v>
      </c>
      <c r="K1063" s="7" t="s">
        <v>16</v>
      </c>
      <c r="L1063" s="7" t="s">
        <v>16</v>
      </c>
      <c r="M1063" s="5" t="s">
        <v>75</v>
      </c>
      <c r="N1063" s="5" t="s">
        <v>4466</v>
      </c>
      <c r="O1063" s="5"/>
      <c r="P1063" s="5"/>
      <c r="Q1063" s="5"/>
      <c r="R1063" s="5"/>
      <c r="S1063" s="5"/>
      <c r="T1063" s="5"/>
      <c r="U1063" s="5"/>
      <c r="V1063" s="5"/>
      <c r="W1063" s="5"/>
      <c r="X1063" s="5"/>
      <c r="Y1063" s="5"/>
      <c r="Z1063" s="5"/>
    </row>
    <row r="1064">
      <c r="A1064" s="6" t="s">
        <v>4467</v>
      </c>
      <c r="B1064" s="5" t="s">
        <v>14</v>
      </c>
      <c r="C1064" s="7" t="s">
        <v>4468</v>
      </c>
      <c r="D1064" s="7" t="s">
        <v>16</v>
      </c>
      <c r="E1064" s="8">
        <v>3.0</v>
      </c>
      <c r="F1064" s="7" t="s">
        <v>17</v>
      </c>
      <c r="G1064" s="5" t="s">
        <v>19</v>
      </c>
      <c r="H1064" s="7" t="s">
        <v>16</v>
      </c>
      <c r="I1064" s="7" t="s">
        <v>4469</v>
      </c>
      <c r="J1064" s="7" t="s">
        <v>16</v>
      </c>
      <c r="K1064" s="7" t="s">
        <v>16</v>
      </c>
      <c r="L1064" s="7" t="s">
        <v>16</v>
      </c>
      <c r="M1064" s="5" t="s">
        <v>75</v>
      </c>
      <c r="N1064" s="5" t="s">
        <v>4470</v>
      </c>
      <c r="O1064" s="5"/>
      <c r="P1064" s="5"/>
      <c r="Q1064" s="5"/>
      <c r="R1064" s="5"/>
      <c r="S1064" s="5"/>
      <c r="T1064" s="5"/>
      <c r="U1064" s="5"/>
      <c r="V1064" s="5"/>
      <c r="W1064" s="5"/>
      <c r="X1064" s="5"/>
      <c r="Y1064" s="5"/>
      <c r="Z1064" s="5"/>
    </row>
    <row r="1065">
      <c r="A1065" s="6" t="s">
        <v>4471</v>
      </c>
      <c r="B1065" s="5" t="s">
        <v>14</v>
      </c>
      <c r="C1065" s="7" t="s">
        <v>4472</v>
      </c>
      <c r="D1065" s="7" t="s">
        <v>16</v>
      </c>
      <c r="E1065" s="8">
        <v>2.0</v>
      </c>
      <c r="F1065" s="7" t="s">
        <v>17</v>
      </c>
      <c r="G1065" s="5" t="s">
        <v>326</v>
      </c>
      <c r="H1065" s="7" t="s">
        <v>16</v>
      </c>
      <c r="I1065" s="7" t="s">
        <v>4473</v>
      </c>
      <c r="J1065" s="7" t="s">
        <v>16</v>
      </c>
      <c r="K1065" s="7" t="s">
        <v>16</v>
      </c>
      <c r="L1065" s="7" t="s">
        <v>16</v>
      </c>
      <c r="M1065" s="5" t="s">
        <v>75</v>
      </c>
      <c r="N1065" s="5" t="s">
        <v>4474</v>
      </c>
      <c r="O1065" s="5"/>
      <c r="P1065" s="5"/>
      <c r="Q1065" s="5"/>
      <c r="R1065" s="5"/>
      <c r="S1065" s="5"/>
      <c r="T1065" s="5"/>
      <c r="U1065" s="5"/>
      <c r="V1065" s="5"/>
      <c r="W1065" s="5"/>
      <c r="X1065" s="5"/>
      <c r="Y1065" s="5"/>
      <c r="Z1065" s="5"/>
    </row>
    <row r="1066">
      <c r="A1066" s="6" t="s">
        <v>4475</v>
      </c>
      <c r="B1066" s="5" t="s">
        <v>1128</v>
      </c>
      <c r="C1066" s="7" t="s">
        <v>4476</v>
      </c>
      <c r="D1066" s="7" t="s">
        <v>1068</v>
      </c>
      <c r="E1066" s="8">
        <v>1.0</v>
      </c>
      <c r="F1066" s="7" t="s">
        <v>16</v>
      </c>
      <c r="G1066" s="5" t="s">
        <v>461</v>
      </c>
      <c r="H1066" s="7" t="s">
        <v>1130</v>
      </c>
      <c r="I1066" s="7" t="s">
        <v>4477</v>
      </c>
      <c r="J1066" s="36" t="s">
        <v>1132</v>
      </c>
      <c r="K1066" s="7" t="s">
        <v>16</v>
      </c>
      <c r="L1066" s="7" t="s">
        <v>16</v>
      </c>
      <c r="M1066" s="5" t="s">
        <v>75</v>
      </c>
      <c r="N1066" s="5" t="s">
        <v>4478</v>
      </c>
      <c r="O1066" s="5"/>
      <c r="P1066" s="5"/>
      <c r="Q1066" s="5"/>
      <c r="R1066" s="5"/>
      <c r="S1066" s="5"/>
      <c r="T1066" s="5"/>
      <c r="U1066" s="5"/>
      <c r="V1066" s="5"/>
      <c r="W1066" s="5"/>
      <c r="X1066" s="5"/>
      <c r="Y1066" s="5"/>
      <c r="Z1066" s="5"/>
    </row>
    <row r="1067">
      <c r="A1067" s="6" t="s">
        <v>4479</v>
      </c>
      <c r="B1067" s="5" t="s">
        <v>1128</v>
      </c>
      <c r="C1067" s="7" t="s">
        <v>4476</v>
      </c>
      <c r="D1067" s="7" t="s">
        <v>1068</v>
      </c>
      <c r="E1067" s="8">
        <v>1.0</v>
      </c>
      <c r="F1067" s="7" t="s">
        <v>16</v>
      </c>
      <c r="G1067" s="7" t="s">
        <v>461</v>
      </c>
      <c r="H1067" s="7" t="s">
        <v>1130</v>
      </c>
      <c r="I1067" s="7" t="s">
        <v>4477</v>
      </c>
      <c r="J1067" s="36" t="s">
        <v>1132</v>
      </c>
      <c r="K1067" s="7" t="s">
        <v>16</v>
      </c>
      <c r="L1067" s="7" t="s">
        <v>16</v>
      </c>
      <c r="M1067" s="5" t="s">
        <v>75</v>
      </c>
      <c r="N1067" s="5" t="s">
        <v>4480</v>
      </c>
      <c r="O1067" s="5"/>
      <c r="P1067" s="5"/>
      <c r="Q1067" s="5"/>
      <c r="R1067" s="5"/>
      <c r="S1067" s="5"/>
      <c r="T1067" s="5"/>
      <c r="U1067" s="5"/>
      <c r="V1067" s="5"/>
      <c r="W1067" s="5"/>
      <c r="X1067" s="5"/>
      <c r="Y1067" s="5"/>
      <c r="Z1067" s="5"/>
    </row>
    <row r="1068">
      <c r="A1068" s="6" t="s">
        <v>4481</v>
      </c>
      <c r="B1068" s="5" t="s">
        <v>1067</v>
      </c>
      <c r="C1068" s="7" t="s">
        <v>2207</v>
      </c>
      <c r="D1068" s="7" t="s">
        <v>2207</v>
      </c>
      <c r="E1068" s="7" t="s">
        <v>16</v>
      </c>
      <c r="F1068" s="7" t="s">
        <v>16</v>
      </c>
      <c r="G1068" s="5" t="s">
        <v>19</v>
      </c>
      <c r="H1068" s="7" t="s">
        <v>4482</v>
      </c>
      <c r="I1068" s="7" t="s">
        <v>4483</v>
      </c>
      <c r="J1068" s="8">
        <v>4000.0</v>
      </c>
      <c r="K1068" s="7" t="s">
        <v>16</v>
      </c>
      <c r="L1068" s="7" t="s">
        <v>16</v>
      </c>
      <c r="M1068" s="5" t="s">
        <v>75</v>
      </c>
      <c r="N1068" s="5" t="s">
        <v>4484</v>
      </c>
      <c r="O1068" s="5"/>
      <c r="P1068" s="5"/>
      <c r="Q1068" s="5"/>
      <c r="R1068" s="5"/>
      <c r="S1068" s="5"/>
      <c r="T1068" s="5"/>
      <c r="U1068" s="5"/>
      <c r="V1068" s="5"/>
      <c r="W1068" s="5"/>
      <c r="X1068" s="5"/>
      <c r="Y1068" s="5"/>
      <c r="Z1068" s="5"/>
    </row>
    <row r="1069">
      <c r="A1069" s="6" t="s">
        <v>4485</v>
      </c>
      <c r="B1069" s="5" t="s">
        <v>1128</v>
      </c>
      <c r="C1069" s="7" t="s">
        <v>4486</v>
      </c>
      <c r="D1069" s="7" t="s">
        <v>2074</v>
      </c>
      <c r="E1069" s="8">
        <v>1.0</v>
      </c>
      <c r="F1069" s="7" t="s">
        <v>17</v>
      </c>
      <c r="G1069" s="7" t="s">
        <v>326</v>
      </c>
      <c r="H1069" s="7" t="s">
        <v>16</v>
      </c>
      <c r="I1069" s="7" t="s">
        <v>4487</v>
      </c>
      <c r="J1069" s="36" t="s">
        <v>1132</v>
      </c>
      <c r="K1069" s="8">
        <v>2.0</v>
      </c>
      <c r="L1069" s="7" t="s">
        <v>16</v>
      </c>
      <c r="M1069" s="5" t="s">
        <v>75</v>
      </c>
      <c r="N1069" s="5" t="s">
        <v>4488</v>
      </c>
      <c r="O1069" s="5"/>
      <c r="P1069" s="5"/>
      <c r="Q1069" s="5"/>
      <c r="R1069" s="5"/>
      <c r="S1069" s="5"/>
      <c r="T1069" s="5"/>
      <c r="U1069" s="5"/>
      <c r="V1069" s="5"/>
      <c r="W1069" s="5"/>
      <c r="X1069" s="5"/>
      <c r="Y1069" s="5"/>
      <c r="Z1069" s="5"/>
    </row>
    <row r="1070">
      <c r="A1070" s="6" t="s">
        <v>4489</v>
      </c>
      <c r="B1070" s="5" t="s">
        <v>1128</v>
      </c>
      <c r="C1070" s="7" t="s">
        <v>4486</v>
      </c>
      <c r="D1070" s="7" t="s">
        <v>4490</v>
      </c>
      <c r="E1070" s="8">
        <v>1.0</v>
      </c>
      <c r="F1070" s="7" t="s">
        <v>17</v>
      </c>
      <c r="G1070" s="7" t="s">
        <v>326</v>
      </c>
      <c r="H1070" s="7" t="s">
        <v>16</v>
      </c>
      <c r="I1070" s="7" t="s">
        <v>4491</v>
      </c>
      <c r="J1070" s="36" t="s">
        <v>1132</v>
      </c>
      <c r="K1070" s="8">
        <v>2.0</v>
      </c>
      <c r="L1070" s="7" t="s">
        <v>16</v>
      </c>
      <c r="M1070" s="5" t="s">
        <v>75</v>
      </c>
      <c r="N1070" s="5" t="s">
        <v>4492</v>
      </c>
      <c r="O1070" s="5"/>
      <c r="P1070" s="5"/>
      <c r="Q1070" s="5"/>
      <c r="R1070" s="5"/>
      <c r="S1070" s="5"/>
      <c r="T1070" s="5"/>
      <c r="U1070" s="5"/>
      <c r="V1070" s="5"/>
      <c r="W1070" s="5"/>
      <c r="X1070" s="5"/>
      <c r="Y1070" s="5"/>
      <c r="Z1070" s="5"/>
    </row>
    <row r="1071">
      <c r="A1071" s="6" t="s">
        <v>4493</v>
      </c>
      <c r="B1071" s="5" t="s">
        <v>1067</v>
      </c>
      <c r="C1071" s="7" t="s">
        <v>2212</v>
      </c>
      <c r="D1071" s="7" t="s">
        <v>2207</v>
      </c>
      <c r="E1071" s="7" t="s">
        <v>16</v>
      </c>
      <c r="F1071" s="7" t="s">
        <v>16</v>
      </c>
      <c r="G1071" s="7" t="s">
        <v>19</v>
      </c>
      <c r="H1071" s="7" t="s">
        <v>4494</v>
      </c>
      <c r="I1071" s="7" t="s">
        <v>4495</v>
      </c>
      <c r="J1071" s="8">
        <v>6000.0</v>
      </c>
      <c r="K1071" s="7" t="s">
        <v>16</v>
      </c>
      <c r="L1071" s="7" t="s">
        <v>16</v>
      </c>
      <c r="M1071" s="5" t="s">
        <v>75</v>
      </c>
      <c r="N1071" s="5" t="s">
        <v>4496</v>
      </c>
      <c r="O1071" s="5"/>
      <c r="P1071" s="5"/>
      <c r="Q1071" s="5"/>
      <c r="R1071" s="5"/>
      <c r="S1071" s="5"/>
      <c r="T1071" s="5"/>
      <c r="U1071" s="5"/>
      <c r="V1071" s="5"/>
      <c r="W1071" s="5"/>
      <c r="X1071" s="5"/>
      <c r="Y1071" s="5"/>
      <c r="Z1071" s="5"/>
    </row>
    <row r="1072">
      <c r="A1072" s="6" t="s">
        <v>4497</v>
      </c>
      <c r="B1072" s="5" t="s">
        <v>1067</v>
      </c>
      <c r="C1072" s="7" t="s">
        <v>85</v>
      </c>
      <c r="D1072" s="7" t="s">
        <v>85</v>
      </c>
      <c r="E1072" s="7" t="s">
        <v>16</v>
      </c>
      <c r="F1072" s="7" t="s">
        <v>16</v>
      </c>
      <c r="G1072" s="5" t="s">
        <v>19</v>
      </c>
      <c r="H1072" s="7" t="s">
        <v>4498</v>
      </c>
      <c r="I1072" s="7" t="s">
        <v>4499</v>
      </c>
      <c r="J1072" s="8">
        <v>2000.0</v>
      </c>
      <c r="K1072" s="7" t="s">
        <v>16</v>
      </c>
      <c r="L1072" s="7" t="s">
        <v>16</v>
      </c>
      <c r="M1072" s="5" t="s">
        <v>75</v>
      </c>
      <c r="N1072" s="5" t="s">
        <v>4500</v>
      </c>
      <c r="O1072" s="5"/>
      <c r="P1072" s="5"/>
      <c r="Q1072" s="5"/>
      <c r="R1072" s="5"/>
      <c r="S1072" s="5"/>
      <c r="T1072" s="5"/>
      <c r="U1072" s="5"/>
      <c r="V1072" s="5"/>
      <c r="W1072" s="5"/>
      <c r="X1072" s="5"/>
      <c r="Y1072" s="5"/>
      <c r="Z1072" s="5"/>
    </row>
    <row r="1073">
      <c r="A1073" s="6" t="s">
        <v>4501</v>
      </c>
      <c r="B1073" s="5" t="s">
        <v>1316</v>
      </c>
      <c r="C1073" s="7" t="s">
        <v>1421</v>
      </c>
      <c r="D1073" s="7" t="s">
        <v>1421</v>
      </c>
      <c r="E1073" s="7" t="s">
        <v>16</v>
      </c>
      <c r="F1073" s="7" t="s">
        <v>16</v>
      </c>
      <c r="G1073" s="5" t="s">
        <v>19</v>
      </c>
      <c r="H1073" s="7" t="s">
        <v>4502</v>
      </c>
      <c r="I1073" s="7" t="s">
        <v>4503</v>
      </c>
      <c r="J1073" s="8">
        <v>5000.0</v>
      </c>
      <c r="K1073" s="7" t="s">
        <v>16</v>
      </c>
      <c r="L1073" s="7" t="s">
        <v>16</v>
      </c>
      <c r="M1073" s="5" t="s">
        <v>75</v>
      </c>
      <c r="N1073" s="5" t="s">
        <v>4474</v>
      </c>
      <c r="O1073" s="5"/>
      <c r="P1073" s="5"/>
      <c r="Q1073" s="5"/>
      <c r="R1073" s="5"/>
      <c r="S1073" s="5"/>
      <c r="T1073" s="5"/>
      <c r="U1073" s="5"/>
      <c r="V1073" s="5"/>
      <c r="W1073" s="5"/>
      <c r="X1073" s="5"/>
      <c r="Y1073" s="5"/>
      <c r="Z1073" s="5"/>
    </row>
    <row r="1074">
      <c r="A1074" s="6" t="s">
        <v>4504</v>
      </c>
      <c r="B1074" s="5" t="s">
        <v>14</v>
      </c>
      <c r="C1074" s="7" t="s">
        <v>4505</v>
      </c>
      <c r="D1074" s="7" t="s">
        <v>16</v>
      </c>
      <c r="E1074" s="8">
        <v>1.0</v>
      </c>
      <c r="F1074" s="7" t="s">
        <v>17</v>
      </c>
      <c r="G1074" s="5" t="s">
        <v>19</v>
      </c>
      <c r="H1074" s="7" t="s">
        <v>16</v>
      </c>
      <c r="I1074" s="7" t="s">
        <v>4506</v>
      </c>
      <c r="J1074" s="7" t="s">
        <v>16</v>
      </c>
      <c r="K1074" s="7" t="s">
        <v>16</v>
      </c>
      <c r="L1074" s="7" t="s">
        <v>16</v>
      </c>
      <c r="M1074" s="5" t="s">
        <v>75</v>
      </c>
      <c r="N1074" s="5" t="s">
        <v>16</v>
      </c>
      <c r="O1074" s="5"/>
      <c r="P1074" s="5"/>
      <c r="Q1074" s="5"/>
      <c r="R1074" s="5"/>
      <c r="S1074" s="5"/>
      <c r="T1074" s="5"/>
      <c r="U1074" s="5"/>
      <c r="V1074" s="5"/>
      <c r="W1074" s="5"/>
      <c r="X1074" s="5"/>
      <c r="Y1074" s="5"/>
      <c r="Z1074" s="5"/>
    </row>
    <row r="1075">
      <c r="A1075" s="6" t="s">
        <v>4507</v>
      </c>
      <c r="B1075" s="5" t="s">
        <v>14</v>
      </c>
      <c r="C1075" s="7" t="s">
        <v>4508</v>
      </c>
      <c r="D1075" s="7" t="s">
        <v>16</v>
      </c>
      <c r="E1075" s="8">
        <v>0.0</v>
      </c>
      <c r="F1075" s="7" t="s">
        <v>105</v>
      </c>
      <c r="G1075" s="5" t="s">
        <v>19</v>
      </c>
      <c r="H1075" s="7" t="s">
        <v>16</v>
      </c>
      <c r="I1075" s="7" t="s">
        <v>4509</v>
      </c>
      <c r="J1075" s="7" t="s">
        <v>16</v>
      </c>
      <c r="K1075" s="7" t="s">
        <v>16</v>
      </c>
      <c r="L1075" s="7" t="s">
        <v>16</v>
      </c>
      <c r="M1075" s="5" t="s">
        <v>75</v>
      </c>
      <c r="N1075" s="5" t="s">
        <v>16</v>
      </c>
      <c r="O1075" s="5"/>
      <c r="P1075" s="5"/>
      <c r="Q1075" s="5"/>
      <c r="R1075" s="5"/>
      <c r="S1075" s="5"/>
      <c r="T1075" s="5"/>
      <c r="U1075" s="5"/>
      <c r="V1075" s="5"/>
      <c r="W1075" s="5"/>
      <c r="X1075" s="5"/>
      <c r="Y1075" s="5"/>
      <c r="Z1075" s="5"/>
    </row>
    <row r="1076">
      <c r="A1076" s="6" t="s">
        <v>4510</v>
      </c>
      <c r="B1076" s="5" t="s">
        <v>1067</v>
      </c>
      <c r="C1076" s="7" t="s">
        <v>2576</v>
      </c>
      <c r="D1076" s="7" t="s">
        <v>2576</v>
      </c>
      <c r="E1076" s="7" t="s">
        <v>16</v>
      </c>
      <c r="F1076" s="7" t="s">
        <v>16</v>
      </c>
      <c r="G1076" s="5" t="s">
        <v>19</v>
      </c>
      <c r="H1076" s="7" t="s">
        <v>4511</v>
      </c>
      <c r="I1076" s="7" t="s">
        <v>4512</v>
      </c>
      <c r="J1076" s="8">
        <v>4000.0</v>
      </c>
      <c r="K1076" s="7" t="s">
        <v>16</v>
      </c>
      <c r="L1076" s="7" t="s">
        <v>16</v>
      </c>
      <c r="M1076" s="5" t="s">
        <v>75</v>
      </c>
      <c r="N1076" s="5" t="s">
        <v>4513</v>
      </c>
      <c r="O1076" s="5"/>
      <c r="P1076" s="5"/>
      <c r="Q1076" s="5"/>
      <c r="R1076" s="5"/>
      <c r="S1076" s="5"/>
      <c r="T1076" s="5"/>
      <c r="U1076" s="5"/>
      <c r="V1076" s="5"/>
      <c r="W1076" s="5"/>
      <c r="X1076" s="5"/>
      <c r="Y1076" s="5"/>
      <c r="Z1076" s="5"/>
    </row>
    <row r="1077">
      <c r="A1077" s="6" t="s">
        <v>4514</v>
      </c>
      <c r="B1077" s="5" t="s">
        <v>1067</v>
      </c>
      <c r="C1077" s="7" t="s">
        <v>2581</v>
      </c>
      <c r="D1077" s="7" t="s">
        <v>2581</v>
      </c>
      <c r="E1077" s="7" t="s">
        <v>16</v>
      </c>
      <c r="F1077" s="7" t="s">
        <v>16</v>
      </c>
      <c r="G1077" s="5" t="s">
        <v>19</v>
      </c>
      <c r="H1077" s="7" t="s">
        <v>4515</v>
      </c>
      <c r="I1077" s="7" t="s">
        <v>4516</v>
      </c>
      <c r="J1077" s="8">
        <v>5000.0</v>
      </c>
      <c r="K1077" s="7" t="s">
        <v>16</v>
      </c>
      <c r="L1077" s="7" t="s">
        <v>16</v>
      </c>
      <c r="M1077" s="5" t="s">
        <v>75</v>
      </c>
      <c r="N1077" s="5" t="s">
        <v>4517</v>
      </c>
      <c r="O1077" s="5"/>
      <c r="P1077" s="5"/>
      <c r="Q1077" s="5"/>
      <c r="R1077" s="5"/>
      <c r="S1077" s="5"/>
      <c r="T1077" s="5"/>
      <c r="U1077" s="5"/>
      <c r="V1077" s="5"/>
      <c r="W1077" s="5"/>
      <c r="X1077" s="5"/>
      <c r="Y1077" s="5"/>
      <c r="Z1077" s="5"/>
    </row>
    <row r="1078">
      <c r="A1078" s="6" t="s">
        <v>4518</v>
      </c>
      <c r="B1078" s="5" t="s">
        <v>2973</v>
      </c>
      <c r="C1078" s="7" t="s">
        <v>1068</v>
      </c>
      <c r="D1078" s="7" t="s">
        <v>1068</v>
      </c>
      <c r="E1078" s="7" t="s">
        <v>16</v>
      </c>
      <c r="F1078" s="7" t="s">
        <v>16</v>
      </c>
      <c r="G1078" s="7" t="s">
        <v>461</v>
      </c>
      <c r="H1078" s="7" t="s">
        <v>4519</v>
      </c>
      <c r="I1078" s="7" t="s">
        <v>4520</v>
      </c>
      <c r="J1078" s="8">
        <v>5000.0</v>
      </c>
      <c r="K1078" s="7" t="s">
        <v>16</v>
      </c>
      <c r="L1078" s="7" t="s">
        <v>16</v>
      </c>
      <c r="M1078" s="5" t="s">
        <v>75</v>
      </c>
      <c r="N1078" s="5" t="s">
        <v>4521</v>
      </c>
      <c r="O1078" s="5"/>
      <c r="P1078" s="5"/>
      <c r="Q1078" s="5"/>
      <c r="R1078" s="5"/>
      <c r="S1078" s="5"/>
      <c r="T1078" s="5"/>
      <c r="U1078" s="5"/>
      <c r="V1078" s="5"/>
      <c r="W1078" s="5"/>
      <c r="X1078" s="5"/>
      <c r="Y1078" s="5"/>
      <c r="Z1078" s="5"/>
    </row>
    <row r="1079">
      <c r="A1079" s="6" t="s">
        <v>4522</v>
      </c>
      <c r="B1079" s="5" t="s">
        <v>1067</v>
      </c>
      <c r="C1079" s="7" t="s">
        <v>3079</v>
      </c>
      <c r="D1079" s="7" t="s">
        <v>3079</v>
      </c>
      <c r="E1079" s="7" t="s">
        <v>16</v>
      </c>
      <c r="F1079" s="7" t="s">
        <v>16</v>
      </c>
      <c r="G1079" s="7" t="s">
        <v>19</v>
      </c>
      <c r="H1079" s="7" t="s">
        <v>4523</v>
      </c>
      <c r="I1079" s="7" t="s">
        <v>4524</v>
      </c>
      <c r="J1079" s="8">
        <v>5000.0</v>
      </c>
      <c r="K1079" s="7" t="s">
        <v>16</v>
      </c>
      <c r="L1079" s="7" t="s">
        <v>16</v>
      </c>
      <c r="M1079" s="5" t="s">
        <v>75</v>
      </c>
      <c r="N1079" s="5" t="s">
        <v>4525</v>
      </c>
      <c r="O1079" s="5"/>
      <c r="P1079" s="5"/>
      <c r="Q1079" s="5"/>
      <c r="R1079" s="5"/>
      <c r="S1079" s="5"/>
      <c r="T1079" s="5"/>
      <c r="U1079" s="5"/>
      <c r="V1079" s="5"/>
      <c r="W1079" s="5"/>
      <c r="X1079" s="5"/>
      <c r="Y1079" s="5"/>
      <c r="Z1079" s="5"/>
    </row>
    <row r="1080">
      <c r="A1080" s="6" t="s">
        <v>4526</v>
      </c>
      <c r="B1080" s="5" t="s">
        <v>1067</v>
      </c>
      <c r="C1080" s="7" t="s">
        <v>1068</v>
      </c>
      <c r="D1080" s="7" t="s">
        <v>1068</v>
      </c>
      <c r="E1080" s="7" t="s">
        <v>16</v>
      </c>
      <c r="F1080" s="7" t="s">
        <v>16</v>
      </c>
      <c r="G1080" s="5" t="s">
        <v>19</v>
      </c>
      <c r="H1080" s="7" t="s">
        <v>4527</v>
      </c>
      <c r="I1080" s="7" t="s">
        <v>4528</v>
      </c>
      <c r="J1080" s="8">
        <v>4500.0</v>
      </c>
      <c r="K1080" s="7" t="s">
        <v>16</v>
      </c>
      <c r="L1080" s="7" t="s">
        <v>16</v>
      </c>
      <c r="M1080" s="5" t="s">
        <v>75</v>
      </c>
      <c r="N1080" s="5" t="s">
        <v>4529</v>
      </c>
      <c r="O1080" s="5"/>
      <c r="P1080" s="5"/>
      <c r="Q1080" s="5"/>
      <c r="R1080" s="5"/>
      <c r="S1080" s="5"/>
      <c r="T1080" s="5"/>
      <c r="U1080" s="5"/>
      <c r="V1080" s="5"/>
      <c r="W1080" s="5"/>
      <c r="X1080" s="5"/>
      <c r="Y1080" s="5"/>
      <c r="Z1080" s="5"/>
    </row>
    <row r="1081">
      <c r="A1081" s="6" t="s">
        <v>4530</v>
      </c>
      <c r="B1081" s="5" t="s">
        <v>14</v>
      </c>
      <c r="C1081" s="7" t="s">
        <v>4531</v>
      </c>
      <c r="D1081" s="7" t="s">
        <v>16</v>
      </c>
      <c r="E1081" s="8">
        <v>1.0</v>
      </c>
      <c r="F1081" s="7" t="s">
        <v>105</v>
      </c>
      <c r="G1081" s="7" t="s">
        <v>19</v>
      </c>
      <c r="H1081" s="7" t="s">
        <v>16</v>
      </c>
      <c r="I1081" s="7" t="s">
        <v>4532</v>
      </c>
      <c r="J1081" s="7" t="s">
        <v>16</v>
      </c>
      <c r="K1081" s="7" t="s">
        <v>16</v>
      </c>
      <c r="L1081" s="7" t="s">
        <v>16</v>
      </c>
      <c r="M1081" s="5" t="s">
        <v>75</v>
      </c>
      <c r="N1081" s="5" t="s">
        <v>4533</v>
      </c>
      <c r="O1081" s="5"/>
      <c r="P1081" s="5"/>
      <c r="Q1081" s="5"/>
      <c r="R1081" s="5"/>
      <c r="S1081" s="5"/>
      <c r="T1081" s="5"/>
      <c r="U1081" s="5"/>
      <c r="V1081" s="5"/>
      <c r="W1081" s="5"/>
      <c r="X1081" s="5"/>
      <c r="Y1081" s="5"/>
      <c r="Z1081" s="5"/>
    </row>
    <row r="1082">
      <c r="A1082" s="6" t="s">
        <v>4534</v>
      </c>
      <c r="B1082" s="5" t="s">
        <v>14</v>
      </c>
      <c r="C1082" s="7" t="s">
        <v>4535</v>
      </c>
      <c r="D1082" s="7" t="s">
        <v>16</v>
      </c>
      <c r="E1082" s="8">
        <v>0.0</v>
      </c>
      <c r="F1082" s="7" t="s">
        <v>105</v>
      </c>
      <c r="G1082" s="7" t="s">
        <v>461</v>
      </c>
      <c r="H1082" s="7" t="s">
        <v>16</v>
      </c>
      <c r="I1082" s="7" t="s">
        <v>4536</v>
      </c>
      <c r="J1082" s="7" t="s">
        <v>16</v>
      </c>
      <c r="K1082" s="7" t="s">
        <v>16</v>
      </c>
      <c r="L1082" s="7" t="s">
        <v>16</v>
      </c>
      <c r="M1082" s="5" t="s">
        <v>75</v>
      </c>
      <c r="N1082" s="5" t="s">
        <v>4537</v>
      </c>
      <c r="O1082" s="5"/>
      <c r="P1082" s="5"/>
      <c r="Q1082" s="5"/>
      <c r="R1082" s="5"/>
      <c r="S1082" s="5"/>
      <c r="T1082" s="5"/>
      <c r="U1082" s="5"/>
      <c r="V1082" s="5"/>
      <c r="W1082" s="5"/>
      <c r="X1082" s="5"/>
      <c r="Y1082" s="5"/>
      <c r="Z1082" s="5"/>
    </row>
    <row r="1083">
      <c r="A1083" s="6" t="s">
        <v>4538</v>
      </c>
      <c r="B1083" s="5" t="s">
        <v>14</v>
      </c>
      <c r="C1083" s="7" t="s">
        <v>4539</v>
      </c>
      <c r="D1083" s="7" t="s">
        <v>16</v>
      </c>
      <c r="E1083" s="8">
        <v>0.0</v>
      </c>
      <c r="F1083" s="7" t="s">
        <v>105</v>
      </c>
      <c r="G1083" s="7" t="s">
        <v>326</v>
      </c>
      <c r="H1083" s="7" t="s">
        <v>16</v>
      </c>
      <c r="I1083" s="7" t="s">
        <v>4540</v>
      </c>
      <c r="J1083" s="7" t="s">
        <v>16</v>
      </c>
      <c r="K1083" s="7" t="s">
        <v>16</v>
      </c>
      <c r="L1083" s="7" t="s">
        <v>16</v>
      </c>
      <c r="M1083" s="5" t="s">
        <v>75</v>
      </c>
      <c r="N1083" s="5" t="s">
        <v>4541</v>
      </c>
      <c r="O1083" s="5"/>
      <c r="P1083" s="5"/>
      <c r="Q1083" s="5"/>
      <c r="R1083" s="5"/>
      <c r="S1083" s="5"/>
      <c r="T1083" s="5"/>
      <c r="U1083" s="5"/>
      <c r="V1083" s="5"/>
      <c r="W1083" s="5"/>
      <c r="X1083" s="5"/>
      <c r="Y1083" s="5"/>
      <c r="Z1083" s="5"/>
    </row>
    <row r="1084">
      <c r="A1084" s="6" t="s">
        <v>4542</v>
      </c>
      <c r="B1084" s="5" t="s">
        <v>14</v>
      </c>
      <c r="C1084" s="7" t="s">
        <v>4543</v>
      </c>
      <c r="D1084" s="7" t="s">
        <v>16</v>
      </c>
      <c r="E1084" s="8">
        <v>0.0</v>
      </c>
      <c r="F1084" s="7" t="s">
        <v>105</v>
      </c>
      <c r="G1084" s="7" t="s">
        <v>19</v>
      </c>
      <c r="H1084" s="7" t="s">
        <v>16</v>
      </c>
      <c r="I1084" s="7" t="s">
        <v>4544</v>
      </c>
      <c r="J1084" s="7" t="s">
        <v>16</v>
      </c>
      <c r="K1084" s="7" t="s">
        <v>16</v>
      </c>
      <c r="L1084" s="7" t="s">
        <v>16</v>
      </c>
      <c r="M1084" s="5" t="s">
        <v>75</v>
      </c>
      <c r="N1084" s="5" t="s">
        <v>16</v>
      </c>
      <c r="O1084" s="5"/>
      <c r="P1084" s="5"/>
      <c r="Q1084" s="5"/>
      <c r="R1084" s="5"/>
      <c r="S1084" s="5"/>
      <c r="T1084" s="5"/>
      <c r="U1084" s="5"/>
      <c r="V1084" s="5"/>
      <c r="W1084" s="5"/>
      <c r="X1084" s="5"/>
      <c r="Y1084" s="5"/>
      <c r="Z1084" s="5"/>
    </row>
    <row r="1085">
      <c r="A1085" s="17" t="s">
        <v>4545</v>
      </c>
      <c r="B1085" s="7" t="s">
        <v>1067</v>
      </c>
      <c r="C1085" s="7" t="s">
        <v>4546</v>
      </c>
      <c r="D1085" s="13" t="s">
        <v>1068</v>
      </c>
      <c r="E1085" s="7" t="s">
        <v>16</v>
      </c>
      <c r="F1085" s="7" t="s">
        <v>16</v>
      </c>
      <c r="G1085" s="7" t="s">
        <v>19</v>
      </c>
      <c r="H1085" s="7" t="s">
        <v>4547</v>
      </c>
      <c r="I1085" s="7" t="s">
        <v>16</v>
      </c>
      <c r="J1085" s="8">
        <v>6000.0</v>
      </c>
      <c r="K1085" s="7" t="s">
        <v>16</v>
      </c>
      <c r="L1085" s="7" t="s">
        <v>16</v>
      </c>
      <c r="M1085" s="7" t="s">
        <v>75</v>
      </c>
      <c r="N1085" s="7" t="s">
        <v>4548</v>
      </c>
      <c r="O1085" s="5"/>
      <c r="P1085" s="5"/>
      <c r="Q1085" s="5"/>
      <c r="R1085" s="5"/>
      <c r="S1085" s="5"/>
      <c r="T1085" s="5"/>
      <c r="U1085" s="5"/>
      <c r="V1085" s="5"/>
      <c r="W1085" s="5"/>
      <c r="X1085" s="5"/>
      <c r="Y1085" s="5"/>
      <c r="Z1085" s="5"/>
    </row>
    <row r="1086">
      <c r="A1086" s="6" t="s">
        <v>4549</v>
      </c>
      <c r="B1086" s="5" t="s">
        <v>14</v>
      </c>
      <c r="C1086" s="7" t="s">
        <v>4550</v>
      </c>
      <c r="D1086" s="7" t="s">
        <v>16</v>
      </c>
      <c r="E1086" s="7" t="s">
        <v>16</v>
      </c>
      <c r="F1086" s="7" t="s">
        <v>105</v>
      </c>
      <c r="G1086" s="7" t="s">
        <v>19</v>
      </c>
      <c r="H1086" s="7" t="s">
        <v>16</v>
      </c>
      <c r="I1086" s="7" t="s">
        <v>4551</v>
      </c>
      <c r="J1086" s="7" t="s">
        <v>16</v>
      </c>
      <c r="K1086" s="7" t="s">
        <v>16</v>
      </c>
      <c r="L1086" s="7" t="s">
        <v>16</v>
      </c>
      <c r="M1086" s="5" t="s">
        <v>75</v>
      </c>
      <c r="N1086" s="5" t="s">
        <v>16</v>
      </c>
      <c r="O1086" s="5"/>
      <c r="P1086" s="5"/>
      <c r="Q1086" s="5"/>
      <c r="R1086" s="5"/>
      <c r="S1086" s="5"/>
      <c r="T1086" s="5"/>
      <c r="U1086" s="5"/>
      <c r="V1086" s="5"/>
      <c r="W1086" s="5"/>
      <c r="X1086" s="5"/>
      <c r="Y1086" s="5"/>
      <c r="Z1086" s="5"/>
    </row>
    <row r="1087">
      <c r="A1087" s="6" t="s">
        <v>4552</v>
      </c>
      <c r="B1087" s="5" t="s">
        <v>4553</v>
      </c>
      <c r="C1087" s="7" t="s">
        <v>4554</v>
      </c>
      <c r="D1087" s="7" t="s">
        <v>16</v>
      </c>
      <c r="E1087" s="7" t="s">
        <v>16</v>
      </c>
      <c r="F1087" s="7" t="s">
        <v>16</v>
      </c>
      <c r="G1087" s="5" t="s">
        <v>19</v>
      </c>
      <c r="H1087" s="7" t="s">
        <v>16</v>
      </c>
      <c r="I1087" s="7" t="s">
        <v>4555</v>
      </c>
      <c r="J1087" s="7" t="s">
        <v>16</v>
      </c>
      <c r="K1087" s="7" t="s">
        <v>16</v>
      </c>
      <c r="L1087" s="7" t="s">
        <v>16</v>
      </c>
      <c r="M1087" s="5" t="s">
        <v>75</v>
      </c>
      <c r="N1087" s="5" t="s">
        <v>4556</v>
      </c>
      <c r="O1087" s="5"/>
      <c r="P1087" s="5"/>
      <c r="Q1087" s="5"/>
      <c r="R1087" s="5"/>
      <c r="S1087" s="5"/>
      <c r="T1087" s="5"/>
      <c r="U1087" s="5"/>
      <c r="V1087" s="5"/>
      <c r="W1087" s="5"/>
      <c r="X1087" s="5"/>
      <c r="Y1087" s="5"/>
      <c r="Z1087" s="5"/>
    </row>
    <row r="1088">
      <c r="A1088" s="6" t="s">
        <v>4557</v>
      </c>
      <c r="B1088" s="5" t="s">
        <v>14</v>
      </c>
      <c r="C1088" s="7" t="s">
        <v>4558</v>
      </c>
      <c r="D1088" s="7" t="s">
        <v>16</v>
      </c>
      <c r="E1088" s="8">
        <v>0.0</v>
      </c>
      <c r="F1088" s="7" t="s">
        <v>105</v>
      </c>
      <c r="G1088" s="5" t="s">
        <v>19</v>
      </c>
      <c r="H1088" s="7" t="s">
        <v>16</v>
      </c>
      <c r="I1088" s="7" t="s">
        <v>4559</v>
      </c>
      <c r="J1088" s="7" t="s">
        <v>16</v>
      </c>
      <c r="K1088" s="7" t="s">
        <v>16</v>
      </c>
      <c r="L1088" s="7" t="s">
        <v>16</v>
      </c>
      <c r="M1088" s="5" t="s">
        <v>75</v>
      </c>
      <c r="N1088" s="5" t="s">
        <v>16</v>
      </c>
      <c r="O1088" s="5"/>
      <c r="P1088" s="5"/>
      <c r="Q1088" s="5"/>
      <c r="R1088" s="5"/>
      <c r="S1088" s="5"/>
      <c r="T1088" s="5"/>
      <c r="U1088" s="5"/>
      <c r="V1088" s="5"/>
      <c r="W1088" s="5"/>
      <c r="X1088" s="5"/>
      <c r="Y1088" s="5"/>
      <c r="Z1088" s="5"/>
    </row>
    <row r="1089">
      <c r="A1089" s="6" t="s">
        <v>4560</v>
      </c>
      <c r="B1089" s="5" t="s">
        <v>1067</v>
      </c>
      <c r="C1089" s="7" t="s">
        <v>2576</v>
      </c>
      <c r="D1089" s="7" t="s">
        <v>2576</v>
      </c>
      <c r="E1089" s="7" t="s">
        <v>16</v>
      </c>
      <c r="F1089" s="7" t="s">
        <v>16</v>
      </c>
      <c r="G1089" s="7" t="s">
        <v>19</v>
      </c>
      <c r="H1089" s="7" t="s">
        <v>4561</v>
      </c>
      <c r="I1089" s="7" t="s">
        <v>4562</v>
      </c>
      <c r="J1089" s="8">
        <v>4500.0</v>
      </c>
      <c r="K1089" s="7" t="s">
        <v>16</v>
      </c>
      <c r="L1089" s="7" t="s">
        <v>16</v>
      </c>
      <c r="M1089" s="5" t="s">
        <v>75</v>
      </c>
      <c r="N1089" s="5" t="s">
        <v>4563</v>
      </c>
      <c r="O1089" s="5"/>
      <c r="P1089" s="5"/>
      <c r="Q1089" s="5"/>
      <c r="R1089" s="5"/>
      <c r="S1089" s="5"/>
      <c r="T1089" s="5"/>
      <c r="U1089" s="5"/>
      <c r="V1089" s="5"/>
      <c r="W1089" s="5"/>
      <c r="X1089" s="5"/>
      <c r="Y1089" s="5"/>
      <c r="Z1089" s="5"/>
    </row>
    <row r="1090">
      <c r="A1090" s="6" t="s">
        <v>4564</v>
      </c>
      <c r="B1090" s="5" t="s">
        <v>14</v>
      </c>
      <c r="C1090" s="7" t="s">
        <v>4565</v>
      </c>
      <c r="D1090" s="7" t="s">
        <v>16</v>
      </c>
      <c r="E1090" s="8">
        <v>0.0</v>
      </c>
      <c r="F1090" s="7" t="s">
        <v>105</v>
      </c>
      <c r="G1090" s="7" t="s">
        <v>19</v>
      </c>
      <c r="H1090" s="7" t="s">
        <v>16</v>
      </c>
      <c r="I1090" s="7" t="s">
        <v>4566</v>
      </c>
      <c r="J1090" s="7" t="s">
        <v>16</v>
      </c>
      <c r="K1090" s="7" t="s">
        <v>16</v>
      </c>
      <c r="L1090" s="7" t="s">
        <v>16</v>
      </c>
      <c r="M1090" s="5" t="s">
        <v>75</v>
      </c>
      <c r="N1090" s="5" t="s">
        <v>4567</v>
      </c>
      <c r="O1090" s="5"/>
      <c r="P1090" s="5"/>
      <c r="Q1090" s="5"/>
      <c r="R1090" s="5"/>
      <c r="S1090" s="5"/>
      <c r="T1090" s="5"/>
      <c r="U1090" s="5"/>
      <c r="V1090" s="5"/>
      <c r="W1090" s="5"/>
      <c r="X1090" s="5"/>
      <c r="Y1090" s="5"/>
      <c r="Z1090" s="5"/>
    </row>
    <row r="1091">
      <c r="A1091" s="6" t="s">
        <v>4568</v>
      </c>
      <c r="B1091" s="5" t="s">
        <v>1128</v>
      </c>
      <c r="C1091" s="7" t="s">
        <v>4569</v>
      </c>
      <c r="D1091" s="7" t="s">
        <v>1068</v>
      </c>
      <c r="E1091" s="8">
        <v>4.0</v>
      </c>
      <c r="F1091" s="7" t="s">
        <v>17</v>
      </c>
      <c r="G1091" s="5" t="s">
        <v>326</v>
      </c>
      <c r="H1091" s="7" t="s">
        <v>1130</v>
      </c>
      <c r="I1091" s="7" t="s">
        <v>4570</v>
      </c>
      <c r="J1091" s="36" t="s">
        <v>1154</v>
      </c>
      <c r="K1091" s="8">
        <v>2.0</v>
      </c>
      <c r="L1091" s="7" t="s">
        <v>16</v>
      </c>
      <c r="M1091" s="5" t="s">
        <v>75</v>
      </c>
      <c r="N1091" s="5" t="s">
        <v>4571</v>
      </c>
      <c r="O1091" s="5"/>
      <c r="P1091" s="5"/>
      <c r="Q1091" s="5"/>
      <c r="R1091" s="5"/>
      <c r="S1091" s="5"/>
      <c r="T1091" s="5"/>
      <c r="U1091" s="5"/>
      <c r="V1091" s="5"/>
      <c r="W1091" s="5"/>
      <c r="X1091" s="5"/>
      <c r="Y1091" s="5"/>
      <c r="Z1091" s="5"/>
    </row>
    <row r="1092">
      <c r="A1092" s="6" t="s">
        <v>4572</v>
      </c>
      <c r="B1092" s="5" t="s">
        <v>1128</v>
      </c>
      <c r="C1092" s="7" t="s">
        <v>4569</v>
      </c>
      <c r="D1092" s="7" t="s">
        <v>1068</v>
      </c>
      <c r="E1092" s="8">
        <v>4.0</v>
      </c>
      <c r="F1092" s="7" t="s">
        <v>17</v>
      </c>
      <c r="G1092" s="7" t="s">
        <v>326</v>
      </c>
      <c r="H1092" s="7" t="s">
        <v>1130</v>
      </c>
      <c r="I1092" s="7" t="s">
        <v>4573</v>
      </c>
      <c r="J1092" s="36" t="s">
        <v>1154</v>
      </c>
      <c r="K1092" s="8">
        <v>2.0</v>
      </c>
      <c r="L1092" s="7" t="s">
        <v>16</v>
      </c>
      <c r="M1092" s="5" t="s">
        <v>75</v>
      </c>
      <c r="N1092" s="5" t="s">
        <v>4574</v>
      </c>
      <c r="O1092" s="5"/>
      <c r="P1092" s="5"/>
      <c r="Q1092" s="5"/>
      <c r="R1092" s="5"/>
      <c r="S1092" s="5"/>
      <c r="T1092" s="5"/>
      <c r="U1092" s="5"/>
      <c r="V1092" s="5"/>
      <c r="W1092" s="5"/>
      <c r="X1092" s="5"/>
      <c r="Y1092" s="5"/>
      <c r="Z1092" s="5"/>
    </row>
    <row r="1093">
      <c r="A1093" s="6" t="s">
        <v>4575</v>
      </c>
      <c r="B1093" s="5" t="s">
        <v>1067</v>
      </c>
      <c r="C1093" s="7" t="s">
        <v>4576</v>
      </c>
      <c r="D1093" s="7" t="s">
        <v>4577</v>
      </c>
      <c r="E1093" s="7" t="s">
        <v>16</v>
      </c>
      <c r="F1093" s="7" t="s">
        <v>16</v>
      </c>
      <c r="G1093" s="5" t="s">
        <v>19</v>
      </c>
      <c r="H1093" s="7" t="s">
        <v>4578</v>
      </c>
      <c r="I1093" s="7" t="s">
        <v>4579</v>
      </c>
      <c r="J1093" s="8">
        <v>4500.0</v>
      </c>
      <c r="K1093" s="7" t="s">
        <v>16</v>
      </c>
      <c r="L1093" s="7" t="s">
        <v>16</v>
      </c>
      <c r="M1093" s="5" t="s">
        <v>75</v>
      </c>
      <c r="N1093" s="5" t="s">
        <v>4580</v>
      </c>
      <c r="O1093" s="5"/>
      <c r="P1093" s="5"/>
      <c r="Q1093" s="5"/>
      <c r="R1093" s="5"/>
      <c r="S1093" s="5"/>
      <c r="T1093" s="5"/>
      <c r="U1093" s="5"/>
      <c r="V1093" s="5"/>
      <c r="W1093" s="5"/>
      <c r="X1093" s="5"/>
      <c r="Y1093" s="5"/>
      <c r="Z1093" s="5"/>
    </row>
    <row r="1094">
      <c r="A1094" s="6" t="s">
        <v>4581</v>
      </c>
      <c r="B1094" s="5" t="s">
        <v>1067</v>
      </c>
      <c r="C1094" s="7" t="s">
        <v>4582</v>
      </c>
      <c r="D1094" s="7" t="s">
        <v>4583</v>
      </c>
      <c r="E1094" s="7" t="s">
        <v>16</v>
      </c>
      <c r="F1094" s="7" t="s">
        <v>16</v>
      </c>
      <c r="G1094" s="5" t="s">
        <v>19</v>
      </c>
      <c r="H1094" s="7" t="s">
        <v>4584</v>
      </c>
      <c r="I1094" s="7" t="s">
        <v>4585</v>
      </c>
      <c r="J1094" s="8">
        <v>5000.0</v>
      </c>
      <c r="K1094" s="7" t="s">
        <v>16</v>
      </c>
      <c r="L1094" s="7" t="s">
        <v>16</v>
      </c>
      <c r="M1094" s="5" t="s">
        <v>75</v>
      </c>
      <c r="N1094" s="5" t="s">
        <v>4586</v>
      </c>
      <c r="O1094" s="5"/>
      <c r="P1094" s="5"/>
      <c r="Q1094" s="5"/>
      <c r="R1094" s="5"/>
      <c r="S1094" s="5"/>
      <c r="T1094" s="5"/>
      <c r="U1094" s="5"/>
      <c r="V1094" s="5"/>
      <c r="W1094" s="5"/>
      <c r="X1094" s="5"/>
      <c r="Y1094" s="5"/>
      <c r="Z1094" s="5"/>
    </row>
    <row r="1095">
      <c r="A1095" s="6" t="s">
        <v>4587</v>
      </c>
      <c r="B1095" s="5" t="s">
        <v>1067</v>
      </c>
      <c r="C1095" s="7" t="s">
        <v>3079</v>
      </c>
      <c r="D1095" s="7" t="s">
        <v>3079</v>
      </c>
      <c r="E1095" s="7" t="s">
        <v>16</v>
      </c>
      <c r="F1095" s="7" t="s">
        <v>16</v>
      </c>
      <c r="G1095" s="7" t="s">
        <v>19</v>
      </c>
      <c r="H1095" s="7" t="s">
        <v>4588</v>
      </c>
      <c r="I1095" s="7" t="s">
        <v>4589</v>
      </c>
      <c r="J1095" s="8">
        <v>5000.0</v>
      </c>
      <c r="K1095" s="7" t="s">
        <v>16</v>
      </c>
      <c r="L1095" s="7" t="s">
        <v>16</v>
      </c>
      <c r="M1095" s="5" t="s">
        <v>75</v>
      </c>
      <c r="N1095" s="5" t="s">
        <v>4590</v>
      </c>
      <c r="O1095" s="5"/>
      <c r="P1095" s="5"/>
      <c r="Q1095" s="5"/>
      <c r="R1095" s="5"/>
      <c r="S1095" s="5"/>
      <c r="T1095" s="5"/>
      <c r="U1095" s="5"/>
      <c r="V1095" s="5"/>
      <c r="W1095" s="5"/>
      <c r="X1095" s="5"/>
      <c r="Y1095" s="5"/>
      <c r="Z1095" s="5"/>
    </row>
    <row r="1096">
      <c r="A1096" s="6" t="s">
        <v>4591</v>
      </c>
      <c r="B1096" s="5" t="s">
        <v>14</v>
      </c>
      <c r="C1096" s="7" t="s">
        <v>4592</v>
      </c>
      <c r="D1096" s="7" t="s">
        <v>16</v>
      </c>
      <c r="E1096" s="8">
        <v>4.0</v>
      </c>
      <c r="F1096" s="7" t="s">
        <v>17</v>
      </c>
      <c r="G1096" s="5" t="s">
        <v>461</v>
      </c>
      <c r="H1096" s="7" t="s">
        <v>16</v>
      </c>
      <c r="I1096" s="7" t="s">
        <v>4593</v>
      </c>
      <c r="J1096" s="7" t="s">
        <v>16</v>
      </c>
      <c r="K1096" s="7" t="s">
        <v>16</v>
      </c>
      <c r="L1096" s="7" t="s">
        <v>16</v>
      </c>
      <c r="M1096" s="5" t="s">
        <v>75</v>
      </c>
      <c r="N1096" s="5" t="s">
        <v>4594</v>
      </c>
      <c r="O1096" s="5"/>
      <c r="P1096" s="5"/>
      <c r="Q1096" s="5"/>
      <c r="R1096" s="5"/>
      <c r="S1096" s="5"/>
      <c r="T1096" s="5"/>
      <c r="U1096" s="5"/>
      <c r="V1096" s="5"/>
      <c r="W1096" s="5"/>
      <c r="X1096" s="5"/>
      <c r="Y1096" s="5"/>
      <c r="Z1096" s="5"/>
    </row>
    <row r="1097">
      <c r="A1097" s="6" t="s">
        <v>4595</v>
      </c>
      <c r="B1097" s="5" t="s">
        <v>14</v>
      </c>
      <c r="C1097" s="7" t="s">
        <v>4596</v>
      </c>
      <c r="D1097" s="7" t="s">
        <v>16</v>
      </c>
      <c r="E1097" s="8">
        <v>2.0</v>
      </c>
      <c r="F1097" s="7" t="s">
        <v>105</v>
      </c>
      <c r="G1097" s="7" t="s">
        <v>19</v>
      </c>
      <c r="H1097" s="7" t="s">
        <v>16</v>
      </c>
      <c r="I1097" s="7" t="s">
        <v>4597</v>
      </c>
      <c r="J1097" s="7" t="s">
        <v>16</v>
      </c>
      <c r="K1097" s="7" t="s">
        <v>16</v>
      </c>
      <c r="L1097" s="7" t="s">
        <v>16</v>
      </c>
      <c r="M1097" s="5" t="s">
        <v>75</v>
      </c>
      <c r="N1097" s="5" t="s">
        <v>4598</v>
      </c>
      <c r="O1097" s="5"/>
      <c r="P1097" s="5"/>
      <c r="Q1097" s="5"/>
      <c r="R1097" s="5"/>
      <c r="S1097" s="5"/>
      <c r="T1097" s="5"/>
      <c r="U1097" s="5"/>
      <c r="V1097" s="5"/>
      <c r="W1097" s="5"/>
      <c r="X1097" s="5"/>
      <c r="Y1097" s="5"/>
      <c r="Z1097" s="5"/>
    </row>
    <row r="1098">
      <c r="A1098" s="6" t="s">
        <v>4599</v>
      </c>
      <c r="B1098" s="5" t="s">
        <v>14</v>
      </c>
      <c r="C1098" s="7" t="s">
        <v>4600</v>
      </c>
      <c r="D1098" s="7" t="s">
        <v>16</v>
      </c>
      <c r="E1098" s="8">
        <v>0.0</v>
      </c>
      <c r="F1098" s="7" t="s">
        <v>17</v>
      </c>
      <c r="G1098" s="7" t="s">
        <v>19</v>
      </c>
      <c r="H1098" s="7" t="s">
        <v>16</v>
      </c>
      <c r="I1098" s="7" t="s">
        <v>4601</v>
      </c>
      <c r="J1098" s="7" t="s">
        <v>16</v>
      </c>
      <c r="K1098" s="7" t="s">
        <v>16</v>
      </c>
      <c r="L1098" s="7" t="s">
        <v>16</v>
      </c>
      <c r="M1098" s="5" t="s">
        <v>75</v>
      </c>
      <c r="N1098" s="5" t="s">
        <v>4602</v>
      </c>
      <c r="O1098" s="5"/>
      <c r="P1098" s="5"/>
      <c r="Q1098" s="5"/>
      <c r="R1098" s="5"/>
      <c r="S1098" s="5"/>
      <c r="T1098" s="5"/>
      <c r="U1098" s="5"/>
      <c r="V1098" s="5"/>
      <c r="W1098" s="5"/>
      <c r="X1098" s="5"/>
      <c r="Y1098" s="5"/>
      <c r="Z1098" s="5"/>
    </row>
    <row r="1099">
      <c r="A1099" s="6" t="s">
        <v>4603</v>
      </c>
      <c r="B1099" s="5" t="s">
        <v>1067</v>
      </c>
      <c r="C1099" s="7" t="s">
        <v>1068</v>
      </c>
      <c r="D1099" s="7" t="s">
        <v>1068</v>
      </c>
      <c r="E1099" s="7" t="s">
        <v>16</v>
      </c>
      <c r="F1099" s="7" t="s">
        <v>16</v>
      </c>
      <c r="G1099" s="5" t="s">
        <v>19</v>
      </c>
      <c r="H1099" s="7" t="s">
        <v>4604</v>
      </c>
      <c r="I1099" s="7" t="s">
        <v>4605</v>
      </c>
      <c r="J1099" s="8">
        <v>5000.0</v>
      </c>
      <c r="K1099" s="7" t="s">
        <v>16</v>
      </c>
      <c r="L1099" s="7" t="s">
        <v>16</v>
      </c>
      <c r="M1099" s="5" t="s">
        <v>75</v>
      </c>
      <c r="N1099" s="5" t="s">
        <v>4606</v>
      </c>
      <c r="O1099" s="5"/>
      <c r="P1099" s="5"/>
      <c r="Q1099" s="5"/>
      <c r="R1099" s="5"/>
      <c r="S1099" s="5"/>
      <c r="T1099" s="5"/>
      <c r="U1099" s="5"/>
      <c r="V1099" s="5"/>
      <c r="W1099" s="5"/>
      <c r="X1099" s="5"/>
      <c r="Y1099" s="5"/>
      <c r="Z1099" s="5"/>
    </row>
    <row r="1100">
      <c r="A1100" s="6" t="s">
        <v>4607</v>
      </c>
      <c r="B1100" s="5" t="s">
        <v>14</v>
      </c>
      <c r="C1100" s="7" t="s">
        <v>4608</v>
      </c>
      <c r="D1100" s="7" t="s">
        <v>16</v>
      </c>
      <c r="E1100" s="8">
        <v>1.0</v>
      </c>
      <c r="F1100" s="7" t="s">
        <v>17</v>
      </c>
      <c r="G1100" s="5" t="s">
        <v>19</v>
      </c>
      <c r="H1100" s="7" t="s">
        <v>16</v>
      </c>
      <c r="I1100" s="7" t="s">
        <v>4609</v>
      </c>
      <c r="J1100" s="7" t="s">
        <v>16</v>
      </c>
      <c r="K1100" s="7" t="s">
        <v>16</v>
      </c>
      <c r="L1100" s="7" t="s">
        <v>16</v>
      </c>
      <c r="M1100" s="5" t="s">
        <v>75</v>
      </c>
      <c r="N1100" s="5" t="s">
        <v>16</v>
      </c>
      <c r="O1100" s="5"/>
      <c r="P1100" s="5"/>
      <c r="Q1100" s="5"/>
      <c r="R1100" s="5"/>
      <c r="S1100" s="5"/>
      <c r="T1100" s="5"/>
      <c r="U1100" s="5"/>
      <c r="V1100" s="5"/>
      <c r="W1100" s="5"/>
      <c r="X1100" s="5"/>
      <c r="Y1100" s="5"/>
      <c r="Z1100" s="5"/>
    </row>
    <row r="1101">
      <c r="A1101" s="6" t="s">
        <v>4610</v>
      </c>
      <c r="B1101" s="5" t="s">
        <v>1067</v>
      </c>
      <c r="C1101" s="7" t="s">
        <v>1068</v>
      </c>
      <c r="D1101" s="7" t="s">
        <v>1068</v>
      </c>
      <c r="E1101" s="7" t="s">
        <v>16</v>
      </c>
      <c r="F1101" s="7" t="s">
        <v>16</v>
      </c>
      <c r="G1101" s="7" t="s">
        <v>19</v>
      </c>
      <c r="H1101" s="7" t="s">
        <v>4611</v>
      </c>
      <c r="I1101" s="7" t="s">
        <v>4612</v>
      </c>
      <c r="J1101" s="8">
        <v>4000.0</v>
      </c>
      <c r="K1101" s="7" t="s">
        <v>16</v>
      </c>
      <c r="L1101" s="7" t="s">
        <v>16</v>
      </c>
      <c r="M1101" s="5" t="s">
        <v>75</v>
      </c>
      <c r="N1101" s="5" t="s">
        <v>4613</v>
      </c>
      <c r="O1101" s="5"/>
      <c r="P1101" s="5"/>
      <c r="Q1101" s="5"/>
      <c r="R1101" s="5"/>
      <c r="S1101" s="5"/>
      <c r="T1101" s="5"/>
      <c r="U1101" s="5"/>
      <c r="V1101" s="5"/>
      <c r="W1101" s="5"/>
      <c r="X1101" s="5"/>
      <c r="Y1101" s="5"/>
      <c r="Z1101" s="5"/>
    </row>
    <row r="1102">
      <c r="A1102" s="6" t="s">
        <v>4614</v>
      </c>
      <c r="B1102" s="5" t="s">
        <v>2973</v>
      </c>
      <c r="C1102" s="7" t="s">
        <v>1199</v>
      </c>
      <c r="D1102" s="7" t="s">
        <v>1199</v>
      </c>
      <c r="E1102" s="7" t="s">
        <v>16</v>
      </c>
      <c r="F1102" s="7" t="s">
        <v>16</v>
      </c>
      <c r="G1102" s="7" t="s">
        <v>461</v>
      </c>
      <c r="H1102" s="7" t="s">
        <v>4615</v>
      </c>
      <c r="I1102" s="7" t="s">
        <v>4616</v>
      </c>
      <c r="J1102" s="8">
        <v>7000.0</v>
      </c>
      <c r="K1102" s="7" t="s">
        <v>16</v>
      </c>
      <c r="L1102" s="7" t="s">
        <v>16</v>
      </c>
      <c r="M1102" s="5" t="s">
        <v>75</v>
      </c>
      <c r="N1102" s="5" t="s">
        <v>4617</v>
      </c>
      <c r="O1102" s="5"/>
      <c r="P1102" s="5"/>
      <c r="Q1102" s="5"/>
      <c r="R1102" s="5"/>
      <c r="S1102" s="5"/>
      <c r="T1102" s="5"/>
      <c r="U1102" s="5"/>
      <c r="V1102" s="5"/>
      <c r="W1102" s="5"/>
      <c r="X1102" s="5"/>
      <c r="Y1102" s="5"/>
      <c r="Z1102" s="5"/>
    </row>
    <row r="1103">
      <c r="A1103" s="6" t="s">
        <v>4618</v>
      </c>
      <c r="B1103" s="5" t="s">
        <v>1067</v>
      </c>
      <c r="C1103" s="7" t="s">
        <v>1199</v>
      </c>
      <c r="D1103" s="7" t="s">
        <v>1199</v>
      </c>
      <c r="E1103" s="7" t="s">
        <v>16</v>
      </c>
      <c r="F1103" s="7" t="s">
        <v>16</v>
      </c>
      <c r="G1103" s="5" t="s">
        <v>19</v>
      </c>
      <c r="H1103" s="7" t="s">
        <v>4619</v>
      </c>
      <c r="I1103" s="7" t="s">
        <v>4620</v>
      </c>
      <c r="J1103" s="8">
        <v>6000.0</v>
      </c>
      <c r="K1103" s="7" t="s">
        <v>16</v>
      </c>
      <c r="L1103" s="7" t="s">
        <v>16</v>
      </c>
      <c r="M1103" s="5" t="s">
        <v>75</v>
      </c>
      <c r="N1103" s="5" t="s">
        <v>4621</v>
      </c>
      <c r="O1103" s="5"/>
      <c r="P1103" s="5"/>
      <c r="Q1103" s="5"/>
      <c r="R1103" s="5"/>
      <c r="S1103" s="5"/>
      <c r="T1103" s="5"/>
      <c r="U1103" s="5"/>
      <c r="V1103" s="5"/>
      <c r="W1103" s="5"/>
      <c r="X1103" s="5"/>
      <c r="Y1103" s="5"/>
      <c r="Z1103" s="5"/>
    </row>
    <row r="1104">
      <c r="A1104" s="6" t="s">
        <v>4622</v>
      </c>
      <c r="B1104" s="5" t="s">
        <v>1096</v>
      </c>
      <c r="C1104" s="7" t="s">
        <v>3826</v>
      </c>
      <c r="D1104" s="7" t="s">
        <v>1199</v>
      </c>
      <c r="E1104" s="7" t="s">
        <v>16</v>
      </c>
      <c r="F1104" s="7" t="s">
        <v>16</v>
      </c>
      <c r="G1104" s="7" t="s">
        <v>19</v>
      </c>
      <c r="H1104" s="7" t="s">
        <v>4623</v>
      </c>
      <c r="I1104" s="7" t="s">
        <v>4624</v>
      </c>
      <c r="J1104" s="7" t="s">
        <v>16</v>
      </c>
      <c r="K1104" s="7" t="s">
        <v>16</v>
      </c>
      <c r="L1104" s="7" t="s">
        <v>16</v>
      </c>
      <c r="M1104" s="5" t="s">
        <v>75</v>
      </c>
      <c r="N1104" s="5" t="s">
        <v>4367</v>
      </c>
      <c r="O1104" s="5"/>
      <c r="P1104" s="5"/>
      <c r="Q1104" s="5"/>
      <c r="R1104" s="5"/>
      <c r="S1104" s="5"/>
      <c r="T1104" s="5"/>
      <c r="U1104" s="5"/>
      <c r="V1104" s="5"/>
      <c r="W1104" s="5"/>
      <c r="X1104" s="5"/>
      <c r="Y1104" s="5"/>
      <c r="Z1104" s="5"/>
    </row>
    <row r="1105">
      <c r="A1105" s="34" t="s">
        <v>4625</v>
      </c>
      <c r="B1105" s="5" t="s">
        <v>1128</v>
      </c>
      <c r="C1105" s="7" t="s">
        <v>4626</v>
      </c>
      <c r="D1105" s="7" t="s">
        <v>1199</v>
      </c>
      <c r="E1105" s="8">
        <v>3.0</v>
      </c>
      <c r="F1105" s="7" t="s">
        <v>105</v>
      </c>
      <c r="G1105" s="5" t="s">
        <v>19</v>
      </c>
      <c r="H1105" s="7" t="s">
        <v>1130</v>
      </c>
      <c r="I1105" s="7" t="s">
        <v>4627</v>
      </c>
      <c r="J1105" s="36" t="s">
        <v>1132</v>
      </c>
      <c r="K1105" s="8">
        <v>2.0</v>
      </c>
      <c r="L1105" s="7" t="s">
        <v>16</v>
      </c>
      <c r="M1105" s="5" t="s">
        <v>75</v>
      </c>
      <c r="N1105" s="5" t="s">
        <v>4628</v>
      </c>
      <c r="O1105" s="5"/>
      <c r="P1105" s="5"/>
      <c r="Q1105" s="5"/>
      <c r="R1105" s="5"/>
      <c r="S1105" s="5"/>
      <c r="T1105" s="5"/>
      <c r="U1105" s="5"/>
      <c r="V1105" s="5"/>
      <c r="W1105" s="5"/>
      <c r="X1105" s="5"/>
      <c r="Y1105" s="5"/>
      <c r="Z1105" s="5"/>
    </row>
    <row r="1106">
      <c r="A1106" s="34" t="s">
        <v>4629</v>
      </c>
      <c r="B1106" s="5" t="s">
        <v>14</v>
      </c>
      <c r="C1106" s="7" t="s">
        <v>4630</v>
      </c>
      <c r="D1106" s="7" t="s">
        <v>16</v>
      </c>
      <c r="E1106" s="8">
        <v>1.0</v>
      </c>
      <c r="F1106" s="7" t="s">
        <v>17</v>
      </c>
      <c r="G1106" s="7" t="s">
        <v>19</v>
      </c>
      <c r="H1106" s="7" t="s">
        <v>16</v>
      </c>
      <c r="I1106" s="7" t="s">
        <v>4631</v>
      </c>
      <c r="J1106" s="7" t="s">
        <v>16</v>
      </c>
      <c r="K1106" s="7" t="s">
        <v>16</v>
      </c>
      <c r="L1106" s="7" t="s">
        <v>16</v>
      </c>
      <c r="M1106" s="5" t="s">
        <v>75</v>
      </c>
      <c r="N1106" s="5" t="s">
        <v>4632</v>
      </c>
      <c r="O1106" s="5"/>
      <c r="P1106" s="5"/>
      <c r="Q1106" s="5"/>
      <c r="R1106" s="5"/>
      <c r="S1106" s="5"/>
      <c r="T1106" s="5"/>
      <c r="U1106" s="5"/>
      <c r="V1106" s="5"/>
      <c r="W1106" s="5"/>
      <c r="X1106" s="5"/>
      <c r="Y1106" s="5"/>
      <c r="Z1106" s="5"/>
    </row>
    <row r="1107">
      <c r="A1107" s="34" t="s">
        <v>4633</v>
      </c>
      <c r="B1107" s="5" t="s">
        <v>14</v>
      </c>
      <c r="C1107" s="7" t="s">
        <v>4634</v>
      </c>
      <c r="D1107" s="7" t="s">
        <v>16</v>
      </c>
      <c r="E1107" s="8">
        <v>0.0</v>
      </c>
      <c r="F1107" s="7" t="s">
        <v>17</v>
      </c>
      <c r="G1107" s="5" t="s">
        <v>461</v>
      </c>
      <c r="H1107" s="7" t="s">
        <v>16</v>
      </c>
      <c r="I1107" s="7" t="s">
        <v>4635</v>
      </c>
      <c r="J1107" s="7" t="s">
        <v>16</v>
      </c>
      <c r="K1107" s="7" t="s">
        <v>16</v>
      </c>
      <c r="L1107" s="7" t="s">
        <v>16</v>
      </c>
      <c r="M1107" s="5" t="s">
        <v>75</v>
      </c>
      <c r="N1107" s="5" t="s">
        <v>4636</v>
      </c>
      <c r="O1107" s="5"/>
      <c r="P1107" s="5"/>
      <c r="Q1107" s="5"/>
      <c r="R1107" s="5"/>
      <c r="S1107" s="5"/>
      <c r="T1107" s="5"/>
      <c r="U1107" s="5"/>
      <c r="V1107" s="5"/>
      <c r="W1107" s="5"/>
      <c r="X1107" s="5"/>
      <c r="Y1107" s="5"/>
      <c r="Z1107" s="5"/>
    </row>
    <row r="1108">
      <c r="A1108" s="34" t="s">
        <v>4637</v>
      </c>
      <c r="B1108" s="5" t="s">
        <v>14</v>
      </c>
      <c r="C1108" s="7" t="s">
        <v>4638</v>
      </c>
      <c r="D1108" s="7" t="s">
        <v>16</v>
      </c>
      <c r="E1108" s="8">
        <v>1.0</v>
      </c>
      <c r="F1108" s="7" t="s">
        <v>17</v>
      </c>
      <c r="G1108" s="5" t="s">
        <v>461</v>
      </c>
      <c r="H1108" s="7" t="s">
        <v>16</v>
      </c>
      <c r="I1108" s="7" t="s">
        <v>4639</v>
      </c>
      <c r="J1108" s="7" t="s">
        <v>16</v>
      </c>
      <c r="K1108" s="7" t="s">
        <v>16</v>
      </c>
      <c r="L1108" s="7" t="s">
        <v>16</v>
      </c>
      <c r="M1108" s="5" t="s">
        <v>75</v>
      </c>
      <c r="N1108" s="5" t="s">
        <v>4640</v>
      </c>
      <c r="O1108" s="5"/>
      <c r="P1108" s="5"/>
      <c r="Q1108" s="5"/>
      <c r="R1108" s="5"/>
      <c r="S1108" s="5"/>
      <c r="T1108" s="5"/>
      <c r="U1108" s="5"/>
      <c r="V1108" s="5"/>
      <c r="W1108" s="5"/>
      <c r="X1108" s="5"/>
      <c r="Y1108" s="5"/>
      <c r="Z1108" s="5"/>
    </row>
    <row r="1109">
      <c r="A1109" s="34" t="s">
        <v>4641</v>
      </c>
      <c r="B1109" s="5" t="s">
        <v>14</v>
      </c>
      <c r="C1109" s="7" t="s">
        <v>4642</v>
      </c>
      <c r="D1109" s="7" t="s">
        <v>16</v>
      </c>
      <c r="E1109" s="8">
        <v>4.0</v>
      </c>
      <c r="F1109" s="7" t="s">
        <v>17</v>
      </c>
      <c r="G1109" s="5" t="s">
        <v>461</v>
      </c>
      <c r="H1109" s="7" t="s">
        <v>16</v>
      </c>
      <c r="I1109" s="7" t="s">
        <v>4643</v>
      </c>
      <c r="J1109" s="7" t="s">
        <v>16</v>
      </c>
      <c r="K1109" s="7" t="s">
        <v>16</v>
      </c>
      <c r="L1109" s="7" t="s">
        <v>16</v>
      </c>
      <c r="M1109" s="5" t="s">
        <v>75</v>
      </c>
      <c r="N1109" s="5" t="s">
        <v>4644</v>
      </c>
      <c r="O1109" s="5"/>
      <c r="P1109" s="5"/>
      <c r="Q1109" s="5"/>
      <c r="R1109" s="5"/>
      <c r="S1109" s="5"/>
      <c r="T1109" s="5"/>
      <c r="U1109" s="5"/>
      <c r="V1109" s="5"/>
      <c r="W1109" s="5"/>
      <c r="X1109" s="5"/>
      <c r="Y1109" s="5"/>
      <c r="Z1109" s="5"/>
    </row>
    <row r="1110">
      <c r="A1110" s="34" t="s">
        <v>4645</v>
      </c>
      <c r="B1110" s="5" t="s">
        <v>14</v>
      </c>
      <c r="C1110" s="7" t="s">
        <v>4646</v>
      </c>
      <c r="D1110" s="7" t="s">
        <v>16</v>
      </c>
      <c r="E1110" s="8">
        <v>4.0</v>
      </c>
      <c r="F1110" s="7" t="s">
        <v>105</v>
      </c>
      <c r="G1110" s="7" t="s">
        <v>326</v>
      </c>
      <c r="H1110" s="7" t="s">
        <v>16</v>
      </c>
      <c r="I1110" s="7" t="s">
        <v>4647</v>
      </c>
      <c r="J1110" s="7" t="s">
        <v>16</v>
      </c>
      <c r="K1110" s="7" t="s">
        <v>16</v>
      </c>
      <c r="L1110" s="7" t="s">
        <v>16</v>
      </c>
      <c r="M1110" s="5" t="s">
        <v>75</v>
      </c>
      <c r="N1110" s="5" t="s">
        <v>4648</v>
      </c>
      <c r="O1110" s="5"/>
      <c r="P1110" s="5"/>
      <c r="Q1110" s="5"/>
      <c r="R1110" s="5"/>
      <c r="S1110" s="5"/>
      <c r="T1110" s="5"/>
      <c r="U1110" s="5"/>
      <c r="V1110" s="5"/>
      <c r="W1110" s="5"/>
      <c r="X1110" s="5"/>
      <c r="Y1110" s="5"/>
      <c r="Z1110" s="5"/>
    </row>
    <row r="1111">
      <c r="A1111" s="34" t="s">
        <v>4649</v>
      </c>
      <c r="B1111" s="5" t="s">
        <v>14</v>
      </c>
      <c r="C1111" s="7" t="s">
        <v>4650</v>
      </c>
      <c r="D1111" s="7" t="s">
        <v>16</v>
      </c>
      <c r="E1111" s="8">
        <v>2.0</v>
      </c>
      <c r="F1111" s="7" t="s">
        <v>105</v>
      </c>
      <c r="G1111" s="5" t="s">
        <v>19</v>
      </c>
      <c r="H1111" s="7" t="s">
        <v>16</v>
      </c>
      <c r="I1111" s="7" t="s">
        <v>4651</v>
      </c>
      <c r="J1111" s="7" t="s">
        <v>16</v>
      </c>
      <c r="K1111" s="7" t="s">
        <v>16</v>
      </c>
      <c r="L1111" s="7" t="s">
        <v>16</v>
      </c>
      <c r="M1111" s="5" t="s">
        <v>75</v>
      </c>
      <c r="N1111" s="5" t="s">
        <v>4652</v>
      </c>
      <c r="O1111" s="5"/>
      <c r="P1111" s="5"/>
      <c r="Q1111" s="5"/>
      <c r="R1111" s="5"/>
      <c r="S1111" s="5"/>
      <c r="T1111" s="5"/>
      <c r="U1111" s="5"/>
      <c r="V1111" s="5"/>
      <c r="W1111" s="5"/>
      <c r="X1111" s="5"/>
      <c r="Y1111" s="5"/>
      <c r="Z1111" s="5"/>
    </row>
    <row r="1112">
      <c r="A1112" s="34" t="s">
        <v>4653</v>
      </c>
      <c r="B1112" s="5" t="s">
        <v>3454</v>
      </c>
      <c r="C1112" s="7" t="s">
        <v>4654</v>
      </c>
      <c r="D1112" s="13" t="s">
        <v>4655</v>
      </c>
      <c r="E1112" s="7" t="s">
        <v>16</v>
      </c>
      <c r="F1112" s="7" t="s">
        <v>16</v>
      </c>
      <c r="G1112" s="5" t="s">
        <v>461</v>
      </c>
      <c r="H1112" s="7" t="s">
        <v>2449</v>
      </c>
      <c r="I1112" s="7" t="s">
        <v>4656</v>
      </c>
      <c r="J1112" s="8">
        <v>5500.0</v>
      </c>
      <c r="K1112" s="7" t="s">
        <v>16</v>
      </c>
      <c r="L1112" s="7" t="s">
        <v>16</v>
      </c>
      <c r="M1112" s="5" t="s">
        <v>75</v>
      </c>
      <c r="N1112" s="5" t="s">
        <v>4657</v>
      </c>
      <c r="O1112" s="5"/>
      <c r="P1112" s="5"/>
      <c r="Q1112" s="5"/>
      <c r="R1112" s="5"/>
      <c r="S1112" s="5"/>
      <c r="T1112" s="5"/>
      <c r="U1112" s="5"/>
      <c r="V1112" s="5"/>
      <c r="W1112" s="5"/>
      <c r="X1112" s="5"/>
      <c r="Y1112" s="5"/>
      <c r="Z1112" s="5"/>
    </row>
    <row r="1113">
      <c r="A1113" s="34" t="s">
        <v>4658</v>
      </c>
      <c r="B1113" s="5" t="s">
        <v>4659</v>
      </c>
      <c r="C1113" s="7" t="s">
        <v>4660</v>
      </c>
      <c r="D1113" s="7" t="s">
        <v>16</v>
      </c>
      <c r="E1113" s="7" t="s">
        <v>16</v>
      </c>
      <c r="F1113" s="7" t="s">
        <v>16</v>
      </c>
      <c r="G1113" s="5" t="s">
        <v>326</v>
      </c>
      <c r="H1113" s="7" t="s">
        <v>16</v>
      </c>
      <c r="I1113" s="7" t="s">
        <v>4661</v>
      </c>
      <c r="J1113" s="7" t="s">
        <v>16</v>
      </c>
      <c r="K1113" s="7" t="s">
        <v>16</v>
      </c>
      <c r="L1113" s="7" t="s">
        <v>16</v>
      </c>
      <c r="M1113" s="5" t="s">
        <v>75</v>
      </c>
      <c r="N1113" s="5" t="s">
        <v>4662</v>
      </c>
      <c r="O1113" s="5"/>
      <c r="P1113" s="5"/>
      <c r="Q1113" s="5"/>
      <c r="R1113" s="5"/>
      <c r="S1113" s="5"/>
      <c r="T1113" s="5"/>
      <c r="U1113" s="5"/>
      <c r="V1113" s="5"/>
      <c r="W1113" s="5"/>
      <c r="X1113" s="5"/>
      <c r="Y1113" s="5"/>
      <c r="Z1113" s="5"/>
    </row>
    <row r="1114">
      <c r="A1114" s="6" t="s">
        <v>4663</v>
      </c>
      <c r="B1114" s="5" t="s">
        <v>1128</v>
      </c>
      <c r="C1114" s="7" t="s">
        <v>1129</v>
      </c>
      <c r="D1114" s="7" t="s">
        <v>1068</v>
      </c>
      <c r="E1114" s="8">
        <v>1.0</v>
      </c>
      <c r="F1114" s="7" t="s">
        <v>105</v>
      </c>
      <c r="G1114" s="5" t="s">
        <v>19</v>
      </c>
      <c r="H1114" s="7" t="s">
        <v>1130</v>
      </c>
      <c r="I1114" s="7" t="s">
        <v>1131</v>
      </c>
      <c r="J1114" s="36" t="s">
        <v>1261</v>
      </c>
      <c r="K1114" s="8">
        <v>1.0</v>
      </c>
      <c r="L1114" s="7" t="s">
        <v>21</v>
      </c>
      <c r="M1114" s="5" t="s">
        <v>22</v>
      </c>
      <c r="N1114" s="5" t="s">
        <v>4664</v>
      </c>
      <c r="O1114" s="5"/>
      <c r="P1114" s="5"/>
      <c r="Q1114" s="5"/>
      <c r="R1114" s="5"/>
      <c r="S1114" s="5"/>
      <c r="T1114" s="5"/>
      <c r="U1114" s="5"/>
      <c r="V1114" s="5"/>
      <c r="W1114" s="5"/>
      <c r="X1114" s="5"/>
      <c r="Y1114" s="5"/>
      <c r="Z1114" s="5"/>
    </row>
    <row r="1115">
      <c r="A1115" s="6" t="s">
        <v>4665</v>
      </c>
      <c r="B1115" s="5" t="s">
        <v>1128</v>
      </c>
      <c r="C1115" s="7" t="s">
        <v>1129</v>
      </c>
      <c r="D1115" s="7" t="s">
        <v>1068</v>
      </c>
      <c r="E1115" s="8">
        <v>2.0</v>
      </c>
      <c r="F1115" s="7" t="s">
        <v>105</v>
      </c>
      <c r="G1115" s="5" t="s">
        <v>19</v>
      </c>
      <c r="H1115" s="7" t="s">
        <v>1130</v>
      </c>
      <c r="I1115" s="7" t="s">
        <v>1131</v>
      </c>
      <c r="J1115" s="36" t="s">
        <v>1261</v>
      </c>
      <c r="K1115" s="8">
        <v>2.0</v>
      </c>
      <c r="L1115" s="7" t="s">
        <v>4666</v>
      </c>
      <c r="M1115" s="5" t="s">
        <v>22</v>
      </c>
      <c r="N1115" s="5" t="s">
        <v>4667</v>
      </c>
      <c r="O1115" s="5"/>
      <c r="P1115" s="5"/>
      <c r="Q1115" s="5"/>
      <c r="R1115" s="5"/>
      <c r="S1115" s="5"/>
      <c r="T1115" s="5"/>
      <c r="U1115" s="5"/>
      <c r="V1115" s="5"/>
      <c r="W1115" s="5"/>
      <c r="X1115" s="5"/>
      <c r="Y1115" s="5"/>
      <c r="Z1115" s="5"/>
    </row>
    <row r="1116">
      <c r="A1116" s="6" t="s">
        <v>4668</v>
      </c>
      <c r="B1116" s="5" t="s">
        <v>1128</v>
      </c>
      <c r="C1116" s="7" t="s">
        <v>1135</v>
      </c>
      <c r="D1116" s="7" t="s">
        <v>1068</v>
      </c>
      <c r="E1116" s="8">
        <v>1.0</v>
      </c>
      <c r="F1116" s="7" t="s">
        <v>172</v>
      </c>
      <c r="G1116" s="5" t="s">
        <v>19</v>
      </c>
      <c r="H1116" s="7" t="s">
        <v>1130</v>
      </c>
      <c r="I1116" s="7" t="s">
        <v>4669</v>
      </c>
      <c r="J1116" s="36" t="s">
        <v>1137</v>
      </c>
      <c r="K1116" s="8">
        <v>1.0</v>
      </c>
      <c r="L1116" s="7" t="s">
        <v>4670</v>
      </c>
      <c r="M1116" s="5" t="s">
        <v>36</v>
      </c>
      <c r="N1116" s="5" t="s">
        <v>4671</v>
      </c>
      <c r="O1116" s="5"/>
      <c r="P1116" s="5"/>
      <c r="Q1116" s="5"/>
      <c r="R1116" s="5"/>
      <c r="S1116" s="5"/>
      <c r="T1116" s="5"/>
      <c r="U1116" s="5"/>
      <c r="V1116" s="5"/>
      <c r="W1116" s="5"/>
      <c r="X1116" s="5"/>
      <c r="Y1116" s="5"/>
      <c r="Z1116" s="5"/>
    </row>
    <row r="1117">
      <c r="A1117" s="6" t="s">
        <v>4672</v>
      </c>
      <c r="B1117" s="5" t="s">
        <v>1128</v>
      </c>
      <c r="C1117" s="7" t="s">
        <v>4673</v>
      </c>
      <c r="D1117" s="7" t="s">
        <v>1068</v>
      </c>
      <c r="E1117" s="8">
        <v>1.0</v>
      </c>
      <c r="F1117" s="7" t="s">
        <v>17</v>
      </c>
      <c r="G1117" s="5" t="s">
        <v>19</v>
      </c>
      <c r="H1117" s="7" t="s">
        <v>1130</v>
      </c>
      <c r="I1117" s="7" t="s">
        <v>4674</v>
      </c>
      <c r="J1117" s="36" t="s">
        <v>1261</v>
      </c>
      <c r="K1117" s="8">
        <v>1.0</v>
      </c>
      <c r="L1117" s="7" t="s">
        <v>4675</v>
      </c>
      <c r="M1117" s="5" t="s">
        <v>22</v>
      </c>
      <c r="N1117" s="5" t="s">
        <v>4676</v>
      </c>
      <c r="O1117" s="5"/>
      <c r="P1117" s="5"/>
      <c r="Q1117" s="5"/>
      <c r="R1117" s="5"/>
      <c r="S1117" s="5"/>
      <c r="T1117" s="5"/>
      <c r="U1117" s="5"/>
      <c r="V1117" s="5"/>
      <c r="W1117" s="5"/>
      <c r="X1117" s="5"/>
      <c r="Y1117" s="5"/>
      <c r="Z1117" s="5"/>
    </row>
    <row r="1118">
      <c r="A1118" s="6" t="s">
        <v>4677</v>
      </c>
      <c r="B1118" s="5" t="s">
        <v>1128</v>
      </c>
      <c r="C1118" s="7" t="s">
        <v>1160</v>
      </c>
      <c r="D1118" s="7" t="s">
        <v>1068</v>
      </c>
      <c r="E1118" s="8">
        <v>6.0</v>
      </c>
      <c r="F1118" s="7" t="s">
        <v>105</v>
      </c>
      <c r="G1118" s="5" t="s">
        <v>326</v>
      </c>
      <c r="H1118" s="7" t="s">
        <v>1130</v>
      </c>
      <c r="I1118" s="7" t="s">
        <v>1131</v>
      </c>
      <c r="J1118" s="36" t="s">
        <v>1154</v>
      </c>
      <c r="K1118" s="8">
        <v>3.0</v>
      </c>
      <c r="L1118" s="7" t="s">
        <v>21</v>
      </c>
      <c r="M1118" s="5" t="s">
        <v>88</v>
      </c>
      <c r="N1118" s="5" t="s">
        <v>4678</v>
      </c>
      <c r="O1118" s="5"/>
      <c r="P1118" s="5"/>
      <c r="Q1118" s="5"/>
      <c r="R1118" s="5"/>
      <c r="S1118" s="5"/>
      <c r="T1118" s="5"/>
      <c r="U1118" s="5"/>
      <c r="V1118" s="5"/>
      <c r="W1118" s="5"/>
      <c r="X1118" s="5"/>
      <c r="Y1118" s="5"/>
      <c r="Z1118" s="5"/>
    </row>
    <row r="1119">
      <c r="A1119" s="6" t="s">
        <v>4679</v>
      </c>
      <c r="B1119" s="5" t="s">
        <v>1128</v>
      </c>
      <c r="C1119" s="7" t="s">
        <v>4680</v>
      </c>
      <c r="D1119" s="7" t="s">
        <v>1522</v>
      </c>
      <c r="E1119" s="8">
        <v>1.0</v>
      </c>
      <c r="F1119" s="7" t="s">
        <v>105</v>
      </c>
      <c r="G1119" s="5" t="s">
        <v>19</v>
      </c>
      <c r="H1119" s="7" t="s">
        <v>4681</v>
      </c>
      <c r="I1119" s="7" t="s">
        <v>1131</v>
      </c>
      <c r="J1119" s="36" t="s">
        <v>1261</v>
      </c>
      <c r="K1119" s="8">
        <v>1.0</v>
      </c>
      <c r="L1119" s="7" t="s">
        <v>21</v>
      </c>
      <c r="M1119" s="5" t="s">
        <v>22</v>
      </c>
      <c r="N1119" s="5" t="s">
        <v>4682</v>
      </c>
      <c r="O1119" s="5"/>
      <c r="P1119" s="5"/>
      <c r="Q1119" s="5"/>
      <c r="R1119" s="5"/>
      <c r="S1119" s="5"/>
      <c r="T1119" s="5"/>
      <c r="U1119" s="5"/>
      <c r="V1119" s="5"/>
      <c r="W1119" s="5"/>
      <c r="X1119" s="5"/>
      <c r="Y1119" s="5"/>
      <c r="Z1119" s="5"/>
    </row>
    <row r="1120">
      <c r="A1120" s="6" t="s">
        <v>4683</v>
      </c>
      <c r="B1120" s="5" t="s">
        <v>1128</v>
      </c>
      <c r="C1120" s="7" t="s">
        <v>4684</v>
      </c>
      <c r="D1120" s="7" t="s">
        <v>1522</v>
      </c>
      <c r="E1120" s="8">
        <v>2.0</v>
      </c>
      <c r="F1120" s="7" t="s">
        <v>105</v>
      </c>
      <c r="G1120" s="5" t="s">
        <v>19</v>
      </c>
      <c r="H1120" s="7" t="s">
        <v>4681</v>
      </c>
      <c r="I1120" s="7" t="s">
        <v>4685</v>
      </c>
      <c r="J1120" s="36" t="s">
        <v>1261</v>
      </c>
      <c r="K1120" s="8">
        <v>1.0</v>
      </c>
      <c r="L1120" s="7" t="s">
        <v>21</v>
      </c>
      <c r="M1120" s="5" t="s">
        <v>36</v>
      </c>
      <c r="N1120" s="5" t="s">
        <v>4686</v>
      </c>
      <c r="O1120" s="5"/>
      <c r="P1120" s="5"/>
      <c r="Q1120" s="5"/>
      <c r="R1120" s="5"/>
      <c r="S1120" s="5"/>
      <c r="T1120" s="5"/>
      <c r="U1120" s="5"/>
      <c r="V1120" s="5"/>
      <c r="W1120" s="5"/>
      <c r="X1120" s="5"/>
      <c r="Y1120" s="5"/>
      <c r="Z1120" s="5"/>
    </row>
    <row r="1121">
      <c r="A1121" s="6" t="s">
        <v>4687</v>
      </c>
      <c r="B1121" s="5" t="s">
        <v>1128</v>
      </c>
      <c r="C1121" s="7" t="s">
        <v>4688</v>
      </c>
      <c r="D1121" s="7" t="s">
        <v>1194</v>
      </c>
      <c r="E1121" s="8">
        <v>2.0</v>
      </c>
      <c r="F1121" s="7" t="s">
        <v>105</v>
      </c>
      <c r="G1121" s="5" t="s">
        <v>19</v>
      </c>
      <c r="H1121" s="7" t="s">
        <v>4689</v>
      </c>
      <c r="I1121" s="7" t="s">
        <v>1131</v>
      </c>
      <c r="J1121" s="36" t="s">
        <v>1261</v>
      </c>
      <c r="K1121" s="8">
        <v>2.0</v>
      </c>
      <c r="L1121" s="7" t="s">
        <v>21</v>
      </c>
      <c r="M1121" s="5" t="s">
        <v>22</v>
      </c>
      <c r="N1121" s="5" t="s">
        <v>4690</v>
      </c>
      <c r="O1121" s="5"/>
      <c r="P1121" s="5"/>
      <c r="Q1121" s="5"/>
      <c r="R1121" s="5"/>
      <c r="S1121" s="5"/>
      <c r="T1121" s="5"/>
      <c r="U1121" s="5"/>
      <c r="V1121" s="5"/>
      <c r="W1121" s="5"/>
      <c r="X1121" s="5"/>
      <c r="Y1121" s="5"/>
      <c r="Z1121" s="5"/>
    </row>
    <row r="1122">
      <c r="A1122" s="6" t="s">
        <v>4691</v>
      </c>
      <c r="B1122" s="5" t="s">
        <v>1128</v>
      </c>
      <c r="C1122" s="7" t="s">
        <v>4692</v>
      </c>
      <c r="D1122" s="7" t="s">
        <v>1194</v>
      </c>
      <c r="E1122" s="8">
        <v>2.0</v>
      </c>
      <c r="F1122" s="7" t="s">
        <v>17</v>
      </c>
      <c r="G1122" s="5" t="s">
        <v>19</v>
      </c>
      <c r="H1122" s="7" t="s">
        <v>4689</v>
      </c>
      <c r="I1122" s="7" t="s">
        <v>4693</v>
      </c>
      <c r="J1122" s="36" t="s">
        <v>1261</v>
      </c>
      <c r="K1122" s="8">
        <v>1.0</v>
      </c>
      <c r="L1122" s="7" t="s">
        <v>21</v>
      </c>
      <c r="M1122" s="5" t="s">
        <v>22</v>
      </c>
      <c r="N1122" s="5" t="s">
        <v>4694</v>
      </c>
      <c r="O1122" s="5"/>
      <c r="P1122" s="5"/>
      <c r="Q1122" s="5"/>
      <c r="R1122" s="5"/>
      <c r="S1122" s="5"/>
      <c r="T1122" s="5"/>
      <c r="U1122" s="5"/>
      <c r="V1122" s="5"/>
      <c r="W1122" s="5"/>
      <c r="X1122" s="5"/>
      <c r="Y1122" s="5"/>
      <c r="Z1122" s="5"/>
    </row>
    <row r="1123">
      <c r="A1123" s="6" t="s">
        <v>4695</v>
      </c>
      <c r="B1123" s="5" t="s">
        <v>1128</v>
      </c>
      <c r="C1123" s="7" t="s">
        <v>1250</v>
      </c>
      <c r="D1123" s="7" t="s">
        <v>1194</v>
      </c>
      <c r="E1123" s="8">
        <v>3.0</v>
      </c>
      <c r="F1123" s="7" t="s">
        <v>105</v>
      </c>
      <c r="G1123" s="5" t="s">
        <v>19</v>
      </c>
      <c r="H1123" s="7" t="s">
        <v>4689</v>
      </c>
      <c r="I1123" s="7" t="s">
        <v>1131</v>
      </c>
      <c r="J1123" s="36" t="s">
        <v>1132</v>
      </c>
      <c r="K1123" s="8">
        <v>2.0</v>
      </c>
      <c r="L1123" s="7" t="s">
        <v>21</v>
      </c>
      <c r="M1123" s="5" t="s">
        <v>16</v>
      </c>
      <c r="N1123" s="5" t="s">
        <v>4696</v>
      </c>
      <c r="O1123" s="5"/>
      <c r="P1123" s="5"/>
      <c r="Q1123" s="5"/>
      <c r="R1123" s="5"/>
      <c r="S1123" s="5"/>
      <c r="T1123" s="5"/>
      <c r="U1123" s="5"/>
      <c r="V1123" s="5"/>
      <c r="W1123" s="5"/>
      <c r="X1123" s="5"/>
      <c r="Y1123" s="5"/>
      <c r="Z1123" s="5"/>
    </row>
    <row r="1124">
      <c r="A1124" s="6" t="s">
        <v>4697</v>
      </c>
      <c r="B1124" s="5" t="s">
        <v>1128</v>
      </c>
      <c r="C1124" s="7" t="s">
        <v>4698</v>
      </c>
      <c r="D1124" s="7" t="s">
        <v>1194</v>
      </c>
      <c r="E1124" s="8">
        <v>4.0</v>
      </c>
      <c r="F1124" s="7" t="s">
        <v>17</v>
      </c>
      <c r="G1124" s="5" t="s">
        <v>461</v>
      </c>
      <c r="H1124" s="7" t="s">
        <v>4689</v>
      </c>
      <c r="I1124" s="7" t="s">
        <v>4693</v>
      </c>
      <c r="J1124" s="36" t="s">
        <v>1137</v>
      </c>
      <c r="K1124" s="8">
        <v>3.0</v>
      </c>
      <c r="L1124" s="7" t="s">
        <v>42</v>
      </c>
      <c r="M1124" s="5" t="s">
        <v>16</v>
      </c>
      <c r="N1124" s="5" t="s">
        <v>4699</v>
      </c>
      <c r="O1124" s="5"/>
      <c r="P1124" s="5"/>
      <c r="Q1124" s="5"/>
      <c r="R1124" s="5"/>
      <c r="S1124" s="5"/>
      <c r="T1124" s="5"/>
      <c r="U1124" s="5"/>
      <c r="V1124" s="5"/>
      <c r="W1124" s="5"/>
      <c r="X1124" s="5"/>
      <c r="Y1124" s="5"/>
      <c r="Z1124" s="5"/>
    </row>
    <row r="1125">
      <c r="A1125" s="6" t="s">
        <v>4700</v>
      </c>
      <c r="B1125" s="5" t="s">
        <v>1128</v>
      </c>
      <c r="C1125" s="7" t="s">
        <v>4701</v>
      </c>
      <c r="D1125" s="7" t="s">
        <v>1531</v>
      </c>
      <c r="E1125" s="8">
        <v>1.0</v>
      </c>
      <c r="F1125" s="7" t="s">
        <v>17</v>
      </c>
      <c r="G1125" s="5" t="s">
        <v>19</v>
      </c>
      <c r="H1125" s="7" t="s">
        <v>16</v>
      </c>
      <c r="I1125" s="7" t="s">
        <v>1131</v>
      </c>
      <c r="J1125" s="36" t="s">
        <v>1132</v>
      </c>
      <c r="K1125" s="8">
        <v>1.0</v>
      </c>
      <c r="L1125" s="7" t="s">
        <v>21</v>
      </c>
      <c r="M1125" s="5" t="s">
        <v>22</v>
      </c>
      <c r="N1125" s="5" t="s">
        <v>4702</v>
      </c>
      <c r="O1125" s="5"/>
      <c r="P1125" s="5"/>
      <c r="Q1125" s="5"/>
      <c r="R1125" s="5"/>
      <c r="S1125" s="5"/>
      <c r="T1125" s="5"/>
      <c r="U1125" s="5"/>
      <c r="V1125" s="5"/>
      <c r="W1125" s="5"/>
      <c r="X1125" s="5"/>
      <c r="Y1125" s="5"/>
      <c r="Z1125" s="5"/>
    </row>
    <row r="1126">
      <c r="A1126" s="6" t="s">
        <v>4703</v>
      </c>
      <c r="B1126" s="5" t="s">
        <v>1128</v>
      </c>
      <c r="C1126" s="7" t="s">
        <v>4704</v>
      </c>
      <c r="D1126" s="7" t="s">
        <v>1531</v>
      </c>
      <c r="E1126" s="8">
        <v>2.0</v>
      </c>
      <c r="F1126" s="7" t="s">
        <v>17</v>
      </c>
      <c r="G1126" s="5" t="s">
        <v>19</v>
      </c>
      <c r="H1126" s="7" t="s">
        <v>16</v>
      </c>
      <c r="I1126" s="7" t="s">
        <v>1131</v>
      </c>
      <c r="J1126" s="36" t="s">
        <v>1132</v>
      </c>
      <c r="K1126" s="8">
        <v>2.0</v>
      </c>
      <c r="L1126" s="7" t="s">
        <v>21</v>
      </c>
      <c r="M1126" s="5" t="s">
        <v>36</v>
      </c>
      <c r="N1126" s="5" t="s">
        <v>4705</v>
      </c>
      <c r="O1126" s="5"/>
      <c r="P1126" s="5"/>
      <c r="Q1126" s="5"/>
      <c r="R1126" s="5"/>
      <c r="S1126" s="5"/>
      <c r="T1126" s="5"/>
      <c r="U1126" s="5"/>
      <c r="V1126" s="5"/>
      <c r="W1126" s="5"/>
      <c r="X1126" s="5"/>
      <c r="Y1126" s="5"/>
      <c r="Z1126" s="5"/>
    </row>
    <row r="1127">
      <c r="A1127" s="6" t="s">
        <v>4706</v>
      </c>
      <c r="B1127" s="5" t="s">
        <v>1128</v>
      </c>
      <c r="C1127" s="7" t="s">
        <v>4707</v>
      </c>
      <c r="D1127" s="7" t="s">
        <v>1541</v>
      </c>
      <c r="E1127" s="8">
        <v>2.0</v>
      </c>
      <c r="F1127" s="7" t="s">
        <v>105</v>
      </c>
      <c r="G1127" s="5" t="s">
        <v>19</v>
      </c>
      <c r="H1127" s="7" t="s">
        <v>4708</v>
      </c>
      <c r="I1127" s="7" t="s">
        <v>4674</v>
      </c>
      <c r="J1127" s="36" t="s">
        <v>1261</v>
      </c>
      <c r="K1127" s="8">
        <v>1.0</v>
      </c>
      <c r="L1127" s="7" t="s">
        <v>21</v>
      </c>
      <c r="M1127" s="5" t="s">
        <v>22</v>
      </c>
      <c r="N1127" s="5" t="s">
        <v>4709</v>
      </c>
      <c r="O1127" s="5"/>
      <c r="P1127" s="5"/>
      <c r="Q1127" s="5"/>
      <c r="R1127" s="5"/>
      <c r="S1127" s="5"/>
      <c r="T1127" s="5"/>
      <c r="U1127" s="5"/>
      <c r="V1127" s="5"/>
      <c r="W1127" s="5"/>
      <c r="X1127" s="5"/>
      <c r="Y1127" s="5"/>
      <c r="Z1127" s="5"/>
    </row>
    <row r="1128">
      <c r="A1128" s="6" t="s">
        <v>4710</v>
      </c>
      <c r="B1128" s="5" t="s">
        <v>1128</v>
      </c>
      <c r="C1128" s="7" t="s">
        <v>4711</v>
      </c>
      <c r="D1128" s="7" t="s">
        <v>1541</v>
      </c>
      <c r="E1128" s="8">
        <v>4.0</v>
      </c>
      <c r="F1128" s="7" t="s">
        <v>105</v>
      </c>
      <c r="G1128" s="5" t="s">
        <v>19</v>
      </c>
      <c r="H1128" s="7" t="s">
        <v>4708</v>
      </c>
      <c r="I1128" s="7" t="s">
        <v>4712</v>
      </c>
      <c r="J1128" s="36" t="s">
        <v>1137</v>
      </c>
      <c r="K1128" s="8">
        <v>3.0</v>
      </c>
      <c r="L1128" s="7" t="s">
        <v>21</v>
      </c>
      <c r="M1128" s="5" t="s">
        <v>36</v>
      </c>
      <c r="N1128" s="5" t="s">
        <v>4713</v>
      </c>
      <c r="O1128" s="5"/>
      <c r="P1128" s="5"/>
      <c r="Q1128" s="5"/>
      <c r="R1128" s="5"/>
      <c r="S1128" s="5"/>
      <c r="T1128" s="5"/>
      <c r="U1128" s="5"/>
      <c r="V1128" s="5"/>
      <c r="W1128" s="5"/>
      <c r="X1128" s="5"/>
      <c r="Y1128" s="5"/>
      <c r="Z1128" s="5"/>
    </row>
    <row r="1129">
      <c r="A1129" s="6" t="s">
        <v>4714</v>
      </c>
      <c r="B1129" s="5" t="s">
        <v>1128</v>
      </c>
      <c r="C1129" s="7" t="s">
        <v>4715</v>
      </c>
      <c r="D1129" s="7" t="s">
        <v>1546</v>
      </c>
      <c r="E1129" s="8">
        <v>1.0</v>
      </c>
      <c r="F1129" s="7" t="s">
        <v>105</v>
      </c>
      <c r="G1129" s="5" t="s">
        <v>19</v>
      </c>
      <c r="H1129" s="7" t="s">
        <v>16</v>
      </c>
      <c r="I1129" s="7" t="s">
        <v>4716</v>
      </c>
      <c r="J1129" s="36" t="s">
        <v>1261</v>
      </c>
      <c r="K1129" s="8">
        <v>1.0</v>
      </c>
      <c r="L1129" s="7" t="s">
        <v>21</v>
      </c>
      <c r="M1129" s="5" t="s">
        <v>22</v>
      </c>
      <c r="N1129" s="5" t="s">
        <v>4717</v>
      </c>
      <c r="O1129" s="5"/>
      <c r="P1129" s="5"/>
      <c r="Q1129" s="5"/>
      <c r="R1129" s="5"/>
      <c r="S1129" s="5"/>
      <c r="T1129" s="5"/>
      <c r="U1129" s="5"/>
      <c r="V1129" s="5"/>
      <c r="W1129" s="5"/>
      <c r="X1129" s="5"/>
      <c r="Y1129" s="5"/>
      <c r="Z1129" s="5"/>
    </row>
    <row r="1130">
      <c r="A1130" s="6" t="s">
        <v>4718</v>
      </c>
      <c r="B1130" s="5" t="s">
        <v>1128</v>
      </c>
      <c r="C1130" s="7" t="s">
        <v>4719</v>
      </c>
      <c r="D1130" s="7" t="s">
        <v>1546</v>
      </c>
      <c r="E1130" s="8">
        <v>4.0</v>
      </c>
      <c r="F1130" s="7" t="s">
        <v>105</v>
      </c>
      <c r="G1130" s="5" t="s">
        <v>19</v>
      </c>
      <c r="H1130" s="7" t="s">
        <v>16</v>
      </c>
      <c r="I1130" s="13" t="s">
        <v>4720</v>
      </c>
      <c r="J1130" s="36" t="s">
        <v>1132</v>
      </c>
      <c r="K1130" s="8">
        <v>2.0</v>
      </c>
      <c r="L1130" s="7" t="s">
        <v>21</v>
      </c>
      <c r="M1130" s="5" t="s">
        <v>36</v>
      </c>
      <c r="N1130" s="5" t="s">
        <v>4721</v>
      </c>
      <c r="O1130" s="5"/>
      <c r="P1130" s="5"/>
      <c r="Q1130" s="5"/>
      <c r="R1130" s="5"/>
      <c r="S1130" s="5"/>
      <c r="T1130" s="5"/>
      <c r="U1130" s="5"/>
      <c r="V1130" s="5"/>
      <c r="W1130" s="5"/>
      <c r="X1130" s="5"/>
      <c r="Y1130" s="5"/>
      <c r="Z1130" s="5"/>
    </row>
    <row r="1131">
      <c r="A1131" s="6" t="s">
        <v>4722</v>
      </c>
      <c r="B1131" s="5" t="s">
        <v>1128</v>
      </c>
      <c r="C1131" s="7" t="s">
        <v>4723</v>
      </c>
      <c r="D1131" s="7" t="s">
        <v>1092</v>
      </c>
      <c r="E1131" s="8">
        <v>2.0</v>
      </c>
      <c r="F1131" s="7" t="s">
        <v>17</v>
      </c>
      <c r="G1131" s="5" t="s">
        <v>19</v>
      </c>
      <c r="H1131" s="7" t="s">
        <v>16</v>
      </c>
      <c r="I1131" s="7" t="s">
        <v>4712</v>
      </c>
      <c r="J1131" s="36" t="s">
        <v>1261</v>
      </c>
      <c r="K1131" s="8">
        <v>2.0</v>
      </c>
      <c r="L1131" s="7" t="s">
        <v>21</v>
      </c>
      <c r="M1131" s="5" t="s">
        <v>22</v>
      </c>
      <c r="N1131" s="5" t="s">
        <v>4724</v>
      </c>
      <c r="O1131" s="5"/>
      <c r="P1131" s="5"/>
      <c r="Q1131" s="5"/>
      <c r="R1131" s="5"/>
      <c r="S1131" s="5"/>
      <c r="T1131" s="5"/>
      <c r="U1131" s="5"/>
      <c r="V1131" s="5"/>
      <c r="W1131" s="5"/>
      <c r="X1131" s="5"/>
      <c r="Y1131" s="5"/>
      <c r="Z1131" s="5"/>
    </row>
    <row r="1132">
      <c r="A1132" s="6" t="s">
        <v>4725</v>
      </c>
      <c r="B1132" s="5" t="s">
        <v>1128</v>
      </c>
      <c r="C1132" s="7" t="s">
        <v>1157</v>
      </c>
      <c r="D1132" s="7" t="s">
        <v>1092</v>
      </c>
      <c r="E1132" s="8">
        <v>1.0</v>
      </c>
      <c r="F1132" s="7" t="s">
        <v>105</v>
      </c>
      <c r="G1132" s="5" t="s">
        <v>19</v>
      </c>
      <c r="H1132" s="7" t="s">
        <v>16</v>
      </c>
      <c r="I1132" s="7" t="s">
        <v>4726</v>
      </c>
      <c r="J1132" s="36" t="s">
        <v>1132</v>
      </c>
      <c r="K1132" s="8">
        <v>0.0</v>
      </c>
      <c r="L1132" s="7" t="s">
        <v>21</v>
      </c>
      <c r="M1132" s="5" t="s">
        <v>36</v>
      </c>
      <c r="N1132" s="5" t="s">
        <v>4727</v>
      </c>
      <c r="O1132" s="5"/>
      <c r="P1132" s="5"/>
      <c r="Q1132" s="5"/>
      <c r="R1132" s="5"/>
      <c r="S1132" s="5"/>
      <c r="T1132" s="5"/>
      <c r="U1132" s="5"/>
      <c r="V1132" s="5"/>
      <c r="W1132" s="5"/>
      <c r="X1132" s="5"/>
      <c r="Y1132" s="5"/>
      <c r="Z1132" s="5"/>
    </row>
    <row r="1133">
      <c r="A1133" s="6" t="s">
        <v>4728</v>
      </c>
      <c r="B1133" s="5" t="s">
        <v>1128</v>
      </c>
      <c r="C1133" s="7" t="s">
        <v>1157</v>
      </c>
      <c r="D1133" s="7" t="s">
        <v>1092</v>
      </c>
      <c r="E1133" s="8">
        <v>1.0</v>
      </c>
      <c r="F1133" s="7" t="s">
        <v>105</v>
      </c>
      <c r="G1133" s="5" t="s">
        <v>19</v>
      </c>
      <c r="H1133" s="7" t="s">
        <v>16</v>
      </c>
      <c r="I1133" s="7" t="s">
        <v>4729</v>
      </c>
      <c r="J1133" s="36" t="s">
        <v>1132</v>
      </c>
      <c r="K1133" s="8">
        <v>0.0</v>
      </c>
      <c r="L1133" s="7" t="s">
        <v>21</v>
      </c>
      <c r="M1133" s="5" t="s">
        <v>36</v>
      </c>
      <c r="N1133" s="5" t="s">
        <v>4727</v>
      </c>
      <c r="O1133" s="5"/>
      <c r="P1133" s="5"/>
      <c r="Q1133" s="5"/>
      <c r="R1133" s="5"/>
      <c r="S1133" s="5"/>
      <c r="T1133" s="5"/>
      <c r="U1133" s="5"/>
      <c r="V1133" s="5"/>
      <c r="W1133" s="5"/>
      <c r="X1133" s="5"/>
      <c r="Y1133" s="5"/>
      <c r="Z1133" s="5"/>
    </row>
    <row r="1134">
      <c r="A1134" s="6" t="s">
        <v>4730</v>
      </c>
      <c r="B1134" s="5" t="s">
        <v>1128</v>
      </c>
      <c r="C1134" s="7" t="s">
        <v>1244</v>
      </c>
      <c r="D1134" s="7" t="s">
        <v>1183</v>
      </c>
      <c r="E1134" s="8">
        <v>1.0</v>
      </c>
      <c r="F1134" s="7" t="s">
        <v>17</v>
      </c>
      <c r="G1134" s="5" t="s">
        <v>19</v>
      </c>
      <c r="H1134" s="7" t="s">
        <v>16</v>
      </c>
      <c r="I1134" s="7" t="s">
        <v>4731</v>
      </c>
      <c r="J1134" s="36" t="s">
        <v>1261</v>
      </c>
      <c r="K1134" s="7" t="s">
        <v>16</v>
      </c>
      <c r="L1134" s="7" t="s">
        <v>21</v>
      </c>
      <c r="M1134" s="5" t="s">
        <v>22</v>
      </c>
      <c r="N1134" s="5" t="s">
        <v>4732</v>
      </c>
      <c r="O1134" s="5"/>
      <c r="P1134" s="5"/>
      <c r="Q1134" s="5"/>
      <c r="R1134" s="5"/>
      <c r="S1134" s="5"/>
      <c r="T1134" s="5"/>
      <c r="U1134" s="5"/>
      <c r="V1134" s="5"/>
      <c r="W1134" s="5"/>
      <c r="X1134" s="5"/>
      <c r="Y1134" s="5"/>
      <c r="Z1134" s="5"/>
    </row>
    <row r="1135">
      <c r="A1135" s="6" t="s">
        <v>4733</v>
      </c>
      <c r="B1135" s="5" t="s">
        <v>1128</v>
      </c>
      <c r="C1135" s="7" t="s">
        <v>4734</v>
      </c>
      <c r="D1135" s="7" t="s">
        <v>1183</v>
      </c>
      <c r="E1135" s="8">
        <v>2.0</v>
      </c>
      <c r="F1135" s="7" t="s">
        <v>172</v>
      </c>
      <c r="G1135" s="5" t="s">
        <v>19</v>
      </c>
      <c r="H1135" s="7" t="s">
        <v>16</v>
      </c>
      <c r="I1135" s="7" t="s">
        <v>1358</v>
      </c>
      <c r="J1135" s="7" t="s">
        <v>1266</v>
      </c>
      <c r="K1135" s="7" t="s">
        <v>16</v>
      </c>
      <c r="L1135" s="7" t="s">
        <v>4735</v>
      </c>
      <c r="M1135" s="5" t="s">
        <v>22</v>
      </c>
      <c r="N1135" s="5" t="s">
        <v>4736</v>
      </c>
      <c r="O1135" s="5"/>
      <c r="P1135" s="5"/>
      <c r="Q1135" s="5"/>
      <c r="R1135" s="5"/>
      <c r="S1135" s="5"/>
      <c r="T1135" s="5"/>
      <c r="U1135" s="5"/>
      <c r="V1135" s="5"/>
      <c r="W1135" s="5"/>
      <c r="X1135" s="5"/>
      <c r="Y1135" s="5"/>
      <c r="Z1135" s="5"/>
    </row>
    <row r="1136">
      <c r="A1136" s="6" t="s">
        <v>4737</v>
      </c>
      <c r="B1136" s="5" t="s">
        <v>1128</v>
      </c>
      <c r="C1136" s="7" t="s">
        <v>4738</v>
      </c>
      <c r="D1136" s="7" t="s">
        <v>411</v>
      </c>
      <c r="E1136" s="8">
        <v>1.0</v>
      </c>
      <c r="F1136" s="7" t="s">
        <v>172</v>
      </c>
      <c r="G1136" s="5" t="s">
        <v>19</v>
      </c>
      <c r="H1136" s="7" t="s">
        <v>16</v>
      </c>
      <c r="I1136" s="7" t="s">
        <v>4739</v>
      </c>
      <c r="J1136" s="36" t="s">
        <v>1137</v>
      </c>
      <c r="K1136" s="7" t="s">
        <v>16</v>
      </c>
      <c r="L1136" s="7" t="s">
        <v>21</v>
      </c>
      <c r="M1136" s="5" t="s">
        <v>22</v>
      </c>
      <c r="N1136" s="5" t="s">
        <v>4740</v>
      </c>
      <c r="O1136" s="5"/>
      <c r="P1136" s="5"/>
      <c r="Q1136" s="5"/>
      <c r="R1136" s="5"/>
      <c r="S1136" s="5"/>
      <c r="T1136" s="5"/>
      <c r="U1136" s="5"/>
      <c r="V1136" s="5"/>
      <c r="W1136" s="5"/>
      <c r="X1136" s="5"/>
      <c r="Y1136" s="5"/>
      <c r="Z1136" s="5"/>
    </row>
    <row r="1137">
      <c r="A1137" s="6" t="s">
        <v>4741</v>
      </c>
      <c r="B1137" s="5" t="s">
        <v>1128</v>
      </c>
      <c r="C1137" s="7" t="s">
        <v>1149</v>
      </c>
      <c r="D1137" s="7" t="s">
        <v>411</v>
      </c>
      <c r="E1137" s="8">
        <v>1.0</v>
      </c>
      <c r="F1137" s="7" t="s">
        <v>17</v>
      </c>
      <c r="G1137" s="5" t="s">
        <v>19</v>
      </c>
      <c r="H1137" s="7" t="s">
        <v>16</v>
      </c>
      <c r="I1137" s="7" t="s">
        <v>4712</v>
      </c>
      <c r="J1137" s="36" t="s">
        <v>4742</v>
      </c>
      <c r="K1137" s="8">
        <v>1.0</v>
      </c>
      <c r="L1137" s="7" t="s">
        <v>21</v>
      </c>
      <c r="M1137" s="5" t="s">
        <v>22</v>
      </c>
      <c r="N1137" s="5" t="s">
        <v>4743</v>
      </c>
      <c r="O1137" s="5"/>
      <c r="P1137" s="5"/>
      <c r="Q1137" s="5"/>
      <c r="R1137" s="5"/>
      <c r="S1137" s="5"/>
      <c r="T1137" s="5"/>
      <c r="U1137" s="5"/>
      <c r="V1137" s="5"/>
      <c r="W1137" s="5"/>
      <c r="X1137" s="5"/>
      <c r="Y1137" s="5"/>
      <c r="Z1137" s="5"/>
    </row>
    <row r="1138">
      <c r="A1138" s="6" t="s">
        <v>4744</v>
      </c>
      <c r="B1138" s="5" t="s">
        <v>1128</v>
      </c>
      <c r="C1138" s="7" t="s">
        <v>1152</v>
      </c>
      <c r="D1138" s="7" t="s">
        <v>411</v>
      </c>
      <c r="E1138" s="8">
        <v>3.0</v>
      </c>
      <c r="F1138" s="7" t="s">
        <v>172</v>
      </c>
      <c r="G1138" s="5" t="s">
        <v>19</v>
      </c>
      <c r="H1138" s="7" t="s">
        <v>16</v>
      </c>
      <c r="I1138" s="7" t="s">
        <v>4745</v>
      </c>
      <c r="J1138" s="36" t="s">
        <v>4746</v>
      </c>
      <c r="K1138" s="7" t="s">
        <v>16</v>
      </c>
      <c r="L1138" s="7" t="s">
        <v>21</v>
      </c>
      <c r="M1138" s="5" t="s">
        <v>88</v>
      </c>
      <c r="N1138" s="5" t="s">
        <v>4747</v>
      </c>
      <c r="O1138" s="5"/>
      <c r="P1138" s="5"/>
      <c r="Q1138" s="5"/>
      <c r="R1138" s="5"/>
      <c r="S1138" s="5"/>
      <c r="T1138" s="5"/>
      <c r="U1138" s="5"/>
      <c r="V1138" s="5"/>
      <c r="W1138" s="5"/>
      <c r="X1138" s="5"/>
      <c r="Y1138" s="5"/>
      <c r="Z1138" s="5"/>
    </row>
    <row r="1139">
      <c r="A1139" s="6" t="s">
        <v>4748</v>
      </c>
      <c r="B1139" s="5" t="s">
        <v>1128</v>
      </c>
      <c r="C1139" s="7" t="s">
        <v>4749</v>
      </c>
      <c r="D1139" s="7" t="s">
        <v>1289</v>
      </c>
      <c r="E1139" s="8">
        <v>0.0</v>
      </c>
      <c r="F1139" s="7" t="s">
        <v>172</v>
      </c>
      <c r="G1139" s="5" t="s">
        <v>19</v>
      </c>
      <c r="H1139" s="7" t="s">
        <v>16</v>
      </c>
      <c r="I1139" s="7" t="s">
        <v>4750</v>
      </c>
      <c r="J1139" s="7" t="s">
        <v>1266</v>
      </c>
      <c r="K1139" s="7" t="s">
        <v>16</v>
      </c>
      <c r="L1139" s="7" t="s">
        <v>4670</v>
      </c>
      <c r="M1139" s="5" t="s">
        <v>36</v>
      </c>
      <c r="N1139" s="5" t="s">
        <v>4751</v>
      </c>
      <c r="O1139" s="5"/>
      <c r="P1139" s="5"/>
      <c r="Q1139" s="5"/>
      <c r="R1139" s="5"/>
      <c r="S1139" s="5"/>
      <c r="T1139" s="5"/>
      <c r="U1139" s="5"/>
      <c r="V1139" s="5"/>
      <c r="W1139" s="5"/>
      <c r="X1139" s="5"/>
      <c r="Y1139" s="5"/>
      <c r="Z1139" s="5"/>
    </row>
    <row r="1140">
      <c r="A1140" s="6" t="s">
        <v>4752</v>
      </c>
      <c r="B1140" s="5" t="s">
        <v>1128</v>
      </c>
      <c r="C1140" s="7" t="s">
        <v>4749</v>
      </c>
      <c r="D1140" s="7" t="s">
        <v>1289</v>
      </c>
      <c r="E1140" s="8">
        <v>0.0</v>
      </c>
      <c r="F1140" s="7" t="s">
        <v>172</v>
      </c>
      <c r="G1140" s="5" t="s">
        <v>19</v>
      </c>
      <c r="H1140" s="7" t="s">
        <v>16</v>
      </c>
      <c r="I1140" s="7" t="s">
        <v>4753</v>
      </c>
      <c r="J1140" s="7" t="s">
        <v>1266</v>
      </c>
      <c r="K1140" s="7" t="s">
        <v>16</v>
      </c>
      <c r="L1140" s="7" t="s">
        <v>4670</v>
      </c>
      <c r="M1140" s="5" t="s">
        <v>36</v>
      </c>
      <c r="N1140" s="5" t="s">
        <v>4751</v>
      </c>
      <c r="O1140" s="5"/>
      <c r="P1140" s="5"/>
      <c r="Q1140" s="5"/>
      <c r="R1140" s="5"/>
      <c r="S1140" s="5"/>
      <c r="T1140" s="5"/>
      <c r="U1140" s="5"/>
      <c r="V1140" s="5"/>
      <c r="W1140" s="5"/>
      <c r="X1140" s="5"/>
      <c r="Y1140" s="5"/>
      <c r="Z1140" s="5"/>
    </row>
    <row r="1141">
      <c r="A1141" s="6" t="s">
        <v>4754</v>
      </c>
      <c r="B1141" s="5" t="s">
        <v>1128</v>
      </c>
      <c r="C1141" s="7" t="s">
        <v>4755</v>
      </c>
      <c r="D1141" s="7" t="s">
        <v>1289</v>
      </c>
      <c r="E1141" s="8">
        <v>0.0</v>
      </c>
      <c r="F1141" s="7" t="s">
        <v>17</v>
      </c>
      <c r="G1141" s="5" t="s">
        <v>19</v>
      </c>
      <c r="H1141" s="7" t="s">
        <v>16</v>
      </c>
      <c r="I1141" s="7" t="s">
        <v>4756</v>
      </c>
      <c r="J1141" s="7" t="s">
        <v>1266</v>
      </c>
      <c r="K1141" s="7" t="s">
        <v>16</v>
      </c>
      <c r="L1141" s="7" t="s">
        <v>21</v>
      </c>
      <c r="M1141" s="5" t="s">
        <v>75</v>
      </c>
      <c r="N1141" s="5" t="s">
        <v>4757</v>
      </c>
      <c r="O1141" s="5"/>
      <c r="P1141" s="5"/>
      <c r="Q1141" s="5"/>
      <c r="R1141" s="5"/>
      <c r="S1141" s="5"/>
      <c r="T1141" s="5"/>
      <c r="U1141" s="5"/>
      <c r="V1141" s="5"/>
      <c r="W1141" s="5"/>
      <c r="X1141" s="5"/>
      <c r="Y1141" s="5"/>
      <c r="Z1141" s="5"/>
    </row>
    <row r="1142">
      <c r="A1142" s="6" t="s">
        <v>4758</v>
      </c>
      <c r="B1142" s="5" t="s">
        <v>1128</v>
      </c>
      <c r="C1142" s="7" t="s">
        <v>4755</v>
      </c>
      <c r="D1142" s="7" t="s">
        <v>1289</v>
      </c>
      <c r="E1142" s="8">
        <v>0.0</v>
      </c>
      <c r="F1142" s="7" t="s">
        <v>17</v>
      </c>
      <c r="G1142" s="5" t="s">
        <v>19</v>
      </c>
      <c r="H1142" s="7" t="s">
        <v>16</v>
      </c>
      <c r="I1142" s="7" t="s">
        <v>4759</v>
      </c>
      <c r="J1142" s="7" t="s">
        <v>1266</v>
      </c>
      <c r="K1142" s="7" t="s">
        <v>16</v>
      </c>
      <c r="L1142" s="7" t="s">
        <v>21</v>
      </c>
      <c r="M1142" s="5" t="s">
        <v>75</v>
      </c>
      <c r="N1142" s="5" t="s">
        <v>4757</v>
      </c>
      <c r="O1142" s="5"/>
      <c r="P1142" s="5"/>
      <c r="Q1142" s="5"/>
      <c r="R1142" s="5"/>
      <c r="S1142" s="5"/>
      <c r="T1142" s="5"/>
      <c r="U1142" s="5"/>
      <c r="V1142" s="5"/>
      <c r="W1142" s="5"/>
      <c r="X1142" s="5"/>
      <c r="Y1142" s="5"/>
      <c r="Z1142" s="5"/>
    </row>
    <row r="1143">
      <c r="A1143" s="6" t="s">
        <v>4760</v>
      </c>
      <c r="B1143" s="5" t="s">
        <v>1128</v>
      </c>
      <c r="C1143" s="7" t="s">
        <v>4761</v>
      </c>
      <c r="D1143" s="7" t="s">
        <v>1289</v>
      </c>
      <c r="E1143" s="8">
        <v>0.0</v>
      </c>
      <c r="F1143" s="7" t="s">
        <v>172</v>
      </c>
      <c r="G1143" s="5" t="s">
        <v>19</v>
      </c>
      <c r="H1143" s="7" t="s">
        <v>16</v>
      </c>
      <c r="I1143" s="7" t="s">
        <v>4762</v>
      </c>
      <c r="J1143" s="7" t="s">
        <v>1266</v>
      </c>
      <c r="K1143" s="7" t="s">
        <v>16</v>
      </c>
      <c r="L1143" s="7" t="s">
        <v>21</v>
      </c>
      <c r="M1143" s="5" t="s">
        <v>22</v>
      </c>
      <c r="N1143" s="5" t="s">
        <v>4763</v>
      </c>
      <c r="O1143" s="5"/>
      <c r="P1143" s="5"/>
      <c r="Q1143" s="5"/>
      <c r="R1143" s="5"/>
      <c r="S1143" s="5"/>
      <c r="T1143" s="5"/>
      <c r="U1143" s="5"/>
      <c r="V1143" s="5"/>
      <c r="W1143" s="5"/>
      <c r="X1143" s="5"/>
      <c r="Y1143" s="5"/>
      <c r="Z1143" s="5"/>
    </row>
    <row r="1144">
      <c r="A1144" s="6" t="s">
        <v>4764</v>
      </c>
      <c r="B1144" s="5" t="s">
        <v>1128</v>
      </c>
      <c r="C1144" s="7" t="s">
        <v>4765</v>
      </c>
      <c r="D1144" s="7" t="s">
        <v>1289</v>
      </c>
      <c r="E1144" s="8">
        <v>0.0</v>
      </c>
      <c r="F1144" s="7" t="s">
        <v>172</v>
      </c>
      <c r="G1144" s="5" t="s">
        <v>19</v>
      </c>
      <c r="H1144" s="7" t="s">
        <v>16</v>
      </c>
      <c r="I1144" s="7" t="s">
        <v>4745</v>
      </c>
      <c r="J1144" s="36" t="s">
        <v>4742</v>
      </c>
      <c r="K1144" s="7" t="s">
        <v>16</v>
      </c>
      <c r="L1144" s="7" t="s">
        <v>21</v>
      </c>
      <c r="M1144" s="5" t="s">
        <v>22</v>
      </c>
      <c r="N1144" s="5" t="s">
        <v>4766</v>
      </c>
      <c r="O1144" s="5"/>
      <c r="P1144" s="5"/>
      <c r="Q1144" s="5"/>
      <c r="R1144" s="5"/>
      <c r="S1144" s="5"/>
      <c r="T1144" s="5"/>
      <c r="U1144" s="5"/>
      <c r="V1144" s="5"/>
      <c r="W1144" s="5"/>
      <c r="X1144" s="5"/>
      <c r="Y1144" s="5"/>
      <c r="Z1144" s="5"/>
    </row>
    <row r="1145">
      <c r="A1145" s="6" t="s">
        <v>4767</v>
      </c>
      <c r="B1145" s="5" t="s">
        <v>1128</v>
      </c>
      <c r="C1145" s="7" t="s">
        <v>1129</v>
      </c>
      <c r="D1145" s="7" t="s">
        <v>1068</v>
      </c>
      <c r="E1145" s="8">
        <v>3.0</v>
      </c>
      <c r="F1145" s="7" t="s">
        <v>105</v>
      </c>
      <c r="G1145" s="5" t="s">
        <v>19</v>
      </c>
      <c r="H1145" s="7" t="s">
        <v>1130</v>
      </c>
      <c r="I1145" s="7" t="s">
        <v>4712</v>
      </c>
      <c r="J1145" s="36" t="s">
        <v>1132</v>
      </c>
      <c r="K1145" s="8">
        <v>2.0</v>
      </c>
      <c r="L1145" s="7" t="s">
        <v>135</v>
      </c>
      <c r="M1145" s="5" t="s">
        <v>36</v>
      </c>
      <c r="N1145" s="5" t="s">
        <v>4768</v>
      </c>
      <c r="O1145" s="5"/>
      <c r="P1145" s="5"/>
      <c r="Q1145" s="5"/>
      <c r="R1145" s="5"/>
      <c r="S1145" s="5"/>
      <c r="T1145" s="5"/>
      <c r="U1145" s="5"/>
      <c r="V1145" s="5"/>
      <c r="W1145" s="5"/>
      <c r="X1145" s="5"/>
      <c r="Y1145" s="5"/>
      <c r="Z1145" s="5"/>
    </row>
    <row r="1146">
      <c r="A1146" s="6" t="s">
        <v>4769</v>
      </c>
      <c r="B1146" s="5" t="s">
        <v>1128</v>
      </c>
      <c r="C1146" s="7" t="s">
        <v>1135</v>
      </c>
      <c r="D1146" s="7" t="s">
        <v>1068</v>
      </c>
      <c r="E1146" s="8">
        <v>2.0</v>
      </c>
      <c r="F1146" s="7" t="s">
        <v>172</v>
      </c>
      <c r="G1146" s="5" t="s">
        <v>19</v>
      </c>
      <c r="H1146" s="7" t="s">
        <v>1130</v>
      </c>
      <c r="I1146" s="7" t="s">
        <v>4770</v>
      </c>
      <c r="J1146" s="36" t="s">
        <v>1146</v>
      </c>
      <c r="K1146" s="8">
        <v>1.0</v>
      </c>
      <c r="L1146" s="7" t="s">
        <v>135</v>
      </c>
      <c r="M1146" s="5" t="s">
        <v>36</v>
      </c>
      <c r="N1146" s="5" t="s">
        <v>4771</v>
      </c>
      <c r="O1146" s="5"/>
      <c r="P1146" s="5"/>
      <c r="Q1146" s="5"/>
      <c r="R1146" s="5"/>
      <c r="S1146" s="5"/>
      <c r="T1146" s="5"/>
      <c r="U1146" s="5"/>
      <c r="V1146" s="5"/>
      <c r="W1146" s="5"/>
      <c r="X1146" s="5"/>
      <c r="Y1146" s="5"/>
      <c r="Z1146" s="5"/>
    </row>
    <row r="1147">
      <c r="A1147" s="6" t="s">
        <v>4772</v>
      </c>
      <c r="B1147" s="5" t="s">
        <v>1128</v>
      </c>
      <c r="C1147" s="7" t="s">
        <v>1160</v>
      </c>
      <c r="D1147" s="7" t="s">
        <v>1068</v>
      </c>
      <c r="E1147" s="8">
        <v>7.0</v>
      </c>
      <c r="F1147" s="7" t="s">
        <v>105</v>
      </c>
      <c r="G1147" s="5" t="s">
        <v>326</v>
      </c>
      <c r="H1147" s="7" t="s">
        <v>1130</v>
      </c>
      <c r="I1147" s="7" t="s">
        <v>4773</v>
      </c>
      <c r="J1147" s="36" t="s">
        <v>1154</v>
      </c>
      <c r="K1147" s="8">
        <v>3.0</v>
      </c>
      <c r="L1147" s="7" t="s">
        <v>118</v>
      </c>
      <c r="M1147" s="5" t="s">
        <v>88</v>
      </c>
      <c r="N1147" s="5" t="s">
        <v>4774</v>
      </c>
      <c r="O1147" s="5"/>
      <c r="P1147" s="5"/>
      <c r="Q1147" s="5"/>
      <c r="R1147" s="5"/>
      <c r="S1147" s="5"/>
      <c r="T1147" s="5"/>
      <c r="U1147" s="5"/>
      <c r="V1147" s="5"/>
      <c r="W1147" s="5"/>
      <c r="X1147" s="5"/>
      <c r="Y1147" s="5"/>
      <c r="Z1147" s="5"/>
    </row>
    <row r="1148">
      <c r="A1148" s="6" t="s">
        <v>4775</v>
      </c>
      <c r="B1148" s="5" t="s">
        <v>1128</v>
      </c>
      <c r="C1148" s="7" t="s">
        <v>4688</v>
      </c>
      <c r="D1148" s="7" t="s">
        <v>1194</v>
      </c>
      <c r="E1148" s="8">
        <v>2.0</v>
      </c>
      <c r="F1148" s="7" t="s">
        <v>105</v>
      </c>
      <c r="G1148" s="5" t="s">
        <v>19</v>
      </c>
      <c r="H1148" s="7" t="s">
        <v>4689</v>
      </c>
      <c r="I1148" s="7" t="s">
        <v>4776</v>
      </c>
      <c r="J1148" s="36" t="s">
        <v>1132</v>
      </c>
      <c r="K1148" s="8">
        <v>2.0</v>
      </c>
      <c r="L1148" s="7" t="s">
        <v>135</v>
      </c>
      <c r="M1148" s="5" t="s">
        <v>22</v>
      </c>
      <c r="N1148" s="5" t="s">
        <v>4777</v>
      </c>
      <c r="O1148" s="5"/>
      <c r="P1148" s="5"/>
      <c r="Q1148" s="5"/>
      <c r="R1148" s="5"/>
      <c r="S1148" s="5"/>
      <c r="T1148" s="5"/>
      <c r="U1148" s="5"/>
      <c r="V1148" s="5"/>
      <c r="W1148" s="5"/>
      <c r="X1148" s="5"/>
      <c r="Y1148" s="5"/>
      <c r="Z1148" s="5"/>
    </row>
    <row r="1149">
      <c r="A1149" s="6" t="s">
        <v>4778</v>
      </c>
      <c r="B1149" s="5" t="s">
        <v>1128</v>
      </c>
      <c r="C1149" s="7" t="s">
        <v>4692</v>
      </c>
      <c r="D1149" s="7" t="s">
        <v>1194</v>
      </c>
      <c r="E1149" s="8">
        <v>3.0</v>
      </c>
      <c r="F1149" s="7" t="s">
        <v>105</v>
      </c>
      <c r="G1149" s="5" t="s">
        <v>19</v>
      </c>
      <c r="H1149" s="7" t="s">
        <v>4689</v>
      </c>
      <c r="I1149" s="7" t="s">
        <v>4779</v>
      </c>
      <c r="J1149" s="36" t="s">
        <v>1132</v>
      </c>
      <c r="K1149" s="8">
        <v>2.0</v>
      </c>
      <c r="L1149" s="7" t="s">
        <v>135</v>
      </c>
      <c r="M1149" s="5" t="s">
        <v>22</v>
      </c>
      <c r="N1149" s="5" t="s">
        <v>4780</v>
      </c>
      <c r="O1149" s="5"/>
      <c r="P1149" s="5"/>
      <c r="Q1149" s="5"/>
      <c r="R1149" s="5"/>
      <c r="S1149" s="5"/>
      <c r="T1149" s="5"/>
      <c r="U1149" s="5"/>
      <c r="V1149" s="5"/>
      <c r="W1149" s="5"/>
      <c r="X1149" s="5"/>
      <c r="Y1149" s="5"/>
      <c r="Z1149" s="5"/>
    </row>
    <row r="1150">
      <c r="A1150" s="6" t="s">
        <v>4781</v>
      </c>
      <c r="B1150" s="5" t="s">
        <v>1128</v>
      </c>
      <c r="C1150" s="7" t="s">
        <v>1250</v>
      </c>
      <c r="D1150" s="7" t="s">
        <v>1194</v>
      </c>
      <c r="E1150" s="8">
        <v>3.0</v>
      </c>
      <c r="F1150" s="7" t="s">
        <v>105</v>
      </c>
      <c r="G1150" s="5" t="s">
        <v>19</v>
      </c>
      <c r="H1150" s="7" t="s">
        <v>4689</v>
      </c>
      <c r="I1150" s="7" t="s">
        <v>4782</v>
      </c>
      <c r="J1150" s="36" t="s">
        <v>1137</v>
      </c>
      <c r="K1150" s="8">
        <v>2.0</v>
      </c>
      <c r="L1150" s="7" t="s">
        <v>135</v>
      </c>
      <c r="M1150" s="5" t="s">
        <v>36</v>
      </c>
      <c r="N1150" s="5" t="s">
        <v>4783</v>
      </c>
      <c r="O1150" s="5"/>
      <c r="P1150" s="5"/>
      <c r="Q1150" s="5"/>
      <c r="R1150" s="5"/>
      <c r="S1150" s="5"/>
      <c r="T1150" s="5"/>
      <c r="U1150" s="5"/>
      <c r="V1150" s="5"/>
      <c r="W1150" s="5"/>
      <c r="X1150" s="5"/>
      <c r="Y1150" s="5"/>
      <c r="Z1150" s="5"/>
    </row>
    <row r="1151">
      <c r="A1151" s="6" t="s">
        <v>4784</v>
      </c>
      <c r="B1151" s="5" t="s">
        <v>1128</v>
      </c>
      <c r="C1151" s="7" t="s">
        <v>4698</v>
      </c>
      <c r="D1151" s="7" t="s">
        <v>1194</v>
      </c>
      <c r="E1151" s="8">
        <v>5.0</v>
      </c>
      <c r="F1151" s="7" t="s">
        <v>17</v>
      </c>
      <c r="G1151" s="5" t="s">
        <v>461</v>
      </c>
      <c r="H1151" s="7" t="s">
        <v>4689</v>
      </c>
      <c r="I1151" s="7" t="s">
        <v>4785</v>
      </c>
      <c r="J1151" s="36" t="s">
        <v>1137</v>
      </c>
      <c r="K1151" s="8">
        <v>3.0</v>
      </c>
      <c r="L1151" s="7" t="s">
        <v>135</v>
      </c>
      <c r="M1151" s="5" t="s">
        <v>36</v>
      </c>
      <c r="N1151" s="5" t="s">
        <v>4786</v>
      </c>
      <c r="O1151" s="5"/>
      <c r="P1151" s="5"/>
      <c r="Q1151" s="5"/>
      <c r="R1151" s="5"/>
      <c r="S1151" s="5"/>
      <c r="T1151" s="5"/>
      <c r="U1151" s="5"/>
      <c r="V1151" s="5"/>
      <c r="W1151" s="5"/>
      <c r="X1151" s="5"/>
      <c r="Y1151" s="5"/>
      <c r="Z1151" s="5"/>
    </row>
    <row r="1152">
      <c r="A1152" s="6" t="s">
        <v>4787</v>
      </c>
      <c r="B1152" s="5" t="s">
        <v>1128</v>
      </c>
      <c r="C1152" s="7" t="s">
        <v>4788</v>
      </c>
      <c r="D1152" s="7" t="s">
        <v>1194</v>
      </c>
      <c r="E1152" s="8">
        <v>10.0</v>
      </c>
      <c r="F1152" s="7" t="s">
        <v>105</v>
      </c>
      <c r="G1152" s="5" t="s">
        <v>326</v>
      </c>
      <c r="H1152" s="7" t="s">
        <v>4689</v>
      </c>
      <c r="I1152" s="7" t="s">
        <v>4789</v>
      </c>
      <c r="J1152" s="36" t="s">
        <v>1154</v>
      </c>
      <c r="K1152" s="8">
        <v>3.0</v>
      </c>
      <c r="L1152" s="7" t="s">
        <v>4790</v>
      </c>
      <c r="M1152" s="5" t="s">
        <v>88</v>
      </c>
      <c r="N1152" s="5" t="s">
        <v>4791</v>
      </c>
      <c r="O1152" s="5"/>
      <c r="P1152" s="5"/>
      <c r="Q1152" s="5"/>
      <c r="R1152" s="5"/>
      <c r="S1152" s="5"/>
      <c r="T1152" s="5"/>
      <c r="U1152" s="5"/>
      <c r="V1152" s="5"/>
      <c r="W1152" s="5"/>
      <c r="X1152" s="5"/>
      <c r="Y1152" s="5"/>
      <c r="Z1152" s="5"/>
    </row>
    <row r="1153">
      <c r="A1153" s="6" t="s">
        <v>4792</v>
      </c>
      <c r="B1153" s="5" t="s">
        <v>1128</v>
      </c>
      <c r="C1153" s="7" t="s">
        <v>4793</v>
      </c>
      <c r="D1153" s="7" t="s">
        <v>1085</v>
      </c>
      <c r="E1153" s="8">
        <v>1.0</v>
      </c>
      <c r="F1153" s="7" t="s">
        <v>105</v>
      </c>
      <c r="G1153" s="5" t="s">
        <v>19</v>
      </c>
      <c r="H1153" s="7" t="s">
        <v>1145</v>
      </c>
      <c r="I1153" s="7" t="s">
        <v>4794</v>
      </c>
      <c r="J1153" s="36" t="s">
        <v>1132</v>
      </c>
      <c r="K1153" s="8">
        <v>1.0</v>
      </c>
      <c r="L1153" s="7" t="s">
        <v>135</v>
      </c>
      <c r="M1153" s="5" t="s">
        <v>22</v>
      </c>
      <c r="N1153" s="5" t="s">
        <v>4795</v>
      </c>
      <c r="O1153" s="5"/>
      <c r="P1153" s="5"/>
      <c r="Q1153" s="5"/>
      <c r="R1153" s="5"/>
      <c r="S1153" s="5"/>
      <c r="T1153" s="5"/>
      <c r="U1153" s="5"/>
      <c r="V1153" s="5"/>
      <c r="W1153" s="5"/>
      <c r="X1153" s="5"/>
      <c r="Y1153" s="5"/>
      <c r="Z1153" s="5"/>
    </row>
    <row r="1154">
      <c r="A1154" s="6" t="s">
        <v>4796</v>
      </c>
      <c r="B1154" s="5" t="s">
        <v>1128</v>
      </c>
      <c r="C1154" s="7" t="s">
        <v>4797</v>
      </c>
      <c r="D1154" s="7" t="s">
        <v>1085</v>
      </c>
      <c r="E1154" s="8">
        <v>3.0</v>
      </c>
      <c r="F1154" s="7" t="s">
        <v>105</v>
      </c>
      <c r="G1154" s="5" t="s">
        <v>19</v>
      </c>
      <c r="H1154" s="7" t="s">
        <v>1145</v>
      </c>
      <c r="I1154" s="7" t="s">
        <v>4798</v>
      </c>
      <c r="J1154" s="36" t="s">
        <v>1132</v>
      </c>
      <c r="K1154" s="8">
        <v>2.0</v>
      </c>
      <c r="L1154" s="7" t="s">
        <v>135</v>
      </c>
      <c r="M1154" s="5" t="s">
        <v>22</v>
      </c>
      <c r="N1154" s="5" t="s">
        <v>4799</v>
      </c>
      <c r="O1154" s="5"/>
      <c r="P1154" s="5"/>
      <c r="Q1154" s="5"/>
      <c r="R1154" s="5"/>
      <c r="S1154" s="5"/>
      <c r="T1154" s="5"/>
      <c r="U1154" s="5"/>
      <c r="V1154" s="5"/>
      <c r="W1154" s="5"/>
      <c r="X1154" s="5"/>
      <c r="Y1154" s="5"/>
      <c r="Z1154" s="5"/>
    </row>
    <row r="1155">
      <c r="A1155" s="6" t="s">
        <v>4800</v>
      </c>
      <c r="B1155" s="5" t="s">
        <v>1128</v>
      </c>
      <c r="C1155" s="7" t="s">
        <v>1453</v>
      </c>
      <c r="D1155" s="7" t="s">
        <v>1400</v>
      </c>
      <c r="E1155" s="8">
        <v>3.0</v>
      </c>
      <c r="F1155" s="7" t="s">
        <v>105</v>
      </c>
      <c r="G1155" s="5" t="s">
        <v>19</v>
      </c>
      <c r="H1155" s="7" t="s">
        <v>16</v>
      </c>
      <c r="I1155" s="7" t="s">
        <v>4801</v>
      </c>
      <c r="J1155" s="36" t="s">
        <v>1137</v>
      </c>
      <c r="K1155" s="8">
        <v>2.0</v>
      </c>
      <c r="L1155" s="7" t="s">
        <v>135</v>
      </c>
      <c r="M1155" s="5" t="s">
        <v>88</v>
      </c>
      <c r="N1155" s="5" t="s">
        <v>4802</v>
      </c>
      <c r="O1155" s="5"/>
      <c r="P1155" s="5"/>
      <c r="Q1155" s="5"/>
      <c r="R1155" s="5"/>
      <c r="S1155" s="5"/>
      <c r="T1155" s="5"/>
      <c r="U1155" s="5"/>
      <c r="V1155" s="5"/>
      <c r="W1155" s="5"/>
      <c r="X1155" s="5"/>
      <c r="Y1155" s="5"/>
      <c r="Z1155" s="5"/>
    </row>
    <row r="1156">
      <c r="A1156" s="6" t="s">
        <v>4803</v>
      </c>
      <c r="B1156" s="5" t="s">
        <v>1128</v>
      </c>
      <c r="C1156" s="7" t="s">
        <v>4804</v>
      </c>
      <c r="D1156" s="7" t="s">
        <v>1608</v>
      </c>
      <c r="E1156" s="8">
        <v>2.0</v>
      </c>
      <c r="F1156" s="7" t="s">
        <v>105</v>
      </c>
      <c r="G1156" s="5" t="s">
        <v>19</v>
      </c>
      <c r="H1156" s="7" t="s">
        <v>4708</v>
      </c>
      <c r="I1156" s="7" t="s">
        <v>4805</v>
      </c>
      <c r="J1156" s="7" t="s">
        <v>4806</v>
      </c>
      <c r="K1156" s="8">
        <v>1.0</v>
      </c>
      <c r="L1156" s="7" t="s">
        <v>135</v>
      </c>
      <c r="M1156" s="5" t="s">
        <v>22</v>
      </c>
      <c r="N1156" s="5" t="s">
        <v>4807</v>
      </c>
      <c r="O1156" s="5"/>
      <c r="P1156" s="5"/>
      <c r="Q1156" s="5"/>
      <c r="R1156" s="5"/>
      <c r="S1156" s="5"/>
      <c r="T1156" s="5"/>
      <c r="U1156" s="5"/>
      <c r="V1156" s="5"/>
      <c r="W1156" s="5"/>
      <c r="X1156" s="5"/>
      <c r="Y1156" s="5"/>
      <c r="Z1156" s="5"/>
    </row>
    <row r="1157">
      <c r="A1157" s="6" t="s">
        <v>4808</v>
      </c>
      <c r="B1157" s="5" t="s">
        <v>1128</v>
      </c>
      <c r="C1157" s="7" t="s">
        <v>4809</v>
      </c>
      <c r="D1157" s="7" t="s">
        <v>1608</v>
      </c>
      <c r="E1157" s="8">
        <v>1.0</v>
      </c>
      <c r="F1157" s="7" t="s">
        <v>17</v>
      </c>
      <c r="G1157" s="5" t="s">
        <v>19</v>
      </c>
      <c r="H1157" s="7" t="s">
        <v>4708</v>
      </c>
      <c r="I1157" s="7" t="s">
        <v>4810</v>
      </c>
      <c r="J1157" s="7" t="s">
        <v>1266</v>
      </c>
      <c r="K1157" s="7" t="s">
        <v>16</v>
      </c>
      <c r="L1157" s="7" t="s">
        <v>135</v>
      </c>
      <c r="M1157" s="5" t="s">
        <v>22</v>
      </c>
      <c r="N1157" s="5" t="s">
        <v>4811</v>
      </c>
      <c r="O1157" s="5"/>
      <c r="P1157" s="5"/>
      <c r="Q1157" s="5"/>
      <c r="R1157" s="5"/>
      <c r="S1157" s="5"/>
      <c r="T1157" s="5"/>
      <c r="U1157" s="5"/>
      <c r="V1157" s="5"/>
      <c r="W1157" s="5"/>
      <c r="X1157" s="5"/>
      <c r="Y1157" s="5"/>
      <c r="Z1157" s="5"/>
    </row>
    <row r="1158">
      <c r="A1158" s="6" t="s">
        <v>4812</v>
      </c>
      <c r="B1158" s="5" t="s">
        <v>1128</v>
      </c>
      <c r="C1158" s="7" t="s">
        <v>1328</v>
      </c>
      <c r="D1158" s="7" t="s">
        <v>1614</v>
      </c>
      <c r="E1158" s="8">
        <v>2.0</v>
      </c>
      <c r="F1158" s="7" t="s">
        <v>105</v>
      </c>
      <c r="G1158" s="5" t="s">
        <v>19</v>
      </c>
      <c r="H1158" s="7" t="s">
        <v>16</v>
      </c>
      <c r="I1158" s="7" t="s">
        <v>4813</v>
      </c>
      <c r="J1158" s="36" t="s">
        <v>1132</v>
      </c>
      <c r="K1158" s="8">
        <v>1.0</v>
      </c>
      <c r="L1158" s="7" t="s">
        <v>16</v>
      </c>
      <c r="M1158" s="5" t="s">
        <v>22</v>
      </c>
      <c r="N1158" s="5" t="s">
        <v>4814</v>
      </c>
      <c r="O1158" s="5"/>
      <c r="P1158" s="5"/>
      <c r="Q1158" s="5"/>
      <c r="R1158" s="5"/>
      <c r="S1158" s="5"/>
      <c r="T1158" s="5"/>
      <c r="U1158" s="5"/>
      <c r="V1158" s="5"/>
      <c r="W1158" s="5"/>
      <c r="X1158" s="5"/>
      <c r="Y1158" s="5"/>
      <c r="Z1158" s="5"/>
    </row>
    <row r="1159">
      <c r="A1159" s="6" t="s">
        <v>4815</v>
      </c>
      <c r="B1159" s="5" t="s">
        <v>1128</v>
      </c>
      <c r="C1159" s="7" t="s">
        <v>1328</v>
      </c>
      <c r="D1159" s="7" t="s">
        <v>1614</v>
      </c>
      <c r="E1159" s="8">
        <v>2.0</v>
      </c>
      <c r="F1159" s="7" t="s">
        <v>105</v>
      </c>
      <c r="G1159" s="5" t="s">
        <v>19</v>
      </c>
      <c r="H1159" s="7" t="s">
        <v>16</v>
      </c>
      <c r="I1159" s="7" t="s">
        <v>4816</v>
      </c>
      <c r="J1159" s="36" t="s">
        <v>1132</v>
      </c>
      <c r="K1159" s="8">
        <v>1.0</v>
      </c>
      <c r="L1159" s="7" t="s">
        <v>16</v>
      </c>
      <c r="M1159" s="5" t="s">
        <v>22</v>
      </c>
      <c r="N1159" s="5" t="s">
        <v>4814</v>
      </c>
      <c r="O1159" s="5"/>
      <c r="P1159" s="5"/>
      <c r="Q1159" s="5"/>
      <c r="R1159" s="5"/>
      <c r="S1159" s="5"/>
      <c r="T1159" s="5"/>
      <c r="U1159" s="5"/>
      <c r="V1159" s="5"/>
      <c r="W1159" s="5"/>
      <c r="X1159" s="5"/>
      <c r="Y1159" s="5"/>
      <c r="Z1159" s="5"/>
    </row>
    <row r="1160">
      <c r="A1160" s="6" t="s">
        <v>4817</v>
      </c>
      <c r="B1160" s="5" t="s">
        <v>1128</v>
      </c>
      <c r="C1160" s="7" t="s">
        <v>4818</v>
      </c>
      <c r="D1160" s="7" t="s">
        <v>1614</v>
      </c>
      <c r="E1160" s="8">
        <v>4.0</v>
      </c>
      <c r="F1160" s="7" t="s">
        <v>17</v>
      </c>
      <c r="G1160" s="5" t="s">
        <v>19</v>
      </c>
      <c r="H1160" s="7" t="s">
        <v>16</v>
      </c>
      <c r="I1160" s="7" t="s">
        <v>4819</v>
      </c>
      <c r="J1160" s="7" t="s">
        <v>1266</v>
      </c>
      <c r="K1160" s="7" t="s">
        <v>16</v>
      </c>
      <c r="L1160" s="7" t="s">
        <v>135</v>
      </c>
      <c r="M1160" s="5" t="s">
        <v>36</v>
      </c>
      <c r="N1160" s="5" t="s">
        <v>4820</v>
      </c>
      <c r="O1160" s="5"/>
      <c r="P1160" s="5"/>
      <c r="Q1160" s="5"/>
      <c r="R1160" s="5"/>
      <c r="S1160" s="5"/>
      <c r="T1160" s="5"/>
      <c r="U1160" s="5"/>
      <c r="V1160" s="5"/>
      <c r="W1160" s="5"/>
      <c r="X1160" s="5"/>
      <c r="Y1160" s="5"/>
      <c r="Z1160" s="5"/>
    </row>
    <row r="1161">
      <c r="A1161" s="6" t="s">
        <v>4821</v>
      </c>
      <c r="B1161" s="5" t="s">
        <v>1128</v>
      </c>
      <c r="C1161" s="7" t="s">
        <v>1318</v>
      </c>
      <c r="D1161" s="7" t="s">
        <v>1624</v>
      </c>
      <c r="E1161" s="8">
        <v>1.0</v>
      </c>
      <c r="F1161" s="7" t="s">
        <v>17</v>
      </c>
      <c r="G1161" s="5" t="s">
        <v>19</v>
      </c>
      <c r="H1161" s="7" t="s">
        <v>16</v>
      </c>
      <c r="I1161" s="7" t="s">
        <v>4712</v>
      </c>
      <c r="J1161" s="36" t="s">
        <v>1261</v>
      </c>
      <c r="K1161" s="8">
        <v>2.0</v>
      </c>
      <c r="L1161" s="7" t="s">
        <v>118</v>
      </c>
      <c r="M1161" s="5" t="s">
        <v>22</v>
      </c>
      <c r="N1161" s="5" t="s">
        <v>4822</v>
      </c>
      <c r="O1161" s="5"/>
      <c r="P1161" s="5"/>
      <c r="Q1161" s="5"/>
      <c r="R1161" s="5"/>
      <c r="S1161" s="5"/>
      <c r="T1161" s="5"/>
      <c r="U1161" s="5"/>
      <c r="V1161" s="5"/>
      <c r="W1161" s="5"/>
      <c r="X1161" s="5"/>
      <c r="Y1161" s="5"/>
      <c r="Z1161" s="5"/>
    </row>
    <row r="1162">
      <c r="A1162" s="6" t="s">
        <v>4823</v>
      </c>
      <c r="B1162" s="5" t="s">
        <v>1128</v>
      </c>
      <c r="C1162" s="7" t="s">
        <v>4824</v>
      </c>
      <c r="D1162" s="7" t="s">
        <v>1624</v>
      </c>
      <c r="E1162" s="8">
        <v>2.0</v>
      </c>
      <c r="F1162" s="7" t="s">
        <v>17</v>
      </c>
      <c r="G1162" s="5" t="s">
        <v>19</v>
      </c>
      <c r="H1162" s="7" t="s">
        <v>16</v>
      </c>
      <c r="I1162" s="7" t="s">
        <v>4825</v>
      </c>
      <c r="J1162" s="36" t="s">
        <v>1132</v>
      </c>
      <c r="K1162" s="8">
        <v>1.0</v>
      </c>
      <c r="L1162" s="7" t="s">
        <v>135</v>
      </c>
      <c r="M1162" s="5" t="s">
        <v>22</v>
      </c>
      <c r="N1162" s="5" t="s">
        <v>4826</v>
      </c>
      <c r="O1162" s="5"/>
      <c r="P1162" s="5"/>
      <c r="Q1162" s="5"/>
      <c r="R1162" s="5"/>
      <c r="S1162" s="5"/>
      <c r="T1162" s="5"/>
      <c r="U1162" s="5"/>
      <c r="V1162" s="5"/>
      <c r="W1162" s="5"/>
      <c r="X1162" s="5"/>
      <c r="Y1162" s="5"/>
      <c r="Z1162" s="5"/>
    </row>
    <row r="1163">
      <c r="A1163" s="6" t="s">
        <v>4827</v>
      </c>
      <c r="B1163" s="5" t="s">
        <v>1128</v>
      </c>
      <c r="C1163" s="7" t="s">
        <v>4828</v>
      </c>
      <c r="D1163" s="7" t="s">
        <v>1624</v>
      </c>
      <c r="E1163" s="8">
        <v>4.0</v>
      </c>
      <c r="F1163" s="7" t="s">
        <v>17</v>
      </c>
      <c r="G1163" s="5" t="s">
        <v>19</v>
      </c>
      <c r="H1163" s="7" t="s">
        <v>16</v>
      </c>
      <c r="I1163" s="7" t="s">
        <v>4829</v>
      </c>
      <c r="J1163" s="36" t="s">
        <v>1137</v>
      </c>
      <c r="K1163" s="8">
        <v>2.0</v>
      </c>
      <c r="L1163" s="7" t="s">
        <v>135</v>
      </c>
      <c r="M1163" s="5" t="s">
        <v>36</v>
      </c>
      <c r="N1163" s="5" t="s">
        <v>4830</v>
      </c>
      <c r="O1163" s="5"/>
      <c r="P1163" s="5"/>
      <c r="Q1163" s="5"/>
      <c r="R1163" s="5"/>
      <c r="S1163" s="5"/>
      <c r="T1163" s="5"/>
      <c r="U1163" s="5"/>
      <c r="V1163" s="5"/>
      <c r="W1163" s="5"/>
      <c r="X1163" s="5"/>
      <c r="Y1163" s="5"/>
      <c r="Z1163" s="5"/>
    </row>
    <row r="1164">
      <c r="A1164" s="6" t="s">
        <v>4831</v>
      </c>
      <c r="B1164" s="5" t="s">
        <v>1128</v>
      </c>
      <c r="C1164" s="7" t="s">
        <v>4832</v>
      </c>
      <c r="D1164" s="7" t="s">
        <v>1624</v>
      </c>
      <c r="E1164" s="8">
        <v>5.0</v>
      </c>
      <c r="F1164" s="7" t="s">
        <v>17</v>
      </c>
      <c r="G1164" s="5" t="s">
        <v>461</v>
      </c>
      <c r="H1164" s="7" t="s">
        <v>16</v>
      </c>
      <c r="I1164" s="7" t="s">
        <v>4712</v>
      </c>
      <c r="J1164" s="36" t="s">
        <v>1146</v>
      </c>
      <c r="K1164" s="8">
        <v>3.0</v>
      </c>
      <c r="L1164" s="7" t="s">
        <v>135</v>
      </c>
      <c r="M1164" s="5" t="s">
        <v>75</v>
      </c>
      <c r="N1164" s="5" t="s">
        <v>4833</v>
      </c>
      <c r="O1164" s="5"/>
      <c r="P1164" s="5"/>
      <c r="Q1164" s="5"/>
      <c r="R1164" s="5"/>
      <c r="S1164" s="5"/>
      <c r="T1164" s="5"/>
      <c r="U1164" s="5"/>
      <c r="V1164" s="5"/>
      <c r="W1164" s="5"/>
      <c r="X1164" s="5"/>
      <c r="Y1164" s="5"/>
      <c r="Z1164" s="5"/>
    </row>
    <row r="1165">
      <c r="A1165" s="6" t="s">
        <v>4834</v>
      </c>
      <c r="B1165" s="5" t="s">
        <v>1128</v>
      </c>
      <c r="C1165" s="7" t="s">
        <v>4835</v>
      </c>
      <c r="D1165" s="7" t="s">
        <v>1630</v>
      </c>
      <c r="E1165" s="8">
        <v>1.0</v>
      </c>
      <c r="F1165" s="7" t="s">
        <v>17</v>
      </c>
      <c r="G1165" s="5" t="s">
        <v>19</v>
      </c>
      <c r="H1165" s="7" t="s">
        <v>16</v>
      </c>
      <c r="I1165" s="7" t="s">
        <v>4836</v>
      </c>
      <c r="J1165" s="7" t="s">
        <v>1266</v>
      </c>
      <c r="K1165" s="7" t="s">
        <v>16</v>
      </c>
      <c r="L1165" s="7" t="s">
        <v>135</v>
      </c>
      <c r="M1165" s="5" t="s">
        <v>22</v>
      </c>
      <c r="N1165" s="5" t="s">
        <v>4837</v>
      </c>
      <c r="O1165" s="5"/>
      <c r="P1165" s="5"/>
      <c r="Q1165" s="5"/>
      <c r="R1165" s="5"/>
      <c r="S1165" s="5"/>
      <c r="T1165" s="5"/>
      <c r="U1165" s="5"/>
      <c r="V1165" s="5"/>
      <c r="W1165" s="5"/>
      <c r="X1165" s="5"/>
      <c r="Y1165" s="5"/>
      <c r="Z1165" s="5"/>
    </row>
    <row r="1166">
      <c r="A1166" s="6" t="s">
        <v>4838</v>
      </c>
      <c r="B1166" s="5" t="s">
        <v>1128</v>
      </c>
      <c r="C1166" s="7" t="s">
        <v>4839</v>
      </c>
      <c r="D1166" s="7" t="s">
        <v>1630</v>
      </c>
      <c r="E1166" s="8">
        <v>5.0</v>
      </c>
      <c r="F1166" s="7" t="s">
        <v>17</v>
      </c>
      <c r="G1166" s="5" t="s">
        <v>461</v>
      </c>
      <c r="H1166" s="7" t="s">
        <v>16</v>
      </c>
      <c r="I1166" s="7" t="s">
        <v>4712</v>
      </c>
      <c r="J1166" s="36" t="s">
        <v>1146</v>
      </c>
      <c r="K1166" s="8">
        <v>3.0</v>
      </c>
      <c r="L1166" s="7" t="s">
        <v>135</v>
      </c>
      <c r="M1166" s="5" t="s">
        <v>36</v>
      </c>
      <c r="N1166" s="5" t="s">
        <v>4840</v>
      </c>
      <c r="O1166" s="5"/>
      <c r="P1166" s="5"/>
      <c r="Q1166" s="5"/>
      <c r="R1166" s="5"/>
      <c r="S1166" s="5"/>
      <c r="T1166" s="5"/>
      <c r="U1166" s="5"/>
      <c r="V1166" s="5"/>
      <c r="W1166" s="5"/>
      <c r="X1166" s="5"/>
      <c r="Y1166" s="5"/>
      <c r="Z1166" s="5"/>
    </row>
    <row r="1167">
      <c r="A1167" s="6" t="s">
        <v>4841</v>
      </c>
      <c r="B1167" s="5" t="s">
        <v>1128</v>
      </c>
      <c r="C1167" s="7" t="s">
        <v>4842</v>
      </c>
      <c r="D1167" s="7" t="s">
        <v>1643</v>
      </c>
      <c r="E1167" s="8">
        <v>1.0</v>
      </c>
      <c r="F1167" s="7" t="s">
        <v>105</v>
      </c>
      <c r="G1167" s="5" t="s">
        <v>19</v>
      </c>
      <c r="H1167" s="7" t="s">
        <v>16</v>
      </c>
      <c r="I1167" s="7" t="s">
        <v>4712</v>
      </c>
      <c r="J1167" s="36" t="s">
        <v>1261</v>
      </c>
      <c r="K1167" s="8">
        <v>1.0</v>
      </c>
      <c r="L1167" s="7" t="s">
        <v>135</v>
      </c>
      <c r="M1167" s="5" t="s">
        <v>22</v>
      </c>
      <c r="N1167" s="5" t="s">
        <v>4843</v>
      </c>
      <c r="O1167" s="5"/>
      <c r="P1167" s="5"/>
      <c r="Q1167" s="5"/>
      <c r="R1167" s="5"/>
      <c r="S1167" s="5"/>
      <c r="T1167" s="5"/>
      <c r="U1167" s="5"/>
      <c r="V1167" s="5"/>
      <c r="W1167" s="5"/>
      <c r="X1167" s="5"/>
      <c r="Y1167" s="5"/>
      <c r="Z1167" s="5"/>
    </row>
    <row r="1168">
      <c r="A1168" s="6" t="s">
        <v>4844</v>
      </c>
      <c r="B1168" s="5" t="s">
        <v>1128</v>
      </c>
      <c r="C1168" s="7" t="s">
        <v>4845</v>
      </c>
      <c r="D1168" s="7" t="s">
        <v>1643</v>
      </c>
      <c r="E1168" s="8">
        <v>5.0</v>
      </c>
      <c r="F1168" s="7" t="s">
        <v>105</v>
      </c>
      <c r="G1168" s="5" t="s">
        <v>461</v>
      </c>
      <c r="H1168" s="7" t="s">
        <v>16</v>
      </c>
      <c r="I1168" s="7" t="s">
        <v>4712</v>
      </c>
      <c r="J1168" s="36" t="s">
        <v>1137</v>
      </c>
      <c r="K1168" s="8">
        <v>3.0</v>
      </c>
      <c r="L1168" s="7" t="s">
        <v>135</v>
      </c>
      <c r="M1168" s="5" t="s">
        <v>36</v>
      </c>
      <c r="N1168" s="5" t="s">
        <v>4846</v>
      </c>
      <c r="O1168" s="5"/>
      <c r="P1168" s="5"/>
      <c r="Q1168" s="5"/>
      <c r="R1168" s="5"/>
      <c r="S1168" s="5"/>
      <c r="T1168" s="5"/>
      <c r="U1168" s="5"/>
      <c r="V1168" s="5"/>
      <c r="W1168" s="5"/>
      <c r="X1168" s="5"/>
      <c r="Y1168" s="5"/>
      <c r="Z1168" s="5"/>
    </row>
    <row r="1169">
      <c r="A1169" s="6" t="s">
        <v>4847</v>
      </c>
      <c r="B1169" s="5" t="s">
        <v>1128</v>
      </c>
      <c r="C1169" s="7" t="s">
        <v>1462</v>
      </c>
      <c r="D1169" s="7" t="s">
        <v>1648</v>
      </c>
      <c r="E1169" s="8">
        <v>2.0</v>
      </c>
      <c r="F1169" s="7" t="s">
        <v>105</v>
      </c>
      <c r="G1169" s="5" t="s">
        <v>19</v>
      </c>
      <c r="H1169" s="7" t="s">
        <v>16</v>
      </c>
      <c r="I1169" s="7" t="s">
        <v>4712</v>
      </c>
      <c r="J1169" s="36" t="s">
        <v>1261</v>
      </c>
      <c r="K1169" s="8">
        <v>1.0</v>
      </c>
      <c r="L1169" s="7" t="s">
        <v>135</v>
      </c>
      <c r="M1169" s="5" t="s">
        <v>22</v>
      </c>
      <c r="N1169" s="5" t="s">
        <v>4848</v>
      </c>
      <c r="O1169" s="5"/>
      <c r="P1169" s="5"/>
      <c r="Q1169" s="5"/>
      <c r="R1169" s="5"/>
      <c r="S1169" s="5"/>
      <c r="T1169" s="5"/>
      <c r="U1169" s="5"/>
      <c r="V1169" s="5"/>
      <c r="W1169" s="5"/>
      <c r="X1169" s="5"/>
      <c r="Y1169" s="5"/>
      <c r="Z1169" s="5"/>
    </row>
    <row r="1170">
      <c r="A1170" s="6" t="s">
        <v>4849</v>
      </c>
      <c r="B1170" s="5" t="s">
        <v>1128</v>
      </c>
      <c r="C1170" s="7" t="s">
        <v>4850</v>
      </c>
      <c r="D1170" s="7" t="s">
        <v>1648</v>
      </c>
      <c r="E1170" s="8">
        <v>2.0</v>
      </c>
      <c r="F1170" s="7" t="s">
        <v>17</v>
      </c>
      <c r="G1170" s="5" t="s">
        <v>19</v>
      </c>
      <c r="H1170" s="7" t="s">
        <v>16</v>
      </c>
      <c r="I1170" s="7" t="s">
        <v>4712</v>
      </c>
      <c r="J1170" s="36" t="s">
        <v>4742</v>
      </c>
      <c r="K1170" s="8">
        <v>2.0</v>
      </c>
      <c r="L1170" s="7" t="s">
        <v>135</v>
      </c>
      <c r="M1170" s="5" t="s">
        <v>22</v>
      </c>
      <c r="N1170" s="5" t="s">
        <v>4851</v>
      </c>
      <c r="O1170" s="5"/>
      <c r="P1170" s="5"/>
      <c r="Q1170" s="5"/>
      <c r="R1170" s="5"/>
      <c r="S1170" s="5"/>
      <c r="T1170" s="5"/>
      <c r="U1170" s="5"/>
      <c r="V1170" s="5"/>
      <c r="W1170" s="5"/>
      <c r="X1170" s="5"/>
      <c r="Y1170" s="5"/>
      <c r="Z1170" s="5"/>
    </row>
    <row r="1171">
      <c r="A1171" s="6" t="s">
        <v>4852</v>
      </c>
      <c r="B1171" s="5" t="s">
        <v>1128</v>
      </c>
      <c r="C1171" s="7" t="s">
        <v>4853</v>
      </c>
      <c r="D1171" s="7" t="s">
        <v>1648</v>
      </c>
      <c r="E1171" s="8">
        <v>4.0</v>
      </c>
      <c r="F1171" s="7" t="s">
        <v>17</v>
      </c>
      <c r="G1171" s="5" t="s">
        <v>19</v>
      </c>
      <c r="H1171" s="7" t="s">
        <v>16</v>
      </c>
      <c r="I1171" s="7" t="s">
        <v>4712</v>
      </c>
      <c r="J1171" s="36" t="s">
        <v>1137</v>
      </c>
      <c r="K1171" s="8">
        <v>2.0</v>
      </c>
      <c r="L1171" s="7" t="s">
        <v>135</v>
      </c>
      <c r="M1171" s="5" t="s">
        <v>36</v>
      </c>
      <c r="N1171" s="5" t="s">
        <v>4854</v>
      </c>
      <c r="O1171" s="5"/>
      <c r="P1171" s="5"/>
      <c r="Q1171" s="5"/>
      <c r="R1171" s="5"/>
      <c r="S1171" s="5"/>
      <c r="T1171" s="5"/>
      <c r="U1171" s="5"/>
      <c r="V1171" s="5"/>
      <c r="W1171" s="5"/>
      <c r="X1171" s="5"/>
      <c r="Y1171" s="5"/>
      <c r="Z1171" s="5"/>
    </row>
    <row r="1172">
      <c r="A1172" s="6" t="s">
        <v>4855</v>
      </c>
      <c r="B1172" s="5" t="s">
        <v>1128</v>
      </c>
      <c r="C1172" s="7" t="s">
        <v>4856</v>
      </c>
      <c r="D1172" s="7" t="s">
        <v>1648</v>
      </c>
      <c r="E1172" s="8">
        <v>5.0</v>
      </c>
      <c r="F1172" s="7" t="s">
        <v>17</v>
      </c>
      <c r="G1172" s="5" t="s">
        <v>461</v>
      </c>
      <c r="H1172" s="7" t="s">
        <v>16</v>
      </c>
      <c r="I1172" s="7" t="s">
        <v>4712</v>
      </c>
      <c r="J1172" s="36" t="s">
        <v>4742</v>
      </c>
      <c r="K1172" s="8">
        <v>4.0</v>
      </c>
      <c r="L1172" s="7" t="s">
        <v>135</v>
      </c>
      <c r="M1172" s="5" t="s">
        <v>36</v>
      </c>
      <c r="N1172" s="5" t="s">
        <v>4857</v>
      </c>
      <c r="O1172" s="5"/>
      <c r="P1172" s="5"/>
      <c r="Q1172" s="5"/>
      <c r="R1172" s="5"/>
      <c r="S1172" s="5"/>
      <c r="T1172" s="5"/>
      <c r="U1172" s="5"/>
      <c r="V1172" s="5"/>
      <c r="W1172" s="5"/>
      <c r="X1172" s="5"/>
      <c r="Y1172" s="5"/>
      <c r="Z1172" s="5"/>
    </row>
    <row r="1173">
      <c r="A1173" s="6" t="s">
        <v>4858</v>
      </c>
      <c r="B1173" s="5" t="s">
        <v>1128</v>
      </c>
      <c r="C1173" s="7" t="s">
        <v>4859</v>
      </c>
      <c r="D1173" s="7" t="s">
        <v>1289</v>
      </c>
      <c r="E1173" s="8">
        <v>0.0</v>
      </c>
      <c r="F1173" s="7" t="s">
        <v>172</v>
      </c>
      <c r="G1173" s="5" t="s">
        <v>19</v>
      </c>
      <c r="H1173" s="7" t="s">
        <v>16</v>
      </c>
      <c r="I1173" s="7" t="s">
        <v>4860</v>
      </c>
      <c r="J1173" s="36" t="s">
        <v>4861</v>
      </c>
      <c r="K1173" s="7" t="s">
        <v>16</v>
      </c>
      <c r="L1173" s="7" t="s">
        <v>135</v>
      </c>
      <c r="M1173" s="5" t="s">
        <v>36</v>
      </c>
      <c r="N1173" s="5" t="s">
        <v>4862</v>
      </c>
      <c r="O1173" s="5"/>
      <c r="P1173" s="5"/>
      <c r="Q1173" s="5"/>
      <c r="R1173" s="5"/>
      <c r="S1173" s="5"/>
      <c r="T1173" s="5"/>
      <c r="U1173" s="5"/>
      <c r="V1173" s="5"/>
      <c r="W1173" s="5"/>
      <c r="X1173" s="5"/>
      <c r="Y1173" s="5"/>
      <c r="Z1173" s="5"/>
    </row>
    <row r="1174">
      <c r="A1174" s="6" t="s">
        <v>4863</v>
      </c>
      <c r="B1174" s="5" t="s">
        <v>1128</v>
      </c>
      <c r="C1174" s="7" t="s">
        <v>4864</v>
      </c>
      <c r="D1174" s="7" t="s">
        <v>1289</v>
      </c>
      <c r="E1174" s="8">
        <v>0.0</v>
      </c>
      <c r="F1174" s="7" t="s">
        <v>17</v>
      </c>
      <c r="G1174" s="5" t="s">
        <v>19</v>
      </c>
      <c r="H1174" s="7" t="s">
        <v>16</v>
      </c>
      <c r="I1174" s="7" t="s">
        <v>4865</v>
      </c>
      <c r="J1174" s="7" t="s">
        <v>1266</v>
      </c>
      <c r="K1174" s="7" t="s">
        <v>16</v>
      </c>
      <c r="L1174" s="7" t="s">
        <v>135</v>
      </c>
      <c r="M1174" s="5" t="s">
        <v>75</v>
      </c>
      <c r="N1174" s="5" t="s">
        <v>4866</v>
      </c>
      <c r="O1174" s="5"/>
      <c r="P1174" s="5"/>
      <c r="Q1174" s="5"/>
      <c r="R1174" s="5"/>
      <c r="S1174" s="5"/>
      <c r="T1174" s="5"/>
      <c r="U1174" s="5"/>
      <c r="V1174" s="5"/>
      <c r="W1174" s="5"/>
      <c r="X1174" s="5"/>
      <c r="Y1174" s="5"/>
      <c r="Z1174" s="5"/>
    </row>
    <row r="1175">
      <c r="A1175" s="6" t="s">
        <v>4867</v>
      </c>
      <c r="B1175" s="5" t="s">
        <v>1128</v>
      </c>
      <c r="C1175" s="7" t="s">
        <v>1129</v>
      </c>
      <c r="D1175" s="7" t="s">
        <v>1199</v>
      </c>
      <c r="E1175" s="8">
        <v>3.0</v>
      </c>
      <c r="F1175" s="7" t="s">
        <v>17</v>
      </c>
      <c r="G1175" s="5" t="s">
        <v>461</v>
      </c>
      <c r="H1175" s="7" t="s">
        <v>16</v>
      </c>
      <c r="I1175" s="7" t="s">
        <v>4868</v>
      </c>
      <c r="J1175" s="36" t="s">
        <v>1132</v>
      </c>
      <c r="K1175" s="7" t="s">
        <v>16</v>
      </c>
      <c r="L1175" s="7" t="s">
        <v>135</v>
      </c>
      <c r="M1175" s="5" t="s">
        <v>88</v>
      </c>
      <c r="N1175" s="5" t="s">
        <v>4869</v>
      </c>
      <c r="O1175" s="5"/>
      <c r="P1175" s="5"/>
      <c r="Q1175" s="5"/>
      <c r="R1175" s="5"/>
      <c r="S1175" s="5"/>
      <c r="T1175" s="5"/>
      <c r="U1175" s="5"/>
      <c r="V1175" s="5"/>
      <c r="W1175" s="5"/>
      <c r="X1175" s="5"/>
      <c r="Y1175" s="5"/>
      <c r="Z1175" s="5"/>
    </row>
    <row r="1176">
      <c r="A1176" s="6" t="s">
        <v>4870</v>
      </c>
      <c r="B1176" s="5" t="s">
        <v>1128</v>
      </c>
      <c r="C1176" s="7" t="s">
        <v>1129</v>
      </c>
      <c r="D1176" s="7" t="s">
        <v>1068</v>
      </c>
      <c r="E1176" s="8">
        <v>1.0</v>
      </c>
      <c r="F1176" s="7" t="s">
        <v>17</v>
      </c>
      <c r="G1176" s="5" t="s">
        <v>19</v>
      </c>
      <c r="H1176" s="7" t="s">
        <v>1130</v>
      </c>
      <c r="I1176" s="7" t="s">
        <v>4712</v>
      </c>
      <c r="J1176" s="36" t="s">
        <v>1132</v>
      </c>
      <c r="K1176" s="8">
        <v>1.0</v>
      </c>
      <c r="L1176" s="7" t="s">
        <v>157</v>
      </c>
      <c r="M1176" s="5" t="s">
        <v>36</v>
      </c>
      <c r="N1176" s="5" t="s">
        <v>4871</v>
      </c>
      <c r="O1176" s="5"/>
      <c r="P1176" s="5"/>
      <c r="Q1176" s="5"/>
      <c r="R1176" s="5"/>
      <c r="S1176" s="5"/>
      <c r="T1176" s="5"/>
      <c r="U1176" s="5"/>
      <c r="V1176" s="5"/>
      <c r="W1176" s="5"/>
      <c r="X1176" s="5"/>
      <c r="Y1176" s="5"/>
      <c r="Z1176" s="5"/>
    </row>
    <row r="1177">
      <c r="A1177" s="6" t="s">
        <v>4872</v>
      </c>
      <c r="B1177" s="5" t="s">
        <v>1128</v>
      </c>
      <c r="C1177" s="7" t="s">
        <v>1253</v>
      </c>
      <c r="D1177" s="7" t="s">
        <v>1068</v>
      </c>
      <c r="E1177" s="8">
        <v>3.0</v>
      </c>
      <c r="F1177" s="7" t="s">
        <v>105</v>
      </c>
      <c r="G1177" s="5" t="s">
        <v>461</v>
      </c>
      <c r="H1177" s="7" t="s">
        <v>1130</v>
      </c>
      <c r="I1177" s="7" t="s">
        <v>4873</v>
      </c>
      <c r="J1177" s="36" t="s">
        <v>1132</v>
      </c>
      <c r="K1177" s="8">
        <v>2.0</v>
      </c>
      <c r="L1177" s="7" t="s">
        <v>157</v>
      </c>
      <c r="M1177" s="5" t="s">
        <v>88</v>
      </c>
      <c r="N1177" s="5" t="s">
        <v>4874</v>
      </c>
      <c r="O1177" s="5"/>
      <c r="P1177" s="5"/>
      <c r="Q1177" s="5"/>
      <c r="R1177" s="5"/>
      <c r="S1177" s="5"/>
      <c r="T1177" s="5"/>
      <c r="U1177" s="5"/>
      <c r="V1177" s="5"/>
      <c r="W1177" s="5"/>
      <c r="X1177" s="5"/>
      <c r="Y1177" s="5"/>
      <c r="Z1177" s="5"/>
    </row>
    <row r="1178">
      <c r="A1178" s="6" t="s">
        <v>4875</v>
      </c>
      <c r="B1178" s="5" t="s">
        <v>1128</v>
      </c>
      <c r="C1178" s="7" t="s">
        <v>4876</v>
      </c>
      <c r="D1178" s="7" t="s">
        <v>411</v>
      </c>
      <c r="E1178" s="8">
        <v>4.0</v>
      </c>
      <c r="F1178" s="7" t="s">
        <v>172</v>
      </c>
      <c r="G1178" s="5" t="s">
        <v>461</v>
      </c>
      <c r="H1178" s="7" t="s">
        <v>16</v>
      </c>
      <c r="I1178" s="7" t="s">
        <v>4877</v>
      </c>
      <c r="J1178" s="36" t="s">
        <v>4746</v>
      </c>
      <c r="K1178" s="7" t="s">
        <v>4878</v>
      </c>
      <c r="L1178" s="7" t="s">
        <v>4879</v>
      </c>
      <c r="M1178" s="5" t="s">
        <v>88</v>
      </c>
      <c r="N1178" s="5" t="s">
        <v>4880</v>
      </c>
      <c r="O1178" s="5"/>
      <c r="P1178" s="5"/>
      <c r="Q1178" s="5"/>
      <c r="R1178" s="5"/>
      <c r="S1178" s="5"/>
      <c r="T1178" s="5"/>
      <c r="U1178" s="5"/>
      <c r="V1178" s="5"/>
      <c r="W1178" s="5"/>
      <c r="X1178" s="5"/>
      <c r="Y1178" s="5"/>
      <c r="Z1178" s="5"/>
    </row>
    <row r="1179">
      <c r="A1179" s="6" t="s">
        <v>4881</v>
      </c>
      <c r="B1179" s="5" t="s">
        <v>1128</v>
      </c>
      <c r="C1179" s="7" t="s">
        <v>4882</v>
      </c>
      <c r="D1179" s="7" t="s">
        <v>1672</v>
      </c>
      <c r="E1179" s="8">
        <v>3.0</v>
      </c>
      <c r="F1179" s="7" t="s">
        <v>17</v>
      </c>
      <c r="G1179" s="5" t="s">
        <v>461</v>
      </c>
      <c r="H1179" s="7" t="s">
        <v>4681</v>
      </c>
      <c r="I1179" s="7" t="s">
        <v>4883</v>
      </c>
      <c r="J1179" s="36" t="s">
        <v>1137</v>
      </c>
      <c r="K1179" s="8">
        <v>2.0</v>
      </c>
      <c r="L1179" s="7" t="s">
        <v>1675</v>
      </c>
      <c r="M1179" s="5" t="s">
        <v>22</v>
      </c>
      <c r="N1179" s="5" t="s">
        <v>4884</v>
      </c>
      <c r="O1179" s="5"/>
      <c r="P1179" s="5"/>
      <c r="Q1179" s="5"/>
      <c r="R1179" s="5"/>
      <c r="S1179" s="5"/>
      <c r="T1179" s="5"/>
      <c r="U1179" s="5"/>
      <c r="V1179" s="5"/>
      <c r="W1179" s="5"/>
      <c r="X1179" s="5"/>
      <c r="Y1179" s="5"/>
      <c r="Z1179" s="5"/>
    </row>
    <row r="1180">
      <c r="A1180" s="6" t="s">
        <v>4885</v>
      </c>
      <c r="B1180" s="5" t="s">
        <v>1128</v>
      </c>
      <c r="C1180" s="7" t="s">
        <v>4886</v>
      </c>
      <c r="D1180" s="7" t="s">
        <v>1672</v>
      </c>
      <c r="E1180" s="8">
        <v>3.0</v>
      </c>
      <c r="F1180" s="7" t="s">
        <v>172</v>
      </c>
      <c r="G1180" s="5" t="s">
        <v>19</v>
      </c>
      <c r="H1180" s="7" t="s">
        <v>4681</v>
      </c>
      <c r="I1180" s="7" t="s">
        <v>1153</v>
      </c>
      <c r="J1180" s="36" t="s">
        <v>1161</v>
      </c>
      <c r="K1180" s="7" t="s">
        <v>16</v>
      </c>
      <c r="L1180" s="7" t="s">
        <v>1675</v>
      </c>
      <c r="M1180" s="5" t="s">
        <v>36</v>
      </c>
      <c r="N1180" s="5" t="s">
        <v>4887</v>
      </c>
      <c r="O1180" s="5"/>
      <c r="P1180" s="5"/>
      <c r="Q1180" s="5"/>
      <c r="R1180" s="5"/>
      <c r="S1180" s="5"/>
      <c r="T1180" s="5"/>
      <c r="U1180" s="5"/>
      <c r="V1180" s="5"/>
      <c r="W1180" s="5"/>
      <c r="X1180" s="5"/>
      <c r="Y1180" s="5"/>
      <c r="Z1180" s="5"/>
    </row>
    <row r="1181">
      <c r="A1181" s="6" t="s">
        <v>4888</v>
      </c>
      <c r="B1181" s="5" t="s">
        <v>1128</v>
      </c>
      <c r="C1181" s="7" t="s">
        <v>4889</v>
      </c>
      <c r="D1181" s="7" t="s">
        <v>1672</v>
      </c>
      <c r="E1181" s="8">
        <v>5.0</v>
      </c>
      <c r="F1181" s="7" t="s">
        <v>105</v>
      </c>
      <c r="G1181" s="5" t="s">
        <v>326</v>
      </c>
      <c r="H1181" s="7" t="s">
        <v>4681</v>
      </c>
      <c r="I1181" s="7" t="s">
        <v>4890</v>
      </c>
      <c r="J1181" s="36" t="s">
        <v>1146</v>
      </c>
      <c r="K1181" s="7" t="s">
        <v>16</v>
      </c>
      <c r="L1181" s="7" t="s">
        <v>4879</v>
      </c>
      <c r="M1181" s="5" t="s">
        <v>88</v>
      </c>
      <c r="N1181" s="5" t="s">
        <v>4891</v>
      </c>
      <c r="O1181" s="5"/>
      <c r="P1181" s="5"/>
      <c r="Q1181" s="5"/>
      <c r="R1181" s="5"/>
      <c r="S1181" s="5"/>
      <c r="T1181" s="5"/>
      <c r="U1181" s="5"/>
      <c r="V1181" s="5"/>
      <c r="W1181" s="5"/>
      <c r="X1181" s="5"/>
      <c r="Y1181" s="5"/>
      <c r="Z1181" s="5"/>
    </row>
    <row r="1182">
      <c r="A1182" s="6" t="s">
        <v>4892</v>
      </c>
      <c r="B1182" s="5" t="s">
        <v>1128</v>
      </c>
      <c r="C1182" s="7" t="s">
        <v>4893</v>
      </c>
      <c r="D1182" s="7" t="s">
        <v>1678</v>
      </c>
      <c r="E1182" s="8">
        <v>2.0</v>
      </c>
      <c r="F1182" s="7" t="s">
        <v>17</v>
      </c>
      <c r="G1182" s="5" t="s">
        <v>19</v>
      </c>
      <c r="H1182" s="7" t="s">
        <v>1363</v>
      </c>
      <c r="I1182" s="7" t="s">
        <v>4712</v>
      </c>
      <c r="J1182" s="36" t="s">
        <v>1137</v>
      </c>
      <c r="K1182" s="8">
        <v>1.0</v>
      </c>
      <c r="L1182" s="7" t="s">
        <v>157</v>
      </c>
      <c r="M1182" s="5" t="s">
        <v>22</v>
      </c>
      <c r="N1182" s="5" t="s">
        <v>4894</v>
      </c>
      <c r="O1182" s="5"/>
      <c r="P1182" s="5"/>
      <c r="Q1182" s="5"/>
      <c r="R1182" s="5"/>
      <c r="S1182" s="5"/>
      <c r="T1182" s="5"/>
      <c r="U1182" s="5"/>
      <c r="V1182" s="5"/>
      <c r="W1182" s="5"/>
      <c r="X1182" s="5"/>
      <c r="Y1182" s="5"/>
      <c r="Z1182" s="5"/>
    </row>
    <row r="1183">
      <c r="A1183" s="6" t="s">
        <v>4895</v>
      </c>
      <c r="B1183" s="5" t="s">
        <v>1128</v>
      </c>
      <c r="C1183" s="7" t="s">
        <v>4896</v>
      </c>
      <c r="D1183" s="7" t="s">
        <v>1678</v>
      </c>
      <c r="E1183" s="8">
        <v>2.0</v>
      </c>
      <c r="F1183" s="7" t="s">
        <v>105</v>
      </c>
      <c r="G1183" s="5" t="s">
        <v>19</v>
      </c>
      <c r="H1183" s="7" t="s">
        <v>1363</v>
      </c>
      <c r="I1183" s="7" t="s">
        <v>4897</v>
      </c>
      <c r="J1183" s="36" t="s">
        <v>1132</v>
      </c>
      <c r="K1183" s="8">
        <v>1.0</v>
      </c>
      <c r="L1183" s="7" t="s">
        <v>157</v>
      </c>
      <c r="M1183" s="5" t="s">
        <v>36</v>
      </c>
      <c r="N1183" s="5" t="s">
        <v>4898</v>
      </c>
      <c r="O1183" s="5"/>
      <c r="P1183" s="5"/>
      <c r="Q1183" s="5"/>
      <c r="R1183" s="5"/>
      <c r="S1183" s="5"/>
      <c r="T1183" s="5"/>
      <c r="U1183" s="5"/>
      <c r="V1183" s="5"/>
      <c r="W1183" s="5"/>
      <c r="X1183" s="5"/>
      <c r="Y1183" s="5"/>
      <c r="Z1183" s="5"/>
    </row>
    <row r="1184">
      <c r="A1184" s="6" t="s">
        <v>4899</v>
      </c>
      <c r="B1184" s="5" t="s">
        <v>1128</v>
      </c>
      <c r="C1184" s="7" t="s">
        <v>1323</v>
      </c>
      <c r="D1184" s="7" t="s">
        <v>1678</v>
      </c>
      <c r="E1184" s="8">
        <v>2.0</v>
      </c>
      <c r="F1184" s="7" t="s">
        <v>17</v>
      </c>
      <c r="G1184" s="5" t="s">
        <v>461</v>
      </c>
      <c r="H1184" s="7" t="s">
        <v>1363</v>
      </c>
      <c r="I1184" s="7" t="s">
        <v>4900</v>
      </c>
      <c r="J1184" s="36" t="s">
        <v>1261</v>
      </c>
      <c r="K1184" s="8">
        <v>1.0</v>
      </c>
      <c r="L1184" s="7" t="s">
        <v>157</v>
      </c>
      <c r="M1184" s="5" t="s">
        <v>75</v>
      </c>
      <c r="N1184" s="5" t="s">
        <v>4901</v>
      </c>
      <c r="O1184" s="5"/>
      <c r="P1184" s="5"/>
      <c r="Q1184" s="5"/>
      <c r="R1184" s="5"/>
      <c r="S1184" s="5"/>
      <c r="T1184" s="5"/>
      <c r="U1184" s="5"/>
      <c r="V1184" s="5"/>
      <c r="W1184" s="5"/>
      <c r="X1184" s="5"/>
      <c r="Y1184" s="5"/>
      <c r="Z1184" s="5"/>
    </row>
    <row r="1185">
      <c r="A1185" s="6" t="s">
        <v>4902</v>
      </c>
      <c r="B1185" s="5" t="s">
        <v>1128</v>
      </c>
      <c r="C1185" s="7" t="s">
        <v>4903</v>
      </c>
      <c r="D1185" s="7" t="s">
        <v>1678</v>
      </c>
      <c r="E1185" s="8">
        <v>3.0</v>
      </c>
      <c r="F1185" s="7" t="s">
        <v>17</v>
      </c>
      <c r="G1185" s="5" t="s">
        <v>19</v>
      </c>
      <c r="H1185" s="7" t="s">
        <v>1363</v>
      </c>
      <c r="I1185" s="7" t="s">
        <v>4904</v>
      </c>
      <c r="J1185" s="36" t="s">
        <v>1137</v>
      </c>
      <c r="K1185" s="8">
        <v>2.0</v>
      </c>
      <c r="L1185" s="7" t="s">
        <v>157</v>
      </c>
      <c r="M1185" s="5" t="s">
        <v>36</v>
      </c>
      <c r="N1185" s="5" t="s">
        <v>4905</v>
      </c>
      <c r="O1185" s="5"/>
      <c r="P1185" s="5"/>
      <c r="Q1185" s="5"/>
      <c r="R1185" s="5"/>
      <c r="S1185" s="5"/>
      <c r="T1185" s="5"/>
      <c r="U1185" s="5"/>
      <c r="V1185" s="5"/>
      <c r="W1185" s="5"/>
      <c r="X1185" s="5"/>
      <c r="Y1185" s="5"/>
      <c r="Z1185" s="5"/>
    </row>
    <row r="1186">
      <c r="A1186" s="6" t="s">
        <v>4906</v>
      </c>
      <c r="B1186" s="5" t="s">
        <v>1128</v>
      </c>
      <c r="C1186" s="7" t="s">
        <v>4907</v>
      </c>
      <c r="D1186" s="7" t="s">
        <v>1337</v>
      </c>
      <c r="E1186" s="8">
        <v>2.0</v>
      </c>
      <c r="F1186" s="7" t="s">
        <v>105</v>
      </c>
      <c r="G1186" s="5" t="s">
        <v>19</v>
      </c>
      <c r="H1186" s="7" t="s">
        <v>16</v>
      </c>
      <c r="I1186" s="7" t="s">
        <v>4908</v>
      </c>
      <c r="J1186" s="7" t="s">
        <v>1266</v>
      </c>
      <c r="K1186" s="8">
        <v>1.0</v>
      </c>
      <c r="L1186" s="7" t="s">
        <v>157</v>
      </c>
      <c r="M1186" s="5" t="s">
        <v>36</v>
      </c>
      <c r="N1186" s="5" t="s">
        <v>4909</v>
      </c>
      <c r="O1186" s="5"/>
      <c r="P1186" s="5"/>
      <c r="Q1186" s="5"/>
      <c r="R1186" s="5"/>
      <c r="S1186" s="5"/>
      <c r="T1186" s="5"/>
      <c r="U1186" s="5"/>
      <c r="V1186" s="5"/>
      <c r="W1186" s="5"/>
      <c r="X1186" s="5"/>
      <c r="Y1186" s="5"/>
      <c r="Z1186" s="5"/>
    </row>
    <row r="1187">
      <c r="A1187" s="6" t="s">
        <v>4910</v>
      </c>
      <c r="B1187" s="5" t="s">
        <v>1128</v>
      </c>
      <c r="C1187" s="7" t="s">
        <v>4911</v>
      </c>
      <c r="D1187" s="7" t="s">
        <v>1337</v>
      </c>
      <c r="E1187" s="8">
        <v>4.0</v>
      </c>
      <c r="F1187" s="7" t="s">
        <v>17</v>
      </c>
      <c r="G1187" s="5" t="s">
        <v>19</v>
      </c>
      <c r="H1187" s="7" t="s">
        <v>16</v>
      </c>
      <c r="I1187" s="7" t="s">
        <v>4912</v>
      </c>
      <c r="J1187" s="36" t="s">
        <v>1137</v>
      </c>
      <c r="K1187" s="8">
        <v>2.0</v>
      </c>
      <c r="L1187" s="7" t="s">
        <v>157</v>
      </c>
      <c r="M1187" s="5" t="s">
        <v>36</v>
      </c>
      <c r="N1187" s="5" t="s">
        <v>4913</v>
      </c>
      <c r="O1187" s="5"/>
      <c r="P1187" s="5"/>
      <c r="Q1187" s="5"/>
      <c r="R1187" s="5"/>
      <c r="S1187" s="5"/>
      <c r="T1187" s="5"/>
      <c r="U1187" s="5"/>
      <c r="V1187" s="5"/>
      <c r="W1187" s="5"/>
      <c r="X1187" s="5"/>
      <c r="Y1187" s="5"/>
      <c r="Z1187" s="5"/>
    </row>
    <row r="1188">
      <c r="A1188" s="6" t="s">
        <v>4914</v>
      </c>
      <c r="B1188" s="5" t="s">
        <v>1128</v>
      </c>
      <c r="C1188" s="7" t="s">
        <v>4915</v>
      </c>
      <c r="D1188" s="7" t="s">
        <v>1337</v>
      </c>
      <c r="E1188" s="8">
        <v>8.0</v>
      </c>
      <c r="F1188" s="7" t="s">
        <v>105</v>
      </c>
      <c r="G1188" s="5" t="s">
        <v>326</v>
      </c>
      <c r="H1188" s="7" t="s">
        <v>16</v>
      </c>
      <c r="I1188" s="7" t="s">
        <v>4712</v>
      </c>
      <c r="J1188" s="36" t="s">
        <v>4746</v>
      </c>
      <c r="K1188" s="8">
        <v>4.0</v>
      </c>
      <c r="L1188" s="7" t="s">
        <v>166</v>
      </c>
      <c r="M1188" s="5" t="s">
        <v>88</v>
      </c>
      <c r="N1188" s="5" t="s">
        <v>4916</v>
      </c>
      <c r="O1188" s="5"/>
      <c r="P1188" s="5"/>
      <c r="Q1188" s="5"/>
      <c r="R1188" s="5"/>
      <c r="S1188" s="5"/>
      <c r="T1188" s="5"/>
      <c r="U1188" s="5"/>
      <c r="V1188" s="5"/>
      <c r="W1188" s="5"/>
      <c r="X1188" s="5"/>
      <c r="Y1188" s="5"/>
      <c r="Z1188" s="5"/>
    </row>
    <row r="1189">
      <c r="A1189" s="6" t="s">
        <v>4917</v>
      </c>
      <c r="B1189" s="5" t="s">
        <v>1128</v>
      </c>
      <c r="C1189" s="7" t="s">
        <v>4918</v>
      </c>
      <c r="D1189" s="7" t="s">
        <v>1311</v>
      </c>
      <c r="E1189" s="8">
        <v>2.0</v>
      </c>
      <c r="F1189" s="7" t="s">
        <v>105</v>
      </c>
      <c r="G1189" s="5" t="s">
        <v>19</v>
      </c>
      <c r="H1189" s="7" t="s">
        <v>16</v>
      </c>
      <c r="I1189" s="7" t="s">
        <v>4919</v>
      </c>
      <c r="J1189" s="7" t="s">
        <v>1266</v>
      </c>
      <c r="K1189" s="7" t="s">
        <v>16</v>
      </c>
      <c r="L1189" s="7" t="s">
        <v>157</v>
      </c>
      <c r="M1189" s="5" t="s">
        <v>75</v>
      </c>
      <c r="N1189" s="5" t="s">
        <v>4920</v>
      </c>
      <c r="O1189" s="5"/>
      <c r="P1189" s="5"/>
      <c r="Q1189" s="5"/>
      <c r="R1189" s="5"/>
      <c r="S1189" s="5"/>
      <c r="T1189" s="5"/>
      <c r="U1189" s="5"/>
      <c r="V1189" s="5"/>
      <c r="W1189" s="5"/>
      <c r="X1189" s="5"/>
      <c r="Y1189" s="5"/>
      <c r="Z1189" s="5"/>
    </row>
    <row r="1190">
      <c r="A1190" s="6" t="s">
        <v>4921</v>
      </c>
      <c r="B1190" s="5" t="s">
        <v>1128</v>
      </c>
      <c r="C1190" s="7" t="s">
        <v>4922</v>
      </c>
      <c r="D1190" s="7" t="s">
        <v>1691</v>
      </c>
      <c r="E1190" s="8">
        <v>3.0</v>
      </c>
      <c r="F1190" s="7" t="s">
        <v>17</v>
      </c>
      <c r="G1190" s="5" t="s">
        <v>19</v>
      </c>
      <c r="H1190" s="7" t="s">
        <v>16</v>
      </c>
      <c r="I1190" s="7" t="s">
        <v>4923</v>
      </c>
      <c r="J1190" s="7" t="s">
        <v>1266</v>
      </c>
      <c r="K1190" s="7" t="s">
        <v>16</v>
      </c>
      <c r="L1190" s="7" t="s">
        <v>157</v>
      </c>
      <c r="M1190" s="5" t="s">
        <v>22</v>
      </c>
      <c r="N1190" s="5" t="s">
        <v>4924</v>
      </c>
      <c r="O1190" s="5"/>
      <c r="P1190" s="5"/>
      <c r="Q1190" s="5"/>
      <c r="R1190" s="5"/>
      <c r="S1190" s="5"/>
      <c r="T1190" s="5"/>
      <c r="U1190" s="5"/>
      <c r="V1190" s="5"/>
      <c r="W1190" s="5"/>
      <c r="X1190" s="5"/>
      <c r="Y1190" s="5"/>
      <c r="Z1190" s="5"/>
    </row>
    <row r="1191">
      <c r="A1191" s="6" t="s">
        <v>4925</v>
      </c>
      <c r="B1191" s="5" t="s">
        <v>1128</v>
      </c>
      <c r="C1191" s="7" t="s">
        <v>4926</v>
      </c>
      <c r="D1191" s="7" t="s">
        <v>1691</v>
      </c>
      <c r="E1191" s="8">
        <v>3.0</v>
      </c>
      <c r="F1191" s="7" t="s">
        <v>17</v>
      </c>
      <c r="G1191" s="5" t="s">
        <v>19</v>
      </c>
      <c r="H1191" s="7" t="s">
        <v>16</v>
      </c>
      <c r="I1191" s="7" t="s">
        <v>4927</v>
      </c>
      <c r="J1191" s="7" t="s">
        <v>1266</v>
      </c>
      <c r="K1191" s="7" t="s">
        <v>16</v>
      </c>
      <c r="L1191" s="7" t="s">
        <v>157</v>
      </c>
      <c r="M1191" s="5" t="s">
        <v>22</v>
      </c>
      <c r="N1191" s="5" t="s">
        <v>4928</v>
      </c>
      <c r="O1191" s="5"/>
      <c r="P1191" s="5"/>
      <c r="Q1191" s="5"/>
      <c r="R1191" s="5"/>
      <c r="S1191" s="5"/>
      <c r="T1191" s="5"/>
      <c r="U1191" s="5"/>
      <c r="V1191" s="5"/>
      <c r="W1191" s="5"/>
      <c r="X1191" s="5"/>
      <c r="Y1191" s="5"/>
      <c r="Z1191" s="5"/>
    </row>
    <row r="1192">
      <c r="A1192" s="6" t="s">
        <v>4929</v>
      </c>
      <c r="B1192" s="5" t="s">
        <v>1128</v>
      </c>
      <c r="C1192" s="7" t="s">
        <v>4930</v>
      </c>
      <c r="D1192" s="7" t="s">
        <v>1691</v>
      </c>
      <c r="E1192" s="8">
        <v>3.0</v>
      </c>
      <c r="F1192" s="7" t="s">
        <v>17</v>
      </c>
      <c r="G1192" s="5" t="s">
        <v>19</v>
      </c>
      <c r="H1192" s="7" t="s">
        <v>16</v>
      </c>
      <c r="I1192" s="7" t="s">
        <v>4931</v>
      </c>
      <c r="J1192" s="7" t="s">
        <v>1266</v>
      </c>
      <c r="K1192" s="7" t="s">
        <v>16</v>
      </c>
      <c r="L1192" s="7" t="s">
        <v>157</v>
      </c>
      <c r="M1192" s="5" t="s">
        <v>22</v>
      </c>
      <c r="N1192" s="5" t="s">
        <v>4932</v>
      </c>
      <c r="O1192" s="5"/>
      <c r="P1192" s="5"/>
      <c r="Q1192" s="5"/>
      <c r="R1192" s="5"/>
      <c r="S1192" s="5"/>
      <c r="T1192" s="5"/>
      <c r="U1192" s="5"/>
      <c r="V1192" s="5"/>
      <c r="W1192" s="5"/>
      <c r="X1192" s="5"/>
      <c r="Y1192" s="5"/>
      <c r="Z1192" s="5"/>
    </row>
    <row r="1193">
      <c r="A1193" s="6" t="s">
        <v>4933</v>
      </c>
      <c r="B1193" s="5" t="s">
        <v>1128</v>
      </c>
      <c r="C1193" s="7" t="s">
        <v>4934</v>
      </c>
      <c r="D1193" s="7" t="s">
        <v>1696</v>
      </c>
      <c r="E1193" s="8">
        <v>3.0</v>
      </c>
      <c r="F1193" s="7" t="s">
        <v>105</v>
      </c>
      <c r="G1193" s="5" t="s">
        <v>19</v>
      </c>
      <c r="H1193" s="7" t="s">
        <v>16</v>
      </c>
      <c r="I1193" s="7" t="s">
        <v>4935</v>
      </c>
      <c r="J1193" s="36" t="s">
        <v>4742</v>
      </c>
      <c r="K1193" s="8">
        <v>2.0</v>
      </c>
      <c r="L1193" s="7" t="s">
        <v>166</v>
      </c>
      <c r="M1193" s="5" t="s">
        <v>22</v>
      </c>
      <c r="N1193" s="5" t="s">
        <v>4936</v>
      </c>
      <c r="O1193" s="5"/>
      <c r="P1193" s="5"/>
      <c r="Q1193" s="5"/>
      <c r="R1193" s="5"/>
      <c r="S1193" s="5"/>
      <c r="T1193" s="5"/>
      <c r="U1193" s="5"/>
      <c r="V1193" s="5"/>
      <c r="W1193" s="5"/>
      <c r="X1193" s="5"/>
      <c r="Y1193" s="5"/>
      <c r="Z1193" s="5"/>
    </row>
    <row r="1194">
      <c r="A1194" s="6" t="s">
        <v>4937</v>
      </c>
      <c r="B1194" s="5" t="s">
        <v>1128</v>
      </c>
      <c r="C1194" s="7" t="s">
        <v>4938</v>
      </c>
      <c r="D1194" s="7" t="s">
        <v>1696</v>
      </c>
      <c r="E1194" s="8">
        <v>5.0</v>
      </c>
      <c r="F1194" s="7" t="s">
        <v>105</v>
      </c>
      <c r="G1194" s="5" t="s">
        <v>19</v>
      </c>
      <c r="H1194" s="7" t="s">
        <v>16</v>
      </c>
      <c r="I1194" s="7" t="s">
        <v>4935</v>
      </c>
      <c r="J1194" s="36" t="s">
        <v>1154</v>
      </c>
      <c r="K1194" s="8">
        <v>2.0</v>
      </c>
      <c r="L1194" s="7" t="s">
        <v>157</v>
      </c>
      <c r="M1194" s="5" t="s">
        <v>36</v>
      </c>
      <c r="N1194" s="5" t="s">
        <v>4939</v>
      </c>
      <c r="O1194" s="5"/>
      <c r="P1194" s="5"/>
      <c r="Q1194" s="5"/>
      <c r="R1194" s="5"/>
      <c r="S1194" s="5"/>
      <c r="T1194" s="5"/>
      <c r="U1194" s="5"/>
      <c r="V1194" s="5"/>
      <c r="W1194" s="5"/>
      <c r="X1194" s="5"/>
      <c r="Y1194" s="5"/>
      <c r="Z1194" s="5"/>
    </row>
    <row r="1195">
      <c r="A1195" s="6" t="s">
        <v>4940</v>
      </c>
      <c r="B1195" s="5" t="s">
        <v>1128</v>
      </c>
      <c r="C1195" s="7" t="s">
        <v>1256</v>
      </c>
      <c r="D1195" s="7" t="s">
        <v>1203</v>
      </c>
      <c r="E1195" s="8">
        <v>4.0</v>
      </c>
      <c r="F1195" s="7" t="s">
        <v>105</v>
      </c>
      <c r="G1195" s="5" t="s">
        <v>461</v>
      </c>
      <c r="H1195" s="7" t="s">
        <v>16</v>
      </c>
      <c r="I1195" s="7" t="s">
        <v>4941</v>
      </c>
      <c r="J1195" s="36" t="s">
        <v>1146</v>
      </c>
      <c r="K1195" s="8">
        <v>2.0</v>
      </c>
      <c r="L1195" s="7" t="s">
        <v>157</v>
      </c>
      <c r="M1195" s="5" t="s">
        <v>88</v>
      </c>
      <c r="N1195" s="5" t="s">
        <v>4942</v>
      </c>
      <c r="O1195" s="5"/>
      <c r="P1195" s="5"/>
      <c r="Q1195" s="5"/>
      <c r="R1195" s="5"/>
      <c r="S1195" s="5"/>
      <c r="T1195" s="5"/>
      <c r="U1195" s="5"/>
      <c r="V1195" s="5"/>
      <c r="W1195" s="5"/>
      <c r="X1195" s="5"/>
      <c r="Y1195" s="5"/>
      <c r="Z1195" s="5"/>
    </row>
    <row r="1196">
      <c r="A1196" s="6" t="s">
        <v>4943</v>
      </c>
      <c r="B1196" s="5" t="s">
        <v>1128</v>
      </c>
      <c r="C1196" s="7" t="s">
        <v>1349</v>
      </c>
      <c r="D1196" s="7" t="s">
        <v>1203</v>
      </c>
      <c r="E1196" s="8">
        <v>2.0</v>
      </c>
      <c r="F1196" s="7" t="s">
        <v>172</v>
      </c>
      <c r="G1196" s="5" t="s">
        <v>19</v>
      </c>
      <c r="H1196" s="7" t="s">
        <v>16</v>
      </c>
      <c r="I1196" s="7" t="s">
        <v>4944</v>
      </c>
      <c r="J1196" s="7" t="s">
        <v>1266</v>
      </c>
      <c r="K1196" s="7" t="s">
        <v>16</v>
      </c>
      <c r="L1196" s="7" t="s">
        <v>157</v>
      </c>
      <c r="M1196" s="5" t="s">
        <v>36</v>
      </c>
      <c r="N1196" s="5" t="s">
        <v>4945</v>
      </c>
      <c r="O1196" s="5"/>
      <c r="P1196" s="5"/>
      <c r="Q1196" s="5"/>
      <c r="R1196" s="5"/>
      <c r="S1196" s="5"/>
      <c r="T1196" s="5"/>
      <c r="U1196" s="5"/>
      <c r="V1196" s="5"/>
      <c r="W1196" s="5"/>
      <c r="X1196" s="5"/>
      <c r="Y1196" s="5"/>
      <c r="Z1196" s="5"/>
    </row>
    <row r="1197">
      <c r="A1197" s="6" t="s">
        <v>4946</v>
      </c>
      <c r="B1197" s="5" t="s">
        <v>1128</v>
      </c>
      <c r="C1197" s="7" t="s">
        <v>4947</v>
      </c>
      <c r="D1197" s="7" t="s">
        <v>1706</v>
      </c>
      <c r="E1197" s="8">
        <v>2.0</v>
      </c>
      <c r="F1197" s="7" t="s">
        <v>17</v>
      </c>
      <c r="G1197" s="5" t="s">
        <v>19</v>
      </c>
      <c r="H1197" s="7" t="s">
        <v>1145</v>
      </c>
      <c r="I1197" s="7" t="s">
        <v>1131</v>
      </c>
      <c r="J1197" s="36" t="s">
        <v>1132</v>
      </c>
      <c r="K1197" s="8">
        <v>2.0</v>
      </c>
      <c r="L1197" s="7" t="s">
        <v>157</v>
      </c>
      <c r="M1197" s="5" t="s">
        <v>22</v>
      </c>
      <c r="N1197" s="5" t="s">
        <v>4948</v>
      </c>
      <c r="O1197" s="5"/>
      <c r="P1197" s="5"/>
      <c r="Q1197" s="5"/>
      <c r="R1197" s="5"/>
      <c r="S1197" s="5"/>
      <c r="T1197" s="5"/>
      <c r="U1197" s="5"/>
      <c r="V1197" s="5"/>
      <c r="W1197" s="5"/>
      <c r="X1197" s="5"/>
      <c r="Y1197" s="5"/>
      <c r="Z1197" s="5"/>
    </row>
    <row r="1198">
      <c r="A1198" s="6" t="s">
        <v>4949</v>
      </c>
      <c r="B1198" s="5" t="s">
        <v>1128</v>
      </c>
      <c r="C1198" s="7" t="s">
        <v>4950</v>
      </c>
      <c r="D1198" s="7" t="s">
        <v>1706</v>
      </c>
      <c r="E1198" s="8">
        <v>4.0</v>
      </c>
      <c r="F1198" s="7" t="s">
        <v>105</v>
      </c>
      <c r="G1198" s="5" t="s">
        <v>19</v>
      </c>
      <c r="H1198" s="7" t="s">
        <v>1145</v>
      </c>
      <c r="I1198" s="7" t="s">
        <v>4951</v>
      </c>
      <c r="J1198" s="36" t="s">
        <v>1137</v>
      </c>
      <c r="K1198" s="8">
        <v>2.0</v>
      </c>
      <c r="L1198" s="7" t="s">
        <v>157</v>
      </c>
      <c r="M1198" s="5" t="s">
        <v>75</v>
      </c>
      <c r="N1198" s="5" t="s">
        <v>4952</v>
      </c>
      <c r="O1198" s="5"/>
      <c r="P1198" s="5"/>
      <c r="Q1198" s="5"/>
      <c r="R1198" s="5"/>
      <c r="S1198" s="5"/>
      <c r="T1198" s="5"/>
      <c r="U1198" s="5"/>
      <c r="V1198" s="5"/>
      <c r="W1198" s="5"/>
      <c r="X1198" s="5"/>
      <c r="Y1198" s="5"/>
      <c r="Z1198" s="5"/>
    </row>
    <row r="1199">
      <c r="A1199" s="6" t="s">
        <v>4953</v>
      </c>
      <c r="B1199" s="5" t="s">
        <v>1128</v>
      </c>
      <c r="C1199" s="7" t="s">
        <v>4954</v>
      </c>
      <c r="D1199" s="7" t="s">
        <v>1711</v>
      </c>
      <c r="E1199" s="8">
        <v>1.0</v>
      </c>
      <c r="F1199" s="7" t="s">
        <v>105</v>
      </c>
      <c r="G1199" s="5" t="s">
        <v>19</v>
      </c>
      <c r="H1199" s="7" t="s">
        <v>4955</v>
      </c>
      <c r="I1199" s="7" t="s">
        <v>4956</v>
      </c>
      <c r="J1199" s="36" t="s">
        <v>1261</v>
      </c>
      <c r="K1199" s="8">
        <v>1.0</v>
      </c>
      <c r="L1199" s="7" t="s">
        <v>157</v>
      </c>
      <c r="M1199" s="5" t="s">
        <v>22</v>
      </c>
      <c r="N1199" s="5" t="s">
        <v>4957</v>
      </c>
      <c r="O1199" s="5"/>
      <c r="P1199" s="5"/>
      <c r="Q1199" s="5"/>
      <c r="R1199" s="5"/>
      <c r="S1199" s="5"/>
      <c r="T1199" s="5"/>
      <c r="U1199" s="5"/>
      <c r="V1199" s="5"/>
      <c r="W1199" s="5"/>
      <c r="X1199" s="5"/>
      <c r="Y1199" s="5"/>
      <c r="Z1199" s="5"/>
    </row>
    <row r="1200">
      <c r="A1200" s="6" t="s">
        <v>4958</v>
      </c>
      <c r="B1200" s="5" t="s">
        <v>1128</v>
      </c>
      <c r="C1200" s="7" t="s">
        <v>4959</v>
      </c>
      <c r="D1200" s="7" t="s">
        <v>1711</v>
      </c>
      <c r="E1200" s="8">
        <v>3.0</v>
      </c>
      <c r="F1200" s="7" t="s">
        <v>105</v>
      </c>
      <c r="G1200" s="5" t="s">
        <v>19</v>
      </c>
      <c r="H1200" s="7" t="s">
        <v>4955</v>
      </c>
      <c r="I1200" s="7" t="s">
        <v>4960</v>
      </c>
      <c r="J1200" s="36" t="s">
        <v>1132</v>
      </c>
      <c r="K1200" s="8">
        <v>1.0</v>
      </c>
      <c r="L1200" s="7" t="s">
        <v>157</v>
      </c>
      <c r="M1200" s="5" t="s">
        <v>22</v>
      </c>
      <c r="N1200" s="5" t="s">
        <v>4961</v>
      </c>
      <c r="O1200" s="5"/>
      <c r="P1200" s="5"/>
      <c r="Q1200" s="5"/>
      <c r="R1200" s="5"/>
      <c r="S1200" s="5"/>
      <c r="T1200" s="5"/>
      <c r="U1200" s="5"/>
      <c r="V1200" s="5"/>
      <c r="W1200" s="5"/>
      <c r="X1200" s="5"/>
      <c r="Y1200" s="5"/>
      <c r="Z1200" s="5"/>
    </row>
    <row r="1201">
      <c r="A1201" s="6" t="s">
        <v>4962</v>
      </c>
      <c r="B1201" s="5" t="s">
        <v>1128</v>
      </c>
      <c r="C1201" s="7" t="s">
        <v>4963</v>
      </c>
      <c r="D1201" s="7" t="s">
        <v>1711</v>
      </c>
      <c r="E1201" s="8">
        <v>3.0</v>
      </c>
      <c r="F1201" s="7" t="s">
        <v>17</v>
      </c>
      <c r="G1201" s="5" t="s">
        <v>19</v>
      </c>
      <c r="H1201" s="7" t="s">
        <v>16</v>
      </c>
      <c r="I1201" s="7" t="s">
        <v>4964</v>
      </c>
      <c r="J1201" s="36" t="s">
        <v>1132</v>
      </c>
      <c r="K1201" s="8">
        <v>2.0</v>
      </c>
      <c r="L1201" s="7" t="s">
        <v>157</v>
      </c>
      <c r="M1201" s="5" t="s">
        <v>22</v>
      </c>
      <c r="N1201" s="5" t="s">
        <v>4965</v>
      </c>
      <c r="O1201" s="5"/>
      <c r="P1201" s="5"/>
      <c r="Q1201" s="5"/>
      <c r="R1201" s="5"/>
      <c r="S1201" s="5"/>
      <c r="T1201" s="5"/>
      <c r="U1201" s="5"/>
      <c r="V1201" s="5"/>
      <c r="W1201" s="5"/>
      <c r="X1201" s="5"/>
      <c r="Y1201" s="5"/>
      <c r="Z1201" s="5"/>
    </row>
    <row r="1202">
      <c r="A1202" s="6" t="s">
        <v>4966</v>
      </c>
      <c r="B1202" s="5" t="s">
        <v>1128</v>
      </c>
      <c r="C1202" s="7" t="s">
        <v>4967</v>
      </c>
      <c r="D1202" s="7" t="s">
        <v>1711</v>
      </c>
      <c r="E1202" s="8">
        <v>5.0</v>
      </c>
      <c r="F1202" s="7" t="s">
        <v>105</v>
      </c>
      <c r="G1202" s="5" t="s">
        <v>461</v>
      </c>
      <c r="H1202" s="7" t="s">
        <v>16</v>
      </c>
      <c r="I1202" s="7" t="s">
        <v>4968</v>
      </c>
      <c r="J1202" s="36" t="s">
        <v>1137</v>
      </c>
      <c r="K1202" s="8">
        <v>3.0</v>
      </c>
      <c r="L1202" s="7" t="s">
        <v>157</v>
      </c>
      <c r="M1202" s="5" t="s">
        <v>75</v>
      </c>
      <c r="N1202" s="5" t="s">
        <v>4969</v>
      </c>
      <c r="O1202" s="5"/>
      <c r="P1202" s="5"/>
      <c r="Q1202" s="5"/>
      <c r="R1202" s="5"/>
      <c r="S1202" s="5"/>
      <c r="T1202" s="5"/>
      <c r="U1202" s="5"/>
      <c r="V1202" s="5"/>
      <c r="W1202" s="5"/>
      <c r="X1202" s="5"/>
      <c r="Y1202" s="5"/>
      <c r="Z1202" s="5"/>
    </row>
    <row r="1203">
      <c r="A1203" s="6" t="s">
        <v>4970</v>
      </c>
      <c r="B1203" s="5" t="s">
        <v>1128</v>
      </c>
      <c r="C1203" s="7" t="s">
        <v>1450</v>
      </c>
      <c r="D1203" s="7" t="s">
        <v>85</v>
      </c>
      <c r="E1203" s="8">
        <v>1.0</v>
      </c>
      <c r="F1203" s="7" t="s">
        <v>17</v>
      </c>
      <c r="G1203" s="5" t="s">
        <v>19</v>
      </c>
      <c r="H1203" s="7" t="s">
        <v>16</v>
      </c>
      <c r="I1203" s="7" t="s">
        <v>4971</v>
      </c>
      <c r="J1203" s="7" t="s">
        <v>1266</v>
      </c>
      <c r="K1203" s="7" t="s">
        <v>16</v>
      </c>
      <c r="L1203" s="7" t="s">
        <v>4972</v>
      </c>
      <c r="M1203" s="5" t="s">
        <v>36</v>
      </c>
      <c r="N1203" s="5" t="s">
        <v>4973</v>
      </c>
      <c r="O1203" s="5"/>
      <c r="P1203" s="5"/>
      <c r="Q1203" s="5"/>
      <c r="R1203" s="5"/>
      <c r="S1203" s="5"/>
      <c r="T1203" s="5"/>
      <c r="U1203" s="5"/>
      <c r="V1203" s="5"/>
      <c r="W1203" s="5"/>
      <c r="X1203" s="5"/>
      <c r="Y1203" s="5"/>
      <c r="Z1203" s="5"/>
    </row>
    <row r="1204">
      <c r="A1204" s="6" t="s">
        <v>4974</v>
      </c>
      <c r="B1204" s="5" t="s">
        <v>1128</v>
      </c>
      <c r="C1204" s="7" t="s">
        <v>4975</v>
      </c>
      <c r="D1204" s="7" t="s">
        <v>85</v>
      </c>
      <c r="E1204" s="8">
        <v>2.0</v>
      </c>
      <c r="F1204" s="7" t="s">
        <v>105</v>
      </c>
      <c r="G1204" s="5" t="s">
        <v>19</v>
      </c>
      <c r="H1204" s="7" t="s">
        <v>16</v>
      </c>
      <c r="I1204" s="7" t="s">
        <v>4976</v>
      </c>
      <c r="J1204" s="8">
        <v>8000.0</v>
      </c>
      <c r="K1204" s="8">
        <v>2.0</v>
      </c>
      <c r="L1204" s="7" t="s">
        <v>1722</v>
      </c>
      <c r="M1204" s="5" t="s">
        <v>88</v>
      </c>
      <c r="N1204" s="5" t="s">
        <v>4977</v>
      </c>
      <c r="O1204" s="5"/>
      <c r="P1204" s="5"/>
      <c r="Q1204" s="5"/>
      <c r="R1204" s="5"/>
      <c r="S1204" s="5"/>
      <c r="T1204" s="5"/>
      <c r="U1204" s="5"/>
      <c r="V1204" s="5"/>
      <c r="W1204" s="5"/>
      <c r="X1204" s="5"/>
      <c r="Y1204" s="5"/>
      <c r="Z1204" s="5"/>
    </row>
    <row r="1205">
      <c r="A1205" s="6" t="s">
        <v>4978</v>
      </c>
      <c r="B1205" s="5" t="s">
        <v>1128</v>
      </c>
      <c r="C1205" s="7" t="s">
        <v>4979</v>
      </c>
      <c r="D1205" s="7" t="s">
        <v>1289</v>
      </c>
      <c r="E1205" s="8">
        <v>0.0</v>
      </c>
      <c r="F1205" s="7" t="s">
        <v>17</v>
      </c>
      <c r="G1205" s="5" t="s">
        <v>19</v>
      </c>
      <c r="H1205" s="7" t="s">
        <v>16</v>
      </c>
      <c r="I1205" s="7" t="s">
        <v>4980</v>
      </c>
      <c r="J1205" s="7" t="s">
        <v>1266</v>
      </c>
      <c r="K1205" s="7" t="s">
        <v>16</v>
      </c>
      <c r="L1205" s="7" t="s">
        <v>4981</v>
      </c>
      <c r="M1205" s="5" t="s">
        <v>22</v>
      </c>
      <c r="N1205" s="5" t="s">
        <v>4982</v>
      </c>
      <c r="O1205" s="5"/>
      <c r="P1205" s="5"/>
      <c r="Q1205" s="5"/>
      <c r="R1205" s="5"/>
      <c r="S1205" s="5"/>
      <c r="T1205" s="5"/>
      <c r="U1205" s="5"/>
      <c r="V1205" s="5"/>
      <c r="W1205" s="5"/>
      <c r="X1205" s="5"/>
      <c r="Y1205" s="5"/>
      <c r="Z1205" s="5"/>
    </row>
    <row r="1206">
      <c r="A1206" s="6" t="s">
        <v>4983</v>
      </c>
      <c r="B1206" s="5" t="s">
        <v>1128</v>
      </c>
      <c r="C1206" s="7" t="s">
        <v>4984</v>
      </c>
      <c r="D1206" s="7" t="s">
        <v>1289</v>
      </c>
      <c r="E1206" s="8">
        <v>0.0</v>
      </c>
      <c r="F1206" s="7" t="s">
        <v>17</v>
      </c>
      <c r="G1206" s="5" t="s">
        <v>19</v>
      </c>
      <c r="H1206" s="7" t="s">
        <v>16</v>
      </c>
      <c r="I1206" s="7" t="s">
        <v>4985</v>
      </c>
      <c r="J1206" s="7" t="s">
        <v>1266</v>
      </c>
      <c r="K1206" s="7" t="s">
        <v>16</v>
      </c>
      <c r="L1206" s="7" t="s">
        <v>157</v>
      </c>
      <c r="M1206" s="5" t="s">
        <v>22</v>
      </c>
      <c r="N1206" s="5" t="s">
        <v>4986</v>
      </c>
      <c r="O1206" s="5"/>
      <c r="P1206" s="5"/>
      <c r="Q1206" s="5"/>
      <c r="R1206" s="5"/>
      <c r="S1206" s="5"/>
      <c r="T1206" s="5"/>
      <c r="U1206" s="5"/>
      <c r="V1206" s="5"/>
      <c r="W1206" s="5"/>
      <c r="X1206" s="5"/>
      <c r="Y1206" s="5"/>
      <c r="Z1206" s="5"/>
    </row>
    <row r="1207">
      <c r="A1207" s="6" t="s">
        <v>4987</v>
      </c>
      <c r="B1207" s="5" t="s">
        <v>1128</v>
      </c>
      <c r="C1207" s="7" t="s">
        <v>4984</v>
      </c>
      <c r="D1207" s="7" t="s">
        <v>1289</v>
      </c>
      <c r="E1207" s="8">
        <v>0.0</v>
      </c>
      <c r="F1207" s="7" t="s">
        <v>17</v>
      </c>
      <c r="G1207" s="5" t="s">
        <v>19</v>
      </c>
      <c r="H1207" s="7" t="s">
        <v>16</v>
      </c>
      <c r="I1207" s="7" t="s">
        <v>4988</v>
      </c>
      <c r="J1207" s="7" t="s">
        <v>1266</v>
      </c>
      <c r="K1207" s="7" t="s">
        <v>16</v>
      </c>
      <c r="L1207" s="7" t="s">
        <v>157</v>
      </c>
      <c r="M1207" s="5" t="s">
        <v>22</v>
      </c>
      <c r="N1207" s="5" t="s">
        <v>4986</v>
      </c>
      <c r="O1207" s="5"/>
      <c r="P1207" s="5"/>
      <c r="Q1207" s="5"/>
      <c r="R1207" s="5"/>
      <c r="S1207" s="5"/>
      <c r="T1207" s="5"/>
      <c r="U1207" s="5"/>
      <c r="V1207" s="5"/>
      <c r="W1207" s="5"/>
      <c r="X1207" s="5"/>
      <c r="Y1207" s="5"/>
      <c r="Z1207" s="5"/>
    </row>
    <row r="1208">
      <c r="A1208" s="6" t="s">
        <v>4989</v>
      </c>
      <c r="B1208" s="5" t="s">
        <v>1128</v>
      </c>
      <c r="C1208" s="7" t="s">
        <v>4990</v>
      </c>
      <c r="D1208" s="7" t="s">
        <v>1289</v>
      </c>
      <c r="E1208" s="8">
        <v>0.0</v>
      </c>
      <c r="F1208" s="7" t="s">
        <v>17</v>
      </c>
      <c r="G1208" s="5" t="s">
        <v>19</v>
      </c>
      <c r="H1208" s="7" t="s">
        <v>16</v>
      </c>
      <c r="I1208" s="7" t="s">
        <v>4991</v>
      </c>
      <c r="J1208" s="7" t="s">
        <v>1266</v>
      </c>
      <c r="K1208" s="7" t="s">
        <v>16</v>
      </c>
      <c r="L1208" s="7" t="s">
        <v>166</v>
      </c>
      <c r="M1208" s="5" t="s">
        <v>22</v>
      </c>
      <c r="N1208" s="5" t="s">
        <v>4992</v>
      </c>
      <c r="O1208" s="5"/>
      <c r="P1208" s="5"/>
      <c r="Q1208" s="5"/>
      <c r="R1208" s="5"/>
      <c r="S1208" s="5"/>
      <c r="T1208" s="5"/>
      <c r="U1208" s="5"/>
      <c r="V1208" s="5"/>
      <c r="W1208" s="5"/>
      <c r="X1208" s="5"/>
      <c r="Y1208" s="5"/>
      <c r="Z1208" s="5"/>
    </row>
    <row r="1209">
      <c r="A1209" s="6" t="s">
        <v>4993</v>
      </c>
      <c r="B1209" s="5" t="s">
        <v>1128</v>
      </c>
      <c r="C1209" s="7" t="s">
        <v>1160</v>
      </c>
      <c r="D1209" s="7" t="s">
        <v>1068</v>
      </c>
      <c r="E1209" s="8">
        <v>8.0</v>
      </c>
      <c r="F1209" s="7" t="s">
        <v>105</v>
      </c>
      <c r="G1209" s="5" t="s">
        <v>326</v>
      </c>
      <c r="H1209" s="7" t="s">
        <v>16</v>
      </c>
      <c r="I1209" s="7" t="s">
        <v>4712</v>
      </c>
      <c r="J1209" s="36" t="s">
        <v>4746</v>
      </c>
      <c r="K1209" s="8">
        <v>4.0</v>
      </c>
      <c r="L1209" s="7" t="s">
        <v>205</v>
      </c>
      <c r="M1209" s="5" t="s">
        <v>88</v>
      </c>
      <c r="N1209" s="5" t="s">
        <v>4994</v>
      </c>
      <c r="O1209" s="5"/>
      <c r="P1209" s="5"/>
      <c r="Q1209" s="5"/>
      <c r="R1209" s="5"/>
      <c r="S1209" s="5"/>
      <c r="T1209" s="5"/>
      <c r="U1209" s="5"/>
      <c r="V1209" s="5"/>
      <c r="W1209" s="5"/>
      <c r="X1209" s="5"/>
      <c r="Y1209" s="5"/>
      <c r="Z1209" s="5"/>
    </row>
    <row r="1210">
      <c r="A1210" s="6" t="s">
        <v>4995</v>
      </c>
      <c r="B1210" s="5" t="s">
        <v>1128</v>
      </c>
      <c r="C1210" s="7" t="s">
        <v>1253</v>
      </c>
      <c r="D1210" s="7" t="s">
        <v>1068</v>
      </c>
      <c r="E1210" s="8">
        <v>2.0</v>
      </c>
      <c r="F1210" s="7" t="s">
        <v>105</v>
      </c>
      <c r="G1210" s="5" t="s">
        <v>461</v>
      </c>
      <c r="H1210" s="7" t="s">
        <v>16</v>
      </c>
      <c r="I1210" s="7" t="s">
        <v>4996</v>
      </c>
      <c r="J1210" s="36" t="s">
        <v>1261</v>
      </c>
      <c r="K1210" s="8">
        <v>2.0</v>
      </c>
      <c r="L1210" s="7" t="s">
        <v>205</v>
      </c>
      <c r="M1210" s="5" t="s">
        <v>75</v>
      </c>
      <c r="N1210" s="5" t="s">
        <v>4997</v>
      </c>
      <c r="O1210" s="5"/>
      <c r="P1210" s="5"/>
      <c r="Q1210" s="5"/>
      <c r="R1210" s="5"/>
      <c r="S1210" s="5"/>
      <c r="T1210" s="5"/>
      <c r="U1210" s="5"/>
      <c r="V1210" s="5"/>
      <c r="W1210" s="5"/>
      <c r="X1210" s="5"/>
      <c r="Y1210" s="5"/>
      <c r="Z1210" s="5"/>
    </row>
    <row r="1211">
      <c r="A1211" s="6" t="s">
        <v>4998</v>
      </c>
      <c r="B1211" s="5" t="s">
        <v>1128</v>
      </c>
      <c r="C1211" s="7" t="s">
        <v>1244</v>
      </c>
      <c r="D1211" s="7" t="s">
        <v>1183</v>
      </c>
      <c r="E1211" s="8">
        <v>1.0</v>
      </c>
      <c r="F1211" s="7" t="s">
        <v>17</v>
      </c>
      <c r="G1211" s="5" t="s">
        <v>19</v>
      </c>
      <c r="H1211" s="7" t="s">
        <v>16</v>
      </c>
      <c r="I1211" s="7" t="s">
        <v>4999</v>
      </c>
      <c r="J1211" s="7" t="s">
        <v>1266</v>
      </c>
      <c r="K1211" s="7" t="s">
        <v>16</v>
      </c>
      <c r="L1211" s="7" t="s">
        <v>205</v>
      </c>
      <c r="M1211" s="5" t="s">
        <v>22</v>
      </c>
      <c r="N1211" s="5" t="s">
        <v>5000</v>
      </c>
      <c r="O1211" s="5"/>
      <c r="P1211" s="5"/>
      <c r="Q1211" s="5"/>
      <c r="R1211" s="5"/>
      <c r="S1211" s="5"/>
      <c r="T1211" s="5"/>
      <c r="U1211" s="5"/>
      <c r="V1211" s="5"/>
      <c r="W1211" s="5"/>
      <c r="X1211" s="5"/>
      <c r="Y1211" s="5"/>
      <c r="Z1211" s="5"/>
    </row>
    <row r="1212">
      <c r="A1212" s="6" t="s">
        <v>5001</v>
      </c>
      <c r="B1212" s="5" t="s">
        <v>1128</v>
      </c>
      <c r="C1212" s="7" t="s">
        <v>4734</v>
      </c>
      <c r="D1212" s="7" t="s">
        <v>1183</v>
      </c>
      <c r="E1212" s="8">
        <v>1.0</v>
      </c>
      <c r="F1212" s="7" t="s">
        <v>17</v>
      </c>
      <c r="G1212" s="5" t="s">
        <v>19</v>
      </c>
      <c r="H1212" s="7" t="s">
        <v>16</v>
      </c>
      <c r="I1212" s="7" t="s">
        <v>5002</v>
      </c>
      <c r="J1212" s="7" t="s">
        <v>1266</v>
      </c>
      <c r="K1212" s="7" t="s">
        <v>16</v>
      </c>
      <c r="L1212" s="7" t="s">
        <v>205</v>
      </c>
      <c r="M1212" s="5" t="s">
        <v>75</v>
      </c>
      <c r="N1212" s="5" t="s">
        <v>5003</v>
      </c>
      <c r="O1212" s="5"/>
      <c r="P1212" s="5"/>
      <c r="Q1212" s="5"/>
      <c r="R1212" s="5"/>
      <c r="S1212" s="5"/>
      <c r="T1212" s="5"/>
      <c r="U1212" s="5"/>
      <c r="V1212" s="5"/>
      <c r="W1212" s="5"/>
      <c r="X1212" s="5"/>
      <c r="Y1212" s="5"/>
      <c r="Z1212" s="5"/>
    </row>
    <row r="1213">
      <c r="A1213" s="6" t="s">
        <v>5004</v>
      </c>
      <c r="B1213" s="5" t="s">
        <v>1128</v>
      </c>
      <c r="C1213" s="7" t="s">
        <v>1247</v>
      </c>
      <c r="D1213" s="7" t="s">
        <v>1183</v>
      </c>
      <c r="E1213" s="8">
        <v>2.0</v>
      </c>
      <c r="F1213" s="7" t="s">
        <v>172</v>
      </c>
      <c r="G1213" s="5" t="s">
        <v>461</v>
      </c>
      <c r="H1213" s="7" t="s">
        <v>16</v>
      </c>
      <c r="I1213" s="7" t="s">
        <v>5005</v>
      </c>
      <c r="J1213" s="7" t="s">
        <v>1266</v>
      </c>
      <c r="K1213" s="7" t="s">
        <v>16</v>
      </c>
      <c r="L1213" s="7" t="s">
        <v>5006</v>
      </c>
      <c r="M1213" s="5" t="s">
        <v>75</v>
      </c>
      <c r="N1213" s="5" t="s">
        <v>5007</v>
      </c>
      <c r="O1213" s="5"/>
      <c r="P1213" s="5"/>
      <c r="Q1213" s="5"/>
      <c r="R1213" s="5"/>
      <c r="S1213" s="5"/>
      <c r="T1213" s="5"/>
      <c r="U1213" s="5"/>
      <c r="V1213" s="5"/>
      <c r="W1213" s="5"/>
      <c r="X1213" s="5"/>
      <c r="Y1213" s="5"/>
      <c r="Z1213" s="5"/>
    </row>
    <row r="1214">
      <c r="A1214" s="6" t="s">
        <v>5008</v>
      </c>
      <c r="B1214" s="5" t="s">
        <v>1128</v>
      </c>
      <c r="C1214" s="7" t="s">
        <v>1149</v>
      </c>
      <c r="D1214" s="7" t="s">
        <v>411</v>
      </c>
      <c r="E1214" s="8">
        <v>2.0</v>
      </c>
      <c r="F1214" s="7" t="s">
        <v>17</v>
      </c>
      <c r="G1214" s="5" t="s">
        <v>19</v>
      </c>
      <c r="H1214" s="7" t="s">
        <v>16</v>
      </c>
      <c r="I1214" s="7" t="s">
        <v>4712</v>
      </c>
      <c r="J1214" s="36" t="s">
        <v>1132</v>
      </c>
      <c r="K1214" s="8">
        <v>1.0</v>
      </c>
      <c r="L1214" s="7" t="s">
        <v>205</v>
      </c>
      <c r="M1214" s="5" t="s">
        <v>22</v>
      </c>
      <c r="N1214" s="5" t="s">
        <v>5009</v>
      </c>
      <c r="O1214" s="5"/>
      <c r="P1214" s="5"/>
      <c r="Q1214" s="5"/>
      <c r="R1214" s="5"/>
      <c r="S1214" s="5"/>
      <c r="T1214" s="5"/>
      <c r="U1214" s="5"/>
      <c r="V1214" s="5"/>
      <c r="W1214" s="5"/>
      <c r="X1214" s="5"/>
      <c r="Y1214" s="5"/>
      <c r="Z1214" s="5"/>
    </row>
    <row r="1215">
      <c r="A1215" s="6" t="s">
        <v>5010</v>
      </c>
      <c r="B1215" s="5" t="s">
        <v>1128</v>
      </c>
      <c r="C1215" s="7" t="s">
        <v>1152</v>
      </c>
      <c r="D1215" s="7" t="s">
        <v>411</v>
      </c>
      <c r="E1215" s="8">
        <v>3.0</v>
      </c>
      <c r="F1215" s="7" t="s">
        <v>172</v>
      </c>
      <c r="G1215" s="5" t="s">
        <v>19</v>
      </c>
      <c r="H1215" s="7" t="s">
        <v>16</v>
      </c>
      <c r="I1215" s="7" t="s">
        <v>5011</v>
      </c>
      <c r="J1215" s="36" t="s">
        <v>1154</v>
      </c>
      <c r="K1215" s="7" t="s">
        <v>16</v>
      </c>
      <c r="L1215" s="7" t="s">
        <v>205</v>
      </c>
      <c r="M1215" s="5" t="s">
        <v>75</v>
      </c>
      <c r="N1215" s="5" t="s">
        <v>5012</v>
      </c>
      <c r="O1215" s="5"/>
      <c r="P1215" s="5"/>
      <c r="Q1215" s="5"/>
      <c r="R1215" s="5"/>
      <c r="S1215" s="5"/>
      <c r="T1215" s="5"/>
      <c r="U1215" s="5"/>
      <c r="V1215" s="5"/>
      <c r="W1215" s="5"/>
      <c r="X1215" s="5"/>
      <c r="Y1215" s="5"/>
      <c r="Z1215" s="5"/>
    </row>
    <row r="1216">
      <c r="A1216" s="6" t="s">
        <v>5013</v>
      </c>
      <c r="B1216" s="5" t="s">
        <v>1128</v>
      </c>
      <c r="C1216" s="7" t="s">
        <v>5014</v>
      </c>
      <c r="D1216" s="7" t="s">
        <v>411</v>
      </c>
      <c r="E1216" s="8">
        <v>3.0</v>
      </c>
      <c r="F1216" s="7" t="s">
        <v>17</v>
      </c>
      <c r="G1216" s="5" t="s">
        <v>461</v>
      </c>
      <c r="H1216" s="7" t="s">
        <v>16</v>
      </c>
      <c r="I1216" s="7" t="s">
        <v>5015</v>
      </c>
      <c r="J1216" s="7" t="s">
        <v>1266</v>
      </c>
      <c r="K1216" s="7" t="s">
        <v>16</v>
      </c>
      <c r="L1216" s="7" t="s">
        <v>5016</v>
      </c>
      <c r="M1216" s="5" t="s">
        <v>75</v>
      </c>
      <c r="N1216" s="5" t="s">
        <v>5017</v>
      </c>
      <c r="O1216" s="5"/>
      <c r="P1216" s="5"/>
      <c r="Q1216" s="5"/>
      <c r="R1216" s="5"/>
      <c r="S1216" s="5"/>
      <c r="T1216" s="5"/>
      <c r="U1216" s="5"/>
      <c r="V1216" s="5"/>
      <c r="W1216" s="5"/>
      <c r="X1216" s="5"/>
      <c r="Y1216" s="5"/>
      <c r="Z1216" s="5"/>
    </row>
    <row r="1217">
      <c r="A1217" s="6" t="s">
        <v>5018</v>
      </c>
      <c r="B1217" s="5" t="s">
        <v>1128</v>
      </c>
      <c r="C1217" s="7" t="s">
        <v>1129</v>
      </c>
      <c r="D1217" s="7" t="s">
        <v>1199</v>
      </c>
      <c r="E1217" s="8">
        <v>2.0</v>
      </c>
      <c r="F1217" s="7" t="s">
        <v>105</v>
      </c>
      <c r="G1217" s="5" t="s">
        <v>19</v>
      </c>
      <c r="H1217" s="7" t="s">
        <v>1130</v>
      </c>
      <c r="I1217" s="7" t="s">
        <v>4712</v>
      </c>
      <c r="J1217" s="36" t="s">
        <v>1137</v>
      </c>
      <c r="K1217" s="8">
        <v>1.0</v>
      </c>
      <c r="L1217" s="7" t="s">
        <v>226</v>
      </c>
      <c r="M1217" s="5" t="s">
        <v>75</v>
      </c>
      <c r="N1217" s="5" t="s">
        <v>5019</v>
      </c>
      <c r="O1217" s="5"/>
      <c r="P1217" s="5"/>
      <c r="Q1217" s="5"/>
      <c r="R1217" s="5"/>
      <c r="S1217" s="5"/>
      <c r="T1217" s="5"/>
      <c r="U1217" s="5"/>
      <c r="V1217" s="5"/>
      <c r="W1217" s="5"/>
      <c r="X1217" s="5"/>
      <c r="Y1217" s="5"/>
      <c r="Z1217" s="5"/>
    </row>
    <row r="1218">
      <c r="A1218" s="6" t="s">
        <v>5020</v>
      </c>
      <c r="B1218" s="5" t="s">
        <v>1128</v>
      </c>
      <c r="C1218" s="7" t="s">
        <v>1253</v>
      </c>
      <c r="D1218" s="7" t="s">
        <v>1199</v>
      </c>
      <c r="E1218" s="8">
        <v>3.0</v>
      </c>
      <c r="F1218" s="7" t="s">
        <v>17</v>
      </c>
      <c r="G1218" s="5" t="s">
        <v>19</v>
      </c>
      <c r="H1218" s="7" t="s">
        <v>1130</v>
      </c>
      <c r="I1218" s="7" t="s">
        <v>5021</v>
      </c>
      <c r="J1218" s="7" t="s">
        <v>1266</v>
      </c>
      <c r="K1218" s="8">
        <v>2.0</v>
      </c>
      <c r="L1218" s="7" t="s">
        <v>226</v>
      </c>
      <c r="M1218" s="5" t="s">
        <v>88</v>
      </c>
      <c r="N1218" s="5" t="s">
        <v>5022</v>
      </c>
      <c r="O1218" s="5"/>
      <c r="P1218" s="5"/>
      <c r="Q1218" s="5"/>
      <c r="R1218" s="5"/>
      <c r="S1218" s="5"/>
      <c r="T1218" s="5"/>
      <c r="U1218" s="5"/>
      <c r="V1218" s="5"/>
      <c r="W1218" s="5"/>
      <c r="X1218" s="5"/>
      <c r="Y1218" s="5"/>
      <c r="Z1218" s="5"/>
    </row>
    <row r="1219">
      <c r="A1219" s="6" t="s">
        <v>5023</v>
      </c>
      <c r="B1219" s="5" t="s">
        <v>1128</v>
      </c>
      <c r="C1219" s="7" t="s">
        <v>4788</v>
      </c>
      <c r="D1219" s="7" t="s">
        <v>1194</v>
      </c>
      <c r="E1219" s="8">
        <v>8.0</v>
      </c>
      <c r="F1219" s="7" t="s">
        <v>17</v>
      </c>
      <c r="G1219" s="5" t="s">
        <v>326</v>
      </c>
      <c r="H1219" s="7" t="s">
        <v>4689</v>
      </c>
      <c r="I1219" s="7" t="s">
        <v>4789</v>
      </c>
      <c r="J1219" s="36" t="s">
        <v>1146</v>
      </c>
      <c r="K1219" s="8">
        <v>3.0</v>
      </c>
      <c r="L1219" s="7" t="s">
        <v>221</v>
      </c>
      <c r="M1219" s="5" t="s">
        <v>75</v>
      </c>
      <c r="N1219" s="5" t="s">
        <v>5024</v>
      </c>
      <c r="O1219" s="5"/>
      <c r="P1219" s="5"/>
      <c r="Q1219" s="5"/>
      <c r="R1219" s="5"/>
      <c r="S1219" s="5"/>
      <c r="T1219" s="5"/>
      <c r="U1219" s="5"/>
      <c r="V1219" s="5"/>
      <c r="W1219" s="5"/>
      <c r="X1219" s="5"/>
      <c r="Y1219" s="5"/>
      <c r="Z1219" s="5"/>
    </row>
    <row r="1220">
      <c r="A1220" s="6" t="s">
        <v>5025</v>
      </c>
      <c r="B1220" s="5" t="s">
        <v>1128</v>
      </c>
      <c r="C1220" s="7" t="s">
        <v>5026</v>
      </c>
      <c r="D1220" s="7" t="s">
        <v>1748</v>
      </c>
      <c r="E1220" s="8">
        <v>1.0</v>
      </c>
      <c r="F1220" s="7" t="s">
        <v>105</v>
      </c>
      <c r="G1220" s="5" t="s">
        <v>19</v>
      </c>
      <c r="H1220" s="7" t="s">
        <v>16</v>
      </c>
      <c r="I1220" s="7" t="s">
        <v>1131</v>
      </c>
      <c r="J1220" s="36" t="s">
        <v>1261</v>
      </c>
      <c r="K1220" s="8">
        <v>1.0</v>
      </c>
      <c r="L1220" s="7" t="s">
        <v>221</v>
      </c>
      <c r="M1220" s="5" t="s">
        <v>75</v>
      </c>
      <c r="N1220" s="5" t="s">
        <v>5027</v>
      </c>
      <c r="O1220" s="5"/>
      <c r="P1220" s="5"/>
      <c r="Q1220" s="5"/>
      <c r="R1220" s="5"/>
      <c r="S1220" s="5"/>
      <c r="T1220" s="5"/>
      <c r="U1220" s="5"/>
      <c r="V1220" s="5"/>
      <c r="W1220" s="5"/>
      <c r="X1220" s="5"/>
      <c r="Y1220" s="5"/>
      <c r="Z1220" s="5"/>
    </row>
    <row r="1221">
      <c r="A1221" s="6" t="s">
        <v>5028</v>
      </c>
      <c r="B1221" s="5" t="s">
        <v>1128</v>
      </c>
      <c r="C1221" s="7" t="s">
        <v>5029</v>
      </c>
      <c r="D1221" s="7" t="s">
        <v>1748</v>
      </c>
      <c r="E1221" s="8">
        <v>3.0</v>
      </c>
      <c r="F1221" s="7" t="s">
        <v>17</v>
      </c>
      <c r="G1221" s="5" t="s">
        <v>19</v>
      </c>
      <c r="H1221" s="7" t="s">
        <v>16</v>
      </c>
      <c r="I1221" s="7" t="s">
        <v>1131</v>
      </c>
      <c r="J1221" s="36" t="s">
        <v>1132</v>
      </c>
      <c r="K1221" s="8">
        <v>2.0</v>
      </c>
      <c r="L1221" s="7" t="s">
        <v>221</v>
      </c>
      <c r="M1221" s="5" t="s">
        <v>75</v>
      </c>
      <c r="N1221" s="5" t="s">
        <v>5030</v>
      </c>
      <c r="O1221" s="5"/>
      <c r="P1221" s="5"/>
      <c r="Q1221" s="5"/>
      <c r="R1221" s="5"/>
      <c r="S1221" s="5"/>
      <c r="T1221" s="5"/>
      <c r="U1221" s="5"/>
      <c r="V1221" s="5"/>
      <c r="W1221" s="5"/>
      <c r="X1221" s="5"/>
      <c r="Y1221" s="5"/>
      <c r="Z1221" s="5"/>
    </row>
    <row r="1222">
      <c r="A1222" s="6" t="s">
        <v>5031</v>
      </c>
      <c r="B1222" s="5" t="s">
        <v>1128</v>
      </c>
      <c r="C1222" s="7" t="s">
        <v>5029</v>
      </c>
      <c r="D1222" s="7" t="s">
        <v>1748</v>
      </c>
      <c r="E1222" s="8">
        <v>3.0</v>
      </c>
      <c r="F1222" s="7" t="s">
        <v>17</v>
      </c>
      <c r="G1222" s="5" t="s">
        <v>19</v>
      </c>
      <c r="H1222" s="7" t="s">
        <v>16</v>
      </c>
      <c r="I1222" s="7" t="s">
        <v>5032</v>
      </c>
      <c r="J1222" s="36" t="s">
        <v>1132</v>
      </c>
      <c r="K1222" s="8">
        <v>2.0</v>
      </c>
      <c r="L1222" s="7" t="s">
        <v>221</v>
      </c>
      <c r="M1222" s="5" t="s">
        <v>75</v>
      </c>
      <c r="N1222" s="5" t="s">
        <v>5030</v>
      </c>
      <c r="O1222" s="5"/>
      <c r="P1222" s="5"/>
      <c r="Q1222" s="5"/>
      <c r="R1222" s="5"/>
      <c r="S1222" s="5"/>
      <c r="T1222" s="5"/>
      <c r="U1222" s="5"/>
      <c r="V1222" s="5"/>
      <c r="W1222" s="5"/>
      <c r="X1222" s="5"/>
      <c r="Y1222" s="5"/>
      <c r="Z1222" s="5"/>
    </row>
    <row r="1223">
      <c r="A1223" s="6" t="s">
        <v>5033</v>
      </c>
      <c r="B1223" s="5" t="s">
        <v>1128</v>
      </c>
      <c r="C1223" s="7" t="s">
        <v>5034</v>
      </c>
      <c r="D1223" s="7" t="s">
        <v>1748</v>
      </c>
      <c r="E1223" s="8">
        <v>3.0</v>
      </c>
      <c r="F1223" s="7" t="s">
        <v>105</v>
      </c>
      <c r="G1223" s="5" t="s">
        <v>461</v>
      </c>
      <c r="H1223" s="7" t="s">
        <v>16</v>
      </c>
      <c r="I1223" s="7" t="s">
        <v>5035</v>
      </c>
      <c r="J1223" s="36" t="s">
        <v>1132</v>
      </c>
      <c r="K1223" s="8">
        <v>2.0</v>
      </c>
      <c r="L1223" s="7" t="s">
        <v>221</v>
      </c>
      <c r="M1223" s="5" t="s">
        <v>75</v>
      </c>
      <c r="N1223" s="5" t="s">
        <v>5036</v>
      </c>
      <c r="O1223" s="5"/>
      <c r="P1223" s="5"/>
      <c r="Q1223" s="5"/>
      <c r="R1223" s="5"/>
      <c r="S1223" s="5"/>
      <c r="T1223" s="5"/>
      <c r="U1223" s="5"/>
      <c r="V1223" s="5"/>
      <c r="W1223" s="5"/>
      <c r="X1223" s="5"/>
      <c r="Y1223" s="5"/>
      <c r="Z1223" s="5"/>
    </row>
    <row r="1224">
      <c r="A1224" s="6" t="s">
        <v>5037</v>
      </c>
      <c r="B1224" s="5" t="s">
        <v>1128</v>
      </c>
      <c r="C1224" s="7" t="s">
        <v>5034</v>
      </c>
      <c r="D1224" s="7" t="s">
        <v>1748</v>
      </c>
      <c r="E1224" s="8">
        <v>5.0</v>
      </c>
      <c r="F1224" s="7" t="s">
        <v>105</v>
      </c>
      <c r="G1224" s="5" t="s">
        <v>461</v>
      </c>
      <c r="H1224" s="7" t="s">
        <v>16</v>
      </c>
      <c r="I1224" s="7" t="s">
        <v>1131</v>
      </c>
      <c r="J1224" s="36" t="s">
        <v>1146</v>
      </c>
      <c r="K1224" s="8">
        <v>3.0</v>
      </c>
      <c r="L1224" s="7" t="s">
        <v>221</v>
      </c>
      <c r="M1224" s="5" t="s">
        <v>75</v>
      </c>
      <c r="N1224" s="5" t="s">
        <v>5038</v>
      </c>
      <c r="O1224" s="5"/>
      <c r="P1224" s="5"/>
      <c r="Q1224" s="5"/>
      <c r="R1224" s="5"/>
      <c r="S1224" s="5"/>
      <c r="T1224" s="5"/>
      <c r="U1224" s="5"/>
      <c r="V1224" s="5"/>
      <c r="W1224" s="5"/>
      <c r="X1224" s="5"/>
      <c r="Y1224" s="5"/>
      <c r="Z1224" s="5"/>
    </row>
    <row r="1225">
      <c r="A1225" s="6" t="s">
        <v>5039</v>
      </c>
      <c r="B1225" s="5" t="s">
        <v>1128</v>
      </c>
      <c r="C1225" s="7" t="s">
        <v>5040</v>
      </c>
      <c r="D1225" s="7" t="s">
        <v>1748</v>
      </c>
      <c r="E1225" s="8">
        <v>2.0</v>
      </c>
      <c r="F1225" s="7" t="s">
        <v>172</v>
      </c>
      <c r="G1225" s="5" t="s">
        <v>19</v>
      </c>
      <c r="H1225" s="7" t="s">
        <v>16</v>
      </c>
      <c r="I1225" s="7" t="s">
        <v>5041</v>
      </c>
      <c r="J1225" s="7" t="s">
        <v>1266</v>
      </c>
      <c r="K1225" s="7" t="s">
        <v>16</v>
      </c>
      <c r="L1225" s="7" t="s">
        <v>221</v>
      </c>
      <c r="M1225" s="5" t="s">
        <v>75</v>
      </c>
      <c r="N1225" s="5" t="s">
        <v>5042</v>
      </c>
      <c r="O1225" s="5"/>
      <c r="P1225" s="5"/>
      <c r="Q1225" s="5"/>
      <c r="R1225" s="5"/>
      <c r="S1225" s="5"/>
      <c r="T1225" s="5"/>
      <c r="U1225" s="5"/>
      <c r="V1225" s="5"/>
      <c r="W1225" s="5"/>
      <c r="X1225" s="5"/>
      <c r="Y1225" s="5"/>
      <c r="Z1225" s="5"/>
    </row>
    <row r="1226">
      <c r="A1226" s="6" t="s">
        <v>5043</v>
      </c>
      <c r="B1226" s="5" t="s">
        <v>1128</v>
      </c>
      <c r="C1226" s="7" t="s">
        <v>1129</v>
      </c>
      <c r="D1226" s="7" t="s">
        <v>1068</v>
      </c>
      <c r="E1226" s="8">
        <v>1.0</v>
      </c>
      <c r="F1226" s="7" t="s">
        <v>17</v>
      </c>
      <c r="G1226" s="5" t="s">
        <v>19</v>
      </c>
      <c r="H1226" s="7" t="s">
        <v>1130</v>
      </c>
      <c r="I1226" s="7" t="s">
        <v>1131</v>
      </c>
      <c r="J1226" s="36" t="s">
        <v>1261</v>
      </c>
      <c r="K1226" s="8">
        <v>2.0</v>
      </c>
      <c r="L1226" s="7" t="s">
        <v>3860</v>
      </c>
      <c r="M1226" s="5" t="s">
        <v>22</v>
      </c>
      <c r="N1226" s="5" t="s">
        <v>5044</v>
      </c>
      <c r="O1226" s="5"/>
      <c r="P1226" s="5"/>
      <c r="Q1226" s="5"/>
      <c r="R1226" s="5"/>
      <c r="S1226" s="5"/>
      <c r="T1226" s="5"/>
      <c r="U1226" s="5"/>
      <c r="V1226" s="5"/>
      <c r="W1226" s="5"/>
      <c r="X1226" s="5"/>
      <c r="Y1226" s="5"/>
      <c r="Z1226" s="5"/>
    </row>
    <row r="1227">
      <c r="A1227" s="6" t="s">
        <v>5045</v>
      </c>
      <c r="B1227" s="5" t="s">
        <v>1128</v>
      </c>
      <c r="C1227" s="7" t="s">
        <v>1129</v>
      </c>
      <c r="D1227" s="7" t="s">
        <v>1068</v>
      </c>
      <c r="E1227" s="8">
        <v>2.0</v>
      </c>
      <c r="F1227" s="7" t="s">
        <v>105</v>
      </c>
      <c r="G1227" s="5" t="s">
        <v>19</v>
      </c>
      <c r="H1227" s="7" t="s">
        <v>1130</v>
      </c>
      <c r="I1227" s="7" t="s">
        <v>5046</v>
      </c>
      <c r="J1227" s="36" t="s">
        <v>4742</v>
      </c>
      <c r="K1227" s="8">
        <v>2.0</v>
      </c>
      <c r="L1227" s="7" t="s">
        <v>240</v>
      </c>
      <c r="M1227" s="5" t="s">
        <v>22</v>
      </c>
      <c r="N1227" s="5" t="s">
        <v>5047</v>
      </c>
      <c r="O1227" s="5"/>
      <c r="P1227" s="5"/>
      <c r="Q1227" s="5"/>
      <c r="R1227" s="5"/>
      <c r="S1227" s="5"/>
      <c r="T1227" s="5"/>
      <c r="U1227" s="5"/>
      <c r="V1227" s="5"/>
      <c r="W1227" s="5"/>
      <c r="X1227" s="5"/>
      <c r="Y1227" s="5"/>
      <c r="Z1227" s="5"/>
    </row>
    <row r="1228">
      <c r="A1228" s="6" t="s">
        <v>5048</v>
      </c>
      <c r="B1228" s="5" t="s">
        <v>1128</v>
      </c>
      <c r="C1228" s="7" t="s">
        <v>1135</v>
      </c>
      <c r="D1228" s="7" t="s">
        <v>1068</v>
      </c>
      <c r="E1228" s="8">
        <v>1.0</v>
      </c>
      <c r="F1228" s="7" t="s">
        <v>172</v>
      </c>
      <c r="G1228" s="5" t="s">
        <v>19</v>
      </c>
      <c r="H1228" s="7" t="s">
        <v>1130</v>
      </c>
      <c r="I1228" s="7" t="s">
        <v>5049</v>
      </c>
      <c r="J1228" s="36" t="s">
        <v>1146</v>
      </c>
      <c r="K1228" s="8">
        <v>1.0</v>
      </c>
      <c r="L1228" s="7" t="s">
        <v>253</v>
      </c>
      <c r="M1228" s="5" t="s">
        <v>22</v>
      </c>
      <c r="N1228" s="5" t="s">
        <v>5050</v>
      </c>
      <c r="O1228" s="5"/>
      <c r="P1228" s="5"/>
      <c r="Q1228" s="5"/>
      <c r="R1228" s="5"/>
      <c r="S1228" s="5"/>
      <c r="T1228" s="5"/>
      <c r="U1228" s="5"/>
      <c r="V1228" s="5"/>
      <c r="W1228" s="5"/>
      <c r="X1228" s="5"/>
      <c r="Y1228" s="5"/>
      <c r="Z1228" s="5"/>
    </row>
    <row r="1229">
      <c r="A1229" s="6" t="s">
        <v>5051</v>
      </c>
      <c r="B1229" s="5" t="s">
        <v>1128</v>
      </c>
      <c r="C1229" s="7" t="s">
        <v>4673</v>
      </c>
      <c r="D1229" s="7" t="s">
        <v>1068</v>
      </c>
      <c r="E1229" s="8">
        <v>1.0</v>
      </c>
      <c r="F1229" s="7" t="s">
        <v>17</v>
      </c>
      <c r="G1229" s="5" t="s">
        <v>19</v>
      </c>
      <c r="H1229" s="7" t="s">
        <v>1130</v>
      </c>
      <c r="I1229" s="7" t="s">
        <v>5052</v>
      </c>
      <c r="J1229" s="36" t="s">
        <v>1261</v>
      </c>
      <c r="K1229" s="8">
        <v>1.0</v>
      </c>
      <c r="L1229" s="7" t="s">
        <v>240</v>
      </c>
      <c r="M1229" s="5" t="s">
        <v>22</v>
      </c>
      <c r="N1229" s="5" t="s">
        <v>5053</v>
      </c>
      <c r="O1229" s="5"/>
      <c r="P1229" s="5"/>
      <c r="Q1229" s="5"/>
      <c r="R1229" s="5"/>
      <c r="S1229" s="5"/>
      <c r="T1229" s="5"/>
      <c r="U1229" s="5"/>
      <c r="V1229" s="5"/>
      <c r="W1229" s="5"/>
      <c r="X1229" s="5"/>
      <c r="Y1229" s="5"/>
      <c r="Z1229" s="5"/>
    </row>
    <row r="1230">
      <c r="A1230" s="6" t="s">
        <v>5054</v>
      </c>
      <c r="B1230" s="5" t="s">
        <v>1128</v>
      </c>
      <c r="C1230" s="7" t="s">
        <v>1160</v>
      </c>
      <c r="D1230" s="7" t="s">
        <v>1068</v>
      </c>
      <c r="E1230" s="8">
        <v>7.0</v>
      </c>
      <c r="F1230" s="7" t="s">
        <v>17</v>
      </c>
      <c r="G1230" s="5" t="s">
        <v>326</v>
      </c>
      <c r="H1230" s="7" t="s">
        <v>1130</v>
      </c>
      <c r="I1230" s="7" t="s">
        <v>5055</v>
      </c>
      <c r="J1230" s="36" t="s">
        <v>1154</v>
      </c>
      <c r="K1230" s="8">
        <v>3.0</v>
      </c>
      <c r="L1230" s="7" t="s">
        <v>258</v>
      </c>
      <c r="M1230" s="5" t="s">
        <v>88</v>
      </c>
      <c r="N1230" s="5" t="s">
        <v>5056</v>
      </c>
      <c r="O1230" s="5"/>
      <c r="P1230" s="5"/>
      <c r="Q1230" s="5"/>
      <c r="R1230" s="5"/>
      <c r="S1230" s="5"/>
      <c r="T1230" s="5"/>
      <c r="U1230" s="5"/>
      <c r="V1230" s="5"/>
      <c r="W1230" s="5"/>
      <c r="X1230" s="5"/>
      <c r="Y1230" s="5"/>
      <c r="Z1230" s="5"/>
    </row>
    <row r="1231">
      <c r="A1231" s="6" t="s">
        <v>5057</v>
      </c>
      <c r="B1231" s="5" t="s">
        <v>1128</v>
      </c>
      <c r="C1231" s="7" t="s">
        <v>1253</v>
      </c>
      <c r="D1231" s="7" t="s">
        <v>1068</v>
      </c>
      <c r="E1231" s="8">
        <v>3.0</v>
      </c>
      <c r="F1231" s="7" t="s">
        <v>105</v>
      </c>
      <c r="G1231" s="5" t="s">
        <v>461</v>
      </c>
      <c r="H1231" s="7" t="s">
        <v>1130</v>
      </c>
      <c r="I1231" s="7" t="s">
        <v>1131</v>
      </c>
      <c r="J1231" s="36" t="s">
        <v>1132</v>
      </c>
      <c r="K1231" s="8">
        <v>2.0</v>
      </c>
      <c r="L1231" s="7" t="s">
        <v>258</v>
      </c>
      <c r="M1231" s="5" t="s">
        <v>22</v>
      </c>
      <c r="N1231" s="5" t="s">
        <v>5058</v>
      </c>
      <c r="O1231" s="5"/>
      <c r="P1231" s="5"/>
      <c r="Q1231" s="5"/>
      <c r="R1231" s="5"/>
      <c r="S1231" s="5"/>
      <c r="T1231" s="5"/>
      <c r="U1231" s="5"/>
      <c r="V1231" s="5"/>
      <c r="W1231" s="5"/>
      <c r="X1231" s="5"/>
      <c r="Y1231" s="5"/>
      <c r="Z1231" s="5"/>
    </row>
    <row r="1232">
      <c r="A1232" s="6" t="s">
        <v>5059</v>
      </c>
      <c r="B1232" s="5" t="s">
        <v>1128</v>
      </c>
      <c r="C1232" s="7" t="s">
        <v>1253</v>
      </c>
      <c r="D1232" s="7" t="s">
        <v>1068</v>
      </c>
      <c r="E1232" s="8">
        <v>3.0</v>
      </c>
      <c r="F1232" s="7" t="s">
        <v>105</v>
      </c>
      <c r="G1232" s="5" t="s">
        <v>461</v>
      </c>
      <c r="H1232" s="7" t="s">
        <v>1130</v>
      </c>
      <c r="I1232" s="7" t="s">
        <v>5060</v>
      </c>
      <c r="J1232" s="36" t="s">
        <v>1132</v>
      </c>
      <c r="K1232" s="8">
        <v>2.0</v>
      </c>
      <c r="L1232" s="7" t="s">
        <v>258</v>
      </c>
      <c r="M1232" s="5" t="s">
        <v>22</v>
      </c>
      <c r="N1232" s="5" t="s">
        <v>5058</v>
      </c>
      <c r="O1232" s="5"/>
      <c r="P1232" s="5"/>
      <c r="Q1232" s="5"/>
      <c r="R1232" s="5"/>
      <c r="S1232" s="5"/>
      <c r="T1232" s="5"/>
      <c r="U1232" s="5"/>
      <c r="V1232" s="5"/>
      <c r="W1232" s="5"/>
      <c r="X1232" s="5"/>
      <c r="Y1232" s="5"/>
      <c r="Z1232" s="5"/>
    </row>
    <row r="1233">
      <c r="A1233" s="6" t="s">
        <v>5061</v>
      </c>
      <c r="B1233" s="5" t="s">
        <v>1128</v>
      </c>
      <c r="C1233" s="7" t="s">
        <v>1446</v>
      </c>
      <c r="D1233" s="7" t="s">
        <v>1068</v>
      </c>
      <c r="E1233" s="8">
        <v>1.0</v>
      </c>
      <c r="F1233" s="7" t="s">
        <v>17</v>
      </c>
      <c r="G1233" s="5" t="s">
        <v>461</v>
      </c>
      <c r="H1233" s="7" t="s">
        <v>1130</v>
      </c>
      <c r="I1233" s="7" t="s">
        <v>5062</v>
      </c>
      <c r="J1233" s="7" t="s">
        <v>1266</v>
      </c>
      <c r="K1233" s="7" t="s">
        <v>16</v>
      </c>
      <c r="L1233" s="7" t="s">
        <v>273</v>
      </c>
      <c r="M1233" s="5" t="s">
        <v>88</v>
      </c>
      <c r="N1233" s="5" t="s">
        <v>5063</v>
      </c>
      <c r="O1233" s="5"/>
      <c r="P1233" s="5"/>
      <c r="Q1233" s="5"/>
      <c r="R1233" s="5"/>
      <c r="S1233" s="5"/>
      <c r="T1233" s="5"/>
      <c r="U1233" s="5"/>
      <c r="V1233" s="5"/>
      <c r="W1233" s="5"/>
      <c r="X1233" s="5"/>
      <c r="Y1233" s="5"/>
      <c r="Z1233" s="5"/>
    </row>
    <row r="1234">
      <c r="A1234" s="6" t="s">
        <v>5064</v>
      </c>
      <c r="B1234" s="5" t="s">
        <v>1128</v>
      </c>
      <c r="C1234" s="7" t="s">
        <v>5065</v>
      </c>
      <c r="D1234" s="7" t="s">
        <v>1678</v>
      </c>
      <c r="E1234" s="8">
        <v>1.0</v>
      </c>
      <c r="F1234" s="7" t="s">
        <v>172</v>
      </c>
      <c r="G1234" s="5" t="s">
        <v>19</v>
      </c>
      <c r="H1234" s="7" t="s">
        <v>1363</v>
      </c>
      <c r="I1234" s="7" t="s">
        <v>1153</v>
      </c>
      <c r="J1234" s="36" t="s">
        <v>1146</v>
      </c>
      <c r="K1234" s="7" t="s">
        <v>16</v>
      </c>
      <c r="L1234" s="7" t="s">
        <v>1839</v>
      </c>
      <c r="M1234" s="5" t="s">
        <v>22</v>
      </c>
      <c r="N1234" s="5" t="s">
        <v>5066</v>
      </c>
      <c r="O1234" s="5"/>
      <c r="P1234" s="5"/>
      <c r="Q1234" s="5"/>
      <c r="R1234" s="5"/>
      <c r="S1234" s="5"/>
      <c r="T1234" s="5"/>
      <c r="U1234" s="5"/>
      <c r="V1234" s="5"/>
      <c r="W1234" s="5"/>
      <c r="X1234" s="5"/>
      <c r="Y1234" s="5"/>
      <c r="Z1234" s="5"/>
    </row>
    <row r="1235">
      <c r="A1235" s="6" t="s">
        <v>5067</v>
      </c>
      <c r="B1235" s="5" t="s">
        <v>1128</v>
      </c>
      <c r="C1235" s="7" t="s">
        <v>5068</v>
      </c>
      <c r="D1235" s="7" t="s">
        <v>1678</v>
      </c>
      <c r="E1235" s="8">
        <v>3.0</v>
      </c>
      <c r="F1235" s="7" t="s">
        <v>17</v>
      </c>
      <c r="G1235" s="5" t="s">
        <v>19</v>
      </c>
      <c r="H1235" s="7" t="s">
        <v>1363</v>
      </c>
      <c r="I1235" s="7" t="s">
        <v>5069</v>
      </c>
      <c r="J1235" s="36" t="s">
        <v>1137</v>
      </c>
      <c r="K1235" s="8">
        <v>1.0</v>
      </c>
      <c r="L1235" s="7" t="s">
        <v>1839</v>
      </c>
      <c r="M1235" s="5" t="s">
        <v>36</v>
      </c>
      <c r="N1235" s="5" t="s">
        <v>5070</v>
      </c>
      <c r="O1235" s="5"/>
      <c r="P1235" s="5"/>
      <c r="Q1235" s="5"/>
      <c r="R1235" s="5"/>
      <c r="S1235" s="5"/>
      <c r="T1235" s="5"/>
      <c r="U1235" s="5"/>
      <c r="V1235" s="5"/>
      <c r="W1235" s="5"/>
      <c r="X1235" s="5"/>
      <c r="Y1235" s="5"/>
      <c r="Z1235" s="5"/>
    </row>
    <row r="1236">
      <c r="A1236" s="6" t="s">
        <v>5071</v>
      </c>
      <c r="B1236" s="5" t="s">
        <v>1128</v>
      </c>
      <c r="C1236" s="7" t="s">
        <v>5072</v>
      </c>
      <c r="D1236" s="7" t="s">
        <v>1678</v>
      </c>
      <c r="E1236" s="8">
        <v>1.0</v>
      </c>
      <c r="F1236" s="7" t="s">
        <v>17</v>
      </c>
      <c r="G1236" s="5" t="s">
        <v>19</v>
      </c>
      <c r="H1236" s="7" t="s">
        <v>1363</v>
      </c>
      <c r="I1236" s="7" t="s">
        <v>5073</v>
      </c>
      <c r="J1236" s="36" t="s">
        <v>1132</v>
      </c>
      <c r="K1236" s="7" t="s">
        <v>16</v>
      </c>
      <c r="L1236" s="7" t="s">
        <v>1839</v>
      </c>
      <c r="M1236" s="5" t="s">
        <v>36</v>
      </c>
      <c r="N1236" s="5" t="s">
        <v>5074</v>
      </c>
      <c r="O1236" s="5"/>
      <c r="P1236" s="5"/>
      <c r="Q1236" s="5"/>
      <c r="R1236" s="5"/>
      <c r="S1236" s="5"/>
      <c r="T1236" s="5"/>
      <c r="U1236" s="5"/>
      <c r="V1236" s="5"/>
      <c r="W1236" s="5"/>
      <c r="X1236" s="5"/>
      <c r="Y1236" s="5"/>
      <c r="Z1236" s="5"/>
    </row>
    <row r="1237">
      <c r="A1237" s="6" t="s">
        <v>5075</v>
      </c>
      <c r="B1237" s="5" t="s">
        <v>1128</v>
      </c>
      <c r="C1237" s="7" t="s">
        <v>5076</v>
      </c>
      <c r="D1237" s="7" t="s">
        <v>1678</v>
      </c>
      <c r="E1237" s="8">
        <v>6.0</v>
      </c>
      <c r="F1237" s="7" t="s">
        <v>105</v>
      </c>
      <c r="G1237" s="5" t="s">
        <v>326</v>
      </c>
      <c r="H1237" s="7" t="s">
        <v>1363</v>
      </c>
      <c r="I1237" s="7" t="s">
        <v>5077</v>
      </c>
      <c r="J1237" s="36" t="s">
        <v>1146</v>
      </c>
      <c r="K1237" s="8">
        <v>3.0</v>
      </c>
      <c r="L1237" s="7" t="s">
        <v>1839</v>
      </c>
      <c r="M1237" s="5" t="s">
        <v>88</v>
      </c>
      <c r="N1237" s="5" t="s">
        <v>5078</v>
      </c>
      <c r="O1237" s="5"/>
      <c r="P1237" s="5"/>
      <c r="Q1237" s="5"/>
      <c r="R1237" s="5"/>
      <c r="S1237" s="5"/>
      <c r="T1237" s="5"/>
      <c r="U1237" s="5"/>
      <c r="V1237" s="5"/>
      <c r="W1237" s="5"/>
      <c r="X1237" s="5"/>
      <c r="Y1237" s="5"/>
      <c r="Z1237" s="5"/>
    </row>
    <row r="1238">
      <c r="A1238" s="6" t="s">
        <v>5079</v>
      </c>
      <c r="B1238" s="5" t="s">
        <v>1128</v>
      </c>
      <c r="C1238" s="7" t="s">
        <v>5080</v>
      </c>
      <c r="D1238" s="7" t="s">
        <v>1860</v>
      </c>
      <c r="E1238" s="8">
        <v>2.0</v>
      </c>
      <c r="F1238" s="7" t="s">
        <v>17</v>
      </c>
      <c r="G1238" s="5" t="s">
        <v>19</v>
      </c>
      <c r="H1238" s="7" t="s">
        <v>16</v>
      </c>
      <c r="I1238" s="7" t="s">
        <v>5081</v>
      </c>
      <c r="J1238" s="36" t="s">
        <v>1261</v>
      </c>
      <c r="K1238" s="8">
        <v>1.0</v>
      </c>
      <c r="L1238" s="7" t="s">
        <v>1839</v>
      </c>
      <c r="M1238" s="5" t="s">
        <v>22</v>
      </c>
      <c r="N1238" s="5" t="s">
        <v>5082</v>
      </c>
      <c r="O1238" s="5"/>
      <c r="P1238" s="5"/>
      <c r="Q1238" s="5"/>
      <c r="R1238" s="5"/>
      <c r="S1238" s="5"/>
      <c r="T1238" s="5"/>
      <c r="U1238" s="5"/>
      <c r="V1238" s="5"/>
      <c r="W1238" s="5"/>
      <c r="X1238" s="5"/>
      <c r="Y1238" s="5"/>
      <c r="Z1238" s="5"/>
    </row>
    <row r="1239">
      <c r="A1239" s="6" t="s">
        <v>5083</v>
      </c>
      <c r="B1239" s="5" t="s">
        <v>1128</v>
      </c>
      <c r="C1239" s="7" t="s">
        <v>4701</v>
      </c>
      <c r="D1239" s="7" t="s">
        <v>1860</v>
      </c>
      <c r="E1239" s="8">
        <v>1.0</v>
      </c>
      <c r="F1239" s="7" t="s">
        <v>105</v>
      </c>
      <c r="G1239" s="5" t="s">
        <v>19</v>
      </c>
      <c r="H1239" s="7" t="s">
        <v>16</v>
      </c>
      <c r="I1239" s="7" t="s">
        <v>4712</v>
      </c>
      <c r="J1239" s="36" t="s">
        <v>1132</v>
      </c>
      <c r="K1239" s="8">
        <v>1.0</v>
      </c>
      <c r="L1239" s="7" t="s">
        <v>1839</v>
      </c>
      <c r="M1239" s="5" t="s">
        <v>22</v>
      </c>
      <c r="N1239" s="5" t="s">
        <v>5084</v>
      </c>
      <c r="O1239" s="5"/>
      <c r="P1239" s="5"/>
      <c r="Q1239" s="5"/>
      <c r="R1239" s="5"/>
      <c r="S1239" s="5"/>
      <c r="T1239" s="5"/>
      <c r="U1239" s="5"/>
      <c r="V1239" s="5"/>
      <c r="W1239" s="5"/>
      <c r="X1239" s="5"/>
      <c r="Y1239" s="5"/>
      <c r="Z1239" s="5"/>
    </row>
    <row r="1240">
      <c r="A1240" s="6" t="s">
        <v>5085</v>
      </c>
      <c r="B1240" s="5" t="s">
        <v>1128</v>
      </c>
      <c r="C1240" s="7" t="s">
        <v>5086</v>
      </c>
      <c r="D1240" s="7" t="s">
        <v>1860</v>
      </c>
      <c r="E1240" s="8">
        <v>1.0</v>
      </c>
      <c r="F1240" s="7" t="s">
        <v>172</v>
      </c>
      <c r="G1240" s="5" t="s">
        <v>19</v>
      </c>
      <c r="H1240" s="7" t="s">
        <v>16</v>
      </c>
      <c r="I1240" s="7" t="s">
        <v>1358</v>
      </c>
      <c r="J1240" s="7" t="s">
        <v>1266</v>
      </c>
      <c r="K1240" s="7" t="s">
        <v>16</v>
      </c>
      <c r="L1240" s="7" t="s">
        <v>1839</v>
      </c>
      <c r="M1240" s="5" t="s">
        <v>22</v>
      </c>
      <c r="N1240" s="5" t="s">
        <v>5087</v>
      </c>
      <c r="O1240" s="5"/>
      <c r="P1240" s="5"/>
      <c r="Q1240" s="5"/>
      <c r="R1240" s="5"/>
      <c r="S1240" s="5"/>
      <c r="T1240" s="5"/>
      <c r="U1240" s="5"/>
      <c r="V1240" s="5"/>
      <c r="W1240" s="5"/>
      <c r="X1240" s="5"/>
      <c r="Y1240" s="5"/>
      <c r="Z1240" s="5"/>
    </row>
    <row r="1241">
      <c r="A1241" s="6" t="s">
        <v>5088</v>
      </c>
      <c r="B1241" s="5" t="s">
        <v>1128</v>
      </c>
      <c r="C1241" s="7" t="s">
        <v>5089</v>
      </c>
      <c r="D1241" s="7" t="s">
        <v>1860</v>
      </c>
      <c r="E1241" s="8">
        <v>2.0</v>
      </c>
      <c r="F1241" s="7" t="s">
        <v>17</v>
      </c>
      <c r="G1241" s="5" t="s">
        <v>19</v>
      </c>
      <c r="H1241" s="7" t="s">
        <v>16</v>
      </c>
      <c r="I1241" s="7" t="s">
        <v>5090</v>
      </c>
      <c r="J1241" s="7" t="s">
        <v>1266</v>
      </c>
      <c r="K1241" s="7" t="s">
        <v>16</v>
      </c>
      <c r="L1241" s="7" t="s">
        <v>1839</v>
      </c>
      <c r="M1241" s="5" t="s">
        <v>36</v>
      </c>
      <c r="N1241" s="5" t="s">
        <v>5091</v>
      </c>
      <c r="O1241" s="5"/>
      <c r="P1241" s="5"/>
      <c r="Q1241" s="5"/>
      <c r="R1241" s="5"/>
      <c r="S1241" s="5"/>
      <c r="T1241" s="5"/>
      <c r="U1241" s="5"/>
      <c r="V1241" s="5"/>
      <c r="W1241" s="5"/>
      <c r="X1241" s="5"/>
      <c r="Y1241" s="5"/>
      <c r="Z1241" s="5"/>
    </row>
    <row r="1242">
      <c r="A1242" s="6" t="s">
        <v>5092</v>
      </c>
      <c r="B1242" s="5" t="s">
        <v>1128</v>
      </c>
      <c r="C1242" s="7" t="s">
        <v>5093</v>
      </c>
      <c r="D1242" s="7" t="s">
        <v>1860</v>
      </c>
      <c r="E1242" s="8">
        <v>4.0</v>
      </c>
      <c r="F1242" s="7" t="s">
        <v>17</v>
      </c>
      <c r="G1242" s="5" t="s">
        <v>326</v>
      </c>
      <c r="H1242" s="7" t="s">
        <v>16</v>
      </c>
      <c r="I1242" s="7" t="s">
        <v>1131</v>
      </c>
      <c r="J1242" s="36" t="s">
        <v>1146</v>
      </c>
      <c r="K1242" s="8">
        <v>3.0</v>
      </c>
      <c r="L1242" s="7" t="s">
        <v>1839</v>
      </c>
      <c r="M1242" s="5" t="s">
        <v>75</v>
      </c>
      <c r="N1242" s="5" t="s">
        <v>5094</v>
      </c>
      <c r="O1242" s="5"/>
      <c r="P1242" s="5"/>
      <c r="Q1242" s="5"/>
      <c r="R1242" s="5"/>
      <c r="S1242" s="5"/>
      <c r="T1242" s="5"/>
      <c r="U1242" s="5"/>
      <c r="V1242" s="5"/>
      <c r="W1242" s="5"/>
      <c r="X1242" s="5"/>
      <c r="Y1242" s="5"/>
      <c r="Z1242" s="5"/>
    </row>
    <row r="1243">
      <c r="A1243" s="6" t="s">
        <v>5095</v>
      </c>
      <c r="B1243" s="5" t="s">
        <v>1128</v>
      </c>
      <c r="C1243" s="7" t="s">
        <v>5096</v>
      </c>
      <c r="D1243" s="7" t="s">
        <v>1213</v>
      </c>
      <c r="E1243" s="8">
        <v>1.0</v>
      </c>
      <c r="F1243" s="7" t="s">
        <v>105</v>
      </c>
      <c r="G1243" s="5" t="s">
        <v>19</v>
      </c>
      <c r="H1243" s="7" t="s">
        <v>16</v>
      </c>
      <c r="I1243" s="7" t="s">
        <v>1131</v>
      </c>
      <c r="J1243" s="36" t="s">
        <v>1261</v>
      </c>
      <c r="K1243" s="8">
        <v>1.0</v>
      </c>
      <c r="L1243" s="7" t="s">
        <v>283</v>
      </c>
      <c r="M1243" s="5" t="s">
        <v>22</v>
      </c>
      <c r="N1243" s="5" t="s">
        <v>5097</v>
      </c>
      <c r="O1243" s="5"/>
      <c r="P1243" s="5"/>
      <c r="Q1243" s="5"/>
      <c r="R1243" s="5"/>
      <c r="S1243" s="5"/>
      <c r="T1243" s="5"/>
      <c r="U1243" s="5"/>
      <c r="V1243" s="5"/>
      <c r="W1243" s="5"/>
      <c r="X1243" s="5"/>
      <c r="Y1243" s="5"/>
      <c r="Z1243" s="5"/>
    </row>
    <row r="1244">
      <c r="A1244" s="6" t="s">
        <v>5098</v>
      </c>
      <c r="B1244" s="5" t="s">
        <v>1128</v>
      </c>
      <c r="C1244" s="7" t="s">
        <v>5099</v>
      </c>
      <c r="D1244" s="7" t="s">
        <v>1213</v>
      </c>
      <c r="E1244" s="8">
        <v>3.0</v>
      </c>
      <c r="F1244" s="7" t="s">
        <v>105</v>
      </c>
      <c r="G1244" s="5" t="s">
        <v>19</v>
      </c>
      <c r="H1244" s="7" t="s">
        <v>16</v>
      </c>
      <c r="I1244" s="7" t="s">
        <v>1131</v>
      </c>
      <c r="J1244" s="36" t="s">
        <v>1137</v>
      </c>
      <c r="K1244" s="8">
        <v>2.0</v>
      </c>
      <c r="L1244" s="7" t="s">
        <v>283</v>
      </c>
      <c r="M1244" s="5" t="s">
        <v>36</v>
      </c>
      <c r="N1244" s="5" t="s">
        <v>5100</v>
      </c>
      <c r="O1244" s="5"/>
      <c r="P1244" s="5"/>
      <c r="Q1244" s="5"/>
      <c r="R1244" s="5"/>
      <c r="S1244" s="5"/>
      <c r="T1244" s="5"/>
      <c r="U1244" s="5"/>
      <c r="V1244" s="5"/>
      <c r="W1244" s="5"/>
      <c r="X1244" s="5"/>
      <c r="Y1244" s="5"/>
      <c r="Z1244" s="5"/>
    </row>
    <row r="1245">
      <c r="A1245" s="6" t="s">
        <v>5101</v>
      </c>
      <c r="B1245" s="5" t="s">
        <v>1128</v>
      </c>
      <c r="C1245" s="7" t="s">
        <v>1264</v>
      </c>
      <c r="D1245" s="7" t="s">
        <v>1213</v>
      </c>
      <c r="E1245" s="8">
        <v>3.0</v>
      </c>
      <c r="F1245" s="7" t="s">
        <v>17</v>
      </c>
      <c r="G1245" s="5" t="s">
        <v>19</v>
      </c>
      <c r="H1245" s="7" t="s">
        <v>16</v>
      </c>
      <c r="I1245" s="7" t="s">
        <v>5102</v>
      </c>
      <c r="J1245" s="36" t="s">
        <v>1137</v>
      </c>
      <c r="K1245" s="7" t="s">
        <v>16</v>
      </c>
      <c r="L1245" s="7" t="s">
        <v>283</v>
      </c>
      <c r="M1245" s="5" t="s">
        <v>36</v>
      </c>
      <c r="N1245" s="5" t="s">
        <v>5103</v>
      </c>
      <c r="O1245" s="5"/>
      <c r="P1245" s="5"/>
      <c r="Q1245" s="5"/>
      <c r="R1245" s="5"/>
      <c r="S1245" s="5"/>
      <c r="T1245" s="5"/>
      <c r="U1245" s="5"/>
      <c r="V1245" s="5"/>
      <c r="W1245" s="5"/>
      <c r="X1245" s="5"/>
      <c r="Y1245" s="5"/>
      <c r="Z1245" s="5"/>
    </row>
    <row r="1246">
      <c r="A1246" s="6" t="s">
        <v>5104</v>
      </c>
      <c r="B1246" s="5" t="s">
        <v>1128</v>
      </c>
      <c r="C1246" s="7" t="s">
        <v>5105</v>
      </c>
      <c r="D1246" s="7" t="s">
        <v>1213</v>
      </c>
      <c r="E1246" s="8">
        <v>5.0</v>
      </c>
      <c r="F1246" s="7" t="s">
        <v>105</v>
      </c>
      <c r="G1246" s="5" t="s">
        <v>461</v>
      </c>
      <c r="H1246" s="7" t="s">
        <v>16</v>
      </c>
      <c r="I1246" s="7" t="s">
        <v>1131</v>
      </c>
      <c r="J1246" s="36" t="s">
        <v>1146</v>
      </c>
      <c r="K1246" s="8">
        <v>3.0</v>
      </c>
      <c r="L1246" s="7" t="s">
        <v>283</v>
      </c>
      <c r="M1246" s="5" t="s">
        <v>36</v>
      </c>
      <c r="N1246" s="5" t="s">
        <v>5106</v>
      </c>
      <c r="O1246" s="5"/>
      <c r="P1246" s="5"/>
      <c r="Q1246" s="5"/>
      <c r="R1246" s="5"/>
      <c r="S1246" s="5"/>
      <c r="T1246" s="5"/>
      <c r="U1246" s="5"/>
      <c r="V1246" s="5"/>
      <c r="W1246" s="5"/>
      <c r="X1246" s="5"/>
      <c r="Y1246" s="5"/>
      <c r="Z1246" s="5"/>
    </row>
    <row r="1247">
      <c r="A1247" s="6" t="s">
        <v>5107</v>
      </c>
      <c r="B1247" s="5" t="s">
        <v>1128</v>
      </c>
      <c r="C1247" s="7" t="s">
        <v>5108</v>
      </c>
      <c r="D1247" s="7" t="s">
        <v>1207</v>
      </c>
      <c r="E1247" s="8">
        <v>2.0</v>
      </c>
      <c r="F1247" s="7" t="s">
        <v>105</v>
      </c>
      <c r="G1247" s="5" t="s">
        <v>19</v>
      </c>
      <c r="H1247" s="7" t="s">
        <v>1353</v>
      </c>
      <c r="I1247" s="7" t="s">
        <v>1131</v>
      </c>
      <c r="J1247" s="36" t="s">
        <v>1261</v>
      </c>
      <c r="K1247" s="8">
        <v>1.0</v>
      </c>
      <c r="L1247" s="7" t="s">
        <v>283</v>
      </c>
      <c r="M1247" s="5" t="s">
        <v>22</v>
      </c>
      <c r="N1247" s="5" t="s">
        <v>5109</v>
      </c>
      <c r="O1247" s="5"/>
      <c r="P1247" s="5"/>
      <c r="Q1247" s="5"/>
      <c r="R1247" s="5"/>
      <c r="S1247" s="5"/>
      <c r="T1247" s="5"/>
      <c r="U1247" s="5"/>
      <c r="V1247" s="5"/>
      <c r="W1247" s="5"/>
      <c r="X1247" s="5"/>
      <c r="Y1247" s="5"/>
      <c r="Z1247" s="5"/>
    </row>
    <row r="1248">
      <c r="A1248" s="6" t="s">
        <v>5110</v>
      </c>
      <c r="B1248" s="5" t="s">
        <v>1128</v>
      </c>
      <c r="C1248" s="7" t="s">
        <v>5111</v>
      </c>
      <c r="D1248" s="7" t="s">
        <v>1207</v>
      </c>
      <c r="E1248" s="8">
        <v>1.0</v>
      </c>
      <c r="F1248" s="7" t="s">
        <v>172</v>
      </c>
      <c r="G1248" s="5" t="s">
        <v>19</v>
      </c>
      <c r="H1248" s="7" t="s">
        <v>1353</v>
      </c>
      <c r="I1248" s="7" t="s">
        <v>5112</v>
      </c>
      <c r="J1248" s="36" t="s">
        <v>1137</v>
      </c>
      <c r="K1248" s="7" t="s">
        <v>16</v>
      </c>
      <c r="L1248" s="7" t="s">
        <v>283</v>
      </c>
      <c r="M1248" s="5" t="s">
        <v>22</v>
      </c>
      <c r="N1248" s="5" t="s">
        <v>5113</v>
      </c>
      <c r="O1248" s="5"/>
      <c r="P1248" s="5"/>
      <c r="Q1248" s="5"/>
      <c r="R1248" s="5"/>
      <c r="S1248" s="5"/>
      <c r="T1248" s="5"/>
      <c r="U1248" s="5"/>
      <c r="V1248" s="5"/>
      <c r="W1248" s="5"/>
      <c r="X1248" s="5"/>
      <c r="Y1248" s="5"/>
      <c r="Z1248" s="5"/>
    </row>
    <row r="1249">
      <c r="A1249" s="6" t="s">
        <v>5114</v>
      </c>
      <c r="B1249" s="5" t="s">
        <v>1128</v>
      </c>
      <c r="C1249" s="7" t="s">
        <v>1259</v>
      </c>
      <c r="D1249" s="7" t="s">
        <v>1207</v>
      </c>
      <c r="E1249" s="8">
        <v>2.0</v>
      </c>
      <c r="F1249" s="7" t="s">
        <v>17</v>
      </c>
      <c r="G1249" s="5" t="s">
        <v>19</v>
      </c>
      <c r="H1249" s="7" t="s">
        <v>1353</v>
      </c>
      <c r="I1249" s="7" t="s">
        <v>5115</v>
      </c>
      <c r="J1249" s="36" t="s">
        <v>1261</v>
      </c>
      <c r="K1249" s="8">
        <v>1.0</v>
      </c>
      <c r="L1249" s="7" t="s">
        <v>283</v>
      </c>
      <c r="M1249" s="5" t="s">
        <v>36</v>
      </c>
      <c r="N1249" s="5" t="s">
        <v>5116</v>
      </c>
      <c r="O1249" s="5"/>
      <c r="P1249" s="5"/>
      <c r="Q1249" s="5"/>
      <c r="R1249" s="5"/>
      <c r="S1249" s="5"/>
      <c r="T1249" s="5"/>
      <c r="U1249" s="5"/>
      <c r="V1249" s="5"/>
      <c r="W1249" s="5"/>
      <c r="X1249" s="5"/>
      <c r="Y1249" s="5"/>
      <c r="Z1249" s="5"/>
    </row>
    <row r="1250">
      <c r="A1250" s="6" t="s">
        <v>5117</v>
      </c>
      <c r="B1250" s="5" t="s">
        <v>1128</v>
      </c>
      <c r="C1250" s="7" t="s">
        <v>5118</v>
      </c>
      <c r="D1250" s="7" t="s">
        <v>1207</v>
      </c>
      <c r="E1250" s="8">
        <v>5.0</v>
      </c>
      <c r="F1250" s="7" t="s">
        <v>105</v>
      </c>
      <c r="G1250" s="5" t="s">
        <v>326</v>
      </c>
      <c r="H1250" s="7" t="s">
        <v>1353</v>
      </c>
      <c r="I1250" s="7" t="s">
        <v>5119</v>
      </c>
      <c r="J1250" s="36" t="s">
        <v>1146</v>
      </c>
      <c r="K1250" s="8">
        <v>3.0</v>
      </c>
      <c r="L1250" s="7" t="s">
        <v>283</v>
      </c>
      <c r="M1250" s="5" t="s">
        <v>88</v>
      </c>
      <c r="N1250" s="5" t="s">
        <v>5120</v>
      </c>
      <c r="O1250" s="5"/>
      <c r="P1250" s="5"/>
      <c r="Q1250" s="5"/>
      <c r="R1250" s="5"/>
      <c r="S1250" s="5"/>
      <c r="T1250" s="5"/>
      <c r="U1250" s="5"/>
      <c r="V1250" s="5"/>
      <c r="W1250" s="5"/>
      <c r="X1250" s="5"/>
      <c r="Y1250" s="5"/>
      <c r="Z1250" s="5"/>
    </row>
    <row r="1251">
      <c r="A1251" s="6" t="s">
        <v>5121</v>
      </c>
      <c r="B1251" s="5" t="s">
        <v>1128</v>
      </c>
      <c r="C1251" s="7" t="s">
        <v>5122</v>
      </c>
      <c r="D1251" s="7" t="s">
        <v>1203</v>
      </c>
      <c r="E1251" s="8">
        <v>4.0</v>
      </c>
      <c r="F1251" s="7" t="s">
        <v>17</v>
      </c>
      <c r="G1251" s="5" t="s">
        <v>461</v>
      </c>
      <c r="H1251" s="7" t="s">
        <v>16</v>
      </c>
      <c r="I1251" s="7" t="s">
        <v>5123</v>
      </c>
      <c r="J1251" s="36" t="s">
        <v>1146</v>
      </c>
      <c r="K1251" s="8">
        <v>2.0</v>
      </c>
      <c r="L1251" s="7" t="s">
        <v>1839</v>
      </c>
      <c r="M1251" s="5" t="s">
        <v>75</v>
      </c>
      <c r="N1251" s="5" t="s">
        <v>5124</v>
      </c>
      <c r="O1251" s="5"/>
      <c r="P1251" s="5"/>
      <c r="Q1251" s="5"/>
      <c r="R1251" s="5"/>
      <c r="S1251" s="5"/>
      <c r="T1251" s="5"/>
      <c r="U1251" s="5"/>
      <c r="V1251" s="5"/>
      <c r="W1251" s="5"/>
      <c r="X1251" s="5"/>
      <c r="Y1251" s="5"/>
      <c r="Z1251" s="5"/>
    </row>
    <row r="1252">
      <c r="A1252" s="6" t="s">
        <v>5125</v>
      </c>
      <c r="B1252" s="5" t="s">
        <v>1128</v>
      </c>
      <c r="C1252" s="7" t="s">
        <v>5126</v>
      </c>
      <c r="D1252" s="7" t="s">
        <v>1203</v>
      </c>
      <c r="E1252" s="8">
        <v>3.0</v>
      </c>
      <c r="F1252" s="7" t="s">
        <v>17</v>
      </c>
      <c r="G1252" s="5" t="s">
        <v>461</v>
      </c>
      <c r="H1252" s="7" t="s">
        <v>16</v>
      </c>
      <c r="I1252" s="7" t="s">
        <v>5127</v>
      </c>
      <c r="J1252" s="36" t="s">
        <v>1132</v>
      </c>
      <c r="K1252" s="8">
        <v>2.0</v>
      </c>
      <c r="L1252" s="7" t="s">
        <v>1839</v>
      </c>
      <c r="M1252" s="5" t="s">
        <v>75</v>
      </c>
      <c r="N1252" s="5" t="s">
        <v>5128</v>
      </c>
      <c r="O1252" s="5"/>
      <c r="P1252" s="5"/>
      <c r="Q1252" s="5"/>
      <c r="R1252" s="5"/>
      <c r="S1252" s="5"/>
      <c r="T1252" s="5"/>
      <c r="U1252" s="5"/>
      <c r="V1252" s="5"/>
      <c r="W1252" s="5"/>
      <c r="X1252" s="5"/>
      <c r="Y1252" s="5"/>
      <c r="Z1252" s="5"/>
    </row>
    <row r="1253">
      <c r="A1253" s="6" t="s">
        <v>5129</v>
      </c>
      <c r="B1253" s="5" t="s">
        <v>1128</v>
      </c>
      <c r="C1253" s="7" t="s">
        <v>5130</v>
      </c>
      <c r="D1253" s="7" t="s">
        <v>1203</v>
      </c>
      <c r="E1253" s="8">
        <v>7.0</v>
      </c>
      <c r="F1253" s="7" t="s">
        <v>105</v>
      </c>
      <c r="G1253" s="5" t="s">
        <v>326</v>
      </c>
      <c r="H1253" s="7" t="s">
        <v>16</v>
      </c>
      <c r="I1253" s="7" t="s">
        <v>5131</v>
      </c>
      <c r="J1253" s="36" t="s">
        <v>1154</v>
      </c>
      <c r="K1253" s="8">
        <v>3.0</v>
      </c>
      <c r="L1253" s="7" t="s">
        <v>273</v>
      </c>
      <c r="M1253" s="5" t="s">
        <v>75</v>
      </c>
      <c r="N1253" s="5" t="s">
        <v>5132</v>
      </c>
      <c r="O1253" s="5"/>
      <c r="P1253" s="5"/>
      <c r="Q1253" s="5"/>
      <c r="R1253" s="5"/>
      <c r="S1253" s="5"/>
      <c r="T1253" s="5"/>
      <c r="U1253" s="5"/>
      <c r="V1253" s="5"/>
      <c r="W1253" s="5"/>
      <c r="X1253" s="5"/>
      <c r="Y1253" s="5"/>
      <c r="Z1253" s="5"/>
    </row>
    <row r="1254">
      <c r="A1254" s="6" t="s">
        <v>5133</v>
      </c>
      <c r="B1254" s="5" t="s">
        <v>1128</v>
      </c>
      <c r="C1254" s="7" t="s">
        <v>1450</v>
      </c>
      <c r="D1254" s="7" t="s">
        <v>85</v>
      </c>
      <c r="E1254" s="8">
        <v>1.0</v>
      </c>
      <c r="F1254" s="7" t="s">
        <v>105</v>
      </c>
      <c r="G1254" s="5" t="s">
        <v>19</v>
      </c>
      <c r="H1254" s="7" t="s">
        <v>16</v>
      </c>
      <c r="I1254" s="7" t="s">
        <v>5134</v>
      </c>
      <c r="J1254" s="8">
        <v>7000.0</v>
      </c>
      <c r="K1254" s="8">
        <v>1.0</v>
      </c>
      <c r="L1254" s="7" t="s">
        <v>1908</v>
      </c>
      <c r="M1254" s="5" t="s">
        <v>36</v>
      </c>
      <c r="N1254" s="5" t="s">
        <v>5135</v>
      </c>
      <c r="O1254" s="5"/>
      <c r="P1254" s="5"/>
      <c r="Q1254" s="5"/>
      <c r="R1254" s="5"/>
      <c r="S1254" s="5"/>
      <c r="T1254" s="5"/>
      <c r="U1254" s="5"/>
      <c r="V1254" s="5"/>
      <c r="W1254" s="5"/>
      <c r="X1254" s="5"/>
      <c r="Y1254" s="5"/>
      <c r="Z1254" s="5"/>
    </row>
    <row r="1255">
      <c r="A1255" s="6" t="s">
        <v>5136</v>
      </c>
      <c r="B1255" s="5" t="s">
        <v>1128</v>
      </c>
      <c r="C1255" s="7" t="s">
        <v>4975</v>
      </c>
      <c r="D1255" s="7" t="s">
        <v>85</v>
      </c>
      <c r="E1255" s="8">
        <v>2.0</v>
      </c>
      <c r="F1255" s="7" t="s">
        <v>17</v>
      </c>
      <c r="G1255" s="5" t="s">
        <v>19</v>
      </c>
      <c r="H1255" s="7" t="s">
        <v>16</v>
      </c>
      <c r="I1255" s="7" t="s">
        <v>5137</v>
      </c>
      <c r="J1255" s="7" t="s">
        <v>1266</v>
      </c>
      <c r="K1255" s="7" t="s">
        <v>16</v>
      </c>
      <c r="L1255" s="7" t="s">
        <v>1853</v>
      </c>
      <c r="M1255" s="5" t="s">
        <v>36</v>
      </c>
      <c r="N1255" s="5" t="s">
        <v>5138</v>
      </c>
      <c r="O1255" s="5"/>
      <c r="P1255" s="5"/>
      <c r="Q1255" s="5"/>
      <c r="R1255" s="5"/>
      <c r="S1255" s="5"/>
      <c r="T1255" s="5"/>
      <c r="U1255" s="5"/>
      <c r="V1255" s="5"/>
      <c r="W1255" s="5"/>
      <c r="X1255" s="5"/>
      <c r="Y1255" s="5"/>
      <c r="Z1255" s="5"/>
    </row>
    <row r="1256">
      <c r="A1256" s="6" t="s">
        <v>5139</v>
      </c>
      <c r="B1256" s="5" t="s">
        <v>1128</v>
      </c>
      <c r="C1256" s="7" t="s">
        <v>5140</v>
      </c>
      <c r="D1256" s="7" t="s">
        <v>1073</v>
      </c>
      <c r="E1256" s="8">
        <v>2.0</v>
      </c>
      <c r="F1256" s="7" t="s">
        <v>17</v>
      </c>
      <c r="G1256" s="5" t="s">
        <v>19</v>
      </c>
      <c r="H1256" s="7" t="s">
        <v>16</v>
      </c>
      <c r="I1256" s="7" t="s">
        <v>5141</v>
      </c>
      <c r="J1256" s="7" t="s">
        <v>1266</v>
      </c>
      <c r="K1256" s="7" t="s">
        <v>16</v>
      </c>
      <c r="L1256" s="7" t="s">
        <v>1839</v>
      </c>
      <c r="M1256" s="5" t="s">
        <v>22</v>
      </c>
      <c r="N1256" s="5" t="s">
        <v>5142</v>
      </c>
      <c r="O1256" s="5"/>
      <c r="P1256" s="5"/>
      <c r="Q1256" s="5"/>
      <c r="R1256" s="5"/>
      <c r="S1256" s="5"/>
      <c r="T1256" s="5"/>
      <c r="U1256" s="5"/>
      <c r="V1256" s="5"/>
      <c r="W1256" s="5"/>
      <c r="X1256" s="5"/>
      <c r="Y1256" s="5"/>
      <c r="Z1256" s="5"/>
    </row>
    <row r="1257">
      <c r="A1257" s="6" t="s">
        <v>5143</v>
      </c>
      <c r="B1257" s="5" t="s">
        <v>1128</v>
      </c>
      <c r="C1257" s="7" t="s">
        <v>5144</v>
      </c>
      <c r="D1257" s="7" t="s">
        <v>1073</v>
      </c>
      <c r="E1257" s="8">
        <v>1.0</v>
      </c>
      <c r="F1257" s="7" t="s">
        <v>105</v>
      </c>
      <c r="G1257" s="5" t="s">
        <v>19</v>
      </c>
      <c r="H1257" s="7" t="s">
        <v>16</v>
      </c>
      <c r="I1257" s="7" t="s">
        <v>5145</v>
      </c>
      <c r="J1257" s="36" t="s">
        <v>1261</v>
      </c>
      <c r="K1257" s="7" t="s">
        <v>4878</v>
      </c>
      <c r="L1257" s="7" t="s">
        <v>1839</v>
      </c>
      <c r="M1257" s="5" t="s">
        <v>22</v>
      </c>
      <c r="N1257" s="5" t="s">
        <v>5146</v>
      </c>
      <c r="O1257" s="5"/>
      <c r="P1257" s="5"/>
      <c r="Q1257" s="5"/>
      <c r="R1257" s="5"/>
      <c r="S1257" s="5"/>
      <c r="T1257" s="5"/>
      <c r="U1257" s="5"/>
      <c r="V1257" s="5"/>
      <c r="W1257" s="5"/>
      <c r="X1257" s="5"/>
      <c r="Y1257" s="5"/>
      <c r="Z1257" s="5"/>
    </row>
    <row r="1258">
      <c r="A1258" s="6" t="s">
        <v>5147</v>
      </c>
      <c r="B1258" s="5" t="s">
        <v>1128</v>
      </c>
      <c r="C1258" s="7" t="s">
        <v>5148</v>
      </c>
      <c r="D1258" s="7" t="s">
        <v>1073</v>
      </c>
      <c r="E1258" s="8">
        <v>4.0</v>
      </c>
      <c r="F1258" s="7" t="s">
        <v>105</v>
      </c>
      <c r="G1258" s="5" t="s">
        <v>19</v>
      </c>
      <c r="H1258" s="7" t="s">
        <v>16</v>
      </c>
      <c r="I1258" s="7" t="s">
        <v>4712</v>
      </c>
      <c r="J1258" s="36" t="s">
        <v>1132</v>
      </c>
      <c r="K1258" s="8">
        <v>3.0</v>
      </c>
      <c r="L1258" s="7" t="s">
        <v>1839</v>
      </c>
      <c r="M1258" s="5" t="s">
        <v>22</v>
      </c>
      <c r="N1258" s="5" t="s">
        <v>5149</v>
      </c>
      <c r="O1258" s="5"/>
      <c r="P1258" s="5"/>
      <c r="Q1258" s="5"/>
      <c r="R1258" s="5"/>
      <c r="S1258" s="5"/>
      <c r="T1258" s="5"/>
      <c r="U1258" s="5"/>
      <c r="V1258" s="5"/>
      <c r="W1258" s="5"/>
      <c r="X1258" s="5"/>
      <c r="Y1258" s="5"/>
      <c r="Z1258" s="5"/>
    </row>
    <row r="1259">
      <c r="A1259" s="6" t="s">
        <v>5150</v>
      </c>
      <c r="B1259" s="5" t="s">
        <v>1128</v>
      </c>
      <c r="C1259" s="7" t="s">
        <v>5151</v>
      </c>
      <c r="D1259" s="7" t="s">
        <v>1073</v>
      </c>
      <c r="E1259" s="8">
        <v>2.0</v>
      </c>
      <c r="F1259" s="7" t="s">
        <v>172</v>
      </c>
      <c r="G1259" s="5" t="s">
        <v>19</v>
      </c>
      <c r="H1259" s="7" t="s">
        <v>16</v>
      </c>
      <c r="I1259" s="7" t="s">
        <v>5152</v>
      </c>
      <c r="J1259" s="7" t="s">
        <v>1266</v>
      </c>
      <c r="K1259" s="7" t="s">
        <v>16</v>
      </c>
      <c r="L1259" s="7" t="s">
        <v>1839</v>
      </c>
      <c r="M1259" s="5" t="s">
        <v>36</v>
      </c>
      <c r="N1259" s="5" t="s">
        <v>5153</v>
      </c>
      <c r="O1259" s="5"/>
      <c r="P1259" s="5"/>
      <c r="Q1259" s="5"/>
      <c r="R1259" s="5"/>
      <c r="S1259" s="5"/>
      <c r="T1259" s="5"/>
      <c r="U1259" s="5"/>
      <c r="V1259" s="5"/>
      <c r="W1259" s="5"/>
      <c r="X1259" s="5"/>
      <c r="Y1259" s="5"/>
      <c r="Z1259" s="5"/>
    </row>
    <row r="1260">
      <c r="A1260" s="6" t="s">
        <v>5154</v>
      </c>
      <c r="B1260" s="5" t="s">
        <v>1128</v>
      </c>
      <c r="C1260" s="7" t="s">
        <v>5155</v>
      </c>
      <c r="D1260" s="7" t="s">
        <v>1079</v>
      </c>
      <c r="E1260" s="8">
        <v>1.0</v>
      </c>
      <c r="F1260" s="7" t="s">
        <v>105</v>
      </c>
      <c r="G1260" s="5" t="s">
        <v>19</v>
      </c>
      <c r="H1260" s="7" t="s">
        <v>16</v>
      </c>
      <c r="I1260" s="7" t="s">
        <v>5156</v>
      </c>
      <c r="J1260" s="7" t="s">
        <v>1266</v>
      </c>
      <c r="K1260" s="7" t="s">
        <v>16</v>
      </c>
      <c r="L1260" s="7" t="s">
        <v>1839</v>
      </c>
      <c r="M1260" s="5" t="s">
        <v>22</v>
      </c>
      <c r="N1260" s="5" t="s">
        <v>5157</v>
      </c>
      <c r="O1260" s="5"/>
      <c r="P1260" s="5"/>
      <c r="Q1260" s="5"/>
      <c r="R1260" s="5"/>
      <c r="S1260" s="5"/>
      <c r="T1260" s="5"/>
      <c r="U1260" s="5"/>
      <c r="V1260" s="5"/>
      <c r="W1260" s="5"/>
      <c r="X1260" s="5"/>
      <c r="Y1260" s="5"/>
      <c r="Z1260" s="5"/>
    </row>
    <row r="1261">
      <c r="A1261" s="6" t="s">
        <v>5158</v>
      </c>
      <c r="B1261" s="5" t="s">
        <v>1128</v>
      </c>
      <c r="C1261" s="7" t="s">
        <v>1140</v>
      </c>
      <c r="D1261" s="7" t="s">
        <v>1079</v>
      </c>
      <c r="E1261" s="8">
        <v>2.0</v>
      </c>
      <c r="F1261" s="7" t="s">
        <v>105</v>
      </c>
      <c r="G1261" s="5" t="s">
        <v>19</v>
      </c>
      <c r="H1261" s="7" t="s">
        <v>16</v>
      </c>
      <c r="I1261" s="7" t="s">
        <v>5159</v>
      </c>
      <c r="J1261" s="36" t="s">
        <v>1132</v>
      </c>
      <c r="K1261" s="8">
        <v>1.0</v>
      </c>
      <c r="L1261" s="7" t="s">
        <v>1839</v>
      </c>
      <c r="M1261" s="5" t="s">
        <v>22</v>
      </c>
      <c r="N1261" s="5" t="s">
        <v>5160</v>
      </c>
      <c r="O1261" s="5"/>
      <c r="P1261" s="5"/>
      <c r="Q1261" s="5"/>
      <c r="R1261" s="5"/>
      <c r="S1261" s="5"/>
      <c r="T1261" s="5"/>
      <c r="U1261" s="5"/>
      <c r="V1261" s="5"/>
      <c r="W1261" s="5"/>
      <c r="X1261" s="5"/>
      <c r="Y1261" s="5"/>
      <c r="Z1261" s="5"/>
    </row>
    <row r="1262">
      <c r="A1262" s="6" t="s">
        <v>5161</v>
      </c>
      <c r="B1262" s="5" t="s">
        <v>1128</v>
      </c>
      <c r="C1262" s="7" t="s">
        <v>5162</v>
      </c>
      <c r="D1262" s="7" t="s">
        <v>1079</v>
      </c>
      <c r="E1262" s="8">
        <v>1.0</v>
      </c>
      <c r="F1262" s="7" t="s">
        <v>17</v>
      </c>
      <c r="G1262" s="5" t="s">
        <v>19</v>
      </c>
      <c r="H1262" s="7" t="s">
        <v>16</v>
      </c>
      <c r="I1262" s="7" t="s">
        <v>4956</v>
      </c>
      <c r="J1262" s="36" t="s">
        <v>1261</v>
      </c>
      <c r="K1262" s="8">
        <v>1.0</v>
      </c>
      <c r="L1262" s="7" t="s">
        <v>1839</v>
      </c>
      <c r="M1262" s="5" t="s">
        <v>22</v>
      </c>
      <c r="N1262" s="5" t="s">
        <v>5163</v>
      </c>
      <c r="O1262" s="5"/>
      <c r="P1262" s="5"/>
      <c r="Q1262" s="5"/>
      <c r="R1262" s="5"/>
      <c r="S1262" s="5"/>
      <c r="T1262" s="5"/>
      <c r="U1262" s="5"/>
      <c r="V1262" s="5"/>
      <c r="W1262" s="5"/>
      <c r="X1262" s="5"/>
      <c r="Y1262" s="5"/>
      <c r="Z1262" s="5"/>
    </row>
    <row r="1263">
      <c r="A1263" s="6" t="s">
        <v>5164</v>
      </c>
      <c r="B1263" s="5" t="s">
        <v>1128</v>
      </c>
      <c r="C1263" s="7" t="s">
        <v>5165</v>
      </c>
      <c r="D1263" s="7" t="s">
        <v>1079</v>
      </c>
      <c r="E1263" s="8">
        <v>3.0</v>
      </c>
      <c r="F1263" s="7" t="s">
        <v>105</v>
      </c>
      <c r="G1263" s="5" t="s">
        <v>19</v>
      </c>
      <c r="H1263" s="7" t="s">
        <v>16</v>
      </c>
      <c r="I1263" s="7" t="s">
        <v>5166</v>
      </c>
      <c r="J1263" s="7" t="s">
        <v>4806</v>
      </c>
      <c r="K1263" s="8">
        <v>2.0</v>
      </c>
      <c r="L1263" s="7" t="s">
        <v>1839</v>
      </c>
      <c r="M1263" s="5" t="s">
        <v>36</v>
      </c>
      <c r="N1263" s="5" t="s">
        <v>5167</v>
      </c>
      <c r="O1263" s="5"/>
      <c r="P1263" s="5"/>
      <c r="Q1263" s="5"/>
      <c r="R1263" s="5"/>
      <c r="S1263" s="5"/>
      <c r="T1263" s="5"/>
      <c r="U1263" s="5"/>
      <c r="V1263" s="5"/>
      <c r="W1263" s="5"/>
      <c r="X1263" s="5"/>
      <c r="Y1263" s="5"/>
      <c r="Z1263" s="5"/>
    </row>
    <row r="1264">
      <c r="A1264" s="6" t="s">
        <v>5168</v>
      </c>
      <c r="B1264" s="5" t="s">
        <v>1128</v>
      </c>
      <c r="C1264" s="7" t="s">
        <v>5169</v>
      </c>
      <c r="D1264" s="7" t="s">
        <v>1079</v>
      </c>
      <c r="E1264" s="8">
        <v>1.0</v>
      </c>
      <c r="F1264" s="7" t="s">
        <v>17</v>
      </c>
      <c r="G1264" s="5" t="s">
        <v>19</v>
      </c>
      <c r="H1264" s="7" t="s">
        <v>16</v>
      </c>
      <c r="I1264" s="7" t="s">
        <v>5170</v>
      </c>
      <c r="J1264" s="7" t="s">
        <v>1266</v>
      </c>
      <c r="K1264" s="7" t="s">
        <v>16</v>
      </c>
      <c r="L1264" s="7" t="s">
        <v>1839</v>
      </c>
      <c r="M1264" s="5" t="s">
        <v>22</v>
      </c>
      <c r="N1264" s="5" t="s">
        <v>5171</v>
      </c>
      <c r="O1264" s="5"/>
      <c r="P1264" s="5"/>
      <c r="Q1264" s="5"/>
      <c r="R1264" s="5"/>
      <c r="S1264" s="5"/>
      <c r="T1264" s="5"/>
      <c r="U1264" s="5"/>
      <c r="V1264" s="5"/>
      <c r="W1264" s="5"/>
      <c r="X1264" s="5"/>
      <c r="Y1264" s="5"/>
      <c r="Z1264" s="5"/>
    </row>
    <row r="1265">
      <c r="A1265" s="6" t="s">
        <v>5172</v>
      </c>
      <c r="B1265" s="5" t="s">
        <v>1128</v>
      </c>
      <c r="C1265" s="7" t="s">
        <v>5173</v>
      </c>
      <c r="D1265" s="7" t="s">
        <v>1289</v>
      </c>
      <c r="E1265" s="8">
        <v>0.0</v>
      </c>
      <c r="F1265" s="7" t="s">
        <v>17</v>
      </c>
      <c r="G1265" s="5" t="s">
        <v>19</v>
      </c>
      <c r="H1265" s="7" t="s">
        <v>16</v>
      </c>
      <c r="I1265" s="7" t="s">
        <v>5174</v>
      </c>
      <c r="J1265" s="7" t="s">
        <v>1266</v>
      </c>
      <c r="K1265" s="7" t="s">
        <v>16</v>
      </c>
      <c r="L1265" s="7" t="s">
        <v>1839</v>
      </c>
      <c r="M1265" s="5" t="s">
        <v>36</v>
      </c>
      <c r="N1265" s="5" t="s">
        <v>5175</v>
      </c>
      <c r="O1265" s="5"/>
      <c r="P1265" s="5"/>
      <c r="Q1265" s="5"/>
      <c r="R1265" s="5"/>
      <c r="S1265" s="5"/>
      <c r="T1265" s="5"/>
      <c r="U1265" s="5"/>
      <c r="V1265" s="5"/>
      <c r="W1265" s="5"/>
      <c r="X1265" s="5"/>
      <c r="Y1265" s="5"/>
      <c r="Z1265" s="5"/>
    </row>
    <row r="1266">
      <c r="A1266" s="6" t="s">
        <v>5176</v>
      </c>
      <c r="B1266" s="5" t="s">
        <v>1128</v>
      </c>
      <c r="C1266" s="7" t="s">
        <v>5177</v>
      </c>
      <c r="D1266" s="7" t="s">
        <v>1289</v>
      </c>
      <c r="E1266" s="8">
        <v>0.0</v>
      </c>
      <c r="F1266" s="7" t="s">
        <v>17</v>
      </c>
      <c r="G1266" s="5" t="s">
        <v>326</v>
      </c>
      <c r="H1266" s="7" t="s">
        <v>16</v>
      </c>
      <c r="I1266" s="7" t="s">
        <v>5178</v>
      </c>
      <c r="J1266" s="7" t="s">
        <v>1266</v>
      </c>
      <c r="K1266" s="7" t="s">
        <v>16</v>
      </c>
      <c r="L1266" s="7" t="s">
        <v>273</v>
      </c>
      <c r="M1266" s="5" t="s">
        <v>36</v>
      </c>
      <c r="N1266" s="5" t="s">
        <v>5179</v>
      </c>
      <c r="O1266" s="5"/>
      <c r="P1266" s="5"/>
      <c r="Q1266" s="5"/>
      <c r="R1266" s="5"/>
      <c r="S1266" s="5"/>
      <c r="T1266" s="5"/>
      <c r="U1266" s="5"/>
      <c r="V1266" s="5"/>
      <c r="W1266" s="5"/>
      <c r="X1266" s="5"/>
      <c r="Y1266" s="5"/>
      <c r="Z1266" s="5"/>
    </row>
    <row r="1267">
      <c r="A1267" s="6" t="s">
        <v>5180</v>
      </c>
      <c r="B1267" s="5" t="s">
        <v>1128</v>
      </c>
      <c r="C1267" s="7" t="s">
        <v>5181</v>
      </c>
      <c r="D1267" s="7" t="s">
        <v>1522</v>
      </c>
      <c r="E1267" s="8">
        <v>1.0</v>
      </c>
      <c r="F1267" s="7" t="s">
        <v>172</v>
      </c>
      <c r="G1267" s="5" t="s">
        <v>19</v>
      </c>
      <c r="H1267" s="7" t="s">
        <v>4681</v>
      </c>
      <c r="I1267" s="7" t="s">
        <v>1153</v>
      </c>
      <c r="J1267" s="36" t="s">
        <v>1137</v>
      </c>
      <c r="K1267" s="7" t="s">
        <v>16</v>
      </c>
      <c r="L1267" s="7" t="s">
        <v>288</v>
      </c>
      <c r="M1267" s="5" t="s">
        <v>22</v>
      </c>
      <c r="N1267" s="5" t="s">
        <v>5182</v>
      </c>
      <c r="O1267" s="5"/>
      <c r="P1267" s="5"/>
      <c r="Q1267" s="5"/>
      <c r="R1267" s="5"/>
      <c r="S1267" s="5"/>
      <c r="T1267" s="5"/>
      <c r="U1267" s="5"/>
      <c r="V1267" s="5"/>
      <c r="W1267" s="5"/>
      <c r="X1267" s="5"/>
      <c r="Y1267" s="5"/>
      <c r="Z1267" s="5"/>
    </row>
    <row r="1268">
      <c r="A1268" s="6" t="s">
        <v>5183</v>
      </c>
      <c r="B1268" s="5" t="s">
        <v>1128</v>
      </c>
      <c r="C1268" s="7" t="s">
        <v>4889</v>
      </c>
      <c r="D1268" s="7" t="s">
        <v>1522</v>
      </c>
      <c r="E1268" s="8">
        <v>5.0</v>
      </c>
      <c r="F1268" s="7" t="s">
        <v>105</v>
      </c>
      <c r="G1268" s="5" t="s">
        <v>326</v>
      </c>
      <c r="H1268" s="7" t="s">
        <v>4681</v>
      </c>
      <c r="I1268" s="7" t="s">
        <v>4693</v>
      </c>
      <c r="J1268" s="36" t="s">
        <v>1146</v>
      </c>
      <c r="K1268" s="8">
        <v>3.0</v>
      </c>
      <c r="L1268" s="7" t="s">
        <v>288</v>
      </c>
      <c r="M1268" s="5" t="s">
        <v>36</v>
      </c>
      <c r="N1268" s="5" t="s">
        <v>5184</v>
      </c>
      <c r="O1268" s="5"/>
      <c r="P1268" s="5"/>
      <c r="Q1268" s="5"/>
      <c r="R1268" s="5"/>
      <c r="S1268" s="5"/>
      <c r="T1268" s="5"/>
      <c r="U1268" s="5"/>
      <c r="V1268" s="5"/>
      <c r="W1268" s="5"/>
      <c r="X1268" s="5"/>
      <c r="Y1268" s="5"/>
      <c r="Z1268" s="5"/>
    </row>
    <row r="1269">
      <c r="A1269" s="6" t="s">
        <v>5185</v>
      </c>
      <c r="B1269" s="5" t="s">
        <v>1128</v>
      </c>
      <c r="C1269" s="7" t="s">
        <v>5186</v>
      </c>
      <c r="D1269" s="7" t="s">
        <v>1522</v>
      </c>
      <c r="E1269" s="8">
        <v>2.0</v>
      </c>
      <c r="F1269" s="7" t="s">
        <v>172</v>
      </c>
      <c r="G1269" s="5" t="s">
        <v>19</v>
      </c>
      <c r="H1269" s="7" t="s">
        <v>4681</v>
      </c>
      <c r="I1269" s="7" t="s">
        <v>5187</v>
      </c>
      <c r="J1269" s="36" t="s">
        <v>1146</v>
      </c>
      <c r="K1269" s="7" t="s">
        <v>16</v>
      </c>
      <c r="L1269" s="7" t="s">
        <v>288</v>
      </c>
      <c r="M1269" s="5" t="s">
        <v>22</v>
      </c>
      <c r="N1269" s="5" t="s">
        <v>5188</v>
      </c>
      <c r="O1269" s="5"/>
      <c r="P1269" s="5"/>
      <c r="Q1269" s="5"/>
      <c r="R1269" s="5"/>
      <c r="S1269" s="5"/>
      <c r="T1269" s="5"/>
      <c r="U1269" s="5"/>
      <c r="V1269" s="5"/>
      <c r="W1269" s="5"/>
      <c r="X1269" s="5"/>
      <c r="Y1269" s="5"/>
      <c r="Z1269" s="5"/>
    </row>
    <row r="1270">
      <c r="A1270" s="6" t="s">
        <v>5189</v>
      </c>
      <c r="B1270" s="5" t="s">
        <v>1128</v>
      </c>
      <c r="C1270" s="7" t="s">
        <v>5190</v>
      </c>
      <c r="D1270" s="7" t="s">
        <v>1522</v>
      </c>
      <c r="E1270" s="8">
        <v>3.0</v>
      </c>
      <c r="F1270" s="7" t="s">
        <v>17</v>
      </c>
      <c r="G1270" s="5" t="s">
        <v>461</v>
      </c>
      <c r="H1270" s="7" t="s">
        <v>4681</v>
      </c>
      <c r="I1270" s="7" t="s">
        <v>5191</v>
      </c>
      <c r="J1270" s="36" t="s">
        <v>1132</v>
      </c>
      <c r="K1270" s="8">
        <v>2.0</v>
      </c>
      <c r="L1270" s="7" t="s">
        <v>288</v>
      </c>
      <c r="M1270" s="5" t="s">
        <v>22</v>
      </c>
      <c r="N1270" s="5" t="s">
        <v>5192</v>
      </c>
      <c r="O1270" s="5"/>
      <c r="P1270" s="5"/>
      <c r="Q1270" s="5"/>
      <c r="R1270" s="5"/>
      <c r="S1270" s="5"/>
      <c r="T1270" s="5"/>
      <c r="U1270" s="5"/>
      <c r="V1270" s="5"/>
      <c r="W1270" s="5"/>
      <c r="X1270" s="5"/>
      <c r="Y1270" s="5"/>
      <c r="Z1270" s="5"/>
    </row>
    <row r="1271">
      <c r="A1271" s="6" t="s">
        <v>5193</v>
      </c>
      <c r="B1271" s="5" t="s">
        <v>1128</v>
      </c>
      <c r="C1271" s="7" t="s">
        <v>5194</v>
      </c>
      <c r="D1271" s="7" t="s">
        <v>1541</v>
      </c>
      <c r="E1271" s="8">
        <v>3.0</v>
      </c>
      <c r="F1271" s="7" t="s">
        <v>105</v>
      </c>
      <c r="G1271" s="5" t="s">
        <v>19</v>
      </c>
      <c r="H1271" s="7" t="s">
        <v>4708</v>
      </c>
      <c r="I1271" s="7" t="s">
        <v>1131</v>
      </c>
      <c r="J1271" s="36" t="s">
        <v>1132</v>
      </c>
      <c r="K1271" s="8">
        <v>2.0</v>
      </c>
      <c r="L1271" s="7" t="s">
        <v>288</v>
      </c>
      <c r="M1271" s="5" t="s">
        <v>22</v>
      </c>
      <c r="N1271" s="5" t="s">
        <v>5195</v>
      </c>
      <c r="O1271" s="5"/>
      <c r="P1271" s="5"/>
      <c r="Q1271" s="5"/>
      <c r="R1271" s="5"/>
      <c r="S1271" s="5"/>
      <c r="T1271" s="5"/>
      <c r="U1271" s="5"/>
      <c r="V1271" s="5"/>
      <c r="W1271" s="5"/>
      <c r="X1271" s="5"/>
      <c r="Y1271" s="5"/>
      <c r="Z1271" s="5"/>
    </row>
    <row r="1272">
      <c r="A1272" s="6" t="s">
        <v>5196</v>
      </c>
      <c r="B1272" s="5" t="s">
        <v>1128</v>
      </c>
      <c r="C1272" s="7" t="s">
        <v>4804</v>
      </c>
      <c r="D1272" s="7" t="s">
        <v>1541</v>
      </c>
      <c r="E1272" s="8">
        <v>1.0</v>
      </c>
      <c r="F1272" s="7" t="s">
        <v>105</v>
      </c>
      <c r="G1272" s="5" t="s">
        <v>19</v>
      </c>
      <c r="H1272" s="7" t="s">
        <v>4708</v>
      </c>
      <c r="I1272" s="7" t="s">
        <v>5197</v>
      </c>
      <c r="J1272" s="36" t="s">
        <v>1261</v>
      </c>
      <c r="K1272" s="8">
        <v>1.0</v>
      </c>
      <c r="L1272" s="7" t="s">
        <v>288</v>
      </c>
      <c r="M1272" s="5" t="s">
        <v>22</v>
      </c>
      <c r="N1272" s="5" t="s">
        <v>5198</v>
      </c>
      <c r="O1272" s="5"/>
      <c r="P1272" s="5"/>
      <c r="Q1272" s="5"/>
      <c r="R1272" s="5"/>
      <c r="S1272" s="5"/>
      <c r="T1272" s="5"/>
      <c r="U1272" s="5"/>
      <c r="V1272" s="5"/>
      <c r="W1272" s="5"/>
      <c r="X1272" s="5"/>
      <c r="Y1272" s="5"/>
      <c r="Z1272" s="5"/>
    </row>
    <row r="1273">
      <c r="A1273" s="6" t="s">
        <v>5199</v>
      </c>
      <c r="B1273" s="5" t="s">
        <v>1128</v>
      </c>
      <c r="C1273" s="7" t="s">
        <v>5200</v>
      </c>
      <c r="D1273" s="7" t="s">
        <v>1541</v>
      </c>
      <c r="E1273" s="8">
        <v>2.0</v>
      </c>
      <c r="F1273" s="7" t="s">
        <v>17</v>
      </c>
      <c r="G1273" s="5" t="s">
        <v>461</v>
      </c>
      <c r="H1273" s="7" t="s">
        <v>4708</v>
      </c>
      <c r="I1273" s="7" t="s">
        <v>5201</v>
      </c>
      <c r="J1273" s="36" t="s">
        <v>1137</v>
      </c>
      <c r="K1273" s="7" t="s">
        <v>16</v>
      </c>
      <c r="L1273" s="7" t="s">
        <v>288</v>
      </c>
      <c r="M1273" s="5" t="s">
        <v>22</v>
      </c>
      <c r="N1273" s="5" t="s">
        <v>5202</v>
      </c>
      <c r="O1273" s="5"/>
      <c r="P1273" s="5"/>
      <c r="Q1273" s="5"/>
      <c r="R1273" s="5"/>
      <c r="S1273" s="5"/>
      <c r="T1273" s="5"/>
      <c r="U1273" s="5"/>
      <c r="V1273" s="5"/>
      <c r="W1273" s="5"/>
      <c r="X1273" s="5"/>
      <c r="Y1273" s="5"/>
      <c r="Z1273" s="5"/>
    </row>
    <row r="1274">
      <c r="A1274" s="6" t="s">
        <v>5203</v>
      </c>
      <c r="B1274" s="5" t="s">
        <v>1128</v>
      </c>
      <c r="C1274" s="7" t="s">
        <v>5204</v>
      </c>
      <c r="D1274" s="7" t="s">
        <v>1541</v>
      </c>
      <c r="E1274" s="8">
        <v>4.0</v>
      </c>
      <c r="F1274" s="7" t="s">
        <v>105</v>
      </c>
      <c r="G1274" s="5" t="s">
        <v>461</v>
      </c>
      <c r="H1274" s="7" t="s">
        <v>4708</v>
      </c>
      <c r="I1274" s="7" t="s">
        <v>5205</v>
      </c>
      <c r="J1274" s="36" t="s">
        <v>1137</v>
      </c>
      <c r="K1274" s="8">
        <v>2.0</v>
      </c>
      <c r="L1274" s="7" t="s">
        <v>288</v>
      </c>
      <c r="M1274" s="5" t="s">
        <v>22</v>
      </c>
      <c r="N1274" s="5" t="s">
        <v>5206</v>
      </c>
      <c r="O1274" s="5"/>
      <c r="P1274" s="5"/>
      <c r="Q1274" s="5"/>
      <c r="R1274" s="5"/>
      <c r="S1274" s="5"/>
      <c r="T1274" s="5"/>
      <c r="U1274" s="5"/>
      <c r="V1274" s="5"/>
      <c r="W1274" s="5"/>
      <c r="X1274" s="5"/>
      <c r="Y1274" s="5"/>
      <c r="Z1274" s="5"/>
    </row>
    <row r="1275">
      <c r="A1275" s="6" t="s">
        <v>5207</v>
      </c>
      <c r="B1275" s="5" t="s">
        <v>1128</v>
      </c>
      <c r="C1275" s="7" t="s">
        <v>5208</v>
      </c>
      <c r="D1275" s="7" t="s">
        <v>1546</v>
      </c>
      <c r="E1275" s="8">
        <v>1.0</v>
      </c>
      <c r="F1275" s="7" t="s">
        <v>172</v>
      </c>
      <c r="G1275" s="5" t="s">
        <v>19</v>
      </c>
      <c r="H1275" s="7" t="s">
        <v>16</v>
      </c>
      <c r="I1275" s="7" t="s">
        <v>5209</v>
      </c>
      <c r="J1275" s="7" t="s">
        <v>1266</v>
      </c>
      <c r="K1275" s="7" t="s">
        <v>16</v>
      </c>
      <c r="L1275" s="7" t="s">
        <v>1935</v>
      </c>
      <c r="M1275" s="5" t="s">
        <v>22</v>
      </c>
      <c r="N1275" s="5" t="s">
        <v>5210</v>
      </c>
      <c r="O1275" s="5"/>
      <c r="P1275" s="5"/>
      <c r="Q1275" s="5"/>
      <c r="R1275" s="5"/>
      <c r="S1275" s="5"/>
      <c r="T1275" s="5"/>
      <c r="U1275" s="5"/>
      <c r="V1275" s="5"/>
      <c r="W1275" s="5"/>
      <c r="X1275" s="5"/>
      <c r="Y1275" s="5"/>
      <c r="Z1275" s="5"/>
    </row>
    <row r="1276">
      <c r="A1276" s="6" t="s">
        <v>5211</v>
      </c>
      <c r="B1276" s="5" t="s">
        <v>1128</v>
      </c>
      <c r="C1276" s="7" t="s">
        <v>5105</v>
      </c>
      <c r="D1276" s="7" t="s">
        <v>1546</v>
      </c>
      <c r="E1276" s="8">
        <v>5.0</v>
      </c>
      <c r="F1276" s="7" t="s">
        <v>105</v>
      </c>
      <c r="G1276" s="5" t="s">
        <v>461</v>
      </c>
      <c r="H1276" s="7" t="s">
        <v>16</v>
      </c>
      <c r="I1276" s="7" t="s">
        <v>4968</v>
      </c>
      <c r="J1276" s="36" t="s">
        <v>1146</v>
      </c>
      <c r="K1276" s="8">
        <v>3.0</v>
      </c>
      <c r="L1276" s="7" t="s">
        <v>1935</v>
      </c>
      <c r="M1276" s="5" t="s">
        <v>75</v>
      </c>
      <c r="N1276" s="5" t="s">
        <v>5212</v>
      </c>
      <c r="O1276" s="5"/>
      <c r="P1276" s="5"/>
      <c r="Q1276" s="5"/>
      <c r="R1276" s="5"/>
      <c r="S1276" s="5"/>
      <c r="T1276" s="5"/>
      <c r="U1276" s="5"/>
      <c r="V1276" s="5"/>
      <c r="W1276" s="5"/>
      <c r="X1276" s="5"/>
      <c r="Y1276" s="5"/>
      <c r="Z1276" s="5"/>
    </row>
    <row r="1277">
      <c r="A1277" s="6" t="s">
        <v>5213</v>
      </c>
      <c r="B1277" s="5" t="s">
        <v>1128</v>
      </c>
      <c r="C1277" s="7" t="s">
        <v>5214</v>
      </c>
      <c r="D1277" s="7" t="s">
        <v>1546</v>
      </c>
      <c r="E1277" s="8">
        <v>1.0</v>
      </c>
      <c r="F1277" s="7" t="s">
        <v>172</v>
      </c>
      <c r="G1277" s="5" t="s">
        <v>461</v>
      </c>
      <c r="H1277" s="7" t="s">
        <v>16</v>
      </c>
      <c r="I1277" s="7" t="s">
        <v>5215</v>
      </c>
      <c r="J1277" s="36" t="s">
        <v>1154</v>
      </c>
      <c r="K1277" s="8">
        <v>1.0</v>
      </c>
      <c r="L1277" s="7" t="s">
        <v>1935</v>
      </c>
      <c r="M1277" s="5" t="s">
        <v>36</v>
      </c>
      <c r="N1277" s="5" t="s">
        <v>5216</v>
      </c>
      <c r="O1277" s="5"/>
      <c r="P1277" s="5"/>
      <c r="Q1277" s="5"/>
      <c r="R1277" s="5"/>
      <c r="S1277" s="5"/>
      <c r="T1277" s="5"/>
      <c r="U1277" s="5"/>
      <c r="V1277" s="5"/>
      <c r="W1277" s="5"/>
      <c r="X1277" s="5"/>
      <c r="Y1277" s="5"/>
      <c r="Z1277" s="5"/>
    </row>
    <row r="1278">
      <c r="A1278" s="6" t="s">
        <v>5217</v>
      </c>
      <c r="B1278" s="5" t="s">
        <v>1128</v>
      </c>
      <c r="C1278" s="7" t="s">
        <v>5218</v>
      </c>
      <c r="D1278" s="7" t="s">
        <v>1546</v>
      </c>
      <c r="E1278" s="8">
        <v>3.0</v>
      </c>
      <c r="F1278" s="7" t="s">
        <v>105</v>
      </c>
      <c r="G1278" s="5" t="s">
        <v>461</v>
      </c>
      <c r="H1278" s="7" t="s">
        <v>16</v>
      </c>
      <c r="I1278" s="7" t="s">
        <v>4964</v>
      </c>
      <c r="J1278" s="36" t="s">
        <v>1137</v>
      </c>
      <c r="K1278" s="8">
        <v>2.0</v>
      </c>
      <c r="L1278" s="7" t="s">
        <v>1935</v>
      </c>
      <c r="M1278" s="5" t="s">
        <v>36</v>
      </c>
      <c r="N1278" s="5" t="s">
        <v>5219</v>
      </c>
      <c r="O1278" s="5"/>
      <c r="P1278" s="5"/>
      <c r="Q1278" s="5"/>
      <c r="R1278" s="5"/>
      <c r="S1278" s="5"/>
      <c r="T1278" s="5"/>
      <c r="U1278" s="5"/>
      <c r="V1278" s="5"/>
      <c r="W1278" s="5"/>
      <c r="X1278" s="5"/>
      <c r="Y1278" s="5"/>
      <c r="Z1278" s="5"/>
    </row>
    <row r="1279">
      <c r="A1279" s="6" t="s">
        <v>5220</v>
      </c>
      <c r="B1279" s="5" t="s">
        <v>1128</v>
      </c>
      <c r="C1279" s="7" t="s">
        <v>5221</v>
      </c>
      <c r="D1279" s="7" t="s">
        <v>1203</v>
      </c>
      <c r="E1279" s="8">
        <v>1.0</v>
      </c>
      <c r="F1279" s="7" t="s">
        <v>17</v>
      </c>
      <c r="G1279" s="5" t="s">
        <v>19</v>
      </c>
      <c r="H1279" s="7" t="s">
        <v>16</v>
      </c>
      <c r="I1279" s="7" t="s">
        <v>5222</v>
      </c>
      <c r="J1279" s="36" t="s">
        <v>1261</v>
      </c>
      <c r="K1279" s="8">
        <v>1.0</v>
      </c>
      <c r="L1279" s="7" t="s">
        <v>1935</v>
      </c>
      <c r="M1279" s="5" t="s">
        <v>22</v>
      </c>
      <c r="N1279" s="5" t="s">
        <v>5223</v>
      </c>
      <c r="O1279" s="5"/>
      <c r="P1279" s="5"/>
      <c r="Q1279" s="5"/>
      <c r="R1279" s="5"/>
      <c r="S1279" s="5"/>
      <c r="T1279" s="5"/>
      <c r="U1279" s="5"/>
      <c r="V1279" s="5"/>
      <c r="W1279" s="5"/>
      <c r="X1279" s="5"/>
      <c r="Y1279" s="5"/>
      <c r="Z1279" s="5"/>
    </row>
    <row r="1280">
      <c r="A1280" s="6" t="s">
        <v>5224</v>
      </c>
      <c r="B1280" s="5" t="s">
        <v>1128</v>
      </c>
      <c r="C1280" s="7" t="s">
        <v>5225</v>
      </c>
      <c r="D1280" s="7" t="s">
        <v>1203</v>
      </c>
      <c r="E1280" s="8">
        <v>3.0</v>
      </c>
      <c r="F1280" s="7" t="s">
        <v>105</v>
      </c>
      <c r="G1280" s="5" t="s">
        <v>19</v>
      </c>
      <c r="H1280" s="7" t="s">
        <v>16</v>
      </c>
      <c r="I1280" s="7" t="s">
        <v>5226</v>
      </c>
      <c r="J1280" s="7" t="s">
        <v>5227</v>
      </c>
      <c r="K1280" s="7" t="s">
        <v>4878</v>
      </c>
      <c r="L1280" s="7" t="s">
        <v>1935</v>
      </c>
      <c r="M1280" s="5" t="s">
        <v>75</v>
      </c>
      <c r="N1280" s="5" t="s">
        <v>5228</v>
      </c>
      <c r="O1280" s="5"/>
      <c r="P1280" s="5"/>
      <c r="Q1280" s="5"/>
      <c r="R1280" s="5"/>
      <c r="S1280" s="5"/>
      <c r="T1280" s="5"/>
      <c r="U1280" s="5"/>
      <c r="V1280" s="5"/>
      <c r="W1280" s="5"/>
      <c r="X1280" s="5"/>
      <c r="Y1280" s="5"/>
      <c r="Z1280" s="5"/>
    </row>
    <row r="1281">
      <c r="A1281" s="6" t="s">
        <v>5229</v>
      </c>
      <c r="B1281" s="5" t="s">
        <v>1128</v>
      </c>
      <c r="C1281" s="7" t="s">
        <v>5026</v>
      </c>
      <c r="D1281" s="7" t="s">
        <v>1748</v>
      </c>
      <c r="E1281" s="8">
        <v>1.0</v>
      </c>
      <c r="F1281" s="7" t="s">
        <v>17</v>
      </c>
      <c r="G1281" s="5" t="s">
        <v>19</v>
      </c>
      <c r="H1281" s="7" t="s">
        <v>16</v>
      </c>
      <c r="I1281" s="7" t="s">
        <v>1131</v>
      </c>
      <c r="J1281" s="36" t="s">
        <v>4742</v>
      </c>
      <c r="K1281" s="8">
        <v>2.0</v>
      </c>
      <c r="L1281" s="7" t="s">
        <v>1935</v>
      </c>
      <c r="M1281" s="5" t="s">
        <v>22</v>
      </c>
      <c r="N1281" s="5" t="s">
        <v>5230</v>
      </c>
      <c r="O1281" s="5"/>
      <c r="P1281" s="5"/>
      <c r="Q1281" s="5"/>
      <c r="R1281" s="5"/>
      <c r="S1281" s="5"/>
      <c r="T1281" s="5"/>
      <c r="U1281" s="5"/>
      <c r="V1281" s="5"/>
      <c r="W1281" s="5"/>
      <c r="X1281" s="5"/>
      <c r="Y1281" s="5"/>
      <c r="Z1281" s="5"/>
    </row>
    <row r="1282">
      <c r="A1282" s="6" t="s">
        <v>5231</v>
      </c>
      <c r="B1282" s="5" t="s">
        <v>1128</v>
      </c>
      <c r="C1282" s="7" t="s">
        <v>5232</v>
      </c>
      <c r="D1282" s="7" t="s">
        <v>1748</v>
      </c>
      <c r="E1282" s="8">
        <v>2.0</v>
      </c>
      <c r="F1282" s="7" t="s">
        <v>105</v>
      </c>
      <c r="G1282" s="5" t="s">
        <v>19</v>
      </c>
      <c r="H1282" s="7" t="s">
        <v>16</v>
      </c>
      <c r="I1282" s="7" t="s">
        <v>5233</v>
      </c>
      <c r="J1282" s="36" t="s">
        <v>1261</v>
      </c>
      <c r="K1282" s="8">
        <v>1.0</v>
      </c>
      <c r="L1282" s="7" t="s">
        <v>1935</v>
      </c>
      <c r="M1282" s="5" t="s">
        <v>36</v>
      </c>
      <c r="N1282" s="5" t="s">
        <v>5234</v>
      </c>
      <c r="O1282" s="5"/>
      <c r="P1282" s="5"/>
      <c r="Q1282" s="5"/>
      <c r="R1282" s="5"/>
      <c r="S1282" s="5"/>
      <c r="T1282" s="5"/>
      <c r="U1282" s="5"/>
      <c r="V1282" s="5"/>
      <c r="W1282" s="5"/>
      <c r="X1282" s="5"/>
      <c r="Y1282" s="5"/>
      <c r="Z1282" s="5"/>
    </row>
    <row r="1283">
      <c r="A1283" s="6" t="s">
        <v>5235</v>
      </c>
      <c r="B1283" s="5" t="s">
        <v>1128</v>
      </c>
      <c r="C1283" s="7" t="s">
        <v>4719</v>
      </c>
      <c r="D1283" s="7" t="s">
        <v>1213</v>
      </c>
      <c r="E1283" s="8">
        <v>3.0</v>
      </c>
      <c r="F1283" s="7" t="s">
        <v>105</v>
      </c>
      <c r="G1283" s="5" t="s">
        <v>19</v>
      </c>
      <c r="H1283" s="7" t="s">
        <v>16</v>
      </c>
      <c r="I1283" s="7" t="s">
        <v>1367</v>
      </c>
      <c r="J1283" s="36" t="s">
        <v>1132</v>
      </c>
      <c r="K1283" s="8">
        <v>2.0</v>
      </c>
      <c r="L1283" s="7" t="s">
        <v>288</v>
      </c>
      <c r="M1283" s="5" t="s">
        <v>22</v>
      </c>
      <c r="N1283" s="5" t="s">
        <v>5236</v>
      </c>
      <c r="O1283" s="5"/>
      <c r="P1283" s="5"/>
      <c r="Q1283" s="5"/>
      <c r="R1283" s="5"/>
      <c r="S1283" s="5"/>
      <c r="T1283" s="5"/>
      <c r="U1283" s="5"/>
      <c r="V1283" s="5"/>
      <c r="W1283" s="5"/>
      <c r="X1283" s="5"/>
      <c r="Y1283" s="5"/>
      <c r="Z1283" s="5"/>
    </row>
    <row r="1284">
      <c r="A1284" s="6" t="s">
        <v>5237</v>
      </c>
      <c r="B1284" s="5" t="s">
        <v>1128</v>
      </c>
      <c r="C1284" s="7" t="s">
        <v>1357</v>
      </c>
      <c r="D1284" s="7" t="s">
        <v>1213</v>
      </c>
      <c r="E1284" s="8">
        <v>1.0</v>
      </c>
      <c r="F1284" s="7" t="s">
        <v>172</v>
      </c>
      <c r="G1284" s="5" t="s">
        <v>19</v>
      </c>
      <c r="H1284" s="7" t="s">
        <v>16</v>
      </c>
      <c r="I1284" s="7" t="s">
        <v>5238</v>
      </c>
      <c r="J1284" s="7" t="s">
        <v>1266</v>
      </c>
      <c r="K1284" s="7" t="s">
        <v>16</v>
      </c>
      <c r="L1284" s="7" t="s">
        <v>288</v>
      </c>
      <c r="M1284" s="5" t="s">
        <v>22</v>
      </c>
      <c r="N1284" s="5" t="s">
        <v>5239</v>
      </c>
      <c r="O1284" s="5"/>
      <c r="P1284" s="5"/>
      <c r="Q1284" s="5"/>
      <c r="R1284" s="5"/>
      <c r="S1284" s="5"/>
      <c r="T1284" s="5"/>
      <c r="U1284" s="5"/>
      <c r="V1284" s="5"/>
      <c r="W1284" s="5"/>
      <c r="X1284" s="5"/>
      <c r="Y1284" s="5"/>
      <c r="Z1284" s="5"/>
    </row>
    <row r="1285">
      <c r="A1285" s="6" t="s">
        <v>5240</v>
      </c>
      <c r="B1285" s="5" t="s">
        <v>1128</v>
      </c>
      <c r="C1285" s="7" t="s">
        <v>5241</v>
      </c>
      <c r="D1285" s="7" t="s">
        <v>1213</v>
      </c>
      <c r="E1285" s="8">
        <v>2.0</v>
      </c>
      <c r="F1285" s="7" t="s">
        <v>17</v>
      </c>
      <c r="G1285" s="5" t="s">
        <v>461</v>
      </c>
      <c r="H1285" s="7" t="s">
        <v>16</v>
      </c>
      <c r="I1285" s="7" t="s">
        <v>5242</v>
      </c>
      <c r="J1285" s="7" t="s">
        <v>1266</v>
      </c>
      <c r="K1285" s="7" t="s">
        <v>16</v>
      </c>
      <c r="L1285" s="7" t="s">
        <v>288</v>
      </c>
      <c r="M1285" s="5" t="s">
        <v>22</v>
      </c>
      <c r="N1285" s="5" t="s">
        <v>5243</v>
      </c>
      <c r="O1285" s="5"/>
      <c r="P1285" s="5"/>
      <c r="Q1285" s="5"/>
      <c r="R1285" s="5"/>
      <c r="S1285" s="5"/>
      <c r="T1285" s="5"/>
      <c r="U1285" s="5"/>
      <c r="V1285" s="5"/>
      <c r="W1285" s="5"/>
      <c r="X1285" s="5"/>
      <c r="Y1285" s="5"/>
      <c r="Z1285" s="5"/>
    </row>
    <row r="1286">
      <c r="A1286" s="6" t="s">
        <v>5244</v>
      </c>
      <c r="B1286" s="5" t="s">
        <v>1128</v>
      </c>
      <c r="C1286" s="7" t="s">
        <v>1264</v>
      </c>
      <c r="D1286" s="7" t="s">
        <v>1213</v>
      </c>
      <c r="E1286" s="8">
        <v>3.0</v>
      </c>
      <c r="F1286" s="7" t="s">
        <v>17</v>
      </c>
      <c r="G1286" s="5" t="s">
        <v>461</v>
      </c>
      <c r="H1286" s="7" t="s">
        <v>16</v>
      </c>
      <c r="I1286" s="7" t="s">
        <v>5245</v>
      </c>
      <c r="J1286" s="36" t="s">
        <v>1132</v>
      </c>
      <c r="K1286" s="7" t="s">
        <v>16</v>
      </c>
      <c r="L1286" s="7" t="s">
        <v>288</v>
      </c>
      <c r="M1286" s="5" t="s">
        <v>22</v>
      </c>
      <c r="N1286" s="5" t="s">
        <v>5246</v>
      </c>
      <c r="O1286" s="5"/>
      <c r="P1286" s="5"/>
      <c r="Q1286" s="5"/>
      <c r="R1286" s="5"/>
      <c r="S1286" s="5"/>
      <c r="T1286" s="5"/>
      <c r="U1286" s="5"/>
      <c r="V1286" s="5"/>
      <c r="W1286" s="5"/>
      <c r="X1286" s="5"/>
      <c r="Y1286" s="5"/>
      <c r="Z1286" s="5"/>
    </row>
    <row r="1287">
      <c r="A1287" s="6" t="s">
        <v>5247</v>
      </c>
      <c r="B1287" s="5" t="s">
        <v>1128</v>
      </c>
      <c r="C1287" s="7" t="s">
        <v>5248</v>
      </c>
      <c r="D1287" s="7" t="s">
        <v>1213</v>
      </c>
      <c r="E1287" s="8">
        <v>3.0</v>
      </c>
      <c r="F1287" s="7" t="s">
        <v>17</v>
      </c>
      <c r="G1287" s="5" t="s">
        <v>461</v>
      </c>
      <c r="H1287" s="7" t="s">
        <v>16</v>
      </c>
      <c r="I1287" s="7" t="s">
        <v>5249</v>
      </c>
      <c r="J1287" s="36" t="s">
        <v>1137</v>
      </c>
      <c r="K1287" s="7" t="s">
        <v>16</v>
      </c>
      <c r="L1287" s="7" t="s">
        <v>288</v>
      </c>
      <c r="M1287" s="5" t="s">
        <v>22</v>
      </c>
      <c r="N1287" s="5" t="s">
        <v>5250</v>
      </c>
      <c r="O1287" s="5"/>
      <c r="P1287" s="5"/>
      <c r="Q1287" s="5"/>
      <c r="R1287" s="5"/>
      <c r="S1287" s="5"/>
      <c r="T1287" s="5"/>
      <c r="U1287" s="5"/>
      <c r="V1287" s="5"/>
      <c r="W1287" s="5"/>
      <c r="X1287" s="5"/>
      <c r="Y1287" s="5"/>
      <c r="Z1287" s="5"/>
    </row>
    <row r="1288">
      <c r="A1288" s="6" t="s">
        <v>5251</v>
      </c>
      <c r="B1288" s="5" t="s">
        <v>1128</v>
      </c>
      <c r="C1288" s="7" t="s">
        <v>5252</v>
      </c>
      <c r="D1288" s="7" t="s">
        <v>1213</v>
      </c>
      <c r="E1288" s="8">
        <v>6.0</v>
      </c>
      <c r="F1288" s="7" t="s">
        <v>17</v>
      </c>
      <c r="G1288" s="5" t="s">
        <v>326</v>
      </c>
      <c r="H1288" s="7" t="s">
        <v>16</v>
      </c>
      <c r="I1288" s="7" t="s">
        <v>5253</v>
      </c>
      <c r="J1288" s="36" t="s">
        <v>1146</v>
      </c>
      <c r="K1288" s="8">
        <v>2.0</v>
      </c>
      <c r="L1288" s="7" t="s">
        <v>1965</v>
      </c>
      <c r="M1288" s="5" t="s">
        <v>75</v>
      </c>
      <c r="N1288" s="5" t="s">
        <v>5254</v>
      </c>
      <c r="O1288" s="5"/>
      <c r="P1288" s="5"/>
      <c r="Q1288" s="5"/>
      <c r="R1288" s="5"/>
      <c r="S1288" s="5"/>
      <c r="T1288" s="5"/>
      <c r="U1288" s="5"/>
      <c r="V1288" s="5"/>
      <c r="W1288" s="5"/>
      <c r="X1288" s="5"/>
      <c r="Y1288" s="5"/>
      <c r="Z1288" s="5"/>
    </row>
    <row r="1289">
      <c r="A1289" s="6" t="s">
        <v>5255</v>
      </c>
      <c r="B1289" s="5" t="s">
        <v>1128</v>
      </c>
      <c r="C1289" s="7" t="s">
        <v>5256</v>
      </c>
      <c r="D1289" s="7" t="s">
        <v>1207</v>
      </c>
      <c r="E1289" s="8">
        <v>2.0</v>
      </c>
      <c r="F1289" s="7" t="s">
        <v>105</v>
      </c>
      <c r="G1289" s="5" t="s">
        <v>19</v>
      </c>
      <c r="H1289" s="7" t="s">
        <v>1353</v>
      </c>
      <c r="I1289" s="7" t="s">
        <v>5257</v>
      </c>
      <c r="J1289" s="36" t="s">
        <v>1132</v>
      </c>
      <c r="K1289" s="8">
        <v>2.0</v>
      </c>
      <c r="L1289" s="7" t="s">
        <v>288</v>
      </c>
      <c r="M1289" s="5" t="s">
        <v>22</v>
      </c>
      <c r="N1289" s="5" t="s">
        <v>5258</v>
      </c>
      <c r="O1289" s="5"/>
      <c r="P1289" s="5"/>
      <c r="Q1289" s="5"/>
      <c r="R1289" s="5"/>
      <c r="S1289" s="5"/>
      <c r="T1289" s="5"/>
      <c r="U1289" s="5"/>
      <c r="V1289" s="5"/>
      <c r="W1289" s="5"/>
      <c r="X1289" s="5"/>
      <c r="Y1289" s="5"/>
      <c r="Z1289" s="5"/>
    </row>
    <row r="1290">
      <c r="A1290" s="6" t="s">
        <v>5259</v>
      </c>
      <c r="B1290" s="5" t="s">
        <v>1128</v>
      </c>
      <c r="C1290" s="7" t="s">
        <v>5260</v>
      </c>
      <c r="D1290" s="7" t="s">
        <v>1207</v>
      </c>
      <c r="E1290" s="8">
        <v>3.0</v>
      </c>
      <c r="F1290" s="7" t="s">
        <v>105</v>
      </c>
      <c r="G1290" s="5" t="s">
        <v>19</v>
      </c>
      <c r="H1290" s="7" t="s">
        <v>1353</v>
      </c>
      <c r="I1290" s="7" t="s">
        <v>5261</v>
      </c>
      <c r="J1290" s="36" t="s">
        <v>1137</v>
      </c>
      <c r="K1290" s="8">
        <v>2.0</v>
      </c>
      <c r="L1290" s="7" t="s">
        <v>288</v>
      </c>
      <c r="M1290" s="5" t="s">
        <v>22</v>
      </c>
      <c r="N1290" s="5" t="s">
        <v>5262</v>
      </c>
      <c r="O1290" s="5"/>
      <c r="P1290" s="5"/>
      <c r="Q1290" s="5"/>
      <c r="R1290" s="5"/>
      <c r="S1290" s="5"/>
      <c r="T1290" s="5"/>
      <c r="U1290" s="5"/>
      <c r="V1290" s="5"/>
      <c r="W1290" s="5"/>
      <c r="X1290" s="5"/>
      <c r="Y1290" s="5"/>
      <c r="Z1290" s="5"/>
    </row>
    <row r="1291">
      <c r="A1291" s="6" t="s">
        <v>5263</v>
      </c>
      <c r="B1291" s="5" t="s">
        <v>1128</v>
      </c>
      <c r="C1291" s="7" t="s">
        <v>5264</v>
      </c>
      <c r="D1291" s="7" t="s">
        <v>1207</v>
      </c>
      <c r="E1291" s="8">
        <v>1.0</v>
      </c>
      <c r="F1291" s="7" t="s">
        <v>17</v>
      </c>
      <c r="G1291" s="5" t="s">
        <v>19</v>
      </c>
      <c r="H1291" s="7" t="s">
        <v>1353</v>
      </c>
      <c r="I1291" s="7" t="s">
        <v>5265</v>
      </c>
      <c r="J1291" s="7" t="s">
        <v>1266</v>
      </c>
      <c r="K1291" s="7" t="s">
        <v>16</v>
      </c>
      <c r="L1291" s="7" t="s">
        <v>288</v>
      </c>
      <c r="M1291" s="5" t="s">
        <v>22</v>
      </c>
      <c r="N1291" s="5" t="s">
        <v>5266</v>
      </c>
      <c r="O1291" s="5"/>
      <c r="P1291" s="5"/>
      <c r="Q1291" s="5"/>
      <c r="R1291" s="5"/>
      <c r="S1291" s="5"/>
      <c r="T1291" s="5"/>
      <c r="U1291" s="5"/>
      <c r="V1291" s="5"/>
      <c r="W1291" s="5"/>
      <c r="X1291" s="5"/>
      <c r="Y1291" s="5"/>
      <c r="Z1291" s="5"/>
    </row>
    <row r="1292">
      <c r="A1292" s="6" t="s">
        <v>5267</v>
      </c>
      <c r="B1292" s="5" t="s">
        <v>1128</v>
      </c>
      <c r="C1292" s="7" t="s">
        <v>5118</v>
      </c>
      <c r="D1292" s="7" t="s">
        <v>1207</v>
      </c>
      <c r="E1292" s="8">
        <v>6.0</v>
      </c>
      <c r="F1292" s="7" t="s">
        <v>105</v>
      </c>
      <c r="G1292" s="5" t="s">
        <v>326</v>
      </c>
      <c r="H1292" s="7" t="s">
        <v>1353</v>
      </c>
      <c r="I1292" s="7" t="s">
        <v>5268</v>
      </c>
      <c r="J1292" s="36" t="s">
        <v>1154</v>
      </c>
      <c r="K1292" s="8">
        <v>3.0</v>
      </c>
      <c r="L1292" s="7" t="s">
        <v>288</v>
      </c>
      <c r="M1292" s="5" t="s">
        <v>75</v>
      </c>
      <c r="N1292" s="5" t="s">
        <v>5269</v>
      </c>
      <c r="O1292" s="5"/>
      <c r="P1292" s="5"/>
      <c r="Q1292" s="5"/>
      <c r="R1292" s="5"/>
      <c r="S1292" s="5"/>
      <c r="T1292" s="5"/>
      <c r="U1292" s="5"/>
      <c r="V1292" s="5"/>
      <c r="W1292" s="5"/>
      <c r="X1292" s="5"/>
      <c r="Y1292" s="5"/>
      <c r="Z1292" s="5"/>
    </row>
    <row r="1293">
      <c r="A1293" s="6" t="s">
        <v>5270</v>
      </c>
      <c r="B1293" s="5" t="s">
        <v>1128</v>
      </c>
      <c r="C1293" s="7" t="s">
        <v>1453</v>
      </c>
      <c r="D1293" s="7" t="s">
        <v>1400</v>
      </c>
      <c r="E1293" s="8">
        <v>3.0</v>
      </c>
      <c r="F1293" s="7" t="s">
        <v>105</v>
      </c>
      <c r="G1293" s="5" t="s">
        <v>19</v>
      </c>
      <c r="H1293" s="7" t="s">
        <v>4955</v>
      </c>
      <c r="I1293" s="7" t="s">
        <v>5271</v>
      </c>
      <c r="J1293" s="36" t="s">
        <v>1137</v>
      </c>
      <c r="K1293" s="7" t="s">
        <v>4878</v>
      </c>
      <c r="L1293" s="7" t="s">
        <v>288</v>
      </c>
      <c r="M1293" s="5" t="s">
        <v>75</v>
      </c>
      <c r="N1293" s="5" t="s">
        <v>5272</v>
      </c>
      <c r="O1293" s="5"/>
      <c r="P1293" s="5"/>
      <c r="Q1293" s="5"/>
      <c r="R1293" s="5"/>
      <c r="S1293" s="5"/>
      <c r="T1293" s="5"/>
      <c r="U1293" s="5"/>
      <c r="V1293" s="5"/>
      <c r="W1293" s="5"/>
      <c r="X1293" s="5"/>
      <c r="Y1293" s="5"/>
      <c r="Z1293" s="5"/>
    </row>
    <row r="1294">
      <c r="A1294" s="6" t="s">
        <v>5273</v>
      </c>
      <c r="B1294" s="5" t="s">
        <v>1128</v>
      </c>
      <c r="C1294" s="7" t="s">
        <v>5274</v>
      </c>
      <c r="D1294" s="7" t="s">
        <v>1189</v>
      </c>
      <c r="E1294" s="8">
        <v>2.0</v>
      </c>
      <c r="F1294" s="7" t="s">
        <v>105</v>
      </c>
      <c r="G1294" s="5" t="s">
        <v>19</v>
      </c>
      <c r="H1294" s="7" t="s">
        <v>4955</v>
      </c>
      <c r="I1294" s="7" t="s">
        <v>5275</v>
      </c>
      <c r="J1294" s="36" t="s">
        <v>4742</v>
      </c>
      <c r="K1294" s="7" t="s">
        <v>4878</v>
      </c>
      <c r="L1294" s="7" t="s">
        <v>16</v>
      </c>
      <c r="M1294" s="5" t="s">
        <v>22</v>
      </c>
      <c r="N1294" s="5" t="s">
        <v>5276</v>
      </c>
      <c r="O1294" s="5"/>
      <c r="P1294" s="5"/>
      <c r="Q1294" s="5"/>
      <c r="R1294" s="5"/>
      <c r="S1294" s="5"/>
      <c r="T1294" s="5"/>
      <c r="U1294" s="5"/>
      <c r="V1294" s="5"/>
      <c r="W1294" s="5"/>
      <c r="X1294" s="5"/>
      <c r="Y1294" s="5"/>
      <c r="Z1294" s="5"/>
    </row>
    <row r="1295">
      <c r="A1295" s="6" t="s">
        <v>5277</v>
      </c>
      <c r="B1295" s="5" t="s">
        <v>1128</v>
      </c>
      <c r="C1295" s="7" t="s">
        <v>5278</v>
      </c>
      <c r="D1295" s="7" t="s">
        <v>1189</v>
      </c>
      <c r="E1295" s="8">
        <v>2.0</v>
      </c>
      <c r="F1295" s="7" t="s">
        <v>17</v>
      </c>
      <c r="G1295" s="5" t="s">
        <v>19</v>
      </c>
      <c r="H1295" s="7" t="s">
        <v>16</v>
      </c>
      <c r="I1295" s="7" t="s">
        <v>5279</v>
      </c>
      <c r="J1295" s="7" t="s">
        <v>1266</v>
      </c>
      <c r="K1295" s="7" t="s">
        <v>16</v>
      </c>
      <c r="L1295" s="7" t="s">
        <v>16</v>
      </c>
      <c r="M1295" s="5" t="s">
        <v>22</v>
      </c>
      <c r="N1295" s="5" t="s">
        <v>5280</v>
      </c>
      <c r="O1295" s="5"/>
      <c r="P1295" s="5"/>
      <c r="Q1295" s="5"/>
      <c r="R1295" s="5"/>
      <c r="S1295" s="5"/>
      <c r="T1295" s="5"/>
      <c r="U1295" s="5"/>
      <c r="V1295" s="5"/>
      <c r="W1295" s="5"/>
      <c r="X1295" s="5"/>
      <c r="Y1295" s="5"/>
      <c r="Z1295" s="5"/>
    </row>
    <row r="1296">
      <c r="A1296" s="6" t="s">
        <v>5281</v>
      </c>
      <c r="B1296" s="5" t="s">
        <v>1128</v>
      </c>
      <c r="C1296" s="7" t="s">
        <v>5282</v>
      </c>
      <c r="D1296" s="7" t="s">
        <v>1189</v>
      </c>
      <c r="E1296" s="8">
        <v>3.0</v>
      </c>
      <c r="F1296" s="7" t="s">
        <v>17</v>
      </c>
      <c r="G1296" s="5" t="s">
        <v>461</v>
      </c>
      <c r="H1296" s="7" t="s">
        <v>4955</v>
      </c>
      <c r="I1296" s="7" t="s">
        <v>5283</v>
      </c>
      <c r="J1296" s="36" t="s">
        <v>1137</v>
      </c>
      <c r="K1296" s="8">
        <v>2.0</v>
      </c>
      <c r="L1296" s="7" t="s">
        <v>16</v>
      </c>
      <c r="M1296" s="5" t="s">
        <v>75</v>
      </c>
      <c r="N1296" s="5" t="s">
        <v>5284</v>
      </c>
      <c r="O1296" s="5"/>
      <c r="P1296" s="5"/>
      <c r="Q1296" s="5"/>
      <c r="R1296" s="5"/>
      <c r="S1296" s="5"/>
      <c r="T1296" s="5"/>
      <c r="U1296" s="5"/>
      <c r="V1296" s="5"/>
      <c r="W1296" s="5"/>
      <c r="X1296" s="5"/>
      <c r="Y1296" s="5"/>
      <c r="Z1296" s="5"/>
    </row>
    <row r="1297">
      <c r="A1297" s="6" t="s">
        <v>5285</v>
      </c>
      <c r="B1297" s="5" t="s">
        <v>1128</v>
      </c>
      <c r="C1297" s="7" t="s">
        <v>5286</v>
      </c>
      <c r="D1297" s="7" t="s">
        <v>1905</v>
      </c>
      <c r="E1297" s="8">
        <v>1.0</v>
      </c>
      <c r="F1297" s="7" t="s">
        <v>17</v>
      </c>
      <c r="G1297" s="5" t="s">
        <v>19</v>
      </c>
      <c r="H1297" s="7" t="s">
        <v>16</v>
      </c>
      <c r="I1297" s="7" t="s">
        <v>5287</v>
      </c>
      <c r="J1297" s="36" t="s">
        <v>1261</v>
      </c>
      <c r="K1297" s="7" t="s">
        <v>16</v>
      </c>
      <c r="L1297" s="7" t="s">
        <v>288</v>
      </c>
      <c r="M1297" s="5" t="s">
        <v>36</v>
      </c>
      <c r="N1297" s="5" t="s">
        <v>5288</v>
      </c>
      <c r="O1297" s="5"/>
      <c r="P1297" s="5"/>
      <c r="Q1297" s="5"/>
      <c r="R1297" s="5"/>
      <c r="S1297" s="5"/>
      <c r="T1297" s="5"/>
      <c r="U1297" s="5"/>
      <c r="V1297" s="5"/>
      <c r="W1297" s="5"/>
      <c r="X1297" s="5"/>
      <c r="Y1297" s="5"/>
      <c r="Z1297" s="5"/>
    </row>
    <row r="1298">
      <c r="A1298" s="6" t="s">
        <v>5289</v>
      </c>
      <c r="B1298" s="5" t="s">
        <v>1128</v>
      </c>
      <c r="C1298" s="7" t="s">
        <v>5290</v>
      </c>
      <c r="D1298" s="7" t="s">
        <v>1905</v>
      </c>
      <c r="E1298" s="8">
        <v>1.0</v>
      </c>
      <c r="F1298" s="7" t="s">
        <v>105</v>
      </c>
      <c r="G1298" s="5" t="s">
        <v>19</v>
      </c>
      <c r="H1298" s="7" t="s">
        <v>16</v>
      </c>
      <c r="I1298" s="7" t="s">
        <v>1131</v>
      </c>
      <c r="J1298" s="36" t="s">
        <v>1261</v>
      </c>
      <c r="K1298" s="8">
        <v>2.0</v>
      </c>
      <c r="L1298" s="7" t="s">
        <v>288</v>
      </c>
      <c r="M1298" s="5" t="s">
        <v>75</v>
      </c>
      <c r="N1298" s="5" t="s">
        <v>5291</v>
      </c>
      <c r="O1298" s="5"/>
      <c r="P1298" s="5"/>
      <c r="Q1298" s="5"/>
      <c r="R1298" s="5"/>
      <c r="S1298" s="5"/>
      <c r="T1298" s="5"/>
      <c r="U1298" s="5"/>
      <c r="V1298" s="5"/>
      <c r="W1298" s="5"/>
      <c r="X1298" s="5"/>
      <c r="Y1298" s="5"/>
      <c r="Z1298" s="5"/>
    </row>
    <row r="1299">
      <c r="A1299" s="6" t="s">
        <v>5292</v>
      </c>
      <c r="B1299" s="5" t="s">
        <v>1128</v>
      </c>
      <c r="C1299" s="7" t="s">
        <v>5293</v>
      </c>
      <c r="D1299" s="7" t="s">
        <v>1905</v>
      </c>
      <c r="E1299" s="8">
        <v>4.0</v>
      </c>
      <c r="F1299" s="7" t="s">
        <v>17</v>
      </c>
      <c r="G1299" s="5" t="s">
        <v>461</v>
      </c>
      <c r="H1299" s="7" t="s">
        <v>16</v>
      </c>
      <c r="I1299" s="7" t="s">
        <v>5294</v>
      </c>
      <c r="J1299" s="36" t="s">
        <v>1137</v>
      </c>
      <c r="K1299" s="7" t="s">
        <v>16</v>
      </c>
      <c r="L1299" s="7" t="s">
        <v>1965</v>
      </c>
      <c r="M1299" s="5" t="s">
        <v>88</v>
      </c>
      <c r="N1299" s="5" t="s">
        <v>5295</v>
      </c>
      <c r="O1299" s="5"/>
      <c r="P1299" s="5"/>
      <c r="Q1299" s="5"/>
      <c r="R1299" s="5"/>
      <c r="S1299" s="5"/>
      <c r="T1299" s="5"/>
      <c r="U1299" s="5"/>
      <c r="V1299" s="5"/>
      <c r="W1299" s="5"/>
      <c r="X1299" s="5"/>
      <c r="Y1299" s="5"/>
      <c r="Z1299" s="5"/>
    </row>
    <row r="1300">
      <c r="A1300" s="6" t="s">
        <v>5296</v>
      </c>
      <c r="B1300" s="5" t="s">
        <v>1128</v>
      </c>
      <c r="C1300" s="7" t="s">
        <v>1244</v>
      </c>
      <c r="D1300" s="7" t="s">
        <v>406</v>
      </c>
      <c r="E1300" s="8">
        <v>1.0</v>
      </c>
      <c r="F1300" s="7" t="s">
        <v>172</v>
      </c>
      <c r="G1300" s="5" t="s">
        <v>19</v>
      </c>
      <c r="H1300" s="7" t="s">
        <v>16</v>
      </c>
      <c r="I1300" s="7" t="s">
        <v>5297</v>
      </c>
      <c r="J1300" s="36" t="s">
        <v>1137</v>
      </c>
      <c r="K1300" s="7" t="s">
        <v>16</v>
      </c>
      <c r="L1300" s="7" t="s">
        <v>16</v>
      </c>
      <c r="M1300" s="5" t="s">
        <v>75</v>
      </c>
      <c r="N1300" s="5" t="s">
        <v>5298</v>
      </c>
      <c r="O1300" s="5"/>
      <c r="P1300" s="5"/>
      <c r="Q1300" s="5"/>
      <c r="R1300" s="5"/>
      <c r="S1300" s="5"/>
      <c r="T1300" s="5"/>
      <c r="U1300" s="5"/>
      <c r="V1300" s="5"/>
      <c r="W1300" s="5"/>
      <c r="X1300" s="5"/>
      <c r="Y1300" s="5"/>
      <c r="Z1300" s="5"/>
    </row>
    <row r="1301">
      <c r="A1301" s="6" t="s">
        <v>5299</v>
      </c>
      <c r="B1301" s="5" t="s">
        <v>1128</v>
      </c>
      <c r="C1301" s="7" t="s">
        <v>4876</v>
      </c>
      <c r="D1301" s="7" t="s">
        <v>411</v>
      </c>
      <c r="E1301" s="8">
        <v>2.0</v>
      </c>
      <c r="F1301" s="7" t="s">
        <v>172</v>
      </c>
      <c r="G1301" s="5" t="s">
        <v>461</v>
      </c>
      <c r="H1301" s="7" t="s">
        <v>16</v>
      </c>
      <c r="I1301" s="7" t="s">
        <v>5300</v>
      </c>
      <c r="J1301" s="7" t="s">
        <v>1266</v>
      </c>
      <c r="K1301" s="7" t="s">
        <v>16</v>
      </c>
      <c r="L1301" s="7" t="s">
        <v>16</v>
      </c>
      <c r="M1301" s="5" t="s">
        <v>75</v>
      </c>
      <c r="N1301" s="5" t="s">
        <v>5301</v>
      </c>
      <c r="O1301" s="5"/>
      <c r="P1301" s="5"/>
      <c r="Q1301" s="5"/>
      <c r="R1301" s="5"/>
      <c r="S1301" s="5"/>
      <c r="T1301" s="5"/>
      <c r="U1301" s="5"/>
      <c r="V1301" s="5"/>
      <c r="W1301" s="5"/>
      <c r="X1301" s="5"/>
      <c r="Y1301" s="5"/>
      <c r="Z1301" s="5"/>
    </row>
    <row r="1302">
      <c r="A1302" s="6" t="s">
        <v>5302</v>
      </c>
      <c r="B1302" s="5" t="s">
        <v>1128</v>
      </c>
      <c r="C1302" s="7" t="s">
        <v>5303</v>
      </c>
      <c r="D1302" s="7" t="s">
        <v>1092</v>
      </c>
      <c r="E1302" s="8">
        <v>1.0</v>
      </c>
      <c r="F1302" s="7" t="s">
        <v>172</v>
      </c>
      <c r="G1302" s="5" t="s">
        <v>19</v>
      </c>
      <c r="H1302" s="7" t="s">
        <v>1145</v>
      </c>
      <c r="I1302" s="7" t="s">
        <v>1153</v>
      </c>
      <c r="J1302" s="36" t="s">
        <v>1146</v>
      </c>
      <c r="K1302" s="7" t="s">
        <v>16</v>
      </c>
      <c r="L1302" s="7" t="s">
        <v>16</v>
      </c>
      <c r="M1302" s="5" t="s">
        <v>22</v>
      </c>
      <c r="N1302" s="5" t="s">
        <v>5304</v>
      </c>
      <c r="O1302" s="5"/>
      <c r="P1302" s="5"/>
      <c r="Q1302" s="5"/>
      <c r="R1302" s="5"/>
      <c r="S1302" s="5"/>
      <c r="T1302" s="5"/>
      <c r="U1302" s="5"/>
      <c r="V1302" s="5"/>
      <c r="W1302" s="5"/>
      <c r="X1302" s="5"/>
      <c r="Y1302" s="5"/>
      <c r="Z1302" s="5"/>
    </row>
    <row r="1303">
      <c r="A1303" s="6" t="s">
        <v>5305</v>
      </c>
      <c r="B1303" s="5" t="s">
        <v>1128</v>
      </c>
      <c r="C1303" s="7" t="s">
        <v>5306</v>
      </c>
      <c r="D1303" s="7" t="s">
        <v>1092</v>
      </c>
      <c r="E1303" s="8">
        <v>2.0</v>
      </c>
      <c r="F1303" s="7" t="s">
        <v>105</v>
      </c>
      <c r="G1303" s="5" t="s">
        <v>461</v>
      </c>
      <c r="H1303" s="7" t="s">
        <v>1145</v>
      </c>
      <c r="I1303" s="7" t="s">
        <v>5307</v>
      </c>
      <c r="J1303" s="36" t="s">
        <v>1146</v>
      </c>
      <c r="K1303" s="8">
        <v>1.0</v>
      </c>
      <c r="L1303" s="7" t="s">
        <v>16</v>
      </c>
      <c r="M1303" s="5" t="s">
        <v>36</v>
      </c>
      <c r="N1303" s="5" t="s">
        <v>5308</v>
      </c>
      <c r="O1303" s="5"/>
      <c r="P1303" s="5"/>
      <c r="Q1303" s="5"/>
      <c r="R1303" s="5"/>
      <c r="S1303" s="5"/>
      <c r="T1303" s="5"/>
      <c r="U1303" s="5"/>
      <c r="V1303" s="5"/>
      <c r="W1303" s="5"/>
      <c r="X1303" s="5"/>
      <c r="Y1303" s="5"/>
      <c r="Z1303" s="5"/>
    </row>
    <row r="1304">
      <c r="A1304" s="6" t="s">
        <v>5309</v>
      </c>
      <c r="B1304" s="5" t="s">
        <v>1128</v>
      </c>
      <c r="C1304" s="7" t="s">
        <v>4950</v>
      </c>
      <c r="D1304" s="7" t="s">
        <v>1092</v>
      </c>
      <c r="E1304" s="8">
        <v>3.0</v>
      </c>
      <c r="F1304" s="7" t="s">
        <v>105</v>
      </c>
      <c r="G1304" s="5" t="s">
        <v>19</v>
      </c>
      <c r="H1304" s="7" t="s">
        <v>1145</v>
      </c>
      <c r="I1304" s="7" t="s">
        <v>4951</v>
      </c>
      <c r="J1304" s="36" t="s">
        <v>1132</v>
      </c>
      <c r="K1304" s="8">
        <v>2.0</v>
      </c>
      <c r="L1304" s="7" t="s">
        <v>16</v>
      </c>
      <c r="M1304" s="5" t="s">
        <v>22</v>
      </c>
      <c r="N1304" s="5" t="s">
        <v>5310</v>
      </c>
      <c r="O1304" s="5"/>
      <c r="P1304" s="5"/>
      <c r="Q1304" s="5"/>
      <c r="R1304" s="5"/>
      <c r="S1304" s="5"/>
      <c r="T1304" s="5"/>
      <c r="U1304" s="5"/>
      <c r="V1304" s="5"/>
      <c r="W1304" s="5"/>
      <c r="X1304" s="5"/>
      <c r="Y1304" s="5"/>
      <c r="Z1304" s="5"/>
    </row>
    <row r="1305">
      <c r="A1305" s="6" t="s">
        <v>5311</v>
      </c>
      <c r="B1305" s="5" t="s">
        <v>1128</v>
      </c>
      <c r="C1305" s="7" t="s">
        <v>5312</v>
      </c>
      <c r="D1305" s="7" t="s">
        <v>1092</v>
      </c>
      <c r="E1305" s="8">
        <v>1.0</v>
      </c>
      <c r="F1305" s="7" t="s">
        <v>17</v>
      </c>
      <c r="G1305" s="5" t="s">
        <v>19</v>
      </c>
      <c r="H1305" s="7" t="s">
        <v>1145</v>
      </c>
      <c r="I1305" s="7" t="s">
        <v>5313</v>
      </c>
      <c r="J1305" s="36" t="s">
        <v>1261</v>
      </c>
      <c r="K1305" s="8">
        <v>2.0</v>
      </c>
      <c r="L1305" s="7" t="s">
        <v>16</v>
      </c>
      <c r="M1305" s="5" t="s">
        <v>22</v>
      </c>
      <c r="N1305" s="5" t="s">
        <v>5314</v>
      </c>
      <c r="O1305" s="5"/>
      <c r="P1305" s="5"/>
      <c r="Q1305" s="5"/>
      <c r="R1305" s="5"/>
      <c r="S1305" s="5"/>
      <c r="T1305" s="5"/>
      <c r="U1305" s="5"/>
      <c r="V1305" s="5"/>
      <c r="W1305" s="5"/>
      <c r="X1305" s="5"/>
      <c r="Y1305" s="5"/>
      <c r="Z1305" s="5"/>
    </row>
    <row r="1306">
      <c r="A1306" s="6" t="s">
        <v>5315</v>
      </c>
      <c r="B1306" s="5" t="s">
        <v>1128</v>
      </c>
      <c r="C1306" s="7" t="s">
        <v>5316</v>
      </c>
      <c r="D1306" s="7" t="s">
        <v>1624</v>
      </c>
      <c r="E1306" s="8">
        <v>1.0</v>
      </c>
      <c r="F1306" s="7" t="s">
        <v>172</v>
      </c>
      <c r="G1306" s="5" t="s">
        <v>19</v>
      </c>
      <c r="H1306" s="7" t="s">
        <v>16</v>
      </c>
      <c r="I1306" s="7" t="s">
        <v>1153</v>
      </c>
      <c r="J1306" s="36" t="s">
        <v>1146</v>
      </c>
      <c r="K1306" s="7" t="s">
        <v>16</v>
      </c>
      <c r="L1306" s="7" t="s">
        <v>16</v>
      </c>
      <c r="M1306" s="5" t="s">
        <v>22</v>
      </c>
      <c r="N1306" s="5" t="s">
        <v>5317</v>
      </c>
      <c r="O1306" s="5"/>
      <c r="P1306" s="5"/>
      <c r="Q1306" s="5"/>
      <c r="R1306" s="5"/>
      <c r="S1306" s="5"/>
      <c r="T1306" s="5"/>
      <c r="U1306" s="5"/>
      <c r="V1306" s="5"/>
      <c r="W1306" s="5"/>
      <c r="X1306" s="5"/>
      <c r="Y1306" s="5"/>
      <c r="Z1306" s="5"/>
    </row>
    <row r="1307">
      <c r="A1307" s="6" t="s">
        <v>5318</v>
      </c>
      <c r="B1307" s="5" t="s">
        <v>1128</v>
      </c>
      <c r="C1307" s="7" t="s">
        <v>5319</v>
      </c>
      <c r="D1307" s="7" t="s">
        <v>1624</v>
      </c>
      <c r="E1307" s="8">
        <v>6.0</v>
      </c>
      <c r="F1307" s="7" t="s">
        <v>17</v>
      </c>
      <c r="G1307" s="5" t="s">
        <v>326</v>
      </c>
      <c r="H1307" s="7" t="s">
        <v>16</v>
      </c>
      <c r="I1307" s="7" t="s">
        <v>5320</v>
      </c>
      <c r="J1307" s="36" t="s">
        <v>1154</v>
      </c>
      <c r="K1307" s="8">
        <v>3.0</v>
      </c>
      <c r="L1307" s="7" t="s">
        <v>16</v>
      </c>
      <c r="M1307" s="5" t="s">
        <v>36</v>
      </c>
      <c r="N1307" s="5" t="s">
        <v>5321</v>
      </c>
      <c r="O1307" s="5"/>
      <c r="P1307" s="5"/>
      <c r="Q1307" s="5"/>
      <c r="R1307" s="5"/>
      <c r="S1307" s="5"/>
      <c r="T1307" s="5"/>
      <c r="U1307" s="5"/>
      <c r="V1307" s="5"/>
      <c r="W1307" s="5"/>
      <c r="X1307" s="5"/>
      <c r="Y1307" s="5"/>
      <c r="Z1307" s="5"/>
    </row>
    <row r="1308">
      <c r="A1308" s="6" t="s">
        <v>5322</v>
      </c>
      <c r="B1308" s="5" t="s">
        <v>1128</v>
      </c>
      <c r="C1308" s="7" t="s">
        <v>5252</v>
      </c>
      <c r="D1308" s="7" t="s">
        <v>1213</v>
      </c>
      <c r="E1308" s="8">
        <v>6.0</v>
      </c>
      <c r="F1308" s="7" t="s">
        <v>105</v>
      </c>
      <c r="G1308" s="5" t="s">
        <v>326</v>
      </c>
      <c r="H1308" s="7" t="s">
        <v>16</v>
      </c>
      <c r="I1308" s="7" t="s">
        <v>5323</v>
      </c>
      <c r="J1308" s="36" t="s">
        <v>1154</v>
      </c>
      <c r="K1308" s="8">
        <v>2.0</v>
      </c>
      <c r="L1308" s="7" t="s">
        <v>16</v>
      </c>
      <c r="M1308" s="5" t="s">
        <v>75</v>
      </c>
      <c r="N1308" s="5" t="s">
        <v>5324</v>
      </c>
      <c r="O1308" s="5"/>
      <c r="P1308" s="5"/>
      <c r="Q1308" s="5"/>
      <c r="R1308" s="5"/>
      <c r="S1308" s="5"/>
      <c r="T1308" s="5"/>
      <c r="U1308" s="5"/>
      <c r="V1308" s="5"/>
      <c r="W1308" s="5"/>
      <c r="X1308" s="5"/>
      <c r="Y1308" s="5"/>
      <c r="Z1308" s="5"/>
    </row>
    <row r="1309">
      <c r="A1309" s="6" t="s">
        <v>5325</v>
      </c>
      <c r="B1309" s="5" t="s">
        <v>1128</v>
      </c>
      <c r="C1309" s="7" t="s">
        <v>5326</v>
      </c>
      <c r="D1309" s="7" t="s">
        <v>1213</v>
      </c>
      <c r="E1309" s="8">
        <v>5.0</v>
      </c>
      <c r="F1309" s="7" t="s">
        <v>105</v>
      </c>
      <c r="G1309" s="5" t="s">
        <v>326</v>
      </c>
      <c r="H1309" s="7" t="s">
        <v>16</v>
      </c>
      <c r="I1309" s="7" t="s">
        <v>5327</v>
      </c>
      <c r="J1309" s="36" t="s">
        <v>1154</v>
      </c>
      <c r="K1309" s="7" t="s">
        <v>16</v>
      </c>
      <c r="L1309" s="7" t="s">
        <v>16</v>
      </c>
      <c r="M1309" s="5" t="s">
        <v>88</v>
      </c>
      <c r="N1309" s="5" t="s">
        <v>5328</v>
      </c>
      <c r="O1309" s="5"/>
      <c r="P1309" s="5"/>
      <c r="Q1309" s="5"/>
      <c r="R1309" s="5"/>
      <c r="S1309" s="5"/>
      <c r="T1309" s="5"/>
      <c r="U1309" s="5"/>
      <c r="V1309" s="5"/>
      <c r="W1309" s="5"/>
      <c r="X1309" s="5"/>
      <c r="Y1309" s="5"/>
      <c r="Z1309" s="5"/>
    </row>
    <row r="1310">
      <c r="A1310" s="6" t="s">
        <v>5329</v>
      </c>
      <c r="B1310" s="5" t="s">
        <v>1128</v>
      </c>
      <c r="C1310" s="7" t="s">
        <v>5162</v>
      </c>
      <c r="D1310" s="7" t="s">
        <v>5330</v>
      </c>
      <c r="E1310" s="8">
        <v>2.0</v>
      </c>
      <c r="F1310" s="7" t="s">
        <v>17</v>
      </c>
      <c r="G1310" s="5" t="s">
        <v>19</v>
      </c>
      <c r="H1310" s="7" t="s">
        <v>16</v>
      </c>
      <c r="I1310" s="7" t="s">
        <v>5331</v>
      </c>
      <c r="J1310" s="36" t="s">
        <v>1132</v>
      </c>
      <c r="K1310" s="8">
        <v>1.0</v>
      </c>
      <c r="L1310" s="7" t="s">
        <v>16</v>
      </c>
      <c r="M1310" s="5" t="s">
        <v>22</v>
      </c>
      <c r="N1310" s="5" t="s">
        <v>5332</v>
      </c>
      <c r="O1310" s="5"/>
      <c r="P1310" s="5"/>
      <c r="Q1310" s="5"/>
      <c r="R1310" s="5"/>
      <c r="S1310" s="5"/>
      <c r="T1310" s="5"/>
      <c r="U1310" s="5"/>
      <c r="V1310" s="5"/>
      <c r="W1310" s="5"/>
      <c r="X1310" s="5"/>
      <c r="Y1310" s="5"/>
      <c r="Z1310" s="5"/>
    </row>
    <row r="1311">
      <c r="A1311" s="6" t="s">
        <v>5333</v>
      </c>
      <c r="B1311" s="5" t="s">
        <v>1128</v>
      </c>
      <c r="C1311" s="7" t="s">
        <v>5334</v>
      </c>
      <c r="D1311" s="7" t="s">
        <v>5330</v>
      </c>
      <c r="E1311" s="8">
        <v>6.0</v>
      </c>
      <c r="F1311" s="7" t="s">
        <v>105</v>
      </c>
      <c r="G1311" s="5" t="s">
        <v>326</v>
      </c>
      <c r="H1311" s="7" t="s">
        <v>16</v>
      </c>
      <c r="I1311" s="44" t="s">
        <v>5335</v>
      </c>
      <c r="J1311" s="36" t="s">
        <v>1154</v>
      </c>
      <c r="K1311" s="8">
        <v>4.0</v>
      </c>
      <c r="L1311" s="7" t="s">
        <v>16</v>
      </c>
      <c r="M1311" s="5" t="s">
        <v>75</v>
      </c>
      <c r="N1311" s="5" t="s">
        <v>5336</v>
      </c>
      <c r="O1311" s="5"/>
      <c r="P1311" s="5"/>
      <c r="Q1311" s="5"/>
      <c r="R1311" s="5"/>
      <c r="S1311" s="5"/>
      <c r="T1311" s="5"/>
      <c r="U1311" s="5"/>
      <c r="V1311" s="5"/>
      <c r="W1311" s="5"/>
      <c r="X1311" s="5"/>
      <c r="Y1311" s="5"/>
      <c r="Z1311" s="5"/>
    </row>
    <row r="1312">
      <c r="A1312" s="6" t="s">
        <v>5337</v>
      </c>
      <c r="B1312" s="5" t="s">
        <v>1128</v>
      </c>
      <c r="C1312" s="7" t="s">
        <v>1318</v>
      </c>
      <c r="D1312" s="7" t="s">
        <v>1317</v>
      </c>
      <c r="E1312" s="8">
        <v>1.0</v>
      </c>
      <c r="F1312" s="7" t="s">
        <v>17</v>
      </c>
      <c r="G1312" s="5" t="s">
        <v>19</v>
      </c>
      <c r="H1312" s="7" t="s">
        <v>16</v>
      </c>
      <c r="I1312" s="7" t="s">
        <v>1131</v>
      </c>
      <c r="J1312" s="36" t="s">
        <v>1261</v>
      </c>
      <c r="K1312" s="8">
        <v>2.0</v>
      </c>
      <c r="L1312" s="7" t="s">
        <v>16</v>
      </c>
      <c r="M1312" s="5" t="s">
        <v>22</v>
      </c>
      <c r="N1312" s="5" t="s">
        <v>5338</v>
      </c>
      <c r="O1312" s="5"/>
      <c r="P1312" s="5"/>
      <c r="Q1312" s="5"/>
      <c r="R1312" s="5"/>
      <c r="S1312" s="5"/>
      <c r="T1312" s="5"/>
      <c r="U1312" s="5"/>
      <c r="V1312" s="5"/>
      <c r="W1312" s="5"/>
      <c r="X1312" s="5"/>
      <c r="Y1312" s="5"/>
      <c r="Z1312" s="5"/>
    </row>
    <row r="1313">
      <c r="A1313" s="6" t="s">
        <v>5339</v>
      </c>
      <c r="B1313" s="5" t="s">
        <v>1128</v>
      </c>
      <c r="C1313" s="7" t="s">
        <v>4832</v>
      </c>
      <c r="D1313" s="7" t="s">
        <v>1317</v>
      </c>
      <c r="E1313" s="8">
        <v>6.0</v>
      </c>
      <c r="F1313" s="7" t="s">
        <v>105</v>
      </c>
      <c r="G1313" s="5" t="s">
        <v>326</v>
      </c>
      <c r="H1313" s="7" t="s">
        <v>16</v>
      </c>
      <c r="I1313" s="7" t="s">
        <v>1131</v>
      </c>
      <c r="J1313" s="36" t="s">
        <v>1154</v>
      </c>
      <c r="K1313" s="8">
        <v>4.0</v>
      </c>
      <c r="L1313" s="7" t="s">
        <v>16</v>
      </c>
      <c r="M1313" s="5" t="s">
        <v>75</v>
      </c>
      <c r="N1313" s="5" t="s">
        <v>5340</v>
      </c>
      <c r="O1313" s="5"/>
      <c r="P1313" s="5"/>
      <c r="Q1313" s="5"/>
      <c r="R1313" s="5"/>
      <c r="S1313" s="5"/>
      <c r="T1313" s="5"/>
      <c r="U1313" s="5"/>
      <c r="V1313" s="5"/>
      <c r="W1313" s="5"/>
      <c r="X1313" s="5"/>
      <c r="Y1313" s="5"/>
      <c r="Z1313" s="5"/>
    </row>
    <row r="1314">
      <c r="A1314" s="6" t="s">
        <v>5341</v>
      </c>
      <c r="B1314" s="5" t="s">
        <v>1128</v>
      </c>
      <c r="C1314" s="7" t="s">
        <v>1323</v>
      </c>
      <c r="D1314" s="7" t="s">
        <v>1322</v>
      </c>
      <c r="E1314" s="8">
        <v>1.0</v>
      </c>
      <c r="F1314" s="7" t="s">
        <v>105</v>
      </c>
      <c r="G1314" s="5" t="s">
        <v>19</v>
      </c>
      <c r="H1314" s="7" t="s">
        <v>1363</v>
      </c>
      <c r="I1314" s="7" t="s">
        <v>4956</v>
      </c>
      <c r="J1314" s="36" t="s">
        <v>1132</v>
      </c>
      <c r="K1314" s="8">
        <v>1.0</v>
      </c>
      <c r="L1314" s="7" t="s">
        <v>16</v>
      </c>
      <c r="M1314" s="5" t="s">
        <v>22</v>
      </c>
      <c r="N1314" s="5" t="s">
        <v>5342</v>
      </c>
      <c r="O1314" s="5"/>
      <c r="P1314" s="5"/>
      <c r="Q1314" s="5"/>
      <c r="R1314" s="5"/>
      <c r="S1314" s="5"/>
      <c r="T1314" s="5"/>
      <c r="U1314" s="5"/>
      <c r="V1314" s="5"/>
      <c r="W1314" s="5"/>
      <c r="X1314" s="5"/>
      <c r="Y1314" s="5"/>
      <c r="Z1314" s="5"/>
    </row>
    <row r="1315">
      <c r="A1315" s="6" t="s">
        <v>5343</v>
      </c>
      <c r="B1315" s="5" t="s">
        <v>1128</v>
      </c>
      <c r="C1315" s="7" t="s">
        <v>5344</v>
      </c>
      <c r="D1315" s="7" t="s">
        <v>1322</v>
      </c>
      <c r="E1315" s="8">
        <v>5.0</v>
      </c>
      <c r="F1315" s="7" t="s">
        <v>105</v>
      </c>
      <c r="G1315" s="5" t="s">
        <v>461</v>
      </c>
      <c r="H1315" s="7" t="s">
        <v>1363</v>
      </c>
      <c r="I1315" s="7" t="s">
        <v>5345</v>
      </c>
      <c r="J1315" s="36" t="s">
        <v>1146</v>
      </c>
      <c r="K1315" s="8">
        <v>3.0</v>
      </c>
      <c r="L1315" s="7" t="s">
        <v>16</v>
      </c>
      <c r="M1315" s="5" t="s">
        <v>75</v>
      </c>
      <c r="N1315" s="5" t="s">
        <v>5346</v>
      </c>
      <c r="O1315" s="5"/>
      <c r="P1315" s="5"/>
      <c r="Q1315" s="5"/>
      <c r="R1315" s="5"/>
      <c r="S1315" s="5"/>
      <c r="T1315" s="5"/>
      <c r="U1315" s="5"/>
      <c r="V1315" s="5"/>
      <c r="W1315" s="5"/>
      <c r="X1315" s="5"/>
      <c r="Y1315" s="5"/>
      <c r="Z1315" s="5"/>
    </row>
    <row r="1316">
      <c r="A1316" s="6" t="s">
        <v>5347</v>
      </c>
      <c r="B1316" s="5" t="s">
        <v>1128</v>
      </c>
      <c r="C1316" s="7" t="s">
        <v>1328</v>
      </c>
      <c r="D1316" s="7" t="s">
        <v>1327</v>
      </c>
      <c r="E1316" s="8">
        <v>1.0</v>
      </c>
      <c r="F1316" s="7" t="s">
        <v>17</v>
      </c>
      <c r="G1316" s="5" t="s">
        <v>19</v>
      </c>
      <c r="H1316" s="7" t="s">
        <v>16</v>
      </c>
      <c r="I1316" s="7" t="s">
        <v>5046</v>
      </c>
      <c r="J1316" s="36" t="s">
        <v>1132</v>
      </c>
      <c r="K1316" s="8">
        <v>1.0</v>
      </c>
      <c r="L1316" s="7" t="s">
        <v>16</v>
      </c>
      <c r="M1316" s="5" t="s">
        <v>22</v>
      </c>
      <c r="N1316" s="5" t="s">
        <v>5348</v>
      </c>
      <c r="O1316" s="5"/>
      <c r="P1316" s="5"/>
      <c r="Q1316" s="5"/>
      <c r="R1316" s="5"/>
      <c r="S1316" s="5"/>
      <c r="T1316" s="5"/>
      <c r="U1316" s="5"/>
      <c r="V1316" s="5"/>
      <c r="W1316" s="5"/>
      <c r="X1316" s="5"/>
      <c r="Y1316" s="5"/>
      <c r="Z1316" s="5"/>
    </row>
    <row r="1317">
      <c r="A1317" s="6" t="s">
        <v>5349</v>
      </c>
      <c r="B1317" s="5" t="s">
        <v>1128</v>
      </c>
      <c r="C1317" s="7" t="s">
        <v>1366</v>
      </c>
      <c r="D1317" s="7" t="s">
        <v>1327</v>
      </c>
      <c r="E1317" s="8">
        <v>3.0</v>
      </c>
      <c r="F1317" s="7" t="s">
        <v>105</v>
      </c>
      <c r="G1317" s="5" t="s">
        <v>19</v>
      </c>
      <c r="H1317" s="7" t="s">
        <v>16</v>
      </c>
      <c r="I1317" s="7" t="s">
        <v>5350</v>
      </c>
      <c r="J1317" s="36" t="s">
        <v>1132</v>
      </c>
      <c r="K1317" s="8">
        <v>2.0</v>
      </c>
      <c r="L1317" s="7" t="s">
        <v>16</v>
      </c>
      <c r="M1317" s="5" t="s">
        <v>22</v>
      </c>
      <c r="N1317" s="5" t="s">
        <v>5351</v>
      </c>
      <c r="O1317" s="5"/>
      <c r="P1317" s="5"/>
      <c r="Q1317" s="5"/>
      <c r="R1317" s="5"/>
      <c r="S1317" s="5"/>
      <c r="T1317" s="5"/>
      <c r="U1317" s="5"/>
      <c r="V1317" s="5"/>
      <c r="W1317" s="5"/>
      <c r="X1317" s="5"/>
      <c r="Y1317" s="5"/>
      <c r="Z1317" s="5"/>
    </row>
    <row r="1318">
      <c r="A1318" s="6" t="s">
        <v>5352</v>
      </c>
      <c r="B1318" s="5" t="s">
        <v>1128</v>
      </c>
      <c r="C1318" s="7" t="s">
        <v>5353</v>
      </c>
      <c r="D1318" s="7" t="s">
        <v>1327</v>
      </c>
      <c r="E1318" s="8">
        <v>3.0</v>
      </c>
      <c r="F1318" s="7" t="s">
        <v>17</v>
      </c>
      <c r="G1318" s="5" t="s">
        <v>461</v>
      </c>
      <c r="H1318" s="7" t="s">
        <v>16</v>
      </c>
      <c r="I1318" s="7" t="s">
        <v>5354</v>
      </c>
      <c r="J1318" s="36" t="s">
        <v>1132</v>
      </c>
      <c r="K1318" s="7" t="s">
        <v>16</v>
      </c>
      <c r="L1318" s="7" t="s">
        <v>16</v>
      </c>
      <c r="M1318" s="5" t="s">
        <v>36</v>
      </c>
      <c r="N1318" s="5" t="s">
        <v>5355</v>
      </c>
      <c r="O1318" s="5"/>
      <c r="P1318" s="5"/>
      <c r="Q1318" s="5"/>
      <c r="R1318" s="5"/>
      <c r="S1318" s="5"/>
      <c r="T1318" s="5"/>
      <c r="U1318" s="5"/>
      <c r="V1318" s="5"/>
      <c r="W1318" s="5"/>
      <c r="X1318" s="5"/>
      <c r="Y1318" s="5"/>
      <c r="Z1318" s="5"/>
    </row>
    <row r="1319">
      <c r="A1319" s="6" t="s">
        <v>5356</v>
      </c>
      <c r="B1319" s="5" t="s">
        <v>1128</v>
      </c>
      <c r="C1319" s="7" t="s">
        <v>5357</v>
      </c>
      <c r="D1319" s="7" t="s">
        <v>1327</v>
      </c>
      <c r="E1319" s="8">
        <v>7.0</v>
      </c>
      <c r="F1319" s="7" t="s">
        <v>105</v>
      </c>
      <c r="G1319" s="5" t="s">
        <v>326</v>
      </c>
      <c r="H1319" s="7" t="s">
        <v>16</v>
      </c>
      <c r="I1319" s="7" t="s">
        <v>5358</v>
      </c>
      <c r="J1319" s="36" t="s">
        <v>1161</v>
      </c>
      <c r="K1319" s="8">
        <v>3.0</v>
      </c>
      <c r="L1319" s="7" t="s">
        <v>16</v>
      </c>
      <c r="M1319" s="5" t="s">
        <v>75</v>
      </c>
      <c r="N1319" s="5" t="s">
        <v>5359</v>
      </c>
      <c r="O1319" s="5"/>
      <c r="P1319" s="5"/>
      <c r="Q1319" s="5"/>
      <c r="R1319" s="5"/>
      <c r="S1319" s="5"/>
      <c r="T1319" s="5"/>
      <c r="U1319" s="5"/>
      <c r="V1319" s="5"/>
      <c r="W1319" s="5"/>
      <c r="X1319" s="5"/>
      <c r="Y1319" s="5"/>
      <c r="Z1319" s="5"/>
    </row>
    <row r="1320">
      <c r="A1320" s="6" t="s">
        <v>5360</v>
      </c>
      <c r="B1320" s="5" t="s">
        <v>1128</v>
      </c>
      <c r="C1320" s="7" t="s">
        <v>1456</v>
      </c>
      <c r="D1320" s="7" t="s">
        <v>1410</v>
      </c>
      <c r="E1320" s="8">
        <v>1.0</v>
      </c>
      <c r="F1320" s="7" t="s">
        <v>105</v>
      </c>
      <c r="G1320" s="5" t="s">
        <v>19</v>
      </c>
      <c r="H1320" s="7" t="s">
        <v>16</v>
      </c>
      <c r="I1320" s="7" t="s">
        <v>1131</v>
      </c>
      <c r="J1320" s="36" t="s">
        <v>1261</v>
      </c>
      <c r="K1320" s="8">
        <v>1.0</v>
      </c>
      <c r="L1320" s="7" t="s">
        <v>16</v>
      </c>
      <c r="M1320" s="5" t="s">
        <v>22</v>
      </c>
      <c r="N1320" s="5" t="s">
        <v>5361</v>
      </c>
      <c r="O1320" s="5"/>
      <c r="P1320" s="5"/>
      <c r="Q1320" s="5"/>
      <c r="R1320" s="5"/>
      <c r="S1320" s="5"/>
      <c r="T1320" s="5"/>
      <c r="U1320" s="5"/>
      <c r="V1320" s="5"/>
      <c r="W1320" s="5"/>
      <c r="X1320" s="5"/>
      <c r="Y1320" s="5"/>
      <c r="Z1320" s="5"/>
    </row>
    <row r="1321">
      <c r="A1321" s="6" t="s">
        <v>5362</v>
      </c>
      <c r="B1321" s="5" t="s">
        <v>1128</v>
      </c>
      <c r="C1321" s="7" t="s">
        <v>5363</v>
      </c>
      <c r="D1321" s="7" t="s">
        <v>1410</v>
      </c>
      <c r="E1321" s="8">
        <v>2.0</v>
      </c>
      <c r="F1321" s="7" t="s">
        <v>105</v>
      </c>
      <c r="G1321" s="5" t="s">
        <v>19</v>
      </c>
      <c r="H1321" s="7" t="s">
        <v>16</v>
      </c>
      <c r="I1321" s="7" t="s">
        <v>4964</v>
      </c>
      <c r="J1321" s="36" t="s">
        <v>1132</v>
      </c>
      <c r="K1321" s="8">
        <v>2.0</v>
      </c>
      <c r="L1321" s="7" t="s">
        <v>16</v>
      </c>
      <c r="M1321" s="5" t="s">
        <v>22</v>
      </c>
      <c r="N1321" s="5" t="s">
        <v>5364</v>
      </c>
      <c r="O1321" s="5"/>
      <c r="P1321" s="5"/>
      <c r="Q1321" s="5"/>
      <c r="R1321" s="5"/>
      <c r="S1321" s="5"/>
      <c r="T1321" s="5"/>
      <c r="U1321" s="5"/>
      <c r="V1321" s="5"/>
      <c r="W1321" s="5"/>
      <c r="X1321" s="5"/>
      <c r="Y1321" s="5"/>
      <c r="Z1321" s="5"/>
    </row>
    <row r="1322">
      <c r="A1322" s="6" t="s">
        <v>5365</v>
      </c>
      <c r="B1322" s="5" t="s">
        <v>1128</v>
      </c>
      <c r="C1322" s="7" t="s">
        <v>5366</v>
      </c>
      <c r="D1322" s="7" t="s">
        <v>1410</v>
      </c>
      <c r="E1322" s="8">
        <v>3.0</v>
      </c>
      <c r="F1322" s="7" t="s">
        <v>105</v>
      </c>
      <c r="G1322" s="5" t="s">
        <v>19</v>
      </c>
      <c r="H1322" s="7" t="s">
        <v>16</v>
      </c>
      <c r="I1322" s="7" t="s">
        <v>4685</v>
      </c>
      <c r="J1322" s="36" t="s">
        <v>1132</v>
      </c>
      <c r="K1322" s="8">
        <v>2.0</v>
      </c>
      <c r="L1322" s="7" t="s">
        <v>16</v>
      </c>
      <c r="M1322" s="5" t="s">
        <v>36</v>
      </c>
      <c r="N1322" s="5" t="s">
        <v>5367</v>
      </c>
      <c r="O1322" s="5"/>
      <c r="P1322" s="5"/>
      <c r="Q1322" s="5"/>
      <c r="R1322" s="5"/>
      <c r="S1322" s="5"/>
      <c r="T1322" s="5"/>
      <c r="U1322" s="5"/>
      <c r="V1322" s="5"/>
      <c r="W1322" s="5"/>
      <c r="X1322" s="5"/>
      <c r="Y1322" s="5"/>
      <c r="Z1322" s="5"/>
    </row>
    <row r="1323">
      <c r="A1323" s="6" t="s">
        <v>5368</v>
      </c>
      <c r="B1323" s="5" t="s">
        <v>1128</v>
      </c>
      <c r="C1323" s="7" t="s">
        <v>5369</v>
      </c>
      <c r="D1323" s="7" t="s">
        <v>1410</v>
      </c>
      <c r="E1323" s="8">
        <v>6.0</v>
      </c>
      <c r="F1323" s="7" t="s">
        <v>105</v>
      </c>
      <c r="G1323" s="5" t="s">
        <v>326</v>
      </c>
      <c r="H1323" s="7" t="s">
        <v>16</v>
      </c>
      <c r="I1323" s="7" t="s">
        <v>5370</v>
      </c>
      <c r="J1323" s="36" t="s">
        <v>1154</v>
      </c>
      <c r="K1323" s="7" t="s">
        <v>4878</v>
      </c>
      <c r="L1323" s="7" t="s">
        <v>16</v>
      </c>
      <c r="M1323" s="5" t="s">
        <v>75</v>
      </c>
      <c r="N1323" s="5" t="s">
        <v>5371</v>
      </c>
      <c r="O1323" s="5"/>
      <c r="P1323" s="5"/>
      <c r="Q1323" s="5"/>
      <c r="R1323" s="5"/>
      <c r="S1323" s="5"/>
      <c r="T1323" s="5"/>
      <c r="U1323" s="5"/>
      <c r="V1323" s="5"/>
      <c r="W1323" s="5"/>
      <c r="X1323" s="5"/>
      <c r="Y1323" s="5"/>
      <c r="Z1323" s="5"/>
    </row>
    <row r="1324">
      <c r="A1324" s="6" t="s">
        <v>5372</v>
      </c>
      <c r="B1324" s="5" t="s">
        <v>1128</v>
      </c>
      <c r="C1324" s="7" t="s">
        <v>1459</v>
      </c>
      <c r="D1324" s="7" t="s">
        <v>1415</v>
      </c>
      <c r="E1324" s="8">
        <v>2.0</v>
      </c>
      <c r="F1324" s="7" t="s">
        <v>105</v>
      </c>
      <c r="G1324" s="5" t="s">
        <v>19</v>
      </c>
      <c r="H1324" s="7" t="s">
        <v>16</v>
      </c>
      <c r="I1324" s="7" t="s">
        <v>5373</v>
      </c>
      <c r="J1324" s="36" t="s">
        <v>1261</v>
      </c>
      <c r="K1324" s="8">
        <v>2.0</v>
      </c>
      <c r="L1324" s="7" t="s">
        <v>16</v>
      </c>
      <c r="M1324" s="5" t="s">
        <v>22</v>
      </c>
      <c r="N1324" s="5" t="s">
        <v>5374</v>
      </c>
      <c r="O1324" s="5"/>
      <c r="P1324" s="5"/>
      <c r="Q1324" s="5"/>
      <c r="R1324" s="5"/>
      <c r="S1324" s="5"/>
      <c r="T1324" s="5"/>
      <c r="U1324" s="5"/>
      <c r="V1324" s="5"/>
      <c r="W1324" s="5"/>
      <c r="X1324" s="5"/>
      <c r="Y1324" s="5"/>
      <c r="Z1324" s="5"/>
    </row>
    <row r="1325">
      <c r="A1325" s="6" t="s">
        <v>5375</v>
      </c>
      <c r="B1325" s="5" t="s">
        <v>1128</v>
      </c>
      <c r="C1325" s="7" t="s">
        <v>5376</v>
      </c>
      <c r="D1325" s="7" t="s">
        <v>1415</v>
      </c>
      <c r="E1325" s="8">
        <v>3.0</v>
      </c>
      <c r="F1325" s="7" t="s">
        <v>17</v>
      </c>
      <c r="G1325" s="5" t="s">
        <v>19</v>
      </c>
      <c r="H1325" s="7" t="s">
        <v>16</v>
      </c>
      <c r="I1325" s="7" t="s">
        <v>4951</v>
      </c>
      <c r="J1325" s="36" t="s">
        <v>1132</v>
      </c>
      <c r="K1325" s="8">
        <v>2.0</v>
      </c>
      <c r="L1325" s="7" t="s">
        <v>16</v>
      </c>
      <c r="M1325" s="5" t="s">
        <v>36</v>
      </c>
      <c r="N1325" s="5" t="s">
        <v>5377</v>
      </c>
      <c r="O1325" s="5"/>
      <c r="P1325" s="5"/>
      <c r="Q1325" s="5"/>
      <c r="R1325" s="5"/>
      <c r="S1325" s="5"/>
      <c r="T1325" s="5"/>
      <c r="U1325" s="5"/>
      <c r="V1325" s="5"/>
      <c r="W1325" s="5"/>
      <c r="X1325" s="5"/>
      <c r="Y1325" s="5"/>
      <c r="Z1325" s="5"/>
    </row>
    <row r="1326">
      <c r="A1326" s="6" t="s">
        <v>5378</v>
      </c>
      <c r="B1326" s="5" t="s">
        <v>1128</v>
      </c>
      <c r="C1326" s="7" t="s">
        <v>5379</v>
      </c>
      <c r="D1326" s="7" t="s">
        <v>1415</v>
      </c>
      <c r="E1326" s="8">
        <v>6.0</v>
      </c>
      <c r="F1326" s="7" t="s">
        <v>105</v>
      </c>
      <c r="G1326" s="5" t="s">
        <v>326</v>
      </c>
      <c r="H1326" s="7" t="s">
        <v>16</v>
      </c>
      <c r="I1326" s="7" t="s">
        <v>5380</v>
      </c>
      <c r="J1326" s="36" t="s">
        <v>1137</v>
      </c>
      <c r="K1326" s="8">
        <v>2.0</v>
      </c>
      <c r="L1326" s="7" t="s">
        <v>16</v>
      </c>
      <c r="M1326" s="5" t="s">
        <v>75</v>
      </c>
      <c r="N1326" s="5" t="s">
        <v>5381</v>
      </c>
      <c r="O1326" s="5"/>
      <c r="P1326" s="5"/>
      <c r="Q1326" s="5"/>
      <c r="R1326" s="5"/>
      <c r="S1326" s="5"/>
      <c r="T1326" s="5"/>
      <c r="U1326" s="5"/>
      <c r="V1326" s="5"/>
      <c r="W1326" s="5"/>
      <c r="X1326" s="5"/>
      <c r="Y1326" s="5"/>
      <c r="Z1326" s="5"/>
    </row>
    <row r="1327">
      <c r="A1327" s="6" t="s">
        <v>5382</v>
      </c>
      <c r="B1327" s="5" t="s">
        <v>1128</v>
      </c>
      <c r="C1327" s="7" t="s">
        <v>1462</v>
      </c>
      <c r="D1327" s="7" t="s">
        <v>1418</v>
      </c>
      <c r="E1327" s="8">
        <v>2.0</v>
      </c>
      <c r="F1327" s="7" t="s">
        <v>17</v>
      </c>
      <c r="G1327" s="5" t="s">
        <v>19</v>
      </c>
      <c r="H1327" s="7" t="s">
        <v>16</v>
      </c>
      <c r="I1327" s="7" t="s">
        <v>5383</v>
      </c>
      <c r="J1327" s="7" t="s">
        <v>1266</v>
      </c>
      <c r="K1327" s="7" t="s">
        <v>16</v>
      </c>
      <c r="L1327" s="7" t="s">
        <v>16</v>
      </c>
      <c r="M1327" s="5" t="s">
        <v>22</v>
      </c>
      <c r="N1327" s="5" t="s">
        <v>5384</v>
      </c>
      <c r="O1327" s="5"/>
      <c r="P1327" s="5"/>
      <c r="Q1327" s="5"/>
      <c r="R1327" s="5"/>
      <c r="S1327" s="5"/>
      <c r="T1327" s="5"/>
      <c r="U1327" s="5"/>
      <c r="V1327" s="5"/>
      <c r="W1327" s="5"/>
      <c r="X1327" s="5"/>
      <c r="Y1327" s="5"/>
      <c r="Z1327" s="5"/>
    </row>
    <row r="1328">
      <c r="A1328" s="6" t="s">
        <v>5385</v>
      </c>
      <c r="B1328" s="5" t="s">
        <v>1128</v>
      </c>
      <c r="C1328" s="7" t="s">
        <v>5386</v>
      </c>
      <c r="D1328" s="7" t="s">
        <v>1418</v>
      </c>
      <c r="E1328" s="8">
        <v>5.0</v>
      </c>
      <c r="F1328" s="7" t="s">
        <v>17</v>
      </c>
      <c r="G1328" s="5" t="s">
        <v>326</v>
      </c>
      <c r="H1328" s="7" t="s">
        <v>16</v>
      </c>
      <c r="I1328" s="7" t="s">
        <v>5387</v>
      </c>
      <c r="J1328" s="7" t="s">
        <v>1266</v>
      </c>
      <c r="K1328" s="7" t="s">
        <v>16</v>
      </c>
      <c r="L1328" s="7" t="s">
        <v>16</v>
      </c>
      <c r="M1328" s="5" t="s">
        <v>75</v>
      </c>
      <c r="N1328" s="5" t="s">
        <v>5388</v>
      </c>
      <c r="O1328" s="5"/>
      <c r="P1328" s="5"/>
      <c r="Q1328" s="5"/>
      <c r="R1328" s="5"/>
      <c r="S1328" s="5"/>
      <c r="T1328" s="5"/>
      <c r="U1328" s="5"/>
      <c r="V1328" s="5"/>
      <c r="W1328" s="5"/>
      <c r="X1328" s="5"/>
      <c r="Y1328" s="5"/>
      <c r="Z1328" s="5"/>
    </row>
    <row r="1329">
      <c r="A1329" s="6" t="s">
        <v>5389</v>
      </c>
      <c r="B1329" s="5" t="s">
        <v>1128</v>
      </c>
      <c r="C1329" s="7" t="s">
        <v>1465</v>
      </c>
      <c r="D1329" s="7" t="s">
        <v>1421</v>
      </c>
      <c r="E1329" s="8">
        <v>2.0</v>
      </c>
      <c r="F1329" s="7" t="s">
        <v>17</v>
      </c>
      <c r="G1329" s="5" t="s">
        <v>19</v>
      </c>
      <c r="H1329" s="7" t="s">
        <v>16</v>
      </c>
      <c r="I1329" s="7" t="s">
        <v>1131</v>
      </c>
      <c r="J1329" s="36" t="s">
        <v>1137</v>
      </c>
      <c r="K1329" s="8">
        <v>2.0</v>
      </c>
      <c r="L1329" s="7" t="s">
        <v>16</v>
      </c>
      <c r="M1329" s="5" t="s">
        <v>22</v>
      </c>
      <c r="N1329" s="5" t="s">
        <v>5390</v>
      </c>
      <c r="O1329" s="5"/>
      <c r="P1329" s="5"/>
      <c r="Q1329" s="5"/>
      <c r="R1329" s="5"/>
      <c r="S1329" s="5"/>
      <c r="T1329" s="5"/>
      <c r="U1329" s="5"/>
      <c r="V1329" s="5"/>
      <c r="W1329" s="5"/>
      <c r="X1329" s="5"/>
      <c r="Y1329" s="5"/>
      <c r="Z1329" s="5"/>
    </row>
    <row r="1330">
      <c r="A1330" s="6" t="s">
        <v>5391</v>
      </c>
      <c r="B1330" s="5" t="s">
        <v>1128</v>
      </c>
      <c r="C1330" s="7" t="s">
        <v>5392</v>
      </c>
      <c r="D1330" s="7" t="s">
        <v>1421</v>
      </c>
      <c r="E1330" s="8">
        <v>2.0</v>
      </c>
      <c r="F1330" s="7" t="s">
        <v>105</v>
      </c>
      <c r="G1330" s="5" t="s">
        <v>19</v>
      </c>
      <c r="H1330" s="7" t="s">
        <v>16</v>
      </c>
      <c r="I1330" s="7" t="s">
        <v>5393</v>
      </c>
      <c r="J1330" s="36" t="s">
        <v>1261</v>
      </c>
      <c r="K1330" s="8">
        <v>1.0</v>
      </c>
      <c r="L1330" s="7" t="s">
        <v>16</v>
      </c>
      <c r="M1330" s="5" t="s">
        <v>22</v>
      </c>
      <c r="N1330" s="5" t="s">
        <v>5394</v>
      </c>
      <c r="O1330" s="5"/>
      <c r="P1330" s="5"/>
      <c r="Q1330" s="5"/>
      <c r="R1330" s="5"/>
      <c r="S1330" s="5"/>
      <c r="T1330" s="5"/>
      <c r="U1330" s="5"/>
      <c r="V1330" s="5"/>
      <c r="W1330" s="5"/>
      <c r="X1330" s="5"/>
      <c r="Y1330" s="5"/>
      <c r="Z1330" s="5"/>
    </row>
    <row r="1331">
      <c r="A1331" s="6" t="s">
        <v>5395</v>
      </c>
      <c r="B1331" s="5" t="s">
        <v>1128</v>
      </c>
      <c r="C1331" s="7" t="s">
        <v>5396</v>
      </c>
      <c r="D1331" s="7" t="s">
        <v>1421</v>
      </c>
      <c r="E1331" s="8">
        <v>1.0</v>
      </c>
      <c r="F1331" s="7" t="s">
        <v>17</v>
      </c>
      <c r="G1331" s="5" t="s">
        <v>19</v>
      </c>
      <c r="H1331" s="7" t="s">
        <v>16</v>
      </c>
      <c r="I1331" s="7" t="s">
        <v>5397</v>
      </c>
      <c r="J1331" s="7" t="s">
        <v>1266</v>
      </c>
      <c r="K1331" s="7" t="s">
        <v>16</v>
      </c>
      <c r="L1331" s="7" t="s">
        <v>16</v>
      </c>
      <c r="M1331" s="5" t="s">
        <v>75</v>
      </c>
      <c r="N1331" s="5" t="s">
        <v>5398</v>
      </c>
      <c r="O1331" s="5"/>
      <c r="P1331" s="5"/>
      <c r="Q1331" s="5"/>
      <c r="R1331" s="5"/>
      <c r="S1331" s="5"/>
      <c r="T1331" s="5"/>
      <c r="U1331" s="5"/>
      <c r="V1331" s="5"/>
      <c r="W1331" s="5"/>
      <c r="X1331" s="5"/>
      <c r="Y1331" s="5"/>
      <c r="Z1331" s="5"/>
    </row>
    <row r="1332">
      <c r="A1332" s="6" t="s">
        <v>5399</v>
      </c>
      <c r="B1332" s="5" t="s">
        <v>1128</v>
      </c>
      <c r="C1332" s="7" t="s">
        <v>5400</v>
      </c>
      <c r="D1332" s="7" t="s">
        <v>1421</v>
      </c>
      <c r="E1332" s="8">
        <v>2.0</v>
      </c>
      <c r="F1332" s="7" t="s">
        <v>105</v>
      </c>
      <c r="G1332" s="5" t="s">
        <v>326</v>
      </c>
      <c r="H1332" s="7" t="s">
        <v>16</v>
      </c>
      <c r="I1332" s="7" t="s">
        <v>5401</v>
      </c>
      <c r="J1332" s="36" t="s">
        <v>1261</v>
      </c>
      <c r="K1332" s="8">
        <v>0.0</v>
      </c>
      <c r="L1332" s="7" t="s">
        <v>16</v>
      </c>
      <c r="M1332" s="5" t="s">
        <v>88</v>
      </c>
      <c r="N1332" s="5" t="s">
        <v>5402</v>
      </c>
      <c r="O1332" s="5"/>
      <c r="P1332" s="5"/>
      <c r="Q1332" s="5"/>
      <c r="R1332" s="5"/>
      <c r="S1332" s="5"/>
      <c r="T1332" s="5"/>
      <c r="U1332" s="5"/>
      <c r="V1332" s="5"/>
      <c r="W1332" s="5"/>
      <c r="X1332" s="5"/>
      <c r="Y1332" s="5"/>
      <c r="Z1332" s="5"/>
    </row>
    <row r="1333">
      <c r="A1333" s="6" t="s">
        <v>5403</v>
      </c>
      <c r="B1333" s="5" t="s">
        <v>1128</v>
      </c>
      <c r="C1333" s="7" t="s">
        <v>5404</v>
      </c>
      <c r="D1333" s="7" t="s">
        <v>5405</v>
      </c>
      <c r="E1333" s="8">
        <v>0.0</v>
      </c>
      <c r="F1333" s="7" t="s">
        <v>17</v>
      </c>
      <c r="G1333" s="5" t="s">
        <v>19</v>
      </c>
      <c r="H1333" s="7" t="s">
        <v>16</v>
      </c>
      <c r="I1333" s="7" t="s">
        <v>5406</v>
      </c>
      <c r="J1333" s="7" t="s">
        <v>1266</v>
      </c>
      <c r="K1333" s="7" t="s">
        <v>16</v>
      </c>
      <c r="L1333" s="7" t="s">
        <v>16</v>
      </c>
      <c r="M1333" s="5" t="s">
        <v>75</v>
      </c>
      <c r="N1333" s="5" t="s">
        <v>5407</v>
      </c>
      <c r="O1333" s="5"/>
      <c r="P1333" s="5"/>
      <c r="Q1333" s="5"/>
      <c r="R1333" s="5"/>
      <c r="S1333" s="5"/>
      <c r="T1333" s="5"/>
      <c r="U1333" s="5"/>
      <c r="V1333" s="5"/>
      <c r="W1333" s="5"/>
      <c r="X1333" s="5"/>
      <c r="Y1333" s="5"/>
      <c r="Z1333" s="5"/>
    </row>
    <row r="1334">
      <c r="A1334" s="17" t="s">
        <v>5408</v>
      </c>
      <c r="B1334" s="5" t="s">
        <v>1128</v>
      </c>
      <c r="C1334" s="7" t="s">
        <v>5409</v>
      </c>
      <c r="D1334" s="7" t="s">
        <v>5405</v>
      </c>
      <c r="E1334" s="8">
        <v>1.0</v>
      </c>
      <c r="F1334" s="7" t="s">
        <v>17</v>
      </c>
      <c r="G1334" s="5" t="s">
        <v>19</v>
      </c>
      <c r="H1334" s="7" t="s">
        <v>16</v>
      </c>
      <c r="I1334" s="7" t="s">
        <v>5410</v>
      </c>
      <c r="J1334" s="7" t="s">
        <v>1266</v>
      </c>
      <c r="K1334" s="7" t="s">
        <v>16</v>
      </c>
      <c r="L1334" s="7" t="s">
        <v>16</v>
      </c>
      <c r="M1334" s="5" t="s">
        <v>88</v>
      </c>
      <c r="N1334" s="5" t="s">
        <v>5411</v>
      </c>
      <c r="O1334" s="5"/>
      <c r="P1334" s="5"/>
      <c r="Q1334" s="5"/>
      <c r="R1334" s="5"/>
      <c r="S1334" s="5"/>
      <c r="T1334" s="5"/>
      <c r="U1334" s="5"/>
      <c r="V1334" s="5"/>
      <c r="W1334" s="5"/>
      <c r="X1334" s="5"/>
      <c r="Y1334" s="5"/>
      <c r="Z1334" s="5"/>
    </row>
    <row r="1335">
      <c r="A1335" s="17" t="s">
        <v>5412</v>
      </c>
      <c r="B1335" s="5" t="s">
        <v>1128</v>
      </c>
      <c r="C1335" s="7" t="s">
        <v>1129</v>
      </c>
      <c r="D1335" s="7" t="s">
        <v>1068</v>
      </c>
      <c r="E1335" s="8">
        <v>1.0</v>
      </c>
      <c r="F1335" s="7" t="s">
        <v>105</v>
      </c>
      <c r="G1335" s="5" t="s">
        <v>19</v>
      </c>
      <c r="H1335" s="7" t="s">
        <v>16</v>
      </c>
      <c r="I1335" s="7" t="s">
        <v>1131</v>
      </c>
      <c r="J1335" s="36" t="s">
        <v>1261</v>
      </c>
      <c r="K1335" s="8">
        <v>2.0</v>
      </c>
      <c r="L1335" s="7" t="s">
        <v>2107</v>
      </c>
      <c r="M1335" s="5" t="s">
        <v>36</v>
      </c>
      <c r="N1335" s="5" t="s">
        <v>5413</v>
      </c>
      <c r="O1335" s="5"/>
      <c r="P1335" s="5"/>
      <c r="Q1335" s="5"/>
      <c r="R1335" s="5"/>
      <c r="S1335" s="5"/>
      <c r="T1335" s="5"/>
      <c r="U1335" s="5"/>
      <c r="V1335" s="5"/>
      <c r="W1335" s="5"/>
      <c r="X1335" s="5"/>
      <c r="Y1335" s="5"/>
      <c r="Z1335" s="5"/>
    </row>
    <row r="1336">
      <c r="A1336" s="6" t="s">
        <v>5414</v>
      </c>
      <c r="B1336" s="5" t="s">
        <v>1128</v>
      </c>
      <c r="C1336" s="7" t="s">
        <v>1129</v>
      </c>
      <c r="D1336" s="7" t="s">
        <v>1068</v>
      </c>
      <c r="E1336" s="8">
        <v>1.0</v>
      </c>
      <c r="F1336" s="7" t="s">
        <v>105</v>
      </c>
      <c r="G1336" s="5" t="s">
        <v>19</v>
      </c>
      <c r="H1336" s="7" t="s">
        <v>1130</v>
      </c>
      <c r="I1336" s="7" t="s">
        <v>5415</v>
      </c>
      <c r="J1336" s="36" t="s">
        <v>4742</v>
      </c>
      <c r="K1336" s="8">
        <v>1.0</v>
      </c>
      <c r="L1336" s="7" t="s">
        <v>351</v>
      </c>
      <c r="M1336" s="5" t="s">
        <v>75</v>
      </c>
      <c r="N1336" s="5" t="s">
        <v>5416</v>
      </c>
      <c r="O1336" s="5"/>
      <c r="P1336" s="5"/>
      <c r="Q1336" s="5"/>
      <c r="R1336" s="5"/>
      <c r="S1336" s="5"/>
      <c r="T1336" s="5"/>
      <c r="U1336" s="5"/>
      <c r="V1336" s="5"/>
      <c r="W1336" s="5"/>
      <c r="X1336" s="5"/>
      <c r="Y1336" s="5"/>
      <c r="Z1336" s="5"/>
    </row>
    <row r="1337">
      <c r="A1337" s="6" t="s">
        <v>5417</v>
      </c>
      <c r="B1337" s="5" t="s">
        <v>1128</v>
      </c>
      <c r="C1337" s="7" t="s">
        <v>1160</v>
      </c>
      <c r="D1337" s="7" t="s">
        <v>1068</v>
      </c>
      <c r="E1337" s="8">
        <v>8.0</v>
      </c>
      <c r="F1337" s="7" t="s">
        <v>105</v>
      </c>
      <c r="G1337" s="5" t="s">
        <v>326</v>
      </c>
      <c r="H1337" s="7" t="s">
        <v>1130</v>
      </c>
      <c r="I1337" s="7" t="s">
        <v>4951</v>
      </c>
      <c r="J1337" s="36" t="s">
        <v>4746</v>
      </c>
      <c r="K1337" s="8">
        <v>3.0</v>
      </c>
      <c r="L1337" s="7" t="s">
        <v>342</v>
      </c>
      <c r="M1337" s="5" t="s">
        <v>75</v>
      </c>
      <c r="N1337" s="5" t="s">
        <v>5418</v>
      </c>
      <c r="O1337" s="5"/>
      <c r="P1337" s="5"/>
      <c r="Q1337" s="5"/>
      <c r="R1337" s="5"/>
      <c r="S1337" s="5"/>
      <c r="T1337" s="5"/>
      <c r="U1337" s="5"/>
      <c r="V1337" s="5"/>
      <c r="W1337" s="5"/>
      <c r="X1337" s="5"/>
      <c r="Y1337" s="5"/>
      <c r="Z1337" s="5"/>
    </row>
    <row r="1338">
      <c r="A1338" s="6" t="s">
        <v>5419</v>
      </c>
      <c r="B1338" s="5" t="s">
        <v>1128</v>
      </c>
      <c r="C1338" s="7" t="s">
        <v>1253</v>
      </c>
      <c r="D1338" s="7" t="s">
        <v>1068</v>
      </c>
      <c r="E1338" s="8">
        <v>2.0</v>
      </c>
      <c r="F1338" s="7" t="s">
        <v>105</v>
      </c>
      <c r="G1338" s="5" t="s">
        <v>461</v>
      </c>
      <c r="H1338" s="7" t="s">
        <v>1130</v>
      </c>
      <c r="I1338" s="7" t="s">
        <v>5420</v>
      </c>
      <c r="J1338" s="36" t="s">
        <v>1132</v>
      </c>
      <c r="K1338" s="8">
        <v>2.0</v>
      </c>
      <c r="L1338" s="7" t="s">
        <v>342</v>
      </c>
      <c r="M1338" s="5" t="s">
        <v>22</v>
      </c>
      <c r="N1338" s="5" t="s">
        <v>5421</v>
      </c>
      <c r="O1338" s="5"/>
      <c r="P1338" s="5"/>
      <c r="Q1338" s="5"/>
      <c r="R1338" s="5"/>
      <c r="S1338" s="5"/>
      <c r="T1338" s="5"/>
      <c r="U1338" s="5"/>
      <c r="V1338" s="5"/>
      <c r="W1338" s="5"/>
      <c r="X1338" s="5"/>
      <c r="Y1338" s="5"/>
      <c r="Z1338" s="5"/>
    </row>
    <row r="1339">
      <c r="A1339" s="6" t="s">
        <v>5422</v>
      </c>
      <c r="B1339" s="5" t="s">
        <v>1128</v>
      </c>
      <c r="C1339" s="7" t="s">
        <v>1446</v>
      </c>
      <c r="D1339" s="7" t="s">
        <v>1068</v>
      </c>
      <c r="E1339" s="8">
        <v>1.0</v>
      </c>
      <c r="F1339" s="7" t="s">
        <v>172</v>
      </c>
      <c r="G1339" s="5" t="s">
        <v>19</v>
      </c>
      <c r="H1339" s="7" t="s">
        <v>1130</v>
      </c>
      <c r="I1339" s="7" t="s">
        <v>5423</v>
      </c>
      <c r="J1339" s="36" t="s">
        <v>1132</v>
      </c>
      <c r="K1339" s="8">
        <v>2.0</v>
      </c>
      <c r="L1339" s="7" t="s">
        <v>342</v>
      </c>
      <c r="M1339" s="5" t="s">
        <v>22</v>
      </c>
      <c r="N1339" s="5" t="s">
        <v>5424</v>
      </c>
      <c r="O1339" s="5"/>
      <c r="P1339" s="5"/>
      <c r="Q1339" s="5"/>
      <c r="R1339" s="5"/>
      <c r="S1339" s="5"/>
      <c r="T1339" s="5"/>
      <c r="U1339" s="5"/>
      <c r="V1339" s="5"/>
      <c r="W1339" s="5"/>
      <c r="X1339" s="5"/>
      <c r="Y1339" s="5"/>
      <c r="Z1339" s="5"/>
    </row>
    <row r="1340">
      <c r="A1340" s="6" t="s">
        <v>5425</v>
      </c>
      <c r="B1340" s="5" t="s">
        <v>1128</v>
      </c>
      <c r="C1340" s="7" t="s">
        <v>1446</v>
      </c>
      <c r="D1340" s="7" t="s">
        <v>1068</v>
      </c>
      <c r="E1340" s="8">
        <v>1.0</v>
      </c>
      <c r="F1340" s="7" t="s">
        <v>172</v>
      </c>
      <c r="G1340" s="5" t="s">
        <v>19</v>
      </c>
      <c r="H1340" s="7" t="s">
        <v>1130</v>
      </c>
      <c r="I1340" s="7" t="s">
        <v>5426</v>
      </c>
      <c r="J1340" s="36" t="s">
        <v>1132</v>
      </c>
      <c r="K1340" s="8">
        <v>2.0</v>
      </c>
      <c r="L1340" s="7" t="s">
        <v>342</v>
      </c>
      <c r="M1340" s="5" t="s">
        <v>22</v>
      </c>
      <c r="N1340" s="5" t="s">
        <v>5424</v>
      </c>
      <c r="O1340" s="5"/>
      <c r="P1340" s="5"/>
      <c r="Q1340" s="5"/>
      <c r="R1340" s="5"/>
      <c r="S1340" s="5"/>
      <c r="T1340" s="5"/>
      <c r="U1340" s="5"/>
      <c r="V1340" s="5"/>
      <c r="W1340" s="5"/>
      <c r="X1340" s="5"/>
      <c r="Y1340" s="5"/>
      <c r="Z1340" s="5"/>
    </row>
    <row r="1341">
      <c r="A1341" s="6" t="s">
        <v>5427</v>
      </c>
      <c r="B1341" s="5" t="s">
        <v>1128</v>
      </c>
      <c r="C1341" s="7" t="s">
        <v>1152</v>
      </c>
      <c r="D1341" s="7" t="s">
        <v>411</v>
      </c>
      <c r="E1341" s="8">
        <v>2.0</v>
      </c>
      <c r="F1341" s="7" t="s">
        <v>172</v>
      </c>
      <c r="G1341" s="5" t="s">
        <v>19</v>
      </c>
      <c r="H1341" s="7" t="s">
        <v>16</v>
      </c>
      <c r="I1341" s="7" t="s">
        <v>5428</v>
      </c>
      <c r="J1341" s="36" t="s">
        <v>4746</v>
      </c>
      <c r="K1341" s="7" t="s">
        <v>16</v>
      </c>
      <c r="L1341" s="7" t="s">
        <v>342</v>
      </c>
      <c r="M1341" s="5" t="s">
        <v>36</v>
      </c>
      <c r="N1341" s="5" t="s">
        <v>5429</v>
      </c>
      <c r="O1341" s="5"/>
      <c r="P1341" s="5"/>
      <c r="Q1341" s="5"/>
      <c r="R1341" s="5"/>
      <c r="S1341" s="5"/>
      <c r="T1341" s="5"/>
      <c r="U1341" s="5"/>
      <c r="V1341" s="5"/>
      <c r="W1341" s="5"/>
      <c r="X1341" s="5"/>
      <c r="Y1341" s="5"/>
      <c r="Z1341" s="5"/>
    </row>
    <row r="1342">
      <c r="A1342" s="6" t="s">
        <v>5430</v>
      </c>
      <c r="B1342" s="5" t="s">
        <v>1128</v>
      </c>
      <c r="C1342" s="7" t="s">
        <v>5014</v>
      </c>
      <c r="D1342" s="7" t="s">
        <v>411</v>
      </c>
      <c r="E1342" s="8">
        <v>1.0</v>
      </c>
      <c r="F1342" s="7" t="s">
        <v>17</v>
      </c>
      <c r="G1342" s="5" t="s">
        <v>461</v>
      </c>
      <c r="H1342" s="7" t="s">
        <v>16</v>
      </c>
      <c r="I1342" s="7" t="s">
        <v>5431</v>
      </c>
      <c r="J1342" s="7" t="s">
        <v>1266</v>
      </c>
      <c r="K1342" s="8">
        <v>0.0</v>
      </c>
      <c r="L1342" s="7" t="s">
        <v>351</v>
      </c>
      <c r="M1342" s="5" t="s">
        <v>75</v>
      </c>
      <c r="N1342" s="5" t="s">
        <v>5432</v>
      </c>
      <c r="O1342" s="5"/>
      <c r="P1342" s="5"/>
      <c r="Q1342" s="5"/>
      <c r="R1342" s="5"/>
      <c r="S1342" s="5"/>
      <c r="T1342" s="5"/>
      <c r="U1342" s="5"/>
      <c r="V1342" s="5"/>
      <c r="W1342" s="5"/>
      <c r="X1342" s="5"/>
      <c r="Y1342" s="5"/>
      <c r="Z1342" s="5"/>
    </row>
    <row r="1343">
      <c r="A1343" s="6" t="s">
        <v>5433</v>
      </c>
      <c r="B1343" s="5" t="s">
        <v>1128</v>
      </c>
      <c r="C1343" s="7" t="s">
        <v>5434</v>
      </c>
      <c r="D1343" s="7" t="s">
        <v>1194</v>
      </c>
      <c r="E1343" s="8">
        <v>1.0</v>
      </c>
      <c r="F1343" s="7" t="s">
        <v>105</v>
      </c>
      <c r="G1343" s="5" t="s">
        <v>326</v>
      </c>
      <c r="H1343" s="7" t="s">
        <v>4689</v>
      </c>
      <c r="I1343" s="7" t="s">
        <v>5435</v>
      </c>
      <c r="J1343" s="36" t="s">
        <v>1161</v>
      </c>
      <c r="K1343" s="8">
        <v>3.0</v>
      </c>
      <c r="L1343" s="7" t="s">
        <v>16</v>
      </c>
      <c r="M1343" s="5" t="s">
        <v>88</v>
      </c>
      <c r="N1343" s="5" t="s">
        <v>5436</v>
      </c>
      <c r="O1343" s="5"/>
      <c r="P1343" s="5"/>
      <c r="Q1343" s="5"/>
      <c r="R1343" s="5"/>
      <c r="S1343" s="5"/>
      <c r="T1343" s="5"/>
      <c r="U1343" s="5"/>
      <c r="V1343" s="5"/>
      <c r="W1343" s="5"/>
      <c r="X1343" s="5"/>
      <c r="Y1343" s="5"/>
      <c r="Z1343" s="5"/>
    </row>
    <row r="1344">
      <c r="A1344" s="6" t="s">
        <v>5437</v>
      </c>
      <c r="B1344" s="5" t="s">
        <v>1128</v>
      </c>
      <c r="C1344" s="7" t="s">
        <v>1450</v>
      </c>
      <c r="D1344" s="7" t="s">
        <v>85</v>
      </c>
      <c r="E1344" s="8">
        <v>2.0</v>
      </c>
      <c r="F1344" s="7" t="s">
        <v>105</v>
      </c>
      <c r="G1344" s="5" t="s">
        <v>19</v>
      </c>
      <c r="H1344" s="7" t="s">
        <v>16</v>
      </c>
      <c r="I1344" s="7" t="s">
        <v>5438</v>
      </c>
      <c r="J1344" s="36" t="s">
        <v>1261</v>
      </c>
      <c r="K1344" s="8">
        <v>1.0</v>
      </c>
      <c r="L1344" s="7" t="s">
        <v>16</v>
      </c>
      <c r="M1344" s="5" t="s">
        <v>75</v>
      </c>
      <c r="N1344" s="5" t="s">
        <v>5439</v>
      </c>
      <c r="O1344" s="5"/>
      <c r="P1344" s="5"/>
      <c r="Q1344" s="5"/>
      <c r="R1344" s="5"/>
      <c r="S1344" s="5"/>
      <c r="T1344" s="5"/>
      <c r="U1344" s="5"/>
      <c r="V1344" s="5"/>
      <c r="W1344" s="5"/>
      <c r="X1344" s="5"/>
      <c r="Y1344" s="5"/>
      <c r="Z1344" s="5"/>
    </row>
    <row r="1345">
      <c r="A1345" s="6" t="s">
        <v>5440</v>
      </c>
      <c r="B1345" s="5" t="s">
        <v>1128</v>
      </c>
      <c r="C1345" s="7" t="s">
        <v>4975</v>
      </c>
      <c r="D1345" s="7" t="s">
        <v>85</v>
      </c>
      <c r="E1345" s="8">
        <v>3.0</v>
      </c>
      <c r="F1345" s="7" t="s">
        <v>105</v>
      </c>
      <c r="G1345" s="5" t="s">
        <v>19</v>
      </c>
      <c r="H1345" s="7" t="s">
        <v>16</v>
      </c>
      <c r="I1345" s="7" t="s">
        <v>5441</v>
      </c>
      <c r="J1345" s="36" t="s">
        <v>1132</v>
      </c>
      <c r="K1345" s="8">
        <v>2.0</v>
      </c>
      <c r="L1345" s="7" t="s">
        <v>16</v>
      </c>
      <c r="M1345" s="5" t="s">
        <v>75</v>
      </c>
      <c r="N1345" s="5" t="s">
        <v>5442</v>
      </c>
      <c r="O1345" s="5"/>
      <c r="P1345" s="5"/>
      <c r="Q1345" s="5"/>
      <c r="R1345" s="5"/>
      <c r="S1345" s="5"/>
      <c r="T1345" s="5"/>
      <c r="U1345" s="5"/>
      <c r="V1345" s="5"/>
      <c r="W1345" s="5"/>
      <c r="X1345" s="5"/>
      <c r="Y1345" s="5"/>
      <c r="Z1345" s="5"/>
    </row>
    <row r="1346">
      <c r="A1346" s="6" t="s">
        <v>5443</v>
      </c>
      <c r="B1346" s="5" t="s">
        <v>1128</v>
      </c>
      <c r="C1346" s="7" t="s">
        <v>5444</v>
      </c>
      <c r="D1346" s="7" t="s">
        <v>2142</v>
      </c>
      <c r="E1346" s="8">
        <v>2.0</v>
      </c>
      <c r="F1346" s="7" t="s">
        <v>105</v>
      </c>
      <c r="G1346" s="5" t="s">
        <v>19</v>
      </c>
      <c r="H1346" s="7" t="s">
        <v>16</v>
      </c>
      <c r="I1346" s="7" t="s">
        <v>5445</v>
      </c>
      <c r="J1346" s="36" t="s">
        <v>1261</v>
      </c>
      <c r="K1346" s="8">
        <v>1.0</v>
      </c>
      <c r="L1346" s="7" t="s">
        <v>16</v>
      </c>
      <c r="M1346" s="5" t="s">
        <v>22</v>
      </c>
      <c r="N1346" s="5" t="s">
        <v>5446</v>
      </c>
      <c r="O1346" s="5"/>
      <c r="P1346" s="5"/>
      <c r="Q1346" s="5"/>
      <c r="R1346" s="5"/>
      <c r="S1346" s="5"/>
      <c r="T1346" s="5"/>
      <c r="U1346" s="5"/>
      <c r="V1346" s="5"/>
      <c r="W1346" s="5"/>
      <c r="X1346" s="5"/>
      <c r="Y1346" s="5"/>
      <c r="Z1346" s="5"/>
    </row>
    <row r="1347">
      <c r="A1347" s="6" t="s">
        <v>5447</v>
      </c>
      <c r="B1347" s="5" t="s">
        <v>1128</v>
      </c>
      <c r="C1347" s="7" t="s">
        <v>5448</v>
      </c>
      <c r="D1347" s="7" t="s">
        <v>2142</v>
      </c>
      <c r="E1347" s="8">
        <v>4.0</v>
      </c>
      <c r="F1347" s="7" t="s">
        <v>105</v>
      </c>
      <c r="G1347" s="5" t="s">
        <v>461</v>
      </c>
      <c r="H1347" s="7" t="s">
        <v>16</v>
      </c>
      <c r="I1347" s="7" t="s">
        <v>5445</v>
      </c>
      <c r="J1347" s="36" t="s">
        <v>1146</v>
      </c>
      <c r="K1347" s="8">
        <v>2.0</v>
      </c>
      <c r="L1347" s="7" t="s">
        <v>16</v>
      </c>
      <c r="M1347" s="5" t="s">
        <v>36</v>
      </c>
      <c r="N1347" s="5" t="s">
        <v>5449</v>
      </c>
      <c r="O1347" s="5"/>
      <c r="P1347" s="5"/>
      <c r="Q1347" s="5"/>
      <c r="R1347" s="5"/>
      <c r="S1347" s="5"/>
      <c r="T1347" s="5"/>
      <c r="U1347" s="5"/>
      <c r="V1347" s="5"/>
      <c r="W1347" s="5"/>
      <c r="X1347" s="5"/>
      <c r="Y1347" s="5"/>
      <c r="Z1347" s="5"/>
    </row>
    <row r="1348">
      <c r="A1348" s="6" t="s">
        <v>5450</v>
      </c>
      <c r="B1348" s="5" t="s">
        <v>1128</v>
      </c>
      <c r="C1348" s="7" t="s">
        <v>4967</v>
      </c>
      <c r="D1348" s="7" t="s">
        <v>2147</v>
      </c>
      <c r="E1348" s="8">
        <v>1.0</v>
      </c>
      <c r="F1348" s="7" t="s">
        <v>17</v>
      </c>
      <c r="G1348" s="5" t="s">
        <v>461</v>
      </c>
      <c r="H1348" s="7" t="s">
        <v>16</v>
      </c>
      <c r="I1348" s="7" t="s">
        <v>1131</v>
      </c>
      <c r="J1348" s="36" t="s">
        <v>1132</v>
      </c>
      <c r="K1348" s="8">
        <v>2.0</v>
      </c>
      <c r="L1348" s="7" t="s">
        <v>16</v>
      </c>
      <c r="M1348" s="5" t="s">
        <v>36</v>
      </c>
      <c r="N1348" s="5" t="s">
        <v>5451</v>
      </c>
      <c r="O1348" s="5"/>
      <c r="P1348" s="5"/>
      <c r="Q1348" s="5"/>
      <c r="R1348" s="5"/>
      <c r="S1348" s="5"/>
      <c r="T1348" s="5"/>
      <c r="U1348" s="5"/>
      <c r="V1348" s="5"/>
      <c r="W1348" s="5"/>
      <c r="X1348" s="5"/>
      <c r="Y1348" s="5"/>
      <c r="Z1348" s="5"/>
    </row>
    <row r="1349">
      <c r="A1349" s="6" t="s">
        <v>5452</v>
      </c>
      <c r="B1349" s="5" t="s">
        <v>1128</v>
      </c>
      <c r="C1349" s="7" t="s">
        <v>5453</v>
      </c>
      <c r="D1349" s="7" t="s">
        <v>2147</v>
      </c>
      <c r="E1349" s="8">
        <v>3.0</v>
      </c>
      <c r="F1349" s="7" t="s">
        <v>17</v>
      </c>
      <c r="G1349" s="5" t="s">
        <v>461</v>
      </c>
      <c r="H1349" s="7" t="s">
        <v>16</v>
      </c>
      <c r="I1349" s="7" t="s">
        <v>5454</v>
      </c>
      <c r="J1349" s="36" t="s">
        <v>1261</v>
      </c>
      <c r="K1349" s="8">
        <v>1.0</v>
      </c>
      <c r="L1349" s="7" t="s">
        <v>16</v>
      </c>
      <c r="M1349" s="5" t="s">
        <v>36</v>
      </c>
      <c r="N1349" s="5" t="s">
        <v>5455</v>
      </c>
      <c r="O1349" s="5"/>
      <c r="P1349" s="5"/>
      <c r="Q1349" s="5"/>
      <c r="R1349" s="5"/>
      <c r="S1349" s="5"/>
      <c r="T1349" s="5"/>
      <c r="U1349" s="5"/>
      <c r="V1349" s="5"/>
      <c r="W1349" s="5"/>
      <c r="X1349" s="5"/>
      <c r="Y1349" s="5"/>
      <c r="Z1349" s="5"/>
    </row>
    <row r="1350">
      <c r="A1350" s="6" t="s">
        <v>5456</v>
      </c>
      <c r="B1350" s="5" t="s">
        <v>1128</v>
      </c>
      <c r="C1350" s="7" t="s">
        <v>5457</v>
      </c>
      <c r="D1350" s="7" t="s">
        <v>2152</v>
      </c>
      <c r="E1350" s="8">
        <v>2.0</v>
      </c>
      <c r="F1350" s="7" t="s">
        <v>105</v>
      </c>
      <c r="G1350" s="5" t="s">
        <v>461</v>
      </c>
      <c r="H1350" s="7" t="s">
        <v>4708</v>
      </c>
      <c r="I1350" s="7" t="s">
        <v>5458</v>
      </c>
      <c r="J1350" s="36" t="s">
        <v>1132</v>
      </c>
      <c r="K1350" s="8">
        <v>2.0</v>
      </c>
      <c r="L1350" s="7" t="s">
        <v>16</v>
      </c>
      <c r="M1350" s="5" t="s">
        <v>22</v>
      </c>
      <c r="N1350" s="5" t="s">
        <v>5459</v>
      </c>
      <c r="O1350" s="5"/>
      <c r="P1350" s="5"/>
      <c r="Q1350" s="5"/>
      <c r="R1350" s="5"/>
      <c r="S1350" s="5"/>
      <c r="T1350" s="5"/>
      <c r="U1350" s="5"/>
      <c r="V1350" s="5"/>
      <c r="W1350" s="5"/>
      <c r="X1350" s="5"/>
      <c r="Y1350" s="5"/>
      <c r="Z1350" s="5"/>
    </row>
    <row r="1351">
      <c r="A1351" s="6" t="s">
        <v>5460</v>
      </c>
      <c r="B1351" s="5" t="s">
        <v>1128</v>
      </c>
      <c r="C1351" s="7" t="s">
        <v>5461</v>
      </c>
      <c r="D1351" s="7" t="s">
        <v>2152</v>
      </c>
      <c r="E1351" s="8">
        <v>5.0</v>
      </c>
      <c r="F1351" s="7" t="s">
        <v>105</v>
      </c>
      <c r="G1351" s="5" t="s">
        <v>326</v>
      </c>
      <c r="H1351" s="7" t="s">
        <v>4708</v>
      </c>
      <c r="I1351" s="7" t="s">
        <v>5462</v>
      </c>
      <c r="J1351" s="36" t="s">
        <v>1146</v>
      </c>
      <c r="K1351" s="8">
        <v>3.0</v>
      </c>
      <c r="L1351" s="7" t="s">
        <v>16</v>
      </c>
      <c r="M1351" s="5" t="s">
        <v>36</v>
      </c>
      <c r="N1351" s="5" t="s">
        <v>5463</v>
      </c>
      <c r="O1351" s="5"/>
      <c r="P1351" s="5"/>
      <c r="Q1351" s="5"/>
      <c r="R1351" s="5"/>
      <c r="S1351" s="5"/>
      <c r="T1351" s="5"/>
      <c r="U1351" s="5"/>
      <c r="V1351" s="5"/>
      <c r="W1351" s="5"/>
      <c r="X1351" s="5"/>
      <c r="Y1351" s="5"/>
      <c r="Z1351" s="5"/>
    </row>
    <row r="1352">
      <c r="A1352" s="6" t="s">
        <v>5464</v>
      </c>
      <c r="B1352" s="5" t="s">
        <v>1128</v>
      </c>
      <c r="C1352" s="7" t="s">
        <v>5465</v>
      </c>
      <c r="D1352" s="7" t="s">
        <v>2157</v>
      </c>
      <c r="E1352" s="8">
        <v>3.0</v>
      </c>
      <c r="F1352" s="7" t="s">
        <v>105</v>
      </c>
      <c r="G1352" s="5" t="s">
        <v>461</v>
      </c>
      <c r="H1352" s="7" t="s">
        <v>16</v>
      </c>
      <c r="I1352" s="7" t="s">
        <v>1131</v>
      </c>
      <c r="J1352" s="36" t="s">
        <v>1132</v>
      </c>
      <c r="K1352" s="8">
        <v>3.0</v>
      </c>
      <c r="L1352" s="7" t="s">
        <v>16</v>
      </c>
      <c r="M1352" s="5" t="s">
        <v>36</v>
      </c>
      <c r="N1352" s="5" t="s">
        <v>5466</v>
      </c>
      <c r="O1352" s="5"/>
      <c r="P1352" s="5"/>
      <c r="Q1352" s="5"/>
      <c r="R1352" s="5"/>
      <c r="S1352" s="5"/>
      <c r="T1352" s="5"/>
      <c r="U1352" s="5"/>
      <c r="V1352" s="5"/>
      <c r="W1352" s="5"/>
      <c r="X1352" s="5"/>
      <c r="Y1352" s="5"/>
      <c r="Z1352" s="5"/>
    </row>
    <row r="1353">
      <c r="A1353" s="6" t="s">
        <v>5467</v>
      </c>
      <c r="B1353" s="5" t="s">
        <v>1128</v>
      </c>
      <c r="C1353" s="7" t="s">
        <v>5468</v>
      </c>
      <c r="D1353" s="7" t="s">
        <v>1426</v>
      </c>
      <c r="E1353" s="8">
        <v>2.0</v>
      </c>
      <c r="F1353" s="7" t="s">
        <v>105</v>
      </c>
      <c r="G1353" s="5" t="s">
        <v>461</v>
      </c>
      <c r="H1353" s="7" t="s">
        <v>16</v>
      </c>
      <c r="I1353" s="7" t="s">
        <v>5469</v>
      </c>
      <c r="J1353" s="36" t="s">
        <v>1132</v>
      </c>
      <c r="K1353" s="8">
        <v>2.0</v>
      </c>
      <c r="L1353" s="7" t="s">
        <v>16</v>
      </c>
      <c r="M1353" s="5" t="s">
        <v>75</v>
      </c>
      <c r="N1353" s="5" t="s">
        <v>5470</v>
      </c>
      <c r="O1353" s="5"/>
      <c r="P1353" s="5"/>
      <c r="Q1353" s="5"/>
      <c r="R1353" s="5"/>
      <c r="S1353" s="5"/>
      <c r="T1353" s="5"/>
      <c r="U1353" s="5"/>
      <c r="V1353" s="5"/>
      <c r="W1353" s="5"/>
      <c r="X1353" s="5"/>
      <c r="Y1353" s="5"/>
      <c r="Z1353" s="5"/>
    </row>
    <row r="1354">
      <c r="A1354" s="6" t="s">
        <v>5471</v>
      </c>
      <c r="B1354" s="5" t="s">
        <v>1128</v>
      </c>
      <c r="C1354" s="7" t="s">
        <v>5472</v>
      </c>
      <c r="D1354" s="7" t="s">
        <v>1426</v>
      </c>
      <c r="E1354" s="8">
        <v>3.0</v>
      </c>
      <c r="F1354" s="7" t="s">
        <v>105</v>
      </c>
      <c r="G1354" s="5" t="s">
        <v>461</v>
      </c>
      <c r="H1354" s="7" t="s">
        <v>16</v>
      </c>
      <c r="I1354" s="7" t="s">
        <v>1131</v>
      </c>
      <c r="J1354" s="36" t="s">
        <v>1154</v>
      </c>
      <c r="K1354" s="8">
        <v>3.0</v>
      </c>
      <c r="L1354" s="7" t="s">
        <v>16</v>
      </c>
      <c r="M1354" s="5" t="s">
        <v>75</v>
      </c>
      <c r="N1354" s="5" t="s">
        <v>5473</v>
      </c>
      <c r="O1354" s="5"/>
      <c r="P1354" s="5"/>
      <c r="Q1354" s="5"/>
      <c r="R1354" s="5"/>
      <c r="S1354" s="5"/>
      <c r="T1354" s="5"/>
      <c r="U1354" s="5"/>
      <c r="V1354" s="5"/>
      <c r="W1354" s="5"/>
      <c r="X1354" s="5"/>
      <c r="Y1354" s="5"/>
      <c r="Z1354" s="5"/>
    </row>
    <row r="1355">
      <c r="A1355" s="6" t="s">
        <v>5474</v>
      </c>
      <c r="B1355" s="5" t="s">
        <v>1128</v>
      </c>
      <c r="C1355" s="7" t="s">
        <v>5475</v>
      </c>
      <c r="D1355" s="7" t="s">
        <v>1426</v>
      </c>
      <c r="E1355" s="8">
        <v>1.0</v>
      </c>
      <c r="F1355" s="7" t="s">
        <v>17</v>
      </c>
      <c r="G1355" s="5" t="s">
        <v>326</v>
      </c>
      <c r="H1355" s="7" t="s">
        <v>16</v>
      </c>
      <c r="I1355" s="7" t="s">
        <v>5476</v>
      </c>
      <c r="J1355" s="7" t="s">
        <v>1266</v>
      </c>
      <c r="K1355" s="7" t="s">
        <v>16</v>
      </c>
      <c r="L1355" s="7" t="s">
        <v>16</v>
      </c>
      <c r="M1355" s="5" t="s">
        <v>88</v>
      </c>
      <c r="N1355" s="5" t="s">
        <v>5477</v>
      </c>
      <c r="O1355" s="5"/>
      <c r="P1355" s="5"/>
      <c r="Q1355" s="5"/>
      <c r="R1355" s="5"/>
      <c r="S1355" s="5"/>
      <c r="T1355" s="5"/>
      <c r="U1355" s="5"/>
      <c r="V1355" s="5"/>
      <c r="W1355" s="5"/>
      <c r="X1355" s="5"/>
      <c r="Y1355" s="5"/>
      <c r="Z1355" s="5"/>
    </row>
    <row r="1356">
      <c r="A1356" s="6" t="s">
        <v>5478</v>
      </c>
      <c r="B1356" s="5" t="s">
        <v>1128</v>
      </c>
      <c r="C1356" s="7" t="s">
        <v>5479</v>
      </c>
      <c r="D1356" s="7" t="s">
        <v>2235</v>
      </c>
      <c r="E1356" s="8">
        <v>2.0</v>
      </c>
      <c r="F1356" s="7" t="s">
        <v>105</v>
      </c>
      <c r="G1356" s="5" t="s">
        <v>19</v>
      </c>
      <c r="H1356" s="7" t="s">
        <v>16</v>
      </c>
      <c r="I1356" s="7" t="s">
        <v>5480</v>
      </c>
      <c r="J1356" s="36" t="s">
        <v>4742</v>
      </c>
      <c r="K1356" s="8">
        <v>2.0</v>
      </c>
      <c r="L1356" s="7" t="s">
        <v>16</v>
      </c>
      <c r="M1356" s="5" t="s">
        <v>22</v>
      </c>
      <c r="N1356" s="5" t="s">
        <v>5481</v>
      </c>
      <c r="O1356" s="5"/>
      <c r="P1356" s="5"/>
      <c r="Q1356" s="5"/>
      <c r="R1356" s="5"/>
      <c r="S1356" s="5"/>
      <c r="T1356" s="5"/>
      <c r="U1356" s="5"/>
      <c r="V1356" s="5"/>
      <c r="W1356" s="5"/>
      <c r="X1356" s="5"/>
      <c r="Y1356" s="5"/>
      <c r="Z1356" s="5"/>
    </row>
    <row r="1357">
      <c r="A1357" s="6" t="s">
        <v>5482</v>
      </c>
      <c r="B1357" s="5" t="s">
        <v>1128</v>
      </c>
      <c r="C1357" s="7" t="s">
        <v>5483</v>
      </c>
      <c r="D1357" s="7" t="s">
        <v>2235</v>
      </c>
      <c r="E1357" s="8">
        <v>1.0</v>
      </c>
      <c r="F1357" s="7" t="s">
        <v>17</v>
      </c>
      <c r="G1357" s="5" t="s">
        <v>19</v>
      </c>
      <c r="H1357" s="7" t="s">
        <v>16</v>
      </c>
      <c r="I1357" s="7" t="s">
        <v>1131</v>
      </c>
      <c r="J1357" s="36" t="s">
        <v>1261</v>
      </c>
      <c r="K1357" s="8">
        <v>2.0</v>
      </c>
      <c r="L1357" s="7" t="s">
        <v>16</v>
      </c>
      <c r="M1357" s="5" t="s">
        <v>22</v>
      </c>
      <c r="N1357" s="5" t="s">
        <v>5484</v>
      </c>
      <c r="O1357" s="5"/>
      <c r="P1357" s="5"/>
      <c r="Q1357" s="5"/>
      <c r="R1357" s="5"/>
      <c r="S1357" s="5"/>
      <c r="T1357" s="5"/>
      <c r="U1357" s="5"/>
      <c r="V1357" s="5"/>
      <c r="W1357" s="5"/>
      <c r="X1357" s="5"/>
      <c r="Y1357" s="5"/>
      <c r="Z1357" s="5"/>
    </row>
    <row r="1358">
      <c r="A1358" s="6" t="s">
        <v>5485</v>
      </c>
      <c r="B1358" s="5" t="s">
        <v>1128</v>
      </c>
      <c r="C1358" s="7" t="s">
        <v>5486</v>
      </c>
      <c r="D1358" s="7" t="s">
        <v>2235</v>
      </c>
      <c r="E1358" s="8">
        <v>2.0</v>
      </c>
      <c r="F1358" s="7" t="s">
        <v>17</v>
      </c>
      <c r="G1358" s="5" t="s">
        <v>461</v>
      </c>
      <c r="H1358" s="7" t="s">
        <v>16</v>
      </c>
      <c r="I1358" s="7" t="s">
        <v>5487</v>
      </c>
      <c r="J1358" s="36" t="s">
        <v>1261</v>
      </c>
      <c r="K1358" s="7" t="s">
        <v>4878</v>
      </c>
      <c r="L1358" s="7" t="s">
        <v>16</v>
      </c>
      <c r="M1358" s="5" t="s">
        <v>22</v>
      </c>
      <c r="N1358" s="5" t="s">
        <v>5488</v>
      </c>
      <c r="O1358" s="5"/>
      <c r="P1358" s="5"/>
      <c r="Q1358" s="5"/>
      <c r="R1358" s="5"/>
      <c r="S1358" s="5"/>
      <c r="T1358" s="5"/>
      <c r="U1358" s="5"/>
      <c r="V1358" s="5"/>
      <c r="W1358" s="5"/>
      <c r="X1358" s="5"/>
      <c r="Y1358" s="5"/>
      <c r="Z1358" s="5"/>
    </row>
    <row r="1359">
      <c r="A1359" s="6" t="s">
        <v>5489</v>
      </c>
      <c r="B1359" s="5" t="s">
        <v>1128</v>
      </c>
      <c r="C1359" s="7" t="s">
        <v>5490</v>
      </c>
      <c r="D1359" s="7" t="s">
        <v>2235</v>
      </c>
      <c r="E1359" s="8">
        <v>2.0</v>
      </c>
      <c r="F1359" s="7" t="s">
        <v>172</v>
      </c>
      <c r="G1359" s="5" t="s">
        <v>461</v>
      </c>
      <c r="H1359" s="7" t="s">
        <v>16</v>
      </c>
      <c r="I1359" s="7" t="s">
        <v>5491</v>
      </c>
      <c r="J1359" s="7" t="s">
        <v>1266</v>
      </c>
      <c r="K1359" s="7" t="s">
        <v>16</v>
      </c>
      <c r="L1359" s="7" t="s">
        <v>16</v>
      </c>
      <c r="M1359" s="5" t="s">
        <v>22</v>
      </c>
      <c r="N1359" s="5" t="s">
        <v>5492</v>
      </c>
      <c r="O1359" s="5"/>
      <c r="P1359" s="5"/>
      <c r="Q1359" s="5"/>
      <c r="R1359" s="5"/>
      <c r="S1359" s="5"/>
      <c r="T1359" s="5"/>
      <c r="U1359" s="5"/>
      <c r="V1359" s="5"/>
      <c r="W1359" s="5"/>
      <c r="X1359" s="5"/>
      <c r="Y1359" s="5"/>
      <c r="Z1359" s="5"/>
    </row>
    <row r="1360">
      <c r="A1360" s="6" t="s">
        <v>5493</v>
      </c>
      <c r="B1360" s="5" t="s">
        <v>1128</v>
      </c>
      <c r="C1360" s="7" t="s">
        <v>5494</v>
      </c>
      <c r="D1360" s="7" t="s">
        <v>2162</v>
      </c>
      <c r="E1360" s="8">
        <v>1.0</v>
      </c>
      <c r="F1360" s="7" t="s">
        <v>17</v>
      </c>
      <c r="G1360" s="5" t="s">
        <v>19</v>
      </c>
      <c r="H1360" s="7" t="s">
        <v>16</v>
      </c>
      <c r="I1360" s="7" t="s">
        <v>5495</v>
      </c>
      <c r="J1360" s="7" t="s">
        <v>1266</v>
      </c>
      <c r="K1360" s="7" t="s">
        <v>16</v>
      </c>
      <c r="L1360" s="7" t="s">
        <v>16</v>
      </c>
      <c r="M1360" s="5" t="s">
        <v>22</v>
      </c>
      <c r="N1360" s="5" t="s">
        <v>5496</v>
      </c>
      <c r="O1360" s="5"/>
      <c r="P1360" s="5"/>
      <c r="Q1360" s="5"/>
      <c r="R1360" s="5"/>
      <c r="S1360" s="5"/>
      <c r="T1360" s="5"/>
      <c r="U1360" s="5"/>
      <c r="V1360" s="5"/>
      <c r="W1360" s="5"/>
      <c r="X1360" s="5"/>
      <c r="Y1360" s="5"/>
      <c r="Z1360" s="5"/>
    </row>
    <row r="1361">
      <c r="A1361" s="6" t="s">
        <v>5497</v>
      </c>
      <c r="B1361" s="5" t="s">
        <v>1128</v>
      </c>
      <c r="C1361" s="7" t="s">
        <v>5498</v>
      </c>
      <c r="D1361" s="7" t="s">
        <v>2162</v>
      </c>
      <c r="E1361" s="8">
        <v>3.0</v>
      </c>
      <c r="F1361" s="7" t="s">
        <v>17</v>
      </c>
      <c r="G1361" s="5" t="s">
        <v>461</v>
      </c>
      <c r="H1361" s="7" t="s">
        <v>16</v>
      </c>
      <c r="I1361" s="7" t="s">
        <v>5499</v>
      </c>
      <c r="J1361" s="7" t="s">
        <v>1266</v>
      </c>
      <c r="K1361" s="7" t="s">
        <v>16</v>
      </c>
      <c r="L1361" s="7" t="s">
        <v>16</v>
      </c>
      <c r="M1361" s="5" t="s">
        <v>36</v>
      </c>
      <c r="N1361" s="5" t="s">
        <v>5500</v>
      </c>
      <c r="O1361" s="5"/>
      <c r="P1361" s="5"/>
      <c r="Q1361" s="5"/>
      <c r="R1361" s="5"/>
      <c r="S1361" s="5"/>
      <c r="T1361" s="5"/>
      <c r="U1361" s="5"/>
      <c r="V1361" s="5"/>
      <c r="W1361" s="5"/>
      <c r="X1361" s="5"/>
      <c r="Y1361" s="5"/>
      <c r="Z1361" s="5"/>
    </row>
    <row r="1362">
      <c r="A1362" s="6" t="s">
        <v>5501</v>
      </c>
      <c r="B1362" s="5" t="s">
        <v>1128</v>
      </c>
      <c r="C1362" s="7" t="s">
        <v>5502</v>
      </c>
      <c r="D1362" s="7" t="s">
        <v>2162</v>
      </c>
      <c r="E1362" s="8">
        <v>3.0</v>
      </c>
      <c r="F1362" s="7" t="s">
        <v>17</v>
      </c>
      <c r="G1362" s="5" t="s">
        <v>461</v>
      </c>
      <c r="H1362" s="7" t="s">
        <v>16</v>
      </c>
      <c r="I1362" s="7" t="s">
        <v>5503</v>
      </c>
      <c r="J1362" s="7" t="s">
        <v>1266</v>
      </c>
      <c r="K1362" s="7" t="s">
        <v>16</v>
      </c>
      <c r="L1362" s="7" t="s">
        <v>16</v>
      </c>
      <c r="M1362" s="5" t="s">
        <v>36</v>
      </c>
      <c r="N1362" s="5" t="s">
        <v>5504</v>
      </c>
      <c r="O1362" s="5"/>
      <c r="P1362" s="5"/>
      <c r="Q1362" s="5"/>
      <c r="R1362" s="5"/>
      <c r="S1362" s="5"/>
      <c r="T1362" s="5"/>
      <c r="U1362" s="5"/>
      <c r="V1362" s="5"/>
      <c r="W1362" s="5"/>
      <c r="X1362" s="5"/>
      <c r="Y1362" s="5"/>
      <c r="Z1362" s="5"/>
    </row>
    <row r="1363">
      <c r="A1363" s="6" t="s">
        <v>5505</v>
      </c>
      <c r="B1363" s="5" t="s">
        <v>1128</v>
      </c>
      <c r="C1363" s="7" t="s">
        <v>5506</v>
      </c>
      <c r="D1363" s="7" t="s">
        <v>2162</v>
      </c>
      <c r="E1363" s="8">
        <v>6.0</v>
      </c>
      <c r="F1363" s="7" t="s">
        <v>105</v>
      </c>
      <c r="G1363" s="5" t="s">
        <v>326</v>
      </c>
      <c r="H1363" s="7" t="s">
        <v>16</v>
      </c>
      <c r="I1363" s="7" t="s">
        <v>5507</v>
      </c>
      <c r="J1363" s="36" t="s">
        <v>1161</v>
      </c>
      <c r="K1363" s="8">
        <v>3.0</v>
      </c>
      <c r="L1363" s="7" t="s">
        <v>16</v>
      </c>
      <c r="M1363" s="5" t="s">
        <v>88</v>
      </c>
      <c r="N1363" s="5" t="s">
        <v>5508</v>
      </c>
      <c r="O1363" s="5"/>
      <c r="P1363" s="5"/>
      <c r="Q1363" s="5"/>
      <c r="R1363" s="5"/>
      <c r="S1363" s="5"/>
      <c r="T1363" s="5"/>
      <c r="U1363" s="5"/>
      <c r="V1363" s="5"/>
      <c r="W1363" s="5"/>
      <c r="X1363" s="5"/>
      <c r="Y1363" s="5"/>
      <c r="Z1363" s="5"/>
    </row>
    <row r="1364">
      <c r="A1364" s="6" t="s">
        <v>5509</v>
      </c>
      <c r="B1364" s="5" t="s">
        <v>1128</v>
      </c>
      <c r="C1364" s="7" t="s">
        <v>5510</v>
      </c>
      <c r="D1364" s="7" t="s">
        <v>2167</v>
      </c>
      <c r="E1364" s="8">
        <v>3.0</v>
      </c>
      <c r="F1364" s="7" t="s">
        <v>105</v>
      </c>
      <c r="G1364" s="5" t="s">
        <v>461</v>
      </c>
      <c r="H1364" s="7" t="s">
        <v>16</v>
      </c>
      <c r="I1364" s="7" t="s">
        <v>5511</v>
      </c>
      <c r="J1364" s="36" t="s">
        <v>1137</v>
      </c>
      <c r="K1364" s="8">
        <v>3.0</v>
      </c>
      <c r="L1364" s="7" t="s">
        <v>16</v>
      </c>
      <c r="M1364" s="5" t="s">
        <v>75</v>
      </c>
      <c r="N1364" s="5" t="s">
        <v>5512</v>
      </c>
      <c r="O1364" s="5"/>
      <c r="P1364" s="5"/>
      <c r="Q1364" s="5"/>
      <c r="R1364" s="5"/>
      <c r="S1364" s="5"/>
      <c r="T1364" s="5"/>
      <c r="U1364" s="5"/>
      <c r="V1364" s="5"/>
      <c r="W1364" s="5"/>
      <c r="X1364" s="5"/>
      <c r="Y1364" s="5"/>
      <c r="Z1364" s="5"/>
    </row>
    <row r="1365">
      <c r="A1365" s="6" t="s">
        <v>5513</v>
      </c>
      <c r="B1365" s="5" t="s">
        <v>1128</v>
      </c>
      <c r="C1365" s="7" t="s">
        <v>5514</v>
      </c>
      <c r="D1365" s="7" t="s">
        <v>2167</v>
      </c>
      <c r="E1365" s="8">
        <v>3.0</v>
      </c>
      <c r="F1365" s="7" t="s">
        <v>17</v>
      </c>
      <c r="G1365" s="5" t="s">
        <v>461</v>
      </c>
      <c r="H1365" s="7" t="s">
        <v>16</v>
      </c>
      <c r="I1365" s="7" t="s">
        <v>5515</v>
      </c>
      <c r="J1365" s="36" t="s">
        <v>1132</v>
      </c>
      <c r="K1365" s="7" t="s">
        <v>16</v>
      </c>
      <c r="L1365" s="7" t="s">
        <v>16</v>
      </c>
      <c r="M1365" s="5" t="s">
        <v>75</v>
      </c>
      <c r="N1365" s="5" t="s">
        <v>5516</v>
      </c>
      <c r="O1365" s="5"/>
      <c r="P1365" s="5"/>
      <c r="Q1365" s="5"/>
      <c r="R1365" s="5"/>
      <c r="S1365" s="5"/>
      <c r="T1365" s="5"/>
      <c r="U1365" s="5"/>
      <c r="V1365" s="5"/>
      <c r="W1365" s="5"/>
      <c r="X1365" s="5"/>
      <c r="Y1365" s="5"/>
      <c r="Z1365" s="5"/>
    </row>
    <row r="1366">
      <c r="A1366" s="6" t="s">
        <v>5517</v>
      </c>
      <c r="B1366" s="5" t="s">
        <v>1128</v>
      </c>
      <c r="C1366" s="7" t="s">
        <v>5518</v>
      </c>
      <c r="D1366" s="7" t="s">
        <v>2167</v>
      </c>
      <c r="E1366" s="8">
        <v>3.0</v>
      </c>
      <c r="F1366" s="7" t="s">
        <v>17</v>
      </c>
      <c r="G1366" s="5" t="s">
        <v>461</v>
      </c>
      <c r="H1366" s="7" t="s">
        <v>4955</v>
      </c>
      <c r="I1366" s="7" t="s">
        <v>5519</v>
      </c>
      <c r="J1366" s="36" t="s">
        <v>1132</v>
      </c>
      <c r="K1366" s="8">
        <v>2.0</v>
      </c>
      <c r="L1366" s="7" t="s">
        <v>16</v>
      </c>
      <c r="M1366" s="5" t="s">
        <v>75</v>
      </c>
      <c r="N1366" s="5" t="s">
        <v>5520</v>
      </c>
      <c r="O1366" s="5"/>
      <c r="P1366" s="5"/>
      <c r="Q1366" s="5"/>
      <c r="R1366" s="5"/>
      <c r="S1366" s="5"/>
      <c r="T1366" s="5"/>
      <c r="U1366" s="5"/>
      <c r="V1366" s="5"/>
      <c r="W1366" s="5"/>
      <c r="X1366" s="5"/>
      <c r="Y1366" s="5"/>
      <c r="Z1366" s="5"/>
    </row>
    <row r="1367">
      <c r="A1367" s="6" t="s">
        <v>5521</v>
      </c>
      <c r="B1367" s="5" t="s">
        <v>1128</v>
      </c>
      <c r="C1367" s="7" t="s">
        <v>5522</v>
      </c>
      <c r="D1367" s="7" t="s">
        <v>2167</v>
      </c>
      <c r="E1367" s="8">
        <v>3.0</v>
      </c>
      <c r="F1367" s="7" t="s">
        <v>105</v>
      </c>
      <c r="G1367" s="5" t="s">
        <v>461</v>
      </c>
      <c r="H1367" s="7" t="s">
        <v>16</v>
      </c>
      <c r="I1367" s="7" t="s">
        <v>5523</v>
      </c>
      <c r="J1367" s="36" t="s">
        <v>1132</v>
      </c>
      <c r="K1367" s="8">
        <v>2.0</v>
      </c>
      <c r="L1367" s="7" t="s">
        <v>16</v>
      </c>
      <c r="M1367" s="5" t="s">
        <v>75</v>
      </c>
      <c r="N1367" s="5" t="s">
        <v>5524</v>
      </c>
      <c r="O1367" s="5"/>
      <c r="P1367" s="5"/>
      <c r="Q1367" s="5"/>
      <c r="R1367" s="5"/>
      <c r="S1367" s="5"/>
      <c r="T1367" s="5"/>
      <c r="U1367" s="5"/>
      <c r="V1367" s="5"/>
      <c r="W1367" s="5"/>
      <c r="X1367" s="5"/>
      <c r="Y1367" s="5"/>
      <c r="Z1367" s="5"/>
    </row>
    <row r="1368">
      <c r="A1368" s="6" t="s">
        <v>5525</v>
      </c>
      <c r="B1368" s="5" t="s">
        <v>1128</v>
      </c>
      <c r="C1368" s="7" t="s">
        <v>5526</v>
      </c>
      <c r="D1368" s="7" t="s">
        <v>2167</v>
      </c>
      <c r="E1368" s="8">
        <v>3.0</v>
      </c>
      <c r="F1368" s="7" t="s">
        <v>17</v>
      </c>
      <c r="G1368" s="5" t="s">
        <v>461</v>
      </c>
      <c r="H1368" s="7" t="s">
        <v>16</v>
      </c>
      <c r="I1368" s="7" t="s">
        <v>5527</v>
      </c>
      <c r="J1368" s="36" t="s">
        <v>1132</v>
      </c>
      <c r="K1368" s="7" t="s">
        <v>16</v>
      </c>
      <c r="L1368" s="7" t="s">
        <v>16</v>
      </c>
      <c r="M1368" s="5" t="s">
        <v>75</v>
      </c>
      <c r="N1368" s="5" t="s">
        <v>5528</v>
      </c>
      <c r="O1368" s="5"/>
      <c r="P1368" s="5"/>
      <c r="Q1368" s="5"/>
      <c r="R1368" s="5"/>
      <c r="S1368" s="5"/>
      <c r="T1368" s="5"/>
      <c r="U1368" s="5"/>
      <c r="V1368" s="5"/>
      <c r="W1368" s="5"/>
      <c r="X1368" s="5"/>
      <c r="Y1368" s="5"/>
      <c r="Z1368" s="5"/>
    </row>
    <row r="1369">
      <c r="A1369" s="17" t="s">
        <v>5529</v>
      </c>
      <c r="B1369" s="5" t="s">
        <v>1128</v>
      </c>
      <c r="C1369" s="7" t="s">
        <v>5530</v>
      </c>
      <c r="D1369" s="7" t="s">
        <v>2167</v>
      </c>
      <c r="E1369" s="8">
        <v>5.0</v>
      </c>
      <c r="F1369" s="7" t="s">
        <v>17</v>
      </c>
      <c r="G1369" s="5" t="s">
        <v>326</v>
      </c>
      <c r="H1369" s="7" t="s">
        <v>16</v>
      </c>
      <c r="I1369" s="7" t="s">
        <v>5531</v>
      </c>
      <c r="J1369" s="36" t="s">
        <v>4746</v>
      </c>
      <c r="K1369" s="8">
        <v>5.0</v>
      </c>
      <c r="L1369" s="7" t="s">
        <v>16</v>
      </c>
      <c r="M1369" s="5" t="s">
        <v>88</v>
      </c>
      <c r="N1369" s="5" t="s">
        <v>5532</v>
      </c>
      <c r="O1369" s="5"/>
      <c r="P1369" s="5"/>
      <c r="Q1369" s="5"/>
      <c r="R1369" s="5"/>
      <c r="S1369" s="5"/>
      <c r="T1369" s="5"/>
      <c r="U1369" s="5"/>
      <c r="V1369" s="5"/>
      <c r="W1369" s="5"/>
      <c r="X1369" s="5"/>
      <c r="Y1369" s="5"/>
      <c r="Z1369" s="5"/>
    </row>
    <row r="1370">
      <c r="A1370" s="17" t="s">
        <v>5533</v>
      </c>
      <c r="B1370" s="5" t="s">
        <v>1128</v>
      </c>
      <c r="C1370" s="7" t="s">
        <v>5534</v>
      </c>
      <c r="D1370" s="7" t="s">
        <v>2172</v>
      </c>
      <c r="E1370" s="8">
        <v>1.0</v>
      </c>
      <c r="F1370" s="7" t="s">
        <v>17</v>
      </c>
      <c r="G1370" s="5" t="s">
        <v>19</v>
      </c>
      <c r="H1370" s="7" t="s">
        <v>16</v>
      </c>
      <c r="I1370" s="7" t="s">
        <v>5535</v>
      </c>
      <c r="J1370" s="36" t="s">
        <v>4861</v>
      </c>
      <c r="K1370" s="8">
        <v>1.0</v>
      </c>
      <c r="L1370" s="7" t="s">
        <v>16</v>
      </c>
      <c r="M1370" s="5" t="s">
        <v>22</v>
      </c>
      <c r="N1370" s="5" t="s">
        <v>5536</v>
      </c>
      <c r="O1370" s="5"/>
      <c r="P1370" s="5"/>
      <c r="Q1370" s="5"/>
      <c r="R1370" s="5"/>
      <c r="S1370" s="5"/>
      <c r="T1370" s="5"/>
      <c r="U1370" s="5"/>
      <c r="V1370" s="5"/>
      <c r="W1370" s="5"/>
      <c r="X1370" s="5"/>
      <c r="Y1370" s="5"/>
      <c r="Z1370" s="5"/>
    </row>
    <row r="1371">
      <c r="A1371" s="6" t="s">
        <v>5537</v>
      </c>
      <c r="B1371" s="5" t="s">
        <v>1128</v>
      </c>
      <c r="C1371" s="7" t="s">
        <v>5538</v>
      </c>
      <c r="D1371" s="7" t="s">
        <v>2172</v>
      </c>
      <c r="E1371" s="8">
        <v>1.0</v>
      </c>
      <c r="F1371" s="7" t="s">
        <v>172</v>
      </c>
      <c r="G1371" s="5" t="s">
        <v>19</v>
      </c>
      <c r="H1371" s="7" t="s">
        <v>16</v>
      </c>
      <c r="I1371" s="7" t="s">
        <v>5539</v>
      </c>
      <c r="J1371" s="36" t="s">
        <v>1132</v>
      </c>
      <c r="K1371" s="7" t="s">
        <v>16</v>
      </c>
      <c r="L1371" s="7" t="s">
        <v>16</v>
      </c>
      <c r="M1371" s="5" t="s">
        <v>22</v>
      </c>
      <c r="N1371" s="5" t="s">
        <v>5540</v>
      </c>
      <c r="O1371" s="5"/>
      <c r="P1371" s="5"/>
      <c r="Q1371" s="5"/>
      <c r="R1371" s="5"/>
      <c r="S1371" s="5"/>
      <c r="T1371" s="5"/>
      <c r="U1371" s="5"/>
      <c r="V1371" s="5"/>
      <c r="W1371" s="5"/>
      <c r="X1371" s="5"/>
      <c r="Y1371" s="5"/>
      <c r="Z1371" s="5"/>
    </row>
    <row r="1372">
      <c r="A1372" s="6" t="s">
        <v>5541</v>
      </c>
      <c r="B1372" s="5" t="s">
        <v>1128</v>
      </c>
      <c r="C1372" s="7" t="s">
        <v>5542</v>
      </c>
      <c r="D1372" s="7" t="s">
        <v>2172</v>
      </c>
      <c r="E1372" s="8">
        <v>3.0</v>
      </c>
      <c r="F1372" s="7" t="s">
        <v>17</v>
      </c>
      <c r="G1372" s="5" t="s">
        <v>19</v>
      </c>
      <c r="H1372" s="7" t="s">
        <v>16</v>
      </c>
      <c r="I1372" s="7" t="s">
        <v>5543</v>
      </c>
      <c r="J1372" s="36" t="s">
        <v>1261</v>
      </c>
      <c r="K1372" s="8">
        <v>2.0</v>
      </c>
      <c r="L1372" s="7" t="s">
        <v>16</v>
      </c>
      <c r="M1372" s="5" t="s">
        <v>22</v>
      </c>
      <c r="N1372" s="5" t="s">
        <v>5544</v>
      </c>
      <c r="O1372" s="5"/>
      <c r="P1372" s="5"/>
      <c r="Q1372" s="5"/>
      <c r="R1372" s="5"/>
      <c r="S1372" s="5"/>
      <c r="T1372" s="5"/>
      <c r="U1372" s="5"/>
      <c r="V1372" s="5"/>
      <c r="W1372" s="5"/>
      <c r="X1372" s="5"/>
      <c r="Y1372" s="5"/>
      <c r="Z1372" s="5"/>
    </row>
    <row r="1373">
      <c r="A1373" s="17" t="s">
        <v>5545</v>
      </c>
      <c r="B1373" s="5" t="s">
        <v>1128</v>
      </c>
      <c r="C1373" s="7" t="s">
        <v>5546</v>
      </c>
      <c r="D1373" s="7" t="s">
        <v>2172</v>
      </c>
      <c r="E1373" s="8">
        <v>4.0</v>
      </c>
      <c r="F1373" s="7" t="s">
        <v>105</v>
      </c>
      <c r="G1373" s="5" t="s">
        <v>461</v>
      </c>
      <c r="H1373" s="7" t="s">
        <v>16</v>
      </c>
      <c r="I1373" s="7" t="s">
        <v>5547</v>
      </c>
      <c r="J1373" s="36" t="s">
        <v>1137</v>
      </c>
      <c r="K1373" s="7" t="s">
        <v>4878</v>
      </c>
      <c r="L1373" s="7" t="s">
        <v>16</v>
      </c>
      <c r="M1373" s="5" t="s">
        <v>75</v>
      </c>
      <c r="N1373" s="5" t="s">
        <v>5548</v>
      </c>
      <c r="O1373" s="5"/>
      <c r="P1373" s="5"/>
      <c r="Q1373" s="5"/>
      <c r="R1373" s="5"/>
      <c r="S1373" s="5"/>
      <c r="T1373" s="5"/>
      <c r="U1373" s="5"/>
      <c r="V1373" s="5"/>
      <c r="W1373" s="5"/>
      <c r="X1373" s="5"/>
      <c r="Y1373" s="5"/>
      <c r="Z1373" s="5"/>
    </row>
    <row r="1374">
      <c r="A1374" s="17" t="s">
        <v>5549</v>
      </c>
      <c r="B1374" s="5" t="s">
        <v>1128</v>
      </c>
      <c r="C1374" s="7" t="s">
        <v>1129</v>
      </c>
      <c r="D1374" s="7" t="s">
        <v>1068</v>
      </c>
      <c r="E1374" s="8">
        <v>2.0</v>
      </c>
      <c r="F1374" s="7" t="s">
        <v>105</v>
      </c>
      <c r="G1374" s="5" t="s">
        <v>19</v>
      </c>
      <c r="H1374" s="7" t="s">
        <v>1130</v>
      </c>
      <c r="I1374" s="7" t="s">
        <v>5550</v>
      </c>
      <c r="J1374" s="36" t="s">
        <v>4742</v>
      </c>
      <c r="K1374" s="8">
        <v>2.0</v>
      </c>
      <c r="L1374" s="7" t="s">
        <v>16</v>
      </c>
      <c r="M1374" s="5" t="s">
        <v>22</v>
      </c>
      <c r="N1374" s="5" t="s">
        <v>5551</v>
      </c>
      <c r="O1374" s="5"/>
      <c r="P1374" s="5"/>
      <c r="Q1374" s="5"/>
      <c r="R1374" s="5"/>
      <c r="S1374" s="5"/>
      <c r="T1374" s="5"/>
      <c r="U1374" s="5"/>
      <c r="V1374" s="5"/>
      <c r="W1374" s="5"/>
      <c r="X1374" s="5"/>
      <c r="Y1374" s="5"/>
      <c r="Z1374" s="5"/>
    </row>
    <row r="1375">
      <c r="A1375" s="6" t="s">
        <v>5552</v>
      </c>
      <c r="B1375" s="5" t="s">
        <v>1128</v>
      </c>
      <c r="C1375" s="7" t="s">
        <v>1253</v>
      </c>
      <c r="D1375" s="7" t="s">
        <v>1068</v>
      </c>
      <c r="E1375" s="8">
        <v>2.0</v>
      </c>
      <c r="F1375" s="7" t="s">
        <v>105</v>
      </c>
      <c r="G1375" s="5" t="s">
        <v>461</v>
      </c>
      <c r="H1375" s="7" t="s">
        <v>1130</v>
      </c>
      <c r="I1375" s="7" t="s">
        <v>5553</v>
      </c>
      <c r="J1375" s="36" t="s">
        <v>1137</v>
      </c>
      <c r="K1375" s="8">
        <v>2.0</v>
      </c>
      <c r="L1375" s="7" t="s">
        <v>16</v>
      </c>
      <c r="M1375" s="5" t="s">
        <v>36</v>
      </c>
      <c r="N1375" s="5" t="s">
        <v>5554</v>
      </c>
      <c r="O1375" s="5"/>
      <c r="P1375" s="5"/>
      <c r="Q1375" s="5"/>
      <c r="R1375" s="5"/>
      <c r="S1375" s="5"/>
      <c r="T1375" s="5"/>
      <c r="U1375" s="5"/>
      <c r="V1375" s="5"/>
      <c r="W1375" s="5"/>
      <c r="X1375" s="5"/>
      <c r="Y1375" s="5"/>
      <c r="Z1375" s="5"/>
    </row>
    <row r="1376">
      <c r="A1376" s="6" t="s">
        <v>5555</v>
      </c>
      <c r="B1376" s="5" t="s">
        <v>1128</v>
      </c>
      <c r="C1376" s="7" t="s">
        <v>5556</v>
      </c>
      <c r="D1376" s="7" t="s">
        <v>2207</v>
      </c>
      <c r="E1376" s="8">
        <v>2.0</v>
      </c>
      <c r="F1376" s="7" t="s">
        <v>105</v>
      </c>
      <c r="G1376" s="5" t="s">
        <v>19</v>
      </c>
      <c r="H1376" s="7" t="s">
        <v>16</v>
      </c>
      <c r="I1376" s="7" t="s">
        <v>5557</v>
      </c>
      <c r="J1376" s="36" t="s">
        <v>1261</v>
      </c>
      <c r="K1376" s="8">
        <v>1.0</v>
      </c>
      <c r="L1376" s="7" t="s">
        <v>16</v>
      </c>
      <c r="M1376" s="5" t="s">
        <v>22</v>
      </c>
      <c r="N1376" s="5" t="s">
        <v>5558</v>
      </c>
      <c r="O1376" s="5"/>
      <c r="P1376" s="5"/>
      <c r="Q1376" s="5"/>
      <c r="R1376" s="5"/>
      <c r="S1376" s="5"/>
      <c r="T1376" s="5"/>
      <c r="U1376" s="5"/>
      <c r="V1376" s="5"/>
      <c r="W1376" s="5"/>
      <c r="X1376" s="5"/>
      <c r="Y1376" s="5"/>
      <c r="Z1376" s="5"/>
    </row>
    <row r="1377">
      <c r="A1377" s="17" t="s">
        <v>5559</v>
      </c>
      <c r="B1377" s="5" t="s">
        <v>1128</v>
      </c>
      <c r="C1377" s="7" t="s">
        <v>5560</v>
      </c>
      <c r="D1377" s="7" t="s">
        <v>2207</v>
      </c>
      <c r="E1377" s="8">
        <v>4.0</v>
      </c>
      <c r="F1377" s="7" t="s">
        <v>105</v>
      </c>
      <c r="G1377" s="5" t="s">
        <v>461</v>
      </c>
      <c r="H1377" s="7" t="s">
        <v>16</v>
      </c>
      <c r="I1377" s="7" t="s">
        <v>5561</v>
      </c>
      <c r="J1377" s="36" t="s">
        <v>1137</v>
      </c>
      <c r="K1377" s="8">
        <v>2.0</v>
      </c>
      <c r="L1377" s="7" t="s">
        <v>16</v>
      </c>
      <c r="M1377" s="5" t="s">
        <v>22</v>
      </c>
      <c r="N1377" s="5" t="s">
        <v>5562</v>
      </c>
      <c r="O1377" s="5"/>
      <c r="P1377" s="5"/>
      <c r="Q1377" s="5"/>
      <c r="R1377" s="5"/>
      <c r="S1377" s="5"/>
      <c r="T1377" s="5"/>
      <c r="U1377" s="5"/>
      <c r="V1377" s="5"/>
      <c r="W1377" s="5"/>
      <c r="X1377" s="5"/>
      <c r="Y1377" s="5"/>
      <c r="Z1377" s="5"/>
    </row>
    <row r="1378">
      <c r="A1378" s="17" t="s">
        <v>5563</v>
      </c>
      <c r="B1378" s="5" t="s">
        <v>1128</v>
      </c>
      <c r="C1378" s="7" t="s">
        <v>5564</v>
      </c>
      <c r="D1378" s="7" t="s">
        <v>2207</v>
      </c>
      <c r="E1378" s="8">
        <v>6.0</v>
      </c>
      <c r="F1378" s="7" t="s">
        <v>105</v>
      </c>
      <c r="G1378" s="5" t="s">
        <v>326</v>
      </c>
      <c r="H1378" s="7" t="s">
        <v>16</v>
      </c>
      <c r="I1378" s="7" t="s">
        <v>4627</v>
      </c>
      <c r="J1378" s="36" t="s">
        <v>1154</v>
      </c>
      <c r="K1378" s="8">
        <v>3.0</v>
      </c>
      <c r="L1378" s="7" t="s">
        <v>16</v>
      </c>
      <c r="M1378" s="5" t="s">
        <v>75</v>
      </c>
      <c r="N1378" s="5" t="s">
        <v>5565</v>
      </c>
      <c r="O1378" s="5"/>
      <c r="P1378" s="5"/>
      <c r="Q1378" s="5"/>
      <c r="R1378" s="5"/>
      <c r="S1378" s="5"/>
      <c r="T1378" s="5"/>
      <c r="U1378" s="5"/>
      <c r="V1378" s="5"/>
      <c r="W1378" s="5"/>
      <c r="X1378" s="5"/>
      <c r="Y1378" s="5"/>
      <c r="Z1378" s="5"/>
    </row>
    <row r="1379">
      <c r="A1379" s="6" t="s">
        <v>5566</v>
      </c>
      <c r="B1379" s="5" t="s">
        <v>1128</v>
      </c>
      <c r="C1379" s="7" t="s">
        <v>4486</v>
      </c>
      <c r="D1379" s="13" t="s">
        <v>5567</v>
      </c>
      <c r="E1379" s="7" t="s">
        <v>16</v>
      </c>
      <c r="F1379" s="7" t="s">
        <v>16</v>
      </c>
      <c r="G1379" s="5" t="s">
        <v>326</v>
      </c>
      <c r="H1379" s="7" t="s">
        <v>1130</v>
      </c>
      <c r="I1379" s="7" t="s">
        <v>5568</v>
      </c>
      <c r="J1379" s="36" t="s">
        <v>5569</v>
      </c>
      <c r="K1379" s="7" t="s">
        <v>16</v>
      </c>
      <c r="L1379" s="7" t="s">
        <v>16</v>
      </c>
      <c r="M1379" s="5" t="s">
        <v>88</v>
      </c>
      <c r="N1379" s="5" t="s">
        <v>5570</v>
      </c>
      <c r="O1379" s="5"/>
      <c r="P1379" s="5"/>
      <c r="Q1379" s="5"/>
      <c r="R1379" s="5"/>
      <c r="S1379" s="5"/>
      <c r="T1379" s="5"/>
      <c r="U1379" s="5"/>
      <c r="V1379" s="5"/>
      <c r="W1379" s="5"/>
      <c r="X1379" s="5"/>
      <c r="Y1379" s="5"/>
      <c r="Z1379" s="5"/>
    </row>
    <row r="1380">
      <c r="A1380" s="6" t="s">
        <v>5571</v>
      </c>
      <c r="B1380" s="5" t="s">
        <v>1128</v>
      </c>
      <c r="C1380" s="7" t="s">
        <v>4486</v>
      </c>
      <c r="D1380" s="13" t="s">
        <v>5567</v>
      </c>
      <c r="E1380" s="8">
        <v>4.0</v>
      </c>
      <c r="F1380" s="7" t="s">
        <v>17</v>
      </c>
      <c r="G1380" s="5" t="s">
        <v>19</v>
      </c>
      <c r="H1380" s="7" t="s">
        <v>1130</v>
      </c>
      <c r="I1380" s="7" t="s">
        <v>5572</v>
      </c>
      <c r="J1380" s="7" t="s">
        <v>16</v>
      </c>
      <c r="K1380" s="8">
        <v>4.0</v>
      </c>
      <c r="L1380" s="7" t="s">
        <v>16</v>
      </c>
      <c r="M1380" s="5" t="s">
        <v>88</v>
      </c>
      <c r="N1380" s="5" t="s">
        <v>5573</v>
      </c>
      <c r="O1380" s="5"/>
      <c r="P1380" s="5"/>
      <c r="Q1380" s="5"/>
      <c r="R1380" s="5"/>
      <c r="S1380" s="5"/>
      <c r="T1380" s="5"/>
      <c r="U1380" s="5"/>
      <c r="V1380" s="5"/>
      <c r="W1380" s="5"/>
      <c r="X1380" s="5"/>
      <c r="Y1380" s="5"/>
      <c r="Z1380" s="5"/>
    </row>
    <row r="1381">
      <c r="A1381" s="6" t="s">
        <v>5574</v>
      </c>
      <c r="B1381" s="5" t="s">
        <v>1128</v>
      </c>
      <c r="C1381" s="7" t="s">
        <v>5396</v>
      </c>
      <c r="D1381" s="7" t="s">
        <v>1421</v>
      </c>
      <c r="E1381" s="8">
        <v>1.0</v>
      </c>
      <c r="F1381" s="7" t="s">
        <v>17</v>
      </c>
      <c r="G1381" s="5" t="s">
        <v>19</v>
      </c>
      <c r="H1381" s="7" t="s">
        <v>16</v>
      </c>
      <c r="I1381" s="7" t="s">
        <v>5575</v>
      </c>
      <c r="J1381" s="7" t="s">
        <v>1266</v>
      </c>
      <c r="K1381" s="7" t="s">
        <v>16</v>
      </c>
      <c r="L1381" s="7" t="s">
        <v>16</v>
      </c>
      <c r="M1381" s="5" t="s">
        <v>36</v>
      </c>
      <c r="N1381" s="5" t="s">
        <v>5576</v>
      </c>
      <c r="O1381" s="5"/>
      <c r="P1381" s="5"/>
      <c r="Q1381" s="5"/>
      <c r="R1381" s="5"/>
      <c r="S1381" s="5"/>
      <c r="T1381" s="5"/>
      <c r="U1381" s="5"/>
      <c r="V1381" s="5"/>
      <c r="W1381" s="5"/>
      <c r="X1381" s="5"/>
      <c r="Y1381" s="5"/>
      <c r="Z1381" s="5"/>
    </row>
    <row r="1382">
      <c r="A1382" s="6" t="s">
        <v>5577</v>
      </c>
      <c r="B1382" s="5" t="s">
        <v>1128</v>
      </c>
      <c r="C1382" s="7" t="s">
        <v>5400</v>
      </c>
      <c r="D1382" s="7" t="s">
        <v>1421</v>
      </c>
      <c r="E1382" s="8">
        <v>2.0</v>
      </c>
      <c r="F1382" s="7" t="s">
        <v>105</v>
      </c>
      <c r="G1382" s="5" t="s">
        <v>326</v>
      </c>
      <c r="H1382" s="7" t="s">
        <v>16</v>
      </c>
      <c r="I1382" s="7" t="s">
        <v>5578</v>
      </c>
      <c r="J1382" s="36" t="s">
        <v>4861</v>
      </c>
      <c r="K1382" s="8">
        <v>0.0</v>
      </c>
      <c r="L1382" s="7" t="s">
        <v>16</v>
      </c>
      <c r="M1382" s="5" t="s">
        <v>88</v>
      </c>
      <c r="N1382" s="5" t="s">
        <v>5579</v>
      </c>
      <c r="O1382" s="5"/>
      <c r="P1382" s="5"/>
      <c r="Q1382" s="5"/>
      <c r="R1382" s="5"/>
      <c r="S1382" s="5"/>
      <c r="T1382" s="5"/>
      <c r="U1382" s="5"/>
      <c r="V1382" s="5"/>
      <c r="W1382" s="5"/>
      <c r="X1382" s="5"/>
      <c r="Y1382" s="5"/>
      <c r="Z1382" s="5"/>
    </row>
    <row r="1383">
      <c r="A1383" s="17" t="s">
        <v>5580</v>
      </c>
      <c r="B1383" s="5" t="s">
        <v>1128</v>
      </c>
      <c r="C1383" s="7" t="s">
        <v>5581</v>
      </c>
      <c r="D1383" s="7" t="s">
        <v>1426</v>
      </c>
      <c r="E1383" s="8">
        <v>1.0</v>
      </c>
      <c r="F1383" s="7" t="s">
        <v>105</v>
      </c>
      <c r="G1383" s="5" t="s">
        <v>19</v>
      </c>
      <c r="H1383" s="7" t="s">
        <v>16</v>
      </c>
      <c r="I1383" s="7" t="s">
        <v>5582</v>
      </c>
      <c r="J1383" s="36" t="s">
        <v>4742</v>
      </c>
      <c r="K1383" s="8">
        <v>1.0</v>
      </c>
      <c r="L1383" s="7" t="s">
        <v>16</v>
      </c>
      <c r="M1383" s="5" t="s">
        <v>22</v>
      </c>
      <c r="N1383" s="5" t="s">
        <v>5583</v>
      </c>
      <c r="O1383" s="5"/>
      <c r="P1383" s="5"/>
      <c r="Q1383" s="5"/>
      <c r="R1383" s="5"/>
      <c r="S1383" s="5"/>
      <c r="T1383" s="5"/>
      <c r="U1383" s="5"/>
      <c r="V1383" s="5"/>
      <c r="W1383" s="5"/>
      <c r="X1383" s="5"/>
      <c r="Y1383" s="5"/>
      <c r="Z1383" s="5"/>
    </row>
    <row r="1384">
      <c r="A1384" s="17" t="s">
        <v>5584</v>
      </c>
      <c r="B1384" s="5" t="s">
        <v>1128</v>
      </c>
      <c r="C1384" s="7" t="s">
        <v>5585</v>
      </c>
      <c r="D1384" s="7" t="s">
        <v>1426</v>
      </c>
      <c r="E1384" s="8">
        <v>1.0</v>
      </c>
      <c r="F1384" s="7" t="s">
        <v>172</v>
      </c>
      <c r="G1384" s="5" t="s">
        <v>19</v>
      </c>
      <c r="H1384" s="7" t="s">
        <v>16</v>
      </c>
      <c r="I1384" s="7" t="s">
        <v>1153</v>
      </c>
      <c r="J1384" s="36" t="s">
        <v>1146</v>
      </c>
      <c r="K1384" s="7" t="s">
        <v>16</v>
      </c>
      <c r="L1384" s="7" t="s">
        <v>16</v>
      </c>
      <c r="M1384" s="5" t="s">
        <v>22</v>
      </c>
      <c r="N1384" s="5" t="s">
        <v>5586</v>
      </c>
      <c r="O1384" s="5"/>
      <c r="P1384" s="5"/>
      <c r="Q1384" s="5"/>
      <c r="R1384" s="5"/>
      <c r="S1384" s="5"/>
      <c r="T1384" s="5"/>
      <c r="U1384" s="5"/>
      <c r="V1384" s="5"/>
      <c r="W1384" s="5"/>
      <c r="X1384" s="5"/>
      <c r="Y1384" s="5"/>
      <c r="Z1384" s="5"/>
    </row>
    <row r="1385">
      <c r="A1385" s="6" t="s">
        <v>5587</v>
      </c>
      <c r="B1385" s="5" t="s">
        <v>1128</v>
      </c>
      <c r="C1385" s="7" t="s">
        <v>5588</v>
      </c>
      <c r="D1385" s="7" t="s">
        <v>2235</v>
      </c>
      <c r="E1385" s="8">
        <v>2.0</v>
      </c>
      <c r="F1385" s="7" t="s">
        <v>17</v>
      </c>
      <c r="G1385" s="5" t="s">
        <v>19</v>
      </c>
      <c r="H1385" s="7" t="s">
        <v>16</v>
      </c>
      <c r="I1385" s="7" t="s">
        <v>5589</v>
      </c>
      <c r="J1385" s="7" t="s">
        <v>1266</v>
      </c>
      <c r="K1385" s="7" t="s">
        <v>16</v>
      </c>
      <c r="L1385" s="7" t="s">
        <v>16</v>
      </c>
      <c r="M1385" s="5" t="s">
        <v>22</v>
      </c>
      <c r="N1385" s="5" t="s">
        <v>5590</v>
      </c>
      <c r="O1385" s="5"/>
      <c r="P1385" s="5"/>
      <c r="Q1385" s="5"/>
      <c r="R1385" s="5"/>
      <c r="S1385" s="5"/>
      <c r="T1385" s="5"/>
      <c r="U1385" s="5"/>
      <c r="V1385" s="5"/>
      <c r="W1385" s="5"/>
      <c r="X1385" s="5"/>
      <c r="Y1385" s="5"/>
      <c r="Z1385" s="5"/>
    </row>
    <row r="1386">
      <c r="A1386" s="6" t="s">
        <v>5591</v>
      </c>
      <c r="B1386" s="5" t="s">
        <v>1128</v>
      </c>
      <c r="C1386" s="7" t="s">
        <v>5592</v>
      </c>
      <c r="D1386" s="7" t="s">
        <v>2235</v>
      </c>
      <c r="E1386" s="8">
        <v>1.0</v>
      </c>
      <c r="F1386" s="7" t="s">
        <v>17</v>
      </c>
      <c r="G1386" s="5" t="s">
        <v>461</v>
      </c>
      <c r="H1386" s="7" t="s">
        <v>16</v>
      </c>
      <c r="I1386" s="7" t="s">
        <v>5593</v>
      </c>
      <c r="J1386" s="7" t="s">
        <v>1266</v>
      </c>
      <c r="K1386" s="7" t="s">
        <v>16</v>
      </c>
      <c r="L1386" s="7" t="s">
        <v>16</v>
      </c>
      <c r="M1386" s="5" t="s">
        <v>75</v>
      </c>
      <c r="N1386" s="5" t="s">
        <v>5594</v>
      </c>
      <c r="O1386" s="5"/>
      <c r="P1386" s="5"/>
      <c r="Q1386" s="5"/>
      <c r="R1386" s="5"/>
      <c r="S1386" s="5"/>
      <c r="T1386" s="5"/>
      <c r="U1386" s="5"/>
      <c r="V1386" s="5"/>
      <c r="W1386" s="5"/>
      <c r="X1386" s="5"/>
      <c r="Y1386" s="5"/>
      <c r="Z1386" s="5"/>
    </row>
    <row r="1387">
      <c r="A1387" s="17" t="s">
        <v>5595</v>
      </c>
      <c r="B1387" s="5" t="s">
        <v>1128</v>
      </c>
      <c r="C1387" s="7" t="s">
        <v>1129</v>
      </c>
      <c r="D1387" s="7" t="s">
        <v>1068</v>
      </c>
      <c r="E1387" s="8">
        <v>1.0</v>
      </c>
      <c r="F1387" s="7" t="s">
        <v>17</v>
      </c>
      <c r="G1387" s="5" t="s">
        <v>19</v>
      </c>
      <c r="H1387" s="7" t="s">
        <v>1130</v>
      </c>
      <c r="I1387" s="7" t="s">
        <v>5596</v>
      </c>
      <c r="J1387" s="36" t="s">
        <v>4742</v>
      </c>
      <c r="K1387" s="8">
        <v>2.0</v>
      </c>
      <c r="L1387" s="7" t="s">
        <v>16</v>
      </c>
      <c r="M1387" s="5" t="s">
        <v>75</v>
      </c>
      <c r="N1387" s="5" t="s">
        <v>5597</v>
      </c>
      <c r="O1387" s="5"/>
      <c r="P1387" s="5"/>
      <c r="Q1387" s="5"/>
      <c r="R1387" s="5"/>
      <c r="S1387" s="5"/>
      <c r="T1387" s="5"/>
      <c r="U1387" s="5"/>
      <c r="V1387" s="5"/>
      <c r="W1387" s="5"/>
      <c r="X1387" s="5"/>
      <c r="Y1387" s="5"/>
      <c r="Z1387" s="5"/>
    </row>
    <row r="1388">
      <c r="A1388" s="17" t="s">
        <v>5598</v>
      </c>
      <c r="B1388" s="5" t="s">
        <v>1128</v>
      </c>
      <c r="C1388" s="7" t="s">
        <v>4788</v>
      </c>
      <c r="D1388" s="7" t="s">
        <v>1194</v>
      </c>
      <c r="E1388" s="8">
        <v>8.0</v>
      </c>
      <c r="F1388" s="7" t="s">
        <v>105</v>
      </c>
      <c r="G1388" s="5" t="s">
        <v>326</v>
      </c>
      <c r="H1388" s="7" t="s">
        <v>4689</v>
      </c>
      <c r="I1388" s="7" t="s">
        <v>5599</v>
      </c>
      <c r="J1388" s="36" t="s">
        <v>1154</v>
      </c>
      <c r="K1388" s="7" t="s">
        <v>16</v>
      </c>
      <c r="L1388" s="7" t="s">
        <v>16</v>
      </c>
      <c r="M1388" s="5" t="s">
        <v>75</v>
      </c>
      <c r="N1388" s="5" t="s">
        <v>5600</v>
      </c>
      <c r="O1388" s="5"/>
      <c r="P1388" s="5"/>
      <c r="Q1388" s="5"/>
      <c r="R1388" s="5"/>
      <c r="S1388" s="5"/>
      <c r="T1388" s="5"/>
      <c r="U1388" s="5"/>
      <c r="V1388" s="5"/>
      <c r="W1388" s="5"/>
      <c r="X1388" s="5"/>
      <c r="Y1388" s="5"/>
      <c r="Z1388" s="5"/>
    </row>
    <row r="1389">
      <c r="A1389" s="17" t="s">
        <v>5601</v>
      </c>
      <c r="B1389" s="5" t="s">
        <v>1128</v>
      </c>
      <c r="C1389" s="7" t="s">
        <v>1129</v>
      </c>
      <c r="D1389" s="7" t="s">
        <v>1199</v>
      </c>
      <c r="E1389" s="8">
        <v>3.0</v>
      </c>
      <c r="F1389" s="7" t="s">
        <v>17</v>
      </c>
      <c r="G1389" s="5" t="s">
        <v>461</v>
      </c>
      <c r="H1389" s="7" t="s">
        <v>16</v>
      </c>
      <c r="I1389" s="7" t="s">
        <v>5602</v>
      </c>
      <c r="J1389" s="36" t="s">
        <v>1132</v>
      </c>
      <c r="K1389" s="7" t="s">
        <v>16</v>
      </c>
      <c r="L1389" s="7" t="s">
        <v>16</v>
      </c>
      <c r="M1389" s="5" t="s">
        <v>75</v>
      </c>
      <c r="N1389" s="5" t="s">
        <v>5603</v>
      </c>
      <c r="O1389" s="5"/>
      <c r="P1389" s="5"/>
      <c r="Q1389" s="5"/>
      <c r="R1389" s="5"/>
      <c r="S1389" s="5"/>
      <c r="T1389" s="5"/>
      <c r="U1389" s="5"/>
      <c r="V1389" s="5"/>
      <c r="W1389" s="5"/>
      <c r="X1389" s="5"/>
      <c r="Y1389" s="5"/>
      <c r="Z1389" s="5"/>
    </row>
    <row r="1390">
      <c r="A1390" s="17" t="s">
        <v>5604</v>
      </c>
      <c r="B1390" s="5" t="s">
        <v>1128</v>
      </c>
      <c r="C1390" s="7" t="s">
        <v>5252</v>
      </c>
      <c r="D1390" s="7" t="s">
        <v>1213</v>
      </c>
      <c r="E1390" s="8">
        <v>8.0</v>
      </c>
      <c r="F1390" s="7" t="s">
        <v>105</v>
      </c>
      <c r="G1390" s="5" t="s">
        <v>326</v>
      </c>
      <c r="H1390" s="7" t="s">
        <v>16</v>
      </c>
      <c r="I1390" s="7" t="s">
        <v>5605</v>
      </c>
      <c r="J1390" s="36" t="s">
        <v>1154</v>
      </c>
      <c r="K1390" s="8">
        <v>3.0</v>
      </c>
      <c r="L1390" s="7" t="s">
        <v>16</v>
      </c>
      <c r="M1390" s="5" t="s">
        <v>75</v>
      </c>
      <c r="N1390" s="5" t="s">
        <v>5606</v>
      </c>
      <c r="O1390" s="5"/>
      <c r="P1390" s="5"/>
      <c r="Q1390" s="5"/>
      <c r="R1390" s="5"/>
      <c r="S1390" s="5"/>
      <c r="T1390" s="5"/>
      <c r="U1390" s="5"/>
      <c r="V1390" s="5"/>
      <c r="W1390" s="5"/>
      <c r="X1390" s="5"/>
      <c r="Y1390" s="5"/>
      <c r="Z1390" s="5"/>
    </row>
    <row r="1391">
      <c r="A1391" s="6" t="s">
        <v>5607</v>
      </c>
      <c r="B1391" s="5" t="s">
        <v>1128</v>
      </c>
      <c r="C1391" s="7" t="s">
        <v>5118</v>
      </c>
      <c r="D1391" s="7" t="s">
        <v>1207</v>
      </c>
      <c r="E1391" s="8">
        <v>6.0</v>
      </c>
      <c r="F1391" s="7" t="s">
        <v>105</v>
      </c>
      <c r="G1391" s="5" t="s">
        <v>19</v>
      </c>
      <c r="H1391" s="7" t="s">
        <v>1353</v>
      </c>
      <c r="I1391" s="7" t="s">
        <v>5608</v>
      </c>
      <c r="J1391" s="36" t="s">
        <v>1154</v>
      </c>
      <c r="K1391" s="8">
        <v>3.0</v>
      </c>
      <c r="L1391" s="7" t="s">
        <v>16</v>
      </c>
      <c r="M1391" s="5" t="s">
        <v>75</v>
      </c>
      <c r="N1391" s="5" t="s">
        <v>5609</v>
      </c>
      <c r="O1391" s="5"/>
      <c r="P1391" s="5"/>
      <c r="Q1391" s="5"/>
      <c r="R1391" s="5"/>
      <c r="S1391" s="5"/>
      <c r="T1391" s="5"/>
      <c r="U1391" s="5"/>
      <c r="V1391" s="5"/>
      <c r="W1391" s="5"/>
      <c r="X1391" s="5"/>
      <c r="Y1391" s="5"/>
      <c r="Z1391" s="5"/>
    </row>
    <row r="1392">
      <c r="A1392" s="6" t="s">
        <v>5610</v>
      </c>
      <c r="B1392" s="5" t="s">
        <v>1128</v>
      </c>
      <c r="C1392" s="7" t="s">
        <v>4476</v>
      </c>
      <c r="D1392" s="7" t="s">
        <v>1068</v>
      </c>
      <c r="E1392" s="8">
        <v>1.0</v>
      </c>
      <c r="F1392" s="7" t="s">
        <v>17</v>
      </c>
      <c r="G1392" s="5" t="s">
        <v>19</v>
      </c>
      <c r="H1392" s="7" t="s">
        <v>1130</v>
      </c>
      <c r="I1392" s="7" t="s">
        <v>5611</v>
      </c>
      <c r="J1392" s="36" t="s">
        <v>1132</v>
      </c>
      <c r="K1392" s="7" t="s">
        <v>16</v>
      </c>
      <c r="L1392" s="7" t="s">
        <v>16</v>
      </c>
      <c r="M1392" s="5" t="s">
        <v>88</v>
      </c>
      <c r="N1392" s="5" t="s">
        <v>5612</v>
      </c>
      <c r="O1392" s="5"/>
      <c r="P1392" s="5"/>
      <c r="Q1392" s="5"/>
      <c r="R1392" s="5"/>
      <c r="S1392" s="5"/>
      <c r="T1392" s="5"/>
      <c r="U1392" s="5"/>
      <c r="V1392" s="5"/>
      <c r="W1392" s="5"/>
      <c r="X1392" s="5"/>
      <c r="Y1392" s="5"/>
      <c r="Z1392" s="5"/>
    </row>
    <row r="1393">
      <c r="A1393" s="6" t="s">
        <v>5613</v>
      </c>
      <c r="B1393" s="5" t="s">
        <v>1128</v>
      </c>
      <c r="C1393" s="7" t="s">
        <v>1250</v>
      </c>
      <c r="D1393" s="7" t="s">
        <v>1194</v>
      </c>
      <c r="E1393" s="8">
        <v>3.0</v>
      </c>
      <c r="F1393" s="7" t="s">
        <v>17</v>
      </c>
      <c r="G1393" s="5" t="s">
        <v>461</v>
      </c>
      <c r="H1393" s="7" t="s">
        <v>4689</v>
      </c>
      <c r="I1393" s="7" t="s">
        <v>5614</v>
      </c>
      <c r="J1393" s="36" t="s">
        <v>1132</v>
      </c>
      <c r="K1393" s="7" t="s">
        <v>16</v>
      </c>
      <c r="L1393" s="7" t="s">
        <v>16</v>
      </c>
      <c r="M1393" s="5" t="s">
        <v>22</v>
      </c>
      <c r="N1393" s="5" t="s">
        <v>5615</v>
      </c>
      <c r="O1393" s="5"/>
      <c r="P1393" s="5"/>
      <c r="Q1393" s="5"/>
      <c r="R1393" s="5"/>
      <c r="S1393" s="5"/>
      <c r="T1393" s="5"/>
      <c r="U1393" s="5"/>
      <c r="V1393" s="5"/>
      <c r="W1393" s="5"/>
      <c r="X1393" s="5"/>
      <c r="Y1393" s="5"/>
      <c r="Z1393" s="5"/>
    </row>
    <row r="1394">
      <c r="A1394" s="6" t="s">
        <v>5616</v>
      </c>
      <c r="B1394" s="5" t="s">
        <v>1128</v>
      </c>
      <c r="C1394" s="7" t="s">
        <v>4698</v>
      </c>
      <c r="D1394" s="7" t="s">
        <v>1194</v>
      </c>
      <c r="E1394" s="8">
        <v>3.0</v>
      </c>
      <c r="F1394" s="7" t="s">
        <v>17</v>
      </c>
      <c r="G1394" s="5" t="s">
        <v>461</v>
      </c>
      <c r="H1394" s="7" t="s">
        <v>4689</v>
      </c>
      <c r="I1394" s="7" t="s">
        <v>5617</v>
      </c>
      <c r="J1394" s="36" t="s">
        <v>1137</v>
      </c>
      <c r="K1394" s="8">
        <v>2.0</v>
      </c>
      <c r="L1394" s="7" t="s">
        <v>16</v>
      </c>
      <c r="M1394" s="5" t="s">
        <v>36</v>
      </c>
      <c r="N1394" s="5" t="s">
        <v>5618</v>
      </c>
      <c r="O1394" s="5"/>
      <c r="P1394" s="5"/>
      <c r="Q1394" s="5"/>
      <c r="R1394" s="5"/>
      <c r="S1394" s="5"/>
      <c r="T1394" s="5"/>
      <c r="U1394" s="5"/>
      <c r="V1394" s="5"/>
      <c r="W1394" s="5"/>
      <c r="X1394" s="5"/>
      <c r="Y1394" s="5"/>
      <c r="Z1394" s="5"/>
    </row>
    <row r="1395">
      <c r="A1395" s="6" t="s">
        <v>5619</v>
      </c>
      <c r="B1395" s="5" t="s">
        <v>1128</v>
      </c>
      <c r="C1395" s="7" t="s">
        <v>5620</v>
      </c>
      <c r="D1395" s="7" t="s">
        <v>1194</v>
      </c>
      <c r="E1395" s="8">
        <v>1.0</v>
      </c>
      <c r="F1395" s="7" t="s">
        <v>17</v>
      </c>
      <c r="G1395" s="5" t="s">
        <v>19</v>
      </c>
      <c r="H1395" s="7" t="s">
        <v>4689</v>
      </c>
      <c r="I1395" s="7" t="s">
        <v>5621</v>
      </c>
      <c r="J1395" s="7" t="s">
        <v>1266</v>
      </c>
      <c r="K1395" s="7" t="s">
        <v>16</v>
      </c>
      <c r="L1395" s="7" t="s">
        <v>16</v>
      </c>
      <c r="M1395" s="5" t="s">
        <v>75</v>
      </c>
      <c r="N1395" s="5" t="s">
        <v>5622</v>
      </c>
      <c r="O1395" s="5"/>
      <c r="P1395" s="5"/>
      <c r="Q1395" s="5"/>
      <c r="R1395" s="5"/>
      <c r="S1395" s="5"/>
      <c r="T1395" s="5"/>
      <c r="U1395" s="5"/>
      <c r="V1395" s="5"/>
      <c r="W1395" s="5"/>
      <c r="X1395" s="5"/>
      <c r="Y1395" s="5"/>
      <c r="Z1395" s="5"/>
    </row>
    <row r="1396">
      <c r="A1396" s="6" t="s">
        <v>5623</v>
      </c>
      <c r="B1396" s="5" t="s">
        <v>1128</v>
      </c>
      <c r="C1396" s="7" t="s">
        <v>5624</v>
      </c>
      <c r="D1396" s="7" t="s">
        <v>1194</v>
      </c>
      <c r="E1396" s="8">
        <v>2.0</v>
      </c>
      <c r="F1396" s="7" t="s">
        <v>105</v>
      </c>
      <c r="G1396" s="5" t="s">
        <v>19</v>
      </c>
      <c r="H1396" s="7" t="s">
        <v>4689</v>
      </c>
      <c r="I1396" s="7" t="s">
        <v>5393</v>
      </c>
      <c r="J1396" s="36" t="s">
        <v>1261</v>
      </c>
      <c r="K1396" s="8">
        <v>1.0</v>
      </c>
      <c r="L1396" s="7" t="s">
        <v>16</v>
      </c>
      <c r="M1396" s="5" t="s">
        <v>75</v>
      </c>
      <c r="N1396" s="5" t="s">
        <v>5625</v>
      </c>
      <c r="O1396" s="5"/>
      <c r="P1396" s="5"/>
      <c r="Q1396" s="5"/>
      <c r="R1396" s="5"/>
      <c r="S1396" s="5"/>
      <c r="T1396" s="5"/>
      <c r="U1396" s="5"/>
      <c r="V1396" s="5"/>
      <c r="W1396" s="5"/>
      <c r="X1396" s="5"/>
      <c r="Y1396" s="5"/>
      <c r="Z1396" s="5"/>
    </row>
    <row r="1397">
      <c r="A1397" s="6" t="s">
        <v>5626</v>
      </c>
      <c r="B1397" s="5" t="s">
        <v>1128</v>
      </c>
      <c r="C1397" s="7" t="s">
        <v>5627</v>
      </c>
      <c r="D1397" s="7" t="s">
        <v>1194</v>
      </c>
      <c r="E1397" s="8">
        <v>3.0</v>
      </c>
      <c r="F1397" s="7" t="s">
        <v>105</v>
      </c>
      <c r="G1397" s="5" t="s">
        <v>461</v>
      </c>
      <c r="H1397" s="7" t="s">
        <v>4689</v>
      </c>
      <c r="I1397" s="7" t="s">
        <v>5060</v>
      </c>
      <c r="J1397" s="36" t="s">
        <v>1132</v>
      </c>
      <c r="K1397" s="8">
        <v>2.0</v>
      </c>
      <c r="L1397" s="7" t="s">
        <v>16</v>
      </c>
      <c r="M1397" s="5" t="s">
        <v>75</v>
      </c>
      <c r="N1397" s="5" t="s">
        <v>5628</v>
      </c>
      <c r="O1397" s="5"/>
      <c r="P1397" s="5"/>
      <c r="Q1397" s="5"/>
      <c r="R1397" s="5"/>
      <c r="S1397" s="5"/>
      <c r="T1397" s="5"/>
      <c r="U1397" s="5"/>
      <c r="V1397" s="5"/>
      <c r="W1397" s="5"/>
      <c r="X1397" s="5"/>
      <c r="Y1397" s="5"/>
      <c r="Z1397" s="5"/>
    </row>
    <row r="1398">
      <c r="A1398" s="17" t="s">
        <v>5629</v>
      </c>
      <c r="B1398" s="5" t="s">
        <v>1128</v>
      </c>
      <c r="C1398" s="7" t="s">
        <v>5118</v>
      </c>
      <c r="D1398" s="7" t="s">
        <v>1207</v>
      </c>
      <c r="E1398" s="8">
        <v>5.0</v>
      </c>
      <c r="F1398" s="7" t="s">
        <v>105</v>
      </c>
      <c r="G1398" s="5" t="s">
        <v>326</v>
      </c>
      <c r="H1398" s="7" t="s">
        <v>1353</v>
      </c>
      <c r="I1398" s="7" t="s">
        <v>5630</v>
      </c>
      <c r="J1398" s="36" t="s">
        <v>1146</v>
      </c>
      <c r="K1398" s="8">
        <v>3.0</v>
      </c>
      <c r="L1398" s="7" t="s">
        <v>16</v>
      </c>
      <c r="M1398" s="5" t="s">
        <v>75</v>
      </c>
      <c r="N1398" s="5" t="s">
        <v>5631</v>
      </c>
      <c r="O1398" s="5"/>
      <c r="P1398" s="5"/>
      <c r="Q1398" s="5"/>
      <c r="R1398" s="5"/>
      <c r="S1398" s="5"/>
      <c r="T1398" s="5"/>
      <c r="U1398" s="5"/>
      <c r="V1398" s="5"/>
      <c r="W1398" s="5"/>
      <c r="X1398" s="5"/>
      <c r="Y1398" s="5"/>
      <c r="Z1398" s="5"/>
    </row>
    <row r="1399">
      <c r="A1399" s="17" t="s">
        <v>5632</v>
      </c>
      <c r="B1399" s="5" t="s">
        <v>1128</v>
      </c>
      <c r="C1399" s="7" t="s">
        <v>5633</v>
      </c>
      <c r="D1399" s="7" t="s">
        <v>1207</v>
      </c>
      <c r="E1399" s="8">
        <v>3.0</v>
      </c>
      <c r="F1399" s="7" t="s">
        <v>17</v>
      </c>
      <c r="G1399" s="5" t="s">
        <v>461</v>
      </c>
      <c r="H1399" s="7" t="s">
        <v>1353</v>
      </c>
      <c r="I1399" s="7" t="s">
        <v>5634</v>
      </c>
      <c r="J1399" s="36" t="s">
        <v>1137</v>
      </c>
      <c r="K1399" s="7" t="s">
        <v>16</v>
      </c>
      <c r="L1399" s="7" t="s">
        <v>16</v>
      </c>
      <c r="M1399" s="5" t="s">
        <v>22</v>
      </c>
      <c r="N1399" s="5" t="s">
        <v>5635</v>
      </c>
      <c r="O1399" s="5"/>
      <c r="P1399" s="5"/>
      <c r="Q1399" s="5"/>
      <c r="R1399" s="5"/>
      <c r="S1399" s="5"/>
      <c r="T1399" s="5"/>
      <c r="U1399" s="5"/>
      <c r="V1399" s="5"/>
      <c r="W1399" s="5"/>
      <c r="X1399" s="5"/>
      <c r="Y1399" s="5"/>
      <c r="Z1399" s="5"/>
    </row>
    <row r="1400">
      <c r="A1400" s="6" t="s">
        <v>5636</v>
      </c>
      <c r="B1400" s="5" t="s">
        <v>1128</v>
      </c>
      <c r="C1400" s="7" t="s">
        <v>5637</v>
      </c>
      <c r="D1400" s="7" t="s">
        <v>1207</v>
      </c>
      <c r="E1400" s="8">
        <v>3.0</v>
      </c>
      <c r="F1400" s="7" t="s">
        <v>105</v>
      </c>
      <c r="G1400" s="5" t="s">
        <v>461</v>
      </c>
      <c r="H1400" s="7" t="s">
        <v>1353</v>
      </c>
      <c r="I1400" s="7" t="s">
        <v>5060</v>
      </c>
      <c r="J1400" s="36" t="s">
        <v>1132</v>
      </c>
      <c r="K1400" s="8">
        <v>2.0</v>
      </c>
      <c r="L1400" s="7" t="s">
        <v>16</v>
      </c>
      <c r="M1400" s="5" t="s">
        <v>22</v>
      </c>
      <c r="N1400" s="5" t="s">
        <v>5638</v>
      </c>
      <c r="O1400" s="5"/>
      <c r="P1400" s="5"/>
      <c r="Q1400" s="5"/>
      <c r="R1400" s="5"/>
      <c r="S1400" s="5"/>
      <c r="T1400" s="5"/>
      <c r="U1400" s="5"/>
      <c r="V1400" s="5"/>
      <c r="W1400" s="5"/>
      <c r="X1400" s="5"/>
      <c r="Y1400" s="5"/>
      <c r="Z1400" s="5"/>
    </row>
    <row r="1401">
      <c r="A1401" s="6" t="s">
        <v>5639</v>
      </c>
      <c r="B1401" s="5" t="s">
        <v>1128</v>
      </c>
      <c r="C1401" s="7" t="s">
        <v>5640</v>
      </c>
      <c r="D1401" s="7" t="s">
        <v>1878</v>
      </c>
      <c r="E1401" s="8">
        <v>2.0</v>
      </c>
      <c r="F1401" s="7" t="s">
        <v>105</v>
      </c>
      <c r="G1401" s="5" t="s">
        <v>19</v>
      </c>
      <c r="H1401" s="7" t="s">
        <v>16</v>
      </c>
      <c r="I1401" s="7" t="s">
        <v>5641</v>
      </c>
      <c r="J1401" s="36" t="s">
        <v>1132</v>
      </c>
      <c r="K1401" s="8">
        <v>2.0</v>
      </c>
      <c r="L1401" s="7" t="s">
        <v>16</v>
      </c>
      <c r="M1401" s="5" t="s">
        <v>22</v>
      </c>
      <c r="N1401" s="5" t="s">
        <v>5642</v>
      </c>
      <c r="O1401" s="5"/>
      <c r="P1401" s="5"/>
      <c r="Q1401" s="5"/>
      <c r="R1401" s="5"/>
      <c r="S1401" s="5"/>
      <c r="T1401" s="5"/>
      <c r="U1401" s="5"/>
      <c r="V1401" s="5"/>
      <c r="W1401" s="5"/>
      <c r="X1401" s="5"/>
      <c r="Y1401" s="5"/>
      <c r="Z1401" s="5"/>
    </row>
    <row r="1402">
      <c r="A1402" s="6" t="s">
        <v>5643</v>
      </c>
      <c r="B1402" s="5" t="s">
        <v>1128</v>
      </c>
      <c r="C1402" s="7" t="s">
        <v>5644</v>
      </c>
      <c r="D1402" s="7" t="s">
        <v>1878</v>
      </c>
      <c r="E1402" s="8">
        <v>4.0</v>
      </c>
      <c r="F1402" s="7" t="s">
        <v>105</v>
      </c>
      <c r="G1402" s="5" t="s">
        <v>461</v>
      </c>
      <c r="H1402" s="7" t="s">
        <v>16</v>
      </c>
      <c r="I1402" s="7" t="s">
        <v>5645</v>
      </c>
      <c r="J1402" s="36" t="s">
        <v>1146</v>
      </c>
      <c r="K1402" s="8">
        <v>3.0</v>
      </c>
      <c r="L1402" s="7" t="s">
        <v>16</v>
      </c>
      <c r="M1402" s="5" t="s">
        <v>22</v>
      </c>
      <c r="N1402" s="5" t="s">
        <v>5646</v>
      </c>
      <c r="O1402" s="5"/>
      <c r="P1402" s="5"/>
      <c r="Q1402" s="5"/>
      <c r="R1402" s="5"/>
      <c r="S1402" s="5"/>
      <c r="T1402" s="5"/>
      <c r="U1402" s="5"/>
      <c r="V1402" s="5"/>
      <c r="W1402" s="5"/>
      <c r="X1402" s="5"/>
      <c r="Y1402" s="5"/>
      <c r="Z1402" s="5"/>
    </row>
    <row r="1403">
      <c r="A1403" s="6" t="s">
        <v>5647</v>
      </c>
      <c r="B1403" s="5" t="s">
        <v>1128</v>
      </c>
      <c r="C1403" s="7" t="s">
        <v>5648</v>
      </c>
      <c r="D1403" s="7" t="s">
        <v>1878</v>
      </c>
      <c r="E1403" s="8">
        <v>2.0</v>
      </c>
      <c r="F1403" s="7" t="s">
        <v>172</v>
      </c>
      <c r="G1403" s="5" t="s">
        <v>461</v>
      </c>
      <c r="H1403" s="7" t="s">
        <v>16</v>
      </c>
      <c r="I1403" s="7" t="s">
        <v>5649</v>
      </c>
      <c r="J1403" s="36" t="s">
        <v>1146</v>
      </c>
      <c r="K1403" s="7" t="s">
        <v>16</v>
      </c>
      <c r="L1403" s="7" t="s">
        <v>16</v>
      </c>
      <c r="M1403" s="5" t="s">
        <v>36</v>
      </c>
      <c r="N1403" s="5" t="s">
        <v>5650</v>
      </c>
      <c r="O1403" s="5"/>
      <c r="P1403" s="5"/>
      <c r="Q1403" s="5"/>
      <c r="R1403" s="5"/>
      <c r="S1403" s="5"/>
      <c r="T1403" s="5"/>
      <c r="U1403" s="5"/>
      <c r="V1403" s="5"/>
      <c r="W1403" s="5"/>
      <c r="X1403" s="5"/>
      <c r="Y1403" s="5"/>
      <c r="Z1403" s="5"/>
    </row>
    <row r="1404">
      <c r="A1404" s="6" t="s">
        <v>5651</v>
      </c>
      <c r="B1404" s="5" t="s">
        <v>1128</v>
      </c>
      <c r="C1404" s="7" t="s">
        <v>5652</v>
      </c>
      <c r="D1404" s="7" t="s">
        <v>5653</v>
      </c>
      <c r="E1404" s="8">
        <v>0.0</v>
      </c>
      <c r="F1404" s="7" t="s">
        <v>172</v>
      </c>
      <c r="G1404" s="5" t="s">
        <v>19</v>
      </c>
      <c r="H1404" s="7" t="s">
        <v>16</v>
      </c>
      <c r="I1404" s="7" t="s">
        <v>5654</v>
      </c>
      <c r="J1404" s="7" t="s">
        <v>1266</v>
      </c>
      <c r="K1404" s="7" t="s">
        <v>16</v>
      </c>
      <c r="L1404" s="7" t="s">
        <v>16</v>
      </c>
      <c r="M1404" s="5" t="s">
        <v>75</v>
      </c>
      <c r="N1404" s="5" t="s">
        <v>5655</v>
      </c>
      <c r="O1404" s="5"/>
      <c r="P1404" s="5"/>
      <c r="Q1404" s="5"/>
      <c r="R1404" s="5"/>
      <c r="S1404" s="5"/>
      <c r="T1404" s="5"/>
      <c r="U1404" s="5"/>
      <c r="V1404" s="5"/>
      <c r="W1404" s="5"/>
      <c r="X1404" s="5"/>
      <c r="Y1404" s="5"/>
      <c r="Z1404" s="5"/>
    </row>
    <row r="1405">
      <c r="A1405" s="6" t="s">
        <v>5656</v>
      </c>
      <c r="B1405" s="5" t="s">
        <v>1128</v>
      </c>
      <c r="C1405" s="7" t="s">
        <v>5657</v>
      </c>
      <c r="D1405" s="7" t="s">
        <v>2375</v>
      </c>
      <c r="E1405" s="8">
        <v>2.0</v>
      </c>
      <c r="F1405" s="7" t="s">
        <v>105</v>
      </c>
      <c r="G1405" s="5" t="s">
        <v>19</v>
      </c>
      <c r="H1405" s="7" t="s">
        <v>4955</v>
      </c>
      <c r="I1405" s="7" t="s">
        <v>5658</v>
      </c>
      <c r="J1405" s="36" t="s">
        <v>1132</v>
      </c>
      <c r="K1405" s="8">
        <v>2.0</v>
      </c>
      <c r="L1405" s="7" t="s">
        <v>16</v>
      </c>
      <c r="M1405" s="5" t="s">
        <v>22</v>
      </c>
      <c r="N1405" s="5" t="s">
        <v>5659</v>
      </c>
      <c r="O1405" s="5"/>
      <c r="P1405" s="5"/>
      <c r="Q1405" s="5"/>
      <c r="R1405" s="5"/>
      <c r="S1405" s="5"/>
      <c r="T1405" s="5"/>
      <c r="U1405" s="5"/>
      <c r="V1405" s="5"/>
      <c r="W1405" s="5"/>
      <c r="X1405" s="5"/>
      <c r="Y1405" s="5"/>
      <c r="Z1405" s="5"/>
    </row>
    <row r="1406">
      <c r="A1406" s="6" t="s">
        <v>5660</v>
      </c>
      <c r="B1406" s="5" t="s">
        <v>1128</v>
      </c>
      <c r="C1406" s="7" t="s">
        <v>5661</v>
      </c>
      <c r="D1406" s="7" t="s">
        <v>2375</v>
      </c>
      <c r="E1406" s="8">
        <v>3.0</v>
      </c>
      <c r="F1406" s="7" t="s">
        <v>105</v>
      </c>
      <c r="G1406" s="5" t="s">
        <v>19</v>
      </c>
      <c r="H1406" s="7" t="s">
        <v>4955</v>
      </c>
      <c r="I1406" s="7" t="s">
        <v>5662</v>
      </c>
      <c r="J1406" s="36" t="s">
        <v>1132</v>
      </c>
      <c r="K1406" s="8">
        <v>2.0</v>
      </c>
      <c r="L1406" s="7" t="s">
        <v>16</v>
      </c>
      <c r="M1406" s="5" t="s">
        <v>22</v>
      </c>
      <c r="N1406" s="5" t="s">
        <v>5663</v>
      </c>
      <c r="O1406" s="5"/>
      <c r="P1406" s="5"/>
      <c r="Q1406" s="5"/>
      <c r="R1406" s="5"/>
      <c r="S1406" s="5"/>
      <c r="T1406" s="5"/>
      <c r="U1406" s="5"/>
      <c r="V1406" s="5"/>
      <c r="W1406" s="5"/>
      <c r="X1406" s="5"/>
      <c r="Y1406" s="5"/>
      <c r="Z1406" s="5"/>
    </row>
    <row r="1407">
      <c r="A1407" s="6" t="s">
        <v>5664</v>
      </c>
      <c r="B1407" s="5" t="s">
        <v>1128</v>
      </c>
      <c r="C1407" s="7" t="s">
        <v>5316</v>
      </c>
      <c r="D1407" s="7" t="s">
        <v>2380</v>
      </c>
      <c r="E1407" s="8">
        <v>1.0</v>
      </c>
      <c r="F1407" s="7" t="s">
        <v>17</v>
      </c>
      <c r="G1407" s="5" t="s">
        <v>19</v>
      </c>
      <c r="H1407" s="7" t="s">
        <v>16</v>
      </c>
      <c r="I1407" s="7" t="s">
        <v>5665</v>
      </c>
      <c r="J1407" s="7" t="s">
        <v>1266</v>
      </c>
      <c r="K1407" s="7" t="s">
        <v>16</v>
      </c>
      <c r="L1407" s="7" t="s">
        <v>16</v>
      </c>
      <c r="M1407" s="5" t="s">
        <v>22</v>
      </c>
      <c r="N1407" s="5" t="s">
        <v>5666</v>
      </c>
      <c r="O1407" s="5"/>
      <c r="P1407" s="5"/>
      <c r="Q1407" s="5"/>
      <c r="R1407" s="5"/>
      <c r="S1407" s="5"/>
      <c r="T1407" s="5"/>
      <c r="U1407" s="5"/>
      <c r="V1407" s="5"/>
      <c r="W1407" s="5"/>
      <c r="X1407" s="5"/>
      <c r="Y1407" s="5"/>
      <c r="Z1407" s="5"/>
    </row>
    <row r="1408">
      <c r="A1408" s="17" t="s">
        <v>5667</v>
      </c>
      <c r="B1408" s="5" t="s">
        <v>1128</v>
      </c>
      <c r="C1408" s="7" t="s">
        <v>4719</v>
      </c>
      <c r="D1408" s="7" t="s">
        <v>2380</v>
      </c>
      <c r="E1408" s="8">
        <v>1.0</v>
      </c>
      <c r="F1408" s="7" t="s">
        <v>105</v>
      </c>
      <c r="G1408" s="5" t="s">
        <v>19</v>
      </c>
      <c r="H1408" s="7" t="s">
        <v>16</v>
      </c>
      <c r="I1408" s="7" t="s">
        <v>5668</v>
      </c>
      <c r="J1408" s="36" t="s">
        <v>1261</v>
      </c>
      <c r="K1408" s="8">
        <v>1.0</v>
      </c>
      <c r="L1408" s="7" t="s">
        <v>16</v>
      </c>
      <c r="M1408" s="5" t="s">
        <v>22</v>
      </c>
      <c r="N1408" s="5" t="s">
        <v>5669</v>
      </c>
      <c r="O1408" s="5"/>
      <c r="P1408" s="5"/>
      <c r="Q1408" s="5"/>
      <c r="R1408" s="5"/>
      <c r="S1408" s="5"/>
      <c r="T1408" s="5"/>
      <c r="U1408" s="5"/>
      <c r="V1408" s="5"/>
      <c r="W1408" s="5"/>
      <c r="X1408" s="5"/>
      <c r="Y1408" s="5"/>
      <c r="Z1408" s="5"/>
    </row>
    <row r="1409">
      <c r="A1409" s="17" t="s">
        <v>5670</v>
      </c>
      <c r="B1409" s="5" t="s">
        <v>1128</v>
      </c>
      <c r="C1409" s="7" t="s">
        <v>4947</v>
      </c>
      <c r="D1409" s="7" t="s">
        <v>2385</v>
      </c>
      <c r="E1409" s="8">
        <v>1.0</v>
      </c>
      <c r="F1409" s="7" t="s">
        <v>105</v>
      </c>
      <c r="G1409" s="5" t="s">
        <v>19</v>
      </c>
      <c r="H1409" s="7" t="s">
        <v>16</v>
      </c>
      <c r="I1409" s="7" t="s">
        <v>5671</v>
      </c>
      <c r="J1409" s="36" t="s">
        <v>1137</v>
      </c>
      <c r="K1409" s="8">
        <v>2.0</v>
      </c>
      <c r="L1409" s="7" t="s">
        <v>16</v>
      </c>
      <c r="M1409" s="5" t="s">
        <v>22</v>
      </c>
      <c r="N1409" s="5" t="s">
        <v>5672</v>
      </c>
      <c r="O1409" s="5"/>
      <c r="P1409" s="5"/>
      <c r="Q1409" s="5"/>
      <c r="R1409" s="5"/>
      <c r="S1409" s="5"/>
      <c r="T1409" s="5"/>
      <c r="U1409" s="5"/>
      <c r="V1409" s="5"/>
      <c r="W1409" s="5"/>
      <c r="X1409" s="5"/>
      <c r="Y1409" s="5"/>
      <c r="Z1409" s="5"/>
    </row>
    <row r="1410">
      <c r="A1410" s="6" t="s">
        <v>5673</v>
      </c>
      <c r="B1410" s="5" t="s">
        <v>1128</v>
      </c>
      <c r="C1410" s="7" t="s">
        <v>5674</v>
      </c>
      <c r="D1410" s="7" t="s">
        <v>2385</v>
      </c>
      <c r="E1410" s="8">
        <v>3.0</v>
      </c>
      <c r="F1410" s="7" t="s">
        <v>17</v>
      </c>
      <c r="G1410" s="5" t="s">
        <v>19</v>
      </c>
      <c r="H1410" s="7" t="s">
        <v>16</v>
      </c>
      <c r="I1410" s="7" t="s">
        <v>5675</v>
      </c>
      <c r="J1410" s="36" t="s">
        <v>1132</v>
      </c>
      <c r="K1410" s="8">
        <v>2.0</v>
      </c>
      <c r="L1410" s="7" t="s">
        <v>16</v>
      </c>
      <c r="M1410" s="5" t="s">
        <v>22</v>
      </c>
      <c r="N1410" s="5" t="s">
        <v>5676</v>
      </c>
      <c r="O1410" s="5"/>
      <c r="P1410" s="5"/>
      <c r="Q1410" s="5"/>
      <c r="R1410" s="5"/>
      <c r="S1410" s="5"/>
      <c r="T1410" s="5"/>
      <c r="U1410" s="5"/>
      <c r="V1410" s="5"/>
      <c r="W1410" s="5"/>
      <c r="X1410" s="5"/>
      <c r="Y1410" s="5"/>
      <c r="Z1410" s="5"/>
    </row>
    <row r="1411">
      <c r="A1411" s="6" t="s">
        <v>5677</v>
      </c>
      <c r="B1411" s="5" t="s">
        <v>1128</v>
      </c>
      <c r="C1411" s="7" t="s">
        <v>1328</v>
      </c>
      <c r="D1411" s="7" t="s">
        <v>2389</v>
      </c>
      <c r="E1411" s="8">
        <v>2.0</v>
      </c>
      <c r="F1411" s="7" t="s">
        <v>17</v>
      </c>
      <c r="G1411" s="5" t="s">
        <v>19</v>
      </c>
      <c r="H1411" s="7" t="s">
        <v>16</v>
      </c>
      <c r="I1411" s="7" t="s">
        <v>5678</v>
      </c>
      <c r="J1411" s="36" t="s">
        <v>1132</v>
      </c>
      <c r="K1411" s="8">
        <v>1.0</v>
      </c>
      <c r="L1411" s="7" t="s">
        <v>16</v>
      </c>
      <c r="M1411" s="5" t="s">
        <v>22</v>
      </c>
      <c r="N1411" s="5" t="s">
        <v>5679</v>
      </c>
      <c r="O1411" s="5"/>
      <c r="P1411" s="5"/>
      <c r="Q1411" s="5"/>
      <c r="R1411" s="5"/>
      <c r="S1411" s="5"/>
      <c r="T1411" s="5"/>
      <c r="U1411" s="5"/>
      <c r="V1411" s="5"/>
      <c r="W1411" s="5"/>
      <c r="X1411" s="5"/>
      <c r="Y1411" s="5"/>
      <c r="Z1411" s="5"/>
    </row>
    <row r="1412">
      <c r="A1412" s="6" t="s">
        <v>5680</v>
      </c>
      <c r="B1412" s="5" t="s">
        <v>1128</v>
      </c>
      <c r="C1412" s="7" t="s">
        <v>5353</v>
      </c>
      <c r="D1412" s="7" t="s">
        <v>2389</v>
      </c>
      <c r="E1412" s="8">
        <v>3.0</v>
      </c>
      <c r="F1412" s="7" t="s">
        <v>17</v>
      </c>
      <c r="G1412" s="5" t="s">
        <v>19</v>
      </c>
      <c r="H1412" s="7" t="s">
        <v>16</v>
      </c>
      <c r="I1412" s="7" t="s">
        <v>5681</v>
      </c>
      <c r="J1412" s="36" t="s">
        <v>1132</v>
      </c>
      <c r="K1412" s="8">
        <v>1.0</v>
      </c>
      <c r="L1412" s="7" t="s">
        <v>16</v>
      </c>
      <c r="M1412" s="5" t="s">
        <v>22</v>
      </c>
      <c r="N1412" s="5" t="s">
        <v>5682</v>
      </c>
      <c r="O1412" s="5"/>
      <c r="P1412" s="5"/>
      <c r="Q1412" s="5"/>
      <c r="R1412" s="5"/>
      <c r="S1412" s="5"/>
      <c r="T1412" s="5"/>
      <c r="U1412" s="5"/>
      <c r="V1412" s="5"/>
      <c r="W1412" s="5"/>
      <c r="X1412" s="5"/>
      <c r="Y1412" s="5"/>
      <c r="Z1412" s="5"/>
    </row>
    <row r="1413">
      <c r="A1413" s="6" t="s">
        <v>5683</v>
      </c>
      <c r="B1413" s="5" t="s">
        <v>1128</v>
      </c>
      <c r="C1413" s="7" t="s">
        <v>5684</v>
      </c>
      <c r="D1413" s="7" t="s">
        <v>5685</v>
      </c>
      <c r="E1413" s="8">
        <v>2.0</v>
      </c>
      <c r="F1413" s="7" t="s">
        <v>17</v>
      </c>
      <c r="G1413" s="5" t="s">
        <v>19</v>
      </c>
      <c r="H1413" s="7" t="s">
        <v>16</v>
      </c>
      <c r="I1413" s="7" t="s">
        <v>5686</v>
      </c>
      <c r="J1413" s="7" t="s">
        <v>1266</v>
      </c>
      <c r="K1413" s="7" t="s">
        <v>16</v>
      </c>
      <c r="L1413" s="7" t="s">
        <v>16</v>
      </c>
      <c r="M1413" s="5" t="s">
        <v>36</v>
      </c>
      <c r="N1413" s="5" t="s">
        <v>5687</v>
      </c>
      <c r="O1413" s="5"/>
      <c r="P1413" s="5"/>
      <c r="Q1413" s="5"/>
      <c r="R1413" s="5"/>
      <c r="S1413" s="5"/>
      <c r="T1413" s="5"/>
      <c r="U1413" s="5"/>
      <c r="V1413" s="5"/>
      <c r="W1413" s="5"/>
      <c r="X1413" s="5"/>
      <c r="Y1413" s="5"/>
      <c r="Z1413" s="5"/>
    </row>
    <row r="1414">
      <c r="A1414" s="6" t="s">
        <v>5688</v>
      </c>
      <c r="B1414" s="5" t="s">
        <v>1128</v>
      </c>
      <c r="C1414" s="7" t="s">
        <v>5689</v>
      </c>
      <c r="D1414" s="7" t="s">
        <v>2172</v>
      </c>
      <c r="E1414" s="8">
        <v>2.0</v>
      </c>
      <c r="F1414" s="7" t="s">
        <v>17</v>
      </c>
      <c r="G1414" s="5" t="s">
        <v>19</v>
      </c>
      <c r="H1414" s="7" t="s">
        <v>16</v>
      </c>
      <c r="I1414" s="7" t="s">
        <v>5690</v>
      </c>
      <c r="J1414" s="7" t="s">
        <v>1266</v>
      </c>
      <c r="K1414" s="7" t="s">
        <v>16</v>
      </c>
      <c r="L1414" s="7" t="s">
        <v>16</v>
      </c>
      <c r="M1414" s="5" t="s">
        <v>36</v>
      </c>
      <c r="N1414" s="5" t="s">
        <v>5691</v>
      </c>
      <c r="O1414" s="5"/>
      <c r="P1414" s="5"/>
      <c r="Q1414" s="5"/>
      <c r="R1414" s="5"/>
      <c r="S1414" s="5"/>
      <c r="T1414" s="5"/>
      <c r="U1414" s="5"/>
      <c r="V1414" s="5"/>
      <c r="W1414" s="5"/>
      <c r="X1414" s="5"/>
      <c r="Y1414" s="5"/>
      <c r="Z1414" s="5"/>
    </row>
    <row r="1415">
      <c r="A1415" s="6" t="s">
        <v>5692</v>
      </c>
      <c r="B1415" s="5" t="s">
        <v>1128</v>
      </c>
      <c r="C1415" s="7" t="s">
        <v>5693</v>
      </c>
      <c r="D1415" s="7" t="s">
        <v>2172</v>
      </c>
      <c r="E1415" s="8">
        <v>5.0</v>
      </c>
      <c r="F1415" s="7" t="s">
        <v>105</v>
      </c>
      <c r="G1415" s="5" t="s">
        <v>461</v>
      </c>
      <c r="H1415" s="7" t="s">
        <v>16</v>
      </c>
      <c r="I1415" s="7" t="s">
        <v>5694</v>
      </c>
      <c r="J1415" s="36" t="s">
        <v>1261</v>
      </c>
      <c r="K1415" s="8">
        <v>2.0</v>
      </c>
      <c r="L1415" s="7" t="s">
        <v>16</v>
      </c>
      <c r="M1415" s="5" t="s">
        <v>88</v>
      </c>
      <c r="N1415" s="5" t="s">
        <v>5695</v>
      </c>
      <c r="O1415" s="5"/>
      <c r="P1415" s="5"/>
      <c r="Q1415" s="5"/>
      <c r="R1415" s="5"/>
      <c r="S1415" s="5"/>
      <c r="T1415" s="5"/>
      <c r="U1415" s="5"/>
      <c r="V1415" s="5"/>
      <c r="W1415" s="5"/>
      <c r="X1415" s="5"/>
      <c r="Y1415" s="5"/>
      <c r="Z1415" s="5"/>
    </row>
    <row r="1416">
      <c r="A1416" s="6" t="s">
        <v>5696</v>
      </c>
      <c r="B1416" s="5" t="s">
        <v>1128</v>
      </c>
      <c r="C1416" s="7" t="s">
        <v>5697</v>
      </c>
      <c r="D1416" s="7" t="s">
        <v>2172</v>
      </c>
      <c r="E1416" s="8">
        <v>5.0</v>
      </c>
      <c r="F1416" s="7" t="s">
        <v>105</v>
      </c>
      <c r="G1416" s="5" t="s">
        <v>5698</v>
      </c>
      <c r="H1416" s="7" t="s">
        <v>16</v>
      </c>
      <c r="I1416" s="7" t="s">
        <v>5699</v>
      </c>
      <c r="J1416" s="36" t="s">
        <v>1154</v>
      </c>
      <c r="K1416" s="8">
        <v>1.0</v>
      </c>
      <c r="L1416" s="7" t="s">
        <v>16</v>
      </c>
      <c r="M1416" s="5" t="s">
        <v>88</v>
      </c>
      <c r="N1416" s="5" t="s">
        <v>5700</v>
      </c>
      <c r="O1416" s="5"/>
      <c r="P1416" s="5"/>
      <c r="Q1416" s="5"/>
      <c r="R1416" s="5"/>
      <c r="S1416" s="5"/>
      <c r="T1416" s="5"/>
      <c r="U1416" s="5"/>
      <c r="V1416" s="5"/>
      <c r="W1416" s="5"/>
      <c r="X1416" s="5"/>
      <c r="Y1416" s="5"/>
      <c r="Z1416" s="5"/>
    </row>
    <row r="1417">
      <c r="A1417" s="6" t="s">
        <v>5701</v>
      </c>
      <c r="B1417" s="5" t="s">
        <v>1128</v>
      </c>
      <c r="C1417" s="7" t="s">
        <v>5702</v>
      </c>
      <c r="D1417" s="7" t="s">
        <v>2172</v>
      </c>
      <c r="E1417" s="8">
        <v>1.0</v>
      </c>
      <c r="F1417" s="7" t="s">
        <v>17</v>
      </c>
      <c r="G1417" s="5" t="s">
        <v>19</v>
      </c>
      <c r="H1417" s="7" t="s">
        <v>16</v>
      </c>
      <c r="I1417" s="7" t="s">
        <v>5703</v>
      </c>
      <c r="J1417" s="7" t="s">
        <v>1266</v>
      </c>
      <c r="K1417" s="7" t="s">
        <v>16</v>
      </c>
      <c r="L1417" s="7" t="s">
        <v>16</v>
      </c>
      <c r="M1417" s="5" t="s">
        <v>36</v>
      </c>
      <c r="N1417" s="5" t="s">
        <v>5704</v>
      </c>
      <c r="O1417" s="5"/>
      <c r="P1417" s="5"/>
      <c r="Q1417" s="5"/>
      <c r="R1417" s="5"/>
      <c r="S1417" s="5"/>
      <c r="T1417" s="5"/>
      <c r="U1417" s="5"/>
      <c r="V1417" s="5"/>
      <c r="W1417" s="5"/>
      <c r="X1417" s="5"/>
      <c r="Y1417" s="5"/>
      <c r="Z1417" s="5"/>
    </row>
    <row r="1418">
      <c r="A1418" s="6" t="s">
        <v>5705</v>
      </c>
      <c r="B1418" s="5" t="s">
        <v>1128</v>
      </c>
      <c r="C1418" s="7" t="s">
        <v>5706</v>
      </c>
      <c r="D1418" s="7" t="s">
        <v>2172</v>
      </c>
      <c r="E1418" s="8">
        <v>2.0</v>
      </c>
      <c r="F1418" s="7" t="s">
        <v>17</v>
      </c>
      <c r="G1418" s="5" t="s">
        <v>19</v>
      </c>
      <c r="H1418" s="7" t="s">
        <v>16</v>
      </c>
      <c r="I1418" s="7" t="s">
        <v>5707</v>
      </c>
      <c r="J1418" s="36" t="s">
        <v>1261</v>
      </c>
      <c r="K1418" s="7" t="s">
        <v>16</v>
      </c>
      <c r="L1418" s="7" t="s">
        <v>16</v>
      </c>
      <c r="M1418" s="5" t="s">
        <v>36</v>
      </c>
      <c r="N1418" s="5" t="s">
        <v>5708</v>
      </c>
      <c r="O1418" s="5"/>
      <c r="P1418" s="5"/>
      <c r="Q1418" s="5"/>
      <c r="R1418" s="5"/>
      <c r="S1418" s="5"/>
      <c r="T1418" s="5"/>
      <c r="U1418" s="5"/>
      <c r="V1418" s="5"/>
      <c r="W1418" s="5"/>
      <c r="X1418" s="5"/>
      <c r="Y1418" s="5"/>
      <c r="Z1418" s="5"/>
    </row>
    <row r="1419">
      <c r="A1419" s="6" t="s">
        <v>5709</v>
      </c>
      <c r="B1419" s="5" t="s">
        <v>1128</v>
      </c>
      <c r="C1419" s="7" t="s">
        <v>5710</v>
      </c>
      <c r="D1419" s="7" t="s">
        <v>2177</v>
      </c>
      <c r="E1419" s="8">
        <v>1.0</v>
      </c>
      <c r="F1419" s="7" t="s">
        <v>17</v>
      </c>
      <c r="G1419" s="5" t="s">
        <v>19</v>
      </c>
      <c r="H1419" s="7" t="s">
        <v>16</v>
      </c>
      <c r="I1419" s="7" t="s">
        <v>1131</v>
      </c>
      <c r="J1419" s="36" t="s">
        <v>1261</v>
      </c>
      <c r="K1419" s="8">
        <v>1.0</v>
      </c>
      <c r="L1419" s="7" t="s">
        <v>16</v>
      </c>
      <c r="M1419" s="5" t="s">
        <v>22</v>
      </c>
      <c r="N1419" s="5" t="s">
        <v>5711</v>
      </c>
      <c r="O1419" s="5"/>
      <c r="P1419" s="5"/>
      <c r="Q1419" s="5"/>
      <c r="R1419" s="5"/>
      <c r="S1419" s="5"/>
      <c r="T1419" s="5"/>
      <c r="U1419" s="5"/>
      <c r="V1419" s="5"/>
      <c r="W1419" s="5"/>
      <c r="X1419" s="5"/>
      <c r="Y1419" s="5"/>
      <c r="Z1419" s="5"/>
    </row>
    <row r="1420">
      <c r="A1420" s="6" t="s">
        <v>5712</v>
      </c>
      <c r="B1420" s="5" t="s">
        <v>1128</v>
      </c>
      <c r="C1420" s="7" t="s">
        <v>5713</v>
      </c>
      <c r="D1420" s="7" t="s">
        <v>2177</v>
      </c>
      <c r="E1420" s="8">
        <v>2.0</v>
      </c>
      <c r="F1420" s="7" t="s">
        <v>17</v>
      </c>
      <c r="G1420" s="5" t="s">
        <v>19</v>
      </c>
      <c r="H1420" s="7" t="s">
        <v>16</v>
      </c>
      <c r="I1420" s="7" t="s">
        <v>1131</v>
      </c>
      <c r="J1420" s="36" t="s">
        <v>1137</v>
      </c>
      <c r="K1420" s="8">
        <v>2.0</v>
      </c>
      <c r="L1420" s="7" t="s">
        <v>16</v>
      </c>
      <c r="M1420" s="5" t="s">
        <v>36</v>
      </c>
      <c r="N1420" s="5" t="s">
        <v>5714</v>
      </c>
      <c r="O1420" s="5"/>
      <c r="P1420" s="5"/>
      <c r="Q1420" s="5"/>
      <c r="R1420" s="5"/>
      <c r="S1420" s="5"/>
      <c r="T1420" s="5"/>
      <c r="U1420" s="5"/>
      <c r="V1420" s="5"/>
      <c r="W1420" s="5"/>
      <c r="X1420" s="5"/>
      <c r="Y1420" s="5"/>
      <c r="Z1420" s="5"/>
    </row>
    <row r="1421">
      <c r="A1421" s="6" t="s">
        <v>5715</v>
      </c>
      <c r="B1421" s="5" t="s">
        <v>1128</v>
      </c>
      <c r="C1421" s="7" t="s">
        <v>5716</v>
      </c>
      <c r="D1421" s="7" t="s">
        <v>2177</v>
      </c>
      <c r="E1421" s="8">
        <v>3.0</v>
      </c>
      <c r="F1421" s="7" t="s">
        <v>17</v>
      </c>
      <c r="G1421" s="5" t="s">
        <v>19</v>
      </c>
      <c r="H1421" s="7" t="s">
        <v>16</v>
      </c>
      <c r="I1421" s="7" t="s">
        <v>5717</v>
      </c>
      <c r="J1421" s="7" t="s">
        <v>1266</v>
      </c>
      <c r="K1421" s="7" t="s">
        <v>16</v>
      </c>
      <c r="L1421" s="7" t="s">
        <v>16</v>
      </c>
      <c r="M1421" s="5" t="s">
        <v>75</v>
      </c>
      <c r="N1421" s="5" t="s">
        <v>5718</v>
      </c>
      <c r="O1421" s="5"/>
      <c r="P1421" s="5"/>
      <c r="Q1421" s="5"/>
      <c r="R1421" s="5"/>
      <c r="S1421" s="5"/>
      <c r="T1421" s="5"/>
      <c r="U1421" s="5"/>
      <c r="V1421" s="5"/>
      <c r="W1421" s="5"/>
      <c r="X1421" s="5"/>
      <c r="Y1421" s="5"/>
      <c r="Z1421" s="5"/>
    </row>
    <row r="1422">
      <c r="A1422" s="6" t="s">
        <v>5719</v>
      </c>
      <c r="B1422" s="5" t="s">
        <v>1128</v>
      </c>
      <c r="C1422" s="7" t="s">
        <v>5720</v>
      </c>
      <c r="D1422" s="7" t="s">
        <v>2177</v>
      </c>
      <c r="E1422" s="8">
        <v>3.0</v>
      </c>
      <c r="F1422" s="7" t="s">
        <v>172</v>
      </c>
      <c r="G1422" s="5" t="s">
        <v>19</v>
      </c>
      <c r="H1422" s="7" t="s">
        <v>16</v>
      </c>
      <c r="I1422" s="7" t="s">
        <v>5721</v>
      </c>
      <c r="J1422" s="7" t="s">
        <v>1266</v>
      </c>
      <c r="K1422" s="7" t="s">
        <v>16</v>
      </c>
      <c r="L1422" s="7" t="s">
        <v>16</v>
      </c>
      <c r="M1422" s="5" t="s">
        <v>36</v>
      </c>
      <c r="N1422" s="5" t="s">
        <v>5722</v>
      </c>
      <c r="O1422" s="5"/>
      <c r="P1422" s="5"/>
      <c r="Q1422" s="5"/>
      <c r="R1422" s="5"/>
      <c r="S1422" s="5"/>
      <c r="T1422" s="5"/>
      <c r="U1422" s="5"/>
      <c r="V1422" s="5"/>
      <c r="W1422" s="5"/>
      <c r="X1422" s="5"/>
      <c r="Y1422" s="5"/>
      <c r="Z1422" s="5"/>
    </row>
    <row r="1423">
      <c r="A1423" s="6" t="s">
        <v>5723</v>
      </c>
      <c r="B1423" s="5" t="s">
        <v>1128</v>
      </c>
      <c r="C1423" s="7" t="s">
        <v>5724</v>
      </c>
      <c r="D1423" s="7" t="s">
        <v>2177</v>
      </c>
      <c r="E1423" s="8">
        <v>6.0</v>
      </c>
      <c r="F1423" s="7" t="s">
        <v>17</v>
      </c>
      <c r="G1423" s="5" t="s">
        <v>326</v>
      </c>
      <c r="H1423" s="7" t="s">
        <v>16</v>
      </c>
      <c r="I1423" s="7" t="s">
        <v>4789</v>
      </c>
      <c r="J1423" s="36" t="s">
        <v>1146</v>
      </c>
      <c r="K1423" s="8">
        <v>2.0</v>
      </c>
      <c r="L1423" s="7" t="s">
        <v>16</v>
      </c>
      <c r="M1423" s="5" t="s">
        <v>88</v>
      </c>
      <c r="N1423" s="5" t="s">
        <v>5725</v>
      </c>
      <c r="O1423" s="5"/>
      <c r="P1423" s="5"/>
      <c r="Q1423" s="5"/>
      <c r="R1423" s="5"/>
      <c r="S1423" s="5"/>
      <c r="T1423" s="5"/>
      <c r="U1423" s="5"/>
      <c r="V1423" s="5"/>
      <c r="W1423" s="5"/>
      <c r="X1423" s="5"/>
      <c r="Y1423" s="5"/>
      <c r="Z1423" s="5"/>
    </row>
    <row r="1424">
      <c r="A1424" s="6" t="s">
        <v>5726</v>
      </c>
      <c r="B1424" s="5" t="s">
        <v>1128</v>
      </c>
      <c r="C1424" s="7" t="s">
        <v>5727</v>
      </c>
      <c r="D1424" s="7" t="s">
        <v>2177</v>
      </c>
      <c r="E1424" s="8">
        <v>8.0</v>
      </c>
      <c r="F1424" s="7" t="s">
        <v>17</v>
      </c>
      <c r="G1424" s="5" t="s">
        <v>326</v>
      </c>
      <c r="H1424" s="7" t="s">
        <v>4955</v>
      </c>
      <c r="I1424" s="7" t="s">
        <v>5728</v>
      </c>
      <c r="J1424" s="36" t="s">
        <v>1146</v>
      </c>
      <c r="K1424" s="8">
        <v>4.0</v>
      </c>
      <c r="L1424" s="7" t="s">
        <v>16</v>
      </c>
      <c r="M1424" s="5" t="s">
        <v>88</v>
      </c>
      <c r="N1424" s="5" t="s">
        <v>5729</v>
      </c>
      <c r="O1424" s="5"/>
      <c r="P1424" s="5"/>
      <c r="Q1424" s="5"/>
      <c r="R1424" s="5"/>
      <c r="S1424" s="5"/>
      <c r="T1424" s="5"/>
      <c r="U1424" s="5"/>
      <c r="V1424" s="5"/>
      <c r="W1424" s="5"/>
      <c r="X1424" s="5"/>
      <c r="Y1424" s="5"/>
      <c r="Z1424" s="5"/>
    </row>
    <row r="1425">
      <c r="A1425" s="6" t="s">
        <v>5730</v>
      </c>
      <c r="B1425" s="5" t="s">
        <v>1128</v>
      </c>
      <c r="C1425" s="7" t="s">
        <v>5731</v>
      </c>
      <c r="D1425" s="7" t="s">
        <v>2177</v>
      </c>
      <c r="E1425" s="8">
        <v>1.0</v>
      </c>
      <c r="F1425" s="7" t="s">
        <v>17</v>
      </c>
      <c r="G1425" s="5" t="s">
        <v>19</v>
      </c>
      <c r="H1425" s="7" t="s">
        <v>16</v>
      </c>
      <c r="I1425" s="7" t="s">
        <v>5732</v>
      </c>
      <c r="J1425" s="7" t="s">
        <v>1266</v>
      </c>
      <c r="K1425" s="7" t="s">
        <v>16</v>
      </c>
      <c r="L1425" s="7" t="s">
        <v>16</v>
      </c>
      <c r="M1425" s="5" t="s">
        <v>22</v>
      </c>
      <c r="N1425" s="5" t="s">
        <v>5733</v>
      </c>
      <c r="O1425" s="5"/>
      <c r="P1425" s="5"/>
      <c r="Q1425" s="5"/>
      <c r="R1425" s="5"/>
      <c r="S1425" s="5"/>
      <c r="T1425" s="5"/>
      <c r="U1425" s="5"/>
      <c r="V1425" s="5"/>
      <c r="W1425" s="5"/>
      <c r="X1425" s="5"/>
      <c r="Y1425" s="5"/>
      <c r="Z1425" s="5"/>
    </row>
    <row r="1426">
      <c r="A1426" s="6" t="s">
        <v>5734</v>
      </c>
      <c r="B1426" s="5" t="s">
        <v>1128</v>
      </c>
      <c r="C1426" s="7" t="s">
        <v>5735</v>
      </c>
      <c r="D1426" s="7" t="s">
        <v>2177</v>
      </c>
      <c r="E1426" s="8">
        <v>1.0</v>
      </c>
      <c r="F1426" s="7" t="s">
        <v>17</v>
      </c>
      <c r="G1426" s="5" t="s">
        <v>326</v>
      </c>
      <c r="H1426" s="7" t="s">
        <v>16</v>
      </c>
      <c r="I1426" s="7" t="s">
        <v>5736</v>
      </c>
      <c r="J1426" s="7" t="s">
        <v>1266</v>
      </c>
      <c r="K1426" s="7" t="s">
        <v>16</v>
      </c>
      <c r="L1426" s="7" t="s">
        <v>16</v>
      </c>
      <c r="M1426" s="5" t="s">
        <v>75</v>
      </c>
      <c r="N1426" s="5" t="s">
        <v>5737</v>
      </c>
      <c r="O1426" s="5"/>
      <c r="P1426" s="5"/>
      <c r="Q1426" s="5"/>
      <c r="R1426" s="5"/>
      <c r="S1426" s="5"/>
      <c r="T1426" s="5"/>
      <c r="U1426" s="5"/>
      <c r="V1426" s="5"/>
      <c r="W1426" s="5"/>
      <c r="X1426" s="5"/>
      <c r="Y1426" s="5"/>
      <c r="Z1426" s="5"/>
    </row>
    <row r="1427">
      <c r="A1427" s="6" t="s">
        <v>5738</v>
      </c>
      <c r="B1427" s="5" t="s">
        <v>1128</v>
      </c>
      <c r="C1427" s="7" t="s">
        <v>5739</v>
      </c>
      <c r="D1427" s="7" t="s">
        <v>1400</v>
      </c>
      <c r="E1427" s="8">
        <v>2.0</v>
      </c>
      <c r="F1427" s="7" t="s">
        <v>105</v>
      </c>
      <c r="G1427" s="5" t="s">
        <v>461</v>
      </c>
      <c r="H1427" s="7" t="s">
        <v>16</v>
      </c>
      <c r="I1427" s="7" t="s">
        <v>1131</v>
      </c>
      <c r="J1427" s="36" t="s">
        <v>1261</v>
      </c>
      <c r="K1427" s="8">
        <v>3.0</v>
      </c>
      <c r="L1427" s="7" t="s">
        <v>16</v>
      </c>
      <c r="M1427" s="5" t="s">
        <v>75</v>
      </c>
      <c r="N1427" s="5" t="s">
        <v>5740</v>
      </c>
      <c r="O1427" s="5"/>
      <c r="P1427" s="5"/>
      <c r="Q1427" s="5"/>
      <c r="R1427" s="5"/>
      <c r="S1427" s="5"/>
      <c r="T1427" s="5"/>
      <c r="U1427" s="5"/>
      <c r="V1427" s="5"/>
      <c r="W1427" s="5"/>
      <c r="X1427" s="5"/>
      <c r="Y1427" s="5"/>
      <c r="Z1427" s="5"/>
    </row>
    <row r="1428">
      <c r="A1428" s="6" t="s">
        <v>5741</v>
      </c>
      <c r="B1428" s="5" t="s">
        <v>1128</v>
      </c>
      <c r="C1428" s="7" t="s">
        <v>5742</v>
      </c>
      <c r="D1428" s="7" t="s">
        <v>1400</v>
      </c>
      <c r="E1428" s="8">
        <v>8.0</v>
      </c>
      <c r="F1428" s="7" t="s">
        <v>105</v>
      </c>
      <c r="G1428" s="5" t="s">
        <v>326</v>
      </c>
      <c r="H1428" s="7" t="s">
        <v>16</v>
      </c>
      <c r="I1428" s="7" t="s">
        <v>5743</v>
      </c>
      <c r="J1428" s="36" t="s">
        <v>4746</v>
      </c>
      <c r="K1428" s="8">
        <v>3.0</v>
      </c>
      <c r="L1428" s="7" t="s">
        <v>16</v>
      </c>
      <c r="M1428" s="5" t="s">
        <v>88</v>
      </c>
      <c r="N1428" s="5" t="s">
        <v>5744</v>
      </c>
      <c r="O1428" s="5"/>
      <c r="P1428" s="5"/>
      <c r="Q1428" s="5"/>
      <c r="R1428" s="5"/>
      <c r="S1428" s="5"/>
      <c r="T1428" s="5"/>
      <c r="U1428" s="5"/>
      <c r="V1428" s="5"/>
      <c r="W1428" s="5"/>
      <c r="X1428" s="5"/>
      <c r="Y1428" s="5"/>
      <c r="Z1428" s="5"/>
    </row>
    <row r="1429">
      <c r="A1429" s="6" t="s">
        <v>5745</v>
      </c>
      <c r="B1429" s="5" t="s">
        <v>1128</v>
      </c>
      <c r="C1429" s="7" t="s">
        <v>5746</v>
      </c>
      <c r="D1429" s="7" t="s">
        <v>1400</v>
      </c>
      <c r="E1429" s="8">
        <v>3.0</v>
      </c>
      <c r="F1429" s="7" t="s">
        <v>105</v>
      </c>
      <c r="G1429" s="5" t="s">
        <v>461</v>
      </c>
      <c r="H1429" s="7" t="s">
        <v>16</v>
      </c>
      <c r="I1429" s="7" t="s">
        <v>5747</v>
      </c>
      <c r="J1429" s="7" t="s">
        <v>16</v>
      </c>
      <c r="K1429" s="8">
        <v>2.0</v>
      </c>
      <c r="L1429" s="7" t="s">
        <v>16</v>
      </c>
      <c r="M1429" s="5" t="s">
        <v>75</v>
      </c>
      <c r="N1429" s="5" t="s">
        <v>5748</v>
      </c>
      <c r="O1429" s="5"/>
      <c r="P1429" s="5"/>
      <c r="Q1429" s="5"/>
      <c r="R1429" s="5"/>
      <c r="S1429" s="5"/>
      <c r="T1429" s="5"/>
      <c r="U1429" s="5"/>
      <c r="V1429" s="5"/>
      <c r="W1429" s="5"/>
      <c r="X1429" s="5"/>
      <c r="Y1429" s="5"/>
      <c r="Z1429" s="5"/>
    </row>
    <row r="1430">
      <c r="A1430" s="6" t="s">
        <v>5749</v>
      </c>
      <c r="B1430" s="5" t="s">
        <v>1128</v>
      </c>
      <c r="C1430" s="7" t="s">
        <v>5750</v>
      </c>
      <c r="D1430" s="7" t="s">
        <v>1400</v>
      </c>
      <c r="E1430" s="8">
        <v>4.0</v>
      </c>
      <c r="F1430" s="7" t="s">
        <v>105</v>
      </c>
      <c r="G1430" s="7" t="s">
        <v>461</v>
      </c>
      <c r="H1430" s="7" t="s">
        <v>16</v>
      </c>
      <c r="I1430" s="7" t="s">
        <v>5751</v>
      </c>
      <c r="J1430" s="36" t="s">
        <v>1132</v>
      </c>
      <c r="K1430" s="8">
        <v>3.0</v>
      </c>
      <c r="L1430" s="7" t="s">
        <v>16</v>
      </c>
      <c r="M1430" s="5" t="s">
        <v>75</v>
      </c>
      <c r="N1430" s="5" t="s">
        <v>5752</v>
      </c>
      <c r="O1430" s="5"/>
      <c r="P1430" s="5"/>
      <c r="Q1430" s="5"/>
      <c r="R1430" s="5"/>
      <c r="S1430" s="5"/>
      <c r="T1430" s="5"/>
      <c r="U1430" s="5"/>
      <c r="V1430" s="5"/>
      <c r="W1430" s="5"/>
      <c r="X1430" s="5"/>
      <c r="Y1430" s="5"/>
      <c r="Z1430" s="5"/>
    </row>
    <row r="1431">
      <c r="A1431" s="6" t="s">
        <v>5753</v>
      </c>
      <c r="B1431" s="5" t="s">
        <v>1128</v>
      </c>
      <c r="C1431" s="7" t="s">
        <v>5754</v>
      </c>
      <c r="D1431" s="7" t="s">
        <v>1400</v>
      </c>
      <c r="E1431" s="8">
        <v>8.0</v>
      </c>
      <c r="F1431" s="7" t="s">
        <v>105</v>
      </c>
      <c r="G1431" s="5" t="s">
        <v>326</v>
      </c>
      <c r="H1431" s="7" t="s">
        <v>16</v>
      </c>
      <c r="I1431" s="7" t="s">
        <v>5755</v>
      </c>
      <c r="J1431" s="36" t="s">
        <v>4746</v>
      </c>
      <c r="K1431" s="8">
        <v>3.0</v>
      </c>
      <c r="L1431" s="7" t="s">
        <v>16</v>
      </c>
      <c r="M1431" s="5" t="s">
        <v>88</v>
      </c>
      <c r="N1431" s="5" t="s">
        <v>5756</v>
      </c>
      <c r="O1431" s="5"/>
      <c r="P1431" s="5"/>
      <c r="Q1431" s="5"/>
      <c r="R1431" s="5"/>
      <c r="S1431" s="5"/>
      <c r="T1431" s="5"/>
      <c r="U1431" s="5"/>
      <c r="V1431" s="5"/>
      <c r="W1431" s="5"/>
      <c r="X1431" s="5"/>
      <c r="Y1431" s="5"/>
      <c r="Z1431" s="5"/>
    </row>
    <row r="1432">
      <c r="A1432" s="6" t="s">
        <v>5757</v>
      </c>
      <c r="B1432" s="5" t="s">
        <v>1128</v>
      </c>
      <c r="C1432" s="7" t="s">
        <v>4688</v>
      </c>
      <c r="D1432" s="7" t="s">
        <v>1194</v>
      </c>
      <c r="E1432" s="8">
        <v>1.0</v>
      </c>
      <c r="F1432" s="7" t="s">
        <v>105</v>
      </c>
      <c r="G1432" s="7" t="s">
        <v>19</v>
      </c>
      <c r="H1432" s="7" t="s">
        <v>4689</v>
      </c>
      <c r="I1432" s="7" t="s">
        <v>1131</v>
      </c>
      <c r="J1432" s="36" t="s">
        <v>4742</v>
      </c>
      <c r="K1432" s="8">
        <v>1.0</v>
      </c>
      <c r="L1432" s="7" t="s">
        <v>16</v>
      </c>
      <c r="M1432" s="5" t="s">
        <v>22</v>
      </c>
      <c r="N1432" s="5" t="s">
        <v>5758</v>
      </c>
      <c r="O1432" s="5"/>
      <c r="P1432" s="5"/>
      <c r="Q1432" s="5"/>
      <c r="R1432" s="5"/>
      <c r="S1432" s="5"/>
      <c r="T1432" s="5"/>
      <c r="U1432" s="5"/>
      <c r="V1432" s="5"/>
      <c r="W1432" s="5"/>
      <c r="X1432" s="5"/>
      <c r="Y1432" s="5"/>
      <c r="Z1432" s="5"/>
    </row>
    <row r="1433">
      <c r="A1433" s="6" t="s">
        <v>5759</v>
      </c>
      <c r="B1433" s="5" t="s">
        <v>1128</v>
      </c>
      <c r="C1433" s="7" t="s">
        <v>4692</v>
      </c>
      <c r="D1433" s="7" t="s">
        <v>1194</v>
      </c>
      <c r="E1433" s="8">
        <v>2.0</v>
      </c>
      <c r="F1433" s="7" t="s">
        <v>17</v>
      </c>
      <c r="G1433" s="5" t="s">
        <v>19</v>
      </c>
      <c r="H1433" s="7" t="s">
        <v>4689</v>
      </c>
      <c r="I1433" s="7" t="s">
        <v>5760</v>
      </c>
      <c r="J1433" s="36" t="s">
        <v>1261</v>
      </c>
      <c r="K1433" s="7" t="s">
        <v>16</v>
      </c>
      <c r="L1433" s="7" t="s">
        <v>16</v>
      </c>
      <c r="M1433" s="5" t="s">
        <v>22</v>
      </c>
      <c r="N1433" s="5" t="s">
        <v>5761</v>
      </c>
      <c r="O1433" s="5"/>
      <c r="P1433" s="5"/>
      <c r="Q1433" s="5"/>
      <c r="R1433" s="5"/>
      <c r="S1433" s="5"/>
      <c r="T1433" s="5"/>
      <c r="U1433" s="5"/>
      <c r="V1433" s="5"/>
      <c r="W1433" s="5"/>
      <c r="X1433" s="5"/>
      <c r="Y1433" s="5"/>
      <c r="Z1433" s="5"/>
    </row>
    <row r="1434">
      <c r="A1434" s="6" t="s">
        <v>5762</v>
      </c>
      <c r="B1434" s="5" t="s">
        <v>1128</v>
      </c>
      <c r="C1434" s="7" t="s">
        <v>4788</v>
      </c>
      <c r="D1434" s="7" t="s">
        <v>1194</v>
      </c>
      <c r="E1434" s="8">
        <v>6.0</v>
      </c>
      <c r="F1434" s="7" t="s">
        <v>105</v>
      </c>
      <c r="G1434" s="5" t="s">
        <v>326</v>
      </c>
      <c r="H1434" s="7" t="s">
        <v>4689</v>
      </c>
      <c r="I1434" s="7" t="s">
        <v>5763</v>
      </c>
      <c r="J1434" s="7" t="s">
        <v>16</v>
      </c>
      <c r="K1434" s="8">
        <v>2.0</v>
      </c>
      <c r="L1434" s="7" t="s">
        <v>16</v>
      </c>
      <c r="M1434" s="5" t="s">
        <v>88</v>
      </c>
      <c r="N1434" s="5" t="s">
        <v>5764</v>
      </c>
      <c r="O1434" s="5"/>
      <c r="P1434" s="5"/>
      <c r="Q1434" s="5"/>
      <c r="R1434" s="5"/>
      <c r="S1434" s="5"/>
      <c r="T1434" s="5"/>
      <c r="U1434" s="5"/>
      <c r="V1434" s="5"/>
      <c r="W1434" s="5"/>
      <c r="X1434" s="5"/>
      <c r="Y1434" s="5"/>
      <c r="Z1434" s="5"/>
    </row>
    <row r="1435">
      <c r="A1435" s="6" t="s">
        <v>5765</v>
      </c>
      <c r="B1435" s="5" t="s">
        <v>1128</v>
      </c>
      <c r="C1435" s="7" t="s">
        <v>5434</v>
      </c>
      <c r="D1435" s="7" t="s">
        <v>1194</v>
      </c>
      <c r="E1435" s="8">
        <v>1.0</v>
      </c>
      <c r="F1435" s="7" t="s">
        <v>17</v>
      </c>
      <c r="G1435" s="7" t="s">
        <v>326</v>
      </c>
      <c r="H1435" s="7" t="s">
        <v>4689</v>
      </c>
      <c r="I1435" s="7" t="s">
        <v>5766</v>
      </c>
      <c r="J1435" s="36" t="s">
        <v>1161</v>
      </c>
      <c r="K1435" s="8">
        <v>4.0</v>
      </c>
      <c r="L1435" s="7" t="s">
        <v>16</v>
      </c>
      <c r="M1435" s="5" t="s">
        <v>88</v>
      </c>
      <c r="N1435" s="5" t="s">
        <v>5767</v>
      </c>
      <c r="O1435" s="5"/>
      <c r="P1435" s="5"/>
      <c r="Q1435" s="5"/>
      <c r="R1435" s="5"/>
      <c r="S1435" s="5"/>
      <c r="T1435" s="5"/>
      <c r="U1435" s="5"/>
      <c r="V1435" s="5"/>
      <c r="W1435" s="5"/>
      <c r="X1435" s="5"/>
      <c r="Y1435" s="5"/>
      <c r="Z1435" s="5"/>
    </row>
    <row r="1436">
      <c r="A1436" s="6" t="s">
        <v>5768</v>
      </c>
      <c r="B1436" s="5" t="s">
        <v>1128</v>
      </c>
      <c r="C1436" s="7" t="s">
        <v>1453</v>
      </c>
      <c r="D1436" s="7" t="s">
        <v>1400</v>
      </c>
      <c r="E1436" s="8">
        <v>1.0</v>
      </c>
      <c r="F1436" s="7" t="s">
        <v>105</v>
      </c>
      <c r="G1436" s="5" t="s">
        <v>19</v>
      </c>
      <c r="H1436" s="7" t="s">
        <v>16</v>
      </c>
      <c r="I1436" s="7" t="s">
        <v>1131</v>
      </c>
      <c r="J1436" s="36" t="s">
        <v>4742</v>
      </c>
      <c r="K1436" s="8">
        <v>2.0</v>
      </c>
      <c r="L1436" s="7" t="s">
        <v>16</v>
      </c>
      <c r="M1436" s="5" t="s">
        <v>22</v>
      </c>
      <c r="N1436" s="5" t="s">
        <v>5769</v>
      </c>
      <c r="O1436" s="5"/>
      <c r="P1436" s="5"/>
      <c r="Q1436" s="5"/>
      <c r="R1436" s="5"/>
      <c r="S1436" s="5"/>
      <c r="T1436" s="5"/>
      <c r="U1436" s="5"/>
      <c r="V1436" s="5"/>
      <c r="W1436" s="5"/>
      <c r="X1436" s="5"/>
      <c r="Y1436" s="5"/>
      <c r="Z1436" s="5"/>
    </row>
    <row r="1437">
      <c r="A1437" s="6" t="s">
        <v>5770</v>
      </c>
      <c r="B1437" s="5" t="s">
        <v>1128</v>
      </c>
      <c r="C1437" s="7" t="s">
        <v>5771</v>
      </c>
      <c r="D1437" s="7" t="s">
        <v>1400</v>
      </c>
      <c r="E1437" s="8">
        <v>2.0</v>
      </c>
      <c r="F1437" s="7" t="s">
        <v>105</v>
      </c>
      <c r="G1437" s="5" t="s">
        <v>461</v>
      </c>
      <c r="H1437" s="7" t="s">
        <v>16</v>
      </c>
      <c r="I1437" s="7" t="s">
        <v>4912</v>
      </c>
      <c r="J1437" s="36" t="s">
        <v>1261</v>
      </c>
      <c r="K1437" s="8">
        <v>2.0</v>
      </c>
      <c r="L1437" s="7" t="s">
        <v>16</v>
      </c>
      <c r="M1437" s="5" t="s">
        <v>22</v>
      </c>
      <c r="N1437" s="5" t="s">
        <v>5772</v>
      </c>
      <c r="O1437" s="5"/>
      <c r="P1437" s="5"/>
      <c r="Q1437" s="5"/>
      <c r="R1437" s="5"/>
      <c r="S1437" s="5"/>
      <c r="T1437" s="5"/>
      <c r="U1437" s="5"/>
      <c r="V1437" s="5"/>
      <c r="W1437" s="5"/>
      <c r="X1437" s="5"/>
      <c r="Y1437" s="5"/>
      <c r="Z1437" s="5"/>
    </row>
    <row r="1438">
      <c r="A1438" s="6" t="s">
        <v>5773</v>
      </c>
      <c r="B1438" s="5" t="s">
        <v>1128</v>
      </c>
      <c r="C1438" s="7" t="s">
        <v>5774</v>
      </c>
      <c r="D1438" s="7" t="s">
        <v>1400</v>
      </c>
      <c r="E1438" s="8">
        <v>2.0</v>
      </c>
      <c r="F1438" s="7" t="s">
        <v>172</v>
      </c>
      <c r="G1438" s="5" t="s">
        <v>19</v>
      </c>
      <c r="H1438" s="7" t="s">
        <v>16</v>
      </c>
      <c r="I1438" s="7" t="s">
        <v>1153</v>
      </c>
      <c r="J1438" s="36" t="s">
        <v>4746</v>
      </c>
      <c r="K1438" s="7" t="s">
        <v>16</v>
      </c>
      <c r="L1438" s="7" t="s">
        <v>16</v>
      </c>
      <c r="M1438" s="5" t="s">
        <v>22</v>
      </c>
      <c r="N1438" s="5" t="s">
        <v>5775</v>
      </c>
      <c r="O1438" s="5"/>
      <c r="P1438" s="5"/>
      <c r="Q1438" s="5"/>
      <c r="R1438" s="5"/>
      <c r="S1438" s="5"/>
      <c r="T1438" s="5"/>
      <c r="U1438" s="5"/>
      <c r="V1438" s="5"/>
      <c r="W1438" s="5"/>
      <c r="X1438" s="5"/>
      <c r="Y1438" s="5"/>
      <c r="Z1438" s="5"/>
    </row>
    <row r="1439">
      <c r="A1439" s="6" t="s">
        <v>5776</v>
      </c>
      <c r="B1439" s="5" t="s">
        <v>1128</v>
      </c>
      <c r="C1439" s="7" t="s">
        <v>1135</v>
      </c>
      <c r="D1439" s="7" t="s">
        <v>1068</v>
      </c>
      <c r="E1439" s="8">
        <v>1.0</v>
      </c>
      <c r="F1439" s="7" t="s">
        <v>172</v>
      </c>
      <c r="G1439" s="5" t="s">
        <v>19</v>
      </c>
      <c r="H1439" s="7" t="s">
        <v>1130</v>
      </c>
      <c r="I1439" s="7" t="s">
        <v>1153</v>
      </c>
      <c r="J1439" s="36" t="s">
        <v>1154</v>
      </c>
      <c r="K1439" s="7" t="s">
        <v>16</v>
      </c>
      <c r="L1439" s="7" t="s">
        <v>16</v>
      </c>
      <c r="M1439" s="5" t="s">
        <v>36</v>
      </c>
      <c r="N1439" s="5" t="s">
        <v>5777</v>
      </c>
      <c r="O1439" s="5"/>
      <c r="P1439" s="5"/>
      <c r="Q1439" s="5"/>
      <c r="R1439" s="5"/>
      <c r="S1439" s="5"/>
      <c r="T1439" s="5"/>
      <c r="U1439" s="5"/>
      <c r="V1439" s="5"/>
      <c r="W1439" s="5"/>
      <c r="X1439" s="5"/>
      <c r="Y1439" s="5"/>
      <c r="Z1439" s="5"/>
    </row>
    <row r="1440">
      <c r="A1440" s="6" t="s">
        <v>5778</v>
      </c>
      <c r="B1440" s="5" t="s">
        <v>1128</v>
      </c>
      <c r="C1440" s="7" t="s">
        <v>1160</v>
      </c>
      <c r="D1440" s="7" t="s">
        <v>1068</v>
      </c>
      <c r="E1440" s="8">
        <v>7.0</v>
      </c>
      <c r="F1440" s="7" t="s">
        <v>105</v>
      </c>
      <c r="G1440" s="5" t="s">
        <v>326</v>
      </c>
      <c r="H1440" s="7" t="s">
        <v>1130</v>
      </c>
      <c r="I1440" s="7" t="s">
        <v>4912</v>
      </c>
      <c r="J1440" s="36" t="s">
        <v>1161</v>
      </c>
      <c r="K1440" s="8">
        <v>4.0</v>
      </c>
      <c r="L1440" s="7" t="s">
        <v>16</v>
      </c>
      <c r="M1440" s="5" t="s">
        <v>75</v>
      </c>
      <c r="N1440" s="5" t="s">
        <v>5779</v>
      </c>
      <c r="O1440" s="5"/>
      <c r="P1440" s="5"/>
      <c r="Q1440" s="5"/>
      <c r="R1440" s="5"/>
      <c r="S1440" s="5"/>
      <c r="T1440" s="5"/>
      <c r="U1440" s="5"/>
      <c r="V1440" s="5"/>
      <c r="W1440" s="5"/>
      <c r="X1440" s="5"/>
      <c r="Y1440" s="5"/>
      <c r="Z1440" s="5"/>
    </row>
    <row r="1441">
      <c r="A1441" s="6" t="s">
        <v>5780</v>
      </c>
      <c r="B1441" s="5" t="s">
        <v>1128</v>
      </c>
      <c r="C1441" s="7" t="s">
        <v>1253</v>
      </c>
      <c r="D1441" s="7" t="s">
        <v>1068</v>
      </c>
      <c r="E1441" s="8">
        <v>1.0</v>
      </c>
      <c r="F1441" s="7" t="s">
        <v>105</v>
      </c>
      <c r="G1441" s="5" t="s">
        <v>19</v>
      </c>
      <c r="H1441" s="7" t="s">
        <v>1130</v>
      </c>
      <c r="I1441" s="7" t="s">
        <v>5781</v>
      </c>
      <c r="J1441" s="36" t="s">
        <v>1137</v>
      </c>
      <c r="K1441" s="8">
        <v>1.0</v>
      </c>
      <c r="L1441" s="7" t="s">
        <v>16</v>
      </c>
      <c r="M1441" s="5" t="s">
        <v>22</v>
      </c>
      <c r="N1441" s="5" t="s">
        <v>5782</v>
      </c>
      <c r="O1441" s="5"/>
      <c r="P1441" s="5"/>
      <c r="Q1441" s="5"/>
      <c r="R1441" s="5"/>
      <c r="S1441" s="5"/>
      <c r="T1441" s="5"/>
      <c r="U1441" s="5"/>
      <c r="V1441" s="5"/>
      <c r="W1441" s="5"/>
      <c r="X1441" s="5"/>
      <c r="Y1441" s="5"/>
      <c r="Z1441" s="5"/>
    </row>
    <row r="1442">
      <c r="A1442" s="6" t="s">
        <v>5783</v>
      </c>
      <c r="B1442" s="5" t="s">
        <v>1128</v>
      </c>
      <c r="C1442" s="7" t="s">
        <v>1446</v>
      </c>
      <c r="D1442" s="7" t="s">
        <v>1068</v>
      </c>
      <c r="E1442" s="8">
        <v>1.0</v>
      </c>
      <c r="F1442" s="7" t="s">
        <v>17</v>
      </c>
      <c r="G1442" s="5" t="s">
        <v>461</v>
      </c>
      <c r="H1442" s="7" t="s">
        <v>16</v>
      </c>
      <c r="I1442" s="7" t="s">
        <v>5784</v>
      </c>
      <c r="J1442" s="36" t="s">
        <v>1132</v>
      </c>
      <c r="K1442" s="8">
        <v>2.0</v>
      </c>
      <c r="L1442" s="7" t="s">
        <v>16</v>
      </c>
      <c r="M1442" s="5" t="s">
        <v>36</v>
      </c>
      <c r="N1442" s="5" t="s">
        <v>5785</v>
      </c>
      <c r="O1442" s="5"/>
      <c r="P1442" s="5"/>
      <c r="Q1442" s="5"/>
      <c r="R1442" s="5"/>
      <c r="S1442" s="5"/>
      <c r="T1442" s="5"/>
      <c r="U1442" s="5"/>
      <c r="V1442" s="5"/>
      <c r="W1442" s="5"/>
      <c r="X1442" s="5"/>
      <c r="Y1442" s="5"/>
      <c r="Z1442" s="5"/>
    </row>
    <row r="1443">
      <c r="A1443" s="6" t="s">
        <v>5786</v>
      </c>
      <c r="B1443" s="5" t="s">
        <v>1128</v>
      </c>
      <c r="C1443" s="7" t="s">
        <v>4476</v>
      </c>
      <c r="D1443" s="7" t="s">
        <v>1068</v>
      </c>
      <c r="E1443" s="8">
        <v>1.0</v>
      </c>
      <c r="F1443" s="7" t="s">
        <v>17</v>
      </c>
      <c r="G1443" s="5" t="s">
        <v>461</v>
      </c>
      <c r="H1443" s="7" t="s">
        <v>1130</v>
      </c>
      <c r="I1443" s="7" t="s">
        <v>5787</v>
      </c>
      <c r="J1443" s="36" t="s">
        <v>1132</v>
      </c>
      <c r="K1443" s="7" t="s">
        <v>16</v>
      </c>
      <c r="L1443" s="7" t="s">
        <v>16</v>
      </c>
      <c r="M1443" s="5" t="s">
        <v>36</v>
      </c>
      <c r="N1443" s="5" t="s">
        <v>5788</v>
      </c>
      <c r="O1443" s="5"/>
      <c r="P1443" s="5"/>
      <c r="Q1443" s="5"/>
      <c r="R1443" s="5"/>
      <c r="S1443" s="5"/>
      <c r="T1443" s="5"/>
      <c r="U1443" s="5"/>
      <c r="V1443" s="5"/>
      <c r="W1443" s="5"/>
      <c r="X1443" s="5"/>
      <c r="Y1443" s="5"/>
      <c r="Z1443" s="5"/>
    </row>
    <row r="1444">
      <c r="A1444" s="6" t="s">
        <v>5789</v>
      </c>
      <c r="B1444" s="5" t="s">
        <v>1128</v>
      </c>
      <c r="C1444" s="7" t="s">
        <v>1453</v>
      </c>
      <c r="D1444" s="7" t="s">
        <v>1400</v>
      </c>
      <c r="E1444" s="8">
        <v>1.0</v>
      </c>
      <c r="F1444" s="7" t="s">
        <v>17</v>
      </c>
      <c r="G1444" s="5" t="s">
        <v>19</v>
      </c>
      <c r="H1444" s="7" t="s">
        <v>16</v>
      </c>
      <c r="I1444" s="7" t="s">
        <v>1131</v>
      </c>
      <c r="J1444" s="36" t="s">
        <v>1261</v>
      </c>
      <c r="K1444" s="8">
        <v>2.0</v>
      </c>
      <c r="L1444" s="7" t="s">
        <v>16</v>
      </c>
      <c r="M1444" s="5" t="s">
        <v>22</v>
      </c>
      <c r="N1444" s="5" t="s">
        <v>5790</v>
      </c>
      <c r="O1444" s="5"/>
      <c r="P1444" s="5"/>
      <c r="Q1444" s="5"/>
      <c r="R1444" s="5"/>
      <c r="S1444" s="5"/>
      <c r="T1444" s="5"/>
      <c r="U1444" s="5"/>
      <c r="V1444" s="5"/>
      <c r="W1444" s="5"/>
      <c r="X1444" s="5"/>
      <c r="Y1444" s="5"/>
      <c r="Z1444" s="5"/>
    </row>
    <row r="1445">
      <c r="A1445" s="6" t="s">
        <v>5791</v>
      </c>
      <c r="B1445" s="5" t="s">
        <v>1128</v>
      </c>
      <c r="C1445" s="7" t="s">
        <v>5771</v>
      </c>
      <c r="D1445" s="7" t="s">
        <v>1400</v>
      </c>
      <c r="E1445" s="8">
        <v>3.0</v>
      </c>
      <c r="F1445" s="7" t="s">
        <v>17</v>
      </c>
      <c r="G1445" s="5" t="s">
        <v>19</v>
      </c>
      <c r="H1445" s="7" t="s">
        <v>16</v>
      </c>
      <c r="I1445" s="7" t="s">
        <v>5393</v>
      </c>
      <c r="J1445" s="8">
        <v>2000.0</v>
      </c>
      <c r="K1445" s="8">
        <v>2.0</v>
      </c>
      <c r="L1445" s="7" t="s">
        <v>16</v>
      </c>
      <c r="M1445" s="5" t="s">
        <v>22</v>
      </c>
      <c r="N1445" s="5" t="s">
        <v>5792</v>
      </c>
      <c r="O1445" s="5"/>
      <c r="P1445" s="5"/>
      <c r="Q1445" s="5"/>
      <c r="R1445" s="5"/>
      <c r="S1445" s="5"/>
      <c r="T1445" s="5"/>
      <c r="U1445" s="5"/>
      <c r="V1445" s="5"/>
      <c r="W1445" s="5"/>
      <c r="X1445" s="5"/>
      <c r="Y1445" s="5"/>
      <c r="Z1445" s="5"/>
    </row>
    <row r="1446">
      <c r="A1446" s="6" t="s">
        <v>5793</v>
      </c>
      <c r="B1446" s="5" t="s">
        <v>1128</v>
      </c>
      <c r="C1446" s="7" t="s">
        <v>5739</v>
      </c>
      <c r="D1446" s="7" t="s">
        <v>1400</v>
      </c>
      <c r="E1446" s="8">
        <v>3.0</v>
      </c>
      <c r="F1446" s="7" t="s">
        <v>105</v>
      </c>
      <c r="G1446" s="5" t="s">
        <v>461</v>
      </c>
      <c r="H1446" s="7" t="s">
        <v>16</v>
      </c>
      <c r="I1446" s="7" t="s">
        <v>5794</v>
      </c>
      <c r="J1446" s="36" t="s">
        <v>1132</v>
      </c>
      <c r="K1446" s="8">
        <v>2.0</v>
      </c>
      <c r="L1446" s="7" t="s">
        <v>16</v>
      </c>
      <c r="M1446" s="5" t="s">
        <v>36</v>
      </c>
      <c r="N1446" s="5" t="s">
        <v>5795</v>
      </c>
      <c r="O1446" s="5"/>
      <c r="P1446" s="5"/>
      <c r="Q1446" s="5"/>
      <c r="R1446" s="5"/>
      <c r="S1446" s="5"/>
      <c r="T1446" s="5"/>
      <c r="U1446" s="5"/>
      <c r="V1446" s="5"/>
      <c r="W1446" s="5"/>
      <c r="X1446" s="5"/>
      <c r="Y1446" s="5"/>
      <c r="Z1446" s="5"/>
    </row>
    <row r="1447">
      <c r="A1447" s="6" t="s">
        <v>5796</v>
      </c>
      <c r="B1447" s="5" t="s">
        <v>1128</v>
      </c>
      <c r="C1447" s="7" t="s">
        <v>5742</v>
      </c>
      <c r="D1447" s="7" t="s">
        <v>1400</v>
      </c>
      <c r="E1447" s="8">
        <v>7.0</v>
      </c>
      <c r="F1447" s="7" t="s">
        <v>105</v>
      </c>
      <c r="G1447" s="5" t="s">
        <v>326</v>
      </c>
      <c r="H1447" s="7" t="s">
        <v>16</v>
      </c>
      <c r="I1447" s="7" t="s">
        <v>4789</v>
      </c>
      <c r="J1447" s="36" t="s">
        <v>1161</v>
      </c>
      <c r="K1447" s="8">
        <v>3.0</v>
      </c>
      <c r="L1447" s="7" t="s">
        <v>16</v>
      </c>
      <c r="M1447" s="5" t="s">
        <v>75</v>
      </c>
      <c r="N1447" s="5" t="s">
        <v>5797</v>
      </c>
      <c r="O1447" s="5"/>
      <c r="P1447" s="5"/>
      <c r="Q1447" s="5"/>
      <c r="R1447" s="5"/>
      <c r="S1447" s="5"/>
      <c r="T1447" s="5"/>
      <c r="U1447" s="5"/>
      <c r="V1447" s="5"/>
      <c r="W1447" s="5"/>
      <c r="X1447" s="5"/>
      <c r="Y1447" s="5"/>
      <c r="Z1447" s="5"/>
    </row>
    <row r="1448">
      <c r="A1448" s="6" t="s">
        <v>5798</v>
      </c>
      <c r="B1448" s="5" t="s">
        <v>1128</v>
      </c>
      <c r="C1448" s="7" t="s">
        <v>5774</v>
      </c>
      <c r="D1448" s="7" t="s">
        <v>1400</v>
      </c>
      <c r="E1448" s="8">
        <v>1.0</v>
      </c>
      <c r="F1448" s="7" t="s">
        <v>172</v>
      </c>
      <c r="G1448" s="5" t="s">
        <v>19</v>
      </c>
      <c r="H1448" s="7" t="s">
        <v>16</v>
      </c>
      <c r="I1448" s="7" t="s">
        <v>1153</v>
      </c>
      <c r="J1448" s="36" t="s">
        <v>1154</v>
      </c>
      <c r="K1448" s="7" t="s">
        <v>16</v>
      </c>
      <c r="L1448" s="7" t="s">
        <v>16</v>
      </c>
      <c r="M1448" s="5" t="s">
        <v>36</v>
      </c>
      <c r="N1448" s="5" t="s">
        <v>5799</v>
      </c>
      <c r="O1448" s="5"/>
      <c r="P1448" s="5"/>
      <c r="Q1448" s="5"/>
      <c r="R1448" s="5"/>
      <c r="S1448" s="5"/>
      <c r="T1448" s="5"/>
      <c r="U1448" s="5"/>
      <c r="V1448" s="5"/>
      <c r="W1448" s="5"/>
      <c r="X1448" s="5"/>
      <c r="Y1448" s="5"/>
      <c r="Z1448" s="5"/>
    </row>
    <row r="1449">
      <c r="A1449" s="6" t="s">
        <v>5800</v>
      </c>
      <c r="B1449" s="5" t="s">
        <v>1128</v>
      </c>
      <c r="C1449" s="7" t="s">
        <v>5801</v>
      </c>
      <c r="D1449" s="7" t="s">
        <v>1068</v>
      </c>
      <c r="E1449" s="8">
        <v>6.0</v>
      </c>
      <c r="F1449" s="7" t="s">
        <v>105</v>
      </c>
      <c r="G1449" s="5" t="s">
        <v>326</v>
      </c>
      <c r="H1449" s="7" t="s">
        <v>1130</v>
      </c>
      <c r="I1449" s="7" t="s">
        <v>5802</v>
      </c>
      <c r="J1449" s="36" t="s">
        <v>1154</v>
      </c>
      <c r="K1449" s="8">
        <v>3.0</v>
      </c>
      <c r="L1449" s="7" t="s">
        <v>16</v>
      </c>
      <c r="M1449" s="5" t="s">
        <v>88</v>
      </c>
      <c r="N1449" s="5" t="s">
        <v>5803</v>
      </c>
      <c r="O1449" s="5"/>
      <c r="P1449" s="5"/>
      <c r="Q1449" s="5"/>
      <c r="R1449" s="5"/>
      <c r="S1449" s="5"/>
      <c r="T1449" s="5"/>
      <c r="U1449" s="5"/>
      <c r="V1449" s="5"/>
      <c r="W1449" s="5"/>
      <c r="X1449" s="5"/>
      <c r="Y1449" s="5"/>
      <c r="Z1449" s="5"/>
    </row>
    <row r="1450">
      <c r="A1450" s="6" t="s">
        <v>5804</v>
      </c>
      <c r="B1450" s="5" t="s">
        <v>1128</v>
      </c>
      <c r="C1450" s="7" t="s">
        <v>4476</v>
      </c>
      <c r="D1450" s="7" t="s">
        <v>1068</v>
      </c>
      <c r="E1450" s="8">
        <v>1.0</v>
      </c>
      <c r="F1450" s="7" t="s">
        <v>105</v>
      </c>
      <c r="G1450" s="5" t="s">
        <v>19</v>
      </c>
      <c r="H1450" s="7" t="s">
        <v>1130</v>
      </c>
      <c r="I1450" s="7" t="s">
        <v>5805</v>
      </c>
      <c r="J1450" s="36" t="s">
        <v>1137</v>
      </c>
      <c r="K1450" s="7" t="s">
        <v>16</v>
      </c>
      <c r="L1450" s="7" t="s">
        <v>16</v>
      </c>
      <c r="M1450" s="5" t="s">
        <v>88</v>
      </c>
      <c r="N1450" s="5" t="s">
        <v>5806</v>
      </c>
      <c r="O1450" s="5"/>
      <c r="P1450" s="5"/>
      <c r="Q1450" s="5"/>
      <c r="R1450" s="5"/>
      <c r="S1450" s="5"/>
      <c r="T1450" s="5"/>
      <c r="U1450" s="5"/>
      <c r="V1450" s="5"/>
      <c r="W1450" s="5"/>
      <c r="X1450" s="5"/>
      <c r="Y1450" s="5"/>
      <c r="Z1450" s="5"/>
    </row>
    <row r="1451">
      <c r="A1451" s="6" t="s">
        <v>5807</v>
      </c>
      <c r="B1451" s="5" t="s">
        <v>1128</v>
      </c>
      <c r="C1451" s="7" t="s">
        <v>5808</v>
      </c>
      <c r="D1451" s="7" t="s">
        <v>85</v>
      </c>
      <c r="E1451" s="8">
        <v>0.0</v>
      </c>
      <c r="F1451" s="7" t="s">
        <v>17</v>
      </c>
      <c r="G1451" s="5" t="s">
        <v>461</v>
      </c>
      <c r="H1451" s="7" t="s">
        <v>16</v>
      </c>
      <c r="I1451" s="7" t="s">
        <v>5809</v>
      </c>
      <c r="J1451" s="7" t="s">
        <v>1266</v>
      </c>
      <c r="K1451" s="7" t="s">
        <v>16</v>
      </c>
      <c r="L1451" s="7" t="s">
        <v>16</v>
      </c>
      <c r="M1451" s="5" t="s">
        <v>75</v>
      </c>
      <c r="N1451" s="5" t="s">
        <v>5810</v>
      </c>
      <c r="O1451" s="5"/>
      <c r="P1451" s="5"/>
      <c r="Q1451" s="5"/>
      <c r="R1451" s="5"/>
      <c r="S1451" s="5"/>
      <c r="T1451" s="5"/>
      <c r="U1451" s="5"/>
      <c r="V1451" s="5"/>
      <c r="W1451" s="5"/>
      <c r="X1451" s="5"/>
      <c r="Y1451" s="5"/>
      <c r="Z1451" s="5"/>
    </row>
    <row r="1452">
      <c r="A1452" s="6" t="s">
        <v>5811</v>
      </c>
      <c r="B1452" s="5" t="s">
        <v>1128</v>
      </c>
      <c r="C1452" s="7" t="s">
        <v>5812</v>
      </c>
      <c r="D1452" s="7" t="s">
        <v>1905</v>
      </c>
      <c r="E1452" s="8">
        <v>1.0</v>
      </c>
      <c r="F1452" s="7" t="s">
        <v>105</v>
      </c>
      <c r="G1452" s="5" t="s">
        <v>19</v>
      </c>
      <c r="H1452" s="7" t="s">
        <v>16</v>
      </c>
      <c r="I1452" s="7" t="s">
        <v>5813</v>
      </c>
      <c r="J1452" s="7" t="s">
        <v>1266</v>
      </c>
      <c r="K1452" s="7" t="s">
        <v>16</v>
      </c>
      <c r="L1452" s="7" t="s">
        <v>16</v>
      </c>
      <c r="M1452" s="5" t="s">
        <v>75</v>
      </c>
      <c r="N1452" s="5" t="s">
        <v>5814</v>
      </c>
      <c r="O1452" s="5"/>
      <c r="P1452" s="5"/>
      <c r="Q1452" s="5"/>
      <c r="R1452" s="5"/>
      <c r="S1452" s="5"/>
      <c r="T1452" s="5"/>
      <c r="U1452" s="5"/>
      <c r="V1452" s="5"/>
      <c r="W1452" s="5"/>
      <c r="X1452" s="5"/>
      <c r="Y1452" s="5"/>
      <c r="Z1452" s="5"/>
    </row>
    <row r="1453">
      <c r="A1453" s="6" t="s">
        <v>5815</v>
      </c>
      <c r="B1453" s="5" t="s">
        <v>1128</v>
      </c>
      <c r="C1453" s="7" t="s">
        <v>5816</v>
      </c>
      <c r="D1453" s="7" t="s">
        <v>2536</v>
      </c>
      <c r="E1453" s="8">
        <v>1.0</v>
      </c>
      <c r="F1453" s="7" t="s">
        <v>17</v>
      </c>
      <c r="G1453" s="5" t="s">
        <v>19</v>
      </c>
      <c r="H1453" s="7" t="s">
        <v>16</v>
      </c>
      <c r="I1453" s="7" t="s">
        <v>5817</v>
      </c>
      <c r="J1453" s="36" t="s">
        <v>1261</v>
      </c>
      <c r="K1453" s="8">
        <v>1.0</v>
      </c>
      <c r="L1453" s="7" t="s">
        <v>16</v>
      </c>
      <c r="M1453" s="5" t="s">
        <v>22</v>
      </c>
      <c r="N1453" s="5" t="s">
        <v>5818</v>
      </c>
      <c r="O1453" s="5"/>
      <c r="P1453" s="5"/>
      <c r="Q1453" s="5"/>
      <c r="R1453" s="5"/>
      <c r="S1453" s="5"/>
      <c r="T1453" s="5"/>
      <c r="U1453" s="5"/>
      <c r="V1453" s="5"/>
      <c r="W1453" s="5"/>
      <c r="X1453" s="5"/>
      <c r="Y1453" s="5"/>
      <c r="Z1453" s="5"/>
    </row>
    <row r="1454">
      <c r="A1454" s="6" t="s">
        <v>5819</v>
      </c>
      <c r="B1454" s="5" t="s">
        <v>1128</v>
      </c>
      <c r="C1454" s="7" t="s">
        <v>5108</v>
      </c>
      <c r="D1454" s="7" t="s">
        <v>1415</v>
      </c>
      <c r="E1454" s="8">
        <v>1.0</v>
      </c>
      <c r="F1454" s="7" t="s">
        <v>105</v>
      </c>
      <c r="G1454" s="5" t="s">
        <v>19</v>
      </c>
      <c r="H1454" s="7" t="s">
        <v>1353</v>
      </c>
      <c r="I1454" s="7" t="s">
        <v>5820</v>
      </c>
      <c r="J1454" s="36" t="s">
        <v>1261</v>
      </c>
      <c r="K1454" s="8">
        <v>1.0</v>
      </c>
      <c r="L1454" s="7" t="s">
        <v>16</v>
      </c>
      <c r="M1454" s="5" t="s">
        <v>22</v>
      </c>
      <c r="N1454" s="5" t="s">
        <v>5821</v>
      </c>
      <c r="O1454" s="5"/>
      <c r="P1454" s="5"/>
      <c r="Q1454" s="5"/>
      <c r="R1454" s="5"/>
      <c r="S1454" s="5"/>
      <c r="T1454" s="5"/>
      <c r="U1454" s="5"/>
      <c r="V1454" s="5"/>
      <c r="W1454" s="5"/>
      <c r="X1454" s="5"/>
      <c r="Y1454" s="5"/>
      <c r="Z1454" s="5"/>
    </row>
    <row r="1455">
      <c r="A1455" s="6" t="s">
        <v>5822</v>
      </c>
      <c r="B1455" s="5" t="s">
        <v>1128</v>
      </c>
      <c r="C1455" s="7" t="s">
        <v>5823</v>
      </c>
      <c r="D1455" s="7" t="s">
        <v>2235</v>
      </c>
      <c r="E1455" s="8">
        <v>2.0</v>
      </c>
      <c r="F1455" s="7" t="s">
        <v>17</v>
      </c>
      <c r="G1455" s="5" t="s">
        <v>461</v>
      </c>
      <c r="H1455" s="7" t="s">
        <v>16</v>
      </c>
      <c r="I1455" s="7" t="s">
        <v>5824</v>
      </c>
      <c r="J1455" s="36" t="s">
        <v>1132</v>
      </c>
      <c r="K1455" s="8">
        <v>1.0</v>
      </c>
      <c r="L1455" s="7" t="s">
        <v>16</v>
      </c>
      <c r="M1455" s="5" t="s">
        <v>22</v>
      </c>
      <c r="N1455" s="5" t="s">
        <v>5825</v>
      </c>
      <c r="O1455" s="5"/>
      <c r="P1455" s="5"/>
      <c r="Q1455" s="5"/>
      <c r="R1455" s="5"/>
      <c r="S1455" s="5"/>
      <c r="T1455" s="5"/>
      <c r="U1455" s="5"/>
      <c r="V1455" s="5"/>
      <c r="W1455" s="5"/>
      <c r="X1455" s="5"/>
      <c r="Y1455" s="5"/>
      <c r="Z1455" s="5"/>
    </row>
    <row r="1456">
      <c r="A1456" s="6" t="s">
        <v>5826</v>
      </c>
      <c r="B1456" s="5" t="s">
        <v>1128</v>
      </c>
      <c r="C1456" s="7" t="s">
        <v>5827</v>
      </c>
      <c r="D1456" s="7" t="s">
        <v>2235</v>
      </c>
      <c r="E1456" s="8">
        <v>1.0</v>
      </c>
      <c r="F1456" s="7" t="s">
        <v>17</v>
      </c>
      <c r="G1456" s="5" t="s">
        <v>19</v>
      </c>
      <c r="H1456" s="7" t="s">
        <v>1363</v>
      </c>
      <c r="I1456" s="7" t="s">
        <v>5828</v>
      </c>
      <c r="J1456" s="36" t="s">
        <v>1261</v>
      </c>
      <c r="K1456" s="7" t="s">
        <v>16</v>
      </c>
      <c r="L1456" s="7" t="s">
        <v>16</v>
      </c>
      <c r="M1456" s="5" t="s">
        <v>22</v>
      </c>
      <c r="N1456" s="5" t="s">
        <v>5829</v>
      </c>
      <c r="O1456" s="5"/>
      <c r="P1456" s="5"/>
      <c r="Q1456" s="5"/>
      <c r="R1456" s="5"/>
      <c r="S1456" s="5"/>
      <c r="T1456" s="5"/>
      <c r="U1456" s="5"/>
      <c r="V1456" s="5"/>
      <c r="W1456" s="5"/>
      <c r="X1456" s="5"/>
      <c r="Y1456" s="5"/>
      <c r="Z1456" s="5"/>
    </row>
    <row r="1457">
      <c r="A1457" s="6" t="s">
        <v>5830</v>
      </c>
      <c r="B1457" s="5" t="s">
        <v>1128</v>
      </c>
      <c r="C1457" s="7" t="s">
        <v>5831</v>
      </c>
      <c r="D1457" s="7" t="s">
        <v>2157</v>
      </c>
      <c r="E1457" s="8">
        <v>1.0</v>
      </c>
      <c r="F1457" s="7" t="s">
        <v>105</v>
      </c>
      <c r="G1457" s="5" t="s">
        <v>19</v>
      </c>
      <c r="H1457" s="7" t="s">
        <v>16</v>
      </c>
      <c r="I1457" s="7" t="s">
        <v>1131</v>
      </c>
      <c r="J1457" s="36" t="s">
        <v>1132</v>
      </c>
      <c r="K1457" s="8">
        <v>1.0</v>
      </c>
      <c r="L1457" s="7" t="s">
        <v>16</v>
      </c>
      <c r="M1457" s="5" t="s">
        <v>22</v>
      </c>
      <c r="N1457" s="5" t="s">
        <v>5832</v>
      </c>
      <c r="O1457" s="5"/>
      <c r="P1457" s="5"/>
      <c r="Q1457" s="5"/>
      <c r="R1457" s="5"/>
      <c r="S1457" s="5"/>
      <c r="T1457" s="5"/>
      <c r="U1457" s="5"/>
      <c r="V1457" s="5"/>
      <c r="W1457" s="5"/>
      <c r="X1457" s="5"/>
      <c r="Y1457" s="5"/>
      <c r="Z1457" s="5"/>
    </row>
    <row r="1458">
      <c r="A1458" s="6" t="s">
        <v>5833</v>
      </c>
      <c r="B1458" s="5" t="s">
        <v>1128</v>
      </c>
      <c r="C1458" s="7" t="s">
        <v>5834</v>
      </c>
      <c r="D1458" s="7" t="s">
        <v>2541</v>
      </c>
      <c r="E1458" s="8">
        <v>2.0</v>
      </c>
      <c r="F1458" s="7" t="s">
        <v>105</v>
      </c>
      <c r="G1458" s="5" t="s">
        <v>19</v>
      </c>
      <c r="H1458" s="7" t="s">
        <v>16</v>
      </c>
      <c r="I1458" s="7" t="s">
        <v>5393</v>
      </c>
      <c r="J1458" s="36" t="s">
        <v>1261</v>
      </c>
      <c r="K1458" s="8">
        <v>1.0</v>
      </c>
      <c r="L1458" s="7" t="s">
        <v>16</v>
      </c>
      <c r="M1458" s="5" t="s">
        <v>22</v>
      </c>
      <c r="N1458" s="5" t="s">
        <v>5835</v>
      </c>
      <c r="O1458" s="5"/>
      <c r="P1458" s="5"/>
      <c r="Q1458" s="5"/>
      <c r="R1458" s="5"/>
      <c r="S1458" s="5"/>
      <c r="T1458" s="5"/>
      <c r="U1458" s="5"/>
      <c r="V1458" s="5"/>
      <c r="W1458" s="5"/>
      <c r="X1458" s="5"/>
      <c r="Y1458" s="5"/>
      <c r="Z1458" s="5"/>
    </row>
    <row r="1459">
      <c r="A1459" s="6" t="s">
        <v>5836</v>
      </c>
      <c r="B1459" s="5" t="s">
        <v>1128</v>
      </c>
      <c r="C1459" s="7" t="s">
        <v>5837</v>
      </c>
      <c r="D1459" s="7" t="s">
        <v>2546</v>
      </c>
      <c r="E1459" s="8">
        <v>1.0</v>
      </c>
      <c r="F1459" s="7" t="s">
        <v>105</v>
      </c>
      <c r="G1459" s="5" t="s">
        <v>19</v>
      </c>
      <c r="H1459" s="7" t="s">
        <v>16</v>
      </c>
      <c r="I1459" s="7" t="s">
        <v>5838</v>
      </c>
      <c r="J1459" s="36" t="s">
        <v>1261</v>
      </c>
      <c r="K1459" s="8">
        <v>1.0</v>
      </c>
      <c r="L1459" s="7" t="s">
        <v>16</v>
      </c>
      <c r="M1459" s="5" t="s">
        <v>22</v>
      </c>
      <c r="N1459" s="5" t="s">
        <v>5839</v>
      </c>
      <c r="O1459" s="5"/>
      <c r="P1459" s="5"/>
      <c r="Q1459" s="5"/>
      <c r="R1459" s="5"/>
      <c r="S1459" s="5"/>
      <c r="T1459" s="5"/>
      <c r="U1459" s="5"/>
      <c r="V1459" s="5"/>
      <c r="W1459" s="5"/>
      <c r="X1459" s="5"/>
      <c r="Y1459" s="5"/>
      <c r="Z1459" s="5"/>
    </row>
    <row r="1460">
      <c r="A1460" s="6" t="s">
        <v>5840</v>
      </c>
      <c r="B1460" s="5" t="s">
        <v>1128</v>
      </c>
      <c r="C1460" s="7" t="s">
        <v>5363</v>
      </c>
      <c r="D1460" s="7" t="s">
        <v>2551</v>
      </c>
      <c r="E1460" s="8">
        <v>1.0</v>
      </c>
      <c r="F1460" s="7" t="s">
        <v>17</v>
      </c>
      <c r="G1460" s="5" t="s">
        <v>19</v>
      </c>
      <c r="H1460" s="7" t="s">
        <v>16</v>
      </c>
      <c r="I1460" s="7" t="s">
        <v>1131</v>
      </c>
      <c r="J1460" s="36" t="s">
        <v>1137</v>
      </c>
      <c r="K1460" s="8">
        <v>1.0</v>
      </c>
      <c r="L1460" s="7" t="s">
        <v>16</v>
      </c>
      <c r="M1460" s="5" t="s">
        <v>22</v>
      </c>
      <c r="N1460" s="5" t="s">
        <v>5841</v>
      </c>
      <c r="O1460" s="5"/>
      <c r="P1460" s="5"/>
      <c r="Q1460" s="5"/>
      <c r="R1460" s="5"/>
      <c r="S1460" s="5"/>
      <c r="T1460" s="5"/>
      <c r="U1460" s="5"/>
      <c r="V1460" s="5"/>
      <c r="W1460" s="5"/>
      <c r="X1460" s="5"/>
      <c r="Y1460" s="5"/>
      <c r="Z1460" s="5"/>
    </row>
    <row r="1461">
      <c r="A1461" s="6" t="s">
        <v>5842</v>
      </c>
      <c r="B1461" s="5" t="s">
        <v>1128</v>
      </c>
      <c r="C1461" s="7" t="s">
        <v>5843</v>
      </c>
      <c r="D1461" s="7" t="s">
        <v>2556</v>
      </c>
      <c r="E1461" s="8">
        <v>1.0</v>
      </c>
      <c r="F1461" s="7" t="s">
        <v>172</v>
      </c>
      <c r="G1461" s="5" t="s">
        <v>19</v>
      </c>
      <c r="H1461" s="7" t="s">
        <v>16</v>
      </c>
      <c r="I1461" s="7" t="s">
        <v>1153</v>
      </c>
      <c r="J1461" s="36" t="s">
        <v>1154</v>
      </c>
      <c r="K1461" s="7" t="s">
        <v>16</v>
      </c>
      <c r="L1461" s="7" t="s">
        <v>16</v>
      </c>
      <c r="M1461" s="5" t="s">
        <v>22</v>
      </c>
      <c r="N1461" s="5" t="s">
        <v>5844</v>
      </c>
      <c r="O1461" s="5"/>
      <c r="P1461" s="5"/>
      <c r="Q1461" s="5"/>
      <c r="R1461" s="5"/>
      <c r="S1461" s="5"/>
      <c r="T1461" s="5"/>
      <c r="U1461" s="5"/>
      <c r="V1461" s="5"/>
      <c r="W1461" s="5"/>
      <c r="X1461" s="5"/>
      <c r="Y1461" s="5"/>
      <c r="Z1461" s="5"/>
    </row>
    <row r="1462">
      <c r="A1462" s="6" t="s">
        <v>5845</v>
      </c>
      <c r="B1462" s="5" t="s">
        <v>1128</v>
      </c>
      <c r="C1462" s="7" t="s">
        <v>5846</v>
      </c>
      <c r="D1462" s="7" t="s">
        <v>2561</v>
      </c>
      <c r="E1462" s="8">
        <v>1.0</v>
      </c>
      <c r="F1462" s="7" t="s">
        <v>105</v>
      </c>
      <c r="G1462" s="5" t="s">
        <v>19</v>
      </c>
      <c r="H1462" s="7" t="s">
        <v>16</v>
      </c>
      <c r="I1462" s="7" t="s">
        <v>5847</v>
      </c>
      <c r="J1462" s="7" t="s">
        <v>1266</v>
      </c>
      <c r="K1462" s="7" t="s">
        <v>16</v>
      </c>
      <c r="L1462" s="7" t="s">
        <v>16</v>
      </c>
      <c r="M1462" s="5" t="s">
        <v>22</v>
      </c>
      <c r="N1462" s="5" t="s">
        <v>5848</v>
      </c>
      <c r="O1462" s="5"/>
      <c r="P1462" s="5"/>
      <c r="Q1462" s="5"/>
      <c r="R1462" s="5"/>
      <c r="S1462" s="5"/>
      <c r="T1462" s="5"/>
      <c r="U1462" s="5"/>
      <c r="V1462" s="5"/>
      <c r="W1462" s="5"/>
      <c r="X1462" s="5"/>
      <c r="Y1462" s="5"/>
      <c r="Z1462" s="5"/>
    </row>
    <row r="1463">
      <c r="A1463" s="6" t="s">
        <v>5849</v>
      </c>
      <c r="B1463" s="5" t="s">
        <v>1128</v>
      </c>
      <c r="C1463" s="7" t="s">
        <v>5850</v>
      </c>
      <c r="D1463" s="7" t="s">
        <v>2561</v>
      </c>
      <c r="E1463" s="8">
        <v>1.0</v>
      </c>
      <c r="F1463" s="7" t="s">
        <v>105</v>
      </c>
      <c r="G1463" s="5" t="s">
        <v>19</v>
      </c>
      <c r="H1463" s="7" t="s">
        <v>16</v>
      </c>
      <c r="I1463" s="7" t="s">
        <v>5851</v>
      </c>
      <c r="J1463" s="7" t="s">
        <v>1266</v>
      </c>
      <c r="K1463" s="7" t="s">
        <v>16</v>
      </c>
      <c r="L1463" s="7" t="s">
        <v>16</v>
      </c>
      <c r="M1463" s="5" t="s">
        <v>22</v>
      </c>
      <c r="N1463" s="5" t="s">
        <v>5852</v>
      </c>
      <c r="O1463" s="5"/>
      <c r="P1463" s="5"/>
      <c r="Q1463" s="5"/>
      <c r="R1463" s="5"/>
      <c r="S1463" s="5"/>
      <c r="T1463" s="5"/>
      <c r="U1463" s="5"/>
      <c r="V1463" s="5"/>
      <c r="W1463" s="5"/>
      <c r="X1463" s="5"/>
      <c r="Y1463" s="5"/>
      <c r="Z1463" s="5"/>
    </row>
    <row r="1464">
      <c r="A1464" s="6" t="s">
        <v>5853</v>
      </c>
      <c r="B1464" s="5" t="s">
        <v>1128</v>
      </c>
      <c r="C1464" s="7" t="s">
        <v>5854</v>
      </c>
      <c r="D1464" s="7" t="s">
        <v>2561</v>
      </c>
      <c r="E1464" s="8">
        <v>1.0</v>
      </c>
      <c r="F1464" s="7" t="s">
        <v>17</v>
      </c>
      <c r="G1464" s="5" t="s">
        <v>19</v>
      </c>
      <c r="H1464" s="7" t="s">
        <v>16</v>
      </c>
      <c r="I1464" s="7" t="s">
        <v>5855</v>
      </c>
      <c r="J1464" s="36" t="s">
        <v>1132</v>
      </c>
      <c r="K1464" s="8">
        <v>2.0</v>
      </c>
      <c r="L1464" s="7" t="s">
        <v>16</v>
      </c>
      <c r="M1464" s="5" t="s">
        <v>22</v>
      </c>
      <c r="N1464" s="5" t="s">
        <v>5856</v>
      </c>
      <c r="O1464" s="5"/>
      <c r="P1464" s="5"/>
      <c r="Q1464" s="5"/>
      <c r="R1464" s="5"/>
      <c r="S1464" s="5"/>
      <c r="T1464" s="5"/>
      <c r="U1464" s="5"/>
      <c r="V1464" s="5"/>
      <c r="W1464" s="5"/>
      <c r="X1464" s="5"/>
      <c r="Y1464" s="5"/>
      <c r="Z1464" s="5"/>
    </row>
    <row r="1465">
      <c r="A1465" s="6" t="s">
        <v>5857</v>
      </c>
      <c r="B1465" s="5" t="s">
        <v>1128</v>
      </c>
      <c r="C1465" s="7" t="s">
        <v>5858</v>
      </c>
      <c r="D1465" s="7" t="s">
        <v>2561</v>
      </c>
      <c r="E1465" s="8">
        <v>5.0</v>
      </c>
      <c r="F1465" s="7" t="s">
        <v>105</v>
      </c>
      <c r="G1465" s="5" t="s">
        <v>326</v>
      </c>
      <c r="H1465" s="7" t="s">
        <v>16</v>
      </c>
      <c r="I1465" s="7" t="s">
        <v>5859</v>
      </c>
      <c r="J1465" s="36" t="s">
        <v>1154</v>
      </c>
      <c r="K1465" s="8">
        <v>4.0</v>
      </c>
      <c r="L1465" s="7" t="s">
        <v>16</v>
      </c>
      <c r="M1465" s="5" t="s">
        <v>36</v>
      </c>
      <c r="N1465" s="5" t="s">
        <v>5860</v>
      </c>
      <c r="O1465" s="5"/>
      <c r="P1465" s="5"/>
      <c r="Q1465" s="5"/>
      <c r="R1465" s="5"/>
      <c r="S1465" s="5"/>
      <c r="T1465" s="5"/>
      <c r="U1465" s="5"/>
      <c r="V1465" s="5"/>
      <c r="W1465" s="5"/>
      <c r="X1465" s="5"/>
      <c r="Y1465" s="5"/>
      <c r="Z1465" s="5"/>
    </row>
    <row r="1466">
      <c r="A1466" s="6" t="s">
        <v>5861</v>
      </c>
      <c r="B1466" s="5" t="s">
        <v>1128</v>
      </c>
      <c r="C1466" s="7" t="s">
        <v>5862</v>
      </c>
      <c r="D1466" s="7" t="s">
        <v>2576</v>
      </c>
      <c r="E1466" s="8">
        <v>0.0</v>
      </c>
      <c r="F1466" s="7" t="s">
        <v>17</v>
      </c>
      <c r="G1466" s="5" t="s">
        <v>19</v>
      </c>
      <c r="H1466" s="7" t="s">
        <v>16</v>
      </c>
      <c r="I1466" s="7" t="s">
        <v>5863</v>
      </c>
      <c r="J1466" s="7" t="s">
        <v>1266</v>
      </c>
      <c r="K1466" s="7" t="s">
        <v>16</v>
      </c>
      <c r="L1466" s="7" t="s">
        <v>16</v>
      </c>
      <c r="M1466" s="5" t="s">
        <v>22</v>
      </c>
      <c r="N1466" s="5" t="s">
        <v>5864</v>
      </c>
      <c r="O1466" s="5"/>
      <c r="P1466" s="5"/>
      <c r="Q1466" s="5"/>
      <c r="R1466" s="5"/>
      <c r="S1466" s="5"/>
      <c r="T1466" s="5"/>
      <c r="U1466" s="5"/>
      <c r="V1466" s="5"/>
      <c r="W1466" s="5"/>
      <c r="X1466" s="5"/>
      <c r="Y1466" s="5"/>
      <c r="Z1466" s="5"/>
    </row>
    <row r="1467">
      <c r="A1467" s="6" t="s">
        <v>5865</v>
      </c>
      <c r="B1467" s="5" t="s">
        <v>1128</v>
      </c>
      <c r="C1467" s="7" t="s">
        <v>4119</v>
      </c>
      <c r="D1467" s="7" t="s">
        <v>2576</v>
      </c>
      <c r="E1467" s="8">
        <v>1.0</v>
      </c>
      <c r="F1467" s="7" t="s">
        <v>17</v>
      </c>
      <c r="G1467" s="5" t="s">
        <v>19</v>
      </c>
      <c r="H1467" s="7" t="s">
        <v>16</v>
      </c>
      <c r="I1467" s="7" t="s">
        <v>5866</v>
      </c>
      <c r="J1467" s="7" t="s">
        <v>1266</v>
      </c>
      <c r="K1467" s="7" t="s">
        <v>16</v>
      </c>
      <c r="L1467" s="7" t="s">
        <v>16</v>
      </c>
      <c r="M1467" s="5" t="s">
        <v>22</v>
      </c>
      <c r="N1467" s="5" t="s">
        <v>5867</v>
      </c>
      <c r="O1467" s="5"/>
      <c r="P1467" s="5"/>
      <c r="Q1467" s="5"/>
      <c r="R1467" s="5"/>
      <c r="S1467" s="5"/>
      <c r="T1467" s="5"/>
      <c r="U1467" s="5"/>
      <c r="V1467" s="5"/>
      <c r="W1467" s="5"/>
      <c r="X1467" s="5"/>
      <c r="Y1467" s="5"/>
      <c r="Z1467" s="5"/>
    </row>
    <row r="1468">
      <c r="A1468" s="6" t="s">
        <v>5868</v>
      </c>
      <c r="B1468" s="5" t="s">
        <v>1128</v>
      </c>
      <c r="C1468" s="7" t="s">
        <v>5869</v>
      </c>
      <c r="D1468" s="7" t="s">
        <v>2576</v>
      </c>
      <c r="E1468" s="8">
        <v>2.0</v>
      </c>
      <c r="F1468" s="7" t="s">
        <v>17</v>
      </c>
      <c r="G1468" s="5" t="s">
        <v>19</v>
      </c>
      <c r="H1468" s="7" t="s">
        <v>16</v>
      </c>
      <c r="I1468" s="7" t="s">
        <v>5870</v>
      </c>
      <c r="J1468" s="7" t="s">
        <v>1266</v>
      </c>
      <c r="K1468" s="7" t="s">
        <v>16</v>
      </c>
      <c r="L1468" s="7" t="s">
        <v>16</v>
      </c>
      <c r="M1468" s="5" t="s">
        <v>22</v>
      </c>
      <c r="N1468" s="5" t="s">
        <v>5871</v>
      </c>
      <c r="O1468" s="5"/>
      <c r="P1468" s="5"/>
      <c r="Q1468" s="5"/>
      <c r="R1468" s="5"/>
      <c r="S1468" s="5"/>
      <c r="T1468" s="5"/>
      <c r="U1468" s="5"/>
      <c r="V1468" s="5"/>
      <c r="W1468" s="5"/>
      <c r="X1468" s="5"/>
      <c r="Y1468" s="5"/>
      <c r="Z1468" s="5"/>
    </row>
    <row r="1469">
      <c r="A1469" s="6" t="s">
        <v>5872</v>
      </c>
      <c r="B1469" s="5" t="s">
        <v>1128</v>
      </c>
      <c r="C1469" s="7" t="s">
        <v>5873</v>
      </c>
      <c r="D1469" s="7" t="s">
        <v>2576</v>
      </c>
      <c r="E1469" s="8">
        <v>3.0</v>
      </c>
      <c r="F1469" s="7" t="s">
        <v>17</v>
      </c>
      <c r="G1469" s="5" t="s">
        <v>461</v>
      </c>
      <c r="H1469" s="7" t="s">
        <v>16</v>
      </c>
      <c r="I1469" s="7" t="s">
        <v>5874</v>
      </c>
      <c r="J1469" s="7" t="s">
        <v>1266</v>
      </c>
      <c r="K1469" s="7" t="s">
        <v>16</v>
      </c>
      <c r="L1469" s="7" t="s">
        <v>16</v>
      </c>
      <c r="M1469" s="5" t="s">
        <v>36</v>
      </c>
      <c r="N1469" s="5" t="s">
        <v>5875</v>
      </c>
      <c r="O1469" s="5"/>
      <c r="P1469" s="5"/>
      <c r="Q1469" s="5"/>
      <c r="R1469" s="5"/>
      <c r="S1469" s="5"/>
      <c r="T1469" s="5"/>
      <c r="U1469" s="5"/>
      <c r="V1469" s="5"/>
      <c r="W1469" s="5"/>
      <c r="X1469" s="5"/>
      <c r="Y1469" s="5"/>
      <c r="Z1469" s="5"/>
    </row>
    <row r="1470">
      <c r="A1470" s="6" t="s">
        <v>5876</v>
      </c>
      <c r="B1470" s="5" t="s">
        <v>1128</v>
      </c>
      <c r="C1470" s="7" t="s">
        <v>5877</v>
      </c>
      <c r="D1470" s="7" t="s">
        <v>2576</v>
      </c>
      <c r="E1470" s="8">
        <v>0.0</v>
      </c>
      <c r="F1470" s="7" t="s">
        <v>17</v>
      </c>
      <c r="G1470" s="5" t="s">
        <v>19</v>
      </c>
      <c r="H1470" s="7" t="s">
        <v>16</v>
      </c>
      <c r="I1470" s="7" t="s">
        <v>5878</v>
      </c>
      <c r="J1470" s="7" t="s">
        <v>1266</v>
      </c>
      <c r="K1470" s="7" t="s">
        <v>16</v>
      </c>
      <c r="L1470" s="7" t="s">
        <v>16</v>
      </c>
      <c r="M1470" s="5" t="s">
        <v>75</v>
      </c>
      <c r="N1470" s="5" t="s">
        <v>5879</v>
      </c>
      <c r="O1470" s="5"/>
      <c r="P1470" s="5"/>
      <c r="Q1470" s="5"/>
      <c r="R1470" s="5"/>
      <c r="S1470" s="5"/>
      <c r="T1470" s="5"/>
      <c r="U1470" s="5"/>
      <c r="V1470" s="5"/>
      <c r="W1470" s="5"/>
      <c r="X1470" s="5"/>
      <c r="Y1470" s="5"/>
      <c r="Z1470" s="5"/>
    </row>
    <row r="1471">
      <c r="A1471" s="6" t="s">
        <v>5880</v>
      </c>
      <c r="B1471" s="5" t="s">
        <v>1128</v>
      </c>
      <c r="C1471" s="7" t="s">
        <v>5881</v>
      </c>
      <c r="D1471" s="7" t="s">
        <v>2581</v>
      </c>
      <c r="E1471" s="8">
        <v>1.0</v>
      </c>
      <c r="F1471" s="7" t="s">
        <v>105</v>
      </c>
      <c r="G1471" s="5" t="s">
        <v>19</v>
      </c>
      <c r="H1471" s="7" t="s">
        <v>16</v>
      </c>
      <c r="I1471" s="7" t="s">
        <v>1131</v>
      </c>
      <c r="J1471" s="36" t="s">
        <v>4742</v>
      </c>
      <c r="K1471" s="8">
        <v>1.0</v>
      </c>
      <c r="L1471" s="7" t="s">
        <v>16</v>
      </c>
      <c r="M1471" s="5" t="s">
        <v>22</v>
      </c>
      <c r="N1471" s="5" t="s">
        <v>5882</v>
      </c>
      <c r="O1471" s="5"/>
      <c r="P1471" s="5"/>
      <c r="Q1471" s="5"/>
      <c r="R1471" s="5"/>
      <c r="S1471" s="5"/>
      <c r="T1471" s="5"/>
      <c r="U1471" s="5"/>
      <c r="V1471" s="5"/>
      <c r="W1471" s="5"/>
      <c r="X1471" s="5"/>
      <c r="Y1471" s="5"/>
      <c r="Z1471" s="5"/>
    </row>
    <row r="1472">
      <c r="A1472" s="6" t="s">
        <v>5883</v>
      </c>
      <c r="B1472" s="5" t="s">
        <v>1128</v>
      </c>
      <c r="C1472" s="7" t="s">
        <v>5884</v>
      </c>
      <c r="D1472" s="7" t="s">
        <v>2581</v>
      </c>
      <c r="E1472" s="8">
        <v>1.0</v>
      </c>
      <c r="F1472" s="7" t="s">
        <v>17</v>
      </c>
      <c r="G1472" s="5" t="s">
        <v>19</v>
      </c>
      <c r="H1472" s="7" t="s">
        <v>16</v>
      </c>
      <c r="I1472" s="7" t="s">
        <v>5885</v>
      </c>
      <c r="J1472" s="7" t="s">
        <v>1266</v>
      </c>
      <c r="K1472" s="7" t="s">
        <v>16</v>
      </c>
      <c r="L1472" s="7" t="s">
        <v>16</v>
      </c>
      <c r="M1472" s="5" t="s">
        <v>36</v>
      </c>
      <c r="N1472" s="5" t="s">
        <v>5886</v>
      </c>
      <c r="O1472" s="5"/>
      <c r="P1472" s="5"/>
      <c r="Q1472" s="5"/>
      <c r="R1472" s="5"/>
      <c r="S1472" s="5"/>
      <c r="T1472" s="5"/>
      <c r="U1472" s="5"/>
      <c r="V1472" s="5"/>
      <c r="W1472" s="5"/>
      <c r="X1472" s="5"/>
      <c r="Y1472" s="5"/>
      <c r="Z1472" s="5"/>
    </row>
    <row r="1473">
      <c r="A1473" s="6" t="s">
        <v>5887</v>
      </c>
      <c r="B1473" s="5" t="s">
        <v>1128</v>
      </c>
      <c r="C1473" s="7" t="s">
        <v>5888</v>
      </c>
      <c r="D1473" s="7" t="s">
        <v>2581</v>
      </c>
      <c r="E1473" s="8">
        <v>4.0</v>
      </c>
      <c r="F1473" s="7" t="s">
        <v>17</v>
      </c>
      <c r="G1473" s="5" t="s">
        <v>461</v>
      </c>
      <c r="H1473" s="7" t="s">
        <v>16</v>
      </c>
      <c r="I1473" s="7" t="s">
        <v>4912</v>
      </c>
      <c r="J1473" s="36" t="s">
        <v>1137</v>
      </c>
      <c r="K1473" s="8">
        <v>3.0</v>
      </c>
      <c r="L1473" s="7" t="s">
        <v>16</v>
      </c>
      <c r="M1473" s="5" t="s">
        <v>75</v>
      </c>
      <c r="N1473" s="5" t="s">
        <v>5889</v>
      </c>
      <c r="O1473" s="5"/>
      <c r="P1473" s="5"/>
      <c r="Q1473" s="5"/>
      <c r="R1473" s="5"/>
      <c r="S1473" s="5"/>
      <c r="T1473" s="5"/>
      <c r="U1473" s="5"/>
      <c r="V1473" s="5"/>
      <c r="W1473" s="5"/>
      <c r="X1473" s="5"/>
      <c r="Y1473" s="5"/>
      <c r="Z1473" s="5"/>
    </row>
    <row r="1474">
      <c r="A1474" s="6" t="s">
        <v>5890</v>
      </c>
      <c r="B1474" s="5" t="s">
        <v>1128</v>
      </c>
      <c r="C1474" s="7" t="s">
        <v>5891</v>
      </c>
      <c r="D1474" s="7" t="s">
        <v>2581</v>
      </c>
      <c r="E1474" s="8">
        <v>1.0</v>
      </c>
      <c r="F1474" s="7" t="s">
        <v>17</v>
      </c>
      <c r="G1474" s="5" t="s">
        <v>19</v>
      </c>
      <c r="H1474" s="7" t="s">
        <v>16</v>
      </c>
      <c r="I1474" s="7" t="s">
        <v>5892</v>
      </c>
      <c r="J1474" s="36" t="s">
        <v>4861</v>
      </c>
      <c r="K1474" s="8">
        <v>1.0</v>
      </c>
      <c r="L1474" s="7" t="s">
        <v>16</v>
      </c>
      <c r="M1474" s="5" t="s">
        <v>22</v>
      </c>
      <c r="N1474" s="5" t="s">
        <v>5893</v>
      </c>
      <c r="O1474" s="5"/>
      <c r="P1474" s="5"/>
      <c r="Q1474" s="5"/>
      <c r="R1474" s="5"/>
      <c r="S1474" s="5"/>
      <c r="T1474" s="5"/>
      <c r="U1474" s="5"/>
      <c r="V1474" s="5"/>
      <c r="W1474" s="5"/>
      <c r="X1474" s="5"/>
      <c r="Y1474" s="5"/>
      <c r="Z1474" s="5"/>
    </row>
    <row r="1475">
      <c r="A1475" s="6" t="s">
        <v>5894</v>
      </c>
      <c r="B1475" s="5" t="s">
        <v>1128</v>
      </c>
      <c r="C1475" s="7" t="s">
        <v>5895</v>
      </c>
      <c r="D1475" s="7" t="s">
        <v>2581</v>
      </c>
      <c r="E1475" s="8">
        <v>1.0</v>
      </c>
      <c r="F1475" s="7" t="s">
        <v>17</v>
      </c>
      <c r="G1475" s="5" t="s">
        <v>19</v>
      </c>
      <c r="H1475" s="7" t="s">
        <v>16</v>
      </c>
      <c r="I1475" s="7" t="s">
        <v>5896</v>
      </c>
      <c r="J1475" s="7" t="s">
        <v>1266</v>
      </c>
      <c r="K1475" s="7" t="s">
        <v>16</v>
      </c>
      <c r="L1475" s="7" t="s">
        <v>16</v>
      </c>
      <c r="M1475" s="5" t="s">
        <v>36</v>
      </c>
      <c r="N1475" s="5" t="s">
        <v>5897</v>
      </c>
      <c r="O1475" s="5"/>
      <c r="P1475" s="5"/>
      <c r="Q1475" s="5"/>
      <c r="R1475" s="5"/>
      <c r="S1475" s="5"/>
      <c r="T1475" s="5"/>
      <c r="U1475" s="5"/>
      <c r="V1475" s="5"/>
      <c r="W1475" s="5"/>
      <c r="X1475" s="5"/>
      <c r="Y1475" s="5"/>
      <c r="Z1475" s="5"/>
    </row>
    <row r="1476">
      <c r="A1476" s="6" t="s">
        <v>5898</v>
      </c>
      <c r="B1476" s="5" t="s">
        <v>1128</v>
      </c>
      <c r="C1476" s="7" t="s">
        <v>5899</v>
      </c>
      <c r="D1476" s="7" t="s">
        <v>2581</v>
      </c>
      <c r="E1476" s="8">
        <v>1.0</v>
      </c>
      <c r="F1476" s="7" t="s">
        <v>172</v>
      </c>
      <c r="G1476" s="5" t="s">
        <v>19</v>
      </c>
      <c r="H1476" s="7" t="s">
        <v>16</v>
      </c>
      <c r="I1476" s="7" t="s">
        <v>5900</v>
      </c>
      <c r="J1476" s="36" t="s">
        <v>1137</v>
      </c>
      <c r="K1476" s="8">
        <v>1.0</v>
      </c>
      <c r="L1476" s="7" t="s">
        <v>16</v>
      </c>
      <c r="M1476" s="5" t="s">
        <v>75</v>
      </c>
      <c r="N1476" s="5" t="s">
        <v>5901</v>
      </c>
      <c r="O1476" s="5"/>
      <c r="P1476" s="5"/>
      <c r="Q1476" s="5"/>
      <c r="R1476" s="5"/>
      <c r="S1476" s="5"/>
      <c r="T1476" s="5"/>
      <c r="U1476" s="5"/>
      <c r="V1476" s="5"/>
      <c r="W1476" s="5"/>
      <c r="X1476" s="5"/>
      <c r="Y1476" s="5"/>
      <c r="Z1476" s="5"/>
    </row>
    <row r="1477">
      <c r="A1477" s="6" t="s">
        <v>5902</v>
      </c>
      <c r="B1477" s="5" t="s">
        <v>1128</v>
      </c>
      <c r="C1477" s="7" t="s">
        <v>5903</v>
      </c>
      <c r="D1477" s="7" t="s">
        <v>2581</v>
      </c>
      <c r="E1477" s="8">
        <v>7.0</v>
      </c>
      <c r="F1477" s="7" t="s">
        <v>105</v>
      </c>
      <c r="G1477" s="5" t="s">
        <v>326</v>
      </c>
      <c r="H1477" s="7" t="s">
        <v>16</v>
      </c>
      <c r="I1477" s="7" t="s">
        <v>5904</v>
      </c>
      <c r="J1477" s="36" t="s">
        <v>1161</v>
      </c>
      <c r="K1477" s="8">
        <v>4.0</v>
      </c>
      <c r="L1477" s="7" t="s">
        <v>16</v>
      </c>
      <c r="M1477" s="5" t="s">
        <v>88</v>
      </c>
      <c r="N1477" s="5" t="s">
        <v>5905</v>
      </c>
      <c r="O1477" s="5"/>
      <c r="P1477" s="5"/>
      <c r="Q1477" s="5"/>
      <c r="R1477" s="5"/>
      <c r="S1477" s="5"/>
      <c r="T1477" s="5"/>
      <c r="U1477" s="5"/>
      <c r="V1477" s="5"/>
      <c r="W1477" s="5"/>
      <c r="X1477" s="5"/>
      <c r="Y1477" s="5"/>
      <c r="Z1477" s="5"/>
    </row>
    <row r="1478">
      <c r="A1478" s="6" t="s">
        <v>5906</v>
      </c>
      <c r="B1478" s="5" t="s">
        <v>1128</v>
      </c>
      <c r="C1478" s="7" t="s">
        <v>5907</v>
      </c>
      <c r="D1478" s="7" t="s">
        <v>2581</v>
      </c>
      <c r="E1478" s="8">
        <v>0.0</v>
      </c>
      <c r="F1478" s="7" t="s">
        <v>17</v>
      </c>
      <c r="G1478" s="5" t="s">
        <v>19</v>
      </c>
      <c r="H1478" s="7" t="s">
        <v>16</v>
      </c>
      <c r="I1478" s="7" t="s">
        <v>5908</v>
      </c>
      <c r="J1478" s="7" t="s">
        <v>1266</v>
      </c>
      <c r="K1478" s="7" t="s">
        <v>16</v>
      </c>
      <c r="L1478" s="7" t="s">
        <v>16</v>
      </c>
      <c r="M1478" s="5" t="s">
        <v>75</v>
      </c>
      <c r="N1478" s="5" t="s">
        <v>5909</v>
      </c>
      <c r="O1478" s="5"/>
      <c r="P1478" s="5"/>
      <c r="Q1478" s="5"/>
      <c r="R1478" s="5"/>
      <c r="S1478" s="5"/>
      <c r="T1478" s="5"/>
      <c r="U1478" s="5"/>
      <c r="V1478" s="5"/>
      <c r="W1478" s="5"/>
      <c r="X1478" s="5"/>
      <c r="Y1478" s="5"/>
      <c r="Z1478" s="5"/>
    </row>
    <row r="1479">
      <c r="A1479" s="6" t="s">
        <v>5910</v>
      </c>
      <c r="B1479" s="5" t="s">
        <v>1128</v>
      </c>
      <c r="C1479" s="7" t="s">
        <v>4476</v>
      </c>
      <c r="D1479" s="7" t="s">
        <v>1068</v>
      </c>
      <c r="E1479" s="8">
        <v>1.0</v>
      </c>
      <c r="F1479" s="7" t="s">
        <v>172</v>
      </c>
      <c r="G1479" s="5" t="s">
        <v>19</v>
      </c>
      <c r="H1479" s="7" t="s">
        <v>1130</v>
      </c>
      <c r="I1479" s="7" t="s">
        <v>5911</v>
      </c>
      <c r="J1479" s="36" t="s">
        <v>1137</v>
      </c>
      <c r="K1479" s="7" t="s">
        <v>16</v>
      </c>
      <c r="L1479" s="7" t="s">
        <v>16</v>
      </c>
      <c r="M1479" s="5" t="s">
        <v>36</v>
      </c>
      <c r="N1479" s="5" t="s">
        <v>5912</v>
      </c>
      <c r="O1479" s="5"/>
      <c r="P1479" s="5"/>
      <c r="Q1479" s="5"/>
      <c r="R1479" s="5"/>
      <c r="S1479" s="5"/>
      <c r="T1479" s="5"/>
      <c r="U1479" s="5"/>
      <c r="V1479" s="5"/>
      <c r="W1479" s="5"/>
      <c r="X1479" s="5"/>
      <c r="Y1479" s="5"/>
      <c r="Z1479" s="5"/>
    </row>
    <row r="1480">
      <c r="A1480" s="6" t="s">
        <v>5913</v>
      </c>
      <c r="B1480" s="5" t="s">
        <v>1128</v>
      </c>
      <c r="C1480" s="7" t="s">
        <v>5914</v>
      </c>
      <c r="D1480" s="7" t="s">
        <v>2576</v>
      </c>
      <c r="E1480" s="8">
        <v>0.0</v>
      </c>
      <c r="F1480" s="7" t="s">
        <v>17</v>
      </c>
      <c r="G1480" s="5" t="s">
        <v>19</v>
      </c>
      <c r="H1480" s="7" t="s">
        <v>16</v>
      </c>
      <c r="I1480" s="7" t="s">
        <v>5915</v>
      </c>
      <c r="J1480" s="7" t="s">
        <v>1291</v>
      </c>
      <c r="K1480" s="7" t="s">
        <v>16</v>
      </c>
      <c r="L1480" s="7" t="s">
        <v>16</v>
      </c>
      <c r="M1480" s="5" t="s">
        <v>36</v>
      </c>
      <c r="N1480" s="5" t="s">
        <v>5879</v>
      </c>
      <c r="O1480" s="5"/>
      <c r="P1480" s="5"/>
      <c r="Q1480" s="5"/>
      <c r="R1480" s="5"/>
      <c r="S1480" s="5"/>
      <c r="T1480" s="5"/>
      <c r="U1480" s="5"/>
      <c r="V1480" s="5"/>
      <c r="W1480" s="5"/>
      <c r="X1480" s="5"/>
      <c r="Y1480" s="5"/>
      <c r="Z1480" s="5"/>
    </row>
    <row r="1481">
      <c r="A1481" s="6" t="s">
        <v>5916</v>
      </c>
      <c r="B1481" s="5" t="s">
        <v>1128</v>
      </c>
      <c r="C1481" s="7" t="s">
        <v>5888</v>
      </c>
      <c r="D1481" s="7" t="s">
        <v>2581</v>
      </c>
      <c r="E1481" s="8">
        <v>3.0</v>
      </c>
      <c r="F1481" s="7" t="s">
        <v>17</v>
      </c>
      <c r="G1481" s="5" t="s">
        <v>19</v>
      </c>
      <c r="H1481" s="7" t="s">
        <v>16</v>
      </c>
      <c r="I1481" s="7" t="s">
        <v>5917</v>
      </c>
      <c r="J1481" s="7" t="s">
        <v>1266</v>
      </c>
      <c r="K1481" s="7" t="s">
        <v>16</v>
      </c>
      <c r="L1481" s="7" t="s">
        <v>16</v>
      </c>
      <c r="M1481" s="5" t="s">
        <v>36</v>
      </c>
      <c r="N1481" s="5" t="s">
        <v>5918</v>
      </c>
      <c r="O1481" s="5"/>
      <c r="P1481" s="5"/>
      <c r="Q1481" s="5"/>
      <c r="R1481" s="5"/>
      <c r="S1481" s="5"/>
      <c r="T1481" s="5"/>
      <c r="U1481" s="5"/>
      <c r="V1481" s="5"/>
      <c r="W1481" s="5"/>
      <c r="X1481" s="5"/>
      <c r="Y1481" s="5"/>
      <c r="Z1481" s="5"/>
    </row>
    <row r="1482">
      <c r="A1482" s="6" t="s">
        <v>5919</v>
      </c>
      <c r="B1482" s="5" t="s">
        <v>1128</v>
      </c>
      <c r="C1482" s="7" t="s">
        <v>5899</v>
      </c>
      <c r="D1482" s="7" t="s">
        <v>2581</v>
      </c>
      <c r="E1482" s="8">
        <v>1.0</v>
      </c>
      <c r="F1482" s="7" t="s">
        <v>172</v>
      </c>
      <c r="G1482" s="5" t="s">
        <v>19</v>
      </c>
      <c r="H1482" s="7" t="s">
        <v>16</v>
      </c>
      <c r="I1482" s="7" t="s">
        <v>5920</v>
      </c>
      <c r="J1482" s="36" t="s">
        <v>1132</v>
      </c>
      <c r="K1482" s="7" t="s">
        <v>16</v>
      </c>
      <c r="L1482" s="7" t="s">
        <v>16</v>
      </c>
      <c r="M1482" s="5" t="s">
        <v>36</v>
      </c>
      <c r="N1482" s="5" t="s">
        <v>5921</v>
      </c>
      <c r="O1482" s="5"/>
      <c r="P1482" s="5"/>
      <c r="Q1482" s="5"/>
      <c r="R1482" s="5"/>
      <c r="S1482" s="5"/>
      <c r="T1482" s="5"/>
      <c r="U1482" s="5"/>
      <c r="V1482" s="5"/>
      <c r="W1482" s="5"/>
      <c r="X1482" s="5"/>
      <c r="Y1482" s="5"/>
      <c r="Z1482" s="5"/>
    </row>
    <row r="1483">
      <c r="A1483" s="6" t="s">
        <v>5922</v>
      </c>
      <c r="B1483" s="5" t="s">
        <v>1128</v>
      </c>
      <c r="C1483" s="7" t="s">
        <v>4845</v>
      </c>
      <c r="D1483" s="7" t="s">
        <v>1643</v>
      </c>
      <c r="E1483" s="8">
        <v>5.0</v>
      </c>
      <c r="F1483" s="7" t="s">
        <v>105</v>
      </c>
      <c r="G1483" s="5" t="s">
        <v>326</v>
      </c>
      <c r="H1483" s="7" t="s">
        <v>16</v>
      </c>
      <c r="I1483" s="7" t="s">
        <v>5923</v>
      </c>
      <c r="J1483" s="36" t="s">
        <v>1137</v>
      </c>
      <c r="K1483" s="8">
        <v>2.0</v>
      </c>
      <c r="L1483" s="7" t="s">
        <v>16</v>
      </c>
      <c r="M1483" s="5" t="s">
        <v>75</v>
      </c>
      <c r="N1483" s="5" t="s">
        <v>5924</v>
      </c>
      <c r="O1483" s="5"/>
      <c r="P1483" s="5"/>
      <c r="Q1483" s="5"/>
      <c r="R1483" s="5"/>
      <c r="S1483" s="5"/>
      <c r="T1483" s="5"/>
      <c r="U1483" s="5"/>
      <c r="V1483" s="5"/>
      <c r="W1483" s="5"/>
      <c r="X1483" s="5"/>
      <c r="Y1483" s="5"/>
      <c r="Z1483" s="5"/>
    </row>
    <row r="1484">
      <c r="A1484" s="6" t="s">
        <v>5925</v>
      </c>
      <c r="B1484" s="5" t="s">
        <v>1128</v>
      </c>
      <c r="C1484" s="7" t="s">
        <v>4915</v>
      </c>
      <c r="D1484" s="7" t="s">
        <v>1337</v>
      </c>
      <c r="E1484" s="8">
        <v>6.0</v>
      </c>
      <c r="F1484" s="7" t="s">
        <v>105</v>
      </c>
      <c r="G1484" s="5" t="s">
        <v>326</v>
      </c>
      <c r="H1484" s="7" t="s">
        <v>16</v>
      </c>
      <c r="I1484" s="7" t="s">
        <v>5926</v>
      </c>
      <c r="J1484" s="36" t="s">
        <v>1154</v>
      </c>
      <c r="K1484" s="8">
        <v>3.0</v>
      </c>
      <c r="L1484" s="7" t="s">
        <v>16</v>
      </c>
      <c r="M1484" s="5" t="s">
        <v>75</v>
      </c>
      <c r="N1484" s="5" t="s">
        <v>5927</v>
      </c>
      <c r="O1484" s="5"/>
      <c r="P1484" s="5"/>
      <c r="Q1484" s="5"/>
      <c r="R1484" s="5"/>
      <c r="S1484" s="5"/>
      <c r="T1484" s="5"/>
      <c r="U1484" s="5"/>
      <c r="V1484" s="5"/>
      <c r="W1484" s="5"/>
      <c r="X1484" s="5"/>
      <c r="Y1484" s="5"/>
      <c r="Z1484" s="5"/>
    </row>
    <row r="1485">
      <c r="A1485" s="6" t="s">
        <v>5928</v>
      </c>
      <c r="B1485" s="5" t="s">
        <v>1128</v>
      </c>
      <c r="C1485" s="7" t="s">
        <v>5929</v>
      </c>
      <c r="D1485" s="7" t="s">
        <v>1311</v>
      </c>
      <c r="E1485" s="8">
        <v>0.0</v>
      </c>
      <c r="F1485" s="7" t="s">
        <v>17</v>
      </c>
      <c r="G1485" s="5" t="s">
        <v>19</v>
      </c>
      <c r="H1485" s="7" t="s">
        <v>16</v>
      </c>
      <c r="I1485" s="7" t="s">
        <v>5930</v>
      </c>
      <c r="J1485" s="7" t="s">
        <v>1266</v>
      </c>
      <c r="K1485" s="7" t="s">
        <v>16</v>
      </c>
      <c r="L1485" s="7" t="s">
        <v>16</v>
      </c>
      <c r="M1485" s="5" t="s">
        <v>75</v>
      </c>
      <c r="N1485" s="5" t="s">
        <v>5931</v>
      </c>
      <c r="O1485" s="5"/>
      <c r="P1485" s="5"/>
      <c r="Q1485" s="5"/>
      <c r="R1485" s="5"/>
      <c r="S1485" s="5"/>
      <c r="T1485" s="5"/>
      <c r="U1485" s="5"/>
      <c r="V1485" s="5"/>
      <c r="W1485" s="5"/>
      <c r="X1485" s="5"/>
      <c r="Y1485" s="5"/>
      <c r="Z1485" s="5"/>
    </row>
    <row r="1486">
      <c r="A1486" s="6" t="s">
        <v>5932</v>
      </c>
      <c r="B1486" s="5" t="s">
        <v>1128</v>
      </c>
      <c r="C1486" s="7" t="s">
        <v>1446</v>
      </c>
      <c r="D1486" s="7" t="s">
        <v>1068</v>
      </c>
      <c r="E1486" s="8">
        <v>1.0</v>
      </c>
      <c r="F1486" s="7" t="s">
        <v>17</v>
      </c>
      <c r="G1486" s="5" t="s">
        <v>461</v>
      </c>
      <c r="H1486" s="7" t="s">
        <v>1130</v>
      </c>
      <c r="I1486" s="7" t="s">
        <v>5933</v>
      </c>
      <c r="J1486" s="7" t="s">
        <v>1266</v>
      </c>
      <c r="K1486" s="7" t="s">
        <v>16</v>
      </c>
      <c r="L1486" s="7" t="s">
        <v>16</v>
      </c>
      <c r="M1486" s="5" t="s">
        <v>88</v>
      </c>
      <c r="N1486" s="5" t="s">
        <v>5934</v>
      </c>
      <c r="O1486" s="5"/>
      <c r="P1486" s="5"/>
      <c r="Q1486" s="5"/>
      <c r="R1486" s="5"/>
      <c r="S1486" s="5"/>
      <c r="T1486" s="5"/>
      <c r="U1486" s="5"/>
      <c r="V1486" s="5"/>
      <c r="W1486" s="5"/>
      <c r="X1486" s="5"/>
      <c r="Y1486" s="5"/>
      <c r="Z1486" s="5"/>
    </row>
    <row r="1487">
      <c r="A1487" s="6" t="s">
        <v>5935</v>
      </c>
      <c r="B1487" s="5" t="s">
        <v>1128</v>
      </c>
      <c r="C1487" s="7" t="s">
        <v>4788</v>
      </c>
      <c r="D1487" s="7" t="s">
        <v>1194</v>
      </c>
      <c r="E1487" s="8">
        <v>6.0</v>
      </c>
      <c r="F1487" s="7" t="s">
        <v>105</v>
      </c>
      <c r="G1487" s="5" t="s">
        <v>326</v>
      </c>
      <c r="H1487" s="7" t="s">
        <v>4689</v>
      </c>
      <c r="I1487" s="7" t="s">
        <v>5936</v>
      </c>
      <c r="J1487" s="36" t="s">
        <v>1154</v>
      </c>
      <c r="K1487" s="8">
        <v>3.0</v>
      </c>
      <c r="L1487" s="7" t="s">
        <v>16</v>
      </c>
      <c r="M1487" s="5" t="s">
        <v>36</v>
      </c>
      <c r="N1487" s="5" t="s">
        <v>5937</v>
      </c>
      <c r="O1487" s="5"/>
      <c r="P1487" s="5"/>
      <c r="Q1487" s="5"/>
      <c r="R1487" s="5"/>
      <c r="S1487" s="5"/>
      <c r="T1487" s="5"/>
      <c r="U1487" s="5"/>
      <c r="V1487" s="5"/>
      <c r="W1487" s="5"/>
      <c r="X1487" s="5"/>
      <c r="Y1487" s="5"/>
      <c r="Z1487" s="5"/>
    </row>
    <row r="1488">
      <c r="A1488" s="6" t="s">
        <v>5938</v>
      </c>
      <c r="B1488" s="5" t="s">
        <v>1128</v>
      </c>
      <c r="C1488" s="7" t="s">
        <v>5434</v>
      </c>
      <c r="D1488" s="7" t="s">
        <v>1194</v>
      </c>
      <c r="E1488" s="8">
        <v>1.0</v>
      </c>
      <c r="F1488" s="7" t="s">
        <v>105</v>
      </c>
      <c r="G1488" s="5" t="s">
        <v>326</v>
      </c>
      <c r="H1488" s="7" t="s">
        <v>4689</v>
      </c>
      <c r="I1488" s="7" t="s">
        <v>5939</v>
      </c>
      <c r="J1488" s="36" t="s">
        <v>1161</v>
      </c>
      <c r="K1488" s="8">
        <v>2.0</v>
      </c>
      <c r="L1488" s="7" t="s">
        <v>16</v>
      </c>
      <c r="M1488" s="5" t="s">
        <v>88</v>
      </c>
      <c r="N1488" s="5" t="s">
        <v>5940</v>
      </c>
      <c r="O1488" s="5"/>
      <c r="P1488" s="5"/>
      <c r="Q1488" s="5"/>
      <c r="R1488" s="5"/>
      <c r="S1488" s="5"/>
      <c r="T1488" s="5"/>
      <c r="U1488" s="5"/>
      <c r="V1488" s="5"/>
      <c r="W1488" s="5"/>
      <c r="X1488" s="5"/>
      <c r="Y1488" s="5"/>
      <c r="Z1488" s="5"/>
    </row>
    <row r="1489">
      <c r="A1489" s="6" t="s">
        <v>5941</v>
      </c>
      <c r="B1489" s="5" t="s">
        <v>1128</v>
      </c>
      <c r="C1489" s="7" t="s">
        <v>1450</v>
      </c>
      <c r="D1489" s="7" t="s">
        <v>85</v>
      </c>
      <c r="E1489" s="8">
        <v>3.0</v>
      </c>
      <c r="F1489" s="7" t="s">
        <v>17</v>
      </c>
      <c r="G1489" s="5" t="s">
        <v>19</v>
      </c>
      <c r="H1489" s="7" t="s">
        <v>16</v>
      </c>
      <c r="I1489" s="7" t="s">
        <v>5942</v>
      </c>
      <c r="J1489" s="36" t="s">
        <v>1261</v>
      </c>
      <c r="K1489" s="7" t="s">
        <v>16</v>
      </c>
      <c r="L1489" s="7" t="s">
        <v>16</v>
      </c>
      <c r="M1489" s="5" t="s">
        <v>22</v>
      </c>
      <c r="N1489" s="5" t="s">
        <v>5943</v>
      </c>
      <c r="O1489" s="5"/>
      <c r="P1489" s="5"/>
      <c r="Q1489" s="5"/>
      <c r="R1489" s="5"/>
      <c r="S1489" s="5"/>
      <c r="T1489" s="5"/>
      <c r="U1489" s="5"/>
      <c r="V1489" s="5"/>
      <c r="W1489" s="5"/>
      <c r="X1489" s="5"/>
      <c r="Y1489" s="5"/>
      <c r="Z1489" s="5"/>
    </row>
    <row r="1490">
      <c r="A1490" s="6" t="s">
        <v>5944</v>
      </c>
      <c r="B1490" s="5" t="s">
        <v>1128</v>
      </c>
      <c r="C1490" s="7" t="s">
        <v>4975</v>
      </c>
      <c r="D1490" s="7" t="s">
        <v>85</v>
      </c>
      <c r="E1490" s="8">
        <v>3.0</v>
      </c>
      <c r="F1490" s="7" t="s">
        <v>17</v>
      </c>
      <c r="G1490" s="5" t="s">
        <v>19</v>
      </c>
      <c r="H1490" s="7" t="s">
        <v>16</v>
      </c>
      <c r="I1490" s="7" t="s">
        <v>5945</v>
      </c>
      <c r="J1490" s="36" t="s">
        <v>1132</v>
      </c>
      <c r="K1490" s="7" t="s">
        <v>16</v>
      </c>
      <c r="L1490" s="7" t="s">
        <v>16</v>
      </c>
      <c r="M1490" s="5" t="s">
        <v>22</v>
      </c>
      <c r="N1490" s="5" t="s">
        <v>5946</v>
      </c>
      <c r="O1490" s="5"/>
      <c r="P1490" s="5"/>
      <c r="Q1490" s="5"/>
      <c r="R1490" s="5"/>
      <c r="S1490" s="5"/>
      <c r="T1490" s="5"/>
      <c r="U1490" s="5"/>
      <c r="V1490" s="5"/>
      <c r="W1490" s="5"/>
      <c r="X1490" s="5"/>
      <c r="Y1490" s="5"/>
      <c r="Z1490" s="5"/>
    </row>
    <row r="1491">
      <c r="A1491" s="6" t="s">
        <v>5947</v>
      </c>
      <c r="B1491" s="5" t="s">
        <v>1128</v>
      </c>
      <c r="C1491" s="7" t="s">
        <v>5948</v>
      </c>
      <c r="D1491" s="7" t="s">
        <v>85</v>
      </c>
      <c r="E1491" s="8">
        <v>3.0</v>
      </c>
      <c r="F1491" s="7" t="s">
        <v>17</v>
      </c>
      <c r="G1491" s="5" t="s">
        <v>461</v>
      </c>
      <c r="H1491" s="7" t="s">
        <v>16</v>
      </c>
      <c r="I1491" s="7" t="s">
        <v>5949</v>
      </c>
      <c r="J1491" s="7" t="s">
        <v>1266</v>
      </c>
      <c r="K1491" s="7" t="s">
        <v>16</v>
      </c>
      <c r="L1491" s="7" t="s">
        <v>16</v>
      </c>
      <c r="M1491" s="5" t="s">
        <v>75</v>
      </c>
      <c r="N1491" s="5" t="s">
        <v>5950</v>
      </c>
      <c r="O1491" s="5"/>
      <c r="P1491" s="5"/>
      <c r="Q1491" s="5"/>
      <c r="R1491" s="5"/>
      <c r="S1491" s="5"/>
      <c r="T1491" s="5"/>
      <c r="U1491" s="5"/>
      <c r="V1491" s="5"/>
      <c r="W1491" s="5"/>
      <c r="X1491" s="5"/>
      <c r="Y1491" s="5"/>
      <c r="Z1491" s="5"/>
    </row>
    <row r="1492">
      <c r="A1492" s="6" t="s">
        <v>5951</v>
      </c>
      <c r="B1492" s="5" t="s">
        <v>1128</v>
      </c>
      <c r="C1492" s="7" t="s">
        <v>5952</v>
      </c>
      <c r="D1492" s="7" t="s">
        <v>85</v>
      </c>
      <c r="E1492" s="8">
        <v>1.0</v>
      </c>
      <c r="F1492" s="7" t="s">
        <v>17</v>
      </c>
      <c r="G1492" s="5" t="s">
        <v>461</v>
      </c>
      <c r="H1492" s="7" t="s">
        <v>4955</v>
      </c>
      <c r="I1492" s="7" t="s">
        <v>5953</v>
      </c>
      <c r="J1492" s="36" t="s">
        <v>1137</v>
      </c>
      <c r="K1492" s="7" t="s">
        <v>16</v>
      </c>
      <c r="L1492" s="7" t="s">
        <v>16</v>
      </c>
      <c r="M1492" s="5" t="s">
        <v>75</v>
      </c>
      <c r="N1492" s="5" t="s">
        <v>5954</v>
      </c>
      <c r="O1492" s="5"/>
      <c r="P1492" s="5"/>
      <c r="Q1492" s="5"/>
      <c r="R1492" s="5"/>
      <c r="S1492" s="5"/>
      <c r="T1492" s="5"/>
      <c r="U1492" s="5"/>
      <c r="V1492" s="5"/>
      <c r="W1492" s="5"/>
      <c r="X1492" s="5"/>
      <c r="Y1492" s="5"/>
      <c r="Z1492" s="5"/>
    </row>
    <row r="1493">
      <c r="A1493" s="6" t="s">
        <v>5955</v>
      </c>
      <c r="B1493" s="5" t="s">
        <v>1128</v>
      </c>
      <c r="C1493" s="7" t="s">
        <v>5956</v>
      </c>
      <c r="D1493" s="7" t="s">
        <v>85</v>
      </c>
      <c r="E1493" s="8">
        <v>1.0</v>
      </c>
      <c r="F1493" s="7" t="s">
        <v>172</v>
      </c>
      <c r="G1493" s="5" t="s">
        <v>461</v>
      </c>
      <c r="H1493" s="7" t="s">
        <v>4955</v>
      </c>
      <c r="I1493" s="7" t="s">
        <v>5428</v>
      </c>
      <c r="J1493" s="36" t="s">
        <v>4746</v>
      </c>
      <c r="K1493" s="7" t="s">
        <v>16</v>
      </c>
      <c r="L1493" s="7" t="s">
        <v>16</v>
      </c>
      <c r="M1493" s="5" t="s">
        <v>75</v>
      </c>
      <c r="N1493" s="5" t="s">
        <v>5954</v>
      </c>
      <c r="O1493" s="5"/>
      <c r="P1493" s="5"/>
      <c r="Q1493" s="5"/>
      <c r="R1493" s="5"/>
      <c r="S1493" s="5"/>
      <c r="T1493" s="5"/>
      <c r="U1493" s="5"/>
      <c r="V1493" s="5"/>
      <c r="W1493" s="5"/>
      <c r="X1493" s="5"/>
      <c r="Y1493" s="5"/>
      <c r="Z1493" s="5"/>
    </row>
    <row r="1494">
      <c r="A1494" s="6" t="s">
        <v>5957</v>
      </c>
      <c r="B1494" s="5" t="s">
        <v>1128</v>
      </c>
      <c r="C1494" s="7" t="s">
        <v>5958</v>
      </c>
      <c r="D1494" s="7" t="s">
        <v>2561</v>
      </c>
      <c r="E1494" s="8">
        <v>1.0</v>
      </c>
      <c r="F1494" s="7" t="s">
        <v>17</v>
      </c>
      <c r="G1494" s="5" t="s">
        <v>19</v>
      </c>
      <c r="H1494" s="7" t="s">
        <v>16</v>
      </c>
      <c r="I1494" s="7" t="s">
        <v>5959</v>
      </c>
      <c r="J1494" s="36" t="s">
        <v>1132</v>
      </c>
      <c r="K1494" s="8">
        <v>2.0</v>
      </c>
      <c r="L1494" s="7" t="s">
        <v>16</v>
      </c>
      <c r="M1494" s="5" t="s">
        <v>22</v>
      </c>
      <c r="N1494" s="5" t="s">
        <v>5960</v>
      </c>
      <c r="O1494" s="5"/>
      <c r="P1494" s="5"/>
      <c r="Q1494" s="5"/>
      <c r="R1494" s="5"/>
      <c r="S1494" s="5"/>
      <c r="T1494" s="5"/>
      <c r="U1494" s="5"/>
      <c r="V1494" s="5"/>
      <c r="W1494" s="5"/>
      <c r="X1494" s="5"/>
      <c r="Y1494" s="5"/>
      <c r="Z1494" s="5"/>
    </row>
    <row r="1495">
      <c r="A1495" s="6" t="s">
        <v>5961</v>
      </c>
      <c r="B1495" s="5" t="s">
        <v>1128</v>
      </c>
      <c r="C1495" s="7" t="s">
        <v>5962</v>
      </c>
      <c r="D1495" s="7" t="s">
        <v>2561</v>
      </c>
      <c r="E1495" s="8">
        <v>1.0</v>
      </c>
      <c r="F1495" s="7" t="s">
        <v>105</v>
      </c>
      <c r="G1495" s="5" t="s">
        <v>19</v>
      </c>
      <c r="H1495" s="7" t="s">
        <v>16</v>
      </c>
      <c r="I1495" s="7" t="s">
        <v>5963</v>
      </c>
      <c r="J1495" s="7" t="s">
        <v>1266</v>
      </c>
      <c r="K1495" s="7" t="s">
        <v>16</v>
      </c>
      <c r="L1495" s="7" t="s">
        <v>16</v>
      </c>
      <c r="M1495" s="5" t="s">
        <v>22</v>
      </c>
      <c r="N1495" s="5" t="s">
        <v>5964</v>
      </c>
      <c r="O1495" s="5"/>
      <c r="P1495" s="5"/>
      <c r="Q1495" s="5"/>
      <c r="R1495" s="5"/>
      <c r="S1495" s="5"/>
      <c r="T1495" s="5"/>
      <c r="U1495" s="5"/>
      <c r="V1495" s="5"/>
      <c r="W1495" s="5"/>
      <c r="X1495" s="5"/>
      <c r="Y1495" s="5"/>
      <c r="Z1495" s="5"/>
    </row>
    <row r="1496">
      <c r="A1496" s="6" t="s">
        <v>5965</v>
      </c>
      <c r="B1496" s="5" t="s">
        <v>1128</v>
      </c>
      <c r="C1496" s="7" t="s">
        <v>5966</v>
      </c>
      <c r="D1496" s="7" t="s">
        <v>2561</v>
      </c>
      <c r="E1496" s="8">
        <v>1.0</v>
      </c>
      <c r="F1496" s="7" t="s">
        <v>105</v>
      </c>
      <c r="G1496" s="5" t="s">
        <v>19</v>
      </c>
      <c r="H1496" s="7" t="s">
        <v>16</v>
      </c>
      <c r="I1496" s="7" t="s">
        <v>5967</v>
      </c>
      <c r="J1496" s="7" t="s">
        <v>1266</v>
      </c>
      <c r="K1496" s="7" t="s">
        <v>16</v>
      </c>
      <c r="L1496" s="7" t="s">
        <v>16</v>
      </c>
      <c r="M1496" s="5" t="s">
        <v>22</v>
      </c>
      <c r="N1496" s="5" t="s">
        <v>5968</v>
      </c>
      <c r="O1496" s="5"/>
      <c r="P1496" s="5"/>
      <c r="Q1496" s="5"/>
      <c r="R1496" s="5"/>
      <c r="S1496" s="5"/>
      <c r="T1496" s="5"/>
      <c r="U1496" s="5"/>
      <c r="V1496" s="5"/>
      <c r="W1496" s="5"/>
      <c r="X1496" s="5"/>
      <c r="Y1496" s="5"/>
      <c r="Z1496" s="5"/>
    </row>
    <row r="1497">
      <c r="A1497" s="6" t="s">
        <v>5969</v>
      </c>
      <c r="B1497" s="5" t="s">
        <v>1128</v>
      </c>
      <c r="C1497" s="7" t="s">
        <v>5970</v>
      </c>
      <c r="D1497" s="7" t="s">
        <v>2561</v>
      </c>
      <c r="E1497" s="8">
        <v>1.0</v>
      </c>
      <c r="F1497" s="7" t="s">
        <v>105</v>
      </c>
      <c r="G1497" s="5" t="s">
        <v>19</v>
      </c>
      <c r="H1497" s="7" t="s">
        <v>16</v>
      </c>
      <c r="I1497" s="7" t="s">
        <v>5971</v>
      </c>
      <c r="J1497" s="7" t="s">
        <v>1266</v>
      </c>
      <c r="K1497" s="7" t="s">
        <v>16</v>
      </c>
      <c r="L1497" s="7" t="s">
        <v>16</v>
      </c>
      <c r="M1497" s="5" t="s">
        <v>36</v>
      </c>
      <c r="N1497" s="5" t="s">
        <v>5972</v>
      </c>
      <c r="O1497" s="5"/>
      <c r="P1497" s="5"/>
      <c r="Q1497" s="5"/>
      <c r="R1497" s="5"/>
      <c r="S1497" s="5"/>
      <c r="T1497" s="5"/>
      <c r="U1497" s="5"/>
      <c r="V1497" s="5"/>
      <c r="W1497" s="5"/>
      <c r="X1497" s="5"/>
      <c r="Y1497" s="5"/>
      <c r="Z1497" s="5"/>
    </row>
    <row r="1498">
      <c r="A1498" s="6" t="s">
        <v>5973</v>
      </c>
      <c r="B1498" s="5" t="s">
        <v>1128</v>
      </c>
      <c r="C1498" s="7" t="s">
        <v>5974</v>
      </c>
      <c r="D1498" s="7" t="s">
        <v>2576</v>
      </c>
      <c r="E1498" s="8">
        <v>2.0</v>
      </c>
      <c r="F1498" s="7" t="s">
        <v>17</v>
      </c>
      <c r="G1498" s="5" t="s">
        <v>19</v>
      </c>
      <c r="H1498" s="7" t="s">
        <v>16</v>
      </c>
      <c r="I1498" s="7" t="s">
        <v>5975</v>
      </c>
      <c r="J1498" s="36" t="s">
        <v>1261</v>
      </c>
      <c r="K1498" s="7" t="s">
        <v>16</v>
      </c>
      <c r="L1498" s="7" t="s">
        <v>16</v>
      </c>
      <c r="M1498" s="5" t="s">
        <v>75</v>
      </c>
      <c r="N1498" s="5" t="s">
        <v>5879</v>
      </c>
      <c r="O1498" s="5"/>
      <c r="P1498" s="5"/>
      <c r="Q1498" s="5"/>
      <c r="R1498" s="5"/>
      <c r="S1498" s="5"/>
      <c r="T1498" s="5"/>
      <c r="U1498" s="5"/>
      <c r="V1498" s="5"/>
      <c r="W1498" s="5"/>
      <c r="X1498" s="5"/>
      <c r="Y1498" s="5"/>
      <c r="Z1498" s="5"/>
    </row>
    <row r="1499">
      <c r="A1499" s="6" t="s">
        <v>5976</v>
      </c>
      <c r="B1499" s="5" t="s">
        <v>1128</v>
      </c>
      <c r="C1499" s="7" t="s">
        <v>5977</v>
      </c>
      <c r="D1499" s="7" t="s">
        <v>2767</v>
      </c>
      <c r="E1499" s="8">
        <v>1.0</v>
      </c>
      <c r="F1499" s="7" t="s">
        <v>17</v>
      </c>
      <c r="G1499" s="5" t="s">
        <v>19</v>
      </c>
      <c r="H1499" s="7" t="s">
        <v>16</v>
      </c>
      <c r="I1499" s="7" t="s">
        <v>5978</v>
      </c>
      <c r="J1499" s="7" t="s">
        <v>1266</v>
      </c>
      <c r="K1499" s="7" t="s">
        <v>16</v>
      </c>
      <c r="L1499" s="7" t="s">
        <v>16</v>
      </c>
      <c r="M1499" s="5" t="s">
        <v>22</v>
      </c>
      <c r="N1499" s="5" t="s">
        <v>5979</v>
      </c>
      <c r="O1499" s="5"/>
      <c r="P1499" s="5"/>
      <c r="Q1499" s="5"/>
      <c r="R1499" s="5"/>
      <c r="S1499" s="5"/>
      <c r="T1499" s="5"/>
      <c r="U1499" s="5"/>
      <c r="V1499" s="5"/>
      <c r="W1499" s="5"/>
      <c r="X1499" s="5"/>
      <c r="Y1499" s="5"/>
      <c r="Z1499" s="5"/>
    </row>
    <row r="1500">
      <c r="A1500" s="6" t="s">
        <v>5980</v>
      </c>
      <c r="B1500" s="5" t="s">
        <v>1128</v>
      </c>
      <c r="C1500" s="7" t="s">
        <v>5981</v>
      </c>
      <c r="D1500" s="7" t="s">
        <v>2767</v>
      </c>
      <c r="E1500" s="8">
        <v>2.0</v>
      </c>
      <c r="F1500" s="7" t="s">
        <v>17</v>
      </c>
      <c r="G1500" s="5" t="s">
        <v>19</v>
      </c>
      <c r="H1500" s="7" t="s">
        <v>16</v>
      </c>
      <c r="I1500" s="7" t="s">
        <v>5982</v>
      </c>
      <c r="J1500" s="7" t="s">
        <v>1266</v>
      </c>
      <c r="K1500" s="7" t="s">
        <v>16</v>
      </c>
      <c r="L1500" s="7" t="s">
        <v>16</v>
      </c>
      <c r="M1500" s="5" t="s">
        <v>75</v>
      </c>
      <c r="N1500" s="5" t="s">
        <v>5983</v>
      </c>
      <c r="O1500" s="5"/>
      <c r="P1500" s="5"/>
      <c r="Q1500" s="5"/>
      <c r="R1500" s="5"/>
      <c r="S1500" s="5"/>
      <c r="T1500" s="5"/>
      <c r="U1500" s="5"/>
      <c r="V1500" s="5"/>
      <c r="W1500" s="5"/>
      <c r="X1500" s="5"/>
      <c r="Y1500" s="5"/>
      <c r="Z1500" s="5"/>
    </row>
    <row r="1501">
      <c r="A1501" s="6" t="s">
        <v>5984</v>
      </c>
      <c r="B1501" s="5" t="s">
        <v>1128</v>
      </c>
      <c r="C1501" s="7" t="s">
        <v>5985</v>
      </c>
      <c r="D1501" s="7" t="s">
        <v>2767</v>
      </c>
      <c r="E1501" s="8">
        <v>3.0</v>
      </c>
      <c r="F1501" s="7" t="s">
        <v>17</v>
      </c>
      <c r="G1501" s="5" t="s">
        <v>461</v>
      </c>
      <c r="H1501" s="7" t="s">
        <v>16</v>
      </c>
      <c r="I1501" s="7" t="s">
        <v>5986</v>
      </c>
      <c r="J1501" s="7" t="s">
        <v>1266</v>
      </c>
      <c r="K1501" s="7" t="s">
        <v>16</v>
      </c>
      <c r="L1501" s="7" t="s">
        <v>16</v>
      </c>
      <c r="M1501" s="5" t="s">
        <v>75</v>
      </c>
      <c r="N1501" s="5" t="s">
        <v>5987</v>
      </c>
      <c r="O1501" s="5"/>
      <c r="P1501" s="5"/>
      <c r="Q1501" s="5"/>
      <c r="R1501" s="5"/>
      <c r="S1501" s="5"/>
      <c r="T1501" s="5"/>
      <c r="U1501" s="5"/>
      <c r="V1501" s="5"/>
      <c r="W1501" s="5"/>
      <c r="X1501" s="5"/>
      <c r="Y1501" s="5"/>
      <c r="Z1501" s="5"/>
    </row>
    <row r="1502">
      <c r="A1502" s="6" t="s">
        <v>5988</v>
      </c>
      <c r="B1502" s="5" t="s">
        <v>1128</v>
      </c>
      <c r="C1502" s="7" t="s">
        <v>4922</v>
      </c>
      <c r="D1502" s="7" t="s">
        <v>1691</v>
      </c>
      <c r="E1502" s="8">
        <v>3.0</v>
      </c>
      <c r="F1502" s="7" t="s">
        <v>17</v>
      </c>
      <c r="G1502" s="5" t="s">
        <v>19</v>
      </c>
      <c r="H1502" s="7" t="s">
        <v>16</v>
      </c>
      <c r="I1502" s="7" t="s">
        <v>5989</v>
      </c>
      <c r="J1502" s="36" t="s">
        <v>1137</v>
      </c>
      <c r="K1502" s="7" t="s">
        <v>16</v>
      </c>
      <c r="L1502" s="7" t="s">
        <v>16</v>
      </c>
      <c r="M1502" s="5" t="s">
        <v>22</v>
      </c>
      <c r="N1502" s="5" t="s">
        <v>5990</v>
      </c>
      <c r="O1502" s="5"/>
      <c r="P1502" s="5"/>
      <c r="Q1502" s="5"/>
      <c r="R1502" s="5"/>
      <c r="S1502" s="5"/>
      <c r="T1502" s="5"/>
      <c r="U1502" s="5"/>
      <c r="V1502" s="5"/>
      <c r="W1502" s="5"/>
      <c r="X1502" s="5"/>
      <c r="Y1502" s="5"/>
      <c r="Z1502" s="5"/>
    </row>
    <row r="1503">
      <c r="A1503" s="6" t="s">
        <v>5991</v>
      </c>
      <c r="B1503" s="5" t="s">
        <v>1128</v>
      </c>
      <c r="C1503" s="7" t="s">
        <v>5992</v>
      </c>
      <c r="D1503" s="7" t="s">
        <v>1691</v>
      </c>
      <c r="E1503" s="8">
        <v>5.0</v>
      </c>
      <c r="F1503" s="7" t="s">
        <v>105</v>
      </c>
      <c r="G1503" s="5" t="s">
        <v>461</v>
      </c>
      <c r="H1503" s="7" t="s">
        <v>16</v>
      </c>
      <c r="I1503" s="7" t="s">
        <v>5993</v>
      </c>
      <c r="J1503" s="36" t="s">
        <v>1146</v>
      </c>
      <c r="K1503" s="8">
        <v>3.0</v>
      </c>
      <c r="L1503" s="7" t="s">
        <v>16</v>
      </c>
      <c r="M1503" s="5" t="s">
        <v>75</v>
      </c>
      <c r="N1503" s="5" t="s">
        <v>5994</v>
      </c>
      <c r="O1503" s="5"/>
      <c r="P1503" s="5"/>
      <c r="Q1503" s="5"/>
      <c r="R1503" s="5"/>
      <c r="S1503" s="5"/>
      <c r="T1503" s="5"/>
      <c r="U1503" s="5"/>
      <c r="V1503" s="5"/>
      <c r="W1503" s="5"/>
      <c r="X1503" s="5"/>
      <c r="Y1503" s="5"/>
      <c r="Z1503" s="5"/>
    </row>
    <row r="1504">
      <c r="A1504" s="6" t="s">
        <v>5995</v>
      </c>
      <c r="B1504" s="5" t="s">
        <v>1128</v>
      </c>
      <c r="C1504" s="7" t="s">
        <v>5996</v>
      </c>
      <c r="D1504" s="7" t="s">
        <v>1691</v>
      </c>
      <c r="E1504" s="8">
        <v>1.0</v>
      </c>
      <c r="F1504" s="7" t="s">
        <v>17</v>
      </c>
      <c r="G1504" s="5" t="s">
        <v>19</v>
      </c>
      <c r="H1504" s="7" t="s">
        <v>16</v>
      </c>
      <c r="I1504" s="7" t="s">
        <v>5997</v>
      </c>
      <c r="J1504" s="7" t="s">
        <v>1266</v>
      </c>
      <c r="K1504" s="7" t="s">
        <v>16</v>
      </c>
      <c r="L1504" s="7" t="s">
        <v>16</v>
      </c>
      <c r="M1504" s="5" t="s">
        <v>22</v>
      </c>
      <c r="N1504" s="5" t="s">
        <v>5998</v>
      </c>
      <c r="O1504" s="5"/>
      <c r="P1504" s="5"/>
      <c r="Q1504" s="5"/>
      <c r="R1504" s="5"/>
      <c r="S1504" s="5"/>
      <c r="T1504" s="5"/>
      <c r="U1504" s="5"/>
      <c r="V1504" s="5"/>
      <c r="W1504" s="5"/>
      <c r="X1504" s="5"/>
      <c r="Y1504" s="5"/>
      <c r="Z1504" s="5"/>
    </row>
    <row r="1505">
      <c r="A1505" s="6" t="s">
        <v>5999</v>
      </c>
      <c r="B1505" s="5" t="s">
        <v>1128</v>
      </c>
      <c r="C1505" s="7" t="s">
        <v>6000</v>
      </c>
      <c r="D1505" s="7" t="s">
        <v>1691</v>
      </c>
      <c r="E1505" s="8">
        <v>3.0</v>
      </c>
      <c r="F1505" s="7" t="s">
        <v>17</v>
      </c>
      <c r="G1505" s="5" t="s">
        <v>19</v>
      </c>
      <c r="H1505" s="7" t="s">
        <v>16</v>
      </c>
      <c r="I1505" s="7" t="s">
        <v>6001</v>
      </c>
      <c r="J1505" s="7" t="s">
        <v>1266</v>
      </c>
      <c r="K1505" s="7" t="s">
        <v>16</v>
      </c>
      <c r="L1505" s="7" t="s">
        <v>16</v>
      </c>
      <c r="M1505" s="5" t="s">
        <v>22</v>
      </c>
      <c r="N1505" s="5" t="s">
        <v>6002</v>
      </c>
      <c r="O1505" s="5"/>
      <c r="P1505" s="5"/>
      <c r="Q1505" s="5"/>
      <c r="R1505" s="5"/>
      <c r="S1505" s="5"/>
      <c r="T1505" s="5"/>
      <c r="U1505" s="5"/>
      <c r="V1505" s="5"/>
      <c r="W1505" s="5"/>
      <c r="X1505" s="5"/>
      <c r="Y1505" s="5"/>
      <c r="Z1505" s="5"/>
    </row>
    <row r="1506">
      <c r="A1506" s="6" t="s">
        <v>6003</v>
      </c>
      <c r="B1506" s="5" t="s">
        <v>1128</v>
      </c>
      <c r="C1506" s="7" t="s">
        <v>6004</v>
      </c>
      <c r="D1506" s="7" t="s">
        <v>1691</v>
      </c>
      <c r="E1506" s="8">
        <v>3.0</v>
      </c>
      <c r="F1506" s="7" t="s">
        <v>17</v>
      </c>
      <c r="G1506" s="5" t="s">
        <v>19</v>
      </c>
      <c r="H1506" s="7" t="s">
        <v>16</v>
      </c>
      <c r="I1506" s="7" t="s">
        <v>6005</v>
      </c>
      <c r="J1506" s="36" t="s">
        <v>1137</v>
      </c>
      <c r="K1506" s="7" t="s">
        <v>16</v>
      </c>
      <c r="L1506" s="7" t="s">
        <v>16</v>
      </c>
      <c r="M1506" s="5" t="s">
        <v>36</v>
      </c>
      <c r="N1506" s="5" t="s">
        <v>6006</v>
      </c>
      <c r="O1506" s="5"/>
      <c r="P1506" s="5"/>
      <c r="Q1506" s="5"/>
      <c r="R1506" s="5"/>
      <c r="S1506" s="5"/>
      <c r="T1506" s="5"/>
      <c r="U1506" s="5"/>
      <c r="V1506" s="5"/>
      <c r="W1506" s="5"/>
      <c r="X1506" s="5"/>
      <c r="Y1506" s="5"/>
      <c r="Z1506" s="5"/>
    </row>
    <row r="1507">
      <c r="A1507" s="6" t="s">
        <v>6007</v>
      </c>
      <c r="B1507" s="5" t="s">
        <v>1128</v>
      </c>
      <c r="C1507" s="7" t="s">
        <v>6008</v>
      </c>
      <c r="D1507" s="7" t="s">
        <v>2801</v>
      </c>
      <c r="E1507" s="8">
        <v>2.0</v>
      </c>
      <c r="F1507" s="7" t="s">
        <v>105</v>
      </c>
      <c r="G1507" s="5" t="s">
        <v>19</v>
      </c>
      <c r="H1507" s="7" t="s">
        <v>16</v>
      </c>
      <c r="I1507" s="7" t="s">
        <v>6009</v>
      </c>
      <c r="J1507" s="36" t="s">
        <v>1261</v>
      </c>
      <c r="K1507" s="8">
        <v>1.0</v>
      </c>
      <c r="L1507" s="7" t="s">
        <v>16</v>
      </c>
      <c r="M1507" s="5" t="s">
        <v>22</v>
      </c>
      <c r="N1507" s="5" t="s">
        <v>6010</v>
      </c>
      <c r="O1507" s="5"/>
      <c r="P1507" s="5"/>
      <c r="Q1507" s="5"/>
      <c r="R1507" s="5"/>
      <c r="S1507" s="5"/>
      <c r="T1507" s="5"/>
      <c r="U1507" s="5"/>
      <c r="V1507" s="5"/>
      <c r="W1507" s="5"/>
      <c r="X1507" s="5"/>
      <c r="Y1507" s="5"/>
      <c r="Z1507" s="5"/>
    </row>
    <row r="1508">
      <c r="A1508" s="6" t="s">
        <v>6011</v>
      </c>
      <c r="B1508" s="5" t="s">
        <v>1128</v>
      </c>
      <c r="C1508" s="7" t="s">
        <v>6012</v>
      </c>
      <c r="D1508" s="7" t="s">
        <v>2811</v>
      </c>
      <c r="E1508" s="8">
        <v>1.0</v>
      </c>
      <c r="F1508" s="7" t="s">
        <v>17</v>
      </c>
      <c r="G1508" s="5" t="s">
        <v>19</v>
      </c>
      <c r="H1508" s="7" t="s">
        <v>16</v>
      </c>
      <c r="I1508" s="7" t="s">
        <v>6013</v>
      </c>
      <c r="J1508" s="7" t="s">
        <v>1266</v>
      </c>
      <c r="K1508" s="7" t="s">
        <v>16</v>
      </c>
      <c r="L1508" s="7" t="s">
        <v>16</v>
      </c>
      <c r="M1508" s="5" t="s">
        <v>22</v>
      </c>
      <c r="N1508" s="5" t="s">
        <v>6014</v>
      </c>
      <c r="O1508" s="5"/>
      <c r="P1508" s="5"/>
      <c r="Q1508" s="5"/>
      <c r="R1508" s="5"/>
      <c r="S1508" s="5"/>
      <c r="T1508" s="5"/>
      <c r="U1508" s="5"/>
      <c r="V1508" s="5"/>
      <c r="W1508" s="5"/>
      <c r="X1508" s="5"/>
      <c r="Y1508" s="5"/>
      <c r="Z1508" s="5"/>
    </row>
    <row r="1509">
      <c r="A1509" s="6" t="s">
        <v>6015</v>
      </c>
      <c r="B1509" s="5" t="s">
        <v>1128</v>
      </c>
      <c r="C1509" s="7" t="s">
        <v>6016</v>
      </c>
      <c r="D1509" s="7" t="s">
        <v>2811</v>
      </c>
      <c r="E1509" s="8">
        <v>2.0</v>
      </c>
      <c r="F1509" s="7" t="s">
        <v>105</v>
      </c>
      <c r="G1509" s="5" t="s">
        <v>19</v>
      </c>
      <c r="H1509" s="7" t="s">
        <v>16</v>
      </c>
      <c r="I1509" s="7" t="s">
        <v>6017</v>
      </c>
      <c r="J1509" s="36" t="s">
        <v>1132</v>
      </c>
      <c r="K1509" s="8">
        <v>1.0</v>
      </c>
      <c r="L1509" s="7" t="s">
        <v>16</v>
      </c>
      <c r="M1509" s="5" t="s">
        <v>22</v>
      </c>
      <c r="N1509" s="5" t="s">
        <v>6018</v>
      </c>
      <c r="O1509" s="5"/>
      <c r="P1509" s="5"/>
      <c r="Q1509" s="5"/>
      <c r="R1509" s="5"/>
      <c r="S1509" s="5"/>
      <c r="T1509" s="5"/>
      <c r="U1509" s="5"/>
      <c r="V1509" s="5"/>
      <c r="W1509" s="5"/>
      <c r="X1509" s="5"/>
      <c r="Y1509" s="5"/>
      <c r="Z1509" s="5"/>
    </row>
    <row r="1510">
      <c r="A1510" s="6" t="s">
        <v>6019</v>
      </c>
      <c r="B1510" s="5" t="s">
        <v>1128</v>
      </c>
      <c r="C1510" s="7" t="s">
        <v>6020</v>
      </c>
      <c r="D1510" s="7" t="s">
        <v>2811</v>
      </c>
      <c r="E1510" s="8">
        <v>3.0</v>
      </c>
      <c r="F1510" s="7" t="s">
        <v>172</v>
      </c>
      <c r="G1510" s="5" t="s">
        <v>461</v>
      </c>
      <c r="H1510" s="7" t="s">
        <v>16</v>
      </c>
      <c r="I1510" s="7" t="s">
        <v>6021</v>
      </c>
      <c r="J1510" s="36" t="s">
        <v>4746</v>
      </c>
      <c r="K1510" s="7" t="s">
        <v>16</v>
      </c>
      <c r="L1510" s="7" t="s">
        <v>16</v>
      </c>
      <c r="M1510" s="5" t="s">
        <v>75</v>
      </c>
      <c r="N1510" s="5" t="s">
        <v>6022</v>
      </c>
      <c r="O1510" s="5"/>
      <c r="P1510" s="5"/>
      <c r="Q1510" s="5"/>
      <c r="R1510" s="5"/>
      <c r="S1510" s="5"/>
      <c r="T1510" s="5"/>
      <c r="U1510" s="5"/>
      <c r="V1510" s="5"/>
      <c r="W1510" s="5"/>
      <c r="X1510" s="5"/>
      <c r="Y1510" s="5"/>
      <c r="Z1510" s="5"/>
    </row>
    <row r="1511">
      <c r="A1511" s="6" t="s">
        <v>6023</v>
      </c>
      <c r="B1511" s="5" t="s">
        <v>1128</v>
      </c>
      <c r="C1511" s="7" t="s">
        <v>6024</v>
      </c>
      <c r="D1511" s="7" t="s">
        <v>1194</v>
      </c>
      <c r="E1511" s="8">
        <v>4.0</v>
      </c>
      <c r="F1511" s="7" t="s">
        <v>17</v>
      </c>
      <c r="G1511" s="5" t="s">
        <v>326</v>
      </c>
      <c r="H1511" s="7" t="s">
        <v>6025</v>
      </c>
      <c r="I1511" s="7" t="s">
        <v>6026</v>
      </c>
      <c r="J1511" s="36" t="s">
        <v>4746</v>
      </c>
      <c r="K1511" s="8">
        <v>4.0</v>
      </c>
      <c r="L1511" s="7" t="s">
        <v>16</v>
      </c>
      <c r="M1511" s="5" t="s">
        <v>88</v>
      </c>
      <c r="N1511" s="5" t="s">
        <v>6027</v>
      </c>
      <c r="O1511" s="5"/>
      <c r="P1511" s="5"/>
      <c r="Q1511" s="5"/>
      <c r="R1511" s="5"/>
      <c r="S1511" s="5"/>
      <c r="T1511" s="5"/>
      <c r="U1511" s="5"/>
      <c r="V1511" s="5"/>
      <c r="W1511" s="5"/>
      <c r="X1511" s="5"/>
      <c r="Y1511" s="5"/>
      <c r="Z1511" s="5"/>
    </row>
    <row r="1512">
      <c r="A1512" s="6" t="s">
        <v>6028</v>
      </c>
      <c r="B1512" s="5" t="s">
        <v>1128</v>
      </c>
      <c r="C1512" s="7" t="s">
        <v>6024</v>
      </c>
      <c r="D1512" s="7" t="s">
        <v>1068</v>
      </c>
      <c r="E1512" s="8">
        <v>4.0</v>
      </c>
      <c r="F1512" s="7" t="s">
        <v>17</v>
      </c>
      <c r="G1512" s="5" t="s">
        <v>326</v>
      </c>
      <c r="H1512" s="7" t="s">
        <v>6025</v>
      </c>
      <c r="I1512" s="7" t="s">
        <v>6029</v>
      </c>
      <c r="J1512" s="36" t="s">
        <v>4746</v>
      </c>
      <c r="K1512" s="8">
        <v>4.0</v>
      </c>
      <c r="L1512" s="7" t="s">
        <v>16</v>
      </c>
      <c r="M1512" s="5" t="s">
        <v>88</v>
      </c>
      <c r="N1512" s="5" t="s">
        <v>6030</v>
      </c>
      <c r="O1512" s="5"/>
      <c r="P1512" s="5"/>
      <c r="Q1512" s="5"/>
      <c r="R1512" s="5"/>
      <c r="S1512" s="5"/>
      <c r="T1512" s="5"/>
      <c r="U1512" s="5"/>
      <c r="V1512" s="5"/>
      <c r="W1512" s="5"/>
      <c r="X1512" s="5"/>
      <c r="Y1512" s="5"/>
      <c r="Z1512" s="5"/>
    </row>
    <row r="1513">
      <c r="A1513" s="6" t="s">
        <v>6031</v>
      </c>
      <c r="B1513" s="5" t="s">
        <v>1128</v>
      </c>
      <c r="C1513" s="7" t="s">
        <v>1129</v>
      </c>
      <c r="D1513" s="7" t="s">
        <v>1068</v>
      </c>
      <c r="E1513" s="8">
        <v>1.0</v>
      </c>
      <c r="F1513" s="7" t="s">
        <v>105</v>
      </c>
      <c r="G1513" s="5" t="s">
        <v>19</v>
      </c>
      <c r="H1513" s="7" t="s">
        <v>1130</v>
      </c>
      <c r="I1513" s="7" t="s">
        <v>6032</v>
      </c>
      <c r="J1513" s="36" t="s">
        <v>1132</v>
      </c>
      <c r="K1513" s="8">
        <v>1.0</v>
      </c>
      <c r="L1513" s="7" t="s">
        <v>16</v>
      </c>
      <c r="M1513" s="5" t="s">
        <v>22</v>
      </c>
      <c r="N1513" s="5" t="s">
        <v>6033</v>
      </c>
      <c r="O1513" s="5"/>
      <c r="P1513" s="5"/>
      <c r="Q1513" s="5"/>
      <c r="R1513" s="5"/>
      <c r="S1513" s="5"/>
      <c r="T1513" s="5"/>
      <c r="U1513" s="5"/>
      <c r="V1513" s="5"/>
      <c r="W1513" s="5"/>
      <c r="X1513" s="5"/>
      <c r="Y1513" s="5"/>
      <c r="Z1513" s="5"/>
    </row>
    <row r="1514">
      <c r="A1514" s="6" t="s">
        <v>6034</v>
      </c>
      <c r="B1514" s="5" t="s">
        <v>1128</v>
      </c>
      <c r="C1514" s="7" t="s">
        <v>5948</v>
      </c>
      <c r="D1514" s="7" t="s">
        <v>85</v>
      </c>
      <c r="E1514" s="8">
        <v>4.0</v>
      </c>
      <c r="F1514" s="7" t="s">
        <v>17</v>
      </c>
      <c r="G1514" s="5" t="s">
        <v>461</v>
      </c>
      <c r="H1514" s="7" t="s">
        <v>16</v>
      </c>
      <c r="I1514" s="7" t="s">
        <v>6035</v>
      </c>
      <c r="J1514" s="7" t="s">
        <v>1266</v>
      </c>
      <c r="K1514" s="7" t="s">
        <v>16</v>
      </c>
      <c r="L1514" s="7" t="s">
        <v>16</v>
      </c>
      <c r="M1514" s="5" t="s">
        <v>36</v>
      </c>
      <c r="N1514" s="5" t="s">
        <v>6036</v>
      </c>
      <c r="O1514" s="5"/>
      <c r="P1514" s="5"/>
      <c r="Q1514" s="5"/>
      <c r="R1514" s="5"/>
      <c r="S1514" s="5"/>
      <c r="T1514" s="5"/>
      <c r="U1514" s="5"/>
      <c r="V1514" s="5"/>
      <c r="W1514" s="5"/>
      <c r="X1514" s="5"/>
      <c r="Y1514" s="5"/>
      <c r="Z1514" s="5"/>
    </row>
    <row r="1515">
      <c r="A1515" s="6" t="s">
        <v>6037</v>
      </c>
      <c r="B1515" s="5" t="s">
        <v>1128</v>
      </c>
      <c r="C1515" s="7" t="s">
        <v>6038</v>
      </c>
      <c r="D1515" s="7" t="s">
        <v>2576</v>
      </c>
      <c r="E1515" s="8">
        <v>1.0</v>
      </c>
      <c r="F1515" s="7" t="s">
        <v>17</v>
      </c>
      <c r="G1515" s="5" t="s">
        <v>19</v>
      </c>
      <c r="H1515" s="7" t="s">
        <v>16</v>
      </c>
      <c r="I1515" s="7" t="s">
        <v>6039</v>
      </c>
      <c r="J1515" s="7" t="s">
        <v>1266</v>
      </c>
      <c r="K1515" s="7" t="s">
        <v>16</v>
      </c>
      <c r="L1515" s="7" t="s">
        <v>16</v>
      </c>
      <c r="M1515" s="5" t="s">
        <v>22</v>
      </c>
      <c r="N1515" s="5" t="s">
        <v>5879</v>
      </c>
      <c r="O1515" s="5"/>
      <c r="P1515" s="5"/>
      <c r="Q1515" s="5"/>
      <c r="R1515" s="5"/>
      <c r="S1515" s="5"/>
      <c r="T1515" s="5"/>
      <c r="U1515" s="5"/>
      <c r="V1515" s="5"/>
      <c r="W1515" s="5"/>
      <c r="X1515" s="5"/>
      <c r="Y1515" s="5"/>
      <c r="Z1515" s="5"/>
    </row>
    <row r="1516">
      <c r="A1516" s="6" t="s">
        <v>6040</v>
      </c>
      <c r="B1516" s="5" t="s">
        <v>1128</v>
      </c>
      <c r="C1516" s="7" t="s">
        <v>5985</v>
      </c>
      <c r="D1516" s="7" t="s">
        <v>2767</v>
      </c>
      <c r="E1516" s="8">
        <v>4.0</v>
      </c>
      <c r="F1516" s="7" t="s">
        <v>17</v>
      </c>
      <c r="G1516" s="5" t="s">
        <v>461</v>
      </c>
      <c r="H1516" s="7" t="s">
        <v>16</v>
      </c>
      <c r="I1516" s="7" t="s">
        <v>6041</v>
      </c>
      <c r="J1516" s="7" t="s">
        <v>1266</v>
      </c>
      <c r="K1516" s="7" t="s">
        <v>16</v>
      </c>
      <c r="L1516" s="7" t="s">
        <v>16</v>
      </c>
      <c r="M1516" s="5" t="s">
        <v>36</v>
      </c>
      <c r="N1516" s="5" t="s">
        <v>6042</v>
      </c>
      <c r="O1516" s="5"/>
      <c r="P1516" s="5"/>
      <c r="Q1516" s="5"/>
      <c r="R1516" s="5"/>
      <c r="S1516" s="5"/>
      <c r="T1516" s="5"/>
      <c r="U1516" s="5"/>
      <c r="V1516" s="5"/>
      <c r="W1516" s="5"/>
      <c r="X1516" s="5"/>
      <c r="Y1516" s="5"/>
      <c r="Z1516" s="5"/>
    </row>
    <row r="1517">
      <c r="A1517" s="6" t="s">
        <v>6043</v>
      </c>
      <c r="B1517" s="5" t="s">
        <v>1128</v>
      </c>
      <c r="C1517" s="7" t="s">
        <v>1160</v>
      </c>
      <c r="D1517" s="7" t="s">
        <v>1068</v>
      </c>
      <c r="E1517" s="8">
        <v>3.0</v>
      </c>
      <c r="F1517" s="7" t="s">
        <v>105</v>
      </c>
      <c r="G1517" s="5" t="s">
        <v>326</v>
      </c>
      <c r="H1517" s="7" t="s">
        <v>1130</v>
      </c>
      <c r="I1517" s="7" t="s">
        <v>6044</v>
      </c>
      <c r="J1517" s="36" t="s">
        <v>1132</v>
      </c>
      <c r="K1517" s="8">
        <v>1.0</v>
      </c>
      <c r="L1517" s="7" t="s">
        <v>16</v>
      </c>
      <c r="M1517" s="5" t="s">
        <v>88</v>
      </c>
      <c r="N1517" s="5" t="s">
        <v>6045</v>
      </c>
      <c r="O1517" s="5"/>
      <c r="P1517" s="5"/>
      <c r="Q1517" s="5"/>
      <c r="R1517" s="5"/>
      <c r="S1517" s="5"/>
      <c r="T1517" s="5"/>
      <c r="U1517" s="5"/>
      <c r="V1517" s="5"/>
      <c r="W1517" s="5"/>
      <c r="X1517" s="5"/>
      <c r="Y1517" s="5"/>
      <c r="Z1517" s="5"/>
    </row>
    <row r="1518">
      <c r="A1518" s="6" t="s">
        <v>6046</v>
      </c>
      <c r="B1518" s="5" t="s">
        <v>1128</v>
      </c>
      <c r="C1518" s="7" t="s">
        <v>6047</v>
      </c>
      <c r="D1518" s="7" t="s">
        <v>1068</v>
      </c>
      <c r="E1518" s="8">
        <v>3.0</v>
      </c>
      <c r="F1518" s="7" t="s">
        <v>17</v>
      </c>
      <c r="G1518" s="5" t="s">
        <v>19</v>
      </c>
      <c r="H1518" s="7" t="s">
        <v>1130</v>
      </c>
      <c r="I1518" s="7" t="s">
        <v>6048</v>
      </c>
      <c r="J1518" s="36" t="s">
        <v>1132</v>
      </c>
      <c r="K1518" s="7" t="s">
        <v>16</v>
      </c>
      <c r="L1518" s="7" t="s">
        <v>16</v>
      </c>
      <c r="M1518" s="5" t="s">
        <v>75</v>
      </c>
      <c r="N1518" s="5" t="s">
        <v>6049</v>
      </c>
      <c r="O1518" s="5"/>
      <c r="P1518" s="5"/>
      <c r="Q1518" s="5"/>
      <c r="R1518" s="5"/>
      <c r="S1518" s="5"/>
      <c r="T1518" s="5"/>
      <c r="U1518" s="5"/>
      <c r="V1518" s="5"/>
      <c r="W1518" s="5"/>
      <c r="X1518" s="5"/>
      <c r="Y1518" s="5"/>
      <c r="Z1518" s="5"/>
    </row>
    <row r="1519">
      <c r="A1519" s="6" t="s">
        <v>6050</v>
      </c>
      <c r="B1519" s="5" t="s">
        <v>1128</v>
      </c>
      <c r="C1519" s="7" t="s">
        <v>4688</v>
      </c>
      <c r="D1519" s="7" t="s">
        <v>1194</v>
      </c>
      <c r="E1519" s="8">
        <v>1.0</v>
      </c>
      <c r="F1519" s="7" t="s">
        <v>17</v>
      </c>
      <c r="G1519" s="5" t="s">
        <v>19</v>
      </c>
      <c r="H1519" s="7" t="s">
        <v>4689</v>
      </c>
      <c r="I1519" s="7" t="s">
        <v>1131</v>
      </c>
      <c r="J1519" s="36" t="s">
        <v>4742</v>
      </c>
      <c r="K1519" s="8">
        <v>2.0</v>
      </c>
      <c r="L1519" s="7" t="s">
        <v>16</v>
      </c>
      <c r="M1519" s="5" t="s">
        <v>22</v>
      </c>
      <c r="N1519" s="5" t="s">
        <v>6051</v>
      </c>
      <c r="O1519" s="5"/>
      <c r="P1519" s="5"/>
      <c r="Q1519" s="5"/>
      <c r="R1519" s="5"/>
      <c r="S1519" s="5"/>
      <c r="T1519" s="5"/>
      <c r="U1519" s="5"/>
      <c r="V1519" s="5"/>
      <c r="W1519" s="5"/>
      <c r="X1519" s="5"/>
      <c r="Y1519" s="5"/>
      <c r="Z1519" s="5"/>
    </row>
    <row r="1520">
      <c r="A1520" s="6" t="s">
        <v>6052</v>
      </c>
      <c r="B1520" s="5" t="s">
        <v>1128</v>
      </c>
      <c r="C1520" s="7" t="s">
        <v>1250</v>
      </c>
      <c r="D1520" s="7" t="s">
        <v>1194</v>
      </c>
      <c r="E1520" s="8">
        <v>2.0</v>
      </c>
      <c r="F1520" s="7" t="s">
        <v>105</v>
      </c>
      <c r="G1520" s="5" t="s">
        <v>19</v>
      </c>
      <c r="H1520" s="7" t="s">
        <v>4689</v>
      </c>
      <c r="I1520" s="7" t="s">
        <v>6032</v>
      </c>
      <c r="J1520" s="36" t="s">
        <v>1261</v>
      </c>
      <c r="K1520" s="8">
        <v>2.0</v>
      </c>
      <c r="L1520" s="7" t="s">
        <v>16</v>
      </c>
      <c r="M1520" s="5" t="s">
        <v>22</v>
      </c>
      <c r="N1520" s="5" t="s">
        <v>6053</v>
      </c>
      <c r="O1520" s="5"/>
      <c r="P1520" s="5"/>
      <c r="Q1520" s="5"/>
      <c r="R1520" s="5"/>
      <c r="S1520" s="5"/>
      <c r="T1520" s="5"/>
      <c r="U1520" s="5"/>
      <c r="V1520" s="5"/>
      <c r="W1520" s="5"/>
      <c r="X1520" s="5"/>
      <c r="Y1520" s="5"/>
      <c r="Z1520" s="5"/>
    </row>
    <row r="1521">
      <c r="A1521" s="6" t="s">
        <v>6054</v>
      </c>
      <c r="B1521" s="5" t="s">
        <v>1128</v>
      </c>
      <c r="C1521" s="7" t="s">
        <v>4698</v>
      </c>
      <c r="D1521" s="7" t="s">
        <v>1194</v>
      </c>
      <c r="E1521" s="8">
        <v>3.0</v>
      </c>
      <c r="F1521" s="7" t="s">
        <v>17</v>
      </c>
      <c r="G1521" s="5" t="s">
        <v>19</v>
      </c>
      <c r="H1521" s="7" t="s">
        <v>4689</v>
      </c>
      <c r="I1521" s="7" t="s">
        <v>6055</v>
      </c>
      <c r="J1521" s="36" t="s">
        <v>1132</v>
      </c>
      <c r="K1521" s="8">
        <v>2.0</v>
      </c>
      <c r="L1521" s="7" t="s">
        <v>16</v>
      </c>
      <c r="M1521" s="5" t="s">
        <v>36</v>
      </c>
      <c r="N1521" s="5" t="s">
        <v>6056</v>
      </c>
      <c r="O1521" s="5"/>
      <c r="P1521" s="5"/>
      <c r="Q1521" s="5"/>
      <c r="R1521" s="5"/>
      <c r="S1521" s="5"/>
      <c r="T1521" s="5"/>
      <c r="U1521" s="5"/>
      <c r="V1521" s="5"/>
      <c r="W1521" s="5"/>
      <c r="X1521" s="5"/>
      <c r="Y1521" s="5"/>
      <c r="Z1521" s="5"/>
    </row>
    <row r="1522">
      <c r="A1522" s="6" t="s">
        <v>6057</v>
      </c>
      <c r="B1522" s="5" t="s">
        <v>1128</v>
      </c>
      <c r="C1522" s="7" t="s">
        <v>4788</v>
      </c>
      <c r="D1522" s="7" t="s">
        <v>1194</v>
      </c>
      <c r="E1522" s="8">
        <v>4.0</v>
      </c>
      <c r="F1522" s="7" t="s">
        <v>105</v>
      </c>
      <c r="G1522" s="5" t="s">
        <v>326</v>
      </c>
      <c r="H1522" s="7" t="s">
        <v>4689</v>
      </c>
      <c r="I1522" s="7" t="s">
        <v>6058</v>
      </c>
      <c r="J1522" s="36" t="s">
        <v>1137</v>
      </c>
      <c r="K1522" s="7" t="s">
        <v>16</v>
      </c>
      <c r="L1522" s="7" t="s">
        <v>16</v>
      </c>
      <c r="M1522" s="5" t="s">
        <v>75</v>
      </c>
      <c r="N1522" s="5" t="s">
        <v>6059</v>
      </c>
      <c r="O1522" s="5"/>
      <c r="P1522" s="5"/>
      <c r="Q1522" s="5"/>
      <c r="R1522" s="5"/>
      <c r="S1522" s="5"/>
      <c r="T1522" s="5"/>
      <c r="U1522" s="5"/>
      <c r="V1522" s="5"/>
      <c r="W1522" s="5"/>
      <c r="X1522" s="5"/>
      <c r="Y1522" s="5"/>
      <c r="Z1522" s="5"/>
    </row>
    <row r="1523">
      <c r="A1523" s="6" t="s">
        <v>6060</v>
      </c>
      <c r="B1523" s="5" t="s">
        <v>1128</v>
      </c>
      <c r="C1523" s="7" t="s">
        <v>5434</v>
      </c>
      <c r="D1523" s="7" t="s">
        <v>1194</v>
      </c>
      <c r="E1523" s="8">
        <v>3.0</v>
      </c>
      <c r="F1523" s="7" t="s">
        <v>105</v>
      </c>
      <c r="G1523" s="5" t="s">
        <v>326</v>
      </c>
      <c r="H1523" s="7" t="s">
        <v>4689</v>
      </c>
      <c r="I1523" s="7" t="s">
        <v>6061</v>
      </c>
      <c r="J1523" s="36" t="s">
        <v>1132</v>
      </c>
      <c r="K1523" s="8">
        <v>1.0</v>
      </c>
      <c r="L1523" s="7" t="s">
        <v>16</v>
      </c>
      <c r="M1523" s="5" t="s">
        <v>88</v>
      </c>
      <c r="N1523" s="5" t="s">
        <v>6062</v>
      </c>
      <c r="O1523" s="5"/>
      <c r="P1523" s="5"/>
      <c r="Q1523" s="5"/>
      <c r="R1523" s="5"/>
      <c r="S1523" s="5"/>
      <c r="T1523" s="5"/>
      <c r="U1523" s="5"/>
      <c r="V1523" s="5"/>
      <c r="W1523" s="5"/>
      <c r="X1523" s="5"/>
      <c r="Y1523" s="5"/>
      <c r="Z1523" s="5"/>
    </row>
    <row r="1524">
      <c r="A1524" s="6" t="s">
        <v>6063</v>
      </c>
      <c r="B1524" s="5" t="s">
        <v>1128</v>
      </c>
      <c r="C1524" s="7" t="s">
        <v>5624</v>
      </c>
      <c r="D1524" s="7" t="s">
        <v>1194</v>
      </c>
      <c r="E1524" s="8">
        <v>2.0</v>
      </c>
      <c r="F1524" s="7" t="s">
        <v>17</v>
      </c>
      <c r="G1524" s="5" t="s">
        <v>19</v>
      </c>
      <c r="H1524" s="7" t="s">
        <v>4689</v>
      </c>
      <c r="I1524" s="7" t="s">
        <v>5415</v>
      </c>
      <c r="J1524" s="36" t="s">
        <v>1261</v>
      </c>
      <c r="K1524" s="8">
        <v>2.0</v>
      </c>
      <c r="L1524" s="7" t="s">
        <v>16</v>
      </c>
      <c r="M1524" s="5" t="s">
        <v>75</v>
      </c>
      <c r="N1524" s="5" t="s">
        <v>6064</v>
      </c>
      <c r="O1524" s="5"/>
      <c r="P1524" s="5"/>
      <c r="Q1524" s="5"/>
      <c r="R1524" s="5"/>
      <c r="S1524" s="5"/>
      <c r="T1524" s="5"/>
      <c r="U1524" s="5"/>
      <c r="V1524" s="5"/>
      <c r="W1524" s="5"/>
      <c r="X1524" s="5"/>
      <c r="Y1524" s="5"/>
      <c r="Z1524" s="5"/>
    </row>
    <row r="1525">
      <c r="A1525" s="6" t="s">
        <v>6065</v>
      </c>
      <c r="B1525" s="5" t="s">
        <v>1128</v>
      </c>
      <c r="C1525" s="7" t="s">
        <v>4738</v>
      </c>
      <c r="D1525" s="7" t="s">
        <v>411</v>
      </c>
      <c r="E1525" s="8">
        <v>1.0</v>
      </c>
      <c r="F1525" s="7" t="s">
        <v>172</v>
      </c>
      <c r="G1525" s="5" t="s">
        <v>19</v>
      </c>
      <c r="H1525" s="7" t="s">
        <v>16</v>
      </c>
      <c r="I1525" s="7" t="s">
        <v>6066</v>
      </c>
      <c r="J1525" s="36" t="s">
        <v>1137</v>
      </c>
      <c r="K1525" s="7" t="s">
        <v>16</v>
      </c>
      <c r="L1525" s="7" t="s">
        <v>16</v>
      </c>
      <c r="M1525" s="5" t="s">
        <v>22</v>
      </c>
      <c r="N1525" s="5" t="s">
        <v>6067</v>
      </c>
      <c r="O1525" s="5"/>
      <c r="P1525" s="5"/>
      <c r="Q1525" s="5"/>
      <c r="R1525" s="5"/>
      <c r="S1525" s="5"/>
      <c r="T1525" s="5"/>
      <c r="U1525" s="5"/>
      <c r="V1525" s="5"/>
      <c r="W1525" s="5"/>
      <c r="X1525" s="5"/>
      <c r="Y1525" s="5"/>
      <c r="Z1525" s="5"/>
    </row>
    <row r="1526">
      <c r="A1526" s="6" t="s">
        <v>6068</v>
      </c>
      <c r="B1526" s="5" t="s">
        <v>1128</v>
      </c>
      <c r="C1526" s="7" t="s">
        <v>1149</v>
      </c>
      <c r="D1526" s="7" t="s">
        <v>411</v>
      </c>
      <c r="E1526" s="8">
        <v>1.0</v>
      </c>
      <c r="F1526" s="7" t="s">
        <v>17</v>
      </c>
      <c r="G1526" s="5" t="s">
        <v>19</v>
      </c>
      <c r="H1526" s="7" t="s">
        <v>16</v>
      </c>
      <c r="I1526" s="7" t="s">
        <v>6069</v>
      </c>
      <c r="J1526" s="36" t="s">
        <v>1261</v>
      </c>
      <c r="K1526" s="8">
        <v>1.0</v>
      </c>
      <c r="L1526" s="7" t="s">
        <v>16</v>
      </c>
      <c r="M1526" s="5" t="s">
        <v>22</v>
      </c>
      <c r="N1526" s="5" t="s">
        <v>6070</v>
      </c>
      <c r="O1526" s="5"/>
      <c r="P1526" s="5"/>
      <c r="Q1526" s="5"/>
      <c r="R1526" s="5"/>
      <c r="S1526" s="5"/>
      <c r="T1526" s="5"/>
      <c r="U1526" s="5"/>
      <c r="V1526" s="5"/>
      <c r="W1526" s="5"/>
      <c r="X1526" s="5"/>
      <c r="Y1526" s="5"/>
      <c r="Z1526" s="5"/>
    </row>
    <row r="1527">
      <c r="A1527" s="6" t="s">
        <v>6071</v>
      </c>
      <c r="B1527" s="5" t="s">
        <v>1128</v>
      </c>
      <c r="C1527" s="7" t="s">
        <v>6072</v>
      </c>
      <c r="D1527" s="7" t="s">
        <v>411</v>
      </c>
      <c r="E1527" s="8">
        <v>2.0</v>
      </c>
      <c r="F1527" s="7" t="s">
        <v>105</v>
      </c>
      <c r="G1527" s="5" t="s">
        <v>326</v>
      </c>
      <c r="H1527" s="7" t="s">
        <v>16</v>
      </c>
      <c r="I1527" s="7" t="s">
        <v>6073</v>
      </c>
      <c r="J1527" s="36" t="s">
        <v>1261</v>
      </c>
      <c r="K1527" s="8">
        <v>0.0</v>
      </c>
      <c r="L1527" s="7" t="s">
        <v>16</v>
      </c>
      <c r="M1527" s="5" t="s">
        <v>88</v>
      </c>
      <c r="N1527" s="5" t="s">
        <v>6074</v>
      </c>
      <c r="O1527" s="5"/>
      <c r="P1527" s="5"/>
      <c r="Q1527" s="5"/>
      <c r="R1527" s="5"/>
      <c r="S1527" s="5"/>
      <c r="T1527" s="5"/>
      <c r="U1527" s="5"/>
      <c r="V1527" s="5"/>
      <c r="W1527" s="5"/>
      <c r="X1527" s="5"/>
      <c r="Y1527" s="5"/>
      <c r="Z1527" s="5"/>
    </row>
    <row r="1528">
      <c r="A1528" s="6" t="s">
        <v>6075</v>
      </c>
      <c r="B1528" s="5" t="s">
        <v>1128</v>
      </c>
      <c r="C1528" s="7" t="s">
        <v>6076</v>
      </c>
      <c r="D1528" s="7" t="s">
        <v>1421</v>
      </c>
      <c r="E1528" s="8">
        <v>8.0</v>
      </c>
      <c r="F1528" s="7" t="s">
        <v>105</v>
      </c>
      <c r="G1528" s="5" t="s">
        <v>326</v>
      </c>
      <c r="H1528" s="7" t="s">
        <v>16</v>
      </c>
      <c r="I1528" s="7" t="s">
        <v>6077</v>
      </c>
      <c r="J1528" s="36" t="s">
        <v>1154</v>
      </c>
      <c r="K1528" s="8">
        <v>4.0</v>
      </c>
      <c r="L1528" s="7" t="s">
        <v>16</v>
      </c>
      <c r="M1528" s="5" t="s">
        <v>88</v>
      </c>
      <c r="N1528" s="5" t="s">
        <v>6078</v>
      </c>
      <c r="O1528" s="5"/>
      <c r="P1528" s="5"/>
      <c r="Q1528" s="5"/>
      <c r="R1528" s="5"/>
      <c r="S1528" s="5"/>
      <c r="T1528" s="5"/>
      <c r="U1528" s="5"/>
      <c r="V1528" s="5"/>
      <c r="W1528" s="5"/>
      <c r="X1528" s="5"/>
      <c r="Y1528" s="5"/>
      <c r="Z1528" s="5"/>
    </row>
    <row r="1529">
      <c r="A1529" s="6" t="s">
        <v>6079</v>
      </c>
      <c r="B1529" s="5" t="s">
        <v>1128</v>
      </c>
      <c r="C1529" s="7" t="s">
        <v>6080</v>
      </c>
      <c r="D1529" s="7" t="s">
        <v>2787</v>
      </c>
      <c r="E1529" s="8">
        <v>2.0</v>
      </c>
      <c r="F1529" s="7" t="s">
        <v>17</v>
      </c>
      <c r="G1529" s="5" t="s">
        <v>19</v>
      </c>
      <c r="H1529" s="7" t="s">
        <v>16</v>
      </c>
      <c r="I1529" s="7" t="s">
        <v>6081</v>
      </c>
      <c r="J1529" s="36" t="s">
        <v>1132</v>
      </c>
      <c r="K1529" s="8">
        <v>2.0</v>
      </c>
      <c r="L1529" s="7" t="s">
        <v>16</v>
      </c>
      <c r="M1529" s="5" t="s">
        <v>36</v>
      </c>
      <c r="N1529" s="5" t="s">
        <v>6082</v>
      </c>
      <c r="O1529" s="5"/>
      <c r="P1529" s="5"/>
      <c r="Q1529" s="5"/>
      <c r="R1529" s="5"/>
      <c r="S1529" s="5"/>
      <c r="T1529" s="5"/>
      <c r="U1529" s="5"/>
      <c r="V1529" s="5"/>
      <c r="W1529" s="5"/>
      <c r="X1529" s="5"/>
      <c r="Y1529" s="5"/>
      <c r="Z1529" s="5"/>
    </row>
    <row r="1530">
      <c r="A1530" s="6" t="s">
        <v>6083</v>
      </c>
      <c r="B1530" s="5" t="s">
        <v>1128</v>
      </c>
      <c r="C1530" s="7" t="s">
        <v>6084</v>
      </c>
      <c r="D1530" s="7" t="s">
        <v>2787</v>
      </c>
      <c r="E1530" s="8">
        <v>3.0</v>
      </c>
      <c r="F1530" s="7" t="s">
        <v>172</v>
      </c>
      <c r="G1530" s="5" t="s">
        <v>19</v>
      </c>
      <c r="H1530" s="7" t="s">
        <v>16</v>
      </c>
      <c r="I1530" s="7" t="s">
        <v>6085</v>
      </c>
      <c r="J1530" s="36" t="s">
        <v>1146</v>
      </c>
      <c r="K1530" s="7" t="s">
        <v>16</v>
      </c>
      <c r="L1530" s="7" t="s">
        <v>16</v>
      </c>
      <c r="M1530" s="5" t="s">
        <v>36</v>
      </c>
      <c r="N1530" s="5" t="s">
        <v>6086</v>
      </c>
      <c r="O1530" s="5"/>
      <c r="P1530" s="5"/>
      <c r="Q1530" s="5"/>
      <c r="R1530" s="5"/>
      <c r="S1530" s="5"/>
      <c r="T1530" s="5"/>
      <c r="U1530" s="5"/>
      <c r="V1530" s="5"/>
      <c r="W1530" s="5"/>
      <c r="X1530" s="5"/>
      <c r="Y1530" s="5"/>
      <c r="Z1530" s="5"/>
    </row>
    <row r="1531">
      <c r="A1531" s="6" t="s">
        <v>6087</v>
      </c>
      <c r="B1531" s="5" t="s">
        <v>1128</v>
      </c>
      <c r="C1531" s="7" t="s">
        <v>6088</v>
      </c>
      <c r="D1531" s="7" t="s">
        <v>2787</v>
      </c>
      <c r="E1531" s="8">
        <v>8.0</v>
      </c>
      <c r="F1531" s="7" t="s">
        <v>105</v>
      </c>
      <c r="G1531" s="5" t="s">
        <v>326</v>
      </c>
      <c r="H1531" s="7" t="s">
        <v>16</v>
      </c>
      <c r="I1531" s="7" t="s">
        <v>6089</v>
      </c>
      <c r="J1531" s="36" t="s">
        <v>4746</v>
      </c>
      <c r="K1531" s="8">
        <v>4.0</v>
      </c>
      <c r="L1531" s="7" t="s">
        <v>16</v>
      </c>
      <c r="M1531" s="5" t="s">
        <v>88</v>
      </c>
      <c r="N1531" s="5" t="s">
        <v>6090</v>
      </c>
      <c r="O1531" s="5"/>
      <c r="P1531" s="5"/>
      <c r="Q1531" s="5"/>
      <c r="R1531" s="5"/>
      <c r="S1531" s="5"/>
      <c r="T1531" s="5"/>
      <c r="U1531" s="5"/>
      <c r="V1531" s="5"/>
      <c r="W1531" s="5"/>
      <c r="X1531" s="5"/>
      <c r="Y1531" s="5"/>
      <c r="Z1531" s="5"/>
    </row>
    <row r="1532">
      <c r="A1532" s="6" t="s">
        <v>6091</v>
      </c>
      <c r="B1532" s="5" t="s">
        <v>1128</v>
      </c>
      <c r="C1532" s="7" t="s">
        <v>6092</v>
      </c>
      <c r="D1532" s="7" t="s">
        <v>2883</v>
      </c>
      <c r="E1532" s="8">
        <v>8.0</v>
      </c>
      <c r="F1532" s="7" t="s">
        <v>105</v>
      </c>
      <c r="G1532" s="5" t="s">
        <v>19</v>
      </c>
      <c r="H1532" s="7" t="s">
        <v>16</v>
      </c>
      <c r="I1532" s="7" t="s">
        <v>6093</v>
      </c>
      <c r="J1532" s="36" t="s">
        <v>1161</v>
      </c>
      <c r="K1532" s="8">
        <v>4.0</v>
      </c>
      <c r="L1532" s="7" t="s">
        <v>16</v>
      </c>
      <c r="M1532" s="5" t="s">
        <v>75</v>
      </c>
      <c r="N1532" s="5" t="s">
        <v>6094</v>
      </c>
      <c r="O1532" s="5"/>
      <c r="P1532" s="5"/>
      <c r="Q1532" s="5"/>
      <c r="R1532" s="5"/>
      <c r="S1532" s="5"/>
      <c r="T1532" s="5"/>
      <c r="U1532" s="5"/>
      <c r="V1532" s="5"/>
      <c r="W1532" s="5"/>
      <c r="X1532" s="5"/>
      <c r="Y1532" s="5"/>
      <c r="Z1532" s="5"/>
    </row>
    <row r="1533">
      <c r="A1533" s="6" t="s">
        <v>6095</v>
      </c>
      <c r="B1533" s="5" t="s">
        <v>1128</v>
      </c>
      <c r="C1533" s="7" t="s">
        <v>6096</v>
      </c>
      <c r="D1533" s="7" t="s">
        <v>2883</v>
      </c>
      <c r="E1533" s="8">
        <v>4.0</v>
      </c>
      <c r="F1533" s="7" t="s">
        <v>17</v>
      </c>
      <c r="G1533" s="5" t="s">
        <v>19</v>
      </c>
      <c r="H1533" s="7" t="s">
        <v>16</v>
      </c>
      <c r="I1533" s="7" t="s">
        <v>6097</v>
      </c>
      <c r="J1533" s="36" t="s">
        <v>1137</v>
      </c>
      <c r="K1533" s="8">
        <v>1.0</v>
      </c>
      <c r="L1533" s="7" t="s">
        <v>16</v>
      </c>
      <c r="M1533" s="5" t="s">
        <v>36</v>
      </c>
      <c r="N1533" s="5" t="s">
        <v>6098</v>
      </c>
      <c r="O1533" s="5"/>
      <c r="P1533" s="5"/>
      <c r="Q1533" s="5"/>
      <c r="R1533" s="5"/>
      <c r="S1533" s="5"/>
      <c r="T1533" s="5"/>
      <c r="U1533" s="5"/>
      <c r="V1533" s="5"/>
      <c r="W1533" s="5"/>
      <c r="X1533" s="5"/>
      <c r="Y1533" s="5"/>
      <c r="Z1533" s="5"/>
    </row>
    <row r="1534">
      <c r="A1534" s="6" t="s">
        <v>6099</v>
      </c>
      <c r="B1534" s="5" t="s">
        <v>1128</v>
      </c>
      <c r="C1534" s="7" t="s">
        <v>6100</v>
      </c>
      <c r="D1534" s="7" t="s">
        <v>2883</v>
      </c>
      <c r="E1534" s="8">
        <v>2.0</v>
      </c>
      <c r="F1534" s="7" t="s">
        <v>17</v>
      </c>
      <c r="G1534" s="5" t="s">
        <v>19</v>
      </c>
      <c r="H1534" s="7" t="s">
        <v>16</v>
      </c>
      <c r="I1534" s="7" t="s">
        <v>6101</v>
      </c>
      <c r="J1534" s="36" t="s">
        <v>1132</v>
      </c>
      <c r="K1534" s="8">
        <v>2.0</v>
      </c>
      <c r="L1534" s="7" t="s">
        <v>16</v>
      </c>
      <c r="M1534" s="5" t="s">
        <v>36</v>
      </c>
      <c r="N1534" s="5" t="s">
        <v>6102</v>
      </c>
      <c r="O1534" s="5"/>
      <c r="P1534" s="5"/>
      <c r="Q1534" s="5"/>
      <c r="R1534" s="5"/>
      <c r="S1534" s="5"/>
      <c r="T1534" s="5"/>
      <c r="U1534" s="5"/>
      <c r="V1534" s="5"/>
      <c r="W1534" s="5"/>
      <c r="X1534" s="5"/>
      <c r="Y1534" s="5"/>
      <c r="Z1534" s="5"/>
    </row>
    <row r="1535">
      <c r="A1535" s="6" t="s">
        <v>6103</v>
      </c>
      <c r="B1535" s="5" t="s">
        <v>1128</v>
      </c>
      <c r="C1535" s="7" t="s">
        <v>6104</v>
      </c>
      <c r="D1535" s="7" t="s">
        <v>2883</v>
      </c>
      <c r="E1535" s="8">
        <v>3.0</v>
      </c>
      <c r="F1535" s="7" t="s">
        <v>105</v>
      </c>
      <c r="G1535" s="5" t="s">
        <v>461</v>
      </c>
      <c r="H1535" s="7" t="s">
        <v>16</v>
      </c>
      <c r="I1535" s="7" t="s">
        <v>1131</v>
      </c>
      <c r="J1535" s="36" t="s">
        <v>1146</v>
      </c>
      <c r="K1535" s="8">
        <v>3.0</v>
      </c>
      <c r="L1535" s="7" t="s">
        <v>16</v>
      </c>
      <c r="M1535" s="5" t="s">
        <v>36</v>
      </c>
      <c r="N1535" s="5" t="s">
        <v>6105</v>
      </c>
      <c r="O1535" s="5"/>
      <c r="P1535" s="5"/>
      <c r="Q1535" s="5"/>
      <c r="R1535" s="5"/>
      <c r="S1535" s="5"/>
      <c r="T1535" s="5"/>
      <c r="U1535" s="5"/>
      <c r="V1535" s="5"/>
      <c r="W1535" s="5"/>
      <c r="X1535" s="5"/>
      <c r="Y1535" s="5"/>
      <c r="Z1535" s="5"/>
    </row>
    <row r="1536">
      <c r="A1536" s="6" t="s">
        <v>6106</v>
      </c>
      <c r="B1536" s="5" t="s">
        <v>1128</v>
      </c>
      <c r="C1536" s="7" t="s">
        <v>6107</v>
      </c>
      <c r="D1536" s="7" t="s">
        <v>2883</v>
      </c>
      <c r="E1536" s="8">
        <v>5.0</v>
      </c>
      <c r="F1536" s="7" t="s">
        <v>17</v>
      </c>
      <c r="G1536" s="5" t="s">
        <v>461</v>
      </c>
      <c r="H1536" s="7" t="s">
        <v>16</v>
      </c>
      <c r="I1536" s="7" t="s">
        <v>6108</v>
      </c>
      <c r="J1536" s="36" t="s">
        <v>1146</v>
      </c>
      <c r="K1536" s="7" t="s">
        <v>16</v>
      </c>
      <c r="L1536" s="7" t="s">
        <v>16</v>
      </c>
      <c r="M1536" s="5" t="s">
        <v>36</v>
      </c>
      <c r="N1536" s="5" t="s">
        <v>6109</v>
      </c>
      <c r="O1536" s="5"/>
      <c r="P1536" s="5"/>
      <c r="Q1536" s="5"/>
      <c r="R1536" s="5"/>
      <c r="S1536" s="5"/>
      <c r="T1536" s="5"/>
      <c r="U1536" s="5"/>
      <c r="V1536" s="5"/>
      <c r="W1536" s="5"/>
      <c r="X1536" s="5"/>
      <c r="Y1536" s="5"/>
      <c r="Z1536" s="5"/>
    </row>
    <row r="1537">
      <c r="A1537" s="6" t="s">
        <v>6110</v>
      </c>
      <c r="B1537" s="5" t="s">
        <v>1128</v>
      </c>
      <c r="C1537" s="7" t="s">
        <v>6111</v>
      </c>
      <c r="D1537" s="7" t="s">
        <v>2918</v>
      </c>
      <c r="E1537" s="8">
        <v>1.0</v>
      </c>
      <c r="F1537" s="7" t="s">
        <v>17</v>
      </c>
      <c r="G1537" s="5" t="s">
        <v>19</v>
      </c>
      <c r="H1537" s="7" t="s">
        <v>16</v>
      </c>
      <c r="I1537" s="7" t="s">
        <v>6112</v>
      </c>
      <c r="J1537" s="36" t="s">
        <v>1261</v>
      </c>
      <c r="K1537" s="7" t="s">
        <v>16</v>
      </c>
      <c r="L1537" s="7" t="s">
        <v>16</v>
      </c>
      <c r="M1537" s="5" t="s">
        <v>22</v>
      </c>
      <c r="N1537" s="5" t="s">
        <v>6113</v>
      </c>
      <c r="O1537" s="5"/>
      <c r="P1537" s="5"/>
      <c r="Q1537" s="5"/>
      <c r="R1537" s="5"/>
      <c r="S1537" s="5"/>
      <c r="T1537" s="5"/>
      <c r="U1537" s="5"/>
      <c r="V1537" s="5"/>
      <c r="W1537" s="5"/>
      <c r="X1537" s="5"/>
      <c r="Y1537" s="5"/>
      <c r="Z1537" s="5"/>
    </row>
    <row r="1538">
      <c r="A1538" s="6" t="s">
        <v>6114</v>
      </c>
      <c r="B1538" s="5" t="s">
        <v>1128</v>
      </c>
      <c r="C1538" s="7" t="s">
        <v>6115</v>
      </c>
      <c r="D1538" s="7" t="s">
        <v>2918</v>
      </c>
      <c r="E1538" s="8">
        <v>2.0</v>
      </c>
      <c r="F1538" s="7" t="s">
        <v>17</v>
      </c>
      <c r="G1538" s="5" t="s">
        <v>19</v>
      </c>
      <c r="H1538" s="7" t="s">
        <v>16</v>
      </c>
      <c r="I1538" s="7" t="s">
        <v>6116</v>
      </c>
      <c r="J1538" s="36" t="s">
        <v>1132</v>
      </c>
      <c r="K1538" s="7" t="s">
        <v>16</v>
      </c>
      <c r="L1538" s="7" t="s">
        <v>16</v>
      </c>
      <c r="M1538" s="5" t="s">
        <v>22</v>
      </c>
      <c r="N1538" s="5" t="s">
        <v>6117</v>
      </c>
      <c r="O1538" s="5"/>
      <c r="P1538" s="5"/>
      <c r="Q1538" s="5"/>
      <c r="R1538" s="5"/>
      <c r="S1538" s="5"/>
      <c r="T1538" s="5"/>
      <c r="U1538" s="5"/>
      <c r="V1538" s="5"/>
      <c r="W1538" s="5"/>
      <c r="X1538" s="5"/>
      <c r="Y1538" s="5"/>
      <c r="Z1538" s="5"/>
    </row>
    <row r="1539">
      <c r="A1539" s="6" t="s">
        <v>6118</v>
      </c>
      <c r="B1539" s="5" t="s">
        <v>1128</v>
      </c>
      <c r="C1539" s="7" t="s">
        <v>6119</v>
      </c>
      <c r="D1539" s="7" t="s">
        <v>2918</v>
      </c>
      <c r="E1539" s="8">
        <v>3.0</v>
      </c>
      <c r="F1539" s="7" t="s">
        <v>172</v>
      </c>
      <c r="G1539" s="5" t="s">
        <v>19</v>
      </c>
      <c r="H1539" s="7" t="s">
        <v>16</v>
      </c>
      <c r="I1539" s="7" t="s">
        <v>6120</v>
      </c>
      <c r="J1539" s="7" t="s">
        <v>1266</v>
      </c>
      <c r="K1539" s="7" t="s">
        <v>16</v>
      </c>
      <c r="L1539" s="7" t="s">
        <v>16</v>
      </c>
      <c r="M1539" s="5" t="s">
        <v>22</v>
      </c>
      <c r="N1539" s="5" t="s">
        <v>6121</v>
      </c>
      <c r="O1539" s="5"/>
      <c r="P1539" s="5"/>
      <c r="Q1539" s="5"/>
      <c r="R1539" s="5"/>
      <c r="S1539" s="5"/>
      <c r="T1539" s="5"/>
      <c r="U1539" s="5"/>
      <c r="V1539" s="5"/>
      <c r="W1539" s="5"/>
      <c r="X1539" s="5"/>
      <c r="Y1539" s="5"/>
      <c r="Z1539" s="5"/>
    </row>
    <row r="1540">
      <c r="A1540" s="6" t="s">
        <v>6122</v>
      </c>
      <c r="B1540" s="5" t="s">
        <v>1128</v>
      </c>
      <c r="C1540" s="7" t="s">
        <v>6123</v>
      </c>
      <c r="D1540" s="7" t="s">
        <v>2918</v>
      </c>
      <c r="E1540" s="8">
        <v>1.0</v>
      </c>
      <c r="F1540" s="7" t="s">
        <v>17</v>
      </c>
      <c r="G1540" s="5" t="s">
        <v>461</v>
      </c>
      <c r="H1540" s="7" t="s">
        <v>16</v>
      </c>
      <c r="I1540" s="7" t="s">
        <v>6124</v>
      </c>
      <c r="J1540" s="7" t="s">
        <v>1266</v>
      </c>
      <c r="K1540" s="7" t="s">
        <v>16</v>
      </c>
      <c r="L1540" s="7" t="s">
        <v>16</v>
      </c>
      <c r="M1540" s="5" t="s">
        <v>22</v>
      </c>
      <c r="N1540" s="5" t="s">
        <v>6125</v>
      </c>
      <c r="O1540" s="5"/>
      <c r="P1540" s="5"/>
      <c r="Q1540" s="5"/>
      <c r="R1540" s="5"/>
      <c r="S1540" s="5"/>
      <c r="T1540" s="5"/>
      <c r="U1540" s="5"/>
      <c r="V1540" s="5"/>
      <c r="W1540" s="5"/>
      <c r="X1540" s="5"/>
      <c r="Y1540" s="5"/>
      <c r="Z1540" s="5"/>
    </row>
    <row r="1541">
      <c r="A1541" s="6" t="s">
        <v>6126</v>
      </c>
      <c r="B1541" s="5" t="s">
        <v>1128</v>
      </c>
      <c r="C1541" s="7" t="s">
        <v>6127</v>
      </c>
      <c r="D1541" s="7" t="s">
        <v>6128</v>
      </c>
      <c r="E1541" s="8">
        <v>0.0</v>
      </c>
      <c r="F1541" s="7" t="s">
        <v>17</v>
      </c>
      <c r="G1541" s="5" t="s">
        <v>19</v>
      </c>
      <c r="H1541" s="7" t="s">
        <v>16</v>
      </c>
      <c r="I1541" s="7" t="s">
        <v>1131</v>
      </c>
      <c r="J1541" s="36" t="s">
        <v>1261</v>
      </c>
      <c r="K1541" s="7" t="s">
        <v>16</v>
      </c>
      <c r="L1541" s="7" t="s">
        <v>16</v>
      </c>
      <c r="M1541" s="5" t="s">
        <v>75</v>
      </c>
      <c r="N1541" s="5" t="s">
        <v>6129</v>
      </c>
      <c r="O1541" s="5"/>
      <c r="P1541" s="5"/>
      <c r="Q1541" s="5"/>
      <c r="R1541" s="5"/>
      <c r="S1541" s="5"/>
      <c r="T1541" s="5"/>
      <c r="U1541" s="5"/>
      <c r="V1541" s="5"/>
      <c r="W1541" s="5"/>
      <c r="X1541" s="5"/>
      <c r="Y1541" s="5"/>
      <c r="Z1541" s="5"/>
    </row>
    <row r="1542">
      <c r="A1542" s="6" t="s">
        <v>6130</v>
      </c>
      <c r="B1542" s="5" t="s">
        <v>1128</v>
      </c>
      <c r="C1542" s="7" t="s">
        <v>6131</v>
      </c>
      <c r="D1542" s="7" t="s">
        <v>6128</v>
      </c>
      <c r="E1542" s="8">
        <v>0.0</v>
      </c>
      <c r="F1542" s="7" t="s">
        <v>17</v>
      </c>
      <c r="G1542" s="5" t="s">
        <v>19</v>
      </c>
      <c r="H1542" s="7" t="s">
        <v>16</v>
      </c>
      <c r="I1542" s="7" t="s">
        <v>6132</v>
      </c>
      <c r="J1542" s="36" t="s">
        <v>1146</v>
      </c>
      <c r="K1542" s="7" t="s">
        <v>16</v>
      </c>
      <c r="L1542" s="7" t="s">
        <v>16</v>
      </c>
      <c r="M1542" s="5" t="s">
        <v>22</v>
      </c>
      <c r="N1542" s="5" t="s">
        <v>6129</v>
      </c>
      <c r="O1542" s="5"/>
      <c r="P1542" s="5"/>
      <c r="Q1542" s="5"/>
      <c r="R1542" s="5"/>
      <c r="S1542" s="5"/>
      <c r="T1542" s="5"/>
      <c r="U1542" s="5"/>
      <c r="V1542" s="5"/>
      <c r="W1542" s="5"/>
      <c r="X1542" s="5"/>
      <c r="Y1542" s="5"/>
      <c r="Z1542" s="5"/>
    </row>
    <row r="1543">
      <c r="A1543" s="17" t="s">
        <v>6133</v>
      </c>
      <c r="B1543" s="5" t="s">
        <v>1128</v>
      </c>
      <c r="C1543" s="7" t="s">
        <v>6134</v>
      </c>
      <c r="D1543" s="7" t="s">
        <v>6128</v>
      </c>
      <c r="E1543" s="8">
        <v>0.0</v>
      </c>
      <c r="F1543" s="7" t="s">
        <v>17</v>
      </c>
      <c r="G1543" s="5" t="s">
        <v>19</v>
      </c>
      <c r="H1543" s="7" t="s">
        <v>16</v>
      </c>
      <c r="I1543" s="7" t="s">
        <v>6135</v>
      </c>
      <c r="J1543" s="36" t="s">
        <v>4861</v>
      </c>
      <c r="K1543" s="7" t="s">
        <v>16</v>
      </c>
      <c r="L1543" s="7" t="s">
        <v>16</v>
      </c>
      <c r="M1543" s="5" t="s">
        <v>22</v>
      </c>
      <c r="N1543" s="5" t="s">
        <v>6129</v>
      </c>
      <c r="O1543" s="5"/>
      <c r="P1543" s="5"/>
      <c r="Q1543" s="5"/>
      <c r="R1543" s="5"/>
      <c r="S1543" s="5"/>
      <c r="T1543" s="5"/>
      <c r="U1543" s="5"/>
      <c r="V1543" s="5"/>
      <c r="W1543" s="5"/>
      <c r="X1543" s="5"/>
      <c r="Y1543" s="5"/>
      <c r="Z1543" s="5"/>
    </row>
    <row r="1544">
      <c r="A1544" s="17" t="s">
        <v>6136</v>
      </c>
      <c r="B1544" s="5" t="s">
        <v>1128</v>
      </c>
      <c r="C1544" s="7" t="s">
        <v>6137</v>
      </c>
      <c r="D1544" s="7" t="s">
        <v>2923</v>
      </c>
      <c r="E1544" s="8">
        <v>0.0</v>
      </c>
      <c r="F1544" s="7" t="s">
        <v>105</v>
      </c>
      <c r="G1544" s="5" t="s">
        <v>19</v>
      </c>
      <c r="H1544" s="7" t="s">
        <v>16</v>
      </c>
      <c r="I1544" s="7" t="s">
        <v>6138</v>
      </c>
      <c r="J1544" s="36" t="s">
        <v>1137</v>
      </c>
      <c r="K1544" s="7" t="s">
        <v>16</v>
      </c>
      <c r="L1544" s="7" t="s">
        <v>16</v>
      </c>
      <c r="M1544" s="5" t="s">
        <v>22</v>
      </c>
      <c r="N1544" s="5" t="s">
        <v>6139</v>
      </c>
      <c r="O1544" s="5"/>
      <c r="P1544" s="5"/>
      <c r="Q1544" s="5"/>
      <c r="R1544" s="5"/>
      <c r="S1544" s="5"/>
      <c r="T1544" s="5"/>
      <c r="U1544" s="5"/>
      <c r="V1544" s="5"/>
      <c r="W1544" s="5"/>
      <c r="X1544" s="5"/>
      <c r="Y1544" s="5"/>
      <c r="Z1544" s="5"/>
    </row>
    <row r="1545">
      <c r="A1545" s="6" t="s">
        <v>6140</v>
      </c>
      <c r="B1545" s="5" t="s">
        <v>1128</v>
      </c>
      <c r="C1545" s="7" t="s">
        <v>6141</v>
      </c>
      <c r="D1545" s="7" t="s">
        <v>2811</v>
      </c>
      <c r="E1545" s="8">
        <v>2.0</v>
      </c>
      <c r="F1545" s="7" t="s">
        <v>17</v>
      </c>
      <c r="G1545" s="5" t="s">
        <v>19</v>
      </c>
      <c r="H1545" s="7" t="s">
        <v>16</v>
      </c>
      <c r="I1545" s="7" t="s">
        <v>5824</v>
      </c>
      <c r="J1545" s="36" t="s">
        <v>1132</v>
      </c>
      <c r="K1545" s="8">
        <v>1.0</v>
      </c>
      <c r="L1545" s="7" t="s">
        <v>16</v>
      </c>
      <c r="M1545" s="5" t="s">
        <v>22</v>
      </c>
      <c r="N1545" s="5" t="s">
        <v>6142</v>
      </c>
      <c r="O1545" s="5"/>
      <c r="P1545" s="5"/>
      <c r="Q1545" s="5"/>
      <c r="R1545" s="5"/>
      <c r="S1545" s="5"/>
      <c r="T1545" s="5"/>
      <c r="U1545" s="5"/>
      <c r="V1545" s="5"/>
      <c r="W1545" s="5"/>
      <c r="X1545" s="5"/>
      <c r="Y1545" s="5"/>
      <c r="Z1545" s="5"/>
    </row>
    <row r="1546">
      <c r="A1546" s="6" t="s">
        <v>6143</v>
      </c>
      <c r="B1546" s="5" t="s">
        <v>1128</v>
      </c>
      <c r="C1546" s="7" t="s">
        <v>6144</v>
      </c>
      <c r="D1546" s="7" t="s">
        <v>2811</v>
      </c>
      <c r="E1546" s="8">
        <v>2.0</v>
      </c>
      <c r="F1546" s="7" t="s">
        <v>105</v>
      </c>
      <c r="G1546" s="5" t="s">
        <v>461</v>
      </c>
      <c r="H1546" s="7" t="s">
        <v>16</v>
      </c>
      <c r="I1546" s="7" t="s">
        <v>6145</v>
      </c>
      <c r="J1546" s="36" t="s">
        <v>1137</v>
      </c>
      <c r="K1546" s="8">
        <v>2.0</v>
      </c>
      <c r="L1546" s="7" t="s">
        <v>16</v>
      </c>
      <c r="M1546" s="5" t="s">
        <v>36</v>
      </c>
      <c r="N1546" s="5" t="s">
        <v>6146</v>
      </c>
      <c r="O1546" s="5"/>
      <c r="P1546" s="5"/>
      <c r="Q1546" s="5"/>
      <c r="R1546" s="5"/>
      <c r="S1546" s="5"/>
      <c r="T1546" s="5"/>
      <c r="U1546" s="5"/>
      <c r="V1546" s="5"/>
      <c r="W1546" s="5"/>
      <c r="X1546" s="5"/>
      <c r="Y1546" s="5"/>
      <c r="Z1546" s="5"/>
    </row>
    <row r="1547">
      <c r="A1547" s="6" t="s">
        <v>6147</v>
      </c>
      <c r="B1547" s="5" t="s">
        <v>1128</v>
      </c>
      <c r="C1547" s="7" t="s">
        <v>6148</v>
      </c>
      <c r="D1547" s="7" t="s">
        <v>2811</v>
      </c>
      <c r="E1547" s="8">
        <v>1.0</v>
      </c>
      <c r="F1547" s="7" t="s">
        <v>172</v>
      </c>
      <c r="G1547" s="5" t="s">
        <v>19</v>
      </c>
      <c r="H1547" s="7" t="s">
        <v>16</v>
      </c>
      <c r="I1547" s="7" t="s">
        <v>6149</v>
      </c>
      <c r="J1547" s="36" t="s">
        <v>1137</v>
      </c>
      <c r="K1547" s="7" t="s">
        <v>16</v>
      </c>
      <c r="L1547" s="7" t="s">
        <v>16</v>
      </c>
      <c r="M1547" s="5" t="s">
        <v>22</v>
      </c>
      <c r="N1547" s="5" t="s">
        <v>6150</v>
      </c>
      <c r="O1547" s="5"/>
      <c r="P1547" s="5"/>
      <c r="Q1547" s="5"/>
      <c r="R1547" s="5"/>
      <c r="S1547" s="5"/>
      <c r="T1547" s="5"/>
      <c r="U1547" s="5"/>
      <c r="V1547" s="5"/>
      <c r="W1547" s="5"/>
      <c r="X1547" s="5"/>
      <c r="Y1547" s="5"/>
      <c r="Z1547" s="5"/>
    </row>
    <row r="1548">
      <c r="A1548" s="6" t="s">
        <v>6151</v>
      </c>
      <c r="B1548" s="5" t="s">
        <v>1128</v>
      </c>
      <c r="C1548" s="7" t="s">
        <v>6152</v>
      </c>
      <c r="D1548" s="7" t="s">
        <v>2811</v>
      </c>
      <c r="E1548" s="8">
        <v>3.0</v>
      </c>
      <c r="F1548" s="7" t="s">
        <v>17</v>
      </c>
      <c r="G1548" s="5" t="s">
        <v>461</v>
      </c>
      <c r="H1548" s="7" t="s">
        <v>16</v>
      </c>
      <c r="I1548" s="7" t="s">
        <v>6153</v>
      </c>
      <c r="J1548" s="36" t="s">
        <v>1137</v>
      </c>
      <c r="K1548" s="8">
        <v>3.0</v>
      </c>
      <c r="L1548" s="7" t="s">
        <v>16</v>
      </c>
      <c r="M1548" s="5" t="s">
        <v>36</v>
      </c>
      <c r="N1548" s="5" t="s">
        <v>6154</v>
      </c>
      <c r="O1548" s="5"/>
      <c r="P1548" s="5"/>
      <c r="Q1548" s="5"/>
      <c r="R1548" s="5"/>
      <c r="S1548" s="5"/>
      <c r="T1548" s="5"/>
      <c r="U1548" s="5"/>
      <c r="V1548" s="5"/>
      <c r="W1548" s="5"/>
      <c r="X1548" s="5"/>
      <c r="Y1548" s="5"/>
      <c r="Z1548" s="5"/>
    </row>
    <row r="1549">
      <c r="A1549" s="6" t="s">
        <v>6155</v>
      </c>
      <c r="B1549" s="5" t="s">
        <v>1128</v>
      </c>
      <c r="C1549" s="7" t="s">
        <v>6156</v>
      </c>
      <c r="D1549" s="7" t="s">
        <v>2811</v>
      </c>
      <c r="E1549" s="8">
        <v>6.0</v>
      </c>
      <c r="F1549" s="7" t="s">
        <v>105</v>
      </c>
      <c r="G1549" s="5" t="s">
        <v>326</v>
      </c>
      <c r="H1549" s="7" t="s">
        <v>16</v>
      </c>
      <c r="I1549" s="7" t="s">
        <v>6157</v>
      </c>
      <c r="J1549" s="36" t="s">
        <v>1154</v>
      </c>
      <c r="K1549" s="8">
        <v>3.0</v>
      </c>
      <c r="L1549" s="7" t="s">
        <v>16</v>
      </c>
      <c r="M1549" s="5" t="s">
        <v>75</v>
      </c>
      <c r="N1549" s="5" t="s">
        <v>6158</v>
      </c>
      <c r="O1549" s="5"/>
      <c r="P1549" s="5"/>
      <c r="Q1549" s="5"/>
      <c r="R1549" s="5"/>
      <c r="S1549" s="5"/>
      <c r="T1549" s="5"/>
      <c r="U1549" s="5"/>
      <c r="V1549" s="5"/>
      <c r="W1549" s="5"/>
      <c r="X1549" s="5"/>
      <c r="Y1549" s="5"/>
      <c r="Z1549" s="5"/>
    </row>
    <row r="1550">
      <c r="A1550" s="6" t="s">
        <v>6159</v>
      </c>
      <c r="B1550" s="5" t="s">
        <v>1128</v>
      </c>
      <c r="C1550" s="7" t="s">
        <v>6160</v>
      </c>
      <c r="D1550" s="7" t="s">
        <v>2811</v>
      </c>
      <c r="E1550" s="8">
        <v>0.0</v>
      </c>
      <c r="F1550" s="7" t="s">
        <v>172</v>
      </c>
      <c r="G1550" s="5" t="s">
        <v>19</v>
      </c>
      <c r="H1550" s="7" t="s">
        <v>16</v>
      </c>
      <c r="I1550" s="7" t="s">
        <v>6161</v>
      </c>
      <c r="J1550" s="7" t="s">
        <v>1266</v>
      </c>
      <c r="K1550" s="7" t="s">
        <v>16</v>
      </c>
      <c r="L1550" s="7" t="s">
        <v>16</v>
      </c>
      <c r="M1550" s="5" t="s">
        <v>22</v>
      </c>
      <c r="N1550" s="5" t="s">
        <v>6162</v>
      </c>
      <c r="O1550" s="5"/>
      <c r="P1550" s="5"/>
      <c r="Q1550" s="5"/>
      <c r="R1550" s="5"/>
      <c r="S1550" s="5"/>
      <c r="T1550" s="5"/>
      <c r="U1550" s="5"/>
      <c r="V1550" s="5"/>
      <c r="W1550" s="5"/>
      <c r="X1550" s="5"/>
      <c r="Y1550" s="5"/>
      <c r="Z1550" s="5"/>
    </row>
    <row r="1551">
      <c r="A1551" s="6" t="s">
        <v>6163</v>
      </c>
      <c r="B1551" s="5" t="s">
        <v>1128</v>
      </c>
      <c r="C1551" s="7" t="s">
        <v>1129</v>
      </c>
      <c r="D1551" s="7" t="s">
        <v>1068</v>
      </c>
      <c r="E1551" s="8">
        <v>1.0</v>
      </c>
      <c r="F1551" s="7" t="s">
        <v>105</v>
      </c>
      <c r="G1551" s="5" t="s">
        <v>19</v>
      </c>
      <c r="H1551" s="7" t="s">
        <v>1130</v>
      </c>
      <c r="I1551" s="7" t="s">
        <v>1131</v>
      </c>
      <c r="J1551" s="36" t="s">
        <v>1132</v>
      </c>
      <c r="K1551" s="8">
        <v>1.0</v>
      </c>
      <c r="L1551" s="7" t="s">
        <v>16</v>
      </c>
      <c r="M1551" s="5" t="s">
        <v>22</v>
      </c>
      <c r="N1551" s="5" t="s">
        <v>6164</v>
      </c>
      <c r="O1551" s="5"/>
      <c r="P1551" s="5"/>
      <c r="Q1551" s="5"/>
      <c r="R1551" s="5"/>
      <c r="S1551" s="5"/>
      <c r="T1551" s="5"/>
      <c r="U1551" s="5"/>
      <c r="V1551" s="5"/>
      <c r="W1551" s="5"/>
      <c r="X1551" s="5"/>
      <c r="Y1551" s="5"/>
      <c r="Z1551" s="5"/>
    </row>
    <row r="1552">
      <c r="A1552" s="6" t="s">
        <v>6165</v>
      </c>
      <c r="B1552" s="5" t="s">
        <v>1128</v>
      </c>
      <c r="C1552" s="7" t="s">
        <v>1135</v>
      </c>
      <c r="D1552" s="7" t="s">
        <v>1068</v>
      </c>
      <c r="E1552" s="8">
        <v>1.0</v>
      </c>
      <c r="F1552" s="7" t="s">
        <v>172</v>
      </c>
      <c r="G1552" s="5" t="s">
        <v>19</v>
      </c>
      <c r="H1552" s="7" t="s">
        <v>1130</v>
      </c>
      <c r="I1552" s="7" t="s">
        <v>6166</v>
      </c>
      <c r="J1552" s="36" t="s">
        <v>1146</v>
      </c>
      <c r="K1552" s="7" t="s">
        <v>16</v>
      </c>
      <c r="L1552" s="7" t="s">
        <v>16</v>
      </c>
      <c r="M1552" s="5" t="s">
        <v>22</v>
      </c>
      <c r="N1552" s="5" t="s">
        <v>6167</v>
      </c>
      <c r="O1552" s="5"/>
      <c r="P1552" s="5"/>
      <c r="Q1552" s="5"/>
      <c r="R1552" s="5"/>
      <c r="S1552" s="5"/>
      <c r="T1552" s="5"/>
      <c r="U1552" s="5"/>
      <c r="V1552" s="5"/>
      <c r="W1552" s="5"/>
      <c r="X1552" s="5"/>
      <c r="Y1552" s="5"/>
      <c r="Z1552" s="5"/>
    </row>
    <row r="1553">
      <c r="A1553" s="6" t="s">
        <v>6168</v>
      </c>
      <c r="B1553" s="5" t="s">
        <v>1128</v>
      </c>
      <c r="C1553" s="7" t="s">
        <v>4673</v>
      </c>
      <c r="D1553" s="7" t="s">
        <v>1068</v>
      </c>
      <c r="E1553" s="8">
        <v>1.0</v>
      </c>
      <c r="F1553" s="7" t="s">
        <v>17</v>
      </c>
      <c r="G1553" s="5" t="s">
        <v>19</v>
      </c>
      <c r="H1553" s="7" t="s">
        <v>1130</v>
      </c>
      <c r="I1553" s="7" t="s">
        <v>6169</v>
      </c>
      <c r="J1553" s="36" t="s">
        <v>4861</v>
      </c>
      <c r="K1553" s="8">
        <v>1.0</v>
      </c>
      <c r="L1553" s="7" t="s">
        <v>16</v>
      </c>
      <c r="M1553" s="5" t="s">
        <v>22</v>
      </c>
      <c r="N1553" s="5" t="s">
        <v>6170</v>
      </c>
      <c r="O1553" s="5"/>
      <c r="P1553" s="5"/>
      <c r="Q1553" s="5"/>
      <c r="R1553" s="5"/>
      <c r="S1553" s="5"/>
      <c r="T1553" s="5"/>
      <c r="U1553" s="5"/>
      <c r="V1553" s="5"/>
      <c r="W1553" s="5"/>
      <c r="X1553" s="5"/>
      <c r="Y1553" s="5"/>
      <c r="Z1553" s="5"/>
    </row>
    <row r="1554">
      <c r="A1554" s="6" t="s">
        <v>6171</v>
      </c>
      <c r="B1554" s="5" t="s">
        <v>1128</v>
      </c>
      <c r="C1554" s="7" t="s">
        <v>1160</v>
      </c>
      <c r="D1554" s="7" t="s">
        <v>1068</v>
      </c>
      <c r="E1554" s="8">
        <v>8.0</v>
      </c>
      <c r="F1554" s="7" t="s">
        <v>105</v>
      </c>
      <c r="G1554" s="5" t="s">
        <v>326</v>
      </c>
      <c r="H1554" s="7" t="s">
        <v>1130</v>
      </c>
      <c r="I1554" s="7" t="s">
        <v>6172</v>
      </c>
      <c r="J1554" s="36" t="s">
        <v>4746</v>
      </c>
      <c r="K1554" s="8">
        <v>4.0</v>
      </c>
      <c r="L1554" s="7" t="s">
        <v>16</v>
      </c>
      <c r="M1554" s="5" t="s">
        <v>88</v>
      </c>
      <c r="N1554" s="5" t="s">
        <v>6173</v>
      </c>
      <c r="O1554" s="5"/>
      <c r="P1554" s="5"/>
      <c r="Q1554" s="5"/>
      <c r="R1554" s="5"/>
      <c r="S1554" s="5"/>
      <c r="T1554" s="5"/>
      <c r="U1554" s="5"/>
      <c r="V1554" s="5"/>
      <c r="W1554" s="5"/>
      <c r="X1554" s="5"/>
      <c r="Y1554" s="5"/>
      <c r="Z1554" s="5"/>
    </row>
    <row r="1555">
      <c r="A1555" s="6" t="s">
        <v>6174</v>
      </c>
      <c r="B1555" s="5" t="s">
        <v>1128</v>
      </c>
      <c r="C1555" s="7" t="s">
        <v>1253</v>
      </c>
      <c r="D1555" s="7" t="s">
        <v>1068</v>
      </c>
      <c r="E1555" s="8">
        <v>2.0</v>
      </c>
      <c r="F1555" s="7" t="s">
        <v>105</v>
      </c>
      <c r="G1555" s="5" t="s">
        <v>461</v>
      </c>
      <c r="H1555" s="7" t="s">
        <v>1130</v>
      </c>
      <c r="I1555" s="7" t="s">
        <v>1131</v>
      </c>
      <c r="J1555" s="36" t="s">
        <v>1137</v>
      </c>
      <c r="K1555" s="8">
        <v>2.0</v>
      </c>
      <c r="L1555" s="7" t="s">
        <v>16</v>
      </c>
      <c r="M1555" s="5" t="s">
        <v>36</v>
      </c>
      <c r="N1555" s="5" t="s">
        <v>6175</v>
      </c>
      <c r="O1555" s="5"/>
      <c r="P1555" s="5"/>
      <c r="Q1555" s="5"/>
      <c r="R1555" s="5"/>
      <c r="S1555" s="5"/>
      <c r="T1555" s="5"/>
      <c r="U1555" s="5"/>
      <c r="V1555" s="5"/>
      <c r="W1555" s="5"/>
      <c r="X1555" s="5"/>
      <c r="Y1555" s="5"/>
      <c r="Z1555" s="5"/>
    </row>
    <row r="1556">
      <c r="A1556" s="6" t="s">
        <v>6176</v>
      </c>
      <c r="B1556" s="5" t="s">
        <v>1128</v>
      </c>
      <c r="C1556" s="7" t="s">
        <v>1446</v>
      </c>
      <c r="D1556" s="7" t="s">
        <v>1068</v>
      </c>
      <c r="E1556" s="8">
        <v>3.0</v>
      </c>
      <c r="F1556" s="7" t="s">
        <v>105</v>
      </c>
      <c r="G1556" s="5" t="s">
        <v>461</v>
      </c>
      <c r="H1556" s="7" t="s">
        <v>1130</v>
      </c>
      <c r="I1556" s="7" t="s">
        <v>1131</v>
      </c>
      <c r="J1556" s="36" t="s">
        <v>1154</v>
      </c>
      <c r="K1556" s="8">
        <v>2.0</v>
      </c>
      <c r="L1556" s="7" t="s">
        <v>16</v>
      </c>
      <c r="M1556" s="5" t="s">
        <v>36</v>
      </c>
      <c r="N1556" s="5" t="s">
        <v>6177</v>
      </c>
      <c r="O1556" s="5"/>
      <c r="P1556" s="5"/>
      <c r="Q1556" s="5"/>
      <c r="R1556" s="5"/>
      <c r="S1556" s="5"/>
      <c r="T1556" s="5"/>
      <c r="U1556" s="5"/>
      <c r="V1556" s="5"/>
      <c r="W1556" s="5"/>
      <c r="X1556" s="5"/>
      <c r="Y1556" s="5"/>
      <c r="Z1556" s="5"/>
    </row>
    <row r="1557">
      <c r="A1557" s="6" t="s">
        <v>6178</v>
      </c>
      <c r="B1557" s="5" t="s">
        <v>1128</v>
      </c>
      <c r="C1557" s="7" t="s">
        <v>4476</v>
      </c>
      <c r="D1557" s="7" t="s">
        <v>1068</v>
      </c>
      <c r="E1557" s="8">
        <v>1.0</v>
      </c>
      <c r="F1557" s="7" t="s">
        <v>17</v>
      </c>
      <c r="G1557" s="5" t="s">
        <v>19</v>
      </c>
      <c r="H1557" s="7" t="s">
        <v>1130</v>
      </c>
      <c r="I1557" s="7" t="s">
        <v>6179</v>
      </c>
      <c r="J1557" s="7" t="s">
        <v>1266</v>
      </c>
      <c r="K1557" s="7" t="s">
        <v>16</v>
      </c>
      <c r="L1557" s="7" t="s">
        <v>16</v>
      </c>
      <c r="M1557" s="5" t="s">
        <v>22</v>
      </c>
      <c r="N1557" s="5" t="s">
        <v>6180</v>
      </c>
      <c r="O1557" s="5"/>
      <c r="P1557" s="5"/>
      <c r="Q1557" s="5"/>
      <c r="R1557" s="5"/>
      <c r="S1557" s="5"/>
      <c r="T1557" s="5"/>
      <c r="U1557" s="5"/>
      <c r="V1557" s="5"/>
      <c r="W1557" s="5"/>
      <c r="X1557" s="5"/>
      <c r="Y1557" s="5"/>
      <c r="Z1557" s="5"/>
    </row>
    <row r="1558">
      <c r="A1558" s="6" t="s">
        <v>6181</v>
      </c>
      <c r="B1558" s="5" t="s">
        <v>1128</v>
      </c>
      <c r="C1558" s="7" t="s">
        <v>1160</v>
      </c>
      <c r="D1558" s="7" t="s">
        <v>1068</v>
      </c>
      <c r="E1558" s="8">
        <v>6.0</v>
      </c>
      <c r="F1558" s="7" t="s">
        <v>105</v>
      </c>
      <c r="G1558" s="5" t="s">
        <v>326</v>
      </c>
      <c r="H1558" s="7" t="s">
        <v>1130</v>
      </c>
      <c r="I1558" s="7" t="s">
        <v>6182</v>
      </c>
      <c r="J1558" s="36" t="s">
        <v>1154</v>
      </c>
      <c r="K1558" s="8">
        <v>3.0</v>
      </c>
      <c r="L1558" s="7" t="s">
        <v>16</v>
      </c>
      <c r="M1558" s="5" t="s">
        <v>75</v>
      </c>
      <c r="N1558" s="5" t="s">
        <v>6183</v>
      </c>
      <c r="O1558" s="5"/>
      <c r="P1558" s="5"/>
      <c r="Q1558" s="5"/>
      <c r="R1558" s="5"/>
      <c r="S1558" s="5"/>
      <c r="T1558" s="5"/>
      <c r="U1558" s="5"/>
      <c r="V1558" s="5"/>
      <c r="W1558" s="5"/>
      <c r="X1558" s="5"/>
      <c r="Y1558" s="5"/>
      <c r="Z1558" s="5"/>
    </row>
    <row r="1559">
      <c r="A1559" s="6" t="s">
        <v>6184</v>
      </c>
      <c r="B1559" s="5" t="s">
        <v>1128</v>
      </c>
      <c r="C1559" s="7" t="s">
        <v>6185</v>
      </c>
      <c r="D1559" s="7" t="s">
        <v>85</v>
      </c>
      <c r="E1559" s="8">
        <v>0.0</v>
      </c>
      <c r="F1559" s="7" t="s">
        <v>17</v>
      </c>
      <c r="G1559" s="5" t="s">
        <v>19</v>
      </c>
      <c r="H1559" s="7" t="s">
        <v>16</v>
      </c>
      <c r="I1559" s="7" t="s">
        <v>6186</v>
      </c>
      <c r="J1559" s="7" t="s">
        <v>1266</v>
      </c>
      <c r="K1559" s="7" t="s">
        <v>16</v>
      </c>
      <c r="L1559" s="7" t="s">
        <v>16</v>
      </c>
      <c r="M1559" s="5" t="s">
        <v>75</v>
      </c>
      <c r="N1559" s="5" t="s">
        <v>5810</v>
      </c>
      <c r="O1559" s="5"/>
      <c r="P1559" s="5"/>
      <c r="Q1559" s="5"/>
      <c r="R1559" s="5"/>
      <c r="S1559" s="5"/>
      <c r="T1559" s="5"/>
      <c r="U1559" s="5"/>
      <c r="V1559" s="5"/>
      <c r="W1559" s="5"/>
      <c r="X1559" s="5"/>
      <c r="Y1559" s="5"/>
      <c r="Z1559" s="5"/>
    </row>
    <row r="1560">
      <c r="A1560" s="5" t="s">
        <v>6187</v>
      </c>
      <c r="B1560" s="5" t="s">
        <v>1128</v>
      </c>
      <c r="C1560" s="7" t="s">
        <v>6188</v>
      </c>
      <c r="D1560" s="7" t="s">
        <v>1068</v>
      </c>
      <c r="E1560" s="8">
        <v>1.0</v>
      </c>
      <c r="F1560" s="7" t="s">
        <v>172</v>
      </c>
      <c r="G1560" s="5" t="s">
        <v>461</v>
      </c>
      <c r="H1560" s="7" t="s">
        <v>1130</v>
      </c>
      <c r="I1560" s="7" t="s">
        <v>6189</v>
      </c>
      <c r="J1560" s="36" t="s">
        <v>1137</v>
      </c>
      <c r="K1560" s="8">
        <v>1.0</v>
      </c>
      <c r="L1560" s="7" t="s">
        <v>16</v>
      </c>
      <c r="M1560" s="5" t="s">
        <v>75</v>
      </c>
      <c r="N1560" s="5" t="s">
        <v>6190</v>
      </c>
      <c r="O1560" s="5"/>
      <c r="P1560" s="5"/>
      <c r="Q1560" s="5"/>
      <c r="R1560" s="5"/>
      <c r="S1560" s="5"/>
      <c r="T1560" s="5"/>
      <c r="U1560" s="5"/>
      <c r="V1560" s="5"/>
      <c r="W1560" s="5"/>
      <c r="X1560" s="5"/>
      <c r="Y1560" s="5"/>
      <c r="Z1560" s="5"/>
    </row>
    <row r="1561">
      <c r="A1561" s="5" t="s">
        <v>6191</v>
      </c>
      <c r="B1561" s="5" t="s">
        <v>1128</v>
      </c>
      <c r="C1561" s="7" t="s">
        <v>5801</v>
      </c>
      <c r="D1561" s="7" t="s">
        <v>1068</v>
      </c>
      <c r="E1561" s="8">
        <v>5.0</v>
      </c>
      <c r="F1561" s="7" t="s">
        <v>105</v>
      </c>
      <c r="G1561" s="5" t="s">
        <v>326</v>
      </c>
      <c r="H1561" s="7" t="s">
        <v>1130</v>
      </c>
      <c r="I1561" s="7" t="s">
        <v>6192</v>
      </c>
      <c r="J1561" s="36" t="s">
        <v>1146</v>
      </c>
      <c r="K1561" s="8">
        <v>2.0</v>
      </c>
      <c r="L1561" s="7" t="s">
        <v>16</v>
      </c>
      <c r="M1561" s="5" t="s">
        <v>88</v>
      </c>
      <c r="N1561" s="5" t="s">
        <v>6193</v>
      </c>
      <c r="O1561" s="5"/>
      <c r="P1561" s="5"/>
      <c r="Q1561" s="5"/>
      <c r="R1561" s="5"/>
      <c r="S1561" s="5"/>
      <c r="T1561" s="5"/>
      <c r="U1561" s="5"/>
      <c r="V1561" s="5"/>
      <c r="W1561" s="5"/>
      <c r="X1561" s="5"/>
      <c r="Y1561" s="5"/>
      <c r="Z1561" s="5"/>
    </row>
    <row r="1562">
      <c r="A1562" s="5" t="s">
        <v>6194</v>
      </c>
      <c r="B1562" s="5" t="s">
        <v>1128</v>
      </c>
      <c r="C1562" s="7" t="s">
        <v>4476</v>
      </c>
      <c r="D1562" s="7" t="s">
        <v>1068</v>
      </c>
      <c r="E1562" s="8">
        <v>1.0</v>
      </c>
      <c r="F1562" s="7" t="s">
        <v>17</v>
      </c>
      <c r="G1562" s="5" t="s">
        <v>461</v>
      </c>
      <c r="H1562" s="7" t="s">
        <v>1130</v>
      </c>
      <c r="I1562" s="7" t="s">
        <v>6195</v>
      </c>
      <c r="J1562" s="36" t="s">
        <v>1146</v>
      </c>
      <c r="K1562" s="7" t="s">
        <v>16</v>
      </c>
      <c r="L1562" s="7" t="s">
        <v>16</v>
      </c>
      <c r="M1562" s="5" t="s">
        <v>36</v>
      </c>
      <c r="N1562" s="5" t="s">
        <v>6196</v>
      </c>
      <c r="O1562" s="5"/>
      <c r="P1562" s="5"/>
      <c r="Q1562" s="5"/>
      <c r="R1562" s="5"/>
      <c r="S1562" s="5"/>
      <c r="T1562" s="5"/>
      <c r="U1562" s="5"/>
      <c r="V1562" s="5"/>
      <c r="W1562" s="5"/>
      <c r="X1562" s="5"/>
      <c r="Y1562" s="5"/>
      <c r="Z1562" s="5"/>
    </row>
    <row r="1563">
      <c r="A1563" s="5" t="s">
        <v>6197</v>
      </c>
      <c r="B1563" s="5" t="s">
        <v>1128</v>
      </c>
      <c r="C1563" s="7" t="s">
        <v>1244</v>
      </c>
      <c r="D1563" s="7" t="s">
        <v>406</v>
      </c>
      <c r="E1563" s="8">
        <v>1.0</v>
      </c>
      <c r="F1563" s="7" t="s">
        <v>17</v>
      </c>
      <c r="G1563" s="5" t="s">
        <v>19</v>
      </c>
      <c r="H1563" s="7" t="s">
        <v>16</v>
      </c>
      <c r="I1563" s="7" t="s">
        <v>6198</v>
      </c>
      <c r="J1563" s="7" t="s">
        <v>1266</v>
      </c>
      <c r="K1563" s="7" t="s">
        <v>16</v>
      </c>
      <c r="L1563" s="7" t="s">
        <v>16</v>
      </c>
      <c r="M1563" s="5" t="s">
        <v>22</v>
      </c>
      <c r="N1563" s="5" t="s">
        <v>6199</v>
      </c>
      <c r="O1563" s="5"/>
      <c r="P1563" s="5"/>
      <c r="Q1563" s="5"/>
      <c r="R1563" s="5"/>
      <c r="S1563" s="5"/>
      <c r="T1563" s="5"/>
      <c r="U1563" s="5"/>
      <c r="V1563" s="5"/>
      <c r="W1563" s="5"/>
      <c r="X1563" s="5"/>
      <c r="Y1563" s="5"/>
      <c r="Z1563" s="5"/>
    </row>
    <row r="1564">
      <c r="A1564" s="5" t="s">
        <v>6200</v>
      </c>
      <c r="B1564" s="5" t="s">
        <v>1128</v>
      </c>
      <c r="C1564" s="7" t="s">
        <v>4734</v>
      </c>
      <c r="D1564" s="7" t="s">
        <v>406</v>
      </c>
      <c r="E1564" s="8">
        <v>1.0</v>
      </c>
      <c r="F1564" s="7" t="s">
        <v>17</v>
      </c>
      <c r="G1564" s="5" t="s">
        <v>19</v>
      </c>
      <c r="H1564" s="7" t="s">
        <v>16</v>
      </c>
      <c r="I1564" s="7" t="s">
        <v>6201</v>
      </c>
      <c r="J1564" s="7" t="s">
        <v>1266</v>
      </c>
      <c r="K1564" s="7" t="s">
        <v>16</v>
      </c>
      <c r="L1564" s="7" t="s">
        <v>16</v>
      </c>
      <c r="M1564" s="5" t="s">
        <v>22</v>
      </c>
      <c r="N1564" s="5" t="s">
        <v>6202</v>
      </c>
      <c r="O1564" s="5"/>
      <c r="P1564" s="5"/>
      <c r="Q1564" s="5"/>
      <c r="R1564" s="5"/>
      <c r="S1564" s="5"/>
      <c r="T1564" s="5"/>
      <c r="U1564" s="5"/>
      <c r="V1564" s="5"/>
      <c r="W1564" s="5"/>
      <c r="X1564" s="5"/>
      <c r="Y1564" s="5"/>
      <c r="Z1564" s="5"/>
    </row>
    <row r="1565">
      <c r="A1565" s="5" t="s">
        <v>6203</v>
      </c>
      <c r="B1565" s="5" t="s">
        <v>1128</v>
      </c>
      <c r="C1565" s="7" t="s">
        <v>1247</v>
      </c>
      <c r="D1565" s="7" t="s">
        <v>406</v>
      </c>
      <c r="E1565" s="8">
        <v>1.0</v>
      </c>
      <c r="F1565" s="7" t="s">
        <v>17</v>
      </c>
      <c r="G1565" s="5" t="s">
        <v>19</v>
      </c>
      <c r="H1565" s="7" t="s">
        <v>16</v>
      </c>
      <c r="I1565" s="7" t="s">
        <v>6204</v>
      </c>
      <c r="J1565" s="7" t="s">
        <v>1266</v>
      </c>
      <c r="K1565" s="7" t="s">
        <v>16</v>
      </c>
      <c r="L1565" s="7" t="s">
        <v>16</v>
      </c>
      <c r="M1565" s="5" t="s">
        <v>36</v>
      </c>
      <c r="N1565" s="5" t="s">
        <v>6205</v>
      </c>
      <c r="O1565" s="5"/>
      <c r="P1565" s="5"/>
      <c r="Q1565" s="5"/>
      <c r="R1565" s="5"/>
      <c r="S1565" s="5"/>
      <c r="T1565" s="5"/>
      <c r="U1565" s="5"/>
      <c r="V1565" s="5"/>
      <c r="W1565" s="5"/>
      <c r="X1565" s="5"/>
      <c r="Y1565" s="5"/>
      <c r="Z1565" s="5"/>
    </row>
    <row r="1566">
      <c r="A1566" s="5" t="s">
        <v>6206</v>
      </c>
      <c r="B1566" s="5" t="s">
        <v>1128</v>
      </c>
      <c r="C1566" s="7" t="s">
        <v>6207</v>
      </c>
      <c r="D1566" s="7" t="s">
        <v>406</v>
      </c>
      <c r="E1566" s="8">
        <v>2.0</v>
      </c>
      <c r="F1566" s="7" t="s">
        <v>17</v>
      </c>
      <c r="G1566" s="5" t="s">
        <v>461</v>
      </c>
      <c r="H1566" s="7" t="s">
        <v>16</v>
      </c>
      <c r="I1566" s="7" t="s">
        <v>6208</v>
      </c>
      <c r="J1566" s="7" t="s">
        <v>1266</v>
      </c>
      <c r="K1566" s="7" t="s">
        <v>16</v>
      </c>
      <c r="L1566" s="7" t="s">
        <v>16</v>
      </c>
      <c r="M1566" s="5" t="s">
        <v>75</v>
      </c>
      <c r="N1566" s="5" t="s">
        <v>6209</v>
      </c>
      <c r="O1566" s="5"/>
      <c r="P1566" s="5"/>
      <c r="Q1566" s="5"/>
      <c r="R1566" s="5"/>
      <c r="S1566" s="5"/>
      <c r="T1566" s="5"/>
      <c r="U1566" s="5"/>
      <c r="V1566" s="5"/>
      <c r="W1566" s="5"/>
      <c r="X1566" s="5"/>
      <c r="Y1566" s="5"/>
      <c r="Z1566" s="5"/>
    </row>
    <row r="1567">
      <c r="A1567" s="5" t="s">
        <v>6210</v>
      </c>
      <c r="B1567" s="5" t="s">
        <v>1128</v>
      </c>
      <c r="C1567" s="7" t="s">
        <v>6211</v>
      </c>
      <c r="D1567" s="7" t="s">
        <v>406</v>
      </c>
      <c r="E1567" s="8">
        <v>0.0</v>
      </c>
      <c r="F1567" s="7" t="s">
        <v>105</v>
      </c>
      <c r="G1567" s="5" t="s">
        <v>19</v>
      </c>
      <c r="H1567" s="7" t="s">
        <v>16</v>
      </c>
      <c r="I1567" s="7" t="s">
        <v>6212</v>
      </c>
      <c r="J1567" s="36" t="s">
        <v>4861</v>
      </c>
      <c r="K1567" s="7" t="s">
        <v>16</v>
      </c>
      <c r="L1567" s="7" t="s">
        <v>16</v>
      </c>
      <c r="M1567" s="5" t="s">
        <v>75</v>
      </c>
      <c r="N1567" s="5" t="s">
        <v>6213</v>
      </c>
      <c r="O1567" s="5"/>
      <c r="P1567" s="5"/>
      <c r="Q1567" s="5"/>
      <c r="R1567" s="5"/>
      <c r="S1567" s="5"/>
      <c r="T1567" s="5"/>
      <c r="U1567" s="5"/>
      <c r="V1567" s="5"/>
      <c r="W1567" s="5"/>
      <c r="X1567" s="5"/>
      <c r="Y1567" s="5"/>
      <c r="Z1567" s="5"/>
    </row>
    <row r="1568">
      <c r="A1568" s="5" t="s">
        <v>6214</v>
      </c>
      <c r="B1568" s="5" t="s">
        <v>1128</v>
      </c>
      <c r="C1568" s="7" t="s">
        <v>6215</v>
      </c>
      <c r="D1568" s="7" t="s">
        <v>406</v>
      </c>
      <c r="E1568" s="8">
        <v>0.0</v>
      </c>
      <c r="F1568" s="7" t="s">
        <v>172</v>
      </c>
      <c r="G1568" s="5" t="s">
        <v>326</v>
      </c>
      <c r="H1568" s="7" t="s">
        <v>16</v>
      </c>
      <c r="I1568" s="7" t="s">
        <v>6216</v>
      </c>
      <c r="J1568" s="7" t="s">
        <v>1266</v>
      </c>
      <c r="K1568" s="7" t="s">
        <v>16</v>
      </c>
      <c r="L1568" s="7" t="s">
        <v>16</v>
      </c>
      <c r="M1568" s="5" t="s">
        <v>75</v>
      </c>
      <c r="N1568" s="5" t="s">
        <v>6217</v>
      </c>
      <c r="O1568" s="5"/>
      <c r="P1568" s="5"/>
      <c r="Q1568" s="5"/>
      <c r="R1568" s="5"/>
      <c r="S1568" s="5"/>
      <c r="T1568" s="5"/>
      <c r="U1568" s="5"/>
      <c r="V1568" s="5"/>
      <c r="W1568" s="5"/>
      <c r="X1568" s="5"/>
      <c r="Y1568" s="5"/>
      <c r="Z1568" s="5"/>
    </row>
    <row r="1569">
      <c r="A1569" s="5" t="s">
        <v>6218</v>
      </c>
      <c r="B1569" s="5" t="s">
        <v>1128</v>
      </c>
      <c r="C1569" s="7" t="s">
        <v>5014</v>
      </c>
      <c r="D1569" s="7" t="s">
        <v>411</v>
      </c>
      <c r="E1569" s="8">
        <v>1.0</v>
      </c>
      <c r="F1569" s="7" t="s">
        <v>17</v>
      </c>
      <c r="G1569" s="5" t="s">
        <v>461</v>
      </c>
      <c r="H1569" s="7" t="s">
        <v>16</v>
      </c>
      <c r="I1569" s="7" t="s">
        <v>6219</v>
      </c>
      <c r="J1569" s="7" t="s">
        <v>1266</v>
      </c>
      <c r="K1569" s="7" t="s">
        <v>16</v>
      </c>
      <c r="L1569" s="7" t="s">
        <v>16</v>
      </c>
      <c r="M1569" s="5" t="s">
        <v>36</v>
      </c>
      <c r="N1569" s="5" t="s">
        <v>6220</v>
      </c>
      <c r="O1569" s="5"/>
      <c r="P1569" s="5"/>
      <c r="Q1569" s="5"/>
      <c r="R1569" s="5"/>
      <c r="S1569" s="5"/>
      <c r="T1569" s="5"/>
      <c r="U1569" s="5"/>
      <c r="V1569" s="5"/>
      <c r="W1569" s="5"/>
      <c r="X1569" s="5"/>
      <c r="Y1569" s="5"/>
      <c r="Z1569" s="5"/>
    </row>
    <row r="1570">
      <c r="A1570" s="5" t="s">
        <v>6221</v>
      </c>
      <c r="B1570" s="5" t="s">
        <v>1128</v>
      </c>
      <c r="C1570" s="7" t="s">
        <v>6072</v>
      </c>
      <c r="D1570" s="7" t="s">
        <v>411</v>
      </c>
      <c r="E1570" s="8">
        <v>4.0</v>
      </c>
      <c r="F1570" s="7" t="s">
        <v>17</v>
      </c>
      <c r="G1570" s="5" t="s">
        <v>326</v>
      </c>
      <c r="H1570" s="7" t="s">
        <v>16</v>
      </c>
      <c r="I1570" s="7" t="s">
        <v>6222</v>
      </c>
      <c r="J1570" s="36" t="s">
        <v>1146</v>
      </c>
      <c r="K1570" s="8">
        <v>2.0</v>
      </c>
      <c r="L1570" s="7" t="s">
        <v>16</v>
      </c>
      <c r="M1570" s="5" t="s">
        <v>75</v>
      </c>
      <c r="N1570" s="5" t="s">
        <v>6223</v>
      </c>
      <c r="O1570" s="5"/>
      <c r="P1570" s="5"/>
      <c r="Q1570" s="5"/>
      <c r="R1570" s="5"/>
      <c r="S1570" s="5"/>
      <c r="T1570" s="5"/>
      <c r="U1570" s="5"/>
      <c r="V1570" s="5"/>
      <c r="W1570" s="5"/>
      <c r="X1570" s="5"/>
      <c r="Y1570" s="5"/>
      <c r="Z1570" s="5"/>
    </row>
    <row r="1571">
      <c r="A1571" s="5" t="s">
        <v>6224</v>
      </c>
      <c r="B1571" s="5" t="s">
        <v>1128</v>
      </c>
      <c r="C1571" s="7" t="s">
        <v>6225</v>
      </c>
      <c r="D1571" s="7" t="s">
        <v>1203</v>
      </c>
      <c r="E1571" s="8">
        <v>1.0</v>
      </c>
      <c r="F1571" s="7" t="s">
        <v>17</v>
      </c>
      <c r="G1571" s="5" t="s">
        <v>19</v>
      </c>
      <c r="H1571" s="7" t="s">
        <v>16</v>
      </c>
      <c r="I1571" s="7" t="s">
        <v>1131</v>
      </c>
      <c r="J1571" s="36" t="s">
        <v>1137</v>
      </c>
      <c r="K1571" s="8">
        <v>2.0</v>
      </c>
      <c r="L1571" s="7" t="s">
        <v>16</v>
      </c>
      <c r="M1571" s="5" t="s">
        <v>36</v>
      </c>
      <c r="N1571" s="5" t="s">
        <v>6226</v>
      </c>
      <c r="O1571" s="5"/>
      <c r="P1571" s="5"/>
      <c r="Q1571" s="5"/>
      <c r="R1571" s="5"/>
      <c r="S1571" s="5"/>
      <c r="T1571" s="5"/>
      <c r="U1571" s="5"/>
      <c r="V1571" s="5"/>
      <c r="W1571" s="5"/>
      <c r="X1571" s="5"/>
      <c r="Y1571" s="5"/>
      <c r="Z1571" s="5"/>
    </row>
    <row r="1572">
      <c r="A1572" s="5" t="s">
        <v>6227</v>
      </c>
      <c r="B1572" s="5" t="s">
        <v>1128</v>
      </c>
      <c r="C1572" s="7" t="s">
        <v>5130</v>
      </c>
      <c r="D1572" s="7" t="s">
        <v>1203</v>
      </c>
      <c r="E1572" s="8">
        <v>7.0</v>
      </c>
      <c r="F1572" s="7" t="s">
        <v>105</v>
      </c>
      <c r="G1572" s="5" t="s">
        <v>326</v>
      </c>
      <c r="H1572" s="7" t="s">
        <v>16</v>
      </c>
      <c r="I1572" s="7" t="s">
        <v>6228</v>
      </c>
      <c r="J1572" s="36" t="s">
        <v>1161</v>
      </c>
      <c r="K1572" s="8">
        <v>4.0</v>
      </c>
      <c r="L1572" s="7" t="s">
        <v>16</v>
      </c>
      <c r="M1572" s="5" t="s">
        <v>88</v>
      </c>
      <c r="N1572" s="5" t="s">
        <v>6229</v>
      </c>
      <c r="O1572" s="5"/>
      <c r="P1572" s="5"/>
      <c r="Q1572" s="5"/>
      <c r="R1572" s="5"/>
      <c r="S1572" s="5"/>
      <c r="T1572" s="5"/>
      <c r="U1572" s="5"/>
      <c r="V1572" s="5"/>
      <c r="W1572" s="5"/>
      <c r="X1572" s="5"/>
      <c r="Y1572" s="5"/>
      <c r="Z1572" s="5"/>
    </row>
    <row r="1573">
      <c r="A1573" s="5" t="s">
        <v>6230</v>
      </c>
      <c r="B1573" s="5" t="s">
        <v>1128</v>
      </c>
      <c r="C1573" s="7" t="s">
        <v>6231</v>
      </c>
      <c r="D1573" s="45" t="s">
        <v>6232</v>
      </c>
      <c r="E1573" s="8">
        <v>0.0</v>
      </c>
      <c r="F1573" s="7" t="s">
        <v>172</v>
      </c>
      <c r="G1573" s="5" t="s">
        <v>19</v>
      </c>
      <c r="H1573" s="7" t="s">
        <v>16</v>
      </c>
      <c r="I1573" s="13" t="s">
        <v>6233</v>
      </c>
      <c r="J1573" s="7" t="s">
        <v>16</v>
      </c>
      <c r="K1573" s="7" t="s">
        <v>16</v>
      </c>
      <c r="L1573" s="7" t="s">
        <v>16</v>
      </c>
      <c r="M1573" s="5" t="s">
        <v>36</v>
      </c>
      <c r="N1573" s="5" t="s">
        <v>6234</v>
      </c>
      <c r="O1573" s="5"/>
      <c r="P1573" s="5"/>
      <c r="Q1573" s="5"/>
      <c r="R1573" s="5"/>
      <c r="S1573" s="5"/>
      <c r="T1573" s="5"/>
      <c r="U1573" s="5"/>
      <c r="V1573" s="5"/>
      <c r="W1573" s="5"/>
      <c r="X1573" s="5"/>
      <c r="Y1573" s="5"/>
      <c r="Z1573" s="5"/>
    </row>
    <row r="1574">
      <c r="A1574" s="5" t="s">
        <v>6235</v>
      </c>
      <c r="B1574" s="5" t="s">
        <v>1128</v>
      </c>
      <c r="C1574" s="7" t="s">
        <v>5026</v>
      </c>
      <c r="D1574" s="7" t="s">
        <v>1748</v>
      </c>
      <c r="E1574" s="8">
        <v>1.0</v>
      </c>
      <c r="F1574" s="7" t="s">
        <v>17</v>
      </c>
      <c r="G1574" s="5" t="s">
        <v>19</v>
      </c>
      <c r="H1574" s="7" t="s">
        <v>16</v>
      </c>
      <c r="I1574" s="7" t="s">
        <v>6236</v>
      </c>
      <c r="J1574" s="7" t="s">
        <v>1266</v>
      </c>
      <c r="K1574" s="7" t="s">
        <v>16</v>
      </c>
      <c r="L1574" s="7" t="s">
        <v>16</v>
      </c>
      <c r="M1574" s="5" t="s">
        <v>22</v>
      </c>
      <c r="N1574" s="5" t="s">
        <v>6237</v>
      </c>
      <c r="O1574" s="5"/>
      <c r="P1574" s="5"/>
      <c r="Q1574" s="5"/>
      <c r="R1574" s="5"/>
      <c r="S1574" s="5"/>
      <c r="T1574" s="5"/>
      <c r="U1574" s="5"/>
      <c r="V1574" s="5"/>
      <c r="W1574" s="5"/>
      <c r="X1574" s="5"/>
      <c r="Y1574" s="5"/>
      <c r="Z1574" s="5"/>
    </row>
    <row r="1575">
      <c r="A1575" s="5" t="s">
        <v>6238</v>
      </c>
      <c r="B1575" s="5" t="s">
        <v>1128</v>
      </c>
      <c r="C1575" s="7" t="s">
        <v>5232</v>
      </c>
      <c r="D1575" s="7" t="s">
        <v>1748</v>
      </c>
      <c r="E1575" s="8">
        <v>2.0</v>
      </c>
      <c r="F1575" s="7" t="s">
        <v>105</v>
      </c>
      <c r="G1575" s="5" t="s">
        <v>19</v>
      </c>
      <c r="H1575" s="7" t="s">
        <v>16</v>
      </c>
      <c r="I1575" s="7" t="s">
        <v>6239</v>
      </c>
      <c r="J1575" s="36" t="s">
        <v>1261</v>
      </c>
      <c r="K1575" s="8">
        <v>2.0</v>
      </c>
      <c r="L1575" s="7" t="s">
        <v>16</v>
      </c>
      <c r="M1575" s="5" t="s">
        <v>22</v>
      </c>
      <c r="N1575" s="5" t="s">
        <v>6240</v>
      </c>
      <c r="O1575" s="5"/>
      <c r="P1575" s="5"/>
      <c r="Q1575" s="5"/>
      <c r="R1575" s="5"/>
      <c r="S1575" s="5"/>
      <c r="T1575" s="5"/>
      <c r="U1575" s="5"/>
      <c r="V1575" s="5"/>
      <c r="W1575" s="5"/>
      <c r="X1575" s="5"/>
      <c r="Y1575" s="5"/>
      <c r="Z1575" s="5"/>
    </row>
    <row r="1576">
      <c r="A1576" s="5" t="s">
        <v>6241</v>
      </c>
      <c r="B1576" s="5" t="s">
        <v>1128</v>
      </c>
      <c r="C1576" s="7" t="s">
        <v>5029</v>
      </c>
      <c r="D1576" s="7" t="s">
        <v>1748</v>
      </c>
      <c r="E1576" s="8">
        <v>2.0</v>
      </c>
      <c r="F1576" s="7" t="s">
        <v>17</v>
      </c>
      <c r="G1576" s="5" t="s">
        <v>19</v>
      </c>
      <c r="H1576" s="7" t="s">
        <v>16</v>
      </c>
      <c r="I1576" s="7" t="s">
        <v>6242</v>
      </c>
      <c r="J1576" s="36" t="s">
        <v>1132</v>
      </c>
      <c r="K1576" s="8">
        <v>2.0</v>
      </c>
      <c r="L1576" s="7" t="s">
        <v>16</v>
      </c>
      <c r="M1576" s="5" t="s">
        <v>36</v>
      </c>
      <c r="N1576" s="5" t="s">
        <v>6243</v>
      </c>
      <c r="O1576" s="5"/>
      <c r="P1576" s="5"/>
      <c r="Q1576" s="5"/>
      <c r="R1576" s="5"/>
      <c r="S1576" s="5"/>
      <c r="T1576" s="5"/>
      <c r="U1576" s="5"/>
      <c r="V1576" s="5"/>
      <c r="W1576" s="5"/>
      <c r="X1576" s="5"/>
      <c r="Y1576" s="5"/>
      <c r="Z1576" s="5"/>
    </row>
    <row r="1577">
      <c r="A1577" s="5" t="s">
        <v>6244</v>
      </c>
      <c r="B1577" s="7" t="s">
        <v>1128</v>
      </c>
      <c r="C1577" s="7" t="s">
        <v>5034</v>
      </c>
      <c r="D1577" s="7" t="s">
        <v>1748</v>
      </c>
      <c r="E1577" s="8">
        <v>3.0</v>
      </c>
      <c r="F1577" s="7" t="s">
        <v>105</v>
      </c>
      <c r="G1577" s="5" t="s">
        <v>461</v>
      </c>
      <c r="H1577" s="7" t="s">
        <v>16</v>
      </c>
      <c r="I1577" s="7" t="s">
        <v>6245</v>
      </c>
      <c r="J1577" s="36" t="s">
        <v>1132</v>
      </c>
      <c r="K1577" s="8">
        <v>3.0</v>
      </c>
      <c r="L1577" s="7" t="s">
        <v>16</v>
      </c>
      <c r="M1577" s="5" t="s">
        <v>88</v>
      </c>
      <c r="N1577" s="5" t="s">
        <v>6246</v>
      </c>
      <c r="O1577" s="5"/>
      <c r="P1577" s="5"/>
      <c r="Q1577" s="5"/>
      <c r="R1577" s="5"/>
      <c r="S1577" s="5"/>
      <c r="T1577" s="5"/>
      <c r="U1577" s="5"/>
      <c r="V1577" s="5"/>
      <c r="W1577" s="5"/>
      <c r="X1577" s="5"/>
      <c r="Y1577" s="5"/>
      <c r="Z1577" s="5"/>
    </row>
    <row r="1578">
      <c r="A1578" s="5" t="s">
        <v>6247</v>
      </c>
      <c r="B1578" s="7" t="s">
        <v>1128</v>
      </c>
      <c r="C1578" s="7" t="s">
        <v>5040</v>
      </c>
      <c r="D1578" s="7" t="s">
        <v>1748</v>
      </c>
      <c r="E1578" s="8">
        <v>2.0</v>
      </c>
      <c r="F1578" s="7" t="s">
        <v>172</v>
      </c>
      <c r="G1578" s="5" t="s">
        <v>19</v>
      </c>
      <c r="H1578" s="7" t="s">
        <v>16</v>
      </c>
      <c r="I1578" s="7" t="s">
        <v>6248</v>
      </c>
      <c r="J1578" s="7" t="s">
        <v>1266</v>
      </c>
      <c r="K1578" s="7" t="s">
        <v>16</v>
      </c>
      <c r="L1578" s="7" t="s">
        <v>16</v>
      </c>
      <c r="M1578" s="5" t="s">
        <v>36</v>
      </c>
      <c r="N1578" s="5" t="s">
        <v>6249</v>
      </c>
      <c r="O1578" s="5"/>
      <c r="P1578" s="5"/>
      <c r="Q1578" s="5"/>
      <c r="R1578" s="5"/>
      <c r="S1578" s="5"/>
      <c r="T1578" s="5"/>
      <c r="U1578" s="5"/>
      <c r="V1578" s="5"/>
      <c r="W1578" s="5"/>
      <c r="X1578" s="5"/>
      <c r="Y1578" s="5"/>
      <c r="Z1578" s="5"/>
    </row>
    <row r="1579">
      <c r="A1579" s="5" t="s">
        <v>6250</v>
      </c>
      <c r="B1579" s="7" t="s">
        <v>1128</v>
      </c>
      <c r="C1579" s="7" t="s">
        <v>5506</v>
      </c>
      <c r="D1579" s="7" t="s">
        <v>2162</v>
      </c>
      <c r="E1579" s="8">
        <v>6.0</v>
      </c>
      <c r="F1579" s="7" t="s">
        <v>17</v>
      </c>
      <c r="G1579" s="5" t="s">
        <v>326</v>
      </c>
      <c r="H1579" s="7" t="s">
        <v>16</v>
      </c>
      <c r="I1579" s="7" t="s">
        <v>6251</v>
      </c>
      <c r="J1579" s="36" t="s">
        <v>1154</v>
      </c>
      <c r="K1579" s="8">
        <v>3.0</v>
      </c>
      <c r="L1579" s="7" t="s">
        <v>16</v>
      </c>
      <c r="M1579" s="5" t="s">
        <v>75</v>
      </c>
      <c r="N1579" s="5" t="s">
        <v>6252</v>
      </c>
      <c r="O1579" s="5"/>
      <c r="P1579" s="5"/>
      <c r="Q1579" s="5"/>
      <c r="R1579" s="5"/>
      <c r="S1579" s="5"/>
      <c r="T1579" s="5"/>
      <c r="U1579" s="5"/>
      <c r="V1579" s="5"/>
      <c r="W1579" s="5"/>
      <c r="X1579" s="5"/>
      <c r="Y1579" s="5"/>
      <c r="Z1579" s="5"/>
    </row>
    <row r="1580">
      <c r="A1580" s="7" t="s">
        <v>6253</v>
      </c>
      <c r="B1580" s="7" t="s">
        <v>1128</v>
      </c>
      <c r="C1580" s="7" t="s">
        <v>5530</v>
      </c>
      <c r="D1580" s="7" t="s">
        <v>2167</v>
      </c>
      <c r="E1580" s="8">
        <v>4.0</v>
      </c>
      <c r="F1580" s="7" t="s">
        <v>17</v>
      </c>
      <c r="G1580" s="5" t="s">
        <v>326</v>
      </c>
      <c r="H1580" s="7" t="s">
        <v>16</v>
      </c>
      <c r="I1580" s="7" t="s">
        <v>6254</v>
      </c>
      <c r="J1580" s="36" t="s">
        <v>4746</v>
      </c>
      <c r="K1580" s="8">
        <v>4.0</v>
      </c>
      <c r="L1580" s="7" t="s">
        <v>16</v>
      </c>
      <c r="M1580" s="5" t="s">
        <v>75</v>
      </c>
      <c r="N1580" s="5" t="s">
        <v>6255</v>
      </c>
      <c r="O1580" s="5"/>
      <c r="P1580" s="5"/>
      <c r="Q1580" s="5"/>
      <c r="R1580" s="5"/>
      <c r="S1580" s="5"/>
      <c r="T1580" s="5"/>
      <c r="U1580" s="5"/>
      <c r="V1580" s="5"/>
      <c r="W1580" s="5"/>
      <c r="X1580" s="5"/>
      <c r="Y1580" s="5"/>
      <c r="Z1580" s="5"/>
    </row>
    <row r="1581">
      <c r="A1581" s="7" t="s">
        <v>6256</v>
      </c>
      <c r="B1581" s="7" t="s">
        <v>1128</v>
      </c>
      <c r="C1581" s="7" t="s">
        <v>5697</v>
      </c>
      <c r="D1581" s="7" t="s">
        <v>2172</v>
      </c>
      <c r="E1581" s="8">
        <v>1.0</v>
      </c>
      <c r="F1581" s="7" t="s">
        <v>105</v>
      </c>
      <c r="G1581" s="5" t="s">
        <v>326</v>
      </c>
      <c r="H1581" s="7" t="s">
        <v>16</v>
      </c>
      <c r="I1581" s="7" t="s">
        <v>6257</v>
      </c>
      <c r="J1581" s="36" t="s">
        <v>1137</v>
      </c>
      <c r="K1581" s="8">
        <v>1.0</v>
      </c>
      <c r="L1581" s="7" t="s">
        <v>16</v>
      </c>
      <c r="M1581" s="5" t="s">
        <v>75</v>
      </c>
      <c r="N1581" s="5" t="s">
        <v>6258</v>
      </c>
      <c r="O1581" s="5"/>
      <c r="P1581" s="5"/>
      <c r="Q1581" s="5"/>
      <c r="R1581" s="5"/>
      <c r="S1581" s="5"/>
      <c r="T1581" s="5"/>
      <c r="U1581" s="5"/>
      <c r="V1581" s="5"/>
      <c r="W1581" s="5"/>
      <c r="X1581" s="5"/>
      <c r="Y1581" s="5"/>
      <c r="Z1581" s="5"/>
    </row>
    <row r="1582">
      <c r="A1582" s="5" t="s">
        <v>6259</v>
      </c>
      <c r="B1582" s="7" t="s">
        <v>1128</v>
      </c>
      <c r="C1582" s="7" t="s">
        <v>5735</v>
      </c>
      <c r="D1582" s="7" t="s">
        <v>2177</v>
      </c>
      <c r="E1582" s="8">
        <v>1.0</v>
      </c>
      <c r="F1582" s="7" t="s">
        <v>17</v>
      </c>
      <c r="G1582" s="5" t="s">
        <v>326</v>
      </c>
      <c r="H1582" s="7" t="s">
        <v>16</v>
      </c>
      <c r="I1582" s="7" t="s">
        <v>6260</v>
      </c>
      <c r="J1582" s="7" t="s">
        <v>1266</v>
      </c>
      <c r="K1582" s="7" t="s">
        <v>16</v>
      </c>
      <c r="L1582" s="7" t="s">
        <v>16</v>
      </c>
      <c r="M1582" s="5" t="s">
        <v>75</v>
      </c>
      <c r="N1582" s="5" t="s">
        <v>6261</v>
      </c>
      <c r="O1582" s="5"/>
      <c r="P1582" s="5"/>
      <c r="Q1582" s="5"/>
      <c r="R1582" s="5"/>
      <c r="S1582" s="5"/>
      <c r="T1582" s="5"/>
      <c r="U1582" s="5"/>
      <c r="V1582" s="5"/>
      <c r="W1582" s="5"/>
      <c r="X1582" s="5"/>
      <c r="Y1582" s="5"/>
      <c r="Z1582" s="5"/>
    </row>
    <row r="1583">
      <c r="A1583" s="5" t="s">
        <v>6262</v>
      </c>
      <c r="B1583" s="7" t="s">
        <v>1128</v>
      </c>
      <c r="C1583" s="7" t="s">
        <v>6263</v>
      </c>
      <c r="D1583" s="7" t="s">
        <v>3074</v>
      </c>
      <c r="E1583" s="8">
        <v>1.0</v>
      </c>
      <c r="F1583" s="7" t="s">
        <v>105</v>
      </c>
      <c r="G1583" s="5" t="s">
        <v>19</v>
      </c>
      <c r="H1583" s="7" t="s">
        <v>16</v>
      </c>
      <c r="I1583" s="7" t="s">
        <v>6264</v>
      </c>
      <c r="J1583" s="36" t="s">
        <v>1132</v>
      </c>
      <c r="K1583" s="8">
        <v>1.0</v>
      </c>
      <c r="L1583" s="7" t="s">
        <v>16</v>
      </c>
      <c r="M1583" s="5" t="s">
        <v>22</v>
      </c>
      <c r="N1583" s="5" t="s">
        <v>6265</v>
      </c>
      <c r="O1583" s="5"/>
      <c r="P1583" s="5"/>
      <c r="Q1583" s="5"/>
      <c r="R1583" s="5"/>
      <c r="S1583" s="5"/>
      <c r="T1583" s="5"/>
      <c r="U1583" s="5"/>
      <c r="V1583" s="5"/>
      <c r="W1583" s="5"/>
      <c r="X1583" s="5"/>
      <c r="Y1583" s="5"/>
      <c r="Z1583" s="5"/>
    </row>
    <row r="1584">
      <c r="A1584" s="5" t="s">
        <v>6266</v>
      </c>
      <c r="B1584" s="7" t="s">
        <v>1128</v>
      </c>
      <c r="C1584" s="7" t="s">
        <v>6267</v>
      </c>
      <c r="D1584" s="7" t="s">
        <v>3074</v>
      </c>
      <c r="E1584" s="8">
        <v>2.0</v>
      </c>
      <c r="F1584" s="7" t="s">
        <v>172</v>
      </c>
      <c r="G1584" s="5" t="s">
        <v>19</v>
      </c>
      <c r="H1584" s="7" t="s">
        <v>16</v>
      </c>
      <c r="I1584" s="7" t="s">
        <v>1153</v>
      </c>
      <c r="J1584" s="36" t="s">
        <v>4746</v>
      </c>
      <c r="K1584" s="7" t="s">
        <v>16</v>
      </c>
      <c r="L1584" s="7" t="s">
        <v>16</v>
      </c>
      <c r="M1584" s="5" t="s">
        <v>36</v>
      </c>
      <c r="N1584" s="5" t="s">
        <v>6268</v>
      </c>
      <c r="O1584" s="5"/>
      <c r="P1584" s="5"/>
      <c r="Q1584" s="5"/>
      <c r="R1584" s="5"/>
      <c r="S1584" s="5"/>
      <c r="T1584" s="5"/>
      <c r="U1584" s="5"/>
      <c r="V1584" s="5"/>
      <c r="W1584" s="5"/>
      <c r="X1584" s="5"/>
      <c r="Y1584" s="5"/>
      <c r="Z1584" s="5"/>
    </row>
    <row r="1585">
      <c r="A1585" s="5" t="s">
        <v>6269</v>
      </c>
      <c r="B1585" s="7" t="s">
        <v>1128</v>
      </c>
      <c r="C1585" s="7" t="s">
        <v>6270</v>
      </c>
      <c r="D1585" s="7" t="s">
        <v>3074</v>
      </c>
      <c r="E1585" s="8">
        <v>2.0</v>
      </c>
      <c r="F1585" s="7" t="s">
        <v>105</v>
      </c>
      <c r="G1585" s="5" t="s">
        <v>19</v>
      </c>
      <c r="H1585" s="7" t="s">
        <v>16</v>
      </c>
      <c r="I1585" s="7" t="s">
        <v>6271</v>
      </c>
      <c r="J1585" s="36" t="s">
        <v>1137</v>
      </c>
      <c r="K1585" s="8">
        <v>2.0</v>
      </c>
      <c r="L1585" s="7" t="s">
        <v>16</v>
      </c>
      <c r="M1585" s="5" t="s">
        <v>36</v>
      </c>
      <c r="N1585" s="5" t="s">
        <v>6272</v>
      </c>
      <c r="O1585" s="5"/>
      <c r="P1585" s="5"/>
      <c r="Q1585" s="5"/>
      <c r="R1585" s="5"/>
      <c r="S1585" s="5"/>
      <c r="T1585" s="5"/>
      <c r="U1585" s="5"/>
      <c r="V1585" s="5"/>
      <c r="W1585" s="5"/>
      <c r="X1585" s="5"/>
      <c r="Y1585" s="5"/>
      <c r="Z1585" s="5"/>
    </row>
    <row r="1586">
      <c r="A1586" s="5" t="s">
        <v>6273</v>
      </c>
      <c r="B1586" s="7" t="s">
        <v>1128</v>
      </c>
      <c r="C1586" s="7" t="s">
        <v>6274</v>
      </c>
      <c r="D1586" s="7" t="s">
        <v>3074</v>
      </c>
      <c r="E1586" s="8">
        <v>1.0</v>
      </c>
      <c r="F1586" s="7" t="s">
        <v>172</v>
      </c>
      <c r="G1586" s="5" t="s">
        <v>19</v>
      </c>
      <c r="H1586" s="7" t="s">
        <v>16</v>
      </c>
      <c r="I1586" s="7" t="s">
        <v>6275</v>
      </c>
      <c r="J1586" s="36" t="s">
        <v>1146</v>
      </c>
      <c r="K1586" s="7" t="s">
        <v>16</v>
      </c>
      <c r="L1586" s="7" t="s">
        <v>16</v>
      </c>
      <c r="M1586" s="5" t="s">
        <v>22</v>
      </c>
      <c r="N1586" s="5" t="s">
        <v>6276</v>
      </c>
      <c r="O1586" s="5"/>
      <c r="P1586" s="5"/>
      <c r="Q1586" s="5"/>
      <c r="R1586" s="5"/>
      <c r="S1586" s="5"/>
      <c r="T1586" s="5"/>
      <c r="U1586" s="5"/>
      <c r="V1586" s="5"/>
      <c r="W1586" s="5"/>
      <c r="X1586" s="5"/>
      <c r="Y1586" s="5"/>
      <c r="Z1586" s="5"/>
    </row>
    <row r="1587">
      <c r="A1587" s="5" t="s">
        <v>6277</v>
      </c>
      <c r="B1587" s="7" t="s">
        <v>1128</v>
      </c>
      <c r="C1587" s="7" t="s">
        <v>6278</v>
      </c>
      <c r="D1587" s="7" t="s">
        <v>3074</v>
      </c>
      <c r="E1587" s="8">
        <v>6.0</v>
      </c>
      <c r="F1587" s="7" t="s">
        <v>17</v>
      </c>
      <c r="G1587" s="5" t="s">
        <v>326</v>
      </c>
      <c r="H1587" s="7" t="s">
        <v>16</v>
      </c>
      <c r="I1587" s="7" t="s">
        <v>5939</v>
      </c>
      <c r="J1587" s="36" t="s">
        <v>1137</v>
      </c>
      <c r="K1587" s="8">
        <v>1.0</v>
      </c>
      <c r="L1587" s="7" t="s">
        <v>16</v>
      </c>
      <c r="M1587" s="5" t="s">
        <v>36</v>
      </c>
      <c r="N1587" s="5" t="s">
        <v>6279</v>
      </c>
      <c r="O1587" s="5"/>
      <c r="P1587" s="5"/>
      <c r="Q1587" s="5"/>
      <c r="R1587" s="5"/>
      <c r="S1587" s="5"/>
      <c r="T1587" s="5"/>
      <c r="U1587" s="5"/>
      <c r="V1587" s="5"/>
      <c r="W1587" s="5"/>
      <c r="X1587" s="5"/>
      <c r="Y1587" s="5"/>
      <c r="Z1587" s="5"/>
    </row>
    <row r="1588">
      <c r="A1588" s="5" t="s">
        <v>6280</v>
      </c>
      <c r="B1588" s="7" t="s">
        <v>1128</v>
      </c>
      <c r="C1588" s="7" t="s">
        <v>6281</v>
      </c>
      <c r="D1588" s="7" t="s">
        <v>3074</v>
      </c>
      <c r="E1588" s="8">
        <v>5.0</v>
      </c>
      <c r="F1588" s="7" t="s">
        <v>17</v>
      </c>
      <c r="G1588" s="5" t="s">
        <v>461</v>
      </c>
      <c r="H1588" s="7" t="s">
        <v>16</v>
      </c>
      <c r="I1588" s="7" t="s">
        <v>6282</v>
      </c>
      <c r="J1588" s="36" t="s">
        <v>1146</v>
      </c>
      <c r="K1588" s="7" t="s">
        <v>16</v>
      </c>
      <c r="L1588" s="7" t="s">
        <v>16</v>
      </c>
      <c r="M1588" s="5" t="s">
        <v>36</v>
      </c>
      <c r="N1588" s="5" t="s">
        <v>6283</v>
      </c>
      <c r="O1588" s="5"/>
      <c r="P1588" s="5"/>
      <c r="Q1588" s="5"/>
      <c r="R1588" s="5"/>
      <c r="S1588" s="5"/>
      <c r="T1588" s="5"/>
      <c r="U1588" s="5"/>
      <c r="V1588" s="5"/>
      <c r="W1588" s="5"/>
      <c r="X1588" s="5"/>
      <c r="Y1588" s="5"/>
      <c r="Z1588" s="5"/>
    </row>
    <row r="1589">
      <c r="A1589" s="5" t="s">
        <v>6284</v>
      </c>
      <c r="B1589" s="7" t="s">
        <v>1128</v>
      </c>
      <c r="C1589" s="7" t="s">
        <v>6285</v>
      </c>
      <c r="D1589" s="7" t="s">
        <v>3074</v>
      </c>
      <c r="E1589" s="8">
        <v>4.0</v>
      </c>
      <c r="F1589" s="7" t="s">
        <v>17</v>
      </c>
      <c r="G1589" s="5" t="s">
        <v>461</v>
      </c>
      <c r="H1589" s="7" t="s">
        <v>16</v>
      </c>
      <c r="I1589" s="7" t="s">
        <v>6286</v>
      </c>
      <c r="J1589" s="36" t="s">
        <v>1154</v>
      </c>
      <c r="K1589" s="8">
        <v>2.0</v>
      </c>
      <c r="L1589" s="7" t="s">
        <v>16</v>
      </c>
      <c r="M1589" s="5" t="s">
        <v>36</v>
      </c>
      <c r="N1589" s="5" t="s">
        <v>6287</v>
      </c>
      <c r="O1589" s="5"/>
      <c r="P1589" s="5"/>
      <c r="Q1589" s="5"/>
      <c r="R1589" s="5"/>
      <c r="S1589" s="5"/>
      <c r="T1589" s="5"/>
      <c r="U1589" s="5"/>
      <c r="V1589" s="5"/>
      <c r="W1589" s="5"/>
      <c r="X1589" s="5"/>
      <c r="Y1589" s="5"/>
      <c r="Z1589" s="5"/>
    </row>
    <row r="1590">
      <c r="A1590" s="5" t="s">
        <v>6288</v>
      </c>
      <c r="B1590" s="7" t="s">
        <v>1128</v>
      </c>
      <c r="C1590" s="7" t="s">
        <v>6289</v>
      </c>
      <c r="D1590" s="7" t="s">
        <v>3074</v>
      </c>
      <c r="E1590" s="8">
        <v>2.0</v>
      </c>
      <c r="F1590" s="7" t="s">
        <v>17</v>
      </c>
      <c r="G1590" s="5" t="s">
        <v>19</v>
      </c>
      <c r="H1590" s="7" t="s">
        <v>16</v>
      </c>
      <c r="I1590" s="7" t="s">
        <v>6290</v>
      </c>
      <c r="J1590" s="7" t="s">
        <v>1266</v>
      </c>
      <c r="K1590" s="7" t="s">
        <v>16</v>
      </c>
      <c r="L1590" s="7" t="s">
        <v>16</v>
      </c>
      <c r="M1590" s="5" t="s">
        <v>22</v>
      </c>
      <c r="N1590" s="5" t="s">
        <v>6291</v>
      </c>
      <c r="O1590" s="5"/>
      <c r="P1590" s="5"/>
      <c r="Q1590" s="5"/>
      <c r="R1590" s="5"/>
      <c r="S1590" s="5"/>
      <c r="T1590" s="5"/>
      <c r="U1590" s="5"/>
      <c r="V1590" s="5"/>
      <c r="W1590" s="5"/>
      <c r="X1590" s="5"/>
      <c r="Y1590" s="5"/>
      <c r="Z1590" s="5"/>
    </row>
    <row r="1591">
      <c r="A1591" s="5" t="s">
        <v>6292</v>
      </c>
      <c r="B1591" s="7" t="s">
        <v>1128</v>
      </c>
      <c r="C1591" s="7" t="s">
        <v>6293</v>
      </c>
      <c r="D1591" s="7" t="s">
        <v>3074</v>
      </c>
      <c r="E1591" s="8">
        <v>8.0</v>
      </c>
      <c r="F1591" s="7" t="s">
        <v>105</v>
      </c>
      <c r="G1591" s="5" t="s">
        <v>326</v>
      </c>
      <c r="H1591" s="7" t="s">
        <v>16</v>
      </c>
      <c r="I1591" s="7" t="s">
        <v>6294</v>
      </c>
      <c r="J1591" s="36" t="s">
        <v>4746</v>
      </c>
      <c r="K1591" s="8">
        <v>5.0</v>
      </c>
      <c r="L1591" s="7" t="s">
        <v>16</v>
      </c>
      <c r="M1591" s="5" t="s">
        <v>88</v>
      </c>
      <c r="N1591" s="5" t="s">
        <v>6295</v>
      </c>
      <c r="O1591" s="5"/>
      <c r="P1591" s="5"/>
      <c r="Q1591" s="5"/>
      <c r="R1591" s="5"/>
      <c r="S1591" s="5"/>
      <c r="T1591" s="5"/>
      <c r="U1591" s="5"/>
      <c r="V1591" s="5"/>
      <c r="W1591" s="5"/>
      <c r="X1591" s="5"/>
      <c r="Y1591" s="5"/>
      <c r="Z1591" s="5"/>
    </row>
    <row r="1592">
      <c r="A1592" s="5" t="s">
        <v>6296</v>
      </c>
      <c r="B1592" s="7" t="s">
        <v>1128</v>
      </c>
      <c r="C1592" s="7" t="s">
        <v>6297</v>
      </c>
      <c r="D1592" s="7" t="s">
        <v>3079</v>
      </c>
      <c r="E1592" s="8">
        <v>2.0</v>
      </c>
      <c r="F1592" s="7" t="s">
        <v>105</v>
      </c>
      <c r="G1592" s="5" t="s">
        <v>19</v>
      </c>
      <c r="H1592" s="7" t="s">
        <v>16</v>
      </c>
      <c r="I1592" s="7" t="s">
        <v>6298</v>
      </c>
      <c r="J1592" s="36" t="s">
        <v>1261</v>
      </c>
      <c r="K1592" s="8">
        <v>1.0</v>
      </c>
      <c r="L1592" s="7" t="s">
        <v>16</v>
      </c>
      <c r="M1592" s="5" t="s">
        <v>22</v>
      </c>
      <c r="N1592" s="5" t="s">
        <v>6299</v>
      </c>
      <c r="O1592" s="5"/>
      <c r="P1592" s="5"/>
      <c r="Q1592" s="5"/>
      <c r="R1592" s="5"/>
      <c r="S1592" s="5"/>
      <c r="T1592" s="5"/>
      <c r="U1592" s="5"/>
      <c r="V1592" s="5"/>
      <c r="W1592" s="5"/>
      <c r="X1592" s="5"/>
      <c r="Y1592" s="5"/>
      <c r="Z1592" s="5"/>
    </row>
    <row r="1593">
      <c r="A1593" s="5" t="s">
        <v>6300</v>
      </c>
      <c r="B1593" s="7" t="s">
        <v>1128</v>
      </c>
      <c r="C1593" s="7" t="s">
        <v>6301</v>
      </c>
      <c r="D1593" s="7" t="s">
        <v>3079</v>
      </c>
      <c r="E1593" s="8">
        <v>4.0</v>
      </c>
      <c r="F1593" s="7" t="s">
        <v>17</v>
      </c>
      <c r="G1593" s="5" t="s">
        <v>461</v>
      </c>
      <c r="H1593" s="7" t="s">
        <v>16</v>
      </c>
      <c r="I1593" s="7" t="s">
        <v>6302</v>
      </c>
      <c r="J1593" s="36" t="s">
        <v>1137</v>
      </c>
      <c r="K1593" s="7" t="s">
        <v>16</v>
      </c>
      <c r="L1593" s="7" t="s">
        <v>16</v>
      </c>
      <c r="M1593" s="5" t="s">
        <v>36</v>
      </c>
      <c r="N1593" s="5" t="s">
        <v>6303</v>
      </c>
      <c r="O1593" s="5"/>
      <c r="P1593" s="5"/>
      <c r="Q1593" s="5"/>
      <c r="R1593" s="5"/>
      <c r="S1593" s="5"/>
      <c r="T1593" s="5"/>
      <c r="U1593" s="5"/>
      <c r="V1593" s="5"/>
      <c r="W1593" s="5"/>
      <c r="X1593" s="5"/>
      <c r="Y1593" s="5"/>
      <c r="Z1593" s="5"/>
    </row>
    <row r="1594">
      <c r="A1594" s="5" t="s">
        <v>6304</v>
      </c>
      <c r="B1594" s="7" t="s">
        <v>1128</v>
      </c>
      <c r="C1594" s="7" t="s">
        <v>6305</v>
      </c>
      <c r="D1594" s="7" t="s">
        <v>3079</v>
      </c>
      <c r="E1594" s="8">
        <v>1.0</v>
      </c>
      <c r="F1594" s="7" t="s">
        <v>17</v>
      </c>
      <c r="G1594" s="5" t="s">
        <v>19</v>
      </c>
      <c r="H1594" s="7" t="s">
        <v>16</v>
      </c>
      <c r="I1594" s="7" t="s">
        <v>6306</v>
      </c>
      <c r="J1594" s="7" t="s">
        <v>1266</v>
      </c>
      <c r="K1594" s="7" t="s">
        <v>16</v>
      </c>
      <c r="L1594" s="7" t="s">
        <v>16</v>
      </c>
      <c r="M1594" s="5" t="s">
        <v>22</v>
      </c>
      <c r="N1594" s="5" t="s">
        <v>6307</v>
      </c>
      <c r="O1594" s="5"/>
      <c r="P1594" s="5"/>
      <c r="Q1594" s="5"/>
      <c r="R1594" s="5"/>
      <c r="S1594" s="5"/>
      <c r="T1594" s="5"/>
      <c r="U1594" s="5"/>
      <c r="V1594" s="5"/>
      <c r="W1594" s="5"/>
      <c r="X1594" s="5"/>
      <c r="Y1594" s="5"/>
      <c r="Z1594" s="5"/>
    </row>
    <row r="1595">
      <c r="A1595" s="5" t="s">
        <v>6308</v>
      </c>
      <c r="B1595" s="7" t="s">
        <v>1128</v>
      </c>
      <c r="C1595" s="7" t="s">
        <v>6309</v>
      </c>
      <c r="D1595" s="7" t="s">
        <v>3079</v>
      </c>
      <c r="E1595" s="8">
        <v>3.0</v>
      </c>
      <c r="F1595" s="7" t="s">
        <v>105</v>
      </c>
      <c r="G1595" s="5" t="s">
        <v>461</v>
      </c>
      <c r="H1595" s="7" t="s">
        <v>16</v>
      </c>
      <c r="I1595" s="7" t="s">
        <v>6310</v>
      </c>
      <c r="J1595" s="36" t="s">
        <v>1137</v>
      </c>
      <c r="K1595" s="8">
        <v>2.0</v>
      </c>
      <c r="L1595" s="7" t="s">
        <v>16</v>
      </c>
      <c r="M1595" s="5" t="s">
        <v>36</v>
      </c>
      <c r="N1595" s="5" t="s">
        <v>6311</v>
      </c>
      <c r="O1595" s="5"/>
      <c r="P1595" s="5"/>
      <c r="Q1595" s="5"/>
      <c r="R1595" s="5"/>
      <c r="S1595" s="5"/>
      <c r="T1595" s="5"/>
      <c r="U1595" s="5"/>
      <c r="V1595" s="5"/>
      <c r="W1595" s="5"/>
      <c r="X1595" s="5"/>
      <c r="Y1595" s="5"/>
      <c r="Z1595" s="5"/>
    </row>
    <row r="1596">
      <c r="A1596" s="5" t="s">
        <v>6312</v>
      </c>
      <c r="B1596" s="7" t="s">
        <v>1128</v>
      </c>
      <c r="C1596" s="7" t="s">
        <v>6313</v>
      </c>
      <c r="D1596" s="7" t="s">
        <v>3079</v>
      </c>
      <c r="E1596" s="8">
        <v>0.0</v>
      </c>
      <c r="F1596" s="7" t="s">
        <v>172</v>
      </c>
      <c r="G1596" s="5" t="s">
        <v>19</v>
      </c>
      <c r="H1596" s="7" t="s">
        <v>16</v>
      </c>
      <c r="I1596" s="7" t="s">
        <v>6314</v>
      </c>
      <c r="J1596" s="7" t="s">
        <v>1266</v>
      </c>
      <c r="K1596" s="7" t="s">
        <v>16</v>
      </c>
      <c r="L1596" s="7" t="s">
        <v>16</v>
      </c>
      <c r="M1596" s="5" t="s">
        <v>75</v>
      </c>
      <c r="N1596" s="5" t="s">
        <v>6315</v>
      </c>
      <c r="O1596" s="5"/>
      <c r="P1596" s="5"/>
      <c r="Q1596" s="5"/>
      <c r="R1596" s="5"/>
      <c r="S1596" s="5"/>
      <c r="T1596" s="5"/>
      <c r="U1596" s="5"/>
      <c r="V1596" s="5"/>
      <c r="W1596" s="5"/>
      <c r="X1596" s="5"/>
      <c r="Y1596" s="5"/>
      <c r="Z1596" s="5"/>
    </row>
    <row r="1597">
      <c r="A1597" s="5" t="s">
        <v>6316</v>
      </c>
      <c r="B1597" s="7" t="s">
        <v>1128</v>
      </c>
      <c r="C1597" s="7" t="s">
        <v>6317</v>
      </c>
      <c r="D1597" s="7" t="s">
        <v>3079</v>
      </c>
      <c r="E1597" s="8">
        <v>0.0</v>
      </c>
      <c r="F1597" s="7" t="s">
        <v>17</v>
      </c>
      <c r="G1597" s="5" t="s">
        <v>19</v>
      </c>
      <c r="H1597" s="7" t="s">
        <v>16</v>
      </c>
      <c r="I1597" s="7" t="s">
        <v>6318</v>
      </c>
      <c r="J1597" s="7" t="s">
        <v>1266</v>
      </c>
      <c r="K1597" s="7" t="s">
        <v>16</v>
      </c>
      <c r="L1597" s="7" t="s">
        <v>16</v>
      </c>
      <c r="M1597" s="5" t="s">
        <v>75</v>
      </c>
      <c r="N1597" s="5" t="s">
        <v>6319</v>
      </c>
      <c r="O1597" s="5"/>
      <c r="P1597" s="5"/>
      <c r="Q1597" s="5"/>
      <c r="R1597" s="5"/>
      <c r="S1597" s="5"/>
      <c r="T1597" s="5"/>
      <c r="U1597" s="5"/>
      <c r="V1597" s="5"/>
      <c r="W1597" s="5"/>
      <c r="X1597" s="5"/>
      <c r="Y1597" s="5"/>
      <c r="Z1597" s="5"/>
    </row>
    <row r="1598">
      <c r="A1598" s="5" t="s">
        <v>6316</v>
      </c>
      <c r="B1598" s="7" t="s">
        <v>1128</v>
      </c>
      <c r="C1598" s="7" t="s">
        <v>6317</v>
      </c>
      <c r="D1598" s="7" t="s">
        <v>3079</v>
      </c>
      <c r="E1598" s="8">
        <v>0.0</v>
      </c>
      <c r="F1598" s="7" t="s">
        <v>17</v>
      </c>
      <c r="G1598" s="7" t="s">
        <v>19</v>
      </c>
      <c r="H1598" s="7" t="s">
        <v>16</v>
      </c>
      <c r="I1598" s="7" t="s">
        <v>6320</v>
      </c>
      <c r="J1598" s="36" t="s">
        <v>1261</v>
      </c>
      <c r="K1598" s="8">
        <v>1.0</v>
      </c>
      <c r="L1598" s="7" t="s">
        <v>16</v>
      </c>
      <c r="M1598" s="5" t="s">
        <v>75</v>
      </c>
      <c r="N1598" s="5" t="s">
        <v>6319</v>
      </c>
      <c r="O1598" s="5"/>
      <c r="P1598" s="5"/>
      <c r="Q1598" s="5"/>
      <c r="R1598" s="5"/>
      <c r="S1598" s="5"/>
      <c r="T1598" s="5"/>
      <c r="U1598" s="5"/>
      <c r="V1598" s="5"/>
      <c r="W1598" s="5"/>
      <c r="X1598" s="5"/>
      <c r="Y1598" s="5"/>
      <c r="Z1598" s="5"/>
    </row>
    <row r="1599">
      <c r="A1599" s="5" t="s">
        <v>6321</v>
      </c>
      <c r="B1599" s="7" t="s">
        <v>1128</v>
      </c>
      <c r="C1599" s="7" t="s">
        <v>6322</v>
      </c>
      <c r="D1599" s="7" t="s">
        <v>3079</v>
      </c>
      <c r="E1599" s="8">
        <v>0.0</v>
      </c>
      <c r="F1599" s="7" t="s">
        <v>17</v>
      </c>
      <c r="G1599" s="5" t="s">
        <v>19</v>
      </c>
      <c r="H1599" s="7" t="s">
        <v>16</v>
      </c>
      <c r="I1599" s="7" t="s">
        <v>6323</v>
      </c>
      <c r="J1599" s="7" t="s">
        <v>1266</v>
      </c>
      <c r="K1599" s="7" t="s">
        <v>16</v>
      </c>
      <c r="L1599" s="7" t="s">
        <v>16</v>
      </c>
      <c r="M1599" s="5" t="s">
        <v>22</v>
      </c>
      <c r="N1599" s="5" t="s">
        <v>6324</v>
      </c>
      <c r="O1599" s="5"/>
      <c r="P1599" s="5"/>
      <c r="Q1599" s="5"/>
      <c r="R1599" s="5"/>
      <c r="S1599" s="5"/>
      <c r="T1599" s="5"/>
      <c r="U1599" s="5"/>
      <c r="V1599" s="5"/>
      <c r="W1599" s="5"/>
      <c r="X1599" s="5"/>
      <c r="Y1599" s="5"/>
      <c r="Z1599" s="5"/>
    </row>
    <row r="1600">
      <c r="A1600" s="5" t="s">
        <v>6325</v>
      </c>
      <c r="B1600" s="7" t="s">
        <v>1128</v>
      </c>
      <c r="C1600" s="7" t="s">
        <v>6326</v>
      </c>
      <c r="D1600" s="7" t="s">
        <v>3084</v>
      </c>
      <c r="E1600" s="8">
        <v>2.0</v>
      </c>
      <c r="F1600" s="7" t="s">
        <v>105</v>
      </c>
      <c r="G1600" s="5" t="s">
        <v>19</v>
      </c>
      <c r="H1600" s="7" t="s">
        <v>16</v>
      </c>
      <c r="I1600" s="7" t="s">
        <v>1131</v>
      </c>
      <c r="J1600" s="36" t="s">
        <v>1154</v>
      </c>
      <c r="K1600" s="8">
        <v>2.0</v>
      </c>
      <c r="L1600" s="7" t="s">
        <v>16</v>
      </c>
      <c r="M1600" s="5" t="s">
        <v>36</v>
      </c>
      <c r="N1600" s="5" t="s">
        <v>6327</v>
      </c>
      <c r="O1600" s="5"/>
      <c r="P1600" s="5"/>
      <c r="Q1600" s="5"/>
      <c r="R1600" s="5"/>
      <c r="S1600" s="5"/>
      <c r="T1600" s="5"/>
      <c r="U1600" s="5"/>
      <c r="V1600" s="5"/>
      <c r="W1600" s="5"/>
      <c r="X1600" s="5"/>
      <c r="Y1600" s="5"/>
      <c r="Z1600" s="5"/>
    </row>
    <row r="1601">
      <c r="A1601" s="5" t="s">
        <v>6328</v>
      </c>
      <c r="B1601" s="7" t="s">
        <v>1128</v>
      </c>
      <c r="C1601" s="7" t="s">
        <v>6329</v>
      </c>
      <c r="D1601" s="7" t="s">
        <v>3084</v>
      </c>
      <c r="E1601" s="8">
        <v>1.0</v>
      </c>
      <c r="F1601" s="7" t="s">
        <v>17</v>
      </c>
      <c r="G1601" s="5" t="s">
        <v>19</v>
      </c>
      <c r="H1601" s="7" t="s">
        <v>16</v>
      </c>
      <c r="I1601" s="7" t="s">
        <v>6330</v>
      </c>
      <c r="J1601" s="36" t="s">
        <v>1261</v>
      </c>
      <c r="K1601" s="8">
        <v>2.0</v>
      </c>
      <c r="L1601" s="7" t="s">
        <v>16</v>
      </c>
      <c r="M1601" s="5" t="s">
        <v>22</v>
      </c>
      <c r="N1601" s="5" t="s">
        <v>6331</v>
      </c>
      <c r="O1601" s="5"/>
      <c r="P1601" s="5"/>
      <c r="Q1601" s="5"/>
      <c r="R1601" s="5"/>
      <c r="S1601" s="5"/>
      <c r="T1601" s="5"/>
      <c r="U1601" s="5"/>
      <c r="V1601" s="5"/>
      <c r="W1601" s="5"/>
      <c r="X1601" s="5"/>
      <c r="Y1601" s="5"/>
      <c r="Z1601" s="5"/>
    </row>
    <row r="1602">
      <c r="A1602" s="5" t="s">
        <v>6332</v>
      </c>
      <c r="B1602" s="7" t="s">
        <v>1128</v>
      </c>
      <c r="C1602" s="7" t="s">
        <v>4704</v>
      </c>
      <c r="D1602" s="7" t="s">
        <v>2801</v>
      </c>
      <c r="E1602" s="8">
        <v>3.0</v>
      </c>
      <c r="F1602" s="7" t="s">
        <v>17</v>
      </c>
      <c r="G1602" s="5" t="s">
        <v>19</v>
      </c>
      <c r="H1602" s="7" t="s">
        <v>16</v>
      </c>
      <c r="I1602" s="7" t="s">
        <v>6333</v>
      </c>
      <c r="J1602" s="36" t="s">
        <v>1132</v>
      </c>
      <c r="K1602" s="8">
        <v>2.0</v>
      </c>
      <c r="L1602" s="7" t="s">
        <v>16</v>
      </c>
      <c r="M1602" s="5" t="s">
        <v>22</v>
      </c>
      <c r="N1602" s="5" t="s">
        <v>6334</v>
      </c>
      <c r="O1602" s="5"/>
      <c r="P1602" s="5"/>
      <c r="Q1602" s="5"/>
      <c r="R1602" s="5"/>
      <c r="S1602" s="5"/>
      <c r="T1602" s="5"/>
      <c r="U1602" s="5"/>
      <c r="V1602" s="5"/>
      <c r="W1602" s="5"/>
      <c r="X1602" s="5"/>
      <c r="Y1602" s="5"/>
      <c r="Z1602" s="5"/>
    </row>
    <row r="1603">
      <c r="A1603" s="5" t="s">
        <v>6335</v>
      </c>
      <c r="B1603" s="7" t="s">
        <v>1128</v>
      </c>
      <c r="C1603" s="7" t="s">
        <v>6127</v>
      </c>
      <c r="D1603" s="7" t="s">
        <v>6336</v>
      </c>
      <c r="E1603" s="8">
        <v>0.0</v>
      </c>
      <c r="F1603" s="7" t="s">
        <v>17</v>
      </c>
      <c r="G1603" s="5" t="s">
        <v>19</v>
      </c>
      <c r="H1603" s="7" t="s">
        <v>16</v>
      </c>
      <c r="I1603" s="7" t="s">
        <v>6337</v>
      </c>
      <c r="J1603" s="8">
        <v>6000.0</v>
      </c>
      <c r="K1603" s="8">
        <v>1.0</v>
      </c>
      <c r="L1603" s="7" t="s">
        <v>16</v>
      </c>
      <c r="M1603" s="5" t="s">
        <v>22</v>
      </c>
      <c r="N1603" s="5" t="s">
        <v>6338</v>
      </c>
      <c r="O1603" s="5"/>
      <c r="P1603" s="5"/>
      <c r="Q1603" s="5"/>
      <c r="R1603" s="5"/>
      <c r="S1603" s="5"/>
      <c r="T1603" s="5"/>
      <c r="U1603" s="5"/>
      <c r="V1603" s="5"/>
      <c r="W1603" s="5"/>
      <c r="X1603" s="5"/>
      <c r="Y1603" s="5"/>
      <c r="Z1603" s="5"/>
    </row>
    <row r="1604">
      <c r="A1604" s="5" t="s">
        <v>6339</v>
      </c>
      <c r="B1604" s="7" t="s">
        <v>1128</v>
      </c>
      <c r="C1604" s="7" t="s">
        <v>1160</v>
      </c>
      <c r="D1604" s="7" t="s">
        <v>1068</v>
      </c>
      <c r="E1604" s="8">
        <v>6.0</v>
      </c>
      <c r="F1604" s="7" t="s">
        <v>105</v>
      </c>
      <c r="G1604" s="5" t="s">
        <v>326</v>
      </c>
      <c r="H1604" s="7" t="s">
        <v>1130</v>
      </c>
      <c r="I1604" s="7" t="s">
        <v>6340</v>
      </c>
      <c r="J1604" s="36" t="s">
        <v>1154</v>
      </c>
      <c r="K1604" s="8">
        <v>3.0</v>
      </c>
      <c r="L1604" s="7" t="s">
        <v>16</v>
      </c>
      <c r="M1604" s="5" t="s">
        <v>75</v>
      </c>
      <c r="N1604" s="5" t="s">
        <v>6341</v>
      </c>
      <c r="O1604" s="5"/>
      <c r="P1604" s="5"/>
      <c r="Q1604" s="5"/>
      <c r="R1604" s="5"/>
      <c r="S1604" s="5"/>
      <c r="T1604" s="5"/>
      <c r="U1604" s="5"/>
      <c r="V1604" s="5"/>
      <c r="W1604" s="5"/>
      <c r="X1604" s="5"/>
      <c r="Y1604" s="5"/>
      <c r="Z1604" s="5"/>
    </row>
    <row r="1605">
      <c r="A1605" s="5" t="s">
        <v>6342</v>
      </c>
      <c r="B1605" s="7" t="s">
        <v>1128</v>
      </c>
      <c r="C1605" s="7" t="s">
        <v>1244</v>
      </c>
      <c r="D1605" s="7" t="s">
        <v>406</v>
      </c>
      <c r="E1605" s="8">
        <v>2.0</v>
      </c>
      <c r="F1605" s="7" t="s">
        <v>17</v>
      </c>
      <c r="G1605" s="5" t="s">
        <v>19</v>
      </c>
      <c r="H1605" s="7" t="s">
        <v>16</v>
      </c>
      <c r="I1605" s="7" t="s">
        <v>6343</v>
      </c>
      <c r="J1605" s="7" t="s">
        <v>1266</v>
      </c>
      <c r="K1605" s="7" t="s">
        <v>16</v>
      </c>
      <c r="L1605" s="7" t="s">
        <v>16</v>
      </c>
      <c r="M1605" s="5" t="s">
        <v>22</v>
      </c>
      <c r="N1605" s="5" t="s">
        <v>6344</v>
      </c>
      <c r="O1605" s="5"/>
      <c r="P1605" s="5"/>
      <c r="Q1605" s="5"/>
      <c r="R1605" s="5"/>
      <c r="S1605" s="5"/>
      <c r="T1605" s="5"/>
      <c r="U1605" s="5"/>
      <c r="V1605" s="5"/>
      <c r="W1605" s="5"/>
      <c r="X1605" s="5"/>
      <c r="Y1605" s="5"/>
      <c r="Z1605" s="5"/>
    </row>
    <row r="1606">
      <c r="A1606" s="5" t="s">
        <v>6345</v>
      </c>
      <c r="B1606" s="7" t="s">
        <v>1128</v>
      </c>
      <c r="C1606" s="7" t="s">
        <v>4876</v>
      </c>
      <c r="D1606" s="7" t="s">
        <v>411</v>
      </c>
      <c r="E1606" s="8">
        <v>1.0</v>
      </c>
      <c r="F1606" s="7" t="s">
        <v>172</v>
      </c>
      <c r="G1606" s="5" t="s">
        <v>19</v>
      </c>
      <c r="H1606" s="7" t="s">
        <v>16</v>
      </c>
      <c r="I1606" s="7" t="s">
        <v>6346</v>
      </c>
      <c r="J1606" s="36" t="s">
        <v>1154</v>
      </c>
      <c r="K1606" s="7" t="s">
        <v>16</v>
      </c>
      <c r="L1606" s="7" t="s">
        <v>16</v>
      </c>
      <c r="M1606" s="5" t="s">
        <v>36</v>
      </c>
      <c r="N1606" s="5" t="s">
        <v>6347</v>
      </c>
      <c r="O1606" s="5"/>
      <c r="P1606" s="5"/>
      <c r="Q1606" s="5"/>
      <c r="R1606" s="5"/>
      <c r="S1606" s="5"/>
      <c r="T1606" s="5"/>
      <c r="U1606" s="5"/>
      <c r="V1606" s="5"/>
      <c r="W1606" s="5"/>
      <c r="X1606" s="5"/>
      <c r="Y1606" s="5"/>
      <c r="Z1606" s="5"/>
    </row>
    <row r="1607">
      <c r="A1607" s="5" t="s">
        <v>6348</v>
      </c>
      <c r="B1607" s="7" t="s">
        <v>1128</v>
      </c>
      <c r="C1607" s="7" t="s">
        <v>5948</v>
      </c>
      <c r="D1607" s="7" t="s">
        <v>85</v>
      </c>
      <c r="E1607" s="8">
        <v>2.0</v>
      </c>
      <c r="F1607" s="7" t="s">
        <v>17</v>
      </c>
      <c r="G1607" s="5" t="s">
        <v>19</v>
      </c>
      <c r="H1607" s="7" t="s">
        <v>16</v>
      </c>
      <c r="I1607" s="7" t="s">
        <v>6349</v>
      </c>
      <c r="J1607" s="7" t="s">
        <v>1266</v>
      </c>
      <c r="K1607" s="7" t="s">
        <v>16</v>
      </c>
      <c r="L1607" s="7" t="s">
        <v>16</v>
      </c>
      <c r="M1607" s="5" t="s">
        <v>22</v>
      </c>
      <c r="N1607" s="5" t="s">
        <v>6350</v>
      </c>
      <c r="O1607" s="5"/>
      <c r="P1607" s="5"/>
      <c r="Q1607" s="5"/>
      <c r="R1607" s="5"/>
      <c r="S1607" s="5"/>
      <c r="T1607" s="5"/>
      <c r="U1607" s="5"/>
      <c r="V1607" s="5"/>
      <c r="W1607" s="5"/>
      <c r="X1607" s="5"/>
      <c r="Y1607" s="5"/>
      <c r="Z1607" s="5"/>
    </row>
    <row r="1608">
      <c r="A1608" s="5" t="s">
        <v>6351</v>
      </c>
      <c r="B1608" s="7" t="s">
        <v>1128</v>
      </c>
      <c r="C1608" s="7" t="s">
        <v>5801</v>
      </c>
      <c r="D1608" s="7" t="s">
        <v>1068</v>
      </c>
      <c r="E1608" s="8">
        <v>6.0</v>
      </c>
      <c r="F1608" s="7" t="s">
        <v>105</v>
      </c>
      <c r="G1608" s="5" t="s">
        <v>326</v>
      </c>
      <c r="H1608" s="7" t="s">
        <v>1130</v>
      </c>
      <c r="I1608" s="7" t="s">
        <v>6352</v>
      </c>
      <c r="J1608" s="36" t="s">
        <v>1146</v>
      </c>
      <c r="K1608" s="8">
        <v>3.0</v>
      </c>
      <c r="L1608" s="7" t="s">
        <v>16</v>
      </c>
      <c r="M1608" s="5" t="s">
        <v>88</v>
      </c>
      <c r="N1608" s="5" t="s">
        <v>6353</v>
      </c>
      <c r="O1608" s="5"/>
      <c r="P1608" s="5"/>
      <c r="Q1608" s="5"/>
      <c r="R1608" s="5"/>
      <c r="S1608" s="5"/>
      <c r="T1608" s="5"/>
      <c r="U1608" s="5"/>
      <c r="V1608" s="5"/>
      <c r="W1608" s="5"/>
      <c r="X1608" s="5"/>
      <c r="Y1608" s="5"/>
      <c r="Z1608" s="5"/>
    </row>
    <row r="1609">
      <c r="A1609" s="5" t="s">
        <v>6354</v>
      </c>
      <c r="B1609" s="7" t="s">
        <v>1128</v>
      </c>
      <c r="C1609" s="7" t="s">
        <v>1253</v>
      </c>
      <c r="D1609" s="7" t="s">
        <v>1068</v>
      </c>
      <c r="E1609" s="8">
        <v>1.0</v>
      </c>
      <c r="F1609" s="7" t="s">
        <v>105</v>
      </c>
      <c r="G1609" s="5" t="s">
        <v>19</v>
      </c>
      <c r="H1609" s="7" t="s">
        <v>1130</v>
      </c>
      <c r="I1609" s="7" t="s">
        <v>6355</v>
      </c>
      <c r="J1609" s="36" t="s">
        <v>1137</v>
      </c>
      <c r="K1609" s="8">
        <v>2.0</v>
      </c>
      <c r="L1609" s="7" t="s">
        <v>16</v>
      </c>
      <c r="M1609" s="5" t="s">
        <v>36</v>
      </c>
      <c r="N1609" s="5" t="s">
        <v>6356</v>
      </c>
      <c r="O1609" s="5"/>
      <c r="P1609" s="5"/>
      <c r="Q1609" s="5"/>
      <c r="R1609" s="5"/>
      <c r="S1609" s="5"/>
      <c r="T1609" s="5"/>
      <c r="U1609" s="5"/>
      <c r="V1609" s="5"/>
      <c r="W1609" s="5"/>
      <c r="X1609" s="5"/>
      <c r="Y1609" s="5"/>
      <c r="Z1609" s="5"/>
    </row>
    <row r="1610">
      <c r="A1610" s="5" t="s">
        <v>6357</v>
      </c>
      <c r="B1610" s="7" t="s">
        <v>1128</v>
      </c>
      <c r="C1610" s="7" t="s">
        <v>4476</v>
      </c>
      <c r="D1610" s="7" t="s">
        <v>1068</v>
      </c>
      <c r="E1610" s="8">
        <v>2.0</v>
      </c>
      <c r="F1610" s="7" t="s">
        <v>17</v>
      </c>
      <c r="G1610" s="5" t="s">
        <v>19</v>
      </c>
      <c r="H1610" s="7" t="s">
        <v>1130</v>
      </c>
      <c r="I1610" s="7" t="s">
        <v>6358</v>
      </c>
      <c r="J1610" s="7" t="s">
        <v>1266</v>
      </c>
      <c r="K1610" s="7" t="s">
        <v>16</v>
      </c>
      <c r="L1610" s="7" t="s">
        <v>16</v>
      </c>
      <c r="M1610" s="5" t="s">
        <v>22</v>
      </c>
      <c r="N1610" s="5" t="s">
        <v>6359</v>
      </c>
      <c r="O1610" s="5"/>
      <c r="P1610" s="5"/>
      <c r="Q1610" s="5"/>
      <c r="R1610" s="5"/>
      <c r="S1610" s="5"/>
      <c r="T1610" s="5"/>
      <c r="U1610" s="5"/>
      <c r="V1610" s="5"/>
      <c r="W1610" s="5"/>
      <c r="X1610" s="5"/>
      <c r="Y1610" s="5"/>
      <c r="Z1610" s="5"/>
    </row>
    <row r="1611">
      <c r="A1611" s="5" t="s">
        <v>6360</v>
      </c>
      <c r="B1611" s="7" t="s">
        <v>1128</v>
      </c>
      <c r="C1611" s="7" t="s">
        <v>6207</v>
      </c>
      <c r="D1611" s="7" t="s">
        <v>406</v>
      </c>
      <c r="E1611" s="8">
        <v>1.0</v>
      </c>
      <c r="F1611" s="7" t="s">
        <v>17</v>
      </c>
      <c r="G1611" s="5" t="s">
        <v>19</v>
      </c>
      <c r="H1611" s="7" t="s">
        <v>16</v>
      </c>
      <c r="I1611" s="7" t="s">
        <v>6361</v>
      </c>
      <c r="J1611" s="7" t="s">
        <v>1266</v>
      </c>
      <c r="K1611" s="7" t="s">
        <v>16</v>
      </c>
      <c r="L1611" s="7" t="s">
        <v>16</v>
      </c>
      <c r="M1611" s="5" t="s">
        <v>36</v>
      </c>
      <c r="N1611" s="5" t="s">
        <v>6362</v>
      </c>
      <c r="O1611" s="5"/>
      <c r="P1611" s="5"/>
      <c r="Q1611" s="5"/>
      <c r="R1611" s="5"/>
      <c r="S1611" s="5"/>
      <c r="T1611" s="5"/>
      <c r="U1611" s="5"/>
      <c r="V1611" s="5"/>
      <c r="W1611" s="5"/>
      <c r="X1611" s="5"/>
      <c r="Y1611" s="5"/>
      <c r="Z1611" s="5"/>
    </row>
    <row r="1612">
      <c r="A1612" s="5" t="s">
        <v>6363</v>
      </c>
      <c r="B1612" s="7" t="s">
        <v>1128</v>
      </c>
      <c r="C1612" s="7" t="s">
        <v>6293</v>
      </c>
      <c r="D1612" s="7" t="s">
        <v>3074</v>
      </c>
      <c r="E1612" s="8">
        <v>6.0</v>
      </c>
      <c r="F1612" s="7" t="s">
        <v>105</v>
      </c>
      <c r="G1612" s="5" t="s">
        <v>326</v>
      </c>
      <c r="H1612" s="7" t="s">
        <v>16</v>
      </c>
      <c r="I1612" s="7" t="s">
        <v>5926</v>
      </c>
      <c r="J1612" s="36" t="s">
        <v>1154</v>
      </c>
      <c r="K1612" s="8">
        <v>4.0</v>
      </c>
      <c r="L1612" s="7" t="s">
        <v>16</v>
      </c>
      <c r="M1612" s="5" t="s">
        <v>75</v>
      </c>
      <c r="N1612" s="5" t="s">
        <v>6364</v>
      </c>
      <c r="O1612" s="5"/>
      <c r="P1612" s="5"/>
      <c r="Q1612" s="5"/>
      <c r="R1612" s="5"/>
      <c r="S1612" s="5"/>
      <c r="T1612" s="5"/>
      <c r="U1612" s="5"/>
      <c r="V1612" s="5"/>
      <c r="W1612" s="5"/>
      <c r="X1612" s="5"/>
      <c r="Y1612" s="5"/>
      <c r="Z1612" s="5"/>
    </row>
    <row r="1613">
      <c r="A1613" s="5" t="s">
        <v>6365</v>
      </c>
      <c r="B1613" s="7" t="s">
        <v>1128</v>
      </c>
      <c r="C1613" s="7" t="s">
        <v>6317</v>
      </c>
      <c r="D1613" s="7" t="s">
        <v>3079</v>
      </c>
      <c r="E1613" s="8">
        <v>0.0</v>
      </c>
      <c r="F1613" s="7" t="s">
        <v>17</v>
      </c>
      <c r="G1613" s="5" t="s">
        <v>461</v>
      </c>
      <c r="H1613" s="7" t="s">
        <v>16</v>
      </c>
      <c r="I1613" s="7" t="s">
        <v>6366</v>
      </c>
      <c r="J1613" s="36" t="s">
        <v>1261</v>
      </c>
      <c r="K1613" s="8">
        <v>1.0</v>
      </c>
      <c r="L1613" s="7" t="s">
        <v>16</v>
      </c>
      <c r="M1613" s="5" t="s">
        <v>22</v>
      </c>
      <c r="N1613" s="5" t="s">
        <v>6367</v>
      </c>
      <c r="O1613" s="5"/>
      <c r="P1613" s="5"/>
      <c r="Q1613" s="5"/>
      <c r="R1613" s="5"/>
      <c r="S1613" s="5"/>
      <c r="T1613" s="5"/>
      <c r="U1613" s="5"/>
      <c r="V1613" s="5"/>
      <c r="W1613" s="5"/>
      <c r="X1613" s="5"/>
      <c r="Y1613" s="5"/>
      <c r="Z1613" s="5"/>
    </row>
    <row r="1614">
      <c r="A1614" s="7" t="s">
        <v>6368</v>
      </c>
      <c r="B1614" s="7" t="s">
        <v>1128</v>
      </c>
      <c r="C1614" s="7" t="s">
        <v>1129</v>
      </c>
      <c r="D1614" s="7" t="s">
        <v>1068</v>
      </c>
      <c r="E1614" s="8">
        <v>2.0</v>
      </c>
      <c r="F1614" s="7" t="s">
        <v>105</v>
      </c>
      <c r="G1614" s="5" t="s">
        <v>19</v>
      </c>
      <c r="H1614" s="7" t="s">
        <v>1130</v>
      </c>
      <c r="I1614" s="7" t="s">
        <v>6369</v>
      </c>
      <c r="J1614" s="36" t="s">
        <v>1261</v>
      </c>
      <c r="K1614" s="8">
        <v>2.0</v>
      </c>
      <c r="L1614" s="7" t="s">
        <v>16</v>
      </c>
      <c r="M1614" s="5" t="s">
        <v>22</v>
      </c>
      <c r="N1614" s="5" t="s">
        <v>6370</v>
      </c>
      <c r="O1614" s="5"/>
      <c r="P1614" s="5"/>
      <c r="Q1614" s="5"/>
      <c r="R1614" s="5"/>
      <c r="S1614" s="5"/>
      <c r="T1614" s="5"/>
      <c r="U1614" s="5"/>
      <c r="V1614" s="5"/>
      <c r="W1614" s="5"/>
      <c r="X1614" s="5"/>
      <c r="Y1614" s="5"/>
      <c r="Z1614" s="5"/>
    </row>
    <row r="1615">
      <c r="A1615" s="7" t="s">
        <v>6371</v>
      </c>
      <c r="B1615" s="7" t="s">
        <v>1128</v>
      </c>
      <c r="C1615" s="7" t="s">
        <v>1135</v>
      </c>
      <c r="D1615" s="7" t="s">
        <v>1068</v>
      </c>
      <c r="E1615" s="8">
        <v>1.0</v>
      </c>
      <c r="F1615" s="7" t="s">
        <v>172</v>
      </c>
      <c r="G1615" s="5" t="s">
        <v>19</v>
      </c>
      <c r="H1615" s="7" t="s">
        <v>1130</v>
      </c>
      <c r="I1615" s="7" t="s">
        <v>6372</v>
      </c>
      <c r="J1615" s="36" t="s">
        <v>1137</v>
      </c>
      <c r="K1615" s="7" t="s">
        <v>16</v>
      </c>
      <c r="L1615" s="7" t="s">
        <v>16</v>
      </c>
      <c r="M1615" s="5" t="s">
        <v>22</v>
      </c>
      <c r="N1615" s="5" t="s">
        <v>6373</v>
      </c>
      <c r="O1615" s="5"/>
      <c r="P1615" s="5"/>
      <c r="Q1615" s="5"/>
      <c r="R1615" s="5"/>
      <c r="S1615" s="5"/>
      <c r="T1615" s="5"/>
      <c r="U1615" s="5"/>
      <c r="V1615" s="5"/>
      <c r="W1615" s="5"/>
      <c r="X1615" s="5"/>
      <c r="Y1615" s="5"/>
      <c r="Z1615" s="5"/>
    </row>
    <row r="1616">
      <c r="A1616" s="5" t="s">
        <v>6374</v>
      </c>
      <c r="B1616" s="7" t="s">
        <v>1128</v>
      </c>
      <c r="C1616" s="7" t="s">
        <v>4673</v>
      </c>
      <c r="D1616" s="7" t="s">
        <v>1068</v>
      </c>
      <c r="E1616" s="8">
        <v>1.0</v>
      </c>
      <c r="F1616" s="7" t="s">
        <v>17</v>
      </c>
      <c r="G1616" s="5" t="s">
        <v>19</v>
      </c>
      <c r="H1616" s="7" t="s">
        <v>1130</v>
      </c>
      <c r="I1616" s="7" t="s">
        <v>6375</v>
      </c>
      <c r="J1616" s="36" t="s">
        <v>1132</v>
      </c>
      <c r="K1616" s="7" t="s">
        <v>16</v>
      </c>
      <c r="L1616" s="7" t="s">
        <v>16</v>
      </c>
      <c r="M1616" s="5" t="s">
        <v>22</v>
      </c>
      <c r="N1616" s="5" t="s">
        <v>6376</v>
      </c>
      <c r="O1616" s="5"/>
      <c r="P1616" s="5"/>
      <c r="Q1616" s="5"/>
      <c r="R1616" s="5"/>
      <c r="S1616" s="5"/>
      <c r="T1616" s="5"/>
      <c r="U1616" s="5"/>
      <c r="V1616" s="5"/>
      <c r="W1616" s="5"/>
      <c r="X1616" s="5"/>
      <c r="Y1616" s="5"/>
      <c r="Z1616" s="5"/>
    </row>
    <row r="1617">
      <c r="A1617" s="5" t="s">
        <v>6377</v>
      </c>
      <c r="B1617" s="7" t="s">
        <v>1128</v>
      </c>
      <c r="C1617" s="7" t="s">
        <v>1160</v>
      </c>
      <c r="D1617" s="7" t="s">
        <v>1068</v>
      </c>
      <c r="E1617" s="8">
        <v>6.0</v>
      </c>
      <c r="F1617" s="7" t="s">
        <v>17</v>
      </c>
      <c r="G1617" s="5" t="s">
        <v>326</v>
      </c>
      <c r="H1617" s="7" t="s">
        <v>1130</v>
      </c>
      <c r="I1617" s="7" t="s">
        <v>6378</v>
      </c>
      <c r="J1617" s="36" t="s">
        <v>1154</v>
      </c>
      <c r="K1617" s="8">
        <v>3.0</v>
      </c>
      <c r="L1617" s="7" t="s">
        <v>16</v>
      </c>
      <c r="M1617" s="5" t="s">
        <v>88</v>
      </c>
      <c r="N1617" s="5" t="s">
        <v>6379</v>
      </c>
      <c r="O1617" s="5"/>
      <c r="P1617" s="5"/>
      <c r="Q1617" s="5"/>
      <c r="R1617" s="5"/>
      <c r="S1617" s="5"/>
      <c r="T1617" s="5"/>
      <c r="U1617" s="5"/>
      <c r="V1617" s="5"/>
      <c r="W1617" s="5"/>
      <c r="X1617" s="5"/>
      <c r="Y1617" s="5"/>
      <c r="Z1617" s="5"/>
    </row>
    <row r="1618">
      <c r="A1618" s="5" t="s">
        <v>6380</v>
      </c>
      <c r="B1618" s="7" t="s">
        <v>1128</v>
      </c>
      <c r="C1618" s="7" t="s">
        <v>1253</v>
      </c>
      <c r="D1618" s="7" t="s">
        <v>1068</v>
      </c>
      <c r="E1618" s="8">
        <v>1.0</v>
      </c>
      <c r="F1618" s="7" t="s">
        <v>105</v>
      </c>
      <c r="G1618" s="7" t="s">
        <v>461</v>
      </c>
      <c r="H1618" s="7" t="s">
        <v>1130</v>
      </c>
      <c r="I1618" s="7" t="s">
        <v>6381</v>
      </c>
      <c r="J1618" s="36" t="s">
        <v>1261</v>
      </c>
      <c r="K1618" s="8">
        <v>2.0</v>
      </c>
      <c r="L1618" s="7" t="s">
        <v>16</v>
      </c>
      <c r="M1618" s="5" t="s">
        <v>36</v>
      </c>
      <c r="N1618" s="5" t="s">
        <v>6382</v>
      </c>
      <c r="O1618" s="5"/>
      <c r="P1618" s="5"/>
      <c r="Q1618" s="5"/>
      <c r="R1618" s="5"/>
      <c r="S1618" s="5"/>
      <c r="T1618" s="5"/>
      <c r="U1618" s="5"/>
      <c r="V1618" s="5"/>
      <c r="W1618" s="5"/>
      <c r="X1618" s="5"/>
      <c r="Y1618" s="5"/>
      <c r="Z1618" s="5"/>
    </row>
    <row r="1619">
      <c r="A1619" s="5" t="s">
        <v>6383</v>
      </c>
      <c r="B1619" s="7" t="s">
        <v>1128</v>
      </c>
      <c r="C1619" s="7" t="s">
        <v>1446</v>
      </c>
      <c r="D1619" s="7" t="s">
        <v>1068</v>
      </c>
      <c r="E1619" s="8">
        <v>1.0</v>
      </c>
      <c r="F1619" s="7" t="s">
        <v>172</v>
      </c>
      <c r="G1619" s="7" t="s">
        <v>461</v>
      </c>
      <c r="H1619" s="7" t="s">
        <v>1130</v>
      </c>
      <c r="I1619" s="7" t="s">
        <v>6384</v>
      </c>
      <c r="J1619" s="7" t="s">
        <v>16</v>
      </c>
      <c r="K1619" s="7" t="s">
        <v>16</v>
      </c>
      <c r="L1619" s="7" t="s">
        <v>16</v>
      </c>
      <c r="M1619" s="5" t="s">
        <v>36</v>
      </c>
      <c r="N1619" s="5" t="s">
        <v>6385</v>
      </c>
      <c r="O1619" s="5"/>
      <c r="P1619" s="5"/>
      <c r="Q1619" s="5"/>
      <c r="R1619" s="5"/>
      <c r="S1619" s="5"/>
      <c r="T1619" s="5"/>
      <c r="U1619" s="5"/>
      <c r="V1619" s="5"/>
      <c r="W1619" s="5"/>
      <c r="X1619" s="5"/>
      <c r="Y1619" s="5"/>
      <c r="Z1619" s="5"/>
    </row>
    <row r="1620">
      <c r="A1620" s="5" t="s">
        <v>6386</v>
      </c>
      <c r="B1620" s="7" t="s">
        <v>1128</v>
      </c>
      <c r="C1620" s="7" t="s">
        <v>4476</v>
      </c>
      <c r="D1620" s="7" t="s">
        <v>1068</v>
      </c>
      <c r="E1620" s="8">
        <v>1.0</v>
      </c>
      <c r="F1620" s="7" t="s">
        <v>17</v>
      </c>
      <c r="G1620" s="7" t="s">
        <v>461</v>
      </c>
      <c r="H1620" s="7" t="s">
        <v>1130</v>
      </c>
      <c r="I1620" s="7" t="s">
        <v>6387</v>
      </c>
      <c r="J1620" s="7" t="s">
        <v>16</v>
      </c>
      <c r="K1620" s="7" t="s">
        <v>16</v>
      </c>
      <c r="L1620" s="7" t="s">
        <v>16</v>
      </c>
      <c r="M1620" s="5" t="s">
        <v>22</v>
      </c>
      <c r="N1620" s="5" t="s">
        <v>6388</v>
      </c>
      <c r="O1620" s="5"/>
      <c r="P1620" s="5"/>
      <c r="Q1620" s="5"/>
      <c r="R1620" s="5"/>
      <c r="S1620" s="5"/>
      <c r="T1620" s="5"/>
      <c r="U1620" s="5"/>
      <c r="V1620" s="5"/>
      <c r="W1620" s="5"/>
      <c r="X1620" s="5"/>
      <c r="Y1620" s="5"/>
      <c r="Z1620" s="5"/>
    </row>
    <row r="1621">
      <c r="A1621" s="5" t="s">
        <v>6389</v>
      </c>
      <c r="B1621" s="7" t="s">
        <v>1128</v>
      </c>
      <c r="C1621" s="7" t="s">
        <v>1244</v>
      </c>
      <c r="D1621" s="7" t="s">
        <v>406</v>
      </c>
      <c r="E1621" s="8">
        <v>1.0</v>
      </c>
      <c r="F1621" s="7" t="s">
        <v>17</v>
      </c>
      <c r="G1621" s="7" t="s">
        <v>19</v>
      </c>
      <c r="H1621" s="7" t="s">
        <v>16</v>
      </c>
      <c r="I1621" s="7" t="s">
        <v>6390</v>
      </c>
      <c r="J1621" s="7" t="s">
        <v>16</v>
      </c>
      <c r="K1621" s="7" t="s">
        <v>16</v>
      </c>
      <c r="L1621" s="7" t="s">
        <v>16</v>
      </c>
      <c r="M1621" s="5" t="s">
        <v>22</v>
      </c>
      <c r="N1621" s="5" t="s">
        <v>6391</v>
      </c>
      <c r="O1621" s="5"/>
      <c r="P1621" s="5"/>
      <c r="Q1621" s="5"/>
      <c r="R1621" s="5"/>
      <c r="S1621" s="5"/>
      <c r="T1621" s="5"/>
      <c r="U1621" s="5"/>
      <c r="V1621" s="5"/>
      <c r="W1621" s="5"/>
      <c r="X1621" s="5"/>
      <c r="Y1621" s="5"/>
      <c r="Z1621" s="5"/>
    </row>
    <row r="1622">
      <c r="A1622" s="5" t="s">
        <v>6392</v>
      </c>
      <c r="B1622" s="7" t="s">
        <v>1128</v>
      </c>
      <c r="C1622" s="7" t="s">
        <v>4734</v>
      </c>
      <c r="D1622" s="7" t="s">
        <v>406</v>
      </c>
      <c r="E1622" s="8">
        <v>1.0</v>
      </c>
      <c r="F1622" s="7" t="s">
        <v>17</v>
      </c>
      <c r="G1622" s="5" t="s">
        <v>19</v>
      </c>
      <c r="H1622" s="7" t="s">
        <v>16</v>
      </c>
      <c r="I1622" s="7" t="s">
        <v>6393</v>
      </c>
      <c r="J1622" s="36" t="s">
        <v>4861</v>
      </c>
      <c r="K1622" s="8">
        <v>1.0</v>
      </c>
      <c r="L1622" s="7" t="s">
        <v>16</v>
      </c>
      <c r="M1622" s="5" t="s">
        <v>22</v>
      </c>
      <c r="N1622" s="5" t="s">
        <v>6394</v>
      </c>
      <c r="O1622" s="5"/>
      <c r="P1622" s="5"/>
      <c r="Q1622" s="5"/>
      <c r="R1622" s="5"/>
      <c r="S1622" s="5"/>
      <c r="T1622" s="5"/>
      <c r="U1622" s="5"/>
      <c r="V1622" s="5"/>
      <c r="W1622" s="5"/>
      <c r="X1622" s="5"/>
      <c r="Y1622" s="5"/>
      <c r="Z1622" s="5"/>
    </row>
    <row r="1623">
      <c r="A1623" s="5" t="s">
        <v>6395</v>
      </c>
      <c r="B1623" s="7" t="s">
        <v>1128</v>
      </c>
      <c r="C1623" s="7" t="s">
        <v>1247</v>
      </c>
      <c r="D1623" s="7" t="s">
        <v>406</v>
      </c>
      <c r="E1623" s="8">
        <v>1.0</v>
      </c>
      <c r="F1623" s="7" t="s">
        <v>17</v>
      </c>
      <c r="G1623" s="5" t="s">
        <v>19</v>
      </c>
      <c r="H1623" s="7" t="s">
        <v>16</v>
      </c>
      <c r="I1623" s="7" t="s">
        <v>6396</v>
      </c>
      <c r="J1623" s="7" t="s">
        <v>16</v>
      </c>
      <c r="K1623" s="7" t="s">
        <v>16</v>
      </c>
      <c r="L1623" s="7" t="s">
        <v>16</v>
      </c>
      <c r="M1623" s="5" t="s">
        <v>22</v>
      </c>
      <c r="N1623" s="5" t="s">
        <v>6397</v>
      </c>
      <c r="O1623" s="5"/>
      <c r="P1623" s="5"/>
      <c r="Q1623" s="5"/>
      <c r="R1623" s="5"/>
      <c r="S1623" s="5"/>
      <c r="T1623" s="5"/>
      <c r="U1623" s="5"/>
      <c r="V1623" s="5"/>
      <c r="W1623" s="5"/>
      <c r="X1623" s="5"/>
      <c r="Y1623" s="5"/>
      <c r="Z1623" s="5"/>
    </row>
    <row r="1624">
      <c r="A1624" s="5" t="s">
        <v>6398</v>
      </c>
      <c r="B1624" s="7" t="s">
        <v>1128</v>
      </c>
      <c r="C1624" s="7" t="s">
        <v>6207</v>
      </c>
      <c r="D1624" s="7" t="s">
        <v>406</v>
      </c>
      <c r="E1624" s="8">
        <v>1.0</v>
      </c>
      <c r="F1624" s="7" t="s">
        <v>105</v>
      </c>
      <c r="G1624" s="5" t="s">
        <v>461</v>
      </c>
      <c r="H1624" s="7" t="s">
        <v>16</v>
      </c>
      <c r="I1624" s="7" t="s">
        <v>6399</v>
      </c>
      <c r="J1624" s="7" t="s">
        <v>16</v>
      </c>
      <c r="K1624" s="7" t="s">
        <v>16</v>
      </c>
      <c r="L1624" s="7" t="s">
        <v>16</v>
      </c>
      <c r="M1624" s="5" t="s">
        <v>88</v>
      </c>
      <c r="N1624" s="5" t="s">
        <v>6400</v>
      </c>
      <c r="O1624" s="5"/>
      <c r="P1624" s="5"/>
      <c r="Q1624" s="5"/>
      <c r="R1624" s="5"/>
      <c r="S1624" s="5"/>
      <c r="T1624" s="5"/>
      <c r="U1624" s="5"/>
      <c r="V1624" s="5"/>
      <c r="W1624" s="5"/>
      <c r="X1624" s="5"/>
      <c r="Y1624" s="5"/>
      <c r="Z1624" s="5"/>
    </row>
    <row r="1625">
      <c r="A1625" s="5" t="s">
        <v>6401</v>
      </c>
      <c r="B1625" s="7" t="s">
        <v>1128</v>
      </c>
      <c r="C1625" s="7" t="s">
        <v>1149</v>
      </c>
      <c r="D1625" s="7" t="s">
        <v>411</v>
      </c>
      <c r="E1625" s="8">
        <v>1.0</v>
      </c>
      <c r="F1625" s="7" t="s">
        <v>17</v>
      </c>
      <c r="G1625" s="5" t="s">
        <v>19</v>
      </c>
      <c r="H1625" s="7" t="s">
        <v>16</v>
      </c>
      <c r="I1625" s="7" t="s">
        <v>5081</v>
      </c>
      <c r="J1625" s="36" t="s">
        <v>1261</v>
      </c>
      <c r="K1625" s="8">
        <v>1.0</v>
      </c>
      <c r="L1625" s="7" t="s">
        <v>16</v>
      </c>
      <c r="M1625" s="5" t="s">
        <v>22</v>
      </c>
      <c r="N1625" s="5" t="s">
        <v>6402</v>
      </c>
      <c r="O1625" s="5"/>
      <c r="P1625" s="5"/>
      <c r="Q1625" s="5"/>
      <c r="R1625" s="5"/>
      <c r="S1625" s="5"/>
      <c r="T1625" s="5"/>
      <c r="U1625" s="5"/>
      <c r="V1625" s="5"/>
      <c r="W1625" s="5"/>
      <c r="X1625" s="5"/>
      <c r="Y1625" s="5"/>
      <c r="Z1625" s="5"/>
    </row>
    <row r="1626">
      <c r="A1626" s="5" t="s">
        <v>6403</v>
      </c>
      <c r="B1626" s="7" t="s">
        <v>1128</v>
      </c>
      <c r="C1626" s="7" t="s">
        <v>4738</v>
      </c>
      <c r="D1626" s="7" t="s">
        <v>411</v>
      </c>
      <c r="E1626" s="8">
        <v>1.0</v>
      </c>
      <c r="F1626" s="7" t="s">
        <v>172</v>
      </c>
      <c r="G1626" s="7" t="s">
        <v>19</v>
      </c>
      <c r="H1626" s="7" t="s">
        <v>16</v>
      </c>
      <c r="I1626" s="7" t="s">
        <v>6404</v>
      </c>
      <c r="J1626" s="7" t="s">
        <v>16</v>
      </c>
      <c r="K1626" s="7" t="s">
        <v>16</v>
      </c>
      <c r="L1626" s="7" t="s">
        <v>16</v>
      </c>
      <c r="M1626" s="5" t="s">
        <v>22</v>
      </c>
      <c r="N1626" s="5" t="s">
        <v>6405</v>
      </c>
      <c r="O1626" s="5"/>
      <c r="P1626" s="5"/>
      <c r="Q1626" s="5"/>
      <c r="R1626" s="5"/>
      <c r="S1626" s="5"/>
      <c r="T1626" s="5"/>
      <c r="U1626" s="5"/>
      <c r="V1626" s="5"/>
      <c r="W1626" s="5"/>
      <c r="X1626" s="5"/>
      <c r="Y1626" s="5"/>
      <c r="Z1626" s="5"/>
    </row>
    <row r="1627">
      <c r="A1627" s="5" t="s">
        <v>6406</v>
      </c>
      <c r="B1627" s="7" t="s">
        <v>1128</v>
      </c>
      <c r="C1627" s="7" t="s">
        <v>1152</v>
      </c>
      <c r="D1627" s="7" t="s">
        <v>411</v>
      </c>
      <c r="E1627" s="8">
        <v>1.0</v>
      </c>
      <c r="F1627" s="7" t="s">
        <v>172</v>
      </c>
      <c r="G1627" s="5" t="s">
        <v>461</v>
      </c>
      <c r="H1627" s="7" t="s">
        <v>16</v>
      </c>
      <c r="I1627" s="7" t="s">
        <v>1153</v>
      </c>
      <c r="J1627" s="36" t="s">
        <v>4746</v>
      </c>
      <c r="K1627" s="7" t="s">
        <v>16</v>
      </c>
      <c r="L1627" s="7" t="s">
        <v>16</v>
      </c>
      <c r="M1627" s="5" t="s">
        <v>36</v>
      </c>
      <c r="N1627" s="5" t="s">
        <v>6407</v>
      </c>
      <c r="O1627" s="5"/>
      <c r="P1627" s="5"/>
      <c r="Q1627" s="5"/>
      <c r="R1627" s="5"/>
      <c r="S1627" s="5"/>
      <c r="T1627" s="5"/>
      <c r="U1627" s="5"/>
      <c r="V1627" s="5"/>
      <c r="W1627" s="5"/>
      <c r="X1627" s="5"/>
      <c r="Y1627" s="5"/>
      <c r="Z1627" s="5"/>
    </row>
    <row r="1628">
      <c r="A1628" s="5" t="s">
        <v>6408</v>
      </c>
      <c r="B1628" s="7" t="s">
        <v>1128</v>
      </c>
      <c r="C1628" s="7" t="s">
        <v>4876</v>
      </c>
      <c r="D1628" s="7" t="s">
        <v>411</v>
      </c>
      <c r="E1628" s="8">
        <v>2.0</v>
      </c>
      <c r="F1628" s="7" t="s">
        <v>172</v>
      </c>
      <c r="G1628" s="5" t="s">
        <v>461</v>
      </c>
      <c r="H1628" s="7" t="s">
        <v>16</v>
      </c>
      <c r="I1628" s="7" t="s">
        <v>6409</v>
      </c>
      <c r="J1628" s="7" t="s">
        <v>16</v>
      </c>
      <c r="K1628" s="7" t="s">
        <v>16</v>
      </c>
      <c r="L1628" s="7" t="s">
        <v>16</v>
      </c>
      <c r="M1628" s="5" t="s">
        <v>75</v>
      </c>
      <c r="N1628" s="5" t="s">
        <v>6410</v>
      </c>
      <c r="O1628" s="5"/>
      <c r="P1628" s="5"/>
      <c r="Q1628" s="5"/>
      <c r="R1628" s="5"/>
      <c r="S1628" s="5"/>
      <c r="T1628" s="5"/>
      <c r="U1628" s="5"/>
      <c r="V1628" s="5"/>
      <c r="W1628" s="5"/>
      <c r="X1628" s="5"/>
      <c r="Y1628" s="5"/>
      <c r="Z1628" s="5"/>
    </row>
    <row r="1629">
      <c r="A1629" s="5" t="s">
        <v>6411</v>
      </c>
      <c r="B1629" s="7" t="s">
        <v>1128</v>
      </c>
      <c r="C1629" s="7" t="s">
        <v>5014</v>
      </c>
      <c r="D1629" s="7" t="s">
        <v>411</v>
      </c>
      <c r="E1629" s="8">
        <v>2.0</v>
      </c>
      <c r="F1629" s="7" t="s">
        <v>105</v>
      </c>
      <c r="G1629" s="7" t="s">
        <v>461</v>
      </c>
      <c r="H1629" s="7" t="s">
        <v>16</v>
      </c>
      <c r="I1629" s="7" t="s">
        <v>6412</v>
      </c>
      <c r="J1629" s="7" t="s">
        <v>16</v>
      </c>
      <c r="K1629" s="7" t="s">
        <v>16</v>
      </c>
      <c r="L1629" s="7" t="s">
        <v>16</v>
      </c>
      <c r="M1629" s="5" t="s">
        <v>75</v>
      </c>
      <c r="N1629" s="5" t="s">
        <v>6413</v>
      </c>
      <c r="O1629" s="5"/>
      <c r="P1629" s="5"/>
      <c r="Q1629" s="5"/>
      <c r="R1629" s="5"/>
      <c r="S1629" s="5"/>
      <c r="T1629" s="5"/>
      <c r="U1629" s="5"/>
      <c r="V1629" s="5"/>
      <c r="W1629" s="5"/>
      <c r="X1629" s="5"/>
      <c r="Y1629" s="5"/>
      <c r="Z1629" s="5"/>
    </row>
    <row r="1630">
      <c r="A1630" s="5" t="s">
        <v>6414</v>
      </c>
      <c r="B1630" s="7" t="s">
        <v>1128</v>
      </c>
      <c r="C1630" s="7" t="s">
        <v>6072</v>
      </c>
      <c r="D1630" s="7" t="s">
        <v>411</v>
      </c>
      <c r="E1630" s="8">
        <v>4.0</v>
      </c>
      <c r="F1630" s="7" t="s">
        <v>105</v>
      </c>
      <c r="G1630" s="5" t="s">
        <v>326</v>
      </c>
      <c r="H1630" s="7" t="s">
        <v>16</v>
      </c>
      <c r="I1630" s="7" t="s">
        <v>6415</v>
      </c>
      <c r="J1630" s="36" t="s">
        <v>1146</v>
      </c>
      <c r="K1630" s="7" t="s">
        <v>4878</v>
      </c>
      <c r="L1630" s="7" t="s">
        <v>16</v>
      </c>
      <c r="M1630" s="5" t="s">
        <v>88</v>
      </c>
      <c r="N1630" s="5" t="s">
        <v>6416</v>
      </c>
      <c r="O1630" s="5"/>
      <c r="P1630" s="5"/>
      <c r="Q1630" s="5"/>
      <c r="R1630" s="5"/>
      <c r="S1630" s="5"/>
      <c r="T1630" s="5"/>
      <c r="U1630" s="5"/>
      <c r="V1630" s="5"/>
      <c r="W1630" s="5"/>
      <c r="X1630" s="5"/>
      <c r="Y1630" s="5"/>
      <c r="Z1630" s="5"/>
    </row>
    <row r="1631">
      <c r="A1631" s="5" t="s">
        <v>6417</v>
      </c>
      <c r="B1631" s="7" t="s">
        <v>1128</v>
      </c>
      <c r="C1631" s="7" t="s">
        <v>1450</v>
      </c>
      <c r="D1631" s="7" t="s">
        <v>85</v>
      </c>
      <c r="E1631" s="8">
        <v>1.0</v>
      </c>
      <c r="F1631" s="7" t="s">
        <v>17</v>
      </c>
      <c r="G1631" s="5" t="s">
        <v>19</v>
      </c>
      <c r="H1631" s="7" t="s">
        <v>16</v>
      </c>
      <c r="I1631" s="7" t="s">
        <v>6418</v>
      </c>
      <c r="J1631" s="7" t="s">
        <v>16</v>
      </c>
      <c r="K1631" s="7" t="s">
        <v>16</v>
      </c>
      <c r="L1631" s="7" t="s">
        <v>16</v>
      </c>
      <c r="M1631" s="5" t="s">
        <v>36</v>
      </c>
      <c r="N1631" s="5" t="s">
        <v>6419</v>
      </c>
      <c r="O1631" s="5"/>
      <c r="P1631" s="5"/>
      <c r="Q1631" s="5"/>
      <c r="R1631" s="5"/>
      <c r="S1631" s="5"/>
      <c r="T1631" s="5"/>
      <c r="U1631" s="5"/>
      <c r="V1631" s="5"/>
      <c r="W1631" s="5"/>
      <c r="X1631" s="5"/>
      <c r="Y1631" s="5"/>
      <c r="Z1631" s="5"/>
    </row>
    <row r="1632">
      <c r="A1632" s="5" t="s">
        <v>6420</v>
      </c>
      <c r="B1632" s="7" t="s">
        <v>1128</v>
      </c>
      <c r="C1632" s="7" t="s">
        <v>4975</v>
      </c>
      <c r="D1632" s="7" t="s">
        <v>85</v>
      </c>
      <c r="E1632" s="8">
        <v>2.0</v>
      </c>
      <c r="F1632" s="7" t="s">
        <v>17</v>
      </c>
      <c r="G1632" s="5" t="s">
        <v>461</v>
      </c>
      <c r="H1632" s="7" t="s">
        <v>16</v>
      </c>
      <c r="I1632" s="7" t="s">
        <v>6421</v>
      </c>
      <c r="J1632" s="7" t="s">
        <v>16</v>
      </c>
      <c r="K1632" s="7" t="s">
        <v>16</v>
      </c>
      <c r="L1632" s="7" t="s">
        <v>16</v>
      </c>
      <c r="M1632" s="5" t="s">
        <v>36</v>
      </c>
      <c r="N1632" s="5" t="s">
        <v>6422</v>
      </c>
      <c r="O1632" s="5"/>
      <c r="P1632" s="5"/>
      <c r="Q1632" s="5"/>
      <c r="R1632" s="5"/>
      <c r="S1632" s="5"/>
      <c r="T1632" s="5"/>
      <c r="U1632" s="5"/>
      <c r="V1632" s="5"/>
      <c r="W1632" s="5"/>
      <c r="X1632" s="5"/>
      <c r="Y1632" s="5"/>
      <c r="Z1632" s="5"/>
    </row>
    <row r="1633">
      <c r="A1633" s="5" t="s">
        <v>6423</v>
      </c>
      <c r="B1633" s="7" t="s">
        <v>1128</v>
      </c>
      <c r="C1633" s="7" t="s">
        <v>5948</v>
      </c>
      <c r="D1633" s="7" t="s">
        <v>85</v>
      </c>
      <c r="E1633" s="8">
        <v>3.0</v>
      </c>
      <c r="F1633" s="7" t="s">
        <v>17</v>
      </c>
      <c r="G1633" s="5" t="s">
        <v>461</v>
      </c>
      <c r="H1633" s="7" t="s">
        <v>4955</v>
      </c>
      <c r="I1633" s="7" t="s">
        <v>6424</v>
      </c>
      <c r="J1633" s="7" t="s">
        <v>16</v>
      </c>
      <c r="K1633" s="7" t="s">
        <v>16</v>
      </c>
      <c r="L1633" s="7" t="s">
        <v>16</v>
      </c>
      <c r="M1633" s="5" t="s">
        <v>88</v>
      </c>
      <c r="N1633" s="5" t="s">
        <v>6425</v>
      </c>
      <c r="O1633" s="5"/>
      <c r="P1633" s="5"/>
      <c r="Q1633" s="5"/>
      <c r="R1633" s="5"/>
      <c r="S1633" s="5"/>
      <c r="T1633" s="5"/>
      <c r="U1633" s="5"/>
      <c r="V1633" s="5"/>
      <c r="W1633" s="5"/>
      <c r="X1633" s="5"/>
      <c r="Y1633" s="5"/>
      <c r="Z1633" s="5"/>
    </row>
    <row r="1634">
      <c r="A1634" s="5" t="s">
        <v>6426</v>
      </c>
      <c r="B1634" s="7" t="s">
        <v>1128</v>
      </c>
      <c r="C1634" s="7" t="s">
        <v>1349</v>
      </c>
      <c r="D1634" s="7" t="s">
        <v>1203</v>
      </c>
      <c r="E1634" s="8">
        <v>1.0</v>
      </c>
      <c r="F1634" s="7" t="s">
        <v>172</v>
      </c>
      <c r="G1634" s="5" t="s">
        <v>19</v>
      </c>
      <c r="H1634" s="7" t="s">
        <v>16</v>
      </c>
      <c r="I1634" s="7" t="s">
        <v>6427</v>
      </c>
      <c r="J1634" s="36" t="s">
        <v>1132</v>
      </c>
      <c r="K1634" s="7" t="s">
        <v>16</v>
      </c>
      <c r="L1634" s="7" t="s">
        <v>16</v>
      </c>
      <c r="M1634" s="5" t="s">
        <v>22</v>
      </c>
      <c r="N1634" s="5" t="s">
        <v>6428</v>
      </c>
      <c r="O1634" s="5"/>
      <c r="P1634" s="5"/>
      <c r="Q1634" s="5"/>
      <c r="R1634" s="5"/>
      <c r="S1634" s="5"/>
      <c r="T1634" s="5"/>
      <c r="U1634" s="5"/>
      <c r="V1634" s="5"/>
      <c r="W1634" s="5"/>
      <c r="X1634" s="5"/>
      <c r="Y1634" s="5"/>
      <c r="Z1634" s="5"/>
    </row>
    <row r="1635">
      <c r="A1635" s="5" t="s">
        <v>6429</v>
      </c>
      <c r="B1635" s="7" t="s">
        <v>1128</v>
      </c>
      <c r="C1635" s="7" t="s">
        <v>6225</v>
      </c>
      <c r="D1635" s="7" t="s">
        <v>1203</v>
      </c>
      <c r="E1635" s="8">
        <v>1.0</v>
      </c>
      <c r="F1635" s="7" t="s">
        <v>105</v>
      </c>
      <c r="G1635" s="5" t="s">
        <v>19</v>
      </c>
      <c r="H1635" s="7" t="s">
        <v>16</v>
      </c>
      <c r="I1635" s="7" t="s">
        <v>1131</v>
      </c>
      <c r="J1635" s="36" t="s">
        <v>1132</v>
      </c>
      <c r="K1635" s="8">
        <v>2.0</v>
      </c>
      <c r="L1635" s="7" t="s">
        <v>16</v>
      </c>
      <c r="M1635" s="5" t="s">
        <v>22</v>
      </c>
      <c r="N1635" s="5" t="s">
        <v>6430</v>
      </c>
      <c r="O1635" s="5"/>
      <c r="P1635" s="5"/>
      <c r="Q1635" s="5"/>
      <c r="R1635" s="5"/>
      <c r="S1635" s="5"/>
      <c r="T1635" s="5"/>
      <c r="U1635" s="5"/>
      <c r="V1635" s="5"/>
      <c r="W1635" s="5"/>
      <c r="X1635" s="5"/>
      <c r="Y1635" s="5"/>
      <c r="Z1635" s="5"/>
    </row>
    <row r="1636">
      <c r="A1636" s="5" t="s">
        <v>6431</v>
      </c>
      <c r="B1636" s="7" t="s">
        <v>1128</v>
      </c>
      <c r="C1636" s="7" t="s">
        <v>1256</v>
      </c>
      <c r="D1636" s="7" t="s">
        <v>1203</v>
      </c>
      <c r="E1636" s="8">
        <v>4.0</v>
      </c>
      <c r="F1636" s="7" t="s">
        <v>17</v>
      </c>
      <c r="G1636" s="5" t="s">
        <v>461</v>
      </c>
      <c r="H1636" s="7" t="s">
        <v>16</v>
      </c>
      <c r="I1636" s="7" t="s">
        <v>6432</v>
      </c>
      <c r="J1636" s="36" t="s">
        <v>4861</v>
      </c>
      <c r="K1636" s="8">
        <v>4.0</v>
      </c>
      <c r="L1636" s="7" t="s">
        <v>16</v>
      </c>
      <c r="M1636" s="5" t="s">
        <v>22</v>
      </c>
      <c r="N1636" s="5" t="s">
        <v>6433</v>
      </c>
      <c r="O1636" s="5"/>
      <c r="P1636" s="5"/>
      <c r="Q1636" s="5"/>
      <c r="R1636" s="5"/>
      <c r="S1636" s="5"/>
      <c r="T1636" s="5"/>
      <c r="U1636" s="5"/>
      <c r="V1636" s="5"/>
      <c r="W1636" s="5"/>
      <c r="X1636" s="5"/>
      <c r="Y1636" s="5"/>
      <c r="Z1636" s="5"/>
    </row>
    <row r="1637">
      <c r="A1637" s="5" t="s">
        <v>6434</v>
      </c>
      <c r="B1637" s="7" t="s">
        <v>1128</v>
      </c>
      <c r="C1637" s="7" t="s">
        <v>5122</v>
      </c>
      <c r="D1637" s="7" t="s">
        <v>1203</v>
      </c>
      <c r="E1637" s="8">
        <v>3.0</v>
      </c>
      <c r="F1637" s="7" t="s">
        <v>105</v>
      </c>
      <c r="G1637" s="5" t="s">
        <v>461</v>
      </c>
      <c r="H1637" s="7" t="s">
        <v>16</v>
      </c>
      <c r="I1637" s="7" t="s">
        <v>6435</v>
      </c>
      <c r="J1637" s="8">
        <v>5000.0</v>
      </c>
      <c r="K1637" s="8">
        <v>2.0</v>
      </c>
      <c r="L1637" s="7" t="s">
        <v>16</v>
      </c>
      <c r="M1637" s="5" t="s">
        <v>36</v>
      </c>
      <c r="N1637" s="5" t="s">
        <v>6436</v>
      </c>
      <c r="O1637" s="5"/>
      <c r="P1637" s="5"/>
      <c r="Q1637" s="5"/>
      <c r="R1637" s="5"/>
      <c r="S1637" s="5"/>
      <c r="T1637" s="5"/>
      <c r="U1637" s="5"/>
      <c r="V1637" s="5"/>
      <c r="W1637" s="5"/>
      <c r="X1637" s="5"/>
      <c r="Y1637" s="5"/>
      <c r="Z1637" s="5"/>
    </row>
    <row r="1638">
      <c r="A1638" s="5" t="s">
        <v>6437</v>
      </c>
      <c r="B1638" s="7" t="s">
        <v>1128</v>
      </c>
      <c r="C1638" s="7" t="s">
        <v>5225</v>
      </c>
      <c r="D1638" s="7" t="s">
        <v>1203</v>
      </c>
      <c r="E1638" s="8">
        <v>1.0</v>
      </c>
      <c r="F1638" s="7" t="s">
        <v>17</v>
      </c>
      <c r="G1638" s="5" t="s">
        <v>461</v>
      </c>
      <c r="H1638" s="7" t="s">
        <v>16</v>
      </c>
      <c r="I1638" s="7" t="s">
        <v>6438</v>
      </c>
      <c r="J1638" s="36" t="s">
        <v>1261</v>
      </c>
      <c r="K1638" s="8">
        <v>1.0</v>
      </c>
      <c r="L1638" s="7" t="s">
        <v>16</v>
      </c>
      <c r="M1638" s="5" t="s">
        <v>36</v>
      </c>
      <c r="N1638" s="5" t="s">
        <v>6439</v>
      </c>
      <c r="O1638" s="5"/>
      <c r="P1638" s="5"/>
      <c r="Q1638" s="5"/>
      <c r="R1638" s="5"/>
      <c r="S1638" s="5"/>
      <c r="T1638" s="5"/>
      <c r="U1638" s="5"/>
      <c r="V1638" s="5"/>
      <c r="W1638" s="5"/>
      <c r="X1638" s="5"/>
      <c r="Y1638" s="5"/>
      <c r="Z1638" s="5"/>
    </row>
    <row r="1639">
      <c r="A1639" s="5" t="s">
        <v>6440</v>
      </c>
      <c r="B1639" s="7" t="s">
        <v>1128</v>
      </c>
      <c r="C1639" s="7" t="s">
        <v>5126</v>
      </c>
      <c r="D1639" s="7" t="s">
        <v>1203</v>
      </c>
      <c r="E1639" s="8">
        <v>3.0</v>
      </c>
      <c r="F1639" s="7" t="s">
        <v>17</v>
      </c>
      <c r="G1639" s="5" t="s">
        <v>461</v>
      </c>
      <c r="H1639" s="7" t="s">
        <v>16</v>
      </c>
      <c r="I1639" s="7" t="s">
        <v>6441</v>
      </c>
      <c r="J1639" s="36" t="s">
        <v>1132</v>
      </c>
      <c r="K1639" s="8">
        <v>3.0</v>
      </c>
      <c r="L1639" s="7" t="s">
        <v>16</v>
      </c>
      <c r="M1639" s="5" t="s">
        <v>22</v>
      </c>
      <c r="N1639" s="5" t="s">
        <v>6442</v>
      </c>
      <c r="O1639" s="5"/>
      <c r="P1639" s="5"/>
      <c r="Q1639" s="5"/>
      <c r="R1639" s="5"/>
      <c r="S1639" s="5"/>
      <c r="T1639" s="5"/>
      <c r="U1639" s="5"/>
      <c r="V1639" s="5"/>
      <c r="W1639" s="5"/>
      <c r="X1639" s="5"/>
      <c r="Y1639" s="5"/>
      <c r="Z1639" s="5"/>
    </row>
    <row r="1640">
      <c r="A1640" s="5" t="s">
        <v>6443</v>
      </c>
      <c r="B1640" s="7" t="s">
        <v>1128</v>
      </c>
      <c r="C1640" s="7" t="s">
        <v>5130</v>
      </c>
      <c r="D1640" s="7" t="s">
        <v>1203</v>
      </c>
      <c r="E1640" s="8">
        <v>6.0</v>
      </c>
      <c r="F1640" s="7" t="s">
        <v>105</v>
      </c>
      <c r="G1640" s="5" t="s">
        <v>326</v>
      </c>
      <c r="H1640" s="7" t="s">
        <v>16</v>
      </c>
      <c r="I1640" s="7" t="s">
        <v>6444</v>
      </c>
      <c r="J1640" s="36" t="s">
        <v>1146</v>
      </c>
      <c r="K1640" s="8">
        <v>3.0</v>
      </c>
      <c r="L1640" s="7" t="s">
        <v>16</v>
      </c>
      <c r="M1640" s="5" t="s">
        <v>88</v>
      </c>
      <c r="N1640" s="5" t="s">
        <v>6445</v>
      </c>
      <c r="O1640" s="5"/>
      <c r="P1640" s="5"/>
      <c r="Q1640" s="5"/>
      <c r="R1640" s="5"/>
      <c r="S1640" s="5"/>
      <c r="T1640" s="5"/>
      <c r="U1640" s="5"/>
      <c r="V1640" s="5"/>
      <c r="W1640" s="5"/>
      <c r="X1640" s="5"/>
      <c r="Y1640" s="5"/>
      <c r="Z1640" s="5"/>
    </row>
    <row r="1641">
      <c r="A1641" s="5" t="s">
        <v>6446</v>
      </c>
      <c r="B1641" s="7" t="s">
        <v>1128</v>
      </c>
      <c r="C1641" s="7" t="s">
        <v>6447</v>
      </c>
      <c r="D1641" s="7" t="s">
        <v>1203</v>
      </c>
      <c r="E1641" s="8">
        <v>8.0</v>
      </c>
      <c r="F1641" s="7" t="s">
        <v>105</v>
      </c>
      <c r="G1641" s="7" t="s">
        <v>326</v>
      </c>
      <c r="H1641" s="7" t="s">
        <v>16</v>
      </c>
      <c r="I1641" s="7" t="s">
        <v>6448</v>
      </c>
      <c r="J1641" s="36" t="s">
        <v>1161</v>
      </c>
      <c r="K1641" s="8">
        <v>4.0</v>
      </c>
      <c r="L1641" s="7" t="s">
        <v>16</v>
      </c>
      <c r="M1641" s="5" t="s">
        <v>88</v>
      </c>
      <c r="N1641" s="5" t="s">
        <v>6449</v>
      </c>
      <c r="O1641" s="5"/>
      <c r="P1641" s="5"/>
      <c r="Q1641" s="5"/>
      <c r="R1641" s="5"/>
      <c r="S1641" s="5"/>
      <c r="T1641" s="5"/>
      <c r="U1641" s="5"/>
      <c r="V1641" s="5"/>
      <c r="W1641" s="5"/>
      <c r="X1641" s="5"/>
      <c r="Y1641" s="5"/>
      <c r="Z1641" s="5"/>
    </row>
    <row r="1642">
      <c r="A1642" s="5" t="s">
        <v>6450</v>
      </c>
      <c r="B1642" s="7" t="s">
        <v>1128</v>
      </c>
      <c r="C1642" s="7" t="s">
        <v>5881</v>
      </c>
      <c r="D1642" s="7" t="s">
        <v>2581</v>
      </c>
      <c r="E1642" s="8">
        <v>1.0</v>
      </c>
      <c r="F1642" s="7" t="s">
        <v>17</v>
      </c>
      <c r="G1642" s="5" t="s">
        <v>19</v>
      </c>
      <c r="H1642" s="7" t="s">
        <v>16</v>
      </c>
      <c r="I1642" s="7" t="s">
        <v>1131</v>
      </c>
      <c r="J1642" s="36" t="s">
        <v>1132</v>
      </c>
      <c r="K1642" s="8">
        <v>2.0</v>
      </c>
      <c r="L1642" s="7" t="s">
        <v>16</v>
      </c>
      <c r="M1642" s="5" t="s">
        <v>22</v>
      </c>
      <c r="N1642" s="5" t="s">
        <v>6451</v>
      </c>
      <c r="O1642" s="5"/>
      <c r="P1642" s="5"/>
      <c r="Q1642" s="5"/>
      <c r="R1642" s="5"/>
      <c r="S1642" s="5"/>
      <c r="T1642" s="5"/>
      <c r="U1642" s="5"/>
      <c r="V1642" s="5"/>
      <c r="W1642" s="5"/>
      <c r="X1642" s="5"/>
      <c r="Y1642" s="5"/>
      <c r="Z1642" s="5"/>
    </row>
    <row r="1643">
      <c r="A1643" s="5" t="s">
        <v>6452</v>
      </c>
      <c r="B1643" s="7" t="s">
        <v>1128</v>
      </c>
      <c r="C1643" s="7" t="s">
        <v>5884</v>
      </c>
      <c r="D1643" s="7" t="s">
        <v>2581</v>
      </c>
      <c r="E1643" s="8">
        <v>1.0</v>
      </c>
      <c r="F1643" s="7" t="s">
        <v>17</v>
      </c>
      <c r="G1643" s="5" t="s">
        <v>19</v>
      </c>
      <c r="H1643" s="7" t="s">
        <v>16</v>
      </c>
      <c r="I1643" s="7" t="s">
        <v>6453</v>
      </c>
      <c r="J1643" s="7" t="s">
        <v>16</v>
      </c>
      <c r="K1643" s="7" t="s">
        <v>16</v>
      </c>
      <c r="L1643" s="7" t="s">
        <v>16</v>
      </c>
      <c r="M1643" s="5" t="s">
        <v>22</v>
      </c>
      <c r="N1643" s="5" t="s">
        <v>6454</v>
      </c>
      <c r="O1643" s="5"/>
      <c r="P1643" s="5"/>
      <c r="Q1643" s="5"/>
      <c r="R1643" s="5"/>
      <c r="S1643" s="5"/>
      <c r="T1643" s="5"/>
      <c r="U1643" s="5"/>
      <c r="V1643" s="5"/>
      <c r="W1643" s="5"/>
      <c r="X1643" s="5"/>
      <c r="Y1643" s="5"/>
      <c r="Z1643" s="5"/>
    </row>
    <row r="1644">
      <c r="A1644" s="5" t="s">
        <v>6455</v>
      </c>
      <c r="B1644" s="7" t="s">
        <v>1128</v>
      </c>
      <c r="C1644" s="7" t="s">
        <v>5888</v>
      </c>
      <c r="D1644" s="7" t="s">
        <v>2581</v>
      </c>
      <c r="E1644" s="8">
        <v>3.0</v>
      </c>
      <c r="F1644" s="7" t="s">
        <v>105</v>
      </c>
      <c r="G1644" s="5" t="s">
        <v>461</v>
      </c>
      <c r="H1644" s="7" t="s">
        <v>16</v>
      </c>
      <c r="I1644" s="7" t="s">
        <v>1131</v>
      </c>
      <c r="J1644" s="36" t="s">
        <v>1132</v>
      </c>
      <c r="K1644" s="8">
        <v>3.0</v>
      </c>
      <c r="L1644" s="7" t="s">
        <v>16</v>
      </c>
      <c r="M1644" s="5" t="s">
        <v>36</v>
      </c>
      <c r="N1644" s="5" t="s">
        <v>6456</v>
      </c>
      <c r="O1644" s="5"/>
      <c r="P1644" s="5"/>
      <c r="Q1644" s="5"/>
      <c r="R1644" s="5"/>
      <c r="S1644" s="5"/>
      <c r="T1644" s="5"/>
      <c r="U1644" s="5"/>
      <c r="V1644" s="5"/>
      <c r="W1644" s="5"/>
      <c r="X1644" s="5"/>
      <c r="Y1644" s="5"/>
      <c r="Z1644" s="5"/>
    </row>
    <row r="1645">
      <c r="A1645" s="5" t="s">
        <v>6457</v>
      </c>
      <c r="B1645" s="7" t="s">
        <v>1128</v>
      </c>
      <c r="C1645" s="7" t="s">
        <v>5891</v>
      </c>
      <c r="D1645" s="7" t="s">
        <v>2581</v>
      </c>
      <c r="E1645" s="8">
        <v>1.0</v>
      </c>
      <c r="F1645" s="7" t="s">
        <v>17</v>
      </c>
      <c r="G1645" s="5" t="s">
        <v>19</v>
      </c>
      <c r="H1645" s="7" t="s">
        <v>16</v>
      </c>
      <c r="I1645" s="7" t="s">
        <v>6458</v>
      </c>
      <c r="J1645" s="7" t="s">
        <v>16</v>
      </c>
      <c r="K1645" s="7" t="s">
        <v>16</v>
      </c>
      <c r="L1645" s="7" t="s">
        <v>16</v>
      </c>
      <c r="M1645" s="5" t="s">
        <v>22</v>
      </c>
      <c r="N1645" s="5" t="s">
        <v>6459</v>
      </c>
      <c r="O1645" s="5"/>
      <c r="P1645" s="5"/>
      <c r="Q1645" s="5"/>
      <c r="R1645" s="5"/>
      <c r="S1645" s="5"/>
      <c r="T1645" s="5"/>
      <c r="U1645" s="5"/>
      <c r="V1645" s="5"/>
      <c r="W1645" s="5"/>
      <c r="X1645" s="5"/>
      <c r="Y1645" s="5"/>
      <c r="Z1645" s="5"/>
    </row>
    <row r="1646">
      <c r="A1646" s="5" t="s">
        <v>6460</v>
      </c>
      <c r="B1646" s="7" t="s">
        <v>1128</v>
      </c>
      <c r="C1646" s="7" t="s">
        <v>5895</v>
      </c>
      <c r="D1646" s="7" t="s">
        <v>2581</v>
      </c>
      <c r="E1646" s="8">
        <v>1.0</v>
      </c>
      <c r="F1646" s="7" t="s">
        <v>105</v>
      </c>
      <c r="G1646" s="5" t="s">
        <v>19</v>
      </c>
      <c r="H1646" s="7" t="s">
        <v>16</v>
      </c>
      <c r="I1646" s="7" t="s">
        <v>6461</v>
      </c>
      <c r="J1646" s="7" t="s">
        <v>16</v>
      </c>
      <c r="K1646" s="7" t="s">
        <v>16</v>
      </c>
      <c r="L1646" s="7" t="s">
        <v>16</v>
      </c>
      <c r="M1646" s="5" t="s">
        <v>22</v>
      </c>
      <c r="N1646" s="5" t="s">
        <v>6462</v>
      </c>
      <c r="O1646" s="5"/>
      <c r="P1646" s="5"/>
      <c r="Q1646" s="5"/>
      <c r="R1646" s="5"/>
      <c r="S1646" s="5"/>
      <c r="T1646" s="5"/>
      <c r="U1646" s="5"/>
      <c r="V1646" s="5"/>
      <c r="W1646" s="5"/>
      <c r="X1646" s="5"/>
      <c r="Y1646" s="5"/>
      <c r="Z1646" s="5"/>
    </row>
    <row r="1647">
      <c r="A1647" s="5" t="s">
        <v>6463</v>
      </c>
      <c r="B1647" s="7" t="s">
        <v>1128</v>
      </c>
      <c r="C1647" s="7" t="s">
        <v>5899</v>
      </c>
      <c r="D1647" s="7" t="s">
        <v>2581</v>
      </c>
      <c r="E1647" s="8">
        <v>2.0</v>
      </c>
      <c r="F1647" s="7" t="s">
        <v>172</v>
      </c>
      <c r="G1647" s="5" t="s">
        <v>461</v>
      </c>
      <c r="H1647" s="7" t="s">
        <v>16</v>
      </c>
      <c r="I1647" s="7" t="s">
        <v>1136</v>
      </c>
      <c r="J1647" s="36" t="s">
        <v>1137</v>
      </c>
      <c r="K1647" s="8">
        <v>2.0</v>
      </c>
      <c r="L1647" s="7" t="s">
        <v>16</v>
      </c>
      <c r="M1647" s="5" t="s">
        <v>36</v>
      </c>
      <c r="N1647" s="5" t="s">
        <v>6464</v>
      </c>
      <c r="O1647" s="5"/>
      <c r="P1647" s="5"/>
      <c r="Q1647" s="5"/>
      <c r="R1647" s="5"/>
      <c r="S1647" s="5"/>
      <c r="T1647" s="5"/>
      <c r="U1647" s="5"/>
      <c r="V1647" s="5"/>
      <c r="W1647" s="5"/>
      <c r="X1647" s="5"/>
      <c r="Y1647" s="5"/>
      <c r="Z1647" s="5"/>
    </row>
    <row r="1648">
      <c r="A1648" s="5" t="s">
        <v>6465</v>
      </c>
      <c r="B1648" s="7" t="s">
        <v>1128</v>
      </c>
      <c r="C1648" s="7" t="s">
        <v>5903</v>
      </c>
      <c r="D1648" s="7" t="s">
        <v>2581</v>
      </c>
      <c r="E1648" s="8">
        <v>7.0</v>
      </c>
      <c r="F1648" s="7" t="s">
        <v>105</v>
      </c>
      <c r="G1648" s="5" t="s">
        <v>326</v>
      </c>
      <c r="H1648" s="7" t="s">
        <v>16</v>
      </c>
      <c r="I1648" s="7" t="s">
        <v>6466</v>
      </c>
      <c r="J1648" s="36" t="s">
        <v>1161</v>
      </c>
      <c r="K1648" s="8">
        <v>4.0</v>
      </c>
      <c r="L1648" s="7" t="s">
        <v>16</v>
      </c>
      <c r="M1648" s="5" t="s">
        <v>88</v>
      </c>
      <c r="N1648" s="5" t="s">
        <v>6467</v>
      </c>
      <c r="O1648" s="5"/>
      <c r="P1648" s="5"/>
      <c r="Q1648" s="5"/>
      <c r="R1648" s="5"/>
      <c r="S1648" s="5"/>
      <c r="T1648" s="5"/>
      <c r="U1648" s="5"/>
      <c r="V1648" s="5"/>
      <c r="W1648" s="5"/>
      <c r="X1648" s="5"/>
      <c r="Y1648" s="5"/>
      <c r="Z1648" s="5"/>
    </row>
    <row r="1649">
      <c r="A1649" s="5" t="s">
        <v>6468</v>
      </c>
      <c r="B1649" s="7" t="s">
        <v>1128</v>
      </c>
      <c r="C1649" s="7" t="s">
        <v>6469</v>
      </c>
      <c r="D1649" s="7" t="s">
        <v>2581</v>
      </c>
      <c r="E1649" s="8">
        <v>8.0</v>
      </c>
      <c r="F1649" s="7" t="s">
        <v>105</v>
      </c>
      <c r="G1649" s="5" t="s">
        <v>326</v>
      </c>
      <c r="H1649" s="7" t="s">
        <v>16</v>
      </c>
      <c r="I1649" s="7" t="s">
        <v>6470</v>
      </c>
      <c r="J1649" s="36" t="s">
        <v>4746</v>
      </c>
      <c r="K1649" s="8">
        <v>4.0</v>
      </c>
      <c r="L1649" s="7" t="s">
        <v>16</v>
      </c>
      <c r="M1649" s="5" t="s">
        <v>88</v>
      </c>
      <c r="N1649" s="5" t="s">
        <v>6471</v>
      </c>
      <c r="O1649" s="5"/>
      <c r="P1649" s="5"/>
      <c r="Q1649" s="5"/>
      <c r="R1649" s="5"/>
      <c r="S1649" s="5"/>
      <c r="T1649" s="5"/>
      <c r="U1649" s="5"/>
      <c r="V1649" s="5"/>
      <c r="W1649" s="5"/>
      <c r="X1649" s="5"/>
      <c r="Y1649" s="5"/>
      <c r="Z1649" s="5"/>
    </row>
    <row r="1650">
      <c r="A1650" s="5" t="s">
        <v>6472</v>
      </c>
      <c r="B1650" s="7" t="s">
        <v>1128</v>
      </c>
      <c r="C1650" s="7" t="s">
        <v>5977</v>
      </c>
      <c r="D1650" s="7" t="s">
        <v>2767</v>
      </c>
      <c r="E1650" s="8">
        <v>1.0</v>
      </c>
      <c r="F1650" s="7" t="s">
        <v>17</v>
      </c>
      <c r="G1650" s="5" t="s">
        <v>19</v>
      </c>
      <c r="H1650" s="7" t="s">
        <v>16</v>
      </c>
      <c r="I1650" s="7" t="s">
        <v>6473</v>
      </c>
      <c r="J1650" s="7" t="s">
        <v>16</v>
      </c>
      <c r="K1650" s="7" t="s">
        <v>16</v>
      </c>
      <c r="L1650" s="7" t="s">
        <v>16</v>
      </c>
      <c r="M1650" s="5" t="s">
        <v>36</v>
      </c>
      <c r="N1650" s="5" t="s">
        <v>6474</v>
      </c>
      <c r="O1650" s="5"/>
      <c r="P1650" s="5"/>
      <c r="Q1650" s="5"/>
      <c r="R1650" s="5"/>
      <c r="S1650" s="5"/>
      <c r="T1650" s="5"/>
      <c r="U1650" s="5"/>
      <c r="V1650" s="5"/>
      <c r="W1650" s="5"/>
      <c r="X1650" s="5"/>
      <c r="Y1650" s="5"/>
      <c r="Z1650" s="5"/>
    </row>
    <row r="1651">
      <c r="A1651" s="5" t="s">
        <v>6475</v>
      </c>
      <c r="B1651" s="7" t="s">
        <v>1128</v>
      </c>
      <c r="C1651" s="7" t="s">
        <v>5981</v>
      </c>
      <c r="D1651" s="7" t="s">
        <v>2767</v>
      </c>
      <c r="E1651" s="8">
        <v>2.0</v>
      </c>
      <c r="F1651" s="7" t="s">
        <v>17</v>
      </c>
      <c r="G1651" s="5" t="s">
        <v>6476</v>
      </c>
      <c r="H1651" s="7" t="s">
        <v>16</v>
      </c>
      <c r="I1651" s="7" t="s">
        <v>6477</v>
      </c>
      <c r="J1651" s="7" t="s">
        <v>16</v>
      </c>
      <c r="K1651" s="7" t="s">
        <v>16</v>
      </c>
      <c r="L1651" s="7" t="s">
        <v>16</v>
      </c>
      <c r="M1651" s="5" t="s">
        <v>36</v>
      </c>
      <c r="N1651" s="5" t="s">
        <v>6478</v>
      </c>
      <c r="O1651" s="5"/>
      <c r="P1651" s="5"/>
      <c r="Q1651" s="5"/>
      <c r="R1651" s="5"/>
      <c r="S1651" s="5"/>
      <c r="T1651" s="5"/>
      <c r="U1651" s="5"/>
      <c r="V1651" s="5"/>
      <c r="W1651" s="5"/>
      <c r="X1651" s="5"/>
      <c r="Y1651" s="5"/>
      <c r="Z1651" s="5"/>
    </row>
    <row r="1652">
      <c r="A1652" s="5" t="s">
        <v>6479</v>
      </c>
      <c r="B1652" s="7" t="s">
        <v>1128</v>
      </c>
      <c r="C1652" s="7" t="s">
        <v>5985</v>
      </c>
      <c r="D1652" s="7" t="s">
        <v>2767</v>
      </c>
      <c r="E1652" s="8">
        <v>3.0</v>
      </c>
      <c r="F1652" s="7" t="s">
        <v>17</v>
      </c>
      <c r="G1652" s="5" t="s">
        <v>461</v>
      </c>
      <c r="H1652" s="7" t="s">
        <v>4681</v>
      </c>
      <c r="I1652" s="7" t="s">
        <v>6480</v>
      </c>
      <c r="J1652" s="7" t="s">
        <v>16</v>
      </c>
      <c r="K1652" s="7" t="s">
        <v>16</v>
      </c>
      <c r="L1652" s="7" t="s">
        <v>16</v>
      </c>
      <c r="M1652" s="5" t="s">
        <v>88</v>
      </c>
      <c r="N1652" s="5" t="s">
        <v>6481</v>
      </c>
      <c r="O1652" s="5"/>
      <c r="P1652" s="5"/>
      <c r="Q1652" s="5"/>
      <c r="R1652" s="5"/>
      <c r="S1652" s="5"/>
      <c r="T1652" s="5"/>
      <c r="U1652" s="5"/>
      <c r="V1652" s="5"/>
      <c r="W1652" s="5"/>
      <c r="X1652" s="5"/>
      <c r="Y1652" s="5"/>
      <c r="Z1652" s="5"/>
    </row>
    <row r="1653">
      <c r="A1653" s="5" t="s">
        <v>6482</v>
      </c>
      <c r="B1653" s="7" t="s">
        <v>1128</v>
      </c>
      <c r="C1653" s="7" t="s">
        <v>6111</v>
      </c>
      <c r="D1653" s="7" t="s">
        <v>2918</v>
      </c>
      <c r="E1653" s="8">
        <v>1.0</v>
      </c>
      <c r="F1653" s="7" t="s">
        <v>105</v>
      </c>
      <c r="G1653" s="5" t="s">
        <v>19</v>
      </c>
      <c r="H1653" s="7" t="s">
        <v>16</v>
      </c>
      <c r="I1653" s="7" t="s">
        <v>6483</v>
      </c>
      <c r="J1653" s="7" t="s">
        <v>16</v>
      </c>
      <c r="K1653" s="7" t="s">
        <v>16</v>
      </c>
      <c r="L1653" s="7" t="s">
        <v>16</v>
      </c>
      <c r="M1653" s="5" t="s">
        <v>22</v>
      </c>
      <c r="N1653" s="5" t="s">
        <v>6484</v>
      </c>
      <c r="O1653" s="5"/>
      <c r="P1653" s="5"/>
      <c r="Q1653" s="5"/>
      <c r="R1653" s="5"/>
      <c r="S1653" s="5"/>
      <c r="T1653" s="5"/>
      <c r="U1653" s="5"/>
      <c r="V1653" s="5"/>
      <c r="W1653" s="5"/>
      <c r="X1653" s="5"/>
      <c r="Y1653" s="5"/>
      <c r="Z1653" s="5"/>
    </row>
    <row r="1654">
      <c r="A1654" s="5" t="s">
        <v>6485</v>
      </c>
      <c r="B1654" s="7" t="s">
        <v>1128</v>
      </c>
      <c r="C1654" s="7" t="s">
        <v>6115</v>
      </c>
      <c r="D1654" s="7" t="s">
        <v>2918</v>
      </c>
      <c r="E1654" s="8">
        <v>4.0</v>
      </c>
      <c r="F1654" s="7" t="s">
        <v>17</v>
      </c>
      <c r="G1654" s="5" t="s">
        <v>461</v>
      </c>
      <c r="H1654" s="7" t="s">
        <v>16</v>
      </c>
      <c r="I1654" s="7" t="s">
        <v>6486</v>
      </c>
      <c r="J1654" s="7" t="s">
        <v>16</v>
      </c>
      <c r="K1654" s="7" t="s">
        <v>16</v>
      </c>
      <c r="L1654" s="7" t="s">
        <v>16</v>
      </c>
      <c r="M1654" s="5" t="s">
        <v>22</v>
      </c>
      <c r="N1654" s="5" t="s">
        <v>6487</v>
      </c>
      <c r="O1654" s="5"/>
      <c r="P1654" s="5"/>
      <c r="Q1654" s="5"/>
      <c r="R1654" s="5"/>
      <c r="S1654" s="5"/>
      <c r="T1654" s="5"/>
      <c r="U1654" s="5"/>
      <c r="V1654" s="5"/>
      <c r="W1654" s="5"/>
      <c r="X1654" s="5"/>
      <c r="Y1654" s="5"/>
      <c r="Z1654" s="5"/>
    </row>
    <row r="1655">
      <c r="A1655" s="5" t="s">
        <v>6488</v>
      </c>
      <c r="B1655" s="7" t="s">
        <v>1128</v>
      </c>
      <c r="C1655" s="7" t="s">
        <v>6119</v>
      </c>
      <c r="D1655" s="7" t="s">
        <v>2918</v>
      </c>
      <c r="E1655" s="8">
        <v>3.0</v>
      </c>
      <c r="F1655" s="7" t="s">
        <v>172</v>
      </c>
      <c r="G1655" s="5" t="s">
        <v>19</v>
      </c>
      <c r="H1655" s="7" t="s">
        <v>16</v>
      </c>
      <c r="I1655" s="7" t="s">
        <v>6489</v>
      </c>
      <c r="J1655" s="7" t="s">
        <v>16</v>
      </c>
      <c r="K1655" s="7" t="s">
        <v>16</v>
      </c>
      <c r="L1655" s="7" t="s">
        <v>16</v>
      </c>
      <c r="M1655" s="5" t="s">
        <v>22</v>
      </c>
      <c r="N1655" s="5" t="s">
        <v>6490</v>
      </c>
      <c r="O1655" s="5"/>
      <c r="P1655" s="5"/>
      <c r="Q1655" s="5"/>
      <c r="R1655" s="5"/>
      <c r="S1655" s="5"/>
      <c r="T1655" s="5"/>
      <c r="U1655" s="5"/>
      <c r="V1655" s="5"/>
      <c r="W1655" s="5"/>
      <c r="X1655" s="5"/>
      <c r="Y1655" s="5"/>
      <c r="Z1655" s="5"/>
    </row>
    <row r="1656">
      <c r="A1656" s="5" t="s">
        <v>6491</v>
      </c>
      <c r="B1656" s="7" t="s">
        <v>1128</v>
      </c>
      <c r="C1656" s="7" t="s">
        <v>6123</v>
      </c>
      <c r="D1656" s="7" t="s">
        <v>2918</v>
      </c>
      <c r="E1656" s="8">
        <v>1.0</v>
      </c>
      <c r="F1656" s="7" t="s">
        <v>17</v>
      </c>
      <c r="G1656" s="5" t="s">
        <v>19</v>
      </c>
      <c r="H1656" s="7" t="s">
        <v>16</v>
      </c>
      <c r="I1656" s="7" t="s">
        <v>6492</v>
      </c>
      <c r="J1656" s="7" t="s">
        <v>16</v>
      </c>
      <c r="K1656" s="7" t="s">
        <v>16</v>
      </c>
      <c r="L1656" s="7" t="s">
        <v>16</v>
      </c>
      <c r="M1656" s="5" t="s">
        <v>75</v>
      </c>
      <c r="N1656" s="5" t="s">
        <v>6493</v>
      </c>
      <c r="O1656" s="5"/>
      <c r="P1656" s="5"/>
      <c r="Q1656" s="5"/>
      <c r="R1656" s="5"/>
      <c r="S1656" s="5"/>
      <c r="T1656" s="5"/>
      <c r="U1656" s="5"/>
      <c r="V1656" s="5"/>
      <c r="W1656" s="5"/>
      <c r="X1656" s="5"/>
      <c r="Y1656" s="5"/>
      <c r="Z1656" s="5"/>
    </row>
    <row r="1657">
      <c r="A1657" s="5" t="s">
        <v>6494</v>
      </c>
      <c r="B1657" s="7" t="s">
        <v>1128</v>
      </c>
      <c r="C1657" s="7" t="s">
        <v>6495</v>
      </c>
      <c r="D1657" s="7" t="s">
        <v>3092</v>
      </c>
      <c r="E1657" s="8">
        <v>1.0</v>
      </c>
      <c r="F1657" s="7" t="s">
        <v>17</v>
      </c>
      <c r="G1657" s="5" t="s">
        <v>19</v>
      </c>
      <c r="H1657" s="7" t="s">
        <v>16</v>
      </c>
      <c r="I1657" s="7" t="s">
        <v>6496</v>
      </c>
      <c r="J1657" s="36" t="s">
        <v>4742</v>
      </c>
      <c r="K1657" s="8">
        <v>2.0</v>
      </c>
      <c r="L1657" s="7" t="s">
        <v>16</v>
      </c>
      <c r="M1657" s="5" t="s">
        <v>22</v>
      </c>
      <c r="N1657" s="5" t="s">
        <v>6497</v>
      </c>
      <c r="O1657" s="5"/>
      <c r="P1657" s="5"/>
      <c r="Q1657" s="5"/>
      <c r="R1657" s="5"/>
      <c r="S1657" s="5"/>
      <c r="T1657" s="5"/>
      <c r="U1657" s="5"/>
      <c r="V1657" s="5"/>
      <c r="W1657" s="5"/>
      <c r="X1657" s="5"/>
      <c r="Y1657" s="5"/>
      <c r="Z1657" s="5"/>
    </row>
    <row r="1658">
      <c r="A1658" s="5" t="s">
        <v>6498</v>
      </c>
      <c r="B1658" s="7" t="s">
        <v>1128</v>
      </c>
      <c r="C1658" s="7" t="s">
        <v>6499</v>
      </c>
      <c r="D1658" s="7" t="s">
        <v>3092</v>
      </c>
      <c r="E1658" s="8">
        <v>2.0</v>
      </c>
      <c r="F1658" s="7" t="s">
        <v>17</v>
      </c>
      <c r="G1658" s="5" t="s">
        <v>461</v>
      </c>
      <c r="H1658" s="7" t="s">
        <v>16</v>
      </c>
      <c r="I1658" s="7" t="s">
        <v>6500</v>
      </c>
      <c r="J1658" s="36" t="s">
        <v>1132</v>
      </c>
      <c r="K1658" s="8">
        <v>1.0</v>
      </c>
      <c r="L1658" s="7" t="s">
        <v>16</v>
      </c>
      <c r="M1658" s="5" t="s">
        <v>36</v>
      </c>
      <c r="N1658" s="5" t="s">
        <v>6501</v>
      </c>
      <c r="O1658" s="5"/>
      <c r="P1658" s="5"/>
      <c r="Q1658" s="5"/>
      <c r="R1658" s="5"/>
      <c r="S1658" s="5"/>
      <c r="T1658" s="5"/>
      <c r="U1658" s="5"/>
      <c r="V1658" s="5"/>
      <c r="W1658" s="5"/>
      <c r="X1658" s="5"/>
      <c r="Y1658" s="5"/>
      <c r="Z1658" s="5"/>
    </row>
    <row r="1659">
      <c r="A1659" s="5" t="s">
        <v>6502</v>
      </c>
      <c r="B1659" s="7" t="s">
        <v>1128</v>
      </c>
      <c r="C1659" s="7" t="s">
        <v>6503</v>
      </c>
      <c r="D1659" s="7" t="s">
        <v>3092</v>
      </c>
      <c r="E1659" s="8">
        <v>1.0</v>
      </c>
      <c r="F1659" s="7" t="s">
        <v>105</v>
      </c>
      <c r="G1659" s="5" t="s">
        <v>19</v>
      </c>
      <c r="H1659" s="7" t="s">
        <v>16</v>
      </c>
      <c r="I1659" s="7" t="s">
        <v>6504</v>
      </c>
      <c r="J1659" s="36" t="s">
        <v>1132</v>
      </c>
      <c r="K1659" s="8">
        <v>1.0</v>
      </c>
      <c r="L1659" s="7" t="s">
        <v>16</v>
      </c>
      <c r="M1659" s="5" t="s">
        <v>22</v>
      </c>
      <c r="N1659" s="5" t="s">
        <v>6505</v>
      </c>
      <c r="O1659" s="5"/>
      <c r="P1659" s="5"/>
      <c r="Q1659" s="5"/>
      <c r="R1659" s="5"/>
      <c r="S1659" s="5"/>
      <c r="T1659" s="5"/>
      <c r="U1659" s="5"/>
      <c r="V1659" s="5"/>
      <c r="W1659" s="5"/>
      <c r="X1659" s="5"/>
      <c r="Y1659" s="5"/>
      <c r="Z1659" s="5"/>
    </row>
    <row r="1660">
      <c r="A1660" s="5" t="s">
        <v>6506</v>
      </c>
      <c r="B1660" s="7" t="s">
        <v>1128</v>
      </c>
      <c r="C1660" s="7" t="s">
        <v>6507</v>
      </c>
      <c r="D1660" s="7" t="s">
        <v>3092</v>
      </c>
      <c r="E1660" s="8">
        <v>1.0</v>
      </c>
      <c r="F1660" s="7" t="s">
        <v>172</v>
      </c>
      <c r="G1660" s="5" t="s">
        <v>461</v>
      </c>
      <c r="H1660" s="7" t="s">
        <v>16</v>
      </c>
      <c r="I1660" s="7" t="s">
        <v>6508</v>
      </c>
      <c r="J1660" s="36" t="s">
        <v>1146</v>
      </c>
      <c r="K1660" s="7" t="s">
        <v>16</v>
      </c>
      <c r="L1660" s="7" t="s">
        <v>16</v>
      </c>
      <c r="M1660" s="5" t="s">
        <v>36</v>
      </c>
      <c r="N1660" s="5" t="s">
        <v>6509</v>
      </c>
      <c r="O1660" s="5"/>
      <c r="P1660" s="5"/>
      <c r="Q1660" s="5"/>
      <c r="R1660" s="5"/>
      <c r="S1660" s="5"/>
      <c r="T1660" s="5"/>
      <c r="U1660" s="5"/>
      <c r="V1660" s="5"/>
      <c r="W1660" s="5"/>
      <c r="X1660" s="5"/>
      <c r="Y1660" s="5"/>
      <c r="Z1660" s="5"/>
    </row>
    <row r="1661">
      <c r="A1661" s="5" t="s">
        <v>6510</v>
      </c>
      <c r="B1661" s="7" t="s">
        <v>1128</v>
      </c>
      <c r="C1661" s="7" t="s">
        <v>6511</v>
      </c>
      <c r="D1661" s="7" t="s">
        <v>3092</v>
      </c>
      <c r="E1661" s="8">
        <v>7.0</v>
      </c>
      <c r="F1661" s="7" t="s">
        <v>105</v>
      </c>
      <c r="G1661" s="5" t="s">
        <v>326</v>
      </c>
      <c r="H1661" s="7" t="s">
        <v>16</v>
      </c>
      <c r="I1661" s="7" t="s">
        <v>6512</v>
      </c>
      <c r="J1661" s="36" t="s">
        <v>1154</v>
      </c>
      <c r="K1661" s="8">
        <v>3.0</v>
      </c>
      <c r="L1661" s="7" t="s">
        <v>16</v>
      </c>
      <c r="M1661" s="5" t="s">
        <v>88</v>
      </c>
      <c r="N1661" s="5" t="s">
        <v>6513</v>
      </c>
      <c r="O1661" s="5"/>
      <c r="P1661" s="5"/>
      <c r="Q1661" s="5"/>
      <c r="R1661" s="5"/>
      <c r="S1661" s="5"/>
      <c r="T1661" s="5"/>
      <c r="U1661" s="5"/>
      <c r="V1661" s="5"/>
      <c r="W1661" s="5"/>
      <c r="X1661" s="5"/>
      <c r="Y1661" s="5"/>
      <c r="Z1661" s="5"/>
    </row>
    <row r="1662">
      <c r="A1662" s="5" t="s">
        <v>6514</v>
      </c>
      <c r="B1662" s="7" t="s">
        <v>1128</v>
      </c>
      <c r="C1662" s="7" t="s">
        <v>6515</v>
      </c>
      <c r="D1662" s="7" t="s">
        <v>3092</v>
      </c>
      <c r="E1662" s="8">
        <v>2.0</v>
      </c>
      <c r="F1662" s="7" t="s">
        <v>105</v>
      </c>
      <c r="G1662" s="5" t="s">
        <v>461</v>
      </c>
      <c r="H1662" s="7" t="s">
        <v>16</v>
      </c>
      <c r="I1662" s="7" t="s">
        <v>6516</v>
      </c>
      <c r="J1662" s="8">
        <v>2000.0</v>
      </c>
      <c r="K1662" s="8">
        <v>1.0</v>
      </c>
      <c r="L1662" s="7" t="s">
        <v>16</v>
      </c>
      <c r="M1662" s="5" t="s">
        <v>22</v>
      </c>
      <c r="N1662" s="5" t="s">
        <v>6517</v>
      </c>
      <c r="O1662" s="5"/>
      <c r="P1662" s="5"/>
      <c r="Q1662" s="5"/>
      <c r="R1662" s="5"/>
      <c r="S1662" s="5"/>
      <c r="T1662" s="5"/>
      <c r="U1662" s="5"/>
      <c r="V1662" s="5"/>
      <c r="W1662" s="5"/>
      <c r="X1662" s="5"/>
      <c r="Y1662" s="5"/>
      <c r="Z1662" s="5"/>
    </row>
    <row r="1663">
      <c r="A1663" s="5" t="s">
        <v>6518</v>
      </c>
      <c r="B1663" s="7" t="s">
        <v>1128</v>
      </c>
      <c r="C1663" s="7" t="s">
        <v>6092</v>
      </c>
      <c r="D1663" s="7" t="s">
        <v>2883</v>
      </c>
      <c r="E1663" s="8">
        <v>7.0</v>
      </c>
      <c r="F1663" s="7" t="s">
        <v>105</v>
      </c>
      <c r="G1663" s="5" t="s">
        <v>326</v>
      </c>
      <c r="H1663" s="7" t="s">
        <v>16</v>
      </c>
      <c r="I1663" s="7" t="s">
        <v>6519</v>
      </c>
      <c r="J1663" s="36" t="s">
        <v>1161</v>
      </c>
      <c r="K1663" s="8">
        <v>3.0</v>
      </c>
      <c r="L1663" s="7" t="s">
        <v>16</v>
      </c>
      <c r="M1663" s="5" t="s">
        <v>88</v>
      </c>
      <c r="N1663" s="5" t="s">
        <v>6520</v>
      </c>
      <c r="O1663" s="5"/>
      <c r="P1663" s="5"/>
      <c r="Q1663" s="5"/>
      <c r="R1663" s="5"/>
      <c r="S1663" s="5"/>
      <c r="T1663" s="5"/>
      <c r="U1663" s="5"/>
      <c r="V1663" s="5"/>
      <c r="W1663" s="5"/>
      <c r="X1663" s="5"/>
      <c r="Y1663" s="5"/>
      <c r="Z1663" s="5"/>
    </row>
    <row r="1664">
      <c r="A1664" s="5" t="s">
        <v>6521</v>
      </c>
      <c r="B1664" s="7" t="s">
        <v>1128</v>
      </c>
      <c r="C1664" s="7" t="s">
        <v>6096</v>
      </c>
      <c r="D1664" s="7" t="s">
        <v>2883</v>
      </c>
      <c r="E1664" s="8">
        <v>1.0</v>
      </c>
      <c r="F1664" s="7" t="s">
        <v>17</v>
      </c>
      <c r="G1664" s="5" t="s">
        <v>19</v>
      </c>
      <c r="H1664" s="7" t="s">
        <v>16</v>
      </c>
      <c r="I1664" s="7" t="s">
        <v>5415</v>
      </c>
      <c r="J1664" s="36" t="s">
        <v>1261</v>
      </c>
      <c r="K1664" s="8">
        <v>1.0</v>
      </c>
      <c r="L1664" s="7" t="s">
        <v>16</v>
      </c>
      <c r="M1664" s="5" t="s">
        <v>36</v>
      </c>
      <c r="N1664" s="5" t="s">
        <v>6522</v>
      </c>
      <c r="O1664" s="5"/>
      <c r="P1664" s="5"/>
      <c r="Q1664" s="5"/>
      <c r="R1664" s="5"/>
      <c r="S1664" s="5"/>
      <c r="T1664" s="5"/>
      <c r="U1664" s="5"/>
      <c r="V1664" s="5"/>
      <c r="W1664" s="5"/>
      <c r="X1664" s="5"/>
      <c r="Y1664" s="5"/>
      <c r="Z1664" s="5"/>
    </row>
    <row r="1665">
      <c r="A1665" s="5" t="s">
        <v>6523</v>
      </c>
      <c r="B1665" s="7" t="s">
        <v>1128</v>
      </c>
      <c r="C1665" s="7" t="s">
        <v>6100</v>
      </c>
      <c r="D1665" s="7" t="s">
        <v>2883</v>
      </c>
      <c r="E1665" s="8">
        <v>1.0</v>
      </c>
      <c r="F1665" s="7" t="s">
        <v>17</v>
      </c>
      <c r="G1665" s="7" t="s">
        <v>19</v>
      </c>
      <c r="H1665" s="7" t="s">
        <v>16</v>
      </c>
      <c r="I1665" s="7" t="s">
        <v>6524</v>
      </c>
      <c r="J1665" s="36" t="s">
        <v>1261</v>
      </c>
      <c r="K1665" s="8">
        <v>2.0</v>
      </c>
      <c r="L1665" s="7" t="s">
        <v>16</v>
      </c>
      <c r="M1665" s="5" t="s">
        <v>22</v>
      </c>
      <c r="N1665" s="5" t="s">
        <v>6525</v>
      </c>
      <c r="O1665" s="5"/>
      <c r="P1665" s="5"/>
      <c r="Q1665" s="5"/>
      <c r="R1665" s="5"/>
      <c r="S1665" s="5"/>
      <c r="T1665" s="5"/>
      <c r="U1665" s="5"/>
      <c r="V1665" s="5"/>
      <c r="W1665" s="5"/>
      <c r="X1665" s="5"/>
      <c r="Y1665" s="5"/>
      <c r="Z1665" s="5"/>
    </row>
    <row r="1666">
      <c r="A1666" s="5" t="s">
        <v>6526</v>
      </c>
      <c r="B1666" s="7" t="s">
        <v>1128</v>
      </c>
      <c r="C1666" s="7" t="s">
        <v>6104</v>
      </c>
      <c r="D1666" s="7" t="s">
        <v>2883</v>
      </c>
      <c r="E1666" s="8">
        <v>2.0</v>
      </c>
      <c r="F1666" s="7" t="s">
        <v>17</v>
      </c>
      <c r="G1666" s="5" t="s">
        <v>461</v>
      </c>
      <c r="H1666" s="7" t="s">
        <v>16</v>
      </c>
      <c r="I1666" s="7" t="s">
        <v>6527</v>
      </c>
      <c r="J1666" s="36" t="s">
        <v>1132</v>
      </c>
      <c r="K1666" s="8">
        <v>2.0</v>
      </c>
      <c r="L1666" s="7" t="s">
        <v>16</v>
      </c>
      <c r="M1666" s="5" t="s">
        <v>36</v>
      </c>
      <c r="N1666" s="5" t="s">
        <v>6528</v>
      </c>
      <c r="O1666" s="5"/>
      <c r="P1666" s="5"/>
      <c r="Q1666" s="5"/>
      <c r="R1666" s="5"/>
      <c r="S1666" s="5"/>
      <c r="T1666" s="5"/>
      <c r="U1666" s="5"/>
      <c r="V1666" s="5"/>
      <c r="W1666" s="5"/>
      <c r="X1666" s="5"/>
      <c r="Y1666" s="5"/>
      <c r="Z1666" s="5"/>
    </row>
    <row r="1667">
      <c r="A1667" s="5" t="s">
        <v>6529</v>
      </c>
      <c r="B1667" s="7" t="s">
        <v>1128</v>
      </c>
      <c r="C1667" s="7" t="s">
        <v>6107</v>
      </c>
      <c r="D1667" s="7" t="s">
        <v>2883</v>
      </c>
      <c r="E1667" s="8">
        <v>5.0</v>
      </c>
      <c r="F1667" s="7" t="s">
        <v>17</v>
      </c>
      <c r="G1667" s="5" t="s">
        <v>461</v>
      </c>
      <c r="H1667" s="7" t="s">
        <v>16</v>
      </c>
      <c r="I1667" s="7" t="s">
        <v>6530</v>
      </c>
      <c r="J1667" s="36" t="s">
        <v>1146</v>
      </c>
      <c r="K1667" s="8">
        <v>3.0</v>
      </c>
      <c r="L1667" s="7" t="s">
        <v>16</v>
      </c>
      <c r="M1667" s="5" t="s">
        <v>36</v>
      </c>
      <c r="N1667" s="5" t="s">
        <v>6531</v>
      </c>
      <c r="O1667" s="5"/>
      <c r="P1667" s="5"/>
      <c r="Q1667" s="5"/>
      <c r="R1667" s="5"/>
      <c r="S1667" s="5"/>
      <c r="T1667" s="5"/>
      <c r="U1667" s="5"/>
      <c r="V1667" s="5"/>
      <c r="W1667" s="5"/>
      <c r="X1667" s="5"/>
      <c r="Y1667" s="5"/>
      <c r="Z1667" s="5"/>
    </row>
    <row r="1668">
      <c r="A1668" s="5" t="s">
        <v>6532</v>
      </c>
      <c r="B1668" s="7" t="s">
        <v>1128</v>
      </c>
      <c r="C1668" s="7" t="s">
        <v>6533</v>
      </c>
      <c r="D1668" s="7" t="s">
        <v>2913</v>
      </c>
      <c r="E1668" s="8">
        <v>9.0</v>
      </c>
      <c r="F1668" s="7" t="s">
        <v>105</v>
      </c>
      <c r="G1668" s="5" t="s">
        <v>326</v>
      </c>
      <c r="H1668" s="7" t="s">
        <v>16</v>
      </c>
      <c r="I1668" s="7" t="s">
        <v>6534</v>
      </c>
      <c r="J1668" s="36" t="s">
        <v>5569</v>
      </c>
      <c r="K1668" s="8">
        <v>3.0</v>
      </c>
      <c r="L1668" s="7" t="s">
        <v>16</v>
      </c>
      <c r="M1668" s="5" t="s">
        <v>88</v>
      </c>
      <c r="N1668" s="5" t="s">
        <v>6535</v>
      </c>
      <c r="O1668" s="5"/>
      <c r="P1668" s="5"/>
      <c r="Q1668" s="5"/>
      <c r="R1668" s="5"/>
      <c r="S1668" s="5"/>
      <c r="T1668" s="5"/>
      <c r="U1668" s="5"/>
      <c r="V1668" s="5"/>
      <c r="W1668" s="5"/>
      <c r="X1668" s="5"/>
      <c r="Y1668" s="5"/>
      <c r="Z1668" s="5"/>
    </row>
    <row r="1669">
      <c r="A1669" s="5" t="s">
        <v>6536</v>
      </c>
      <c r="B1669" s="7" t="s">
        <v>1128</v>
      </c>
      <c r="C1669" s="7" t="s">
        <v>6297</v>
      </c>
      <c r="D1669" s="7" t="s">
        <v>3079</v>
      </c>
      <c r="E1669" s="8">
        <v>1.0</v>
      </c>
      <c r="F1669" s="7" t="s">
        <v>17</v>
      </c>
      <c r="G1669" s="5" t="s">
        <v>19</v>
      </c>
      <c r="H1669" s="7" t="s">
        <v>16</v>
      </c>
      <c r="I1669" s="7" t="s">
        <v>6537</v>
      </c>
      <c r="J1669" s="36" t="s">
        <v>1137</v>
      </c>
      <c r="K1669" s="7" t="s">
        <v>16</v>
      </c>
      <c r="L1669" s="7" t="s">
        <v>16</v>
      </c>
      <c r="M1669" s="5" t="s">
        <v>36</v>
      </c>
      <c r="N1669" s="5" t="s">
        <v>6538</v>
      </c>
      <c r="O1669" s="5"/>
      <c r="P1669" s="5"/>
      <c r="Q1669" s="5"/>
      <c r="R1669" s="5"/>
      <c r="S1669" s="5"/>
      <c r="T1669" s="5"/>
      <c r="U1669" s="5"/>
      <c r="V1669" s="5"/>
      <c r="W1669" s="5"/>
      <c r="X1669" s="5"/>
      <c r="Y1669" s="5"/>
      <c r="Z1669" s="5"/>
    </row>
    <row r="1670">
      <c r="A1670" s="5" t="s">
        <v>6539</v>
      </c>
      <c r="B1670" s="7" t="s">
        <v>1128</v>
      </c>
      <c r="C1670" s="7" t="s">
        <v>6301</v>
      </c>
      <c r="D1670" s="7" t="s">
        <v>3079</v>
      </c>
      <c r="E1670" s="8">
        <v>2.0</v>
      </c>
      <c r="F1670" s="7" t="s">
        <v>17</v>
      </c>
      <c r="G1670" s="5" t="s">
        <v>461</v>
      </c>
      <c r="H1670" s="7" t="s">
        <v>16</v>
      </c>
      <c r="I1670" s="7" t="s">
        <v>6527</v>
      </c>
      <c r="J1670" s="36" t="s">
        <v>1132</v>
      </c>
      <c r="K1670" s="8">
        <v>2.0</v>
      </c>
      <c r="L1670" s="7" t="s">
        <v>16</v>
      </c>
      <c r="M1670" s="5" t="s">
        <v>36</v>
      </c>
      <c r="N1670" s="5" t="s">
        <v>6540</v>
      </c>
      <c r="O1670" s="5"/>
      <c r="P1670" s="5"/>
      <c r="Q1670" s="5"/>
      <c r="R1670" s="5"/>
      <c r="S1670" s="5"/>
      <c r="T1670" s="5"/>
      <c r="U1670" s="5"/>
      <c r="V1670" s="5"/>
      <c r="W1670" s="5"/>
      <c r="X1670" s="5"/>
      <c r="Y1670" s="5"/>
      <c r="Z1670" s="5"/>
    </row>
    <row r="1671">
      <c r="A1671" s="5" t="s">
        <v>6541</v>
      </c>
      <c r="B1671" s="7" t="s">
        <v>1128</v>
      </c>
      <c r="C1671" s="7" t="s">
        <v>6305</v>
      </c>
      <c r="D1671" s="7" t="s">
        <v>3079</v>
      </c>
      <c r="E1671" s="8">
        <v>1.0</v>
      </c>
      <c r="F1671" s="7" t="s">
        <v>17</v>
      </c>
      <c r="G1671" s="5" t="s">
        <v>19</v>
      </c>
      <c r="H1671" s="7" t="s">
        <v>16</v>
      </c>
      <c r="I1671" s="7" t="s">
        <v>6542</v>
      </c>
      <c r="J1671" s="7" t="s">
        <v>16</v>
      </c>
      <c r="K1671" s="7" t="s">
        <v>16</v>
      </c>
      <c r="L1671" s="7" t="s">
        <v>16</v>
      </c>
      <c r="M1671" s="5" t="s">
        <v>22</v>
      </c>
      <c r="N1671" s="5" t="s">
        <v>6543</v>
      </c>
      <c r="O1671" s="5"/>
      <c r="P1671" s="5"/>
      <c r="Q1671" s="5"/>
      <c r="R1671" s="5"/>
      <c r="S1671" s="5"/>
      <c r="T1671" s="5"/>
      <c r="U1671" s="5"/>
      <c r="V1671" s="5"/>
      <c r="W1671" s="5"/>
      <c r="X1671" s="5"/>
      <c r="Y1671" s="5"/>
      <c r="Z1671" s="5"/>
    </row>
    <row r="1672">
      <c r="A1672" s="5" t="s">
        <v>6544</v>
      </c>
      <c r="B1672" s="7" t="s">
        <v>1128</v>
      </c>
      <c r="C1672" s="7" t="s">
        <v>6309</v>
      </c>
      <c r="D1672" s="7" t="s">
        <v>3079</v>
      </c>
      <c r="E1672" s="8">
        <v>1.0</v>
      </c>
      <c r="F1672" s="7" t="s">
        <v>105</v>
      </c>
      <c r="G1672" s="5" t="s">
        <v>461</v>
      </c>
      <c r="H1672" s="7" t="s">
        <v>16</v>
      </c>
      <c r="I1672" s="7" t="s">
        <v>6545</v>
      </c>
      <c r="J1672" s="36" t="s">
        <v>1137</v>
      </c>
      <c r="K1672" s="8">
        <v>2.0</v>
      </c>
      <c r="L1672" s="7" t="s">
        <v>16</v>
      </c>
      <c r="M1672" s="5" t="s">
        <v>36</v>
      </c>
      <c r="N1672" s="5" t="s">
        <v>6546</v>
      </c>
      <c r="O1672" s="5"/>
      <c r="P1672" s="5"/>
      <c r="Q1672" s="5"/>
      <c r="R1672" s="5"/>
      <c r="S1672" s="5"/>
      <c r="T1672" s="5"/>
      <c r="U1672" s="5"/>
      <c r="V1672" s="5"/>
      <c r="W1672" s="5"/>
      <c r="X1672" s="5"/>
      <c r="Y1672" s="5"/>
      <c r="Z1672" s="5"/>
    </row>
    <row r="1673">
      <c r="A1673" s="5" t="s">
        <v>6547</v>
      </c>
      <c r="B1673" s="7" t="s">
        <v>1128</v>
      </c>
      <c r="C1673" s="7" t="s">
        <v>6548</v>
      </c>
      <c r="D1673" s="7" t="s">
        <v>3079</v>
      </c>
      <c r="E1673" s="8">
        <v>7.0</v>
      </c>
      <c r="F1673" s="7" t="s">
        <v>105</v>
      </c>
      <c r="G1673" s="5" t="s">
        <v>326</v>
      </c>
      <c r="H1673" s="7" t="s">
        <v>16</v>
      </c>
      <c r="I1673" s="7" t="s">
        <v>6549</v>
      </c>
      <c r="J1673" s="36" t="s">
        <v>1154</v>
      </c>
      <c r="K1673" s="8">
        <v>3.0</v>
      </c>
      <c r="L1673" s="7" t="s">
        <v>16</v>
      </c>
      <c r="M1673" s="5" t="s">
        <v>88</v>
      </c>
      <c r="N1673" s="5" t="s">
        <v>6550</v>
      </c>
      <c r="O1673" s="5"/>
      <c r="P1673" s="5"/>
      <c r="Q1673" s="5"/>
      <c r="R1673" s="5"/>
      <c r="S1673" s="5"/>
      <c r="T1673" s="5"/>
      <c r="U1673" s="5"/>
      <c r="V1673" s="5"/>
      <c r="W1673" s="5"/>
      <c r="X1673" s="5"/>
      <c r="Y1673" s="5"/>
      <c r="Z1673" s="5"/>
    </row>
    <row r="1674">
      <c r="A1674" s="5" t="s">
        <v>6551</v>
      </c>
      <c r="B1674" s="7" t="s">
        <v>1128</v>
      </c>
      <c r="C1674" s="7" t="s">
        <v>6326</v>
      </c>
      <c r="D1674" s="7" t="s">
        <v>3084</v>
      </c>
      <c r="E1674" s="8">
        <v>2.0</v>
      </c>
      <c r="F1674" s="7" t="s">
        <v>105</v>
      </c>
      <c r="G1674" s="5" t="s">
        <v>19</v>
      </c>
      <c r="H1674" s="7" t="s">
        <v>16</v>
      </c>
      <c r="I1674" s="7" t="s">
        <v>6552</v>
      </c>
      <c r="J1674" s="36" t="s">
        <v>1137</v>
      </c>
      <c r="K1674" s="8">
        <v>2.0</v>
      </c>
      <c r="L1674" s="7" t="s">
        <v>16</v>
      </c>
      <c r="M1674" s="5" t="s">
        <v>22</v>
      </c>
      <c r="N1674" s="5" t="s">
        <v>6553</v>
      </c>
      <c r="O1674" s="5"/>
      <c r="P1674" s="5"/>
      <c r="Q1674" s="5"/>
      <c r="R1674" s="5"/>
      <c r="S1674" s="5"/>
      <c r="T1674" s="5"/>
      <c r="U1674" s="5"/>
      <c r="V1674" s="5"/>
      <c r="W1674" s="5"/>
      <c r="X1674" s="5"/>
      <c r="Y1674" s="5"/>
      <c r="Z1674" s="5"/>
    </row>
    <row r="1675">
      <c r="A1675" s="5" t="s">
        <v>6554</v>
      </c>
      <c r="B1675" s="7" t="s">
        <v>1128</v>
      </c>
      <c r="C1675" s="7" t="s">
        <v>6329</v>
      </c>
      <c r="D1675" s="7" t="s">
        <v>3084</v>
      </c>
      <c r="E1675" s="8">
        <v>2.0</v>
      </c>
      <c r="F1675" s="7" t="s">
        <v>17</v>
      </c>
      <c r="G1675" s="5" t="s">
        <v>19</v>
      </c>
      <c r="H1675" s="7" t="s">
        <v>16</v>
      </c>
      <c r="I1675" s="7" t="s">
        <v>6438</v>
      </c>
      <c r="J1675" s="36" t="s">
        <v>1261</v>
      </c>
      <c r="K1675" s="8">
        <v>1.0</v>
      </c>
      <c r="L1675" s="7" t="s">
        <v>16</v>
      </c>
      <c r="M1675" s="5" t="s">
        <v>22</v>
      </c>
      <c r="N1675" s="5" t="s">
        <v>6555</v>
      </c>
      <c r="O1675" s="5"/>
      <c r="P1675" s="5"/>
      <c r="Q1675" s="5"/>
      <c r="R1675" s="5"/>
      <c r="S1675" s="5"/>
      <c r="T1675" s="5"/>
      <c r="U1675" s="5"/>
      <c r="V1675" s="5"/>
      <c r="W1675" s="5"/>
      <c r="X1675" s="5"/>
      <c r="Y1675" s="5"/>
      <c r="Z1675" s="5"/>
    </row>
    <row r="1676">
      <c r="A1676" s="5" t="s">
        <v>6556</v>
      </c>
      <c r="B1676" s="7" t="s">
        <v>1128</v>
      </c>
      <c r="C1676" s="7" t="s">
        <v>6557</v>
      </c>
      <c r="D1676" s="7" t="s">
        <v>3084</v>
      </c>
      <c r="E1676" s="8">
        <v>6.0</v>
      </c>
      <c r="F1676" s="7" t="s">
        <v>105</v>
      </c>
      <c r="G1676" s="5" t="s">
        <v>326</v>
      </c>
      <c r="H1676" s="7" t="s">
        <v>16</v>
      </c>
      <c r="I1676" s="7" t="s">
        <v>6558</v>
      </c>
      <c r="J1676" s="36" t="s">
        <v>1154</v>
      </c>
      <c r="K1676" s="8">
        <v>3.0</v>
      </c>
      <c r="L1676" s="7" t="s">
        <v>16</v>
      </c>
      <c r="M1676" s="5" t="s">
        <v>88</v>
      </c>
      <c r="N1676" s="5" t="s">
        <v>6559</v>
      </c>
      <c r="O1676" s="5"/>
      <c r="P1676" s="5"/>
      <c r="Q1676" s="5"/>
      <c r="R1676" s="5"/>
      <c r="S1676" s="5"/>
      <c r="T1676" s="5"/>
      <c r="U1676" s="5"/>
      <c r="V1676" s="5"/>
      <c r="W1676" s="5"/>
      <c r="X1676" s="5"/>
      <c r="Y1676" s="5"/>
      <c r="Z1676" s="5"/>
    </row>
    <row r="1677">
      <c r="A1677" s="5" t="s">
        <v>6560</v>
      </c>
      <c r="B1677" s="7" t="s">
        <v>1128</v>
      </c>
      <c r="C1677" s="7" t="s">
        <v>6561</v>
      </c>
      <c r="D1677" s="7" t="s">
        <v>3069</v>
      </c>
      <c r="E1677" s="8">
        <v>2.0</v>
      </c>
      <c r="F1677" s="7" t="s">
        <v>105</v>
      </c>
      <c r="G1677" s="5" t="s">
        <v>19</v>
      </c>
      <c r="H1677" s="7" t="s">
        <v>16</v>
      </c>
      <c r="I1677" s="7" t="s">
        <v>6562</v>
      </c>
      <c r="J1677" s="7" t="s">
        <v>16</v>
      </c>
      <c r="K1677" s="7" t="s">
        <v>16</v>
      </c>
      <c r="L1677" s="7" t="s">
        <v>16</v>
      </c>
      <c r="M1677" s="5" t="s">
        <v>22</v>
      </c>
      <c r="N1677" s="5" t="s">
        <v>6563</v>
      </c>
      <c r="O1677" s="5"/>
      <c r="P1677" s="5"/>
      <c r="Q1677" s="5"/>
      <c r="R1677" s="5"/>
      <c r="S1677" s="5"/>
      <c r="T1677" s="5"/>
      <c r="U1677" s="5"/>
      <c r="V1677" s="5"/>
      <c r="W1677" s="5"/>
      <c r="X1677" s="5"/>
      <c r="Y1677" s="5"/>
      <c r="Z1677" s="5"/>
    </row>
    <row r="1678">
      <c r="A1678" s="5" t="s">
        <v>6564</v>
      </c>
      <c r="B1678" s="7" t="s">
        <v>1128</v>
      </c>
      <c r="C1678" s="7" t="s">
        <v>6565</v>
      </c>
      <c r="D1678" s="7" t="s">
        <v>3069</v>
      </c>
      <c r="E1678" s="8">
        <v>1.0</v>
      </c>
      <c r="F1678" s="7" t="s">
        <v>17</v>
      </c>
      <c r="G1678" s="5" t="s">
        <v>19</v>
      </c>
      <c r="H1678" s="7" t="s">
        <v>16</v>
      </c>
      <c r="I1678" s="7" t="s">
        <v>6566</v>
      </c>
      <c r="J1678" s="36" t="s">
        <v>1132</v>
      </c>
      <c r="K1678" s="8">
        <v>1.0</v>
      </c>
      <c r="L1678" s="7" t="s">
        <v>16</v>
      </c>
      <c r="M1678" s="5" t="s">
        <v>22</v>
      </c>
      <c r="N1678" s="5" t="s">
        <v>6567</v>
      </c>
      <c r="O1678" s="5"/>
      <c r="P1678" s="5"/>
      <c r="Q1678" s="5"/>
      <c r="R1678" s="5"/>
      <c r="S1678" s="5"/>
      <c r="T1678" s="5"/>
      <c r="U1678" s="5"/>
      <c r="V1678" s="5"/>
      <c r="W1678" s="5"/>
      <c r="X1678" s="5"/>
      <c r="Y1678" s="5"/>
      <c r="Z1678" s="5"/>
    </row>
    <row r="1679">
      <c r="A1679" s="5" t="s">
        <v>6568</v>
      </c>
      <c r="B1679" s="7" t="s">
        <v>1128</v>
      </c>
      <c r="C1679" s="7" t="s">
        <v>6569</v>
      </c>
      <c r="D1679" s="7" t="s">
        <v>3069</v>
      </c>
      <c r="E1679" s="8">
        <v>7.0</v>
      </c>
      <c r="F1679" s="7" t="s">
        <v>105</v>
      </c>
      <c r="G1679" s="5" t="s">
        <v>326</v>
      </c>
      <c r="H1679" s="7" t="s">
        <v>16</v>
      </c>
      <c r="I1679" s="7" t="s">
        <v>6570</v>
      </c>
      <c r="J1679" s="36" t="s">
        <v>1161</v>
      </c>
      <c r="K1679" s="8">
        <v>3.0</v>
      </c>
      <c r="L1679" s="7" t="s">
        <v>16</v>
      </c>
      <c r="M1679" s="5" t="s">
        <v>88</v>
      </c>
      <c r="N1679" s="5" t="s">
        <v>6571</v>
      </c>
      <c r="O1679" s="5"/>
      <c r="P1679" s="5"/>
      <c r="Q1679" s="5"/>
      <c r="R1679" s="5"/>
      <c r="S1679" s="5"/>
      <c r="T1679" s="5"/>
      <c r="U1679" s="5"/>
      <c r="V1679" s="5"/>
      <c r="W1679" s="5"/>
      <c r="X1679" s="5"/>
      <c r="Y1679" s="5"/>
      <c r="Z1679" s="5"/>
    </row>
    <row r="1680">
      <c r="A1680" s="5" t="s">
        <v>6572</v>
      </c>
      <c r="B1680" s="7" t="s">
        <v>1128</v>
      </c>
      <c r="C1680" s="7" t="s">
        <v>6573</v>
      </c>
      <c r="D1680" s="7" t="s">
        <v>1068</v>
      </c>
      <c r="E1680" s="8">
        <v>6.0</v>
      </c>
      <c r="F1680" s="7" t="s">
        <v>17</v>
      </c>
      <c r="G1680" s="5" t="s">
        <v>326</v>
      </c>
      <c r="H1680" s="7" t="s">
        <v>1130</v>
      </c>
      <c r="I1680" s="7" t="s">
        <v>6574</v>
      </c>
      <c r="J1680" s="36" t="s">
        <v>1154</v>
      </c>
      <c r="K1680" s="8">
        <v>3.0</v>
      </c>
      <c r="L1680" s="7" t="s">
        <v>16</v>
      </c>
      <c r="M1680" s="5" t="s">
        <v>88</v>
      </c>
      <c r="N1680" s="5" t="s">
        <v>6575</v>
      </c>
      <c r="O1680" s="5"/>
      <c r="P1680" s="5"/>
      <c r="Q1680" s="5"/>
      <c r="R1680" s="5"/>
      <c r="S1680" s="5"/>
      <c r="T1680" s="5"/>
      <c r="U1680" s="5"/>
      <c r="V1680" s="5"/>
      <c r="W1680" s="5"/>
      <c r="X1680" s="5"/>
      <c r="Y1680" s="5"/>
      <c r="Z1680" s="5"/>
    </row>
    <row r="1681">
      <c r="A1681" s="5" t="s">
        <v>6576</v>
      </c>
      <c r="B1681" s="7" t="s">
        <v>1128</v>
      </c>
      <c r="C1681" s="7" t="s">
        <v>1446</v>
      </c>
      <c r="D1681" s="7" t="s">
        <v>1068</v>
      </c>
      <c r="E1681" s="8">
        <v>1.0</v>
      </c>
      <c r="F1681" s="7" t="s">
        <v>17</v>
      </c>
      <c r="G1681" s="5" t="s">
        <v>19</v>
      </c>
      <c r="H1681" s="7" t="s">
        <v>1130</v>
      </c>
      <c r="I1681" s="7" t="s">
        <v>5933</v>
      </c>
      <c r="J1681" s="7" t="s">
        <v>16</v>
      </c>
      <c r="K1681" s="7" t="s">
        <v>16</v>
      </c>
      <c r="L1681" s="7" t="s">
        <v>16</v>
      </c>
      <c r="M1681" s="5" t="s">
        <v>36</v>
      </c>
      <c r="N1681" s="5" t="s">
        <v>6577</v>
      </c>
      <c r="O1681" s="5"/>
      <c r="P1681" s="5"/>
      <c r="Q1681" s="5"/>
      <c r="R1681" s="5"/>
      <c r="S1681" s="5"/>
      <c r="T1681" s="5"/>
      <c r="U1681" s="5"/>
      <c r="V1681" s="5"/>
      <c r="W1681" s="5"/>
      <c r="X1681" s="5"/>
      <c r="Y1681" s="5"/>
      <c r="Z1681" s="5"/>
    </row>
    <row r="1682">
      <c r="A1682" s="5" t="s">
        <v>6578</v>
      </c>
      <c r="B1682" s="7" t="s">
        <v>1128</v>
      </c>
      <c r="C1682" s="7" t="s">
        <v>4476</v>
      </c>
      <c r="D1682" s="7" t="s">
        <v>1068</v>
      </c>
      <c r="E1682" s="8">
        <v>1.0</v>
      </c>
      <c r="F1682" s="7" t="s">
        <v>17</v>
      </c>
      <c r="G1682" s="5" t="s">
        <v>461</v>
      </c>
      <c r="H1682" s="7" t="s">
        <v>1130</v>
      </c>
      <c r="I1682" s="7" t="s">
        <v>6579</v>
      </c>
      <c r="J1682" s="7" t="s">
        <v>16</v>
      </c>
      <c r="K1682" s="7" t="s">
        <v>16</v>
      </c>
      <c r="L1682" s="7" t="s">
        <v>16</v>
      </c>
      <c r="M1682" s="5" t="s">
        <v>75</v>
      </c>
      <c r="N1682" s="5" t="s">
        <v>6580</v>
      </c>
      <c r="O1682" s="5"/>
      <c r="P1682" s="5"/>
      <c r="Q1682" s="5"/>
      <c r="R1682" s="5"/>
      <c r="S1682" s="5"/>
      <c r="T1682" s="5"/>
      <c r="U1682" s="5"/>
      <c r="V1682" s="5"/>
      <c r="W1682" s="5"/>
      <c r="X1682" s="5"/>
      <c r="Y1682" s="5"/>
      <c r="Z1682" s="5"/>
    </row>
    <row r="1683">
      <c r="A1683" s="5" t="s">
        <v>6581</v>
      </c>
      <c r="B1683" s="7" t="s">
        <v>1128</v>
      </c>
      <c r="C1683" s="7" t="s">
        <v>6582</v>
      </c>
      <c r="D1683" s="7" t="s">
        <v>2913</v>
      </c>
      <c r="E1683" s="8">
        <v>1.0</v>
      </c>
      <c r="F1683" s="7" t="s">
        <v>105</v>
      </c>
      <c r="G1683" s="5" t="s">
        <v>19</v>
      </c>
      <c r="H1683" s="7" t="s">
        <v>16</v>
      </c>
      <c r="I1683" s="7" t="s">
        <v>1131</v>
      </c>
      <c r="J1683" s="36" t="s">
        <v>1261</v>
      </c>
      <c r="K1683" s="8">
        <v>1.0</v>
      </c>
      <c r="L1683" s="7" t="s">
        <v>16</v>
      </c>
      <c r="M1683" s="5" t="s">
        <v>22</v>
      </c>
      <c r="N1683" s="5" t="s">
        <v>6583</v>
      </c>
      <c r="O1683" s="5"/>
      <c r="P1683" s="5"/>
      <c r="Q1683" s="5"/>
      <c r="R1683" s="5"/>
      <c r="S1683" s="5"/>
      <c r="T1683" s="5"/>
      <c r="U1683" s="5"/>
      <c r="V1683" s="5"/>
      <c r="W1683" s="5"/>
      <c r="X1683" s="5"/>
      <c r="Y1683" s="5"/>
      <c r="Z1683" s="5"/>
    </row>
    <row r="1684">
      <c r="A1684" s="5" t="s">
        <v>6584</v>
      </c>
      <c r="B1684" s="7" t="s">
        <v>1128</v>
      </c>
      <c r="C1684" s="7" t="s">
        <v>6585</v>
      </c>
      <c r="D1684" s="7" t="s">
        <v>2913</v>
      </c>
      <c r="E1684" s="8">
        <v>2.0</v>
      </c>
      <c r="F1684" s="7" t="s">
        <v>17</v>
      </c>
      <c r="G1684" s="5" t="s">
        <v>19</v>
      </c>
      <c r="H1684" s="7" t="s">
        <v>16</v>
      </c>
      <c r="I1684" s="7" t="s">
        <v>6586</v>
      </c>
      <c r="J1684" s="7" t="s">
        <v>16</v>
      </c>
      <c r="K1684" s="7" t="s">
        <v>16</v>
      </c>
      <c r="L1684" s="7" t="s">
        <v>16</v>
      </c>
      <c r="M1684" s="5" t="s">
        <v>22</v>
      </c>
      <c r="N1684" s="5" t="s">
        <v>6587</v>
      </c>
      <c r="O1684" s="5"/>
      <c r="P1684" s="5"/>
      <c r="Q1684" s="5"/>
      <c r="R1684" s="5"/>
      <c r="S1684" s="5"/>
      <c r="T1684" s="5"/>
      <c r="U1684" s="5"/>
      <c r="V1684" s="5"/>
      <c r="W1684" s="5"/>
      <c r="X1684" s="5"/>
      <c r="Y1684" s="5"/>
      <c r="Z1684" s="5"/>
    </row>
    <row r="1685">
      <c r="A1685" s="5" t="s">
        <v>6588</v>
      </c>
      <c r="B1685" s="7" t="s">
        <v>1128</v>
      </c>
      <c r="C1685" s="7" t="s">
        <v>6589</v>
      </c>
      <c r="D1685" s="7" t="s">
        <v>2913</v>
      </c>
      <c r="E1685" s="8">
        <v>2.0</v>
      </c>
      <c r="F1685" s="7" t="s">
        <v>105</v>
      </c>
      <c r="G1685" s="5" t="s">
        <v>19</v>
      </c>
      <c r="H1685" s="7" t="s">
        <v>16</v>
      </c>
      <c r="I1685" s="7" t="s">
        <v>6590</v>
      </c>
      <c r="J1685" s="36" t="s">
        <v>1261</v>
      </c>
      <c r="K1685" s="8">
        <v>2.0</v>
      </c>
      <c r="L1685" s="7" t="s">
        <v>16</v>
      </c>
      <c r="M1685" s="5" t="s">
        <v>22</v>
      </c>
      <c r="N1685" s="5" t="s">
        <v>6591</v>
      </c>
      <c r="O1685" s="5"/>
      <c r="P1685" s="5"/>
      <c r="Q1685" s="5"/>
      <c r="R1685" s="5"/>
      <c r="S1685" s="5"/>
      <c r="T1685" s="5"/>
      <c r="U1685" s="5"/>
      <c r="V1685" s="5"/>
      <c r="W1685" s="5"/>
      <c r="X1685" s="5"/>
      <c r="Y1685" s="5"/>
      <c r="Z1685" s="5"/>
    </row>
    <row r="1686">
      <c r="A1686" s="5" t="s">
        <v>6592</v>
      </c>
      <c r="B1686" s="7" t="s">
        <v>1128</v>
      </c>
      <c r="C1686" s="7" t="s">
        <v>6593</v>
      </c>
      <c r="D1686" s="7" t="s">
        <v>2913</v>
      </c>
      <c r="E1686" s="8">
        <v>2.0</v>
      </c>
      <c r="F1686" s="7" t="s">
        <v>17</v>
      </c>
      <c r="G1686" s="5" t="s">
        <v>19</v>
      </c>
      <c r="H1686" s="7" t="s">
        <v>16</v>
      </c>
      <c r="I1686" s="7" t="s">
        <v>4935</v>
      </c>
      <c r="J1686" s="36" t="s">
        <v>1261</v>
      </c>
      <c r="K1686" s="8">
        <v>2.0</v>
      </c>
      <c r="L1686" s="7" t="s">
        <v>16</v>
      </c>
      <c r="M1686" s="5" t="s">
        <v>36</v>
      </c>
      <c r="N1686" s="5" t="s">
        <v>6594</v>
      </c>
      <c r="O1686" s="5"/>
      <c r="P1686" s="5"/>
      <c r="Q1686" s="5"/>
      <c r="R1686" s="5"/>
      <c r="S1686" s="5"/>
      <c r="T1686" s="5"/>
      <c r="U1686" s="5"/>
      <c r="V1686" s="5"/>
      <c r="W1686" s="5"/>
      <c r="X1686" s="5"/>
      <c r="Y1686" s="5"/>
      <c r="Z1686" s="5"/>
    </row>
    <row r="1687">
      <c r="A1687" s="5" t="s">
        <v>6595</v>
      </c>
      <c r="B1687" s="7" t="s">
        <v>1128</v>
      </c>
      <c r="C1687" s="7" t="s">
        <v>6596</v>
      </c>
      <c r="D1687" s="7" t="s">
        <v>2913</v>
      </c>
      <c r="E1687" s="8">
        <v>2.0</v>
      </c>
      <c r="F1687" s="7" t="s">
        <v>17</v>
      </c>
      <c r="G1687" s="5" t="s">
        <v>19</v>
      </c>
      <c r="H1687" s="7" t="s">
        <v>16</v>
      </c>
      <c r="I1687" s="7" t="s">
        <v>6597</v>
      </c>
      <c r="J1687" s="36" t="s">
        <v>1261</v>
      </c>
      <c r="K1687" s="8">
        <v>2.0</v>
      </c>
      <c r="L1687" s="7" t="s">
        <v>16</v>
      </c>
      <c r="M1687" s="5" t="s">
        <v>36</v>
      </c>
      <c r="N1687" s="5" t="s">
        <v>6598</v>
      </c>
      <c r="O1687" s="5"/>
      <c r="P1687" s="5"/>
      <c r="Q1687" s="5"/>
      <c r="R1687" s="5"/>
      <c r="S1687" s="5"/>
      <c r="T1687" s="5"/>
      <c r="U1687" s="5"/>
      <c r="V1687" s="5"/>
      <c r="W1687" s="5"/>
      <c r="X1687" s="5"/>
      <c r="Y1687" s="5"/>
      <c r="Z1687" s="5"/>
    </row>
    <row r="1688">
      <c r="A1688" s="5" t="s">
        <v>6599</v>
      </c>
      <c r="B1688" s="7" t="s">
        <v>1128</v>
      </c>
      <c r="C1688" s="7" t="s">
        <v>6600</v>
      </c>
      <c r="D1688" s="7" t="s">
        <v>2913</v>
      </c>
      <c r="E1688" s="8">
        <v>1.0</v>
      </c>
      <c r="F1688" s="7" t="s">
        <v>172</v>
      </c>
      <c r="G1688" s="5" t="s">
        <v>19</v>
      </c>
      <c r="H1688" s="7" t="s">
        <v>16</v>
      </c>
      <c r="I1688" s="7" t="s">
        <v>1153</v>
      </c>
      <c r="J1688" s="36" t="s">
        <v>1146</v>
      </c>
      <c r="K1688" s="7" t="s">
        <v>16</v>
      </c>
      <c r="L1688" s="7" t="s">
        <v>16</v>
      </c>
      <c r="M1688" s="5" t="s">
        <v>22</v>
      </c>
      <c r="N1688" s="5" t="s">
        <v>6601</v>
      </c>
      <c r="O1688" s="5"/>
      <c r="P1688" s="5"/>
      <c r="Q1688" s="5"/>
      <c r="R1688" s="5"/>
      <c r="S1688" s="5"/>
      <c r="T1688" s="5"/>
      <c r="U1688" s="5"/>
      <c r="V1688" s="5"/>
      <c r="W1688" s="5"/>
      <c r="X1688" s="5"/>
      <c r="Y1688" s="5"/>
      <c r="Z1688" s="5"/>
    </row>
    <row r="1689">
      <c r="A1689" s="5" t="s">
        <v>6602</v>
      </c>
      <c r="B1689" s="7" t="s">
        <v>1128</v>
      </c>
      <c r="C1689" s="7" t="s">
        <v>6603</v>
      </c>
      <c r="D1689" s="7" t="s">
        <v>2913</v>
      </c>
      <c r="E1689" s="8">
        <v>3.0</v>
      </c>
      <c r="F1689" s="7" t="s">
        <v>17</v>
      </c>
      <c r="G1689" s="5" t="s">
        <v>461</v>
      </c>
      <c r="H1689" s="7" t="s">
        <v>16</v>
      </c>
      <c r="I1689" s="7" t="s">
        <v>6604</v>
      </c>
      <c r="J1689" s="36" t="s">
        <v>1132</v>
      </c>
      <c r="K1689" s="7" t="s">
        <v>16</v>
      </c>
      <c r="L1689" s="7" t="s">
        <v>16</v>
      </c>
      <c r="M1689" s="5" t="s">
        <v>22</v>
      </c>
      <c r="N1689" s="5" t="s">
        <v>6605</v>
      </c>
      <c r="O1689" s="5"/>
      <c r="P1689" s="5"/>
      <c r="Q1689" s="5"/>
      <c r="R1689" s="5"/>
      <c r="S1689" s="5"/>
      <c r="T1689" s="5"/>
      <c r="U1689" s="5"/>
      <c r="V1689" s="5"/>
      <c r="W1689" s="5"/>
      <c r="X1689" s="5"/>
      <c r="Y1689" s="5"/>
      <c r="Z1689" s="5"/>
    </row>
    <row r="1690">
      <c r="A1690" s="5" t="s">
        <v>6606</v>
      </c>
      <c r="B1690" s="7" t="s">
        <v>1128</v>
      </c>
      <c r="C1690" s="7" t="s">
        <v>6607</v>
      </c>
      <c r="D1690" s="7" t="s">
        <v>2913</v>
      </c>
      <c r="E1690" s="8">
        <v>6.0</v>
      </c>
      <c r="F1690" s="7" t="s">
        <v>17</v>
      </c>
      <c r="G1690" s="5" t="s">
        <v>461</v>
      </c>
      <c r="H1690" s="7" t="s">
        <v>16</v>
      </c>
      <c r="I1690" s="7" t="s">
        <v>5323</v>
      </c>
      <c r="J1690" s="36" t="s">
        <v>1146</v>
      </c>
      <c r="K1690" s="8">
        <v>3.0</v>
      </c>
      <c r="L1690" s="7" t="s">
        <v>16</v>
      </c>
      <c r="M1690" s="5" t="s">
        <v>75</v>
      </c>
      <c r="N1690" s="5" t="s">
        <v>6608</v>
      </c>
      <c r="O1690" s="5"/>
      <c r="P1690" s="5"/>
      <c r="Q1690" s="5"/>
      <c r="R1690" s="5"/>
      <c r="S1690" s="5"/>
      <c r="T1690" s="5"/>
      <c r="U1690" s="5"/>
      <c r="V1690" s="5"/>
      <c r="W1690" s="5"/>
      <c r="X1690" s="5"/>
      <c r="Y1690" s="5"/>
      <c r="Z1690" s="5"/>
    </row>
    <row r="1691">
      <c r="A1691" s="5" t="s">
        <v>6609</v>
      </c>
      <c r="B1691" s="7" t="s">
        <v>1128</v>
      </c>
      <c r="C1691" s="7" t="s">
        <v>3302</v>
      </c>
      <c r="D1691" s="7" t="s">
        <v>6610</v>
      </c>
      <c r="E1691" s="8">
        <v>0.0</v>
      </c>
      <c r="F1691" s="7" t="s">
        <v>105</v>
      </c>
      <c r="G1691" s="5" t="s">
        <v>19</v>
      </c>
      <c r="H1691" s="7" t="s">
        <v>16</v>
      </c>
      <c r="I1691" s="7" t="s">
        <v>6611</v>
      </c>
      <c r="J1691" s="36" t="s">
        <v>4742</v>
      </c>
      <c r="K1691" s="7" t="s">
        <v>16</v>
      </c>
      <c r="L1691" s="7" t="s">
        <v>16</v>
      </c>
      <c r="M1691" s="5" t="s">
        <v>75</v>
      </c>
      <c r="N1691" s="5" t="s">
        <v>6612</v>
      </c>
      <c r="O1691" s="5"/>
      <c r="P1691" s="5"/>
      <c r="Q1691" s="5"/>
      <c r="R1691" s="5"/>
      <c r="S1691" s="5"/>
      <c r="T1691" s="5"/>
      <c r="U1691" s="5"/>
      <c r="V1691" s="5"/>
      <c r="W1691" s="5"/>
      <c r="X1691" s="5"/>
      <c r="Y1691" s="5"/>
      <c r="Z1691" s="5"/>
    </row>
    <row r="1692">
      <c r="A1692" s="5" t="s">
        <v>6613</v>
      </c>
      <c r="B1692" s="7" t="s">
        <v>1128</v>
      </c>
      <c r="C1692" s="7" t="s">
        <v>5014</v>
      </c>
      <c r="D1692" s="7" t="s">
        <v>411</v>
      </c>
      <c r="E1692" s="8">
        <v>1.0</v>
      </c>
      <c r="F1692" s="7" t="s">
        <v>17</v>
      </c>
      <c r="G1692" s="5" t="s">
        <v>19</v>
      </c>
      <c r="H1692" s="7" t="s">
        <v>16</v>
      </c>
      <c r="I1692" s="7" t="s">
        <v>6614</v>
      </c>
      <c r="J1692" s="7" t="s">
        <v>16</v>
      </c>
      <c r="K1692" s="7" t="s">
        <v>16</v>
      </c>
      <c r="L1692" s="7" t="s">
        <v>16</v>
      </c>
      <c r="M1692" s="5" t="s">
        <v>6615</v>
      </c>
      <c r="N1692" s="5" t="s">
        <v>6616</v>
      </c>
      <c r="O1692" s="5"/>
      <c r="P1692" s="5"/>
      <c r="Q1692" s="5"/>
      <c r="R1692" s="5"/>
      <c r="S1692" s="5"/>
      <c r="T1692" s="5"/>
      <c r="U1692" s="5"/>
      <c r="V1692" s="5"/>
      <c r="W1692" s="5"/>
      <c r="X1692" s="5"/>
      <c r="Y1692" s="5"/>
      <c r="Z1692" s="5"/>
    </row>
    <row r="1693">
      <c r="A1693" s="5" t="s">
        <v>6617</v>
      </c>
      <c r="B1693" s="7" t="s">
        <v>1128</v>
      </c>
      <c r="C1693" s="7" t="s">
        <v>5221</v>
      </c>
      <c r="D1693" s="7" t="s">
        <v>1203</v>
      </c>
      <c r="E1693" s="8">
        <v>1.0</v>
      </c>
      <c r="F1693" s="7" t="s">
        <v>17</v>
      </c>
      <c r="G1693" s="5" t="s">
        <v>19</v>
      </c>
      <c r="H1693" s="7" t="s">
        <v>16</v>
      </c>
      <c r="I1693" s="7" t="s">
        <v>6618</v>
      </c>
      <c r="J1693" s="7" t="s">
        <v>16</v>
      </c>
      <c r="K1693" s="7" t="s">
        <v>16</v>
      </c>
      <c r="L1693" s="7" t="s">
        <v>16</v>
      </c>
      <c r="M1693" s="5" t="s">
        <v>22</v>
      </c>
      <c r="N1693" s="5" t="s">
        <v>6619</v>
      </c>
      <c r="O1693" s="5"/>
      <c r="P1693" s="5"/>
      <c r="Q1693" s="5"/>
      <c r="R1693" s="5"/>
      <c r="S1693" s="5"/>
      <c r="T1693" s="5"/>
      <c r="U1693" s="5"/>
      <c r="V1693" s="5"/>
      <c r="W1693" s="5"/>
      <c r="X1693" s="5"/>
      <c r="Y1693" s="5"/>
      <c r="Z1693" s="5"/>
    </row>
    <row r="1694">
      <c r="A1694" s="5" t="s">
        <v>6620</v>
      </c>
      <c r="B1694" s="7" t="s">
        <v>1128</v>
      </c>
      <c r="C1694" s="7" t="s">
        <v>1256</v>
      </c>
      <c r="D1694" s="7" t="s">
        <v>1203</v>
      </c>
      <c r="E1694" s="8">
        <v>3.0</v>
      </c>
      <c r="F1694" s="7" t="s">
        <v>105</v>
      </c>
      <c r="G1694" s="5" t="s">
        <v>461</v>
      </c>
      <c r="H1694" s="7" t="s">
        <v>16</v>
      </c>
      <c r="I1694" s="7" t="s">
        <v>6621</v>
      </c>
      <c r="J1694" s="36" t="s">
        <v>1137</v>
      </c>
      <c r="K1694" s="8">
        <v>2.0</v>
      </c>
      <c r="L1694" s="7" t="s">
        <v>16</v>
      </c>
      <c r="M1694" s="5" t="s">
        <v>22</v>
      </c>
      <c r="N1694" s="5" t="s">
        <v>6622</v>
      </c>
      <c r="O1694" s="5"/>
      <c r="P1694" s="5"/>
      <c r="Q1694" s="5"/>
      <c r="R1694" s="5"/>
      <c r="S1694" s="5"/>
      <c r="T1694" s="5"/>
      <c r="U1694" s="5"/>
      <c r="V1694" s="5"/>
      <c r="W1694" s="5"/>
      <c r="X1694" s="5"/>
      <c r="Y1694" s="5"/>
      <c r="Z1694" s="5"/>
    </row>
    <row r="1695">
      <c r="A1695" s="5" t="s">
        <v>6623</v>
      </c>
      <c r="B1695" s="7" t="s">
        <v>1128</v>
      </c>
      <c r="C1695" s="7" t="s">
        <v>5122</v>
      </c>
      <c r="D1695" s="7" t="s">
        <v>1203</v>
      </c>
      <c r="E1695" s="8">
        <v>3.0</v>
      </c>
      <c r="F1695" s="7" t="s">
        <v>105</v>
      </c>
      <c r="G1695" s="5" t="s">
        <v>461</v>
      </c>
      <c r="H1695" s="7" t="s">
        <v>16</v>
      </c>
      <c r="I1695" s="7" t="s">
        <v>6624</v>
      </c>
      <c r="J1695" s="36" t="s">
        <v>1132</v>
      </c>
      <c r="K1695" s="7" t="s">
        <v>16</v>
      </c>
      <c r="L1695" s="7" t="s">
        <v>16</v>
      </c>
      <c r="M1695" s="5" t="s">
        <v>22</v>
      </c>
      <c r="N1695" s="5" t="s">
        <v>6625</v>
      </c>
      <c r="O1695" s="5"/>
      <c r="P1695" s="5"/>
      <c r="Q1695" s="5"/>
      <c r="R1695" s="5"/>
      <c r="S1695" s="5"/>
      <c r="T1695" s="5"/>
      <c r="U1695" s="5"/>
      <c r="V1695" s="5"/>
      <c r="W1695" s="5"/>
      <c r="X1695" s="5"/>
      <c r="Y1695" s="5"/>
      <c r="Z1695" s="5"/>
    </row>
    <row r="1696">
      <c r="A1696" s="5" t="s">
        <v>6626</v>
      </c>
      <c r="B1696" s="7" t="s">
        <v>1128</v>
      </c>
      <c r="C1696" s="7" t="s">
        <v>5126</v>
      </c>
      <c r="D1696" s="7" t="s">
        <v>1203</v>
      </c>
      <c r="E1696" s="8">
        <v>3.0</v>
      </c>
      <c r="F1696" s="7" t="s">
        <v>17</v>
      </c>
      <c r="G1696" s="5" t="s">
        <v>461</v>
      </c>
      <c r="H1696" s="7" t="s">
        <v>16</v>
      </c>
      <c r="I1696" s="7" t="s">
        <v>6627</v>
      </c>
      <c r="J1696" s="36" t="s">
        <v>1137</v>
      </c>
      <c r="K1696" s="8">
        <v>2.0</v>
      </c>
      <c r="L1696" s="7" t="s">
        <v>16</v>
      </c>
      <c r="M1696" s="5" t="s">
        <v>22</v>
      </c>
      <c r="N1696" s="5" t="s">
        <v>6628</v>
      </c>
      <c r="O1696" s="5"/>
      <c r="P1696" s="5"/>
      <c r="Q1696" s="5"/>
      <c r="R1696" s="5"/>
      <c r="S1696" s="5"/>
      <c r="T1696" s="5"/>
      <c r="U1696" s="5"/>
      <c r="V1696" s="5"/>
      <c r="W1696" s="5"/>
      <c r="X1696" s="5"/>
      <c r="Y1696" s="5"/>
      <c r="Z1696" s="5"/>
    </row>
    <row r="1697">
      <c r="A1697" s="5" t="s">
        <v>6629</v>
      </c>
      <c r="B1697" s="7" t="s">
        <v>1128</v>
      </c>
      <c r="C1697" s="7" t="s">
        <v>6447</v>
      </c>
      <c r="D1697" s="7" t="s">
        <v>1203</v>
      </c>
      <c r="E1697" s="8">
        <v>7.0</v>
      </c>
      <c r="F1697" s="7" t="s">
        <v>105</v>
      </c>
      <c r="G1697" s="5" t="s">
        <v>326</v>
      </c>
      <c r="H1697" s="7" t="s">
        <v>16</v>
      </c>
      <c r="I1697" s="7" t="s">
        <v>6630</v>
      </c>
      <c r="J1697" s="36" t="s">
        <v>1161</v>
      </c>
      <c r="K1697" s="8">
        <v>3.0</v>
      </c>
      <c r="L1697" s="7" t="s">
        <v>16</v>
      </c>
      <c r="M1697" s="5" t="s">
        <v>88</v>
      </c>
      <c r="N1697" s="5" t="s">
        <v>6631</v>
      </c>
      <c r="O1697" s="5"/>
      <c r="P1697" s="5"/>
      <c r="Q1697" s="5"/>
      <c r="R1697" s="5"/>
      <c r="S1697" s="5"/>
      <c r="T1697" s="5"/>
      <c r="U1697" s="5"/>
      <c r="V1697" s="5"/>
      <c r="W1697" s="5"/>
      <c r="X1697" s="5"/>
      <c r="Y1697" s="5"/>
      <c r="Z1697" s="5"/>
    </row>
    <row r="1698">
      <c r="A1698" s="5" t="s">
        <v>6632</v>
      </c>
      <c r="B1698" s="7" t="s">
        <v>1128</v>
      </c>
      <c r="C1698" s="7" t="s">
        <v>6633</v>
      </c>
      <c r="D1698" s="7" t="s">
        <v>1203</v>
      </c>
      <c r="E1698" s="8">
        <v>2.0</v>
      </c>
      <c r="F1698" s="7" t="s">
        <v>172</v>
      </c>
      <c r="G1698" s="5" t="s">
        <v>461</v>
      </c>
      <c r="H1698" s="7" t="s">
        <v>16</v>
      </c>
      <c r="I1698" s="7" t="s">
        <v>6634</v>
      </c>
      <c r="J1698" s="36" t="s">
        <v>4746</v>
      </c>
      <c r="K1698" s="7" t="s">
        <v>16</v>
      </c>
      <c r="L1698" s="7" t="s">
        <v>16</v>
      </c>
      <c r="M1698" s="5" t="s">
        <v>36</v>
      </c>
      <c r="N1698" s="5" t="s">
        <v>6635</v>
      </c>
      <c r="O1698" s="5"/>
      <c r="P1698" s="5"/>
      <c r="Q1698" s="5"/>
      <c r="R1698" s="5"/>
      <c r="S1698" s="5"/>
      <c r="T1698" s="5"/>
      <c r="U1698" s="5"/>
      <c r="V1698" s="5"/>
      <c r="W1698" s="5"/>
      <c r="X1698" s="5"/>
      <c r="Y1698" s="5"/>
      <c r="Z1698" s="5"/>
    </row>
    <row r="1699">
      <c r="A1699" s="5" t="s">
        <v>6636</v>
      </c>
      <c r="B1699" s="7" t="s">
        <v>1128</v>
      </c>
      <c r="C1699" s="7" t="s">
        <v>6637</v>
      </c>
      <c r="D1699" s="7" t="s">
        <v>1203</v>
      </c>
      <c r="E1699" s="8">
        <v>3.0</v>
      </c>
      <c r="F1699" s="7" t="s">
        <v>105</v>
      </c>
      <c r="G1699" s="5" t="s">
        <v>461</v>
      </c>
      <c r="H1699" s="7" t="s">
        <v>16</v>
      </c>
      <c r="I1699" s="7" t="s">
        <v>6638</v>
      </c>
      <c r="J1699" s="36" t="s">
        <v>1137</v>
      </c>
      <c r="K1699" s="8">
        <v>2.0</v>
      </c>
      <c r="L1699" s="7" t="s">
        <v>16</v>
      </c>
      <c r="M1699" s="5" t="s">
        <v>36</v>
      </c>
      <c r="N1699" s="5" t="s">
        <v>6639</v>
      </c>
      <c r="O1699" s="5"/>
      <c r="P1699" s="5"/>
      <c r="Q1699" s="5"/>
      <c r="R1699" s="5"/>
      <c r="S1699" s="5"/>
      <c r="T1699" s="5"/>
      <c r="U1699" s="5"/>
      <c r="V1699" s="5"/>
      <c r="W1699" s="5"/>
      <c r="X1699" s="5"/>
      <c r="Y1699" s="5"/>
      <c r="Z1699" s="5"/>
    </row>
    <row r="1700">
      <c r="A1700" s="5" t="s">
        <v>6640</v>
      </c>
      <c r="B1700" s="7" t="s">
        <v>1128</v>
      </c>
      <c r="C1700" s="7" t="s">
        <v>6641</v>
      </c>
      <c r="D1700" s="7" t="s">
        <v>1203</v>
      </c>
      <c r="E1700" s="8">
        <v>4.0</v>
      </c>
      <c r="F1700" s="7" t="s">
        <v>105</v>
      </c>
      <c r="G1700" s="5" t="s">
        <v>461</v>
      </c>
      <c r="H1700" s="7" t="s">
        <v>16</v>
      </c>
      <c r="I1700" s="7" t="s">
        <v>6642</v>
      </c>
      <c r="J1700" s="36" t="s">
        <v>1146</v>
      </c>
      <c r="K1700" s="8">
        <v>3.0</v>
      </c>
      <c r="L1700" s="7" t="s">
        <v>16</v>
      </c>
      <c r="M1700" s="5" t="s">
        <v>36</v>
      </c>
      <c r="N1700" s="5" t="s">
        <v>6643</v>
      </c>
      <c r="O1700" s="5"/>
      <c r="P1700" s="5"/>
      <c r="Q1700" s="5"/>
      <c r="R1700" s="5"/>
      <c r="S1700" s="5"/>
      <c r="T1700" s="5"/>
      <c r="U1700" s="5"/>
      <c r="V1700" s="5"/>
      <c r="W1700" s="5"/>
      <c r="X1700" s="5"/>
      <c r="Y1700" s="5"/>
      <c r="Z1700" s="5"/>
    </row>
    <row r="1701">
      <c r="A1701" s="5" t="s">
        <v>6644</v>
      </c>
      <c r="B1701" s="7" t="s">
        <v>1128</v>
      </c>
      <c r="C1701" s="7" t="s">
        <v>6645</v>
      </c>
      <c r="D1701" s="7" t="s">
        <v>1203</v>
      </c>
      <c r="E1701" s="8">
        <v>3.0</v>
      </c>
      <c r="F1701" s="7" t="s">
        <v>17</v>
      </c>
      <c r="G1701" s="5" t="s">
        <v>461</v>
      </c>
      <c r="H1701" s="7" t="s">
        <v>16</v>
      </c>
      <c r="I1701" s="7" t="s">
        <v>6627</v>
      </c>
      <c r="J1701" s="36" t="s">
        <v>1137</v>
      </c>
      <c r="K1701" s="8">
        <v>2.0</v>
      </c>
      <c r="L1701" s="7" t="s">
        <v>16</v>
      </c>
      <c r="M1701" s="5" t="s">
        <v>36</v>
      </c>
      <c r="N1701" s="5" t="s">
        <v>6646</v>
      </c>
      <c r="O1701" s="5"/>
      <c r="P1701" s="5"/>
      <c r="Q1701" s="5"/>
      <c r="R1701" s="5"/>
      <c r="S1701" s="5"/>
      <c r="T1701" s="5"/>
      <c r="U1701" s="5"/>
      <c r="V1701" s="5"/>
      <c r="W1701" s="5"/>
      <c r="X1701" s="5"/>
      <c r="Y1701" s="5"/>
      <c r="Z1701" s="5"/>
    </row>
    <row r="1702">
      <c r="A1702" s="5" t="s">
        <v>6647</v>
      </c>
      <c r="B1702" s="7" t="s">
        <v>1128</v>
      </c>
      <c r="C1702" s="7" t="s">
        <v>6648</v>
      </c>
      <c r="D1702" s="7" t="s">
        <v>1203</v>
      </c>
      <c r="E1702" s="8">
        <v>0.0</v>
      </c>
      <c r="F1702" s="7" t="s">
        <v>172</v>
      </c>
      <c r="G1702" s="5" t="s">
        <v>19</v>
      </c>
      <c r="H1702" s="7" t="s">
        <v>16</v>
      </c>
      <c r="I1702" s="7" t="s">
        <v>6649</v>
      </c>
      <c r="J1702" s="7" t="s">
        <v>16</v>
      </c>
      <c r="K1702" s="7" t="s">
        <v>16</v>
      </c>
      <c r="L1702" s="7" t="s">
        <v>16</v>
      </c>
      <c r="M1702" s="5" t="s">
        <v>75</v>
      </c>
      <c r="N1702" s="5" t="s">
        <v>6650</v>
      </c>
      <c r="O1702" s="5"/>
      <c r="P1702" s="5"/>
      <c r="Q1702" s="5"/>
      <c r="R1702" s="5"/>
      <c r="S1702" s="5"/>
      <c r="T1702" s="5"/>
      <c r="U1702" s="5"/>
      <c r="V1702" s="5"/>
      <c r="W1702" s="5"/>
      <c r="X1702" s="5"/>
      <c r="Y1702" s="5"/>
      <c r="Z1702" s="5"/>
    </row>
    <row r="1703">
      <c r="A1703" s="5" t="s">
        <v>6651</v>
      </c>
      <c r="B1703" s="7" t="s">
        <v>1128</v>
      </c>
      <c r="C1703" s="7" t="s">
        <v>5326</v>
      </c>
      <c r="D1703" s="7" t="s">
        <v>1213</v>
      </c>
      <c r="E1703" s="8">
        <v>2.0</v>
      </c>
      <c r="F1703" s="7" t="s">
        <v>105</v>
      </c>
      <c r="G1703" s="5" t="s">
        <v>326</v>
      </c>
      <c r="H1703" s="7" t="s">
        <v>16</v>
      </c>
      <c r="I1703" s="7" t="s">
        <v>6652</v>
      </c>
      <c r="J1703" s="36" t="s">
        <v>1154</v>
      </c>
      <c r="K1703" s="8">
        <v>3.0</v>
      </c>
      <c r="L1703" s="7" t="s">
        <v>16</v>
      </c>
      <c r="M1703" s="5" t="s">
        <v>88</v>
      </c>
      <c r="N1703" s="5" t="s">
        <v>6653</v>
      </c>
      <c r="O1703" s="5"/>
      <c r="P1703" s="5"/>
      <c r="Q1703" s="5"/>
      <c r="R1703" s="5"/>
      <c r="S1703" s="5"/>
      <c r="T1703" s="5"/>
      <c r="U1703" s="5"/>
      <c r="V1703" s="5"/>
      <c r="W1703" s="5"/>
      <c r="X1703" s="5"/>
      <c r="Y1703" s="5"/>
      <c r="Z1703" s="5"/>
    </row>
    <row r="1704">
      <c r="A1704" s="5" t="s">
        <v>6654</v>
      </c>
      <c r="B1704" s="7" t="s">
        <v>1128</v>
      </c>
      <c r="C1704" s="7" t="s">
        <v>5118</v>
      </c>
      <c r="D1704" s="7" t="s">
        <v>1207</v>
      </c>
      <c r="E1704" s="8">
        <v>2.0</v>
      </c>
      <c r="F1704" s="7" t="s">
        <v>17</v>
      </c>
      <c r="G1704" s="5" t="s">
        <v>326</v>
      </c>
      <c r="H1704" s="7" t="s">
        <v>16</v>
      </c>
      <c r="I1704" s="7" t="s">
        <v>6655</v>
      </c>
      <c r="J1704" s="36" t="s">
        <v>1154</v>
      </c>
      <c r="K1704" s="8">
        <v>3.0</v>
      </c>
      <c r="L1704" s="7" t="s">
        <v>16</v>
      </c>
      <c r="M1704" s="5" t="s">
        <v>88</v>
      </c>
      <c r="N1704" s="5" t="s">
        <v>6656</v>
      </c>
      <c r="O1704" s="5"/>
      <c r="P1704" s="5"/>
      <c r="Q1704" s="5"/>
      <c r="R1704" s="5"/>
      <c r="S1704" s="5"/>
      <c r="T1704" s="5"/>
      <c r="U1704" s="5"/>
      <c r="V1704" s="5"/>
      <c r="W1704" s="5"/>
      <c r="X1704" s="5"/>
      <c r="Y1704" s="5"/>
      <c r="Z1704" s="5"/>
    </row>
    <row r="1705">
      <c r="A1705" s="5" t="s">
        <v>6657</v>
      </c>
      <c r="B1705" s="7" t="s">
        <v>1128</v>
      </c>
      <c r="C1705" s="7" t="s">
        <v>5396</v>
      </c>
      <c r="D1705" s="7" t="s">
        <v>1421</v>
      </c>
      <c r="E1705" s="8">
        <v>2.0</v>
      </c>
      <c r="F1705" s="7" t="s">
        <v>17</v>
      </c>
      <c r="G1705" s="5" t="s">
        <v>19</v>
      </c>
      <c r="H1705" s="7" t="s">
        <v>16</v>
      </c>
      <c r="I1705" s="7" t="s">
        <v>6658</v>
      </c>
      <c r="J1705" s="7" t="s">
        <v>16</v>
      </c>
      <c r="K1705" s="7" t="s">
        <v>16</v>
      </c>
      <c r="L1705" s="7" t="s">
        <v>16</v>
      </c>
      <c r="M1705" s="5" t="s">
        <v>75</v>
      </c>
      <c r="N1705" s="5" t="s">
        <v>6659</v>
      </c>
      <c r="O1705" s="5"/>
      <c r="P1705" s="5"/>
      <c r="Q1705" s="5"/>
      <c r="R1705" s="5"/>
      <c r="S1705" s="5"/>
      <c r="T1705" s="5"/>
      <c r="U1705" s="5"/>
      <c r="V1705" s="5"/>
      <c r="W1705" s="5"/>
      <c r="X1705" s="5"/>
      <c r="Y1705" s="5"/>
      <c r="Z1705" s="5"/>
    </row>
    <row r="1706">
      <c r="A1706" s="5" t="s">
        <v>6660</v>
      </c>
      <c r="B1706" s="7" t="s">
        <v>1128</v>
      </c>
      <c r="C1706" s="7" t="s">
        <v>5400</v>
      </c>
      <c r="D1706" s="7" t="s">
        <v>1421</v>
      </c>
      <c r="E1706" s="8">
        <v>4.0</v>
      </c>
      <c r="F1706" s="7" t="s">
        <v>105</v>
      </c>
      <c r="G1706" s="5" t="s">
        <v>326</v>
      </c>
      <c r="H1706" s="7" t="s">
        <v>16</v>
      </c>
      <c r="I1706" s="7" t="s">
        <v>6661</v>
      </c>
      <c r="J1706" s="36" t="s">
        <v>1261</v>
      </c>
      <c r="K1706" s="8">
        <v>0.0</v>
      </c>
      <c r="L1706" s="7" t="s">
        <v>16</v>
      </c>
      <c r="M1706" s="5" t="s">
        <v>88</v>
      </c>
      <c r="N1706" s="5" t="s">
        <v>6662</v>
      </c>
      <c r="O1706" s="5"/>
      <c r="P1706" s="5"/>
      <c r="Q1706" s="5"/>
      <c r="R1706" s="5"/>
      <c r="S1706" s="5"/>
      <c r="T1706" s="5"/>
      <c r="U1706" s="5"/>
      <c r="V1706" s="5"/>
      <c r="W1706" s="5"/>
      <c r="X1706" s="5"/>
      <c r="Y1706" s="5"/>
      <c r="Z1706" s="5"/>
    </row>
    <row r="1707">
      <c r="A1707" s="7" t="s">
        <v>6663</v>
      </c>
      <c r="B1707" s="7" t="s">
        <v>1128</v>
      </c>
      <c r="C1707" s="7" t="s">
        <v>5475</v>
      </c>
      <c r="D1707" s="7" t="s">
        <v>1426</v>
      </c>
      <c r="E1707" s="8">
        <v>1.0</v>
      </c>
      <c r="F1707" s="7" t="s">
        <v>17</v>
      </c>
      <c r="G1707" s="5" t="s">
        <v>326</v>
      </c>
      <c r="H1707" s="7" t="s">
        <v>16</v>
      </c>
      <c r="I1707" s="7" t="s">
        <v>6664</v>
      </c>
      <c r="J1707" s="7" t="s">
        <v>16</v>
      </c>
      <c r="K1707" s="7" t="s">
        <v>16</v>
      </c>
      <c r="L1707" s="7" t="s">
        <v>16</v>
      </c>
      <c r="M1707" s="5" t="s">
        <v>88</v>
      </c>
      <c r="N1707" s="5" t="s">
        <v>6665</v>
      </c>
      <c r="O1707" s="5"/>
      <c r="P1707" s="5"/>
      <c r="Q1707" s="5"/>
      <c r="R1707" s="5"/>
      <c r="S1707" s="5"/>
      <c r="T1707" s="5"/>
      <c r="U1707" s="5"/>
      <c r="V1707" s="5"/>
      <c r="W1707" s="5"/>
      <c r="X1707" s="5"/>
      <c r="Y1707" s="5"/>
      <c r="Z1707" s="5"/>
    </row>
    <row r="1708">
      <c r="A1708" s="7" t="s">
        <v>6666</v>
      </c>
      <c r="B1708" s="7" t="s">
        <v>1128</v>
      </c>
      <c r="C1708" s="7" t="s">
        <v>6667</v>
      </c>
      <c r="D1708" s="7" t="s">
        <v>2913</v>
      </c>
      <c r="E1708" s="8">
        <v>1.0</v>
      </c>
      <c r="F1708" s="7" t="s">
        <v>17</v>
      </c>
      <c r="G1708" s="5" t="s">
        <v>326</v>
      </c>
      <c r="H1708" s="7" t="s">
        <v>16</v>
      </c>
      <c r="I1708" s="7" t="s">
        <v>6668</v>
      </c>
      <c r="J1708" s="7" t="s">
        <v>16</v>
      </c>
      <c r="K1708" s="7" t="s">
        <v>16</v>
      </c>
      <c r="L1708" s="7" t="s">
        <v>16</v>
      </c>
      <c r="M1708" s="5" t="s">
        <v>75</v>
      </c>
      <c r="N1708" s="5" t="s">
        <v>6669</v>
      </c>
      <c r="O1708" s="5"/>
      <c r="P1708" s="5"/>
      <c r="Q1708" s="5"/>
      <c r="R1708" s="5"/>
      <c r="S1708" s="5"/>
      <c r="T1708" s="5"/>
      <c r="U1708" s="5"/>
      <c r="V1708" s="5"/>
      <c r="W1708" s="5"/>
      <c r="X1708" s="5"/>
      <c r="Y1708" s="5"/>
      <c r="Z1708" s="5"/>
    </row>
    <row r="1709">
      <c r="A1709" s="5" t="s">
        <v>6670</v>
      </c>
      <c r="B1709" s="7" t="s">
        <v>1128</v>
      </c>
      <c r="C1709" s="7" t="s">
        <v>4626</v>
      </c>
      <c r="D1709" s="7" t="s">
        <v>1199</v>
      </c>
      <c r="E1709" s="8">
        <v>3.0</v>
      </c>
      <c r="F1709" s="7" t="s">
        <v>105</v>
      </c>
      <c r="G1709" s="5" t="s">
        <v>461</v>
      </c>
      <c r="H1709" s="7" t="s">
        <v>1130</v>
      </c>
      <c r="I1709" s="7" t="s">
        <v>6671</v>
      </c>
      <c r="J1709" s="36" t="s">
        <v>1132</v>
      </c>
      <c r="K1709" s="8">
        <v>2.0</v>
      </c>
      <c r="L1709" s="7" t="s">
        <v>16</v>
      </c>
      <c r="M1709" s="5" t="s">
        <v>88</v>
      </c>
      <c r="N1709" s="5" t="s">
        <v>6672</v>
      </c>
      <c r="O1709" s="5"/>
      <c r="P1709" s="5"/>
      <c r="Q1709" s="5"/>
      <c r="R1709" s="5"/>
      <c r="S1709" s="5"/>
      <c r="T1709" s="5"/>
      <c r="U1709" s="5"/>
      <c r="V1709" s="5"/>
      <c r="W1709" s="5"/>
      <c r="X1709" s="5"/>
      <c r="Y1709" s="5"/>
      <c r="Z1709" s="5"/>
    </row>
    <row r="1710">
      <c r="A1710" s="5" t="s">
        <v>6673</v>
      </c>
      <c r="B1710" s="7" t="s">
        <v>1128</v>
      </c>
      <c r="C1710" s="7" t="s">
        <v>6674</v>
      </c>
      <c r="D1710" s="7" t="s">
        <v>3297</v>
      </c>
      <c r="E1710" s="8">
        <v>0.0</v>
      </c>
      <c r="F1710" s="7" t="s">
        <v>105</v>
      </c>
      <c r="G1710" s="5" t="s">
        <v>19</v>
      </c>
      <c r="H1710" s="7" t="s">
        <v>16</v>
      </c>
      <c r="I1710" s="7" t="s">
        <v>6675</v>
      </c>
      <c r="J1710" s="7" t="s">
        <v>16</v>
      </c>
      <c r="K1710" s="7" t="s">
        <v>16</v>
      </c>
      <c r="L1710" s="7" t="s">
        <v>16</v>
      </c>
      <c r="M1710" s="5" t="s">
        <v>22</v>
      </c>
      <c r="N1710" s="5" t="s">
        <v>6676</v>
      </c>
      <c r="O1710" s="5"/>
      <c r="P1710" s="5"/>
      <c r="Q1710" s="5"/>
      <c r="R1710" s="5"/>
      <c r="S1710" s="5"/>
      <c r="T1710" s="5"/>
      <c r="U1710" s="5"/>
      <c r="V1710" s="5"/>
      <c r="W1710" s="5"/>
      <c r="X1710" s="5"/>
      <c r="Y1710" s="5"/>
      <c r="Z1710" s="5"/>
    </row>
    <row r="1711">
      <c r="A1711" s="5" t="s">
        <v>6677</v>
      </c>
      <c r="B1711" s="7" t="s">
        <v>1128</v>
      </c>
      <c r="C1711" s="7" t="s">
        <v>6678</v>
      </c>
      <c r="D1711" s="7" t="s">
        <v>3297</v>
      </c>
      <c r="E1711" s="8">
        <v>1.0</v>
      </c>
      <c r="F1711" s="7" t="s">
        <v>17</v>
      </c>
      <c r="G1711" s="5" t="s">
        <v>19</v>
      </c>
      <c r="H1711" s="7" t="s">
        <v>16</v>
      </c>
      <c r="I1711" s="7" t="s">
        <v>1131</v>
      </c>
      <c r="J1711" s="36" t="s">
        <v>6679</v>
      </c>
      <c r="K1711" s="7" t="s">
        <v>16</v>
      </c>
      <c r="L1711" s="7" t="s">
        <v>16</v>
      </c>
      <c r="M1711" s="5" t="s">
        <v>22</v>
      </c>
      <c r="N1711" s="5" t="s">
        <v>6680</v>
      </c>
      <c r="O1711" s="5"/>
      <c r="P1711" s="5"/>
      <c r="Q1711" s="5"/>
      <c r="R1711" s="5"/>
      <c r="S1711" s="5"/>
      <c r="T1711" s="5"/>
      <c r="U1711" s="5"/>
      <c r="V1711" s="5"/>
      <c r="W1711" s="5"/>
      <c r="X1711" s="5"/>
      <c r="Y1711" s="5"/>
      <c r="Z1711" s="5"/>
    </row>
    <row r="1712">
      <c r="A1712" s="5" t="s">
        <v>6681</v>
      </c>
      <c r="B1712" s="7" t="s">
        <v>1128</v>
      </c>
      <c r="C1712" s="7" t="s">
        <v>6682</v>
      </c>
      <c r="D1712" s="7" t="s">
        <v>3297</v>
      </c>
      <c r="E1712" s="8">
        <v>2.0</v>
      </c>
      <c r="F1712" s="7" t="s">
        <v>17</v>
      </c>
      <c r="G1712" s="5" t="s">
        <v>19</v>
      </c>
      <c r="H1712" s="7" t="s">
        <v>16</v>
      </c>
      <c r="I1712" s="7" t="s">
        <v>6683</v>
      </c>
      <c r="J1712" s="36" t="s">
        <v>4742</v>
      </c>
      <c r="K1712" s="7" t="s">
        <v>16</v>
      </c>
      <c r="L1712" s="7" t="s">
        <v>16</v>
      </c>
      <c r="M1712" s="5" t="s">
        <v>22</v>
      </c>
      <c r="N1712" s="5" t="s">
        <v>6684</v>
      </c>
      <c r="O1712" s="5"/>
      <c r="P1712" s="5"/>
      <c r="Q1712" s="5"/>
      <c r="R1712" s="5"/>
      <c r="S1712" s="5"/>
      <c r="T1712" s="5"/>
      <c r="U1712" s="5"/>
      <c r="V1712" s="5"/>
      <c r="W1712" s="5"/>
      <c r="X1712" s="5"/>
      <c r="Y1712" s="5"/>
      <c r="Z1712" s="5"/>
    </row>
    <row r="1713">
      <c r="A1713" s="5" t="s">
        <v>6685</v>
      </c>
      <c r="B1713" s="7" t="s">
        <v>1128</v>
      </c>
      <c r="C1713" s="7" t="s">
        <v>6533</v>
      </c>
      <c r="D1713" s="7" t="s">
        <v>2913</v>
      </c>
      <c r="E1713" s="8">
        <v>9.0</v>
      </c>
      <c r="F1713" s="7" t="s">
        <v>105</v>
      </c>
      <c r="G1713" s="5" t="s">
        <v>326</v>
      </c>
      <c r="H1713" s="7" t="s">
        <v>16</v>
      </c>
      <c r="I1713" s="7" t="s">
        <v>1131</v>
      </c>
      <c r="J1713" s="36" t="s">
        <v>5569</v>
      </c>
      <c r="K1713" s="8">
        <v>9.0</v>
      </c>
      <c r="L1713" s="7" t="s">
        <v>16</v>
      </c>
      <c r="M1713" s="5" t="s">
        <v>75</v>
      </c>
      <c r="N1713" s="5" t="s">
        <v>6686</v>
      </c>
    </row>
    <row r="1714">
      <c r="A1714" s="5" t="s">
        <v>6687</v>
      </c>
      <c r="B1714" s="7" t="s">
        <v>1128</v>
      </c>
      <c r="C1714" s="7" t="s">
        <v>6688</v>
      </c>
      <c r="D1714" s="7" t="s">
        <v>2913</v>
      </c>
      <c r="E1714" s="8">
        <v>3.0</v>
      </c>
      <c r="F1714" s="7" t="s">
        <v>17</v>
      </c>
      <c r="G1714" s="5" t="s">
        <v>461</v>
      </c>
      <c r="H1714" s="7" t="s">
        <v>16</v>
      </c>
      <c r="I1714" s="7" t="s">
        <v>1131</v>
      </c>
      <c r="J1714" s="36" t="s">
        <v>1132</v>
      </c>
      <c r="K1714" s="8">
        <v>3.0</v>
      </c>
      <c r="L1714" s="7" t="s">
        <v>16</v>
      </c>
      <c r="M1714" s="5" t="s">
        <v>22</v>
      </c>
      <c r="N1714" s="5" t="s">
        <v>6689</v>
      </c>
    </row>
    <row r="1715">
      <c r="A1715" s="5" t="s">
        <v>6690</v>
      </c>
      <c r="B1715" s="7" t="s">
        <v>1128</v>
      </c>
      <c r="C1715" s="7" t="s">
        <v>6667</v>
      </c>
      <c r="D1715" s="7" t="s">
        <v>2913</v>
      </c>
      <c r="E1715" s="8">
        <v>1.0</v>
      </c>
      <c r="F1715" s="7" t="s">
        <v>17</v>
      </c>
      <c r="G1715" s="5" t="s">
        <v>326</v>
      </c>
      <c r="H1715" s="7" t="s">
        <v>16</v>
      </c>
      <c r="I1715" s="7" t="s">
        <v>6691</v>
      </c>
      <c r="J1715" s="7" t="s">
        <v>16</v>
      </c>
      <c r="K1715" s="7" t="s">
        <v>16</v>
      </c>
      <c r="L1715" s="7" t="s">
        <v>16</v>
      </c>
      <c r="M1715" s="5" t="s">
        <v>36</v>
      </c>
      <c r="N1715" s="5" t="s">
        <v>6692</v>
      </c>
    </row>
    <row r="1716">
      <c r="A1716" s="5" t="s">
        <v>6693</v>
      </c>
      <c r="B1716" s="7" t="s">
        <v>1128</v>
      </c>
      <c r="C1716" s="7" t="s">
        <v>1129</v>
      </c>
      <c r="D1716" s="7" t="s">
        <v>1199</v>
      </c>
      <c r="E1716" s="8">
        <v>1.0</v>
      </c>
      <c r="F1716" s="7" t="s">
        <v>105</v>
      </c>
      <c r="G1716" s="5" t="s">
        <v>19</v>
      </c>
      <c r="H1716" s="7" t="s">
        <v>1130</v>
      </c>
      <c r="I1716" s="7" t="s">
        <v>6694</v>
      </c>
      <c r="J1716" s="36" t="s">
        <v>4742</v>
      </c>
      <c r="K1716" s="8">
        <v>1.0</v>
      </c>
      <c r="L1716" s="7" t="s">
        <v>16</v>
      </c>
      <c r="M1716" s="5" t="s">
        <v>22</v>
      </c>
      <c r="N1716" s="5" t="s">
        <v>6695</v>
      </c>
    </row>
    <row r="1717">
      <c r="A1717" s="5" t="s">
        <v>6696</v>
      </c>
      <c r="B1717" s="7" t="s">
        <v>1128</v>
      </c>
      <c r="C1717" s="7" t="s">
        <v>1253</v>
      </c>
      <c r="D1717" s="7" t="s">
        <v>1199</v>
      </c>
      <c r="E1717" s="8">
        <v>2.0</v>
      </c>
      <c r="F1717" s="7" t="s">
        <v>105</v>
      </c>
      <c r="G1717" s="5" t="s">
        <v>461</v>
      </c>
      <c r="H1717" s="7" t="s">
        <v>1130</v>
      </c>
      <c r="I1717" s="7" t="s">
        <v>4627</v>
      </c>
      <c r="J1717" s="36" t="s">
        <v>1137</v>
      </c>
      <c r="K1717" s="8">
        <v>1.0</v>
      </c>
      <c r="L1717" s="7" t="s">
        <v>16</v>
      </c>
      <c r="M1717" s="5" t="s">
        <v>22</v>
      </c>
      <c r="N1717" s="5" t="s">
        <v>6697</v>
      </c>
    </row>
    <row r="1718">
      <c r="A1718" s="45" t="s">
        <v>6698</v>
      </c>
      <c r="B1718" s="45" t="s">
        <v>1128</v>
      </c>
      <c r="C1718" s="45" t="s">
        <v>6699</v>
      </c>
      <c r="D1718" s="45" t="s">
        <v>1199</v>
      </c>
      <c r="E1718" s="45">
        <v>2.0</v>
      </c>
      <c r="F1718" s="45" t="s">
        <v>17</v>
      </c>
      <c r="G1718" s="45" t="s">
        <v>461</v>
      </c>
      <c r="H1718" s="45" t="s">
        <v>1130</v>
      </c>
      <c r="I1718" s="45" t="s">
        <v>6700</v>
      </c>
      <c r="J1718" s="46" t="s">
        <v>1137</v>
      </c>
      <c r="K1718" s="45">
        <v>2.0</v>
      </c>
      <c r="L1718" s="45" t="s">
        <v>16</v>
      </c>
      <c r="M1718" s="45" t="s">
        <v>36</v>
      </c>
      <c r="N1718" s="45" t="s">
        <v>6701</v>
      </c>
    </row>
    <row r="1719">
      <c r="A1719" s="5" t="s">
        <v>6702</v>
      </c>
      <c r="B1719" s="7" t="s">
        <v>1128</v>
      </c>
      <c r="C1719" s="7" t="s">
        <v>4626</v>
      </c>
      <c r="D1719" s="7" t="s">
        <v>1199</v>
      </c>
      <c r="E1719" s="8">
        <v>3.0</v>
      </c>
      <c r="F1719" s="7" t="s">
        <v>105</v>
      </c>
      <c r="G1719" s="5" t="s">
        <v>461</v>
      </c>
      <c r="H1719" s="7" t="s">
        <v>1130</v>
      </c>
      <c r="I1719" s="7" t="s">
        <v>6703</v>
      </c>
      <c r="J1719" s="36" t="s">
        <v>1137</v>
      </c>
      <c r="K1719" s="8">
        <v>2.0</v>
      </c>
      <c r="L1719" s="7" t="s">
        <v>16</v>
      </c>
      <c r="M1719" s="5" t="s">
        <v>36</v>
      </c>
      <c r="N1719" s="5" t="s">
        <v>6704</v>
      </c>
    </row>
    <row r="1720">
      <c r="A1720" s="5" t="s">
        <v>6705</v>
      </c>
      <c r="B1720" s="7" t="s">
        <v>1128</v>
      </c>
      <c r="C1720" s="7" t="s">
        <v>6706</v>
      </c>
      <c r="D1720" s="7" t="s">
        <v>6707</v>
      </c>
      <c r="E1720" s="8">
        <v>0.0</v>
      </c>
      <c r="F1720" s="7" t="s">
        <v>105</v>
      </c>
      <c r="G1720" s="5" t="s">
        <v>19</v>
      </c>
      <c r="H1720" s="7" t="s">
        <v>16</v>
      </c>
      <c r="I1720" s="7" t="s">
        <v>6708</v>
      </c>
      <c r="J1720" s="36" t="s">
        <v>1261</v>
      </c>
      <c r="K1720" s="7" t="s">
        <v>16</v>
      </c>
      <c r="L1720" s="7" t="s">
        <v>16</v>
      </c>
      <c r="M1720" s="5" t="s">
        <v>36</v>
      </c>
      <c r="N1720" s="5" t="s">
        <v>6709</v>
      </c>
    </row>
    <row r="1721">
      <c r="A1721" s="5" t="s">
        <v>6710</v>
      </c>
      <c r="B1721" s="7" t="s">
        <v>1128</v>
      </c>
      <c r="C1721" s="7" t="s">
        <v>6711</v>
      </c>
      <c r="D1721" s="13" t="s">
        <v>85</v>
      </c>
      <c r="E1721" s="8">
        <v>1.0</v>
      </c>
      <c r="F1721" s="7" t="s">
        <v>172</v>
      </c>
      <c r="G1721" s="5" t="s">
        <v>461</v>
      </c>
      <c r="H1721" s="7" t="s">
        <v>4955</v>
      </c>
      <c r="I1721" s="7" t="s">
        <v>6712</v>
      </c>
      <c r="J1721" s="7" t="s">
        <v>16</v>
      </c>
      <c r="K1721" s="7" t="s">
        <v>16</v>
      </c>
      <c r="L1721" s="7" t="s">
        <v>16</v>
      </c>
      <c r="M1721" s="5" t="s">
        <v>22</v>
      </c>
      <c r="N1721" s="5" t="s">
        <v>6713</v>
      </c>
    </row>
    <row r="1722">
      <c r="A1722" s="5" t="s">
        <v>6714</v>
      </c>
      <c r="B1722" s="7" t="s">
        <v>1128</v>
      </c>
      <c r="C1722" s="7" t="s">
        <v>6715</v>
      </c>
      <c r="D1722" s="13" t="s">
        <v>85</v>
      </c>
      <c r="E1722" s="8">
        <v>1.0</v>
      </c>
      <c r="F1722" s="7" t="s">
        <v>172</v>
      </c>
      <c r="G1722" s="5" t="s">
        <v>461</v>
      </c>
      <c r="H1722" s="7" t="s">
        <v>4955</v>
      </c>
      <c r="I1722" s="7" t="s">
        <v>6716</v>
      </c>
      <c r="J1722" s="36" t="s">
        <v>4746</v>
      </c>
      <c r="K1722" s="7" t="s">
        <v>16</v>
      </c>
      <c r="L1722" s="7" t="s">
        <v>16</v>
      </c>
      <c r="M1722" s="5" t="s">
        <v>22</v>
      </c>
      <c r="N1722" s="5" t="s">
        <v>6717</v>
      </c>
    </row>
    <row r="1723">
      <c r="A1723" s="5" t="s">
        <v>6718</v>
      </c>
      <c r="B1723" s="7" t="s">
        <v>1128</v>
      </c>
      <c r="C1723" s="7" t="s">
        <v>6719</v>
      </c>
      <c r="D1723" s="13" t="s">
        <v>85</v>
      </c>
      <c r="E1723" s="8">
        <v>3.0</v>
      </c>
      <c r="F1723" s="7" t="s">
        <v>105</v>
      </c>
      <c r="G1723" s="5" t="s">
        <v>326</v>
      </c>
      <c r="H1723" s="7" t="s">
        <v>4955</v>
      </c>
      <c r="I1723" s="7" t="s">
        <v>6720</v>
      </c>
      <c r="J1723" s="36" t="s">
        <v>1146</v>
      </c>
      <c r="K1723" s="8">
        <v>3.0</v>
      </c>
      <c r="L1723" s="7" t="s">
        <v>16</v>
      </c>
      <c r="M1723" s="5" t="s">
        <v>88</v>
      </c>
      <c r="N1723" s="5" t="s">
        <v>6721</v>
      </c>
    </row>
    <row r="1724">
      <c r="A1724" s="5" t="s">
        <v>6722</v>
      </c>
      <c r="B1724" s="7" t="s">
        <v>1128</v>
      </c>
      <c r="C1724" s="7" t="s">
        <v>6511</v>
      </c>
      <c r="D1724" s="7" t="s">
        <v>3092</v>
      </c>
      <c r="E1724" s="8">
        <v>5.0</v>
      </c>
      <c r="F1724" s="7" t="s">
        <v>105</v>
      </c>
      <c r="G1724" s="5" t="s">
        <v>326</v>
      </c>
      <c r="H1724" s="7" t="s">
        <v>16</v>
      </c>
      <c r="I1724" s="7" t="s">
        <v>6723</v>
      </c>
      <c r="J1724" s="36" t="s">
        <v>1154</v>
      </c>
      <c r="K1724" s="8">
        <v>3.0</v>
      </c>
      <c r="L1724" s="7" t="s">
        <v>16</v>
      </c>
      <c r="M1724" s="5" t="s">
        <v>75</v>
      </c>
      <c r="N1724" s="5" t="s">
        <v>6724</v>
      </c>
    </row>
    <row r="1725">
      <c r="A1725" s="5" t="s">
        <v>6725</v>
      </c>
      <c r="B1725" s="7" t="s">
        <v>1128</v>
      </c>
      <c r="C1725" s="7" t="s">
        <v>6726</v>
      </c>
      <c r="D1725" s="7" t="s">
        <v>3092</v>
      </c>
      <c r="E1725" s="8">
        <v>1.0</v>
      </c>
      <c r="F1725" s="7" t="s">
        <v>105</v>
      </c>
      <c r="G1725" s="5" t="s">
        <v>19</v>
      </c>
      <c r="H1725" s="7" t="s">
        <v>16</v>
      </c>
      <c r="I1725" s="7" t="s">
        <v>6727</v>
      </c>
      <c r="J1725" s="36" t="s">
        <v>1261</v>
      </c>
      <c r="K1725" s="8">
        <v>2.0</v>
      </c>
      <c r="L1725" s="7" t="s">
        <v>16</v>
      </c>
      <c r="M1725" s="5" t="s">
        <v>22</v>
      </c>
      <c r="N1725" s="5" t="s">
        <v>6728</v>
      </c>
    </row>
    <row r="1726">
      <c r="A1726" s="5" t="s">
        <v>6729</v>
      </c>
      <c r="B1726" s="7" t="s">
        <v>1128</v>
      </c>
      <c r="C1726" s="7" t="s">
        <v>6730</v>
      </c>
      <c r="D1726" s="7" t="s">
        <v>3092</v>
      </c>
      <c r="E1726" s="8">
        <v>1.0</v>
      </c>
      <c r="F1726" s="7" t="s">
        <v>172</v>
      </c>
      <c r="G1726" s="5" t="s">
        <v>461</v>
      </c>
      <c r="H1726" s="7" t="s">
        <v>16</v>
      </c>
      <c r="I1726" s="7" t="s">
        <v>6731</v>
      </c>
      <c r="J1726" s="36" t="s">
        <v>1154</v>
      </c>
      <c r="K1726" s="7" t="s">
        <v>16</v>
      </c>
      <c r="L1726" s="7" t="s">
        <v>16</v>
      </c>
      <c r="M1726" s="5" t="s">
        <v>36</v>
      </c>
      <c r="N1726" s="5" t="s">
        <v>6732</v>
      </c>
    </row>
    <row r="1727">
      <c r="A1727" s="5" t="s">
        <v>6733</v>
      </c>
      <c r="B1727" s="7" t="s">
        <v>1128</v>
      </c>
      <c r="C1727" s="7" t="s">
        <v>6734</v>
      </c>
      <c r="D1727" s="7" t="s">
        <v>3092</v>
      </c>
      <c r="E1727" s="8">
        <v>1.0</v>
      </c>
      <c r="F1727" s="7" t="s">
        <v>17</v>
      </c>
      <c r="G1727" s="5" t="s">
        <v>19</v>
      </c>
      <c r="H1727" s="7" t="s">
        <v>16</v>
      </c>
      <c r="I1727" s="7" t="s">
        <v>6735</v>
      </c>
      <c r="J1727" s="36" t="s">
        <v>1261</v>
      </c>
      <c r="K1727" s="8">
        <v>1.0</v>
      </c>
      <c r="L1727" s="7" t="s">
        <v>16</v>
      </c>
      <c r="M1727" s="5" t="s">
        <v>22</v>
      </c>
      <c r="N1727" s="5" t="s">
        <v>6736</v>
      </c>
    </row>
    <row r="1728">
      <c r="A1728" s="5" t="s">
        <v>6737</v>
      </c>
      <c r="B1728" s="7" t="s">
        <v>1128</v>
      </c>
      <c r="C1728" s="7" t="s">
        <v>6738</v>
      </c>
      <c r="D1728" s="7" t="s">
        <v>3092</v>
      </c>
      <c r="E1728" s="8">
        <v>1.0</v>
      </c>
      <c r="F1728" s="7" t="s">
        <v>17</v>
      </c>
      <c r="G1728" s="5" t="s">
        <v>461</v>
      </c>
      <c r="H1728" s="7" t="s">
        <v>16</v>
      </c>
      <c r="I1728" s="7" t="s">
        <v>6739</v>
      </c>
      <c r="J1728" s="7" t="s">
        <v>16</v>
      </c>
      <c r="K1728" s="7" t="s">
        <v>16</v>
      </c>
      <c r="L1728" s="7" t="s">
        <v>16</v>
      </c>
      <c r="M1728" s="5" t="s">
        <v>36</v>
      </c>
      <c r="N1728" s="5" t="s">
        <v>6740</v>
      </c>
    </row>
    <row r="1729">
      <c r="A1729" s="5" t="s">
        <v>6741</v>
      </c>
      <c r="B1729" s="7" t="s">
        <v>1128</v>
      </c>
      <c r="C1729" s="7" t="s">
        <v>6742</v>
      </c>
      <c r="D1729" s="7" t="s">
        <v>3092</v>
      </c>
      <c r="E1729" s="8">
        <v>1.0</v>
      </c>
      <c r="F1729" s="7" t="s">
        <v>172</v>
      </c>
      <c r="G1729" s="5" t="s">
        <v>19</v>
      </c>
      <c r="H1729" s="7" t="s">
        <v>16</v>
      </c>
      <c r="I1729" s="7" t="s">
        <v>6743</v>
      </c>
      <c r="J1729" s="7" t="s">
        <v>16</v>
      </c>
      <c r="K1729" s="7" t="s">
        <v>16</v>
      </c>
      <c r="L1729" s="7" t="s">
        <v>16</v>
      </c>
      <c r="M1729" s="5" t="s">
        <v>22</v>
      </c>
      <c r="N1729" s="5" t="s">
        <v>6744</v>
      </c>
    </row>
    <row r="1730">
      <c r="A1730" s="5" t="s">
        <v>6745</v>
      </c>
      <c r="B1730" s="7" t="s">
        <v>1128</v>
      </c>
      <c r="C1730" s="7" t="s">
        <v>6569</v>
      </c>
      <c r="D1730" s="7" t="s">
        <v>3069</v>
      </c>
      <c r="E1730" s="8">
        <v>6.0</v>
      </c>
      <c r="F1730" s="7" t="s">
        <v>105</v>
      </c>
      <c r="G1730" s="5" t="s">
        <v>326</v>
      </c>
      <c r="H1730" s="7" t="s">
        <v>16</v>
      </c>
      <c r="I1730" s="7" t="s">
        <v>6746</v>
      </c>
      <c r="J1730" s="36" t="s">
        <v>1154</v>
      </c>
      <c r="K1730" s="8">
        <v>3.0</v>
      </c>
      <c r="L1730" s="7" t="s">
        <v>16</v>
      </c>
      <c r="M1730" s="5" t="s">
        <v>75</v>
      </c>
      <c r="N1730" s="5" t="s">
        <v>6747</v>
      </c>
    </row>
    <row r="1731">
      <c r="A1731" s="5" t="s">
        <v>6748</v>
      </c>
      <c r="B1731" s="7" t="s">
        <v>1128</v>
      </c>
      <c r="C1731" s="7" t="s">
        <v>6749</v>
      </c>
      <c r="D1731" s="7" t="s">
        <v>3069</v>
      </c>
      <c r="E1731" s="8">
        <v>1.0</v>
      </c>
      <c r="F1731" s="7" t="s">
        <v>172</v>
      </c>
      <c r="G1731" s="5" t="s">
        <v>461</v>
      </c>
      <c r="H1731" s="7" t="s">
        <v>16</v>
      </c>
      <c r="I1731" s="7" t="s">
        <v>6750</v>
      </c>
      <c r="J1731" s="36" t="s">
        <v>1154</v>
      </c>
      <c r="K1731" s="7" t="s">
        <v>16</v>
      </c>
      <c r="L1731" s="7" t="s">
        <v>16</v>
      </c>
      <c r="M1731" s="5" t="s">
        <v>22</v>
      </c>
      <c r="N1731" s="5" t="s">
        <v>6751</v>
      </c>
    </row>
    <row r="1732">
      <c r="A1732" s="5" t="s">
        <v>6752</v>
      </c>
      <c r="B1732" s="7" t="s">
        <v>1128</v>
      </c>
      <c r="C1732" s="7" t="s">
        <v>6753</v>
      </c>
      <c r="D1732" s="7" t="s">
        <v>3069</v>
      </c>
      <c r="E1732" s="8">
        <v>2.0</v>
      </c>
      <c r="F1732" s="7" t="s">
        <v>17</v>
      </c>
      <c r="G1732" s="5" t="s">
        <v>461</v>
      </c>
      <c r="H1732" s="7" t="s">
        <v>16</v>
      </c>
      <c r="I1732" s="7" t="s">
        <v>6754</v>
      </c>
      <c r="J1732" s="36" t="s">
        <v>1132</v>
      </c>
      <c r="K1732" s="8">
        <v>1.0</v>
      </c>
      <c r="L1732" s="7" t="s">
        <v>16</v>
      </c>
      <c r="M1732" s="5" t="s">
        <v>22</v>
      </c>
      <c r="N1732" s="5" t="s">
        <v>6755</v>
      </c>
    </row>
    <row r="1733">
      <c r="A1733" s="5" t="s">
        <v>6756</v>
      </c>
      <c r="B1733" s="7" t="s">
        <v>1128</v>
      </c>
      <c r="C1733" s="7" t="s">
        <v>6757</v>
      </c>
      <c r="D1733" s="7" t="s">
        <v>3069</v>
      </c>
      <c r="E1733" s="8">
        <v>2.0</v>
      </c>
      <c r="F1733" s="7" t="s">
        <v>17</v>
      </c>
      <c r="G1733" s="5" t="s">
        <v>461</v>
      </c>
      <c r="H1733" s="7" t="s">
        <v>16</v>
      </c>
      <c r="I1733" s="7" t="s">
        <v>6758</v>
      </c>
      <c r="J1733" s="7" t="s">
        <v>1266</v>
      </c>
      <c r="K1733" s="8">
        <v>3.0</v>
      </c>
      <c r="L1733" s="7" t="s">
        <v>16</v>
      </c>
      <c r="M1733" s="5" t="s">
        <v>36</v>
      </c>
      <c r="N1733" s="5" t="s">
        <v>6759</v>
      </c>
    </row>
    <row r="1734">
      <c r="A1734" s="5" t="s">
        <v>6760</v>
      </c>
      <c r="B1734" s="7" t="s">
        <v>1128</v>
      </c>
      <c r="C1734" s="7" t="s">
        <v>6761</v>
      </c>
      <c r="D1734" s="7" t="s">
        <v>3069</v>
      </c>
      <c r="E1734" s="8">
        <v>1.0</v>
      </c>
      <c r="F1734" s="7" t="s">
        <v>17</v>
      </c>
      <c r="G1734" s="5" t="s">
        <v>19</v>
      </c>
      <c r="H1734" s="7" t="s">
        <v>16</v>
      </c>
      <c r="I1734" s="7" t="s">
        <v>6762</v>
      </c>
      <c r="J1734" s="7" t="s">
        <v>16</v>
      </c>
      <c r="K1734" s="7" t="s">
        <v>16</v>
      </c>
      <c r="L1734" s="7" t="s">
        <v>16</v>
      </c>
      <c r="M1734" s="5" t="s">
        <v>22</v>
      </c>
      <c r="N1734" s="5" t="s">
        <v>6763</v>
      </c>
    </row>
    <row r="1735">
      <c r="A1735" s="5" t="s">
        <v>6764</v>
      </c>
      <c r="B1735" s="7" t="s">
        <v>1128</v>
      </c>
      <c r="C1735" s="7" t="s">
        <v>6765</v>
      </c>
      <c r="D1735" s="7" t="s">
        <v>3069</v>
      </c>
      <c r="E1735" s="8">
        <v>4.0</v>
      </c>
      <c r="F1735" s="7" t="s">
        <v>17</v>
      </c>
      <c r="G1735" s="5" t="s">
        <v>461</v>
      </c>
      <c r="H1735" s="7" t="s">
        <v>16</v>
      </c>
      <c r="I1735" s="7" t="s">
        <v>6766</v>
      </c>
      <c r="J1735" s="7" t="s">
        <v>16</v>
      </c>
      <c r="K1735" s="7" t="s">
        <v>16</v>
      </c>
      <c r="L1735" s="7" t="s">
        <v>16</v>
      </c>
      <c r="M1735" s="5" t="s">
        <v>36</v>
      </c>
      <c r="N1735" s="5" t="s">
        <v>6767</v>
      </c>
    </row>
    <row r="1736">
      <c r="A1736" s="5" t="s">
        <v>6768</v>
      </c>
      <c r="B1736" s="7" t="s">
        <v>1128</v>
      </c>
      <c r="C1736" s="7" t="s">
        <v>6769</v>
      </c>
      <c r="D1736" s="7" t="s">
        <v>3485</v>
      </c>
      <c r="E1736" s="8">
        <v>2.0</v>
      </c>
      <c r="F1736" s="7" t="s">
        <v>105</v>
      </c>
      <c r="G1736" s="5" t="s">
        <v>19</v>
      </c>
      <c r="H1736" s="7" t="s">
        <v>4955</v>
      </c>
      <c r="I1736" s="7" t="s">
        <v>6770</v>
      </c>
      <c r="J1736" s="36" t="s">
        <v>1137</v>
      </c>
      <c r="K1736" s="8">
        <v>2.0</v>
      </c>
      <c r="L1736" s="7" t="s">
        <v>16</v>
      </c>
      <c r="M1736" s="5" t="s">
        <v>22</v>
      </c>
      <c r="N1736" s="5" t="s">
        <v>6771</v>
      </c>
    </row>
    <row r="1737">
      <c r="A1737" s="5" t="s">
        <v>6772</v>
      </c>
      <c r="B1737" s="7" t="s">
        <v>1128</v>
      </c>
      <c r="C1737" s="7" t="s">
        <v>6773</v>
      </c>
      <c r="D1737" s="7" t="s">
        <v>3485</v>
      </c>
      <c r="E1737" s="8">
        <v>7.0</v>
      </c>
      <c r="F1737" s="7" t="s">
        <v>105</v>
      </c>
      <c r="G1737" s="5" t="s">
        <v>326</v>
      </c>
      <c r="H1737" s="7" t="s">
        <v>4955</v>
      </c>
      <c r="I1737" s="7" t="s">
        <v>6774</v>
      </c>
      <c r="J1737" s="36" t="s">
        <v>1161</v>
      </c>
      <c r="K1737" s="8">
        <v>3.0</v>
      </c>
      <c r="L1737" s="7" t="s">
        <v>16</v>
      </c>
      <c r="M1737" s="5" t="s">
        <v>75</v>
      </c>
      <c r="N1737" s="5" t="s">
        <v>6775</v>
      </c>
    </row>
    <row r="1738">
      <c r="A1738" s="5" t="s">
        <v>6776</v>
      </c>
      <c r="B1738" s="7" t="s">
        <v>1128</v>
      </c>
      <c r="C1738" s="7" t="s">
        <v>6777</v>
      </c>
      <c r="D1738" s="7" t="s">
        <v>3485</v>
      </c>
      <c r="E1738" s="8">
        <v>1.0</v>
      </c>
      <c r="F1738" s="7" t="s">
        <v>172</v>
      </c>
      <c r="G1738" s="5" t="s">
        <v>19</v>
      </c>
      <c r="H1738" s="7" t="s">
        <v>4955</v>
      </c>
      <c r="I1738" s="7" t="s">
        <v>6778</v>
      </c>
      <c r="J1738" s="36" t="s">
        <v>1137</v>
      </c>
      <c r="K1738" s="7" t="s">
        <v>16</v>
      </c>
      <c r="L1738" s="7" t="s">
        <v>16</v>
      </c>
      <c r="M1738" s="5" t="s">
        <v>22</v>
      </c>
      <c r="N1738" s="5" t="s">
        <v>6779</v>
      </c>
    </row>
    <row r="1739">
      <c r="A1739" s="5" t="s">
        <v>6780</v>
      </c>
      <c r="B1739" s="7" t="s">
        <v>1128</v>
      </c>
      <c r="C1739" s="7" t="s">
        <v>6781</v>
      </c>
      <c r="D1739" s="7" t="s">
        <v>3485</v>
      </c>
      <c r="E1739" s="8">
        <v>2.0</v>
      </c>
      <c r="F1739" s="7" t="s">
        <v>17</v>
      </c>
      <c r="G1739" s="5" t="s">
        <v>461</v>
      </c>
      <c r="H1739" s="7" t="s">
        <v>4955</v>
      </c>
      <c r="I1739" s="7" t="s">
        <v>6782</v>
      </c>
      <c r="J1739" s="36" t="s">
        <v>1137</v>
      </c>
      <c r="K1739" s="8">
        <v>2.0</v>
      </c>
      <c r="L1739" s="7" t="s">
        <v>16</v>
      </c>
      <c r="M1739" s="5" t="s">
        <v>22</v>
      </c>
      <c r="N1739" s="5" t="s">
        <v>6783</v>
      </c>
    </row>
    <row r="1740">
      <c r="A1740" s="5" t="s">
        <v>6784</v>
      </c>
      <c r="B1740" s="7" t="s">
        <v>1128</v>
      </c>
      <c r="C1740" s="7" t="s">
        <v>6785</v>
      </c>
      <c r="D1740" s="7" t="s">
        <v>3485</v>
      </c>
      <c r="E1740" s="8">
        <v>2.0</v>
      </c>
      <c r="F1740" s="7" t="s">
        <v>17</v>
      </c>
      <c r="G1740" s="5" t="s">
        <v>461</v>
      </c>
      <c r="H1740" s="7" t="s">
        <v>4955</v>
      </c>
      <c r="I1740" s="7" t="s">
        <v>6786</v>
      </c>
      <c r="J1740" s="36" t="s">
        <v>1137</v>
      </c>
      <c r="K1740" s="8">
        <v>2.0</v>
      </c>
      <c r="L1740" s="7" t="s">
        <v>16</v>
      </c>
      <c r="M1740" s="5" t="s">
        <v>22</v>
      </c>
      <c r="N1740" s="5" t="s">
        <v>6787</v>
      </c>
    </row>
    <row r="1741">
      <c r="A1741" s="5" t="s">
        <v>6788</v>
      </c>
      <c r="B1741" s="7" t="s">
        <v>1128</v>
      </c>
      <c r="C1741" s="7" t="s">
        <v>6789</v>
      </c>
      <c r="D1741" s="7" t="s">
        <v>3485</v>
      </c>
      <c r="E1741" s="8">
        <v>2.0</v>
      </c>
      <c r="F1741" s="7" t="s">
        <v>17</v>
      </c>
      <c r="G1741" s="5" t="s">
        <v>461</v>
      </c>
      <c r="H1741" s="7" t="s">
        <v>4955</v>
      </c>
      <c r="I1741" s="7" t="s">
        <v>6790</v>
      </c>
      <c r="J1741" s="36" t="s">
        <v>1137</v>
      </c>
      <c r="K1741" s="8">
        <v>2.0</v>
      </c>
      <c r="L1741" s="7" t="s">
        <v>16</v>
      </c>
      <c r="M1741" s="5" t="s">
        <v>36</v>
      </c>
      <c r="N1741" s="5" t="s">
        <v>6791</v>
      </c>
    </row>
    <row r="1742">
      <c r="A1742" s="5" t="s">
        <v>6792</v>
      </c>
      <c r="B1742" s="7" t="s">
        <v>1128</v>
      </c>
      <c r="C1742" s="7" t="s">
        <v>6793</v>
      </c>
      <c r="D1742" s="7" t="s">
        <v>3485</v>
      </c>
      <c r="E1742" s="8">
        <v>7.0</v>
      </c>
      <c r="F1742" s="7" t="s">
        <v>105</v>
      </c>
      <c r="G1742" s="5" t="s">
        <v>326</v>
      </c>
      <c r="H1742" s="7" t="s">
        <v>4955</v>
      </c>
      <c r="I1742" s="7" t="s">
        <v>4789</v>
      </c>
      <c r="J1742" s="36" t="s">
        <v>1154</v>
      </c>
      <c r="K1742" s="8">
        <v>3.0</v>
      </c>
      <c r="L1742" s="7" t="s">
        <v>16</v>
      </c>
      <c r="M1742" s="5" t="s">
        <v>36</v>
      </c>
      <c r="N1742" s="5" t="s">
        <v>6794</v>
      </c>
    </row>
    <row r="1743">
      <c r="A1743" s="5" t="s">
        <v>6795</v>
      </c>
      <c r="B1743" s="7" t="s">
        <v>1128</v>
      </c>
      <c r="C1743" s="7" t="s">
        <v>6796</v>
      </c>
      <c r="D1743" s="7" t="s">
        <v>3485</v>
      </c>
      <c r="E1743" s="8">
        <v>2.0</v>
      </c>
      <c r="F1743" s="7" t="s">
        <v>105</v>
      </c>
      <c r="G1743" s="5" t="s">
        <v>461</v>
      </c>
      <c r="H1743" s="7" t="s">
        <v>4955</v>
      </c>
      <c r="I1743" s="7" t="s">
        <v>6797</v>
      </c>
      <c r="J1743" s="36" t="s">
        <v>1137</v>
      </c>
      <c r="K1743" s="8">
        <v>2.0</v>
      </c>
      <c r="L1743" s="7" t="s">
        <v>16</v>
      </c>
      <c r="M1743" s="5" t="s">
        <v>22</v>
      </c>
      <c r="N1743" s="5" t="s">
        <v>6798</v>
      </c>
    </row>
    <row r="1744">
      <c r="A1744" s="5" t="s">
        <v>6799</v>
      </c>
      <c r="B1744" s="7" t="s">
        <v>1128</v>
      </c>
      <c r="C1744" s="7" t="s">
        <v>6800</v>
      </c>
      <c r="D1744" s="7" t="s">
        <v>1199</v>
      </c>
      <c r="E1744" s="8">
        <v>2.0</v>
      </c>
      <c r="F1744" s="7" t="s">
        <v>17</v>
      </c>
      <c r="G1744" s="5" t="s">
        <v>461</v>
      </c>
      <c r="H1744" s="7" t="s">
        <v>1130</v>
      </c>
      <c r="I1744" s="7" t="s">
        <v>6801</v>
      </c>
      <c r="J1744" s="36" t="s">
        <v>1261</v>
      </c>
      <c r="K1744" s="7" t="s">
        <v>16</v>
      </c>
      <c r="L1744" s="7" t="s">
        <v>16</v>
      </c>
      <c r="M1744" s="5" t="s">
        <v>88</v>
      </c>
      <c r="N1744" s="5" t="s">
        <v>6802</v>
      </c>
    </row>
    <row r="1745">
      <c r="A1745" s="5" t="s">
        <v>6803</v>
      </c>
      <c r="B1745" s="7" t="s">
        <v>1128</v>
      </c>
      <c r="C1745" s="7" t="s">
        <v>6804</v>
      </c>
      <c r="D1745" s="7" t="s">
        <v>2576</v>
      </c>
      <c r="E1745" s="8">
        <v>3.0</v>
      </c>
      <c r="F1745" s="7" t="s">
        <v>17</v>
      </c>
      <c r="G1745" s="5" t="s">
        <v>461</v>
      </c>
      <c r="H1745" s="7" t="s">
        <v>16</v>
      </c>
      <c r="I1745" s="7" t="s">
        <v>6805</v>
      </c>
      <c r="J1745" s="7" t="s">
        <v>16</v>
      </c>
      <c r="K1745" s="7" t="s">
        <v>16</v>
      </c>
      <c r="L1745" s="7" t="s">
        <v>16</v>
      </c>
      <c r="M1745" s="5" t="s">
        <v>36</v>
      </c>
      <c r="N1745" s="5" t="s">
        <v>6806</v>
      </c>
    </row>
    <row r="1746">
      <c r="A1746" s="5" t="s">
        <v>6807</v>
      </c>
      <c r="B1746" s="7" t="s">
        <v>1128</v>
      </c>
      <c r="C1746" s="7" t="s">
        <v>6808</v>
      </c>
      <c r="D1746" s="7" t="s">
        <v>2576</v>
      </c>
      <c r="E1746" s="8">
        <v>4.0</v>
      </c>
      <c r="F1746" s="7" t="s">
        <v>17</v>
      </c>
      <c r="G1746" s="5" t="s">
        <v>326</v>
      </c>
      <c r="H1746" s="7" t="s">
        <v>16</v>
      </c>
      <c r="I1746" s="7" t="s">
        <v>6809</v>
      </c>
      <c r="J1746" s="36" t="s">
        <v>4746</v>
      </c>
      <c r="K1746" s="8">
        <v>4.0</v>
      </c>
      <c r="L1746" s="7" t="s">
        <v>16</v>
      </c>
      <c r="M1746" s="5" t="s">
        <v>75</v>
      </c>
      <c r="N1746" s="5" t="s">
        <v>6810</v>
      </c>
    </row>
    <row r="1747">
      <c r="A1747" s="5" t="s">
        <v>6811</v>
      </c>
      <c r="B1747" s="7" t="s">
        <v>1128</v>
      </c>
      <c r="C1747" s="7" t="s">
        <v>6812</v>
      </c>
      <c r="D1747" s="7" t="s">
        <v>3084</v>
      </c>
      <c r="E1747" s="8">
        <v>1.0</v>
      </c>
      <c r="F1747" s="7" t="s">
        <v>17</v>
      </c>
      <c r="G1747" s="5" t="s">
        <v>19</v>
      </c>
      <c r="H1747" s="7" t="s">
        <v>16</v>
      </c>
      <c r="I1747" s="7" t="s">
        <v>5081</v>
      </c>
      <c r="J1747" s="36" t="s">
        <v>1261</v>
      </c>
      <c r="K1747" s="8">
        <v>1.0</v>
      </c>
      <c r="L1747" s="7" t="s">
        <v>16</v>
      </c>
      <c r="M1747" s="5" t="s">
        <v>22</v>
      </c>
      <c r="N1747" s="5" t="s">
        <v>6813</v>
      </c>
    </row>
    <row r="1748">
      <c r="A1748" s="5" t="s">
        <v>6814</v>
      </c>
      <c r="B1748" s="7" t="s">
        <v>1128</v>
      </c>
      <c r="C1748" s="7" t="s">
        <v>6815</v>
      </c>
      <c r="D1748" s="7" t="s">
        <v>3084</v>
      </c>
      <c r="E1748" s="8">
        <v>2.0</v>
      </c>
      <c r="F1748" s="7" t="s">
        <v>17</v>
      </c>
      <c r="G1748" s="5" t="s">
        <v>461</v>
      </c>
      <c r="H1748" s="7" t="s">
        <v>16</v>
      </c>
      <c r="I1748" s="7" t="s">
        <v>4912</v>
      </c>
      <c r="J1748" s="36" t="s">
        <v>1137</v>
      </c>
      <c r="K1748" s="8">
        <v>2.0</v>
      </c>
      <c r="L1748" s="7" t="s">
        <v>16</v>
      </c>
      <c r="M1748" s="5" t="s">
        <v>36</v>
      </c>
      <c r="N1748" s="5" t="s">
        <v>6816</v>
      </c>
    </row>
    <row r="1749">
      <c r="A1749" s="5" t="s">
        <v>6817</v>
      </c>
      <c r="B1749" s="7" t="s">
        <v>1128</v>
      </c>
      <c r="C1749" s="7" t="s">
        <v>6818</v>
      </c>
      <c r="D1749" s="7" t="s">
        <v>3084</v>
      </c>
      <c r="E1749" s="8">
        <v>3.0</v>
      </c>
      <c r="F1749" s="7" t="s">
        <v>17</v>
      </c>
      <c r="G1749" s="5" t="s">
        <v>461</v>
      </c>
      <c r="H1749" s="7" t="s">
        <v>16</v>
      </c>
      <c r="I1749" s="7" t="s">
        <v>6819</v>
      </c>
      <c r="J1749" s="36" t="s">
        <v>1132</v>
      </c>
      <c r="K1749" s="8">
        <v>1.0</v>
      </c>
      <c r="L1749" s="7" t="s">
        <v>16</v>
      </c>
      <c r="M1749" s="5" t="s">
        <v>22</v>
      </c>
      <c r="N1749" s="5" t="s">
        <v>6820</v>
      </c>
    </row>
    <row r="1750">
      <c r="A1750" s="5" t="s">
        <v>6821</v>
      </c>
      <c r="B1750" s="7" t="s">
        <v>1128</v>
      </c>
      <c r="C1750" s="7" t="s">
        <v>6822</v>
      </c>
      <c r="D1750" s="7" t="s">
        <v>1199</v>
      </c>
      <c r="E1750" s="8">
        <v>6.0</v>
      </c>
      <c r="F1750" s="7" t="s">
        <v>105</v>
      </c>
      <c r="G1750" s="5" t="s">
        <v>326</v>
      </c>
      <c r="H1750" s="7" t="s">
        <v>1130</v>
      </c>
      <c r="I1750" s="7" t="s">
        <v>6172</v>
      </c>
      <c r="J1750" s="36" t="s">
        <v>1154</v>
      </c>
      <c r="K1750" s="8">
        <v>3.0</v>
      </c>
      <c r="L1750" s="7" t="s">
        <v>16</v>
      </c>
      <c r="M1750" s="5" t="s">
        <v>36</v>
      </c>
      <c r="N1750" s="5" t="s">
        <v>6823</v>
      </c>
    </row>
    <row r="1751">
      <c r="A1751" s="5" t="s">
        <v>6824</v>
      </c>
      <c r="B1751" s="7" t="s">
        <v>1128</v>
      </c>
      <c r="C1751" s="7" t="s">
        <v>6825</v>
      </c>
      <c r="D1751" s="7" t="s">
        <v>1199</v>
      </c>
      <c r="E1751" s="8">
        <v>1.0</v>
      </c>
      <c r="F1751" s="7" t="s">
        <v>105</v>
      </c>
      <c r="G1751" s="5" t="s">
        <v>326</v>
      </c>
      <c r="H1751" s="7" t="s">
        <v>1130</v>
      </c>
      <c r="I1751" s="7" t="s">
        <v>1131</v>
      </c>
      <c r="J1751" s="36" t="s">
        <v>6679</v>
      </c>
      <c r="K1751" s="8">
        <v>10.0</v>
      </c>
      <c r="L1751" s="7" t="s">
        <v>16</v>
      </c>
      <c r="M1751" s="5" t="s">
        <v>75</v>
      </c>
      <c r="N1751" s="5" t="s">
        <v>6826</v>
      </c>
    </row>
    <row r="1752">
      <c r="A1752" s="5" t="s">
        <v>6827</v>
      </c>
      <c r="B1752" s="7" t="s">
        <v>1128</v>
      </c>
      <c r="C1752" s="7" t="s">
        <v>6828</v>
      </c>
      <c r="D1752" s="7" t="s">
        <v>3563</v>
      </c>
      <c r="E1752" s="8">
        <v>1.0</v>
      </c>
      <c r="F1752" s="7" t="s">
        <v>17</v>
      </c>
      <c r="G1752" s="5" t="s">
        <v>19</v>
      </c>
      <c r="H1752" s="7" t="s">
        <v>16</v>
      </c>
      <c r="I1752" s="7" t="s">
        <v>6829</v>
      </c>
      <c r="J1752" s="7" t="s">
        <v>16</v>
      </c>
      <c r="K1752" s="7" t="s">
        <v>16</v>
      </c>
      <c r="L1752" s="7" t="s">
        <v>16</v>
      </c>
      <c r="M1752" s="5" t="s">
        <v>22</v>
      </c>
      <c r="N1752" s="5" t="s">
        <v>6830</v>
      </c>
    </row>
    <row r="1753">
      <c r="A1753" s="5" t="s">
        <v>6831</v>
      </c>
      <c r="B1753" s="7" t="s">
        <v>1128</v>
      </c>
      <c r="C1753" s="7" t="s">
        <v>6832</v>
      </c>
      <c r="D1753" s="7" t="s">
        <v>3563</v>
      </c>
      <c r="E1753" s="8">
        <v>2.0</v>
      </c>
      <c r="F1753" s="7" t="s">
        <v>17</v>
      </c>
      <c r="G1753" s="5" t="s">
        <v>19</v>
      </c>
      <c r="H1753" s="7" t="s">
        <v>16</v>
      </c>
      <c r="I1753" s="7" t="s">
        <v>6833</v>
      </c>
      <c r="J1753" s="7" t="s">
        <v>16</v>
      </c>
      <c r="K1753" s="7" t="s">
        <v>16</v>
      </c>
      <c r="L1753" s="7" t="s">
        <v>16</v>
      </c>
      <c r="M1753" s="5" t="s">
        <v>22</v>
      </c>
      <c r="N1753" s="5" t="s">
        <v>6834</v>
      </c>
    </row>
    <row r="1754">
      <c r="A1754" s="5" t="s">
        <v>6835</v>
      </c>
      <c r="B1754" s="7" t="s">
        <v>1128</v>
      </c>
      <c r="C1754" s="7" t="s">
        <v>6836</v>
      </c>
      <c r="D1754" s="7" t="s">
        <v>3563</v>
      </c>
      <c r="E1754" s="8">
        <v>3.0</v>
      </c>
      <c r="F1754" s="7" t="s">
        <v>17</v>
      </c>
      <c r="G1754" s="5" t="s">
        <v>19</v>
      </c>
      <c r="H1754" s="7" t="s">
        <v>16</v>
      </c>
      <c r="I1754" s="7" t="s">
        <v>6837</v>
      </c>
      <c r="J1754" s="7" t="s">
        <v>16</v>
      </c>
      <c r="K1754" s="7" t="s">
        <v>16</v>
      </c>
      <c r="L1754" s="7" t="s">
        <v>16</v>
      </c>
      <c r="M1754" s="5" t="s">
        <v>22</v>
      </c>
      <c r="N1754" s="5" t="s">
        <v>6838</v>
      </c>
    </row>
    <row r="1755">
      <c r="A1755" s="5" t="s">
        <v>6839</v>
      </c>
      <c r="B1755" s="7" t="s">
        <v>1128</v>
      </c>
      <c r="C1755" s="7" t="s">
        <v>6840</v>
      </c>
      <c r="D1755" s="7" t="s">
        <v>3563</v>
      </c>
      <c r="E1755" s="8">
        <v>4.0</v>
      </c>
      <c r="F1755" s="7" t="s">
        <v>17</v>
      </c>
      <c r="G1755" s="5" t="s">
        <v>461</v>
      </c>
      <c r="H1755" s="7" t="s">
        <v>16</v>
      </c>
      <c r="I1755" s="7" t="s">
        <v>6841</v>
      </c>
      <c r="J1755" s="7" t="s">
        <v>16</v>
      </c>
      <c r="K1755" s="7" t="s">
        <v>16</v>
      </c>
      <c r="L1755" s="7" t="s">
        <v>16</v>
      </c>
      <c r="M1755" s="5" t="s">
        <v>36</v>
      </c>
      <c r="N1755" s="5" t="s">
        <v>6842</v>
      </c>
    </row>
    <row r="1756">
      <c r="A1756" s="5" t="s">
        <v>6843</v>
      </c>
      <c r="B1756" s="7" t="s">
        <v>1128</v>
      </c>
      <c r="C1756" s="7" t="s">
        <v>6844</v>
      </c>
      <c r="D1756" s="7" t="s">
        <v>3563</v>
      </c>
      <c r="E1756" s="8">
        <v>6.0</v>
      </c>
      <c r="F1756" s="7" t="s">
        <v>17</v>
      </c>
      <c r="G1756" s="5" t="s">
        <v>326</v>
      </c>
      <c r="H1756" s="7" t="s">
        <v>16</v>
      </c>
      <c r="I1756" s="7" t="s">
        <v>6845</v>
      </c>
      <c r="J1756" s="36" t="s">
        <v>1154</v>
      </c>
      <c r="K1756" s="8">
        <v>3.0</v>
      </c>
      <c r="L1756" s="7" t="s">
        <v>16</v>
      </c>
      <c r="M1756" s="5" t="s">
        <v>36</v>
      </c>
      <c r="N1756" s="5" t="s">
        <v>6846</v>
      </c>
    </row>
    <row r="1757">
      <c r="A1757" s="5" t="s">
        <v>6847</v>
      </c>
      <c r="B1757" s="7" t="s">
        <v>1128</v>
      </c>
      <c r="C1757" s="7" t="s">
        <v>6848</v>
      </c>
      <c r="D1757" s="7" t="s">
        <v>3574</v>
      </c>
      <c r="E1757" s="8">
        <v>6.0</v>
      </c>
      <c r="F1757" s="7" t="s">
        <v>105</v>
      </c>
      <c r="G1757" s="5" t="s">
        <v>326</v>
      </c>
      <c r="H1757" s="7" t="s">
        <v>16</v>
      </c>
      <c r="I1757" s="7" t="s">
        <v>6849</v>
      </c>
      <c r="J1757" s="36" t="s">
        <v>1154</v>
      </c>
      <c r="K1757" s="8">
        <v>2.0</v>
      </c>
      <c r="L1757" s="7" t="s">
        <v>16</v>
      </c>
      <c r="M1757" s="5" t="s">
        <v>22</v>
      </c>
      <c r="N1757" s="5" t="s">
        <v>6850</v>
      </c>
    </row>
    <row r="1758">
      <c r="A1758" s="5" t="s">
        <v>6851</v>
      </c>
      <c r="B1758" s="7" t="s">
        <v>1128</v>
      </c>
      <c r="C1758" s="7" t="s">
        <v>6852</v>
      </c>
      <c r="D1758" s="7" t="s">
        <v>1748</v>
      </c>
      <c r="E1758" s="8">
        <v>3.0</v>
      </c>
      <c r="F1758" s="7" t="s">
        <v>105</v>
      </c>
      <c r="G1758" s="5" t="s">
        <v>19</v>
      </c>
      <c r="H1758" s="7" t="s">
        <v>16</v>
      </c>
      <c r="I1758" s="7" t="s">
        <v>6853</v>
      </c>
      <c r="J1758" s="36" t="s">
        <v>1137</v>
      </c>
      <c r="K1758" s="8">
        <v>2.0</v>
      </c>
      <c r="L1758" s="7" t="s">
        <v>16</v>
      </c>
      <c r="M1758" s="5" t="s">
        <v>22</v>
      </c>
      <c r="N1758" s="5" t="s">
        <v>6854</v>
      </c>
    </row>
    <row r="1759">
      <c r="A1759" s="5" t="s">
        <v>6855</v>
      </c>
      <c r="B1759" s="7" t="s">
        <v>1128</v>
      </c>
      <c r="C1759" s="7" t="s">
        <v>6856</v>
      </c>
      <c r="D1759" s="7" t="s">
        <v>1748</v>
      </c>
      <c r="E1759" s="8">
        <v>3.0</v>
      </c>
      <c r="F1759" s="7" t="s">
        <v>17</v>
      </c>
      <c r="G1759" s="5" t="s">
        <v>461</v>
      </c>
      <c r="H1759" s="7" t="s">
        <v>16</v>
      </c>
      <c r="I1759" s="7" t="s">
        <v>6857</v>
      </c>
      <c r="J1759" s="36" t="s">
        <v>1137</v>
      </c>
      <c r="K1759" s="8">
        <v>2.0</v>
      </c>
      <c r="L1759" s="7" t="s">
        <v>16</v>
      </c>
      <c r="M1759" s="5" t="s">
        <v>22</v>
      </c>
      <c r="N1759" s="5" t="s">
        <v>6858</v>
      </c>
    </row>
    <row r="1760">
      <c r="A1760" s="5" t="s">
        <v>6859</v>
      </c>
      <c r="B1760" s="7" t="s">
        <v>1128</v>
      </c>
      <c r="C1760" s="7" t="s">
        <v>6860</v>
      </c>
      <c r="D1760" s="7" t="s">
        <v>1748</v>
      </c>
      <c r="E1760" s="8">
        <v>1.0</v>
      </c>
      <c r="F1760" s="7" t="s">
        <v>172</v>
      </c>
      <c r="G1760" s="5" t="s">
        <v>19</v>
      </c>
      <c r="H1760" s="7" t="s">
        <v>16</v>
      </c>
      <c r="I1760" s="7" t="s">
        <v>6861</v>
      </c>
      <c r="J1760" s="7" t="s">
        <v>16</v>
      </c>
      <c r="K1760" s="8">
        <v>2.0</v>
      </c>
      <c r="L1760" s="7" t="s">
        <v>16</v>
      </c>
      <c r="M1760" s="5" t="s">
        <v>22</v>
      </c>
      <c r="N1760" s="5" t="s">
        <v>6862</v>
      </c>
    </row>
    <row r="1761">
      <c r="A1761" s="5" t="s">
        <v>6863</v>
      </c>
      <c r="B1761" s="7" t="s">
        <v>1128</v>
      </c>
      <c r="C1761" s="7" t="s">
        <v>6864</v>
      </c>
      <c r="D1761" s="7" t="s">
        <v>1748</v>
      </c>
      <c r="E1761" s="8">
        <v>2.0</v>
      </c>
      <c r="F1761" s="7" t="s">
        <v>172</v>
      </c>
      <c r="G1761" s="5" t="s">
        <v>461</v>
      </c>
      <c r="H1761" s="7" t="s">
        <v>16</v>
      </c>
      <c r="I1761" s="7" t="s">
        <v>6865</v>
      </c>
      <c r="J1761" s="36" t="s">
        <v>4746</v>
      </c>
      <c r="K1761" s="7" t="s">
        <v>16</v>
      </c>
      <c r="L1761" s="7" t="s">
        <v>16</v>
      </c>
      <c r="M1761" s="5" t="s">
        <v>36</v>
      </c>
      <c r="N1761" s="5" t="s">
        <v>6866</v>
      </c>
    </row>
    <row r="1762">
      <c r="A1762" s="5" t="s">
        <v>6867</v>
      </c>
      <c r="B1762" s="7" t="s">
        <v>1128</v>
      </c>
      <c r="C1762" s="7" t="s">
        <v>6868</v>
      </c>
      <c r="D1762" s="7" t="s">
        <v>1748</v>
      </c>
      <c r="E1762" s="8">
        <v>6.0</v>
      </c>
      <c r="F1762" s="7" t="s">
        <v>17</v>
      </c>
      <c r="G1762" s="5" t="s">
        <v>326</v>
      </c>
      <c r="H1762" s="7" t="s">
        <v>16</v>
      </c>
      <c r="I1762" s="7" t="s">
        <v>6857</v>
      </c>
      <c r="J1762" s="36" t="s">
        <v>4746</v>
      </c>
      <c r="K1762" s="8">
        <v>4.0</v>
      </c>
      <c r="L1762" s="7" t="s">
        <v>16</v>
      </c>
      <c r="M1762" s="5" t="s">
        <v>75</v>
      </c>
      <c r="N1762" s="5" t="s">
        <v>6869</v>
      </c>
    </row>
    <row r="1763">
      <c r="A1763" s="5" t="s">
        <v>6870</v>
      </c>
      <c r="B1763" s="7" t="s">
        <v>1128</v>
      </c>
      <c r="C1763" s="7" t="s">
        <v>6871</v>
      </c>
      <c r="D1763" s="7" t="s">
        <v>3079</v>
      </c>
      <c r="E1763" s="8">
        <v>2.0</v>
      </c>
      <c r="F1763" s="7" t="s">
        <v>17</v>
      </c>
      <c r="G1763" s="5" t="s">
        <v>19</v>
      </c>
      <c r="H1763" s="7" t="s">
        <v>16</v>
      </c>
      <c r="I1763" s="7" t="s">
        <v>6242</v>
      </c>
      <c r="J1763" s="36" t="s">
        <v>1132</v>
      </c>
      <c r="K1763" s="8">
        <v>2.0</v>
      </c>
      <c r="L1763" s="7" t="s">
        <v>16</v>
      </c>
      <c r="M1763" s="5" t="s">
        <v>22</v>
      </c>
      <c r="N1763" s="5" t="s">
        <v>6872</v>
      </c>
    </row>
    <row r="1764">
      <c r="A1764" s="5" t="s">
        <v>6873</v>
      </c>
      <c r="B1764" s="7" t="s">
        <v>1128</v>
      </c>
      <c r="C1764" s="7" t="s">
        <v>6874</v>
      </c>
      <c r="D1764" s="7" t="s">
        <v>3079</v>
      </c>
      <c r="E1764" s="8">
        <v>3.0</v>
      </c>
      <c r="F1764" s="7" t="s">
        <v>17</v>
      </c>
      <c r="G1764" s="5" t="s">
        <v>6875</v>
      </c>
      <c r="H1764" s="7" t="s">
        <v>16</v>
      </c>
      <c r="I1764" s="7" t="s">
        <v>6876</v>
      </c>
      <c r="J1764" s="36" t="s">
        <v>1132</v>
      </c>
      <c r="K1764" s="8">
        <v>1.0</v>
      </c>
      <c r="L1764" s="7" t="s">
        <v>16</v>
      </c>
      <c r="M1764" s="5" t="s">
        <v>36</v>
      </c>
      <c r="N1764" s="5" t="s">
        <v>6877</v>
      </c>
    </row>
    <row r="1765">
      <c r="A1765" s="5" t="s">
        <v>6878</v>
      </c>
      <c r="B1765" s="7" t="s">
        <v>1128</v>
      </c>
      <c r="C1765" s="7" t="s">
        <v>6879</v>
      </c>
      <c r="D1765" s="7" t="s">
        <v>3079</v>
      </c>
      <c r="E1765" s="8">
        <v>4.0</v>
      </c>
      <c r="F1765" s="7" t="s">
        <v>17</v>
      </c>
      <c r="G1765" s="5" t="s">
        <v>461</v>
      </c>
      <c r="H1765" s="7" t="s">
        <v>16</v>
      </c>
      <c r="I1765" s="7" t="s">
        <v>6880</v>
      </c>
      <c r="J1765" s="36" t="s">
        <v>1137</v>
      </c>
      <c r="K1765" s="8">
        <v>2.0</v>
      </c>
      <c r="L1765" s="7" t="s">
        <v>16</v>
      </c>
      <c r="M1765" s="5" t="s">
        <v>36</v>
      </c>
      <c r="N1765" s="5" t="s">
        <v>6881</v>
      </c>
    </row>
    <row r="1766">
      <c r="A1766" s="5" t="s">
        <v>6882</v>
      </c>
      <c r="B1766" s="7" t="s">
        <v>1128</v>
      </c>
      <c r="C1766" s="7" t="s">
        <v>6883</v>
      </c>
      <c r="D1766" s="7" t="s">
        <v>3568</v>
      </c>
      <c r="E1766" s="8">
        <v>2.0</v>
      </c>
      <c r="F1766" s="7" t="s">
        <v>17</v>
      </c>
      <c r="G1766" s="5" t="s">
        <v>461</v>
      </c>
      <c r="H1766" s="7" t="s">
        <v>16</v>
      </c>
      <c r="I1766" s="7" t="s">
        <v>6884</v>
      </c>
      <c r="J1766" s="36" t="s">
        <v>1261</v>
      </c>
      <c r="K1766" s="8">
        <v>2.0</v>
      </c>
      <c r="L1766" s="7" t="s">
        <v>16</v>
      </c>
      <c r="M1766" s="5" t="s">
        <v>22</v>
      </c>
      <c r="N1766" s="5" t="s">
        <v>6885</v>
      </c>
    </row>
    <row r="1767">
      <c r="A1767" s="5" t="s">
        <v>6886</v>
      </c>
      <c r="B1767" s="7" t="s">
        <v>1128</v>
      </c>
      <c r="C1767" s="7" t="s">
        <v>6887</v>
      </c>
      <c r="D1767" s="7" t="s">
        <v>3568</v>
      </c>
      <c r="E1767" s="8">
        <v>3.0</v>
      </c>
      <c r="F1767" s="7" t="s">
        <v>17</v>
      </c>
      <c r="G1767" s="5" t="s">
        <v>461</v>
      </c>
      <c r="H1767" s="7" t="s">
        <v>16</v>
      </c>
      <c r="I1767" s="7" t="s">
        <v>6888</v>
      </c>
      <c r="J1767" s="36" t="s">
        <v>1132</v>
      </c>
      <c r="K1767" s="8">
        <v>3.0</v>
      </c>
      <c r="L1767" s="7" t="s">
        <v>16</v>
      </c>
      <c r="M1767" s="5" t="s">
        <v>36</v>
      </c>
      <c r="N1767" s="5" t="s">
        <v>6889</v>
      </c>
    </row>
    <row r="1768">
      <c r="A1768" s="5" t="s">
        <v>6890</v>
      </c>
      <c r="B1768" s="7" t="s">
        <v>1128</v>
      </c>
      <c r="C1768" s="7" t="s">
        <v>6891</v>
      </c>
      <c r="D1768" s="7" t="s">
        <v>2581</v>
      </c>
      <c r="E1768" s="8">
        <v>2.0</v>
      </c>
      <c r="F1768" s="7" t="s">
        <v>17</v>
      </c>
      <c r="G1768" s="5" t="s">
        <v>461</v>
      </c>
      <c r="H1768" s="7" t="s">
        <v>16</v>
      </c>
      <c r="I1768" s="7" t="s">
        <v>6892</v>
      </c>
      <c r="J1768" s="36" t="s">
        <v>1137</v>
      </c>
      <c r="K1768" s="8">
        <v>2.0</v>
      </c>
      <c r="L1768" s="7" t="s">
        <v>16</v>
      </c>
      <c r="M1768" s="5" t="s">
        <v>36</v>
      </c>
      <c r="N1768" s="5" t="s">
        <v>6893</v>
      </c>
    </row>
    <row r="1769">
      <c r="A1769" s="5" t="s">
        <v>6894</v>
      </c>
      <c r="B1769" s="7" t="s">
        <v>1128</v>
      </c>
      <c r="C1769" s="7" t="s">
        <v>6895</v>
      </c>
      <c r="D1769" s="13" t="s">
        <v>2767</v>
      </c>
      <c r="E1769" s="8">
        <v>4.0</v>
      </c>
      <c r="F1769" s="7" t="s">
        <v>17</v>
      </c>
      <c r="G1769" s="5" t="s">
        <v>326</v>
      </c>
      <c r="H1769" s="7" t="s">
        <v>4681</v>
      </c>
      <c r="I1769" s="7" t="s">
        <v>6896</v>
      </c>
      <c r="J1769" s="36" t="s">
        <v>4746</v>
      </c>
      <c r="K1769" s="8">
        <v>4.0</v>
      </c>
      <c r="L1769" s="7" t="s">
        <v>16</v>
      </c>
      <c r="M1769" s="5" t="s">
        <v>75</v>
      </c>
      <c r="N1769" s="5" t="s">
        <v>6897</v>
      </c>
    </row>
    <row r="1770">
      <c r="A1770" s="5" t="s">
        <v>6898</v>
      </c>
      <c r="B1770" s="7" t="s">
        <v>1128</v>
      </c>
      <c r="C1770" s="7" t="s">
        <v>6899</v>
      </c>
      <c r="D1770" s="13" t="s">
        <v>6900</v>
      </c>
      <c r="E1770" s="8">
        <v>5.0</v>
      </c>
      <c r="F1770" s="7" t="s">
        <v>17</v>
      </c>
      <c r="G1770" s="5" t="s">
        <v>326</v>
      </c>
      <c r="H1770" s="7" t="s">
        <v>1130</v>
      </c>
      <c r="I1770" s="7" t="s">
        <v>6901</v>
      </c>
      <c r="J1770" s="36" t="s">
        <v>6679</v>
      </c>
      <c r="K1770" s="8">
        <v>5.0</v>
      </c>
      <c r="L1770" s="7" t="s">
        <v>16</v>
      </c>
      <c r="M1770" s="5" t="s">
        <v>88</v>
      </c>
      <c r="N1770" s="5" t="s">
        <v>6902</v>
      </c>
    </row>
    <row r="1771">
      <c r="A1771" s="5" t="s">
        <v>6903</v>
      </c>
      <c r="B1771" s="7" t="s">
        <v>4553</v>
      </c>
      <c r="C1771" s="7" t="s">
        <v>6904</v>
      </c>
      <c r="D1771" s="7" t="s">
        <v>16</v>
      </c>
      <c r="E1771" s="7" t="s">
        <v>16</v>
      </c>
      <c r="F1771" s="7" t="s">
        <v>16</v>
      </c>
      <c r="G1771" s="5" t="s">
        <v>19</v>
      </c>
      <c r="H1771" s="7" t="s">
        <v>16</v>
      </c>
      <c r="I1771" s="7" t="s">
        <v>6905</v>
      </c>
      <c r="J1771" s="7" t="s">
        <v>16</v>
      </c>
      <c r="K1771" s="7" t="s">
        <v>16</v>
      </c>
      <c r="L1771" s="7" t="s">
        <v>16</v>
      </c>
      <c r="M1771" s="5" t="s">
        <v>22</v>
      </c>
      <c r="N1771" s="5" t="s">
        <v>6906</v>
      </c>
    </row>
    <row r="1772">
      <c r="A1772" s="5" t="s">
        <v>6907</v>
      </c>
      <c r="B1772" s="7" t="s">
        <v>4553</v>
      </c>
      <c r="C1772" s="7" t="s">
        <v>6908</v>
      </c>
      <c r="D1772" s="7" t="s">
        <v>16</v>
      </c>
      <c r="E1772" s="7" t="s">
        <v>16</v>
      </c>
      <c r="F1772" s="7" t="s">
        <v>16</v>
      </c>
      <c r="G1772" s="5" t="s">
        <v>19</v>
      </c>
      <c r="H1772" s="7" t="s">
        <v>16</v>
      </c>
      <c r="I1772" s="13" t="s">
        <v>6909</v>
      </c>
      <c r="J1772" s="7" t="s">
        <v>16</v>
      </c>
      <c r="K1772" s="7" t="s">
        <v>16</v>
      </c>
      <c r="L1772" s="7" t="s">
        <v>16</v>
      </c>
      <c r="M1772" s="5" t="s">
        <v>36</v>
      </c>
      <c r="N1772" s="5" t="s">
        <v>6910</v>
      </c>
    </row>
    <row r="1773">
      <c r="A1773" s="5" t="s">
        <v>6911</v>
      </c>
      <c r="B1773" s="7" t="s">
        <v>4553</v>
      </c>
      <c r="C1773" s="7" t="s">
        <v>6912</v>
      </c>
      <c r="D1773" s="7" t="s">
        <v>16</v>
      </c>
      <c r="E1773" s="7" t="s">
        <v>16</v>
      </c>
      <c r="F1773" s="7" t="s">
        <v>16</v>
      </c>
      <c r="G1773" s="5" t="s">
        <v>19</v>
      </c>
      <c r="H1773" s="7" t="s">
        <v>16</v>
      </c>
      <c r="I1773" s="7" t="s">
        <v>6913</v>
      </c>
      <c r="J1773" s="7" t="s">
        <v>16</v>
      </c>
      <c r="K1773" s="7" t="s">
        <v>16</v>
      </c>
      <c r="L1773" s="7" t="s">
        <v>16</v>
      </c>
      <c r="M1773" s="5" t="s">
        <v>22</v>
      </c>
      <c r="N1773" s="5" t="s">
        <v>6914</v>
      </c>
    </row>
    <row r="1774">
      <c r="A1774" s="5" t="s">
        <v>6915</v>
      </c>
      <c r="B1774" s="7" t="s">
        <v>4553</v>
      </c>
      <c r="C1774" s="7" t="s">
        <v>6916</v>
      </c>
      <c r="D1774" s="7" t="s">
        <v>16</v>
      </c>
      <c r="E1774" s="7" t="s">
        <v>16</v>
      </c>
      <c r="F1774" s="7" t="s">
        <v>16</v>
      </c>
      <c r="G1774" s="5" t="s">
        <v>19</v>
      </c>
      <c r="H1774" s="7" t="s">
        <v>16</v>
      </c>
      <c r="I1774" s="7" t="s">
        <v>6917</v>
      </c>
      <c r="J1774" s="7" t="s">
        <v>16</v>
      </c>
      <c r="K1774" s="7" t="s">
        <v>16</v>
      </c>
      <c r="L1774" s="7" t="s">
        <v>16</v>
      </c>
      <c r="M1774" s="5" t="s">
        <v>22</v>
      </c>
      <c r="N1774" s="5" t="s">
        <v>6918</v>
      </c>
    </row>
    <row r="1775">
      <c r="A1775" s="5" t="s">
        <v>6919</v>
      </c>
      <c r="B1775" s="7" t="s">
        <v>4553</v>
      </c>
      <c r="C1775" s="7" t="s">
        <v>6920</v>
      </c>
      <c r="D1775" s="7" t="s">
        <v>16</v>
      </c>
      <c r="E1775" s="7" t="s">
        <v>16</v>
      </c>
      <c r="F1775" s="7" t="s">
        <v>16</v>
      </c>
      <c r="G1775" s="5" t="s">
        <v>19</v>
      </c>
      <c r="H1775" s="7" t="s">
        <v>16</v>
      </c>
      <c r="I1775" s="7" t="s">
        <v>6921</v>
      </c>
      <c r="J1775" s="7" t="s">
        <v>16</v>
      </c>
      <c r="K1775" s="7" t="s">
        <v>16</v>
      </c>
      <c r="L1775" s="7" t="s">
        <v>16</v>
      </c>
      <c r="M1775" s="5" t="s">
        <v>36</v>
      </c>
      <c r="N1775" s="5" t="s">
        <v>6922</v>
      </c>
    </row>
    <row r="1776">
      <c r="A1776" s="5" t="s">
        <v>6923</v>
      </c>
      <c r="B1776" s="7" t="s">
        <v>4553</v>
      </c>
      <c r="C1776" s="7" t="s">
        <v>6924</v>
      </c>
      <c r="D1776" s="7" t="s">
        <v>16</v>
      </c>
      <c r="E1776" s="7" t="s">
        <v>16</v>
      </c>
      <c r="F1776" s="7" t="s">
        <v>16</v>
      </c>
      <c r="G1776" s="5" t="s">
        <v>326</v>
      </c>
      <c r="H1776" s="7" t="s">
        <v>16</v>
      </c>
      <c r="I1776" s="7" t="s">
        <v>6925</v>
      </c>
      <c r="J1776" s="7" t="s">
        <v>16</v>
      </c>
      <c r="K1776" s="7" t="s">
        <v>16</v>
      </c>
      <c r="L1776" s="7" t="s">
        <v>16</v>
      </c>
      <c r="M1776" s="5" t="s">
        <v>88</v>
      </c>
      <c r="N1776" s="5" t="s">
        <v>6926</v>
      </c>
    </row>
    <row r="1777">
      <c r="A1777" s="5" t="s">
        <v>6927</v>
      </c>
      <c r="B1777" s="7" t="s">
        <v>6928</v>
      </c>
      <c r="C1777" s="7" t="s">
        <v>6929</v>
      </c>
      <c r="D1777" s="7" t="s">
        <v>16</v>
      </c>
      <c r="E1777" s="7" t="s">
        <v>16</v>
      </c>
      <c r="F1777" s="7" t="s">
        <v>16</v>
      </c>
      <c r="G1777" s="5" t="s">
        <v>19</v>
      </c>
      <c r="H1777" s="7" t="s">
        <v>16</v>
      </c>
      <c r="I1777" s="7" t="s">
        <v>6930</v>
      </c>
      <c r="J1777" s="7" t="s">
        <v>16</v>
      </c>
      <c r="K1777" s="7" t="s">
        <v>16</v>
      </c>
      <c r="L1777" s="7" t="s">
        <v>16</v>
      </c>
      <c r="M1777" s="5" t="s">
        <v>75</v>
      </c>
      <c r="N1777" s="5" t="s">
        <v>16</v>
      </c>
    </row>
    <row r="1778">
      <c r="A1778" s="5" t="s">
        <v>6931</v>
      </c>
      <c r="B1778" s="5" t="s">
        <v>6928</v>
      </c>
      <c r="C1778" s="7" t="s">
        <v>6932</v>
      </c>
      <c r="D1778" s="7" t="s">
        <v>16</v>
      </c>
      <c r="E1778" s="7" t="s">
        <v>16</v>
      </c>
      <c r="F1778" s="7" t="s">
        <v>16</v>
      </c>
      <c r="G1778" s="5" t="s">
        <v>19</v>
      </c>
      <c r="H1778" s="7" t="s">
        <v>16</v>
      </c>
      <c r="I1778" s="7" t="s">
        <v>6933</v>
      </c>
      <c r="J1778" s="7" t="s">
        <v>16</v>
      </c>
      <c r="K1778" s="7" t="s">
        <v>16</v>
      </c>
      <c r="L1778" s="7" t="s">
        <v>16</v>
      </c>
      <c r="M1778" s="5" t="s">
        <v>75</v>
      </c>
      <c r="N1778" s="5" t="s">
        <v>16</v>
      </c>
    </row>
    <row r="1779">
      <c r="A1779" s="5" t="s">
        <v>6934</v>
      </c>
      <c r="B1779" s="5" t="s">
        <v>6928</v>
      </c>
      <c r="C1779" s="7" t="s">
        <v>6935</v>
      </c>
      <c r="D1779" s="7" t="s">
        <v>16</v>
      </c>
      <c r="E1779" s="7" t="s">
        <v>16</v>
      </c>
      <c r="F1779" s="7" t="s">
        <v>16</v>
      </c>
      <c r="G1779" s="5" t="s">
        <v>19</v>
      </c>
      <c r="H1779" s="7" t="s">
        <v>16</v>
      </c>
      <c r="I1779" s="7" t="s">
        <v>6936</v>
      </c>
      <c r="J1779" s="7" t="s">
        <v>16</v>
      </c>
      <c r="K1779" s="7" t="s">
        <v>16</v>
      </c>
      <c r="L1779" s="7" t="s">
        <v>16</v>
      </c>
      <c r="M1779" s="5" t="s">
        <v>75</v>
      </c>
      <c r="N1779" s="5" t="s">
        <v>16</v>
      </c>
    </row>
    <row r="1780">
      <c r="A1780" s="5" t="s">
        <v>6937</v>
      </c>
      <c r="B1780" s="5" t="s">
        <v>6928</v>
      </c>
      <c r="C1780" s="7" t="s">
        <v>6938</v>
      </c>
      <c r="D1780" s="7" t="s">
        <v>16</v>
      </c>
      <c r="E1780" s="7" t="s">
        <v>16</v>
      </c>
      <c r="F1780" s="7" t="s">
        <v>16</v>
      </c>
      <c r="G1780" s="5" t="s">
        <v>19</v>
      </c>
      <c r="H1780" s="7" t="s">
        <v>16</v>
      </c>
      <c r="I1780" s="7" t="s">
        <v>6939</v>
      </c>
      <c r="J1780" s="7" t="s">
        <v>16</v>
      </c>
      <c r="K1780" s="7" t="s">
        <v>16</v>
      </c>
      <c r="L1780" s="7" t="s">
        <v>16</v>
      </c>
      <c r="M1780" s="5" t="s">
        <v>75</v>
      </c>
      <c r="N1780" s="5" t="s">
        <v>16</v>
      </c>
    </row>
    <row r="1781">
      <c r="A1781" s="5"/>
      <c r="B1781" s="5"/>
      <c r="C1781" s="7"/>
      <c r="D1781" s="7"/>
      <c r="E1781" s="7"/>
      <c r="F1781" s="7"/>
      <c r="G1781" s="5"/>
      <c r="H1781" s="7"/>
      <c r="I1781" s="7"/>
      <c r="J1781" s="7"/>
      <c r="K1781" s="7"/>
      <c r="L1781" s="7"/>
      <c r="M1781" s="5"/>
      <c r="N1781" s="5"/>
    </row>
    <row r="1782">
      <c r="A1782" s="5"/>
      <c r="B1782" s="5"/>
      <c r="C1782" s="7"/>
      <c r="D1782" s="7"/>
      <c r="E1782" s="7"/>
      <c r="F1782" s="7"/>
      <c r="G1782" s="5"/>
      <c r="H1782" s="7"/>
      <c r="I1782" s="7"/>
      <c r="J1782" s="7"/>
      <c r="K1782" s="7"/>
      <c r="L1782" s="7"/>
      <c r="M1782" s="5"/>
      <c r="N1782" s="5"/>
    </row>
    <row r="1783">
      <c r="A1783" s="5"/>
      <c r="B1783" s="5"/>
      <c r="C1783" s="7"/>
      <c r="D1783" s="7"/>
      <c r="E1783" s="7"/>
      <c r="F1783" s="7"/>
      <c r="G1783" s="5"/>
      <c r="H1783" s="7"/>
      <c r="I1783" s="7"/>
      <c r="J1783" s="7"/>
      <c r="K1783" s="7"/>
      <c r="L1783" s="7"/>
      <c r="M1783" s="5"/>
      <c r="N1783" s="5"/>
    </row>
    <row r="1784">
      <c r="A1784" s="5"/>
      <c r="B1784" s="5"/>
      <c r="C1784" s="7"/>
      <c r="D1784" s="7"/>
      <c r="E1784" s="7"/>
      <c r="F1784" s="7"/>
      <c r="G1784" s="5"/>
      <c r="H1784" s="7"/>
      <c r="I1784" s="7"/>
      <c r="J1784" s="7"/>
      <c r="K1784" s="7"/>
      <c r="L1784" s="7"/>
      <c r="M1784" s="5"/>
      <c r="N1784" s="5"/>
    </row>
    <row r="1785">
      <c r="A1785" s="5"/>
      <c r="B1785" s="5"/>
      <c r="C1785" s="7"/>
      <c r="D1785" s="7"/>
      <c r="E1785" s="7"/>
      <c r="F1785" s="7"/>
      <c r="G1785" s="5"/>
      <c r="H1785" s="7"/>
      <c r="I1785" s="7"/>
      <c r="J1785" s="7"/>
      <c r="K1785" s="7"/>
      <c r="L1785" s="7"/>
      <c r="M1785" s="5"/>
      <c r="N1785" s="5"/>
    </row>
    <row r="1786">
      <c r="A1786" s="5"/>
      <c r="B1786" s="5"/>
      <c r="C1786" s="7"/>
      <c r="D1786" s="7"/>
      <c r="E1786" s="7"/>
      <c r="F1786" s="7"/>
      <c r="G1786" s="5"/>
      <c r="H1786" s="7"/>
      <c r="I1786" s="7"/>
      <c r="J1786" s="7"/>
      <c r="K1786" s="7"/>
      <c r="L1786" s="7"/>
      <c r="M1786" s="5"/>
      <c r="N1786" s="5"/>
    </row>
    <row r="1787">
      <c r="A1787" s="5"/>
      <c r="B1787" s="5"/>
      <c r="C1787" s="7"/>
      <c r="D1787" s="7"/>
      <c r="E1787" s="7"/>
      <c r="F1787" s="7"/>
      <c r="G1787" s="5"/>
      <c r="H1787" s="7"/>
      <c r="I1787" s="7"/>
      <c r="J1787" s="7"/>
      <c r="K1787" s="7"/>
      <c r="L1787" s="7"/>
      <c r="M1787" s="5"/>
      <c r="N1787" s="5"/>
    </row>
    <row r="1788">
      <c r="A1788" s="5"/>
      <c r="B1788" s="5"/>
      <c r="C1788" s="7"/>
      <c r="D1788" s="7"/>
      <c r="E1788" s="7"/>
      <c r="F1788" s="7"/>
      <c r="G1788" s="5"/>
      <c r="H1788" s="7"/>
      <c r="I1788" s="7"/>
      <c r="J1788" s="7"/>
      <c r="K1788" s="7"/>
      <c r="L1788" s="7"/>
      <c r="M1788" s="5"/>
      <c r="N1788" s="5"/>
    </row>
    <row r="1789">
      <c r="A1789" s="5"/>
      <c r="B1789" s="5"/>
      <c r="C1789" s="7"/>
      <c r="D1789" s="7"/>
      <c r="E1789" s="7"/>
      <c r="F1789" s="7"/>
      <c r="G1789" s="5"/>
      <c r="H1789" s="7"/>
      <c r="I1789" s="7"/>
      <c r="J1789" s="7"/>
      <c r="K1789" s="7"/>
      <c r="L1789" s="7"/>
      <c r="M1789" s="5"/>
      <c r="N1789" s="5"/>
    </row>
    <row r="1790">
      <c r="A1790" s="5"/>
      <c r="B1790" s="5"/>
      <c r="C1790" s="7"/>
      <c r="D1790" s="7"/>
      <c r="E1790" s="7"/>
      <c r="F1790" s="7"/>
      <c r="G1790" s="5"/>
      <c r="H1790" s="7"/>
      <c r="I1790" s="7"/>
      <c r="J1790" s="7"/>
      <c r="K1790" s="7"/>
      <c r="L1790" s="7"/>
      <c r="M1790" s="5"/>
      <c r="N1790" s="5"/>
    </row>
    <row r="1791">
      <c r="A1791" s="5"/>
      <c r="B1791" s="5"/>
      <c r="C1791" s="7"/>
      <c r="D1791" s="7"/>
      <c r="E1791" s="7"/>
      <c r="F1791" s="7"/>
      <c r="G1791" s="5"/>
      <c r="H1791" s="7"/>
      <c r="I1791" s="7"/>
      <c r="J1791" s="7"/>
      <c r="K1791" s="7"/>
      <c r="L1791" s="7"/>
      <c r="M1791" s="5"/>
      <c r="N1791" s="5"/>
    </row>
    <row r="1792">
      <c r="A1792" s="5"/>
      <c r="B1792" s="5"/>
      <c r="C1792" s="7"/>
      <c r="D1792" s="7"/>
      <c r="E1792" s="7"/>
      <c r="F1792" s="7"/>
      <c r="G1792" s="5"/>
      <c r="H1792" s="7"/>
      <c r="I1792" s="7"/>
      <c r="J1792" s="7"/>
      <c r="K1792" s="7"/>
      <c r="L1792" s="7"/>
      <c r="M1792" s="5"/>
      <c r="N1792" s="5"/>
    </row>
    <row r="1793">
      <c r="A1793" s="5"/>
      <c r="B1793" s="5"/>
      <c r="C1793" s="7"/>
      <c r="D1793" s="7"/>
      <c r="E1793" s="7"/>
      <c r="F1793" s="7"/>
      <c r="G1793" s="5"/>
      <c r="H1793" s="7"/>
      <c r="I1793" s="7"/>
      <c r="J1793" s="7"/>
      <c r="K1793" s="7"/>
      <c r="L1793" s="7"/>
      <c r="M1793" s="5"/>
      <c r="N1793" s="5"/>
    </row>
    <row r="1794">
      <c r="A1794" s="5"/>
      <c r="B1794" s="5"/>
      <c r="C1794" s="7"/>
      <c r="D1794" s="7"/>
      <c r="E1794" s="7"/>
      <c r="F1794" s="7"/>
      <c r="G1794" s="5"/>
      <c r="H1794" s="7"/>
      <c r="I1794" s="7"/>
      <c r="J1794" s="7"/>
      <c r="K1794" s="7"/>
      <c r="L1794" s="7"/>
      <c r="M1794" s="5"/>
      <c r="N1794" s="5"/>
    </row>
    <row r="1795">
      <c r="A1795" s="5"/>
      <c r="B1795" s="5"/>
      <c r="C1795" s="7"/>
      <c r="D1795" s="7"/>
      <c r="E1795" s="7"/>
      <c r="F1795" s="7"/>
      <c r="G1795" s="5"/>
      <c r="H1795" s="7"/>
      <c r="I1795" s="7"/>
      <c r="J1795" s="7"/>
      <c r="K1795" s="7"/>
      <c r="L1795" s="7"/>
      <c r="M1795" s="5"/>
      <c r="N1795" s="5"/>
    </row>
    <row r="1796">
      <c r="A1796" s="5"/>
      <c r="B1796" s="5"/>
      <c r="C1796" s="7"/>
      <c r="D1796" s="7"/>
      <c r="E1796" s="7"/>
      <c r="F1796" s="7"/>
      <c r="G1796" s="5"/>
      <c r="H1796" s="7"/>
      <c r="I1796" s="7"/>
      <c r="J1796" s="7"/>
      <c r="K1796" s="7"/>
      <c r="L1796" s="7"/>
      <c r="M1796" s="5"/>
      <c r="N1796" s="5"/>
    </row>
    <row r="1797">
      <c r="A1797" s="5"/>
      <c r="B1797" s="5"/>
      <c r="C1797" s="7"/>
      <c r="D1797" s="7"/>
      <c r="E1797" s="7"/>
      <c r="F1797" s="7"/>
      <c r="G1797" s="5"/>
      <c r="H1797" s="7"/>
      <c r="I1797" s="7"/>
      <c r="J1797" s="7"/>
      <c r="K1797" s="7"/>
      <c r="L1797" s="7"/>
      <c r="M1797" s="5"/>
      <c r="N1797" s="5"/>
    </row>
    <row r="1798">
      <c r="A1798" s="5"/>
      <c r="B1798" s="5"/>
      <c r="C1798" s="7"/>
      <c r="D1798" s="7"/>
      <c r="E1798" s="7"/>
      <c r="F1798" s="7"/>
      <c r="G1798" s="5"/>
      <c r="H1798" s="7"/>
      <c r="I1798" s="7"/>
      <c r="J1798" s="7"/>
      <c r="K1798" s="7"/>
      <c r="L1798" s="7"/>
      <c r="M1798" s="5"/>
      <c r="N1798" s="5"/>
    </row>
    <row r="1799">
      <c r="A1799" s="5"/>
      <c r="B1799" s="5"/>
      <c r="C1799" s="7"/>
      <c r="D1799" s="7"/>
      <c r="E1799" s="7"/>
      <c r="F1799" s="7"/>
      <c r="G1799" s="5"/>
      <c r="H1799" s="7"/>
      <c r="I1799" s="7"/>
      <c r="J1799" s="7"/>
      <c r="K1799" s="7"/>
      <c r="L1799" s="7"/>
      <c r="M1799" s="5"/>
      <c r="N1799" s="5"/>
    </row>
    <row r="1800">
      <c r="A1800" s="5"/>
      <c r="B1800" s="5"/>
      <c r="C1800" s="7"/>
      <c r="D1800" s="7"/>
      <c r="E1800" s="7"/>
      <c r="F1800" s="7"/>
      <c r="G1800" s="5"/>
      <c r="H1800" s="7"/>
      <c r="I1800" s="7"/>
      <c r="J1800" s="7"/>
      <c r="K1800" s="7"/>
      <c r="L1800" s="7"/>
      <c r="M1800" s="5"/>
      <c r="N1800" s="5"/>
    </row>
    <row r="1801">
      <c r="A1801" s="5"/>
      <c r="B1801" s="5"/>
      <c r="C1801" s="7"/>
      <c r="D1801" s="7"/>
      <c r="E1801" s="7"/>
      <c r="F1801" s="7"/>
      <c r="G1801" s="5"/>
      <c r="H1801" s="7"/>
      <c r="I1801" s="7"/>
      <c r="J1801" s="7"/>
      <c r="K1801" s="7"/>
      <c r="L1801" s="7"/>
      <c r="M1801" s="5"/>
      <c r="N1801" s="5"/>
    </row>
    <row r="1802">
      <c r="A1802" s="5"/>
      <c r="B1802" s="5"/>
      <c r="C1802" s="7"/>
      <c r="D1802" s="7"/>
      <c r="E1802" s="7"/>
      <c r="F1802" s="7"/>
      <c r="G1802" s="5"/>
      <c r="H1802" s="7"/>
      <c r="I1802" s="7"/>
      <c r="J1802" s="7"/>
      <c r="K1802" s="7"/>
      <c r="L1802" s="7"/>
      <c r="M1802" s="5"/>
      <c r="N1802" s="5"/>
    </row>
    <row r="1803">
      <c r="A1803" s="5"/>
      <c r="B1803" s="5"/>
      <c r="C1803" s="7"/>
      <c r="D1803" s="7"/>
      <c r="E1803" s="7"/>
      <c r="F1803" s="7"/>
      <c r="G1803" s="5"/>
      <c r="H1803" s="7"/>
      <c r="I1803" s="7"/>
      <c r="J1803" s="7"/>
      <c r="K1803" s="7"/>
      <c r="L1803" s="7"/>
      <c r="M1803" s="5"/>
      <c r="N1803" s="5"/>
    </row>
    <row r="1804">
      <c r="A1804" s="5"/>
      <c r="B1804" s="5"/>
      <c r="C1804" s="7"/>
      <c r="D1804" s="7"/>
      <c r="E1804" s="7"/>
      <c r="F1804" s="7"/>
      <c r="G1804" s="5"/>
      <c r="H1804" s="7"/>
      <c r="I1804" s="7"/>
      <c r="J1804" s="7"/>
      <c r="K1804" s="7"/>
      <c r="L1804" s="7"/>
      <c r="M1804" s="5"/>
      <c r="N1804" s="5"/>
    </row>
    <row r="1805">
      <c r="A1805" s="5"/>
      <c r="B1805" s="5"/>
      <c r="C1805" s="7"/>
      <c r="D1805" s="7"/>
      <c r="E1805" s="7"/>
      <c r="F1805" s="7"/>
      <c r="G1805" s="5"/>
      <c r="H1805" s="7"/>
      <c r="I1805" s="7"/>
      <c r="J1805" s="7"/>
      <c r="K1805" s="7"/>
      <c r="L1805" s="7"/>
      <c r="M1805" s="5"/>
      <c r="N1805" s="5"/>
    </row>
    <row r="1806">
      <c r="A1806" s="5"/>
      <c r="B1806" s="5"/>
      <c r="C1806" s="7"/>
      <c r="D1806" s="7"/>
      <c r="E1806" s="7"/>
      <c r="F1806" s="7"/>
      <c r="G1806" s="5"/>
      <c r="H1806" s="7"/>
      <c r="I1806" s="7"/>
      <c r="J1806" s="7"/>
      <c r="K1806" s="7"/>
      <c r="L1806" s="7"/>
      <c r="M1806" s="5"/>
      <c r="N1806" s="5"/>
    </row>
    <row r="1807">
      <c r="A1807" s="5"/>
      <c r="B1807" s="5"/>
      <c r="C1807" s="7"/>
      <c r="D1807" s="7"/>
      <c r="E1807" s="7"/>
      <c r="F1807" s="7"/>
      <c r="G1807" s="5"/>
      <c r="H1807" s="7"/>
      <c r="I1807" s="7"/>
      <c r="J1807" s="7"/>
      <c r="K1807" s="7"/>
      <c r="L1807" s="7"/>
      <c r="M1807" s="5"/>
      <c r="N1807" s="5"/>
    </row>
    <row r="1808">
      <c r="A1808" s="5"/>
      <c r="B1808" s="5"/>
      <c r="C1808" s="7"/>
      <c r="D1808" s="7"/>
      <c r="E1808" s="7"/>
      <c r="F1808" s="7"/>
      <c r="G1808" s="5"/>
      <c r="H1808" s="7"/>
      <c r="I1808" s="7"/>
      <c r="J1808" s="7"/>
      <c r="K1808" s="7"/>
      <c r="L1808" s="7"/>
      <c r="M1808" s="5"/>
      <c r="N1808" s="5"/>
    </row>
    <row r="1809">
      <c r="A1809" s="5"/>
      <c r="B1809" s="5"/>
      <c r="C1809" s="7"/>
      <c r="D1809" s="7"/>
      <c r="E1809" s="7"/>
      <c r="F1809" s="7"/>
      <c r="G1809" s="5"/>
      <c r="H1809" s="7"/>
      <c r="I1809" s="7"/>
      <c r="J1809" s="7"/>
      <c r="K1809" s="7"/>
      <c r="L1809" s="7"/>
      <c r="M1809" s="5"/>
      <c r="N1809" s="5"/>
    </row>
  </sheetData>
  <hyperlinks>
    <hyperlink r:id="rId1" ref="A6"/>
    <hyperlink r:id="rId2" ref="A7"/>
    <hyperlink r:id="rId3" ref="A8"/>
    <hyperlink r:id="rId4" ref="A9"/>
    <hyperlink r:id="rId5" ref="A10"/>
    <hyperlink r:id="rId6" ref="A11"/>
    <hyperlink r:id="rId7" ref="A12"/>
    <hyperlink r:id="rId8" ref="A13"/>
    <hyperlink r:id="rId9" ref="A14"/>
    <hyperlink r:id="rId10" ref="A15"/>
    <hyperlink r:id="rId11" ref="A16"/>
    <hyperlink r:id="rId12" ref="A17"/>
    <hyperlink r:id="rId13" ref="A18"/>
    <hyperlink r:id="rId14" ref="A19"/>
    <hyperlink r:id="rId15" ref="A20"/>
    <hyperlink r:id="rId16" ref="A21"/>
    <hyperlink r:id="rId17" ref="A22"/>
    <hyperlink r:id="rId18" ref="A23"/>
    <hyperlink r:id="rId19" ref="A24"/>
    <hyperlink r:id="rId20" ref="A25"/>
    <hyperlink r:id="rId21" ref="A26"/>
    <hyperlink r:id="rId22" ref="A27"/>
    <hyperlink r:id="rId23" ref="A28"/>
    <hyperlink r:id="rId24" ref="A29"/>
    <hyperlink r:id="rId25" ref="A30"/>
    <hyperlink r:id="rId26" ref="A31"/>
    <hyperlink r:id="rId27" ref="A32"/>
    <hyperlink r:id="rId28" ref="A33"/>
    <hyperlink r:id="rId29" ref="A34"/>
    <hyperlink r:id="rId30" ref="A35"/>
    <hyperlink r:id="rId31" ref="A36"/>
    <hyperlink r:id="rId32" ref="A37"/>
    <hyperlink r:id="rId33" ref="A38"/>
    <hyperlink r:id="rId34" ref="A39"/>
    <hyperlink r:id="rId35" ref="A40"/>
    <hyperlink r:id="rId36" ref="A41"/>
    <hyperlink r:id="rId37" ref="A42"/>
    <hyperlink r:id="rId38" ref="A43"/>
    <hyperlink r:id="rId39" ref="A44"/>
    <hyperlink r:id="rId40" ref="A45"/>
    <hyperlink r:id="rId41" ref="A46"/>
    <hyperlink r:id="rId42" ref="A47"/>
    <hyperlink r:id="rId43" ref="A48"/>
    <hyperlink r:id="rId44" ref="A49"/>
    <hyperlink r:id="rId45" ref="A50"/>
    <hyperlink r:id="rId46" ref="A51"/>
    <hyperlink r:id="rId47" ref="A52"/>
    <hyperlink r:id="rId48" ref="A53"/>
    <hyperlink r:id="rId49" ref="A54"/>
    <hyperlink r:id="rId50" ref="A55"/>
    <hyperlink r:id="rId51" ref="A56"/>
    <hyperlink r:id="rId52" ref="A57"/>
    <hyperlink r:id="rId53" ref="A58"/>
    <hyperlink r:id="rId54" ref="A59"/>
    <hyperlink r:id="rId55" ref="A60"/>
    <hyperlink r:id="rId56" ref="A61"/>
    <hyperlink r:id="rId57" ref="A62"/>
    <hyperlink r:id="rId58" ref="A63"/>
    <hyperlink r:id="rId59" ref="A64"/>
    <hyperlink r:id="rId60" ref="A65"/>
    <hyperlink r:id="rId61" ref="A66"/>
    <hyperlink r:id="rId62" ref="A67"/>
    <hyperlink r:id="rId63" ref="A68"/>
    <hyperlink r:id="rId64" ref="A69"/>
    <hyperlink r:id="rId65" ref="A70"/>
    <hyperlink r:id="rId66" ref="A71"/>
    <hyperlink r:id="rId67" ref="A72"/>
    <hyperlink r:id="rId68" ref="A73"/>
    <hyperlink r:id="rId69" ref="A74"/>
    <hyperlink r:id="rId70" ref="A75"/>
    <hyperlink r:id="rId71" ref="A76"/>
    <hyperlink r:id="rId72" ref="A77"/>
    <hyperlink r:id="rId73" ref="A78"/>
    <hyperlink r:id="rId74" ref="A79"/>
    <hyperlink r:id="rId75" ref="A80"/>
    <hyperlink r:id="rId76" ref="A81"/>
    <hyperlink r:id="rId77" ref="A82"/>
    <hyperlink r:id="rId78" ref="A83"/>
    <hyperlink r:id="rId79" ref="A84"/>
    <hyperlink r:id="rId80" ref="A85"/>
    <hyperlink r:id="rId81" ref="A86"/>
    <hyperlink r:id="rId82" ref="A87"/>
    <hyperlink r:id="rId83" ref="A88"/>
    <hyperlink r:id="rId84" ref="A89"/>
    <hyperlink r:id="rId85" ref="A90"/>
    <hyperlink r:id="rId86" ref="A91"/>
    <hyperlink r:id="rId87" ref="A92"/>
    <hyperlink r:id="rId88" ref="A93"/>
    <hyperlink r:id="rId89" ref="A94"/>
    <hyperlink r:id="rId90" ref="A95"/>
    <hyperlink r:id="rId91" ref="A96"/>
    <hyperlink r:id="rId92" ref="A97"/>
    <hyperlink r:id="rId93" ref="A98"/>
    <hyperlink r:id="rId94" ref="A99"/>
    <hyperlink r:id="rId95" ref="A100"/>
    <hyperlink r:id="rId96" ref="A101"/>
    <hyperlink r:id="rId97" ref="A102"/>
    <hyperlink r:id="rId98" ref="A103"/>
    <hyperlink r:id="rId99" ref="A104"/>
    <hyperlink r:id="rId100" ref="A105"/>
    <hyperlink r:id="rId101" ref="A106"/>
    <hyperlink r:id="rId102" ref="A107"/>
    <hyperlink r:id="rId103" ref="A108"/>
    <hyperlink r:id="rId104" ref="A109"/>
    <hyperlink r:id="rId105" ref="A110"/>
    <hyperlink r:id="rId106" ref="A111"/>
    <hyperlink r:id="rId107" ref="A112"/>
    <hyperlink r:id="rId108" ref="A113"/>
    <hyperlink r:id="rId109" ref="A114"/>
    <hyperlink r:id="rId110" ref="A115"/>
    <hyperlink r:id="rId111" ref="A116"/>
    <hyperlink r:id="rId112" ref="A117"/>
    <hyperlink r:id="rId113" ref="A118"/>
    <hyperlink r:id="rId114" ref="A119"/>
    <hyperlink r:id="rId115" ref="A120"/>
    <hyperlink r:id="rId116" ref="A121"/>
    <hyperlink r:id="rId117" ref="A122"/>
    <hyperlink r:id="rId118" ref="A123"/>
    <hyperlink r:id="rId119" ref="A124"/>
    <hyperlink r:id="rId120" ref="A125"/>
    <hyperlink r:id="rId121" ref="A126"/>
    <hyperlink r:id="rId122" ref="A127"/>
    <hyperlink r:id="rId123" ref="A128"/>
    <hyperlink r:id="rId124" ref="A129"/>
    <hyperlink r:id="rId125" ref="A130"/>
    <hyperlink r:id="rId126" ref="A131"/>
    <hyperlink r:id="rId127" ref="A132"/>
    <hyperlink r:id="rId128" ref="A133"/>
    <hyperlink r:id="rId129" ref="A134"/>
    <hyperlink r:id="rId130" ref="A135"/>
    <hyperlink r:id="rId131" ref="A136"/>
    <hyperlink r:id="rId132" ref="A137"/>
    <hyperlink r:id="rId133" ref="A138"/>
    <hyperlink r:id="rId134" ref="A139"/>
    <hyperlink r:id="rId135" ref="A140"/>
    <hyperlink r:id="rId136" ref="A141"/>
    <hyperlink r:id="rId137" ref="A142"/>
    <hyperlink r:id="rId138" ref="A143"/>
    <hyperlink r:id="rId139" ref="A144"/>
    <hyperlink r:id="rId140" ref="A145"/>
    <hyperlink r:id="rId141" ref="A146"/>
    <hyperlink r:id="rId142" ref="A147"/>
    <hyperlink r:id="rId143" ref="A148"/>
    <hyperlink r:id="rId144" ref="A149"/>
    <hyperlink r:id="rId145" ref="A150"/>
    <hyperlink r:id="rId146" ref="A151"/>
    <hyperlink r:id="rId147" ref="A152"/>
    <hyperlink r:id="rId148" ref="A153"/>
    <hyperlink r:id="rId149" ref="A154"/>
    <hyperlink r:id="rId150" ref="A155"/>
    <hyperlink r:id="rId151" ref="A156"/>
    <hyperlink r:id="rId152" ref="A157"/>
    <hyperlink r:id="rId153" ref="A158"/>
    <hyperlink r:id="rId154" ref="A159"/>
    <hyperlink r:id="rId155" ref="A160"/>
    <hyperlink r:id="rId156" ref="A161"/>
    <hyperlink r:id="rId157" ref="A162"/>
    <hyperlink r:id="rId158" ref="A163"/>
    <hyperlink r:id="rId159" ref="A164"/>
    <hyperlink r:id="rId160" ref="A165"/>
    <hyperlink r:id="rId161" ref="A166"/>
    <hyperlink r:id="rId162" ref="A167"/>
    <hyperlink r:id="rId163" ref="A169"/>
    <hyperlink r:id="rId164" ref="A170"/>
    <hyperlink r:id="rId165" ref="A171"/>
    <hyperlink r:id="rId166" ref="A172"/>
    <hyperlink r:id="rId167" ref="A173"/>
    <hyperlink r:id="rId168" ref="A174"/>
    <hyperlink r:id="rId169" ref="A175"/>
    <hyperlink r:id="rId170" ref="A176"/>
    <hyperlink r:id="rId171" ref="A177"/>
    <hyperlink r:id="rId172" ref="A178"/>
    <hyperlink r:id="rId173" ref="A179"/>
    <hyperlink r:id="rId174" ref="A180"/>
    <hyperlink r:id="rId175" ref="A181"/>
    <hyperlink r:id="rId176" ref="A182"/>
    <hyperlink r:id="rId177" ref="A183"/>
    <hyperlink r:id="rId178" ref="A184"/>
    <hyperlink r:id="rId179" ref="A185"/>
    <hyperlink r:id="rId180" ref="A186"/>
    <hyperlink r:id="rId181" ref="A187"/>
    <hyperlink r:id="rId182" ref="A188"/>
    <hyperlink r:id="rId183" ref="A189"/>
    <hyperlink r:id="rId184" ref="A190"/>
    <hyperlink r:id="rId185" ref="A191"/>
    <hyperlink r:id="rId186" ref="A192"/>
    <hyperlink r:id="rId187" ref="A193"/>
    <hyperlink r:id="rId188" ref="A194"/>
    <hyperlink r:id="rId189" ref="A195"/>
    <hyperlink r:id="rId190" ref="A196"/>
    <hyperlink r:id="rId191" ref="A197"/>
    <hyperlink r:id="rId192" ref="A198"/>
    <hyperlink r:id="rId193" ref="A199"/>
    <hyperlink r:id="rId194" ref="A200"/>
    <hyperlink r:id="rId195" ref="A201"/>
    <hyperlink r:id="rId196" ref="A202"/>
    <hyperlink r:id="rId197" ref="A203"/>
    <hyperlink r:id="rId198" ref="A204"/>
    <hyperlink r:id="rId199" ref="A205"/>
    <hyperlink r:id="rId200" ref="A206"/>
    <hyperlink r:id="rId201" ref="A207"/>
    <hyperlink r:id="rId202" ref="A208"/>
    <hyperlink r:id="rId203" ref="A209"/>
    <hyperlink r:id="rId204" ref="A210"/>
    <hyperlink r:id="rId205" ref="A211"/>
    <hyperlink r:id="rId206" ref="A212"/>
    <hyperlink r:id="rId207" ref="A213"/>
    <hyperlink r:id="rId208" ref="A214"/>
    <hyperlink r:id="rId209" ref="A215"/>
    <hyperlink r:id="rId210" ref="A216"/>
    <hyperlink r:id="rId211" ref="A217"/>
    <hyperlink r:id="rId212" ref="A218"/>
    <hyperlink r:id="rId213" ref="A219"/>
    <hyperlink r:id="rId214" ref="A220"/>
    <hyperlink r:id="rId215" ref="A221"/>
    <hyperlink r:id="rId216" ref="A222"/>
    <hyperlink r:id="rId217" ref="A223"/>
    <hyperlink r:id="rId218" ref="A224"/>
    <hyperlink r:id="rId219" ref="A225"/>
    <hyperlink r:id="rId220" ref="A226"/>
    <hyperlink r:id="rId221" ref="A227"/>
    <hyperlink r:id="rId222" ref="A228"/>
    <hyperlink r:id="rId223" ref="A229"/>
    <hyperlink r:id="rId224" ref="A230"/>
    <hyperlink r:id="rId225" ref="A231"/>
    <hyperlink r:id="rId226" ref="A232"/>
    <hyperlink r:id="rId227" ref="A233"/>
    <hyperlink r:id="rId228" ref="A234"/>
    <hyperlink r:id="rId229" ref="A235"/>
    <hyperlink r:id="rId230" ref="A236"/>
    <hyperlink r:id="rId231" ref="A237"/>
    <hyperlink r:id="rId232" ref="A238"/>
    <hyperlink r:id="rId233" ref="A239"/>
    <hyperlink r:id="rId234" ref="A240"/>
    <hyperlink r:id="rId235" ref="A241"/>
    <hyperlink r:id="rId236" ref="A242"/>
    <hyperlink r:id="rId237" ref="A243"/>
    <hyperlink r:id="rId238" ref="A244"/>
    <hyperlink r:id="rId239" ref="A245"/>
    <hyperlink r:id="rId240" ref="A246"/>
    <hyperlink r:id="rId241" ref="A247"/>
    <hyperlink r:id="rId242" ref="A248"/>
    <hyperlink r:id="rId243" ref="A249"/>
    <hyperlink r:id="rId244" ref="A250"/>
    <hyperlink r:id="rId245" ref="A251"/>
    <hyperlink r:id="rId246" ref="A252"/>
    <hyperlink r:id="rId247" ref="A253"/>
    <hyperlink r:id="rId248" ref="A254"/>
    <hyperlink r:id="rId249" ref="A255"/>
    <hyperlink r:id="rId250" ref="A256"/>
    <hyperlink r:id="rId251" ref="A257"/>
    <hyperlink r:id="rId252" ref="A258"/>
    <hyperlink r:id="rId253" ref="A259"/>
    <hyperlink r:id="rId254" ref="A260"/>
    <hyperlink r:id="rId255" ref="A261"/>
    <hyperlink r:id="rId256" ref="A262"/>
    <hyperlink r:id="rId257" ref="A263"/>
    <hyperlink r:id="rId258" ref="A264"/>
    <hyperlink r:id="rId259" ref="A265"/>
    <hyperlink r:id="rId260" ref="A266"/>
    <hyperlink r:id="rId261" ref="A267"/>
    <hyperlink r:id="rId262" ref="A268"/>
    <hyperlink r:id="rId263" ref="A269"/>
    <hyperlink r:id="rId264" ref="A270"/>
    <hyperlink r:id="rId265" ref="A271"/>
    <hyperlink r:id="rId266" ref="A272"/>
    <hyperlink r:id="rId267" ref="A273"/>
    <hyperlink r:id="rId268" ref="A274"/>
    <hyperlink r:id="rId269" ref="A275"/>
    <hyperlink r:id="rId270" ref="A276"/>
    <hyperlink r:id="rId271" ref="A277"/>
    <hyperlink r:id="rId272" ref="A278"/>
    <hyperlink r:id="rId273" ref="A279"/>
    <hyperlink r:id="rId274" ref="A280"/>
    <hyperlink r:id="rId275" ref="A281"/>
    <hyperlink r:id="rId276" ref="A282"/>
    <hyperlink r:id="rId277" ref="A283"/>
    <hyperlink r:id="rId278" ref="A284"/>
    <hyperlink r:id="rId279" ref="A285"/>
    <hyperlink r:id="rId280" ref="A286"/>
    <hyperlink r:id="rId281" ref="A287"/>
    <hyperlink r:id="rId282" ref="A288"/>
    <hyperlink r:id="rId283" ref="A289"/>
    <hyperlink r:id="rId284" ref="A290"/>
    <hyperlink r:id="rId285" ref="A291"/>
    <hyperlink r:id="rId286" ref="A292"/>
    <hyperlink r:id="rId287" ref="A293"/>
    <hyperlink r:id="rId288" ref="A294"/>
    <hyperlink r:id="rId289" ref="A295"/>
    <hyperlink r:id="rId290" ref="A296"/>
    <hyperlink r:id="rId291" ref="A297"/>
    <hyperlink r:id="rId292" ref="A298"/>
    <hyperlink r:id="rId293" ref="A299"/>
    <hyperlink r:id="rId294" ref="A300"/>
    <hyperlink r:id="rId295" ref="A301"/>
    <hyperlink r:id="rId296" ref="A302"/>
    <hyperlink r:id="rId297" ref="A303"/>
    <hyperlink r:id="rId298" ref="A304"/>
    <hyperlink r:id="rId299" ref="A305"/>
    <hyperlink r:id="rId300" ref="A306"/>
    <hyperlink r:id="rId301" ref="A307"/>
    <hyperlink r:id="rId302" ref="A308"/>
    <hyperlink r:id="rId303" ref="A309"/>
    <hyperlink r:id="rId304" ref="A310"/>
    <hyperlink r:id="rId305" ref="A311"/>
    <hyperlink r:id="rId306" ref="A312"/>
    <hyperlink r:id="rId307" ref="A313"/>
    <hyperlink r:id="rId308" ref="A314"/>
    <hyperlink r:id="rId309" ref="A315"/>
    <hyperlink r:id="rId310" ref="A316"/>
    <hyperlink r:id="rId311" ref="A317"/>
    <hyperlink r:id="rId312" ref="A318"/>
    <hyperlink r:id="rId313" ref="A319"/>
    <hyperlink r:id="rId314" ref="A320"/>
    <hyperlink r:id="rId315" ref="A321"/>
    <hyperlink r:id="rId316" ref="A322"/>
    <hyperlink r:id="rId317" ref="A323"/>
    <hyperlink r:id="rId318" ref="A324"/>
    <hyperlink r:id="rId319" ref="A325"/>
    <hyperlink r:id="rId320" ref="A326"/>
    <hyperlink r:id="rId321" ref="A327"/>
    <hyperlink r:id="rId322" ref="A328"/>
    <hyperlink r:id="rId323" ref="A329"/>
    <hyperlink r:id="rId324" ref="A330"/>
    <hyperlink r:id="rId325" ref="A331"/>
    <hyperlink r:id="rId326" ref="A332"/>
    <hyperlink r:id="rId327" ref="A333"/>
    <hyperlink r:id="rId328" ref="A334"/>
    <hyperlink r:id="rId329" ref="A335"/>
    <hyperlink r:id="rId330" ref="A336"/>
    <hyperlink r:id="rId331" ref="A337"/>
    <hyperlink r:id="rId332" ref="A338"/>
    <hyperlink r:id="rId333" ref="A339"/>
    <hyperlink r:id="rId334" ref="A340"/>
    <hyperlink r:id="rId335" ref="A341"/>
    <hyperlink r:id="rId336" ref="A342"/>
    <hyperlink r:id="rId337" ref="A343"/>
    <hyperlink r:id="rId338" ref="A344"/>
    <hyperlink r:id="rId339" ref="A345"/>
    <hyperlink r:id="rId340" ref="A346"/>
    <hyperlink r:id="rId341" ref="A347"/>
    <hyperlink r:id="rId342" ref="A348"/>
    <hyperlink r:id="rId343" ref="A349"/>
    <hyperlink r:id="rId344" ref="A350"/>
    <hyperlink r:id="rId345" ref="A351"/>
    <hyperlink r:id="rId346" ref="A352"/>
    <hyperlink r:id="rId347" ref="A353"/>
    <hyperlink r:id="rId348" ref="A354"/>
    <hyperlink r:id="rId349" ref="A355"/>
    <hyperlink r:id="rId350" ref="A356"/>
    <hyperlink r:id="rId351" ref="A357"/>
    <hyperlink r:id="rId352" ref="A358"/>
    <hyperlink r:id="rId353" ref="A359"/>
    <hyperlink r:id="rId354" ref="A360"/>
    <hyperlink r:id="rId355" ref="A361"/>
    <hyperlink r:id="rId356" ref="A362"/>
    <hyperlink r:id="rId357" ref="A363"/>
    <hyperlink r:id="rId358" ref="A364"/>
    <hyperlink r:id="rId359" ref="A365"/>
    <hyperlink r:id="rId360" ref="A366"/>
    <hyperlink r:id="rId361" ref="A367"/>
    <hyperlink r:id="rId362" ref="A368"/>
    <hyperlink r:id="rId363" ref="A369"/>
    <hyperlink r:id="rId364" ref="A370"/>
    <hyperlink r:id="rId365" ref="A371"/>
    <hyperlink r:id="rId366" ref="A372"/>
    <hyperlink r:id="rId367" ref="A373"/>
    <hyperlink r:id="rId368" ref="A374"/>
    <hyperlink r:id="rId369" ref="A375"/>
    <hyperlink r:id="rId370" ref="A376"/>
    <hyperlink r:id="rId371" ref="A377"/>
    <hyperlink r:id="rId372" ref="A378"/>
    <hyperlink r:id="rId373" ref="A379"/>
    <hyperlink r:id="rId374" ref="A380"/>
    <hyperlink r:id="rId375" ref="A381"/>
    <hyperlink r:id="rId376" ref="A382"/>
    <hyperlink r:id="rId377" ref="A383"/>
    <hyperlink r:id="rId378" ref="A384"/>
    <hyperlink r:id="rId379" ref="A385"/>
    <hyperlink r:id="rId380" ref="A386"/>
    <hyperlink r:id="rId381" ref="A387"/>
    <hyperlink r:id="rId382" ref="A388"/>
    <hyperlink r:id="rId383" ref="A389"/>
    <hyperlink r:id="rId384" ref="A390"/>
    <hyperlink r:id="rId385" ref="A391"/>
    <hyperlink r:id="rId386" ref="A392"/>
    <hyperlink r:id="rId387" ref="A393"/>
    <hyperlink r:id="rId388" ref="A394"/>
    <hyperlink r:id="rId389" ref="A395"/>
    <hyperlink r:id="rId390" ref="A396"/>
    <hyperlink r:id="rId391" ref="A397"/>
    <hyperlink r:id="rId392" ref="A398"/>
    <hyperlink r:id="rId393" ref="A399"/>
    <hyperlink r:id="rId394" ref="A400"/>
    <hyperlink r:id="rId395" ref="A401"/>
    <hyperlink r:id="rId396" ref="A402"/>
    <hyperlink r:id="rId397" ref="A403"/>
    <hyperlink r:id="rId398" ref="A404"/>
    <hyperlink r:id="rId399" ref="A405"/>
    <hyperlink r:id="rId400" ref="A406"/>
    <hyperlink r:id="rId401" ref="A407"/>
    <hyperlink r:id="rId402" ref="A408"/>
    <hyperlink r:id="rId403" ref="A409"/>
    <hyperlink r:id="rId404" ref="A410"/>
    <hyperlink r:id="rId405" ref="A411"/>
    <hyperlink r:id="rId406" ref="A412"/>
    <hyperlink r:id="rId407" ref="A413"/>
    <hyperlink r:id="rId408" ref="A414"/>
    <hyperlink r:id="rId409" ref="A415"/>
    <hyperlink r:id="rId410" ref="A416"/>
    <hyperlink r:id="rId411" ref="A417"/>
    <hyperlink r:id="rId412" ref="A418"/>
    <hyperlink r:id="rId413" ref="A419"/>
    <hyperlink r:id="rId414" ref="A420"/>
    <hyperlink r:id="rId415" ref="A421"/>
    <hyperlink r:id="rId416" ref="A422"/>
    <hyperlink r:id="rId417" ref="A423"/>
    <hyperlink r:id="rId418" ref="A424"/>
    <hyperlink r:id="rId419" ref="A425"/>
    <hyperlink r:id="rId420" ref="A426"/>
    <hyperlink r:id="rId421" ref="A427"/>
    <hyperlink r:id="rId422" ref="A428"/>
    <hyperlink r:id="rId423" ref="A429"/>
    <hyperlink r:id="rId424" ref="A430"/>
    <hyperlink r:id="rId425" ref="A431"/>
    <hyperlink r:id="rId426" ref="A432"/>
    <hyperlink r:id="rId427" ref="A433"/>
    <hyperlink r:id="rId428" ref="A434"/>
    <hyperlink r:id="rId429" ref="A435"/>
    <hyperlink r:id="rId430" ref="A436"/>
    <hyperlink r:id="rId431" ref="A437"/>
    <hyperlink r:id="rId432" ref="A438"/>
    <hyperlink r:id="rId433" ref="A439"/>
    <hyperlink r:id="rId434" ref="A440"/>
    <hyperlink r:id="rId435" ref="A441"/>
    <hyperlink r:id="rId436" ref="A442"/>
    <hyperlink r:id="rId437" ref="A443"/>
    <hyperlink r:id="rId438" ref="A444"/>
    <hyperlink r:id="rId439" ref="A445"/>
    <hyperlink r:id="rId440" ref="A446"/>
    <hyperlink r:id="rId441" ref="A447"/>
    <hyperlink r:id="rId442" ref="A448"/>
    <hyperlink r:id="rId443" ref="A449"/>
    <hyperlink r:id="rId444" ref="A450"/>
    <hyperlink r:id="rId445" ref="A451"/>
    <hyperlink r:id="rId446" ref="A452"/>
    <hyperlink r:id="rId447" ref="A453"/>
    <hyperlink r:id="rId448" ref="A454"/>
    <hyperlink r:id="rId449" ref="A455"/>
    <hyperlink r:id="rId450" ref="A456"/>
    <hyperlink r:id="rId451" ref="A457"/>
    <hyperlink r:id="rId452" ref="A458"/>
    <hyperlink r:id="rId453" ref="A459"/>
    <hyperlink r:id="rId454" ref="A460"/>
    <hyperlink r:id="rId455" ref="A461"/>
    <hyperlink r:id="rId456" ref="A462"/>
    <hyperlink r:id="rId457" ref="A463"/>
    <hyperlink r:id="rId458" ref="A464"/>
    <hyperlink r:id="rId459" ref="A465"/>
    <hyperlink r:id="rId460" ref="A466"/>
    <hyperlink r:id="rId461" ref="A467"/>
    <hyperlink r:id="rId462" ref="A468"/>
    <hyperlink r:id="rId463" ref="A469"/>
    <hyperlink r:id="rId464" ref="A470"/>
    <hyperlink r:id="rId465" ref="A471"/>
    <hyperlink r:id="rId466" ref="A472"/>
    <hyperlink r:id="rId467" ref="A473"/>
    <hyperlink r:id="rId468" ref="A474"/>
    <hyperlink r:id="rId469" ref="A475"/>
    <hyperlink r:id="rId470" ref="A476"/>
    <hyperlink r:id="rId471" ref="A477"/>
    <hyperlink r:id="rId472" ref="A478"/>
    <hyperlink r:id="rId473" ref="A479"/>
    <hyperlink r:id="rId474" ref="A480"/>
    <hyperlink r:id="rId475" ref="A481"/>
    <hyperlink r:id="rId476" ref="A482"/>
    <hyperlink r:id="rId477" ref="A483"/>
    <hyperlink r:id="rId478" ref="A484"/>
    <hyperlink r:id="rId479" ref="A485"/>
    <hyperlink r:id="rId480" ref="A486"/>
    <hyperlink r:id="rId481" ref="A487"/>
    <hyperlink r:id="rId482" ref="A488"/>
    <hyperlink r:id="rId483" ref="A489"/>
    <hyperlink r:id="rId484" ref="A490"/>
    <hyperlink r:id="rId485" ref="A491"/>
    <hyperlink r:id="rId486" ref="A492"/>
    <hyperlink r:id="rId487" ref="A493"/>
    <hyperlink r:id="rId488" ref="A494"/>
    <hyperlink r:id="rId489" ref="A495"/>
    <hyperlink r:id="rId490" ref="A496"/>
    <hyperlink r:id="rId491" ref="A497"/>
    <hyperlink r:id="rId492" ref="A498"/>
    <hyperlink r:id="rId493" ref="A499"/>
    <hyperlink r:id="rId494" ref="A500"/>
    <hyperlink r:id="rId495" ref="A501"/>
    <hyperlink r:id="rId496" ref="A502"/>
    <hyperlink r:id="rId497" ref="A503"/>
    <hyperlink r:id="rId498" ref="A504"/>
    <hyperlink r:id="rId499" ref="A505"/>
    <hyperlink r:id="rId500" ref="A506"/>
    <hyperlink r:id="rId501" ref="A507"/>
    <hyperlink r:id="rId502" ref="A508"/>
    <hyperlink r:id="rId503" ref="A509"/>
    <hyperlink r:id="rId504" ref="A510"/>
    <hyperlink r:id="rId505" ref="A511"/>
    <hyperlink r:id="rId506" ref="A512"/>
    <hyperlink r:id="rId507" ref="A513"/>
    <hyperlink r:id="rId508" ref="A514"/>
    <hyperlink r:id="rId509" ref="A515"/>
    <hyperlink r:id="rId510" ref="A516"/>
    <hyperlink r:id="rId511" ref="A517"/>
    <hyperlink r:id="rId512" ref="A518"/>
    <hyperlink r:id="rId513" ref="A519"/>
    <hyperlink r:id="rId514" ref="A520"/>
    <hyperlink r:id="rId515" ref="A521"/>
    <hyperlink r:id="rId516" ref="A522"/>
    <hyperlink r:id="rId517" ref="A523"/>
    <hyperlink r:id="rId518" ref="A524"/>
    <hyperlink r:id="rId519" ref="A525"/>
    <hyperlink r:id="rId520" ref="A526"/>
    <hyperlink r:id="rId521" ref="A527"/>
    <hyperlink r:id="rId522" ref="A528"/>
    <hyperlink r:id="rId523" ref="A529"/>
    <hyperlink r:id="rId524" ref="A530"/>
    <hyperlink r:id="rId525" ref="A531"/>
    <hyperlink r:id="rId526" ref="A532"/>
    <hyperlink r:id="rId527" ref="A533"/>
    <hyperlink r:id="rId528" ref="A534"/>
    <hyperlink r:id="rId529" ref="A535"/>
    <hyperlink r:id="rId530" ref="A536"/>
    <hyperlink r:id="rId531" ref="A537"/>
    <hyperlink r:id="rId532" ref="A538"/>
    <hyperlink r:id="rId533" ref="A539"/>
    <hyperlink r:id="rId534" ref="A540"/>
    <hyperlink r:id="rId535" ref="A541"/>
    <hyperlink r:id="rId536" ref="A542"/>
    <hyperlink r:id="rId537" ref="A543"/>
    <hyperlink r:id="rId538" ref="A544"/>
    <hyperlink r:id="rId539" ref="A545"/>
    <hyperlink r:id="rId540" ref="A546"/>
    <hyperlink r:id="rId541" ref="A547"/>
    <hyperlink r:id="rId542" ref="A548"/>
    <hyperlink r:id="rId543" ref="A549"/>
    <hyperlink r:id="rId544" ref="A550"/>
    <hyperlink r:id="rId545" ref="A551"/>
    <hyperlink r:id="rId546" ref="A552"/>
    <hyperlink r:id="rId547" ref="A553"/>
    <hyperlink r:id="rId548" ref="A554"/>
    <hyperlink r:id="rId549" ref="A555"/>
    <hyperlink r:id="rId550" ref="A556"/>
    <hyperlink r:id="rId551" ref="A557"/>
    <hyperlink r:id="rId552" ref="A558"/>
    <hyperlink r:id="rId553" ref="A559"/>
    <hyperlink r:id="rId554" ref="A560"/>
    <hyperlink r:id="rId555" ref="A561"/>
    <hyperlink r:id="rId556" ref="A562"/>
    <hyperlink r:id="rId557" ref="A563"/>
    <hyperlink r:id="rId558" ref="A564"/>
    <hyperlink r:id="rId559" ref="A565"/>
    <hyperlink r:id="rId560" ref="A566"/>
    <hyperlink r:id="rId561" ref="A567"/>
    <hyperlink r:id="rId562" ref="A568"/>
    <hyperlink r:id="rId563" ref="A569"/>
    <hyperlink r:id="rId564" ref="A570"/>
    <hyperlink r:id="rId565" ref="A571"/>
    <hyperlink r:id="rId566" ref="A572"/>
    <hyperlink r:id="rId567" ref="A573"/>
    <hyperlink r:id="rId568" ref="A574"/>
    <hyperlink r:id="rId569" ref="A575"/>
    <hyperlink r:id="rId570" ref="A576"/>
    <hyperlink r:id="rId571" ref="A577"/>
    <hyperlink r:id="rId572" ref="A578"/>
    <hyperlink r:id="rId573" ref="A579"/>
    <hyperlink r:id="rId574" ref="A580"/>
    <hyperlink r:id="rId575" ref="A581"/>
    <hyperlink r:id="rId576" ref="A582"/>
    <hyperlink r:id="rId577" ref="A583"/>
    <hyperlink r:id="rId578" ref="A584"/>
    <hyperlink r:id="rId579" ref="A585"/>
    <hyperlink r:id="rId580" ref="A586"/>
    <hyperlink r:id="rId581" ref="A587"/>
    <hyperlink r:id="rId582" ref="A588"/>
    <hyperlink r:id="rId583" ref="A589"/>
    <hyperlink r:id="rId584" ref="A590"/>
    <hyperlink r:id="rId585" ref="A591"/>
    <hyperlink r:id="rId586" ref="A592"/>
    <hyperlink r:id="rId587" ref="A593"/>
    <hyperlink r:id="rId588" ref="A594"/>
    <hyperlink r:id="rId589" ref="A595"/>
    <hyperlink r:id="rId590" ref="A596"/>
    <hyperlink r:id="rId591" ref="A597"/>
    <hyperlink r:id="rId592" ref="A598"/>
    <hyperlink r:id="rId593" ref="A599"/>
    <hyperlink r:id="rId594" ref="A600"/>
    <hyperlink r:id="rId595" ref="A601"/>
    <hyperlink r:id="rId596" ref="A602"/>
    <hyperlink r:id="rId597" ref="A603"/>
    <hyperlink r:id="rId598" ref="A604"/>
    <hyperlink r:id="rId599" ref="A605"/>
    <hyperlink r:id="rId600" ref="A606"/>
    <hyperlink r:id="rId601" ref="A607"/>
    <hyperlink r:id="rId602" ref="A608"/>
    <hyperlink r:id="rId603" ref="A609"/>
    <hyperlink r:id="rId604" ref="A610"/>
    <hyperlink r:id="rId605" ref="A611"/>
    <hyperlink r:id="rId606" ref="A612"/>
    <hyperlink r:id="rId607" ref="A613"/>
    <hyperlink r:id="rId608" ref="A614"/>
    <hyperlink r:id="rId609" ref="A615"/>
    <hyperlink r:id="rId610" ref="A616"/>
    <hyperlink r:id="rId611" ref="A617"/>
    <hyperlink r:id="rId612" ref="A618"/>
    <hyperlink r:id="rId613" ref="A619"/>
    <hyperlink r:id="rId614" ref="A620"/>
    <hyperlink r:id="rId615" ref="A621"/>
    <hyperlink r:id="rId616" ref="A622"/>
    <hyperlink r:id="rId617" ref="A623"/>
    <hyperlink r:id="rId618" ref="A624"/>
    <hyperlink r:id="rId619" ref="A625"/>
    <hyperlink r:id="rId620" ref="A626"/>
    <hyperlink r:id="rId621" ref="A627"/>
    <hyperlink r:id="rId622" ref="A628"/>
    <hyperlink r:id="rId623" ref="A629"/>
    <hyperlink r:id="rId624" ref="A630"/>
    <hyperlink r:id="rId625" ref="A631"/>
    <hyperlink r:id="rId626" ref="A632"/>
    <hyperlink r:id="rId627" ref="A633"/>
    <hyperlink r:id="rId628" ref="A634"/>
    <hyperlink r:id="rId629" ref="A635"/>
    <hyperlink r:id="rId630" ref="A636"/>
    <hyperlink r:id="rId631" ref="A637"/>
    <hyperlink r:id="rId632" ref="A638"/>
    <hyperlink r:id="rId633" ref="A639"/>
    <hyperlink r:id="rId634" ref="A640"/>
    <hyperlink r:id="rId635" ref="A641"/>
    <hyperlink r:id="rId636" ref="A642"/>
    <hyperlink r:id="rId637" ref="A643"/>
    <hyperlink r:id="rId638" ref="A644"/>
    <hyperlink r:id="rId639" ref="A645"/>
    <hyperlink r:id="rId640" ref="A646"/>
    <hyperlink r:id="rId641" ref="A647"/>
    <hyperlink r:id="rId642" ref="A648"/>
    <hyperlink r:id="rId643" ref="A649"/>
    <hyperlink r:id="rId644" ref="A650"/>
    <hyperlink r:id="rId645" ref="A651"/>
    <hyperlink r:id="rId646" ref="A652"/>
    <hyperlink r:id="rId647" ref="A653"/>
    <hyperlink r:id="rId648" ref="A654"/>
    <hyperlink r:id="rId649" ref="A655"/>
    <hyperlink r:id="rId650" ref="A656"/>
    <hyperlink r:id="rId651" ref="A657"/>
    <hyperlink r:id="rId652" ref="A658"/>
    <hyperlink r:id="rId653" ref="A659"/>
    <hyperlink r:id="rId654" ref="A660"/>
    <hyperlink r:id="rId655" ref="A661"/>
    <hyperlink r:id="rId656" ref="A662"/>
    <hyperlink r:id="rId657" ref="A663"/>
    <hyperlink r:id="rId658" ref="A664"/>
    <hyperlink r:id="rId659" ref="A665"/>
    <hyperlink r:id="rId660" ref="A666"/>
    <hyperlink r:id="rId661" ref="A667"/>
    <hyperlink r:id="rId662" ref="A668"/>
    <hyperlink r:id="rId663" ref="A669"/>
    <hyperlink r:id="rId664" ref="A670"/>
    <hyperlink r:id="rId665" ref="A671"/>
    <hyperlink r:id="rId666" ref="A672"/>
    <hyperlink r:id="rId667" ref="A673"/>
    <hyperlink r:id="rId668" ref="A674"/>
    <hyperlink r:id="rId669" ref="A675"/>
    <hyperlink r:id="rId670" ref="A676"/>
    <hyperlink r:id="rId671" ref="A677"/>
    <hyperlink r:id="rId672" ref="A678"/>
    <hyperlink r:id="rId673" ref="A679"/>
    <hyperlink r:id="rId674" ref="A680"/>
    <hyperlink r:id="rId675" ref="A681"/>
    <hyperlink r:id="rId676" ref="A682"/>
    <hyperlink r:id="rId677" ref="A683"/>
    <hyperlink r:id="rId678" ref="A684"/>
    <hyperlink r:id="rId679" ref="A685"/>
    <hyperlink r:id="rId680" ref="A686"/>
    <hyperlink r:id="rId681" ref="A687"/>
    <hyperlink r:id="rId682" ref="A688"/>
    <hyperlink r:id="rId683" ref="A689"/>
    <hyperlink r:id="rId684" ref="A690"/>
    <hyperlink r:id="rId685" ref="A691"/>
    <hyperlink r:id="rId686" ref="A692"/>
    <hyperlink r:id="rId687" ref="A693"/>
    <hyperlink r:id="rId688" ref="A694"/>
    <hyperlink r:id="rId689" ref="A695"/>
    <hyperlink r:id="rId690" ref="A696"/>
    <hyperlink r:id="rId691" ref="A697"/>
    <hyperlink r:id="rId692" ref="A698"/>
    <hyperlink r:id="rId693" ref="A699"/>
    <hyperlink r:id="rId694" ref="A700"/>
    <hyperlink r:id="rId695" ref="A701"/>
    <hyperlink r:id="rId696" ref="A702"/>
    <hyperlink r:id="rId697" ref="A703"/>
    <hyperlink r:id="rId698" ref="A704"/>
    <hyperlink r:id="rId699" ref="A705"/>
    <hyperlink r:id="rId700" ref="A706"/>
    <hyperlink r:id="rId701" ref="A707"/>
    <hyperlink r:id="rId702" ref="A708"/>
    <hyperlink r:id="rId703" ref="A709"/>
    <hyperlink r:id="rId704" ref="A710"/>
    <hyperlink r:id="rId705" ref="A711"/>
    <hyperlink r:id="rId706" ref="A712"/>
    <hyperlink r:id="rId707" ref="A713"/>
    <hyperlink r:id="rId708" ref="A714"/>
    <hyperlink r:id="rId709" ref="A715"/>
    <hyperlink r:id="rId710" ref="A716"/>
    <hyperlink r:id="rId711" ref="A717"/>
    <hyperlink r:id="rId712" ref="A718"/>
    <hyperlink r:id="rId713" ref="A719"/>
    <hyperlink r:id="rId714" ref="A720"/>
    <hyperlink r:id="rId715" ref="A721"/>
    <hyperlink r:id="rId716" ref="A722"/>
    <hyperlink r:id="rId717" ref="A723"/>
    <hyperlink r:id="rId718" ref="A724"/>
    <hyperlink r:id="rId719" ref="A725"/>
    <hyperlink r:id="rId720" ref="A726"/>
    <hyperlink r:id="rId721" ref="A727"/>
    <hyperlink r:id="rId722" ref="A728"/>
    <hyperlink r:id="rId723" ref="A729"/>
    <hyperlink r:id="rId724" ref="A730"/>
    <hyperlink r:id="rId725" ref="A731"/>
    <hyperlink r:id="rId726" ref="A732"/>
    <hyperlink r:id="rId727" ref="A733"/>
    <hyperlink r:id="rId728" ref="A734"/>
    <hyperlink r:id="rId729" ref="A735"/>
    <hyperlink r:id="rId730" ref="A736"/>
    <hyperlink r:id="rId731" ref="A737"/>
    <hyperlink r:id="rId732" ref="A738"/>
    <hyperlink r:id="rId733" ref="A739"/>
    <hyperlink r:id="rId734" ref="A740"/>
    <hyperlink r:id="rId735" ref="A741"/>
    <hyperlink r:id="rId736" ref="A742"/>
    <hyperlink r:id="rId737" ref="A743"/>
    <hyperlink r:id="rId738" ref="A744"/>
    <hyperlink r:id="rId739" ref="A745"/>
    <hyperlink r:id="rId740" ref="A746"/>
    <hyperlink r:id="rId741" ref="A747"/>
    <hyperlink r:id="rId742" ref="A748"/>
    <hyperlink r:id="rId743" ref="A749"/>
    <hyperlink r:id="rId744" ref="A750"/>
    <hyperlink r:id="rId745" ref="A751"/>
    <hyperlink r:id="rId746" ref="A752"/>
    <hyperlink r:id="rId747" ref="A753"/>
    <hyperlink r:id="rId748" ref="A754"/>
    <hyperlink r:id="rId749" ref="A755"/>
    <hyperlink r:id="rId750" ref="A756"/>
    <hyperlink r:id="rId751" ref="A757"/>
    <hyperlink r:id="rId752" ref="A758"/>
    <hyperlink r:id="rId753" ref="A759"/>
    <hyperlink r:id="rId754" ref="A760"/>
    <hyperlink r:id="rId755" ref="A761"/>
    <hyperlink r:id="rId756" ref="A762"/>
    <hyperlink r:id="rId757" ref="A763"/>
    <hyperlink r:id="rId758" ref="A764"/>
    <hyperlink r:id="rId759" ref="A765"/>
    <hyperlink r:id="rId760" ref="A766"/>
    <hyperlink r:id="rId761" ref="A767"/>
    <hyperlink r:id="rId762" ref="A768"/>
    <hyperlink r:id="rId763" ref="A769"/>
    <hyperlink r:id="rId764" ref="A770"/>
    <hyperlink r:id="rId765" ref="A771"/>
    <hyperlink r:id="rId766" ref="A772"/>
    <hyperlink r:id="rId767" ref="A773"/>
    <hyperlink r:id="rId768" ref="A774"/>
    <hyperlink r:id="rId769" ref="A775"/>
    <hyperlink r:id="rId770" ref="A776"/>
    <hyperlink r:id="rId771" ref="A777"/>
    <hyperlink r:id="rId772" ref="A778"/>
    <hyperlink r:id="rId773" ref="A779"/>
    <hyperlink r:id="rId774" ref="A780"/>
    <hyperlink r:id="rId775" ref="A781"/>
    <hyperlink r:id="rId776" ref="A782"/>
    <hyperlink r:id="rId777" ref="A783"/>
    <hyperlink r:id="rId778" ref="A784"/>
    <hyperlink r:id="rId779" ref="A785"/>
    <hyperlink r:id="rId780" ref="A786"/>
    <hyperlink r:id="rId781" ref="A787"/>
    <hyperlink r:id="rId782" ref="A788"/>
    <hyperlink r:id="rId783" ref="A789"/>
    <hyperlink r:id="rId784" ref="A790"/>
    <hyperlink r:id="rId785" ref="A791"/>
    <hyperlink r:id="rId786" ref="A792"/>
    <hyperlink r:id="rId787" ref="A793"/>
    <hyperlink r:id="rId788" ref="A794"/>
    <hyperlink r:id="rId789" ref="A795"/>
    <hyperlink r:id="rId790" ref="A796"/>
    <hyperlink r:id="rId791" ref="A797"/>
    <hyperlink r:id="rId792" ref="A798"/>
    <hyperlink r:id="rId793" ref="A799"/>
    <hyperlink r:id="rId794" ref="A800"/>
    <hyperlink r:id="rId795" ref="A801"/>
    <hyperlink r:id="rId796" ref="A802"/>
    <hyperlink r:id="rId797" ref="A803"/>
    <hyperlink r:id="rId798" ref="A804"/>
    <hyperlink r:id="rId799" ref="A805"/>
    <hyperlink r:id="rId800" ref="A806"/>
    <hyperlink r:id="rId801" ref="A807"/>
    <hyperlink r:id="rId802" ref="A808"/>
    <hyperlink r:id="rId803" ref="A809"/>
    <hyperlink r:id="rId804" ref="A810"/>
    <hyperlink r:id="rId805" ref="A811"/>
    <hyperlink r:id="rId806" ref="A812"/>
    <hyperlink r:id="rId807" ref="A813"/>
    <hyperlink r:id="rId808" ref="A814"/>
    <hyperlink r:id="rId809" ref="A815"/>
    <hyperlink r:id="rId810" ref="A816"/>
    <hyperlink r:id="rId811" ref="A817"/>
    <hyperlink r:id="rId812" ref="A818"/>
    <hyperlink r:id="rId813" ref="A819"/>
    <hyperlink r:id="rId814" ref="A820"/>
    <hyperlink r:id="rId815" ref="A821"/>
    <hyperlink r:id="rId816" ref="A822"/>
    <hyperlink r:id="rId817" ref="A823"/>
    <hyperlink r:id="rId818" ref="A824"/>
    <hyperlink r:id="rId819" ref="A825"/>
    <hyperlink r:id="rId820" ref="A826"/>
    <hyperlink r:id="rId821" ref="A827"/>
    <hyperlink r:id="rId822" ref="A828"/>
    <hyperlink r:id="rId823" ref="A829"/>
    <hyperlink r:id="rId824" ref="A830"/>
    <hyperlink r:id="rId825" ref="A831"/>
    <hyperlink r:id="rId826" ref="A832"/>
    <hyperlink r:id="rId827" ref="A833"/>
    <hyperlink r:id="rId828" ref="A834"/>
    <hyperlink r:id="rId829" ref="A835"/>
    <hyperlink r:id="rId830" ref="A836"/>
    <hyperlink r:id="rId831" ref="A837"/>
    <hyperlink r:id="rId832" ref="A838"/>
    <hyperlink r:id="rId833" ref="A839"/>
    <hyperlink r:id="rId834" ref="A840"/>
    <hyperlink r:id="rId835" ref="A841"/>
    <hyperlink r:id="rId836" ref="A842"/>
    <hyperlink r:id="rId837" ref="A843"/>
    <hyperlink r:id="rId838" ref="A844"/>
    <hyperlink r:id="rId839" ref="A845"/>
    <hyperlink r:id="rId840" ref="A846"/>
    <hyperlink r:id="rId841" ref="A847"/>
    <hyperlink r:id="rId842" ref="A848"/>
    <hyperlink r:id="rId843" ref="A849"/>
    <hyperlink r:id="rId844" ref="A850"/>
    <hyperlink r:id="rId845" ref="A851"/>
    <hyperlink r:id="rId846" ref="A852"/>
    <hyperlink r:id="rId847" ref="A853"/>
    <hyperlink r:id="rId848" ref="A854"/>
    <hyperlink r:id="rId849" ref="A855"/>
    <hyperlink r:id="rId850" ref="A856"/>
    <hyperlink r:id="rId851" ref="A857"/>
    <hyperlink r:id="rId852" ref="A858"/>
    <hyperlink r:id="rId853" ref="A859"/>
    <hyperlink r:id="rId854" ref="A860"/>
    <hyperlink r:id="rId855" ref="A861"/>
    <hyperlink r:id="rId856" ref="A862"/>
    <hyperlink r:id="rId857" ref="A863"/>
    <hyperlink r:id="rId858" ref="A864"/>
    <hyperlink r:id="rId859" ref="A865"/>
    <hyperlink r:id="rId860" ref="A866"/>
    <hyperlink r:id="rId861" ref="A867"/>
    <hyperlink r:id="rId862" ref="A868"/>
    <hyperlink r:id="rId863" ref="A869"/>
    <hyperlink r:id="rId864" ref="A870"/>
    <hyperlink r:id="rId865" ref="A871"/>
    <hyperlink r:id="rId866" ref="A872"/>
    <hyperlink r:id="rId867" ref="A873"/>
    <hyperlink r:id="rId868" ref="A874"/>
    <hyperlink r:id="rId869" ref="A875"/>
    <hyperlink r:id="rId870" ref="A876"/>
    <hyperlink r:id="rId871" ref="A877"/>
    <hyperlink r:id="rId872" ref="A878"/>
    <hyperlink r:id="rId873" ref="A879"/>
    <hyperlink r:id="rId874" ref="A880"/>
    <hyperlink r:id="rId875" ref="A881"/>
    <hyperlink r:id="rId876" ref="A882"/>
    <hyperlink r:id="rId877" ref="A883"/>
    <hyperlink r:id="rId878" ref="A884"/>
    <hyperlink r:id="rId879" ref="A885"/>
    <hyperlink r:id="rId880" ref="A886"/>
    <hyperlink r:id="rId881" ref="A887"/>
    <hyperlink r:id="rId882" ref="A888"/>
    <hyperlink r:id="rId883" ref="A889"/>
    <hyperlink r:id="rId884" ref="A890"/>
    <hyperlink r:id="rId885" ref="A891"/>
    <hyperlink r:id="rId886" ref="A892"/>
    <hyperlink r:id="rId887" ref="A893"/>
    <hyperlink r:id="rId888" ref="A894"/>
    <hyperlink r:id="rId889" ref="A895"/>
    <hyperlink r:id="rId890" ref="A896"/>
    <hyperlink r:id="rId891" ref="A897"/>
    <hyperlink r:id="rId892" ref="A898"/>
    <hyperlink r:id="rId893" ref="A899"/>
    <hyperlink r:id="rId894" ref="A900"/>
    <hyperlink r:id="rId895" ref="A901"/>
    <hyperlink r:id="rId896" ref="A902"/>
    <hyperlink r:id="rId897" ref="A903"/>
    <hyperlink r:id="rId898" ref="A904"/>
    <hyperlink r:id="rId899" ref="A905"/>
    <hyperlink r:id="rId900" ref="A906"/>
    <hyperlink r:id="rId901" ref="A907"/>
    <hyperlink r:id="rId902" ref="A908"/>
    <hyperlink r:id="rId903" ref="A909"/>
    <hyperlink r:id="rId904" ref="A910"/>
    <hyperlink r:id="rId905" ref="A911"/>
    <hyperlink r:id="rId906" ref="A912"/>
    <hyperlink r:id="rId907" ref="A913"/>
    <hyperlink r:id="rId908" ref="A914"/>
    <hyperlink r:id="rId909" ref="A915"/>
    <hyperlink r:id="rId910" ref="A916"/>
    <hyperlink r:id="rId911" ref="A917"/>
    <hyperlink r:id="rId912" ref="A918"/>
    <hyperlink r:id="rId913" ref="A919"/>
    <hyperlink r:id="rId914" ref="A920"/>
    <hyperlink r:id="rId915" ref="A921"/>
    <hyperlink r:id="rId916" ref="A922"/>
    <hyperlink r:id="rId917" ref="A923"/>
    <hyperlink r:id="rId918" ref="A924"/>
    <hyperlink r:id="rId919" ref="A925"/>
    <hyperlink r:id="rId920" ref="A926"/>
    <hyperlink r:id="rId921" ref="A927"/>
    <hyperlink r:id="rId922" ref="A928"/>
    <hyperlink r:id="rId923" ref="A929"/>
    <hyperlink r:id="rId924" ref="A930"/>
    <hyperlink r:id="rId925" ref="A931"/>
    <hyperlink r:id="rId926" ref="A932"/>
    <hyperlink r:id="rId927" ref="A933"/>
    <hyperlink r:id="rId928" ref="A934"/>
    <hyperlink r:id="rId929" ref="A935"/>
    <hyperlink r:id="rId930" ref="A936"/>
    <hyperlink r:id="rId931" ref="A937"/>
    <hyperlink r:id="rId932" ref="A938"/>
    <hyperlink r:id="rId933" ref="A939"/>
    <hyperlink r:id="rId934" ref="A940"/>
    <hyperlink r:id="rId935" ref="A941"/>
    <hyperlink r:id="rId936" ref="A942"/>
    <hyperlink r:id="rId937" ref="A943"/>
    <hyperlink r:id="rId938" ref="A944"/>
    <hyperlink r:id="rId939" ref="A945"/>
    <hyperlink r:id="rId940" ref="A946"/>
    <hyperlink r:id="rId941" ref="A947"/>
    <hyperlink r:id="rId942" ref="A948"/>
    <hyperlink r:id="rId943" ref="A949"/>
    <hyperlink r:id="rId944" ref="A950"/>
    <hyperlink r:id="rId945" ref="A951"/>
    <hyperlink r:id="rId946" ref="A952"/>
    <hyperlink r:id="rId947" ref="A953"/>
    <hyperlink r:id="rId948" ref="A954"/>
    <hyperlink r:id="rId949" ref="A955"/>
    <hyperlink r:id="rId950" ref="A956"/>
    <hyperlink r:id="rId951" ref="A957"/>
    <hyperlink r:id="rId952" ref="A958"/>
    <hyperlink r:id="rId953" ref="A959"/>
    <hyperlink r:id="rId954" ref="A960"/>
    <hyperlink r:id="rId955" ref="A961"/>
    <hyperlink r:id="rId956" ref="A962"/>
    <hyperlink r:id="rId957" ref="A963"/>
    <hyperlink r:id="rId958" ref="A964"/>
    <hyperlink r:id="rId959" ref="A965"/>
    <hyperlink r:id="rId960" ref="A966"/>
    <hyperlink r:id="rId961" ref="A967"/>
    <hyperlink r:id="rId962" ref="A968"/>
    <hyperlink r:id="rId963" ref="A969"/>
    <hyperlink r:id="rId964" ref="A970"/>
    <hyperlink r:id="rId965" ref="A971"/>
    <hyperlink r:id="rId966" ref="A972"/>
    <hyperlink r:id="rId967" ref="A973"/>
    <hyperlink r:id="rId968" ref="A974"/>
    <hyperlink r:id="rId969" ref="A975"/>
    <hyperlink r:id="rId970" ref="A976"/>
    <hyperlink r:id="rId971" ref="A977"/>
    <hyperlink r:id="rId972" ref="A978"/>
    <hyperlink r:id="rId973" ref="A979"/>
    <hyperlink r:id="rId974" ref="A980"/>
    <hyperlink r:id="rId975" ref="A981"/>
    <hyperlink r:id="rId976" ref="A982"/>
    <hyperlink r:id="rId977" ref="A983"/>
    <hyperlink r:id="rId978" ref="A984"/>
    <hyperlink r:id="rId979" ref="A985"/>
    <hyperlink r:id="rId980" ref="A986"/>
    <hyperlink r:id="rId981" ref="A987"/>
    <hyperlink r:id="rId982" ref="A988"/>
    <hyperlink r:id="rId983" ref="A989"/>
    <hyperlink r:id="rId984" ref="A990"/>
    <hyperlink r:id="rId985" ref="A991"/>
    <hyperlink r:id="rId986" ref="A992"/>
    <hyperlink r:id="rId987" ref="A993"/>
    <hyperlink r:id="rId988" ref="A994"/>
    <hyperlink r:id="rId989" ref="A995"/>
    <hyperlink r:id="rId990" ref="A996"/>
    <hyperlink r:id="rId991" ref="A997"/>
    <hyperlink r:id="rId992" ref="A998"/>
    <hyperlink r:id="rId993" ref="A999"/>
    <hyperlink r:id="rId994" ref="A1000"/>
    <hyperlink r:id="rId995" ref="A1001"/>
    <hyperlink r:id="rId996" ref="A1002"/>
    <hyperlink r:id="rId997" ref="A1003"/>
    <hyperlink r:id="rId998" ref="A1004"/>
    <hyperlink r:id="rId999" ref="A1005"/>
    <hyperlink r:id="rId1000" ref="A1006"/>
    <hyperlink r:id="rId1001" ref="A1007"/>
    <hyperlink r:id="rId1002" ref="A1008"/>
    <hyperlink r:id="rId1003" ref="A1009"/>
    <hyperlink r:id="rId1004" ref="A1010"/>
    <hyperlink r:id="rId1005" ref="A1011"/>
    <hyperlink r:id="rId1006" ref="A1012"/>
    <hyperlink r:id="rId1007" ref="A1013"/>
    <hyperlink r:id="rId1008" ref="A1014"/>
    <hyperlink r:id="rId1009" ref="A1015"/>
    <hyperlink r:id="rId1010" ref="A1016"/>
    <hyperlink r:id="rId1011" ref="A1017"/>
    <hyperlink r:id="rId1012" ref="A1018"/>
    <hyperlink r:id="rId1013" ref="A1019"/>
    <hyperlink r:id="rId1014" ref="A1020"/>
    <hyperlink r:id="rId1015" ref="A1021"/>
    <hyperlink r:id="rId1016" ref="A1022"/>
    <hyperlink r:id="rId1017" ref="A1023"/>
    <hyperlink r:id="rId1018" ref="A1024"/>
    <hyperlink r:id="rId1019" ref="A1025"/>
    <hyperlink r:id="rId1020" ref="A1026"/>
    <hyperlink r:id="rId1021" ref="A1027"/>
    <hyperlink r:id="rId1022" ref="A1028"/>
    <hyperlink r:id="rId1023" ref="A1029"/>
    <hyperlink r:id="rId1024" ref="A1030"/>
    <hyperlink r:id="rId1025" ref="A1031"/>
    <hyperlink r:id="rId1026" ref="A1032"/>
    <hyperlink r:id="rId1027" ref="A1033"/>
    <hyperlink r:id="rId1028" ref="A1034"/>
    <hyperlink r:id="rId1029" ref="A1035"/>
    <hyperlink r:id="rId1030" ref="A1036"/>
    <hyperlink r:id="rId1031" ref="A1037"/>
    <hyperlink r:id="rId1032" ref="A1038"/>
    <hyperlink r:id="rId1033" ref="A1039"/>
    <hyperlink r:id="rId1034" ref="A1040"/>
    <hyperlink r:id="rId1035" ref="A1041"/>
    <hyperlink r:id="rId1036" ref="A1042"/>
    <hyperlink r:id="rId1037" ref="A1043"/>
    <hyperlink r:id="rId1038" ref="A1044"/>
    <hyperlink r:id="rId1039" ref="A1045"/>
    <hyperlink r:id="rId1040" ref="A1046"/>
    <hyperlink r:id="rId1041" ref="A1047"/>
    <hyperlink r:id="rId1042" ref="A1048"/>
    <hyperlink r:id="rId1043" ref="A1049"/>
    <hyperlink r:id="rId1044" ref="A1050"/>
    <hyperlink r:id="rId1045" ref="A1051"/>
    <hyperlink r:id="rId1046" ref="A1052"/>
    <hyperlink r:id="rId1047" ref="A1053"/>
    <hyperlink r:id="rId1048" ref="A1054"/>
    <hyperlink r:id="rId1049" ref="A1055"/>
    <hyperlink r:id="rId1050" ref="A1056"/>
    <hyperlink r:id="rId1051" ref="A1057"/>
    <hyperlink r:id="rId1052" ref="A1058"/>
    <hyperlink r:id="rId1053" ref="A1059"/>
    <hyperlink r:id="rId1054" ref="A1060"/>
    <hyperlink r:id="rId1055" ref="A1061"/>
    <hyperlink r:id="rId1056" ref="A1062"/>
    <hyperlink r:id="rId1057" ref="A1063"/>
    <hyperlink r:id="rId1058" ref="A1064"/>
    <hyperlink r:id="rId1059" ref="A1065"/>
    <hyperlink r:id="rId1060" ref="A1066"/>
    <hyperlink r:id="rId1061" ref="A1067"/>
    <hyperlink r:id="rId1062" ref="A1068"/>
    <hyperlink r:id="rId1063" ref="A1069"/>
    <hyperlink r:id="rId1064" ref="A1070"/>
    <hyperlink r:id="rId1065" ref="A1071"/>
    <hyperlink r:id="rId1066" ref="A1072"/>
    <hyperlink r:id="rId1067" ref="A1073"/>
    <hyperlink r:id="rId1068" ref="A1074"/>
    <hyperlink r:id="rId1069" ref="A1075"/>
    <hyperlink r:id="rId1070" ref="A1076"/>
    <hyperlink r:id="rId1071" ref="A1077"/>
    <hyperlink r:id="rId1072" ref="A1078"/>
    <hyperlink r:id="rId1073" ref="A1079"/>
    <hyperlink r:id="rId1074" ref="A1080"/>
    <hyperlink r:id="rId1075" ref="A1081"/>
    <hyperlink r:id="rId1076" ref="A1082"/>
    <hyperlink r:id="rId1077" ref="A1083"/>
    <hyperlink r:id="rId1078" ref="A1084"/>
    <hyperlink r:id="rId1079" ref="A1085"/>
    <hyperlink r:id="rId1080" ref="A1086"/>
    <hyperlink r:id="rId1081" ref="A1087"/>
    <hyperlink r:id="rId1082" ref="A1088"/>
    <hyperlink r:id="rId1083" ref="A1089"/>
    <hyperlink r:id="rId1084" ref="A1090"/>
    <hyperlink r:id="rId1085" ref="A1091"/>
    <hyperlink r:id="rId1086" ref="A1092"/>
    <hyperlink r:id="rId1087" ref="A1093"/>
    <hyperlink r:id="rId1088" ref="A1094"/>
    <hyperlink r:id="rId1089" ref="A1095"/>
    <hyperlink r:id="rId1090" ref="A1096"/>
    <hyperlink r:id="rId1091" ref="A1097"/>
    <hyperlink r:id="rId1092" ref="A1098"/>
    <hyperlink r:id="rId1093" ref="A1099"/>
    <hyperlink r:id="rId1094" ref="A1100"/>
    <hyperlink r:id="rId1095" ref="A1101"/>
    <hyperlink r:id="rId1096" ref="A1102"/>
    <hyperlink r:id="rId1097" ref="A1103"/>
    <hyperlink r:id="rId1098" ref="A1104"/>
    <hyperlink r:id="rId1099" ref="A1105"/>
    <hyperlink r:id="rId1100" ref="A1106"/>
    <hyperlink r:id="rId1101" ref="A1107"/>
    <hyperlink r:id="rId1102" ref="A1108"/>
    <hyperlink r:id="rId1103" ref="A1109"/>
    <hyperlink r:id="rId1104" ref="A1110"/>
    <hyperlink r:id="rId1105" ref="A1111"/>
    <hyperlink r:id="rId1106" ref="A1112"/>
    <hyperlink r:id="rId1107" ref="A1113"/>
    <hyperlink r:id="rId1108" ref="A1114"/>
    <hyperlink r:id="rId1109" ref="A1115"/>
    <hyperlink r:id="rId1110" ref="A1116"/>
    <hyperlink r:id="rId1111" ref="A1117"/>
    <hyperlink r:id="rId1112" ref="A1118"/>
    <hyperlink r:id="rId1113" ref="A1119"/>
    <hyperlink r:id="rId1114" ref="A1120"/>
    <hyperlink r:id="rId1115" ref="A1121"/>
    <hyperlink r:id="rId1116" ref="A1122"/>
    <hyperlink r:id="rId1117" ref="A1123"/>
    <hyperlink r:id="rId1118" ref="A1124"/>
    <hyperlink r:id="rId1119" ref="A1125"/>
    <hyperlink r:id="rId1120" ref="A1126"/>
    <hyperlink r:id="rId1121" ref="A1127"/>
    <hyperlink r:id="rId1122" ref="A1128"/>
    <hyperlink r:id="rId1123" ref="A1129"/>
    <hyperlink r:id="rId1124" ref="A1130"/>
    <hyperlink r:id="rId1125" ref="A1131"/>
    <hyperlink r:id="rId1126" ref="A1132"/>
    <hyperlink r:id="rId1127" ref="A1133"/>
    <hyperlink r:id="rId1128" ref="A1134"/>
    <hyperlink r:id="rId1129" ref="A1135"/>
    <hyperlink r:id="rId1130" ref="A1136"/>
    <hyperlink r:id="rId1131" ref="A1137"/>
    <hyperlink r:id="rId1132" ref="A1138"/>
    <hyperlink r:id="rId1133" ref="A1139"/>
    <hyperlink r:id="rId1134" ref="A1140"/>
    <hyperlink r:id="rId1135" ref="A1141"/>
    <hyperlink r:id="rId1136" ref="A1142"/>
    <hyperlink r:id="rId1137" ref="A1143"/>
    <hyperlink r:id="rId1138" ref="A1144"/>
    <hyperlink r:id="rId1139" ref="A1145"/>
    <hyperlink r:id="rId1140" ref="A1146"/>
    <hyperlink r:id="rId1141" ref="A1147"/>
    <hyperlink r:id="rId1142" ref="A1148"/>
    <hyperlink r:id="rId1143" ref="A1149"/>
    <hyperlink r:id="rId1144" ref="A1150"/>
    <hyperlink r:id="rId1145" ref="A1151"/>
    <hyperlink r:id="rId1146" ref="A1152"/>
    <hyperlink r:id="rId1147" ref="A1153"/>
    <hyperlink r:id="rId1148" ref="A1154"/>
    <hyperlink r:id="rId1149" ref="A1155"/>
    <hyperlink r:id="rId1150" ref="A1156"/>
    <hyperlink r:id="rId1151" ref="A1157"/>
    <hyperlink r:id="rId1152" ref="A1158"/>
    <hyperlink r:id="rId1153" ref="A1159"/>
    <hyperlink r:id="rId1154" ref="A1160"/>
    <hyperlink r:id="rId1155" ref="A1161"/>
    <hyperlink r:id="rId1156" ref="A1162"/>
    <hyperlink r:id="rId1157" ref="A1163"/>
    <hyperlink r:id="rId1158" ref="A1164"/>
    <hyperlink r:id="rId1159" ref="A1165"/>
    <hyperlink r:id="rId1160" ref="A1166"/>
    <hyperlink r:id="rId1161" ref="A1167"/>
    <hyperlink r:id="rId1162" ref="A1168"/>
    <hyperlink r:id="rId1163" ref="A1169"/>
    <hyperlink r:id="rId1164" ref="A1170"/>
    <hyperlink r:id="rId1165" ref="A1171"/>
    <hyperlink r:id="rId1166" ref="A1172"/>
    <hyperlink r:id="rId1167" ref="A1173"/>
    <hyperlink r:id="rId1168" ref="A1174"/>
    <hyperlink r:id="rId1169" ref="A1175"/>
    <hyperlink r:id="rId1170" ref="A1176"/>
    <hyperlink r:id="rId1171" ref="A1177"/>
    <hyperlink r:id="rId1172" ref="A1178"/>
    <hyperlink r:id="rId1173" ref="A1179"/>
    <hyperlink r:id="rId1174" ref="A1180"/>
    <hyperlink r:id="rId1175" ref="A1181"/>
    <hyperlink r:id="rId1176" ref="A1182"/>
    <hyperlink r:id="rId1177" ref="A1183"/>
    <hyperlink r:id="rId1178" ref="A1184"/>
    <hyperlink r:id="rId1179" ref="A1185"/>
    <hyperlink r:id="rId1180" ref="A1186"/>
    <hyperlink r:id="rId1181" ref="A1187"/>
    <hyperlink r:id="rId1182" ref="A1188"/>
    <hyperlink r:id="rId1183" ref="A1189"/>
    <hyperlink r:id="rId1184" ref="A1190"/>
    <hyperlink r:id="rId1185" ref="A1191"/>
    <hyperlink r:id="rId1186" ref="A1192"/>
    <hyperlink r:id="rId1187" ref="A1193"/>
    <hyperlink r:id="rId1188" ref="A1194"/>
    <hyperlink r:id="rId1189" ref="A1195"/>
    <hyperlink r:id="rId1190" ref="A1196"/>
    <hyperlink r:id="rId1191" ref="A1197"/>
    <hyperlink r:id="rId1192" ref="A1198"/>
    <hyperlink r:id="rId1193" ref="A1199"/>
    <hyperlink r:id="rId1194" ref="A1200"/>
    <hyperlink r:id="rId1195" ref="A1201"/>
    <hyperlink r:id="rId1196" ref="A1202"/>
    <hyperlink r:id="rId1197" ref="A1203"/>
    <hyperlink r:id="rId1198" ref="A1204"/>
    <hyperlink r:id="rId1199" ref="A1205"/>
    <hyperlink r:id="rId1200" ref="A1206"/>
    <hyperlink r:id="rId1201" ref="A1207"/>
    <hyperlink r:id="rId1202" ref="A1208"/>
    <hyperlink r:id="rId1203" ref="A1209"/>
    <hyperlink r:id="rId1204" ref="A1210"/>
    <hyperlink r:id="rId1205" ref="A1211"/>
    <hyperlink r:id="rId1206" ref="A1212"/>
    <hyperlink r:id="rId1207" ref="A1213"/>
    <hyperlink r:id="rId1208" ref="A1214"/>
    <hyperlink r:id="rId1209" ref="A1215"/>
    <hyperlink r:id="rId1210" ref="A1216"/>
    <hyperlink r:id="rId1211" ref="A1217"/>
    <hyperlink r:id="rId1212" ref="A1218"/>
    <hyperlink r:id="rId1213" ref="A1219"/>
    <hyperlink r:id="rId1214" ref="A1220"/>
    <hyperlink r:id="rId1215" ref="A1221"/>
    <hyperlink r:id="rId1216" ref="A1222"/>
    <hyperlink r:id="rId1217" ref="A1223"/>
    <hyperlink r:id="rId1218" ref="A1224"/>
    <hyperlink r:id="rId1219" ref="A1225"/>
    <hyperlink r:id="rId1220" ref="A1226"/>
    <hyperlink r:id="rId1221" ref="A1227"/>
    <hyperlink r:id="rId1222" ref="A1228"/>
    <hyperlink r:id="rId1223" ref="A1229"/>
    <hyperlink r:id="rId1224" ref="A1230"/>
    <hyperlink r:id="rId1225" ref="A1231"/>
    <hyperlink r:id="rId1226" ref="A1232"/>
    <hyperlink r:id="rId1227" ref="A1233"/>
    <hyperlink r:id="rId1228" ref="A1234"/>
    <hyperlink r:id="rId1229" ref="A1235"/>
    <hyperlink r:id="rId1230" ref="A1236"/>
    <hyperlink r:id="rId1231" ref="A1237"/>
    <hyperlink r:id="rId1232" ref="A1238"/>
    <hyperlink r:id="rId1233" ref="A1239"/>
    <hyperlink r:id="rId1234" ref="A1240"/>
    <hyperlink r:id="rId1235" ref="A1241"/>
    <hyperlink r:id="rId1236" ref="A1242"/>
    <hyperlink r:id="rId1237" ref="A1243"/>
    <hyperlink r:id="rId1238" ref="A1244"/>
    <hyperlink r:id="rId1239" ref="A1245"/>
    <hyperlink r:id="rId1240" ref="A1246"/>
    <hyperlink r:id="rId1241" ref="A1247"/>
    <hyperlink r:id="rId1242" ref="A1248"/>
    <hyperlink r:id="rId1243" ref="A1249"/>
    <hyperlink r:id="rId1244" ref="A1250"/>
    <hyperlink r:id="rId1245" ref="A1251"/>
    <hyperlink r:id="rId1246" ref="A1252"/>
    <hyperlink r:id="rId1247" ref="A1253"/>
    <hyperlink r:id="rId1248" ref="A1254"/>
    <hyperlink r:id="rId1249" ref="A1255"/>
    <hyperlink r:id="rId1250" ref="A1256"/>
    <hyperlink r:id="rId1251" ref="A1257"/>
    <hyperlink r:id="rId1252" ref="A1258"/>
    <hyperlink r:id="rId1253" ref="A1259"/>
    <hyperlink r:id="rId1254" ref="A1260"/>
    <hyperlink r:id="rId1255" ref="A1261"/>
    <hyperlink r:id="rId1256" ref="A1262"/>
    <hyperlink r:id="rId1257" ref="A1263"/>
    <hyperlink r:id="rId1258" ref="A1264"/>
    <hyperlink r:id="rId1259" ref="A1265"/>
    <hyperlink r:id="rId1260" ref="A1266"/>
    <hyperlink r:id="rId1261" ref="A1267"/>
    <hyperlink r:id="rId1262" ref="A1268"/>
    <hyperlink r:id="rId1263" ref="A1269"/>
    <hyperlink r:id="rId1264" ref="A1270"/>
    <hyperlink r:id="rId1265" ref="A1271"/>
    <hyperlink r:id="rId1266" ref="A1272"/>
    <hyperlink r:id="rId1267" ref="A1273"/>
    <hyperlink r:id="rId1268" ref="A1274"/>
    <hyperlink r:id="rId1269" ref="A1275"/>
    <hyperlink r:id="rId1270" ref="A1276"/>
    <hyperlink r:id="rId1271" ref="A1277"/>
    <hyperlink r:id="rId1272" ref="A1278"/>
    <hyperlink r:id="rId1273" ref="A1279"/>
    <hyperlink r:id="rId1274" ref="A1280"/>
    <hyperlink r:id="rId1275" ref="A1281"/>
    <hyperlink r:id="rId1276" ref="A1282"/>
    <hyperlink r:id="rId1277" ref="A1283"/>
    <hyperlink r:id="rId1278" ref="A1284"/>
    <hyperlink r:id="rId1279" ref="A1285"/>
    <hyperlink r:id="rId1280" ref="A1286"/>
    <hyperlink r:id="rId1281" ref="A1287"/>
    <hyperlink r:id="rId1282" ref="A1288"/>
    <hyperlink r:id="rId1283" ref="A1289"/>
    <hyperlink r:id="rId1284" ref="A1290"/>
    <hyperlink r:id="rId1285" ref="A1291"/>
    <hyperlink r:id="rId1286" ref="A1292"/>
    <hyperlink r:id="rId1287" ref="A1293"/>
    <hyperlink r:id="rId1288" ref="A1294"/>
    <hyperlink r:id="rId1289" ref="A1295"/>
    <hyperlink r:id="rId1290" ref="A1296"/>
    <hyperlink r:id="rId1291" ref="A1297"/>
    <hyperlink r:id="rId1292" ref="A1298"/>
    <hyperlink r:id="rId1293" ref="A1299"/>
    <hyperlink r:id="rId1294" ref="A1300"/>
    <hyperlink r:id="rId1295" ref="A1301"/>
    <hyperlink r:id="rId1296" ref="A1302"/>
    <hyperlink r:id="rId1297" ref="A1303"/>
    <hyperlink r:id="rId1298" ref="A1304"/>
    <hyperlink r:id="rId1299" ref="A1305"/>
    <hyperlink r:id="rId1300" ref="A1306"/>
    <hyperlink r:id="rId1301" ref="A1307"/>
    <hyperlink r:id="rId1302" ref="A1308"/>
    <hyperlink r:id="rId1303" ref="A1309"/>
    <hyperlink r:id="rId1304" ref="A1310"/>
    <hyperlink r:id="rId1305" ref="A1311"/>
    <hyperlink r:id="rId1306" ref="A1312"/>
    <hyperlink r:id="rId1307" ref="A1313"/>
    <hyperlink r:id="rId1308" ref="A1314"/>
    <hyperlink r:id="rId1309" ref="A1315"/>
    <hyperlink r:id="rId1310" ref="A1316"/>
    <hyperlink r:id="rId1311" ref="A1317"/>
    <hyperlink r:id="rId1312" ref="A1318"/>
    <hyperlink r:id="rId1313" ref="A1319"/>
    <hyperlink r:id="rId1314" ref="A1320"/>
    <hyperlink r:id="rId1315" ref="A1321"/>
    <hyperlink r:id="rId1316" ref="A1322"/>
    <hyperlink r:id="rId1317" ref="A1323"/>
    <hyperlink r:id="rId1318" ref="A1324"/>
    <hyperlink r:id="rId1319" ref="A1325"/>
    <hyperlink r:id="rId1320" ref="A1326"/>
    <hyperlink r:id="rId1321" ref="A1327"/>
    <hyperlink r:id="rId1322" ref="A1328"/>
    <hyperlink r:id="rId1323" ref="A1329"/>
    <hyperlink r:id="rId1324" ref="A1330"/>
    <hyperlink r:id="rId1325" ref="A1331"/>
    <hyperlink r:id="rId1326" ref="A1332"/>
    <hyperlink r:id="rId1327" ref="A1333"/>
    <hyperlink r:id="rId1328" ref="A1334"/>
    <hyperlink r:id="rId1329" ref="A1335"/>
    <hyperlink r:id="rId1330" ref="A1336"/>
    <hyperlink r:id="rId1331" ref="A1337"/>
    <hyperlink r:id="rId1332" ref="A1338"/>
    <hyperlink r:id="rId1333" ref="A1339"/>
    <hyperlink r:id="rId1334" ref="A1340"/>
    <hyperlink r:id="rId1335" ref="A1341"/>
    <hyperlink r:id="rId1336" ref="A1342"/>
    <hyperlink r:id="rId1337" ref="A1343"/>
    <hyperlink r:id="rId1338" ref="A1344"/>
    <hyperlink r:id="rId1339" ref="A1345"/>
    <hyperlink r:id="rId1340" ref="A1346"/>
    <hyperlink r:id="rId1341" ref="A1347"/>
    <hyperlink r:id="rId1342" ref="A1348"/>
    <hyperlink r:id="rId1343" ref="A1349"/>
    <hyperlink r:id="rId1344" ref="A1350"/>
    <hyperlink r:id="rId1345" ref="A1351"/>
    <hyperlink r:id="rId1346" ref="A1352"/>
    <hyperlink r:id="rId1347" ref="A1353"/>
    <hyperlink r:id="rId1348" ref="A1354"/>
    <hyperlink r:id="rId1349" ref="A1355"/>
    <hyperlink r:id="rId1350" ref="A1356"/>
    <hyperlink r:id="rId1351" ref="A1357"/>
    <hyperlink r:id="rId1352" ref="A1358"/>
    <hyperlink r:id="rId1353" ref="A1359"/>
    <hyperlink r:id="rId1354" ref="A1360"/>
    <hyperlink r:id="rId1355" ref="A1361"/>
    <hyperlink r:id="rId1356" ref="A1362"/>
    <hyperlink r:id="rId1357" ref="A1363"/>
    <hyperlink r:id="rId1358" ref="A1364"/>
    <hyperlink r:id="rId1359" ref="A1365"/>
    <hyperlink r:id="rId1360" ref="A1366"/>
    <hyperlink r:id="rId1361" ref="A1367"/>
    <hyperlink r:id="rId1362" ref="A1368"/>
    <hyperlink r:id="rId1363" ref="A1369"/>
    <hyperlink r:id="rId1364" ref="A1370"/>
    <hyperlink r:id="rId1365" ref="A1371"/>
    <hyperlink r:id="rId1366" ref="A1372"/>
    <hyperlink r:id="rId1367" ref="A1373"/>
    <hyperlink r:id="rId1368" ref="A1374"/>
    <hyperlink r:id="rId1369" ref="A1375"/>
    <hyperlink r:id="rId1370" ref="A1376"/>
    <hyperlink r:id="rId1371" ref="A1377"/>
    <hyperlink r:id="rId1372" ref="A1378"/>
    <hyperlink r:id="rId1373" ref="A1379"/>
    <hyperlink r:id="rId1374" ref="A1380"/>
    <hyperlink r:id="rId1375" ref="A1381"/>
    <hyperlink r:id="rId1376" ref="A1382"/>
    <hyperlink r:id="rId1377" ref="A1383"/>
    <hyperlink r:id="rId1378" ref="A1384"/>
    <hyperlink r:id="rId1379" ref="A1385"/>
    <hyperlink r:id="rId1380" ref="A1386"/>
    <hyperlink r:id="rId1381" ref="A1387"/>
    <hyperlink r:id="rId1382" ref="A1388"/>
    <hyperlink r:id="rId1383" ref="A1389"/>
    <hyperlink r:id="rId1384" ref="A1390"/>
    <hyperlink r:id="rId1385" ref="A1391"/>
    <hyperlink r:id="rId1386" ref="A1392"/>
    <hyperlink r:id="rId1387" ref="A1393"/>
    <hyperlink r:id="rId1388" ref="A1394"/>
    <hyperlink r:id="rId1389" ref="A1395"/>
    <hyperlink r:id="rId1390" ref="A1396"/>
    <hyperlink r:id="rId1391" ref="A1397"/>
    <hyperlink r:id="rId1392" ref="A1398"/>
    <hyperlink r:id="rId1393" ref="A1399"/>
    <hyperlink r:id="rId1394" ref="A1400"/>
    <hyperlink r:id="rId1395" ref="A1401"/>
    <hyperlink r:id="rId1396" ref="A1402"/>
    <hyperlink r:id="rId1397" ref="A1403"/>
    <hyperlink r:id="rId1398" ref="A1404"/>
    <hyperlink r:id="rId1399" ref="A1405"/>
    <hyperlink r:id="rId1400" ref="A1406"/>
    <hyperlink r:id="rId1401" ref="A1407"/>
    <hyperlink r:id="rId1402" ref="A1408"/>
    <hyperlink r:id="rId1403" ref="A1409"/>
    <hyperlink r:id="rId1404" ref="A1410"/>
    <hyperlink r:id="rId1405" ref="A1411"/>
    <hyperlink r:id="rId1406" ref="A1412"/>
    <hyperlink r:id="rId1407" ref="A1413"/>
    <hyperlink r:id="rId1408" ref="A1414"/>
    <hyperlink r:id="rId1409" ref="A1415"/>
    <hyperlink r:id="rId1410" ref="A1416"/>
    <hyperlink r:id="rId1411" ref="A1417"/>
    <hyperlink r:id="rId1412" ref="A1418"/>
    <hyperlink r:id="rId1413" ref="A1419"/>
    <hyperlink r:id="rId1414" ref="A1420"/>
    <hyperlink r:id="rId1415" ref="A1421"/>
    <hyperlink r:id="rId1416" ref="A1422"/>
    <hyperlink r:id="rId1417" ref="A1423"/>
    <hyperlink r:id="rId1418" ref="A1424"/>
    <hyperlink r:id="rId1419" ref="A1425"/>
    <hyperlink r:id="rId1420" ref="A1426"/>
    <hyperlink r:id="rId1421" ref="A1427"/>
    <hyperlink r:id="rId1422" ref="A1428"/>
    <hyperlink r:id="rId1423" ref="A1429"/>
    <hyperlink r:id="rId1424" ref="A1430"/>
    <hyperlink r:id="rId1425" ref="A1431"/>
    <hyperlink r:id="rId1426" ref="A1432"/>
    <hyperlink r:id="rId1427" ref="A1433"/>
    <hyperlink r:id="rId1428" ref="A1434"/>
    <hyperlink r:id="rId1429" ref="A1435"/>
    <hyperlink r:id="rId1430" ref="A1436"/>
    <hyperlink r:id="rId1431" ref="A1437"/>
    <hyperlink r:id="rId1432" ref="A1438"/>
    <hyperlink r:id="rId1433" ref="A1439"/>
    <hyperlink r:id="rId1434" ref="A1440"/>
    <hyperlink r:id="rId1435" ref="A1441"/>
    <hyperlink r:id="rId1436" ref="A1442"/>
    <hyperlink r:id="rId1437" ref="A1443"/>
    <hyperlink r:id="rId1438" ref="A1444"/>
    <hyperlink r:id="rId1439" ref="A1445"/>
    <hyperlink r:id="rId1440" ref="A1446"/>
    <hyperlink r:id="rId1441" ref="A1447"/>
    <hyperlink r:id="rId1442" ref="A1448"/>
    <hyperlink r:id="rId1443" ref="A1449"/>
    <hyperlink r:id="rId1444" ref="A1450"/>
    <hyperlink r:id="rId1445" ref="A1451"/>
    <hyperlink r:id="rId1446" ref="A1452"/>
    <hyperlink r:id="rId1447" ref="A1453"/>
    <hyperlink r:id="rId1448" ref="A1454"/>
    <hyperlink r:id="rId1449" ref="A1455"/>
    <hyperlink r:id="rId1450" ref="A1456"/>
    <hyperlink r:id="rId1451" ref="A1457"/>
    <hyperlink r:id="rId1452" ref="A1458"/>
    <hyperlink r:id="rId1453" ref="A1459"/>
    <hyperlink r:id="rId1454" ref="A1460"/>
    <hyperlink r:id="rId1455" ref="A1461"/>
    <hyperlink r:id="rId1456" ref="A1462"/>
    <hyperlink r:id="rId1457" ref="A1463"/>
    <hyperlink r:id="rId1458" ref="A1464"/>
    <hyperlink r:id="rId1459" ref="A1465"/>
    <hyperlink r:id="rId1460" ref="A1466"/>
    <hyperlink r:id="rId1461" ref="A1467"/>
    <hyperlink r:id="rId1462" ref="A1468"/>
    <hyperlink r:id="rId1463" ref="A1469"/>
    <hyperlink r:id="rId1464" ref="A1470"/>
    <hyperlink r:id="rId1465" ref="A1471"/>
    <hyperlink r:id="rId1466" ref="A1472"/>
    <hyperlink r:id="rId1467" ref="A1473"/>
    <hyperlink r:id="rId1468" ref="A1474"/>
    <hyperlink r:id="rId1469" ref="A1475"/>
    <hyperlink r:id="rId1470" ref="A1476"/>
    <hyperlink r:id="rId1471" ref="A1477"/>
    <hyperlink r:id="rId1472" ref="A1478"/>
    <hyperlink r:id="rId1473" ref="A1479"/>
    <hyperlink r:id="rId1474" ref="A1480"/>
    <hyperlink r:id="rId1475" ref="A1481"/>
    <hyperlink r:id="rId1476" ref="A1482"/>
    <hyperlink r:id="rId1477" ref="A1483"/>
    <hyperlink r:id="rId1478" ref="A1484"/>
    <hyperlink r:id="rId1479" ref="A1485"/>
    <hyperlink r:id="rId1480" ref="A1486"/>
    <hyperlink r:id="rId1481" ref="A1487"/>
    <hyperlink r:id="rId1482" ref="A1488"/>
    <hyperlink r:id="rId1483" ref="A1489"/>
    <hyperlink r:id="rId1484" ref="A1490"/>
    <hyperlink r:id="rId1485" ref="A1491"/>
    <hyperlink r:id="rId1486" ref="A1492"/>
    <hyperlink r:id="rId1487" ref="A1493"/>
    <hyperlink r:id="rId1488" ref="A1494"/>
    <hyperlink r:id="rId1489" ref="A1495"/>
    <hyperlink r:id="rId1490" ref="A1496"/>
    <hyperlink r:id="rId1491" ref="A1497"/>
    <hyperlink r:id="rId1492" ref="A1498"/>
    <hyperlink r:id="rId1493" ref="A1499"/>
    <hyperlink r:id="rId1494" ref="A1500"/>
    <hyperlink r:id="rId1495" ref="A1501"/>
    <hyperlink r:id="rId1496" ref="A1502"/>
    <hyperlink r:id="rId1497" ref="A1503"/>
    <hyperlink r:id="rId1498" ref="A1504"/>
    <hyperlink r:id="rId1499" ref="A1505"/>
    <hyperlink r:id="rId1500" ref="A1506"/>
    <hyperlink r:id="rId1501" ref="A1507"/>
    <hyperlink r:id="rId1502" ref="A1508"/>
    <hyperlink r:id="rId1503" ref="A1509"/>
    <hyperlink r:id="rId1504" ref="A1510"/>
    <hyperlink r:id="rId1505" ref="A1511"/>
    <hyperlink r:id="rId1506" ref="A1512"/>
    <hyperlink r:id="rId1507" ref="A1513"/>
    <hyperlink r:id="rId1508" ref="A1514"/>
    <hyperlink r:id="rId1509" ref="A1515"/>
    <hyperlink r:id="rId1510" ref="A1516"/>
    <hyperlink r:id="rId1511" ref="A1517"/>
    <hyperlink r:id="rId1512" ref="A1518"/>
    <hyperlink r:id="rId1513" ref="A1519"/>
    <hyperlink r:id="rId1514" ref="A1520"/>
    <hyperlink r:id="rId1515" ref="A1521"/>
    <hyperlink r:id="rId1516" ref="A1522"/>
    <hyperlink r:id="rId1517" ref="A1523"/>
    <hyperlink r:id="rId1518" ref="A1524"/>
    <hyperlink r:id="rId1519" ref="A1525"/>
    <hyperlink r:id="rId1520" ref="A1526"/>
    <hyperlink r:id="rId1521" ref="A1527"/>
    <hyperlink r:id="rId1522" ref="A1528"/>
    <hyperlink r:id="rId1523" ref="A1529"/>
    <hyperlink r:id="rId1524" ref="A1530"/>
    <hyperlink r:id="rId1525" ref="A1531"/>
    <hyperlink r:id="rId1526" ref="A1532"/>
    <hyperlink r:id="rId1527" ref="A1533"/>
    <hyperlink r:id="rId1528" ref="A1534"/>
    <hyperlink r:id="rId1529" ref="A1535"/>
    <hyperlink r:id="rId1530" ref="A1536"/>
    <hyperlink r:id="rId1531" ref="A1537"/>
    <hyperlink r:id="rId1532" ref="A1538"/>
    <hyperlink r:id="rId1533" ref="A1539"/>
    <hyperlink r:id="rId1534" ref="A1540"/>
    <hyperlink r:id="rId1535" ref="A1541"/>
    <hyperlink r:id="rId1536" ref="A1542"/>
    <hyperlink r:id="rId1537" ref="A1543"/>
    <hyperlink r:id="rId1538" ref="A1544"/>
    <hyperlink r:id="rId1539" ref="A1545"/>
    <hyperlink r:id="rId1540" ref="A1546"/>
    <hyperlink r:id="rId1541" ref="A1547"/>
    <hyperlink r:id="rId1542" ref="A1548"/>
    <hyperlink r:id="rId1543" ref="A1549"/>
    <hyperlink r:id="rId1544" ref="A1550"/>
    <hyperlink r:id="rId1545" ref="A1551"/>
    <hyperlink r:id="rId1546" ref="A1552"/>
    <hyperlink r:id="rId1547" ref="A1553"/>
    <hyperlink r:id="rId1548" ref="A1554"/>
    <hyperlink r:id="rId1549" ref="A1555"/>
    <hyperlink r:id="rId1550" ref="A1556"/>
    <hyperlink r:id="rId1551" ref="A1557"/>
    <hyperlink r:id="rId1552" ref="A1558"/>
    <hyperlink r:id="rId1553" ref="A1559"/>
  </hyperlinks>
  <drawing r:id="rId1554"/>
</worksheet>
</file>